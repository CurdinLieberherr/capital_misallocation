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  <Override PartName="/xl/worksheets/sheet61.xml" ContentType="application/vnd.openxmlformats-officedocument.spreadsheetml.worksheet+xml"/>
  <Override PartName="/xl/drawings/drawing61.xml" ContentType="application/vnd.openxmlformats-officedocument.drawing+xml"/>
  <Override PartName="/xl/worksheets/sheet62.xml" ContentType="application/vnd.openxmlformats-officedocument.spreadsheetml.worksheet+xml"/>
  <Override PartName="/xl/drawings/drawing62.xml" ContentType="application/vnd.openxmlformats-officedocument.drawing+xml"/>
  <Override PartName="/xl/worksheets/sheet63.xml" ContentType="application/vnd.openxmlformats-officedocument.spreadsheetml.worksheet+xml"/>
  <Override PartName="/xl/drawings/drawing63.xml" ContentType="application/vnd.openxmlformats-officedocument.drawing+xml"/>
  <Override PartName="/xl/worksheets/sheet64.xml" ContentType="application/vnd.openxmlformats-officedocument.spreadsheetml.worksheet+xml"/>
  <Override PartName="/xl/drawings/drawing64.xml" ContentType="application/vnd.openxmlformats-officedocument.drawing+xml"/>
  <Override PartName="/xl/worksheets/sheet65.xml" ContentType="application/vnd.openxmlformats-officedocument.spreadsheetml.worksheet+xml"/>
  <Override PartName="/xl/drawings/drawing65.xml" ContentType="application/vnd.openxmlformats-officedocument.drawing+xml"/>
  <Override PartName="/xl/worksheets/sheet66.xml" ContentType="application/vnd.openxmlformats-officedocument.spreadsheetml.worksheet+xml"/>
  <Override PartName="/xl/drawings/drawing66.xml" ContentType="application/vnd.openxmlformats-officedocument.drawing+xml"/>
  <Override PartName="/xl/worksheets/sheet67.xml" ContentType="application/vnd.openxmlformats-officedocument.spreadsheetml.worksheet+xml"/>
  <Override PartName="/xl/drawings/drawing67.xml" ContentType="application/vnd.openxmlformats-officedocument.drawing+xml"/>
  <Override PartName="/xl/worksheets/sheet68.xml" ContentType="application/vnd.openxmlformats-officedocument.spreadsheetml.worksheet+xml"/>
  <Override PartName="/xl/drawings/drawing68.xml" ContentType="application/vnd.openxmlformats-officedocument.drawing+xml"/>
  <Override PartName="/xl/worksheets/sheet69.xml" ContentType="application/vnd.openxmlformats-officedocument.spreadsheetml.worksheet+xml"/>
  <Override PartName="/xl/drawings/drawing69.xml" ContentType="application/vnd.openxmlformats-officedocument.drawing+xml"/>
  <Override PartName="/xl/worksheets/sheet70.xml" ContentType="application/vnd.openxmlformats-officedocument.spreadsheetml.worksheet+xml"/>
  <Override PartName="/xl/drawings/drawing70.xml" ContentType="application/vnd.openxmlformats-officedocument.drawing+xml"/>
  <Override PartName="/xl/worksheets/sheet71.xml" ContentType="application/vnd.openxmlformats-officedocument.spreadsheetml.worksheet+xml"/>
  <Override PartName="/xl/drawings/drawing71.xml" ContentType="application/vnd.openxmlformats-officedocument.drawing+xml"/>
  <Override PartName="/xl/worksheets/sheet72.xml" ContentType="application/vnd.openxmlformats-officedocument.spreadsheetml.worksheet+xml"/>
  <Override PartName="/xl/drawings/drawing72.xml" ContentType="application/vnd.openxmlformats-officedocument.drawing+xml"/>
  <Override PartName="/xl/worksheets/sheet73.xml" ContentType="application/vnd.openxmlformats-officedocument.spreadsheetml.worksheet+xml"/>
  <Override PartName="/xl/drawings/drawing73.xml" ContentType="application/vnd.openxmlformats-officedocument.drawing+xml"/>
  <Override PartName="/xl/worksheets/sheet74.xml" ContentType="application/vnd.openxmlformats-officedocument.spreadsheetml.worksheet+xml"/>
  <Override PartName="/xl/drawings/drawing74.xml" ContentType="application/vnd.openxmlformats-officedocument.drawing+xml"/>
  <Override PartName="/xl/worksheets/sheet75.xml" ContentType="application/vnd.openxmlformats-officedocument.spreadsheetml.worksheet+xml"/>
  <Override PartName="/xl/drawings/drawing75.xml" ContentType="application/vnd.openxmlformats-officedocument.drawing+xml"/>
  <Override PartName="/xl/worksheets/sheet76.xml" ContentType="application/vnd.openxmlformats-officedocument.spreadsheetml.worksheet+xml"/>
  <Override PartName="/xl/drawings/drawing76.xml" ContentType="application/vnd.openxmlformats-officedocument.drawing+xml"/>
  <Override PartName="/xl/worksheets/sheet77.xml" ContentType="application/vnd.openxmlformats-officedocument.spreadsheetml.worksheet+xml"/>
  <Override PartName="/xl/drawings/drawing77.xml" ContentType="application/vnd.openxmlformats-officedocument.drawing+xml"/>
  <Override PartName="/xl/worksheets/sheet78.xml" ContentType="application/vnd.openxmlformats-officedocument.spreadsheetml.worksheet+xml"/>
  <Override PartName="/xl/drawings/drawing78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Legend" sheetId="1" state="visible" r:id="rId1"/>
    <sheet name="I_IT" sheetId="2774" state="visible" r:id="rId2"/>
    <sheet name="I_CT" sheetId="2775" state="visible" r:id="rId3"/>
    <sheet name="I_Soft_DB" sheetId="2776" state="visible" r:id="rId4"/>
    <sheet name="I_TraEq" sheetId="2777" state="visible" r:id="rId5"/>
    <sheet name="I_OMach" sheetId="2778" state="visible" r:id="rId6"/>
    <sheet name="I_OCon" sheetId="2779" state="visible" r:id="rId7"/>
    <sheet name="I_Rstruc" sheetId="2780" state="visible" r:id="rId8"/>
    <sheet name="I_Cult" sheetId="2781" state="visible" r:id="rId9"/>
    <sheet name="I_RD" sheetId="2782" state="visible" r:id="rId10"/>
    <sheet name="I_OIPP" sheetId="2783" state="visible" r:id="rId11"/>
    <sheet name="I_GFCF" sheetId="2784" state="visible" r:id="rId12"/>
    <sheet name="Ipyp_IT" sheetId="2785" state="visible" r:id="rId13"/>
    <sheet name="Ipyp_CT" sheetId="2786" state="visible" r:id="rId14"/>
    <sheet name="Ipyp_Soft_DB" sheetId="2787" state="visible" r:id="rId15"/>
    <sheet name="Ipyp_TraEq" sheetId="2788" state="visible" r:id="rId16"/>
    <sheet name="Ipyp_OMach" sheetId="2789" state="visible" r:id="rId17"/>
    <sheet name="Ipyp_OCon" sheetId="2790" state="visible" r:id="rId18"/>
    <sheet name="Ipyp_Rstruc" sheetId="2791" state="visible" r:id="rId19"/>
    <sheet name="Ipyp_Cult" sheetId="2792" state="visible" r:id="rId20"/>
    <sheet name="Ipyp_RD" sheetId="2793" state="visible" r:id="rId21"/>
    <sheet name="Ipyp_OIPP" sheetId="2794" state="visible" r:id="rId22"/>
    <sheet name="Ipyp_GFCF" sheetId="2795" state="visible" r:id="rId23"/>
    <sheet name="Ip_IT" sheetId="2796" state="visible" r:id="rId24"/>
    <sheet name="Ip_CT" sheetId="2797" state="visible" r:id="rId25"/>
    <sheet name="Ip_Soft_DB" sheetId="2798" state="visible" r:id="rId26"/>
    <sheet name="Ip_TraEq" sheetId="2799" state="visible" r:id="rId27"/>
    <sheet name="Ip_OMach" sheetId="2800" state="visible" r:id="rId28"/>
    <sheet name="Ip_OCon" sheetId="2801" state="visible" r:id="rId29"/>
    <sheet name="Ip_Rstruc" sheetId="2802" state="visible" r:id="rId30"/>
    <sheet name="Ip_Cult" sheetId="2803" state="visible" r:id="rId31"/>
    <sheet name="Ip_RD" sheetId="2804" state="visible" r:id="rId32"/>
    <sheet name="Ip_OIPP" sheetId="2805" state="visible" r:id="rId33"/>
    <sheet name="Ip_GFCF" sheetId="2806" state="visible" r:id="rId34"/>
    <sheet name="K_IT" sheetId="2807" state="visible" r:id="rId35"/>
    <sheet name="K_CT" sheetId="2808" state="visible" r:id="rId36"/>
    <sheet name="K_Soft_DB" sheetId="2809" state="visible" r:id="rId37"/>
    <sheet name="K_TraEq" sheetId="2810" state="visible" r:id="rId38"/>
    <sheet name="K_OMach" sheetId="2811" state="visible" r:id="rId39"/>
    <sheet name="K_OCon" sheetId="2812" state="visible" r:id="rId40"/>
    <sheet name="K_Rstruc" sheetId="2813" state="visible" r:id="rId41"/>
    <sheet name="K_Cult" sheetId="2814" state="visible" r:id="rId42"/>
    <sheet name="K_RD" sheetId="2815" state="visible" r:id="rId43"/>
    <sheet name="K_OIPP" sheetId="2816" state="visible" r:id="rId44"/>
    <sheet name="K_GFCF" sheetId="2817" state="visible" r:id="rId45"/>
    <sheet name="Kpyp_IT" sheetId="2818" state="visible" r:id="rId46"/>
    <sheet name="Kpyp_CT" sheetId="2819" state="visible" r:id="rId47"/>
    <sheet name="Kpyp_Soft_DB" sheetId="2820" state="visible" r:id="rId48"/>
    <sheet name="Kpyp_TraEq" sheetId="2821" state="visible" r:id="rId49"/>
    <sheet name="Kpyp_OMach" sheetId="2822" state="visible" r:id="rId50"/>
    <sheet name="Kpyp_OCon" sheetId="2823" state="visible" r:id="rId51"/>
    <sheet name="Kpyp_Rstruc" sheetId="2824" state="visible" r:id="rId52"/>
    <sheet name="Kpyp_Cult" sheetId="2825" state="visible" r:id="rId53"/>
    <sheet name="Kpyp_RD" sheetId="2826" state="visible" r:id="rId54"/>
    <sheet name="Kpyp_OIPP" sheetId="2827" state="visible" r:id="rId55"/>
    <sheet name="Kpyp_GFCF" sheetId="2828" state="visible" r:id="rId56"/>
    <sheet name="Iq_IT" sheetId="2829" state="visible" r:id="rId57"/>
    <sheet name="Iq_CT" sheetId="2830" state="visible" r:id="rId58"/>
    <sheet name="Iq_Soft_DB" sheetId="2831" state="visible" r:id="rId59"/>
    <sheet name="Iq_TraEq" sheetId="2832" state="visible" r:id="rId60"/>
    <sheet name="Iq_OMach" sheetId="2833" state="visible" r:id="rId61"/>
    <sheet name="Iq_OCon" sheetId="2834" state="visible" r:id="rId62"/>
    <sheet name="Iq_Rstruc" sheetId="2835" state="visible" r:id="rId63"/>
    <sheet name="Iq_Cult" sheetId="2836" state="visible" r:id="rId64"/>
    <sheet name="Iq_RD" sheetId="2837" state="visible" r:id="rId65"/>
    <sheet name="Iq_OIPP" sheetId="2838" state="visible" r:id="rId66"/>
    <sheet name="Iq_GFCF" sheetId="2839" state="visible" r:id="rId67"/>
    <sheet name="Kq_IT" sheetId="2840" state="visible" r:id="rId68"/>
    <sheet name="Kq_CT" sheetId="2841" state="visible" r:id="rId69"/>
    <sheet name="Kq_Soft_DB" sheetId="2842" state="visible" r:id="rId70"/>
    <sheet name="Kq_TraEq" sheetId="2843" state="visible" r:id="rId71"/>
    <sheet name="Kq_OMach" sheetId="2844" state="visible" r:id="rId72"/>
    <sheet name="Kq_OCon" sheetId="2845" state="visible" r:id="rId73"/>
    <sheet name="Kq_Rstruc" sheetId="2846" state="visible" r:id="rId74"/>
    <sheet name="Kq_Cult" sheetId="2847" state="visible" r:id="rId75"/>
    <sheet name="Kq_RD" sheetId="2848" state="visible" r:id="rId76"/>
    <sheet name="Kq_OIPP" sheetId="2849" state="visible" r:id="rId77"/>
    <sheet name="Kq_GFCF" sheetId="2850" state="visible" r:id="rId78"/>
  </sheets>
</workbook>
</file>

<file path=xl/sharedStrings.xml><?xml version="1.0" encoding="utf-8"?>
<sst xmlns="http://schemas.openxmlformats.org/spreadsheetml/2006/main" count="390" uniqueCount="390">
  <si>
    <t xml:space="preserve">Variable</t>
  </si>
  <si>
    <t xml:space="preserve">Description</t>
  </si>
  <si>
    <t xml:space="preserve">GFCF, current prices, millions of national currency</t>
  </si>
  <si>
    <t xml:space="preserve">I_IT</t>
  </si>
  <si>
    <t xml:space="preserve">Computing equipment</t>
  </si>
  <si>
    <t xml:space="preserve">I_CT</t>
  </si>
  <si>
    <t xml:space="preserve">Communications equipment</t>
  </si>
  <si>
    <t xml:space="preserve">I_Soft_DB</t>
  </si>
  <si>
    <t xml:space="preserve">Computer software and databases</t>
  </si>
  <si>
    <t xml:space="preserve">I_TraEq</t>
  </si>
  <si>
    <t xml:space="preserve">Transport equipment</t>
  </si>
  <si>
    <t xml:space="preserve">I_OMach</t>
  </si>
  <si>
    <t xml:space="preserve">Other Machinery and Equipment</t>
  </si>
  <si>
    <t xml:space="preserve">I_OCon</t>
  </si>
  <si>
    <t xml:space="preserve">Total non-residential investment</t>
  </si>
  <si>
    <t xml:space="preserve">I_Rstruc</t>
  </si>
  <si>
    <t xml:space="preserve">Residential structures</t>
  </si>
  <si>
    <t xml:space="preserve">I_Cult</t>
  </si>
  <si>
    <t xml:space="preserve">Cultivated assets</t>
  </si>
  <si>
    <t xml:space="preserve">I_RD</t>
  </si>
  <si>
    <t xml:space="preserve">Research and development</t>
  </si>
  <si>
    <t xml:space="preserve">I_OIPP</t>
  </si>
  <si>
    <t xml:space="preserve">Other IPP assets</t>
  </si>
  <si>
    <t xml:space="preserve">I_GFCF</t>
  </si>
  <si>
    <t xml:space="preserve">All assets</t>
  </si>
  <si>
    <t xml:space="preserve">GFCF, previous year prices, millions of national currency</t>
  </si>
  <si>
    <t xml:space="preserve">Ipyp_IT</t>
  </si>
  <si>
    <t xml:space="preserve">Computing equipment previous year prices</t>
  </si>
  <si>
    <t xml:space="preserve">Ipyp_CT</t>
  </si>
  <si>
    <t xml:space="preserve">Communications equipment previous year prices</t>
  </si>
  <si>
    <t xml:space="preserve">Ipyp_Soft_DB</t>
  </si>
  <si>
    <t xml:space="preserve">Computer software and databases previous year prices</t>
  </si>
  <si>
    <t xml:space="preserve">Ipyp_TraEq</t>
  </si>
  <si>
    <t xml:space="preserve">Transport equipment previous year prices</t>
  </si>
  <si>
    <t xml:space="preserve">Ipyp_OMach</t>
  </si>
  <si>
    <t xml:space="preserve">Other machinery and equipment previous year prices</t>
  </si>
  <si>
    <t xml:space="preserve">Ipyp_OCon</t>
  </si>
  <si>
    <t xml:space="preserve">Total non-residential investment previous year prices</t>
  </si>
  <si>
    <t xml:space="preserve">Ipyp_Rstruc</t>
  </si>
  <si>
    <t xml:space="preserve">Residential structures previous year prices</t>
  </si>
  <si>
    <t xml:space="preserve">Ipyp_Cult</t>
  </si>
  <si>
    <t xml:space="preserve">Cultivated assets previous year prices</t>
  </si>
  <si>
    <t xml:space="preserve">Ipyp_RD</t>
  </si>
  <si>
    <t xml:space="preserve">Research and development previous year prices</t>
  </si>
  <si>
    <t xml:space="preserve">Ipyp_OIPP</t>
  </si>
  <si>
    <t xml:space="preserve">Other IPP assets previous year prices</t>
  </si>
  <si>
    <t xml:space="preserve">Ipyp_GFCF</t>
  </si>
  <si>
    <t xml:space="preserve">All assets previous year prices</t>
  </si>
  <si>
    <t xml:space="preserve">GFCF, chained linked volumes (2020), millions of national currency</t>
  </si>
  <si>
    <t xml:space="preserve">Iq_IT</t>
  </si>
  <si>
    <t xml:space="preserve">Computing equipment, chained linked volumes (2020)</t>
  </si>
  <si>
    <t xml:space="preserve">Iq_CT</t>
  </si>
  <si>
    <t xml:space="preserve">Communications equipment, chained linked volumes (2020)</t>
  </si>
  <si>
    <t xml:space="preserve">Iq_Soft_DB</t>
  </si>
  <si>
    <t xml:space="preserve">Computer software and databases, chained linked volumes (2020)</t>
  </si>
  <si>
    <t xml:space="preserve">Iq_TraEq</t>
  </si>
  <si>
    <t xml:space="preserve">Transport equipment, chained linked volumes (2020)</t>
  </si>
  <si>
    <t xml:space="preserve">Iq_OMach</t>
  </si>
  <si>
    <t xml:space="preserve">Other Machinery and Equipment, chained linked volumes (2020)</t>
  </si>
  <si>
    <t xml:space="preserve">Iq_OCon</t>
  </si>
  <si>
    <t xml:space="preserve">Total non-residential investment, chained linked volumes (2020)</t>
  </si>
  <si>
    <t xml:space="preserve">Iq_Rstruc</t>
  </si>
  <si>
    <t xml:space="preserve">Residential structures, chained linked volumes (2020)</t>
  </si>
  <si>
    <t xml:space="preserve">Iq_Cult</t>
  </si>
  <si>
    <t xml:space="preserve">Cultivated assets, chained linked volumes (2020)</t>
  </si>
  <si>
    <t xml:space="preserve">Iq_RD</t>
  </si>
  <si>
    <t xml:space="preserve">Research and development, chained linked volumes (2020)</t>
  </si>
  <si>
    <t xml:space="preserve">Iq_OIPP</t>
  </si>
  <si>
    <t xml:space="preserve">Other IPP assets, chained linked volumes (2020)</t>
  </si>
  <si>
    <t xml:space="preserve">Iq_GFCF</t>
  </si>
  <si>
    <t xml:space="preserve">All assets, chained linked volumes (2020)</t>
  </si>
  <si>
    <t xml:space="preserve">GFCF, price indexes (2020)</t>
  </si>
  <si>
    <t xml:space="preserve">Ip_IT</t>
  </si>
  <si>
    <t xml:space="preserve">Computing equipment price index (2020)</t>
  </si>
  <si>
    <t xml:space="preserve">Ip_CT</t>
  </si>
  <si>
    <t xml:space="preserve">Communications equipment price index (2020)</t>
  </si>
  <si>
    <t xml:space="preserve">Ip_Soft_DB</t>
  </si>
  <si>
    <t xml:space="preserve">Computer software and databases price index (2020)</t>
  </si>
  <si>
    <t xml:space="preserve">Ip_TraEq</t>
  </si>
  <si>
    <t xml:space="preserve">Transport equipment price index (2020)</t>
  </si>
  <si>
    <t xml:space="preserve">Ip_OMach</t>
  </si>
  <si>
    <t xml:space="preserve">Other machinery and equipment price index (2020)</t>
  </si>
  <si>
    <t xml:space="preserve">Ip_OCon</t>
  </si>
  <si>
    <t xml:space="preserve">Total non-residential investment price index (2020)</t>
  </si>
  <si>
    <t xml:space="preserve">Ip_Rstruc</t>
  </si>
  <si>
    <t xml:space="preserve">Residential structures price index (2020)</t>
  </si>
  <si>
    <t xml:space="preserve">Ip_Cult</t>
  </si>
  <si>
    <t xml:space="preserve">Cultivated assets price index (2020)</t>
  </si>
  <si>
    <t xml:space="preserve">Ip_RD</t>
  </si>
  <si>
    <t xml:space="preserve">Research and development price index (2020)</t>
  </si>
  <si>
    <t xml:space="preserve">Ip_OIPP</t>
  </si>
  <si>
    <t xml:space="preserve">Other IPP assets price index (2020)</t>
  </si>
  <si>
    <t xml:space="preserve">Ip_GFCF</t>
  </si>
  <si>
    <t xml:space="preserve">All assets price index (2020)</t>
  </si>
  <si>
    <t xml:space="preserve">Capital stock net, current replacement stock, millions of national currency</t>
  </si>
  <si>
    <t xml:space="preserve">K_IT</t>
  </si>
  <si>
    <t xml:space="preserve">Computing equipment capital stock</t>
  </si>
  <si>
    <t xml:space="preserve">K_CT</t>
  </si>
  <si>
    <t xml:space="preserve">Communications equipment capital stock</t>
  </si>
  <si>
    <t xml:space="preserve">K_Soft_DB</t>
  </si>
  <si>
    <t xml:space="preserve">Computer software and databases capital stock</t>
  </si>
  <si>
    <t xml:space="preserve">K_TraEq</t>
  </si>
  <si>
    <t xml:space="preserve">Transport equipment capital stock</t>
  </si>
  <si>
    <t xml:space="preserve">K_OMach</t>
  </si>
  <si>
    <t xml:space="preserve">Other machinery and equipment capital stock</t>
  </si>
  <si>
    <t xml:space="preserve">K_OCon</t>
  </si>
  <si>
    <t xml:space="preserve">Total non-residential investment capital stock</t>
  </si>
  <si>
    <t xml:space="preserve">K_Rstruc</t>
  </si>
  <si>
    <t xml:space="preserve">Residential structures capital stock</t>
  </si>
  <si>
    <t xml:space="preserve">K_Cult</t>
  </si>
  <si>
    <t xml:space="preserve">Cultivated assets capital stock</t>
  </si>
  <si>
    <t xml:space="preserve">K_RD</t>
  </si>
  <si>
    <t xml:space="preserve">Research and development capital stock</t>
  </si>
  <si>
    <t xml:space="preserve">K_OIPP</t>
  </si>
  <si>
    <t xml:space="preserve">Other IPP assets capital stock</t>
  </si>
  <si>
    <t xml:space="preserve">K_GFCF</t>
  </si>
  <si>
    <t xml:space="preserve">All assets capital stock</t>
  </si>
  <si>
    <t xml:space="preserve">Capital stock net, previous year replacement stock, millions of national currency</t>
  </si>
  <si>
    <t xml:space="preserve">Kpyp_IT</t>
  </si>
  <si>
    <t xml:space="preserve">Computing equipment capital stock prev. year replac. cost</t>
  </si>
  <si>
    <t xml:space="preserve">Kpyp_CT</t>
  </si>
  <si>
    <t xml:space="preserve">Communications equipment capital stock prev. year replac. cost</t>
  </si>
  <si>
    <t xml:space="preserve">Kpyp_Soft_DB</t>
  </si>
  <si>
    <t xml:space="preserve">Computer software and databases capital stock prev. year replac. cost</t>
  </si>
  <si>
    <t xml:space="preserve">Kpyp_TraEq</t>
  </si>
  <si>
    <t xml:space="preserve">Transport equipment capital stock prev. year replac. cost</t>
  </si>
  <si>
    <t xml:space="preserve">Kpyp_OMach</t>
  </si>
  <si>
    <t xml:space="preserve">Other machinery and equipment capital stock prev. year replac. cost</t>
  </si>
  <si>
    <t xml:space="preserve">Kpyp_OCon</t>
  </si>
  <si>
    <t xml:space="preserve">Total non-residential investment capital stock prev. year replac. cost</t>
  </si>
  <si>
    <t xml:space="preserve">Kpyp_Rstruc</t>
  </si>
  <si>
    <t xml:space="preserve">Residential structures capital stock prev. year replac. cost</t>
  </si>
  <si>
    <t xml:space="preserve">Kpyp_Cult</t>
  </si>
  <si>
    <t xml:space="preserve">Cultivated assets capital stock prev. year replac. cost</t>
  </si>
  <si>
    <t xml:space="preserve">Kpyp_RD</t>
  </si>
  <si>
    <t xml:space="preserve">Research and development capital stock prev. year replac. cost</t>
  </si>
  <si>
    <t xml:space="preserve">Kpyp_OIPP</t>
  </si>
  <si>
    <t xml:space="preserve">Other IPP assets capital stock prev. year replac. cost</t>
  </si>
  <si>
    <t xml:space="preserve">Kpyp_GFCF</t>
  </si>
  <si>
    <t xml:space="preserve">All assets capital stock prev. year replac. cost</t>
  </si>
  <si>
    <t xml:space="preserve">Capital stock net, chained linked volumes (2020), millions of national currency</t>
  </si>
  <si>
    <t xml:space="preserve">Kq_IT</t>
  </si>
  <si>
    <t xml:space="preserve">Kq_CT</t>
  </si>
  <si>
    <t xml:space="preserve">Kq_Soft_DB</t>
  </si>
  <si>
    <t xml:space="preserve">Kq_TraEq</t>
  </si>
  <si>
    <t xml:space="preserve">Kq_OMach</t>
  </si>
  <si>
    <t xml:space="preserve">Kq_OCon</t>
  </si>
  <si>
    <t xml:space="preserve">Kq_Rstruc</t>
  </si>
  <si>
    <t xml:space="preserve">Kq_Cult</t>
  </si>
  <si>
    <t xml:space="preserve">Kq_RD</t>
  </si>
  <si>
    <t xml:space="preserve">Kq_OIPP</t>
  </si>
  <si>
    <t xml:space="preserve">Kq_GFCF</t>
  </si>
  <si>
    <t xml:space="preserve">Capital Accounts</t>
  </si>
  <si>
    <t xml:space="preserve">Source: Euklems &amp; INTANProd database, 2024 release</t>
  </si>
  <si>
    <t xml:space="preserve">When using this database please quote: Bontadini F., Corrado C., Haskel J., Iommi M., Jona-Lasinio C. (2023), EUKLEMS &amp; INTANProd: industry productivity accounts with intangibles - Sources of growth and productivity trends: methods and main measurement challenges</t>
  </si>
  <si>
    <t xml:space="preserve"/>
  </si>
  <si>
    <t xml:space="preserve">Notes</t>
  </si>
  <si>
    <t xml:space="preserve">Numbers displayed are in accordance with the industry classification (NACE Rev. 2/ISIC Rev. 4) and the European System of Capital Accounts (ESA 2010).</t>
  </si>
  <si>
    <t xml:space="preserve">Extracted from Eurostat:		08/04/2024</t>
  </si>
  <si>
    <t xml:space="preserve">For more information and updates, see: https://euklems-intanprod-llee.luiss.it/</t>
  </si>
  <si>
    <t xml:space="preserve">Acknowledgements and disclaimer</t>
  </si>
  <si>
    <t xml:space="preserve">This update of the EUKLEMS &amp; INTANProd database 2024 has been funded by the WIPO:</t>
  </si>
  <si>
    <t xml:space="preserve">Procurement procedure ECFIN/2020/OP/0001 – Provision of Industry level growth and productivity data with special focus on intangible assets – 2020/S 114-275561</t>
  </si>
  <si>
    <t xml:space="preserve">Any errors or omissions are entirely the responsibility of the Luiss Lab of European Economics - LLEE</t>
  </si>
  <si>
    <t xml:space="preserve">For comments and suggestions please send an email to euklems-intanprod@luiss.it</t>
  </si>
  <si>
    <t xml:space="preserve">var</t>
  </si>
  <si>
    <t xml:space="preserve">nace_r2_code</t>
  </si>
  <si>
    <t xml:space="preserve">geo_code</t>
  </si>
  <si>
    <t xml:space="preserve">nace_r2_name</t>
  </si>
  <si>
    <t xml:space="preserve">geo_name</t>
  </si>
  <si>
    <t xml:space="preserve">1995</t>
  </si>
  <si>
    <t xml:space="preserve">1996</t>
  </si>
  <si>
    <t xml:space="preserve">1997</t>
  </si>
  <si>
    <t xml:space="preserve">1998</t>
  </si>
  <si>
    <t xml:space="preserve">1999</t>
  </si>
  <si>
    <t xml:space="preserve">2000</t>
  </si>
  <si>
    <t xml:space="preserve">2001</t>
  </si>
  <si>
    <t xml:space="preserve">2002</t>
  </si>
  <si>
    <t xml:space="preserve">2003</t>
  </si>
  <si>
    <t xml:space="preserve">2004</t>
  </si>
  <si>
    <t xml:space="preserve">2005</t>
  </si>
  <si>
    <t xml:space="preserve">2006</t>
  </si>
  <si>
    <t xml:space="preserve">2007</t>
  </si>
  <si>
    <t xml:space="preserve">2008</t>
  </si>
  <si>
    <t xml:space="preserve">2009</t>
  </si>
  <si>
    <t xml:space="preserve">2010</t>
  </si>
  <si>
    <t xml:space="preserve">2011</t>
  </si>
  <si>
    <t xml:space="preserve">2012</t>
  </si>
  <si>
    <t xml:space="preserve">2013</t>
  </si>
  <si>
    <t xml:space="preserve">2014</t>
  </si>
  <si>
    <t xml:space="preserve">2015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</si>
  <si>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</si>
  <si>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</si>
  <si>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</si>
  <si>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</si>
  <si>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</si>
  <si>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</si>
  <si>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A</t>
  </si>
  <si>
    <t xml:space="preserve">AT</t>
  </si>
  <si>
    <t xml:space="preserve">Agriculture, forestry and fishing</t>
  </si>
  <si>
    <t xml:space="preserve">Austria</t>
  </si>
  <si>
    <t xml:space="preserve">BE</t>
  </si>
  <si>
    <t xml:space="preserve">Belgium</t>
  </si>
  <si>
    <t xml:space="preserve">BG</t>
  </si>
  <si>
    <t xml:space="preserve">Bulgaria</t>
  </si>
  <si>
    <t xml:space="preserve">CY</t>
  </si>
  <si>
    <t xml:space="preserve">Cyprus</t>
  </si>
  <si>
    <t xml:space="preserve">CZ</t>
  </si>
  <si>
    <t xml:space="preserve">Czechia</t>
  </si>
  <si>
    <t xml:space="preserve">DE</t>
  </si>
  <si>
    <t xml:space="preserve">Germany</t>
  </si>
  <si>
    <t xml:space="preserve">DK</t>
  </si>
  <si>
    <t xml:space="preserve">Denmark</t>
  </si>
  <si>
    <t xml:space="preserve">EA19</t>
  </si>
  <si>
    <t xml:space="preserve">Euro area - 19 countries  (from 2020)</t>
  </si>
  <si>
    <t xml:space="preserve">EE</t>
  </si>
  <si>
    <t xml:space="preserve">Estonia</t>
  </si>
  <si>
    <t xml:space="preserve">EL</t>
  </si>
  <si>
    <t xml:space="preserve">Greece</t>
  </si>
  <si>
    <t xml:space="preserve">ES</t>
  </si>
  <si>
    <t xml:space="preserve">Spain</t>
  </si>
  <si>
    <t xml:space="preserve">EU11</t>
  </si>
  <si>
    <t xml:space="preserve">EU12 without UK</t>
  </si>
  <si>
    <t xml:space="preserve">EU12</t>
  </si>
  <si>
    <t xml:space="preserve">AT, BE, CZ, DE, DK, ES, FI, FR, IT, NL, SE and UK</t>
  </si>
  <si>
    <t xml:space="preserve">EU15</t>
  </si>
  <si>
    <t xml:space="preserve">European Union - 15 countries (1995-2004)</t>
  </si>
  <si>
    <t xml:space="preserve">EU19</t>
  </si>
  <si>
    <t xml:space="preserve">EU20 without the UK</t>
  </si>
  <si>
    <t xml:space="preserve">EU20</t>
  </si>
  <si>
    <t xml:space="preserve">AT, BE, CZ, DE, DK, EE, ES, FI, FR, HU, IT, LT, LU, LV, NL, RO, SE, SI, SK and UK</t>
  </si>
  <si>
    <t xml:space="preserve">EU27</t>
  </si>
  <si>
    <t xml:space="preserve">European Union - 27 countries (from 2020)</t>
  </si>
  <si>
    <t xml:space="preserve">EU27_2020</t>
  </si>
  <si>
    <t xml:space="preserve">EU28</t>
  </si>
  <si>
    <t xml:space="preserve">European Union - 28 countries (2013-2020)</t>
  </si>
  <si>
    <t xml:space="preserve">FI</t>
  </si>
  <si>
    <t xml:space="preserve">Finland</t>
  </si>
  <si>
    <t xml:space="preserve">FR</t>
  </si>
  <si>
    <t xml:space="preserve">France</t>
  </si>
  <si>
    <t xml:space="preserve">HR</t>
  </si>
  <si>
    <t xml:space="preserve">Croatia</t>
  </si>
  <si>
    <t xml:space="preserve">HU</t>
  </si>
  <si>
    <t xml:space="preserve">Hungary</t>
  </si>
  <si>
    <t xml:space="preserve">IE</t>
  </si>
  <si>
    <t xml:space="preserve">Ireland</t>
  </si>
  <si>
    <t xml:space="preserve">IT</t>
  </si>
  <si>
    <t xml:space="preserve">Italy</t>
  </si>
  <si>
    <t xml:space="preserve">JP</t>
  </si>
  <si>
    <t xml:space="preserve">Japan</t>
  </si>
  <si>
    <t xml:space="preserve">LT</t>
  </si>
  <si>
    <t xml:space="preserve">Lithuania</t>
  </si>
  <si>
    <t xml:space="preserve">LU</t>
  </si>
  <si>
    <t xml:space="preserve">Luxembourg</t>
  </si>
  <si>
    <t xml:space="preserve">LV</t>
  </si>
  <si>
    <t xml:space="preserve">Latvia</t>
  </si>
  <si>
    <t xml:space="preserve">MT</t>
  </si>
  <si>
    <t xml:space="preserve">Malta</t>
  </si>
  <si>
    <t xml:space="preserve">NL</t>
  </si>
  <si>
    <t xml:space="preserve">Netherlands</t>
  </si>
  <si>
    <t xml:space="preserve">PL</t>
  </si>
  <si>
    <t xml:space="preserve">Poland</t>
  </si>
  <si>
    <t xml:space="preserve">PT</t>
  </si>
  <si>
    <t xml:space="preserve">Portugal</t>
  </si>
  <si>
    <t xml:space="preserve">RO</t>
  </si>
  <si>
    <t xml:space="preserve">Romania</t>
  </si>
  <si>
    <t xml:space="preserve">SE</t>
  </si>
  <si>
    <t xml:space="preserve">Sweden</t>
  </si>
  <si>
    <t xml:space="preserve">SI</t>
  </si>
  <si>
    <t xml:space="preserve">Slovenia</t>
  </si>
  <si>
    <t xml:space="preserve">SK</t>
  </si>
  <si>
    <t xml:space="preserve">Slovakia</t>
  </si>
  <si>
    <t xml:space="preserve">UK</t>
  </si>
  <si>
    <t xml:space="preserve">United Kingdom</t>
  </si>
  <si>
    <t xml:space="preserve">US</t>
  </si>
  <si>
    <t xml:space="preserve">United States</t>
  </si>
  <si>
    <t xml:space="preserve">B</t>
  </si>
  <si>
    <t xml:space="preserve">Mining and quarrying</t>
  </si>
  <si>
    <t xml:space="preserve">C</t>
  </si>
  <si>
    <t xml:space="preserve">Manufacturing</t>
  </si>
  <si>
    <t xml:space="preserve">C10-C12</t>
  </si>
  <si>
    <t xml:space="preserve">Manufacture of food products; beverages and tobacco products</t>
  </si>
  <si>
    <t xml:space="preserve">C13-C15</t>
  </si>
  <si>
    <t xml:space="preserve">Manufacture of textiles, wearing apparel, leather and related products</t>
  </si>
  <si>
    <t xml:space="preserve">C16-C18</t>
  </si>
  <si>
    <t xml:space="preserve">Manufacture of wood, paper, printing and reproduction</t>
  </si>
  <si>
    <t xml:space="preserve">C19</t>
  </si>
  <si>
    <t xml:space="preserve">Manufacture of coke and refined petroleum products</t>
  </si>
  <si>
    <t xml:space="preserve">C20</t>
  </si>
  <si>
    <t xml:space="preserve">Manufacture of chemicals and chemical products</t>
  </si>
  <si>
    <t xml:space="preserve">C20-C21</t>
  </si>
  <si>
    <t xml:space="preserve">Chemicals; basic pharmaceutical products</t>
  </si>
  <si>
    <t xml:space="preserve">C21</t>
  </si>
  <si>
    <t xml:space="preserve">Manufacture of basic pharmaceutical products and pharmaceutical preparations</t>
  </si>
  <si>
    <t xml:space="preserve">C22-C23</t>
  </si>
  <si>
    <t xml:space="preserve">Manufacture of rubber and plastic products and other non-metallic mineral products</t>
  </si>
  <si>
    <t xml:space="preserve">C24-C25</t>
  </si>
  <si>
    <t xml:space="preserve">Manufacture of basic metals and fabricated metal products, except machinery and equipment</t>
  </si>
  <si>
    <t xml:space="preserve">C26</t>
  </si>
  <si>
    <t xml:space="preserve">Manufacture of computer, electronic and optical products</t>
  </si>
  <si>
    <t xml:space="preserve">C26-C27</t>
  </si>
  <si>
    <t xml:space="preserve">Computer, electronic, optical products; electrical equipment</t>
  </si>
  <si>
    <t xml:space="preserve">C27</t>
  </si>
  <si>
    <t xml:space="preserve">Manufacture of electrical equipment</t>
  </si>
  <si>
    <t xml:space="preserve">C28</t>
  </si>
  <si>
    <t xml:space="preserve">Manufacture of machinery and equipment n.e.c.</t>
  </si>
  <si>
    <t xml:space="preserve">C29-C30</t>
  </si>
  <si>
    <t xml:space="preserve">Manufacture of motor vehicles, trailers, semi-trailers and of other transport equipment</t>
  </si>
  <si>
    <t xml:space="preserve">C31-C33</t>
  </si>
  <si>
    <t xml:space="preserve">Manufacture of furniture; jewellery, musical instruments, toys; repair and installation of machinery and equipment</t>
  </si>
  <si>
    <t xml:space="preserve">D</t>
  </si>
  <si>
    <t xml:space="preserve">Electricity, gas, steam and air conditioning supply</t>
  </si>
  <si>
    <t xml:space="preserve">D-E</t>
  </si>
  <si>
    <t xml:space="preserve">Electricity, gas, steam; water supply, sewerage, waste management</t>
  </si>
  <si>
    <t xml:space="preserve">E</t>
  </si>
  <si>
    <t xml:space="preserve">Water supply; sewerage, waste management and remediation activities</t>
  </si>
  <si>
    <t xml:space="preserve">F</t>
  </si>
  <si>
    <t xml:space="preserve">Construction</t>
  </si>
  <si>
    <t xml:space="preserve">G</t>
  </si>
  <si>
    <t xml:space="preserve">Wholesale and retail trade; repair of motor vehicles and motorcycles</t>
  </si>
  <si>
    <t xml:space="preserve">G45</t>
  </si>
  <si>
    <t xml:space="preserve">Wholesale and retail trade and repair of motor vehicles and motorcycles</t>
  </si>
  <si>
    <t xml:space="preserve">G46</t>
  </si>
  <si>
    <t xml:space="preserve">Wholesale trade, except of motor vehicles and motorcycles</t>
  </si>
  <si>
    <t xml:space="preserve">G47</t>
  </si>
  <si>
    <t xml:space="preserve">Retail trade, except of motor vehicles and motorcycles</t>
  </si>
  <si>
    <t xml:space="preserve">H</t>
  </si>
  <si>
    <t xml:space="preserve">Transportation and storage</t>
  </si>
  <si>
    <t xml:space="preserve">H49</t>
  </si>
  <si>
    <t xml:space="preserve">Land transport and transport via pipelines</t>
  </si>
  <si>
    <t xml:space="preserve">H50</t>
  </si>
  <si>
    <t xml:space="preserve">Water transport</t>
  </si>
  <si>
    <t xml:space="preserve">H51</t>
  </si>
  <si>
    <t xml:space="preserve">Air transport</t>
  </si>
  <si>
    <t xml:space="preserve">H52</t>
  </si>
  <si>
    <t xml:space="preserve">Warehousing and support activities for transportation</t>
  </si>
  <si>
    <t xml:space="preserve">H53</t>
  </si>
  <si>
    <t xml:space="preserve">Postal and courier activities</t>
  </si>
  <si>
    <t xml:space="preserve">I</t>
  </si>
  <si>
    <t xml:space="preserve">Accommodation and food service activities</t>
  </si>
  <si>
    <t xml:space="preserve">J</t>
  </si>
  <si>
    <t xml:space="preserve">Information and communication</t>
  </si>
  <si>
    <t xml:space="preserve">J58-J60</t>
  </si>
  <si>
    <t xml:space="preserve">Publishing, motion picture, video, television programme production; sound recording, programming and broadcasting activities</t>
  </si>
  <si>
    <t xml:space="preserve">J61</t>
  </si>
  <si>
    <t xml:space="preserve">Telecommunications</t>
  </si>
  <si>
    <t xml:space="preserve">J62-J63</t>
  </si>
  <si>
    <t xml:space="preserve">Computer programming, consultancy, and information service activities</t>
  </si>
  <si>
    <t xml:space="preserve">K</t>
  </si>
  <si>
    <t xml:space="preserve">Financial and insurance activities</t>
  </si>
  <si>
    <t xml:space="preserve">L</t>
  </si>
  <si>
    <t xml:space="preserve">Real estate activities</t>
  </si>
  <si>
    <t xml:space="preserve">L68A</t>
  </si>
  <si>
    <t xml:space="preserve">Imputed rents of owner-occupied dwellings</t>
  </si>
  <si>
    <t xml:space="preserve">M</t>
  </si>
  <si>
    <t xml:space="preserve">Professional, scientific and technical activities</t>
  </si>
  <si>
    <t xml:space="preserve">M-N</t>
  </si>
  <si>
    <t xml:space="preserve">Professional, scientific and technical activities; administrative and support service activities</t>
  </si>
  <si>
    <t xml:space="preserve">MARKT</t>
  </si>
  <si>
    <t xml:space="preserve">Market economy (all industries excluding L, O, P, Q, T and U)</t>
  </si>
  <si>
    <t xml:space="preserve">MARKTxAG</t>
  </si>
  <si>
    <t xml:space="preserve">Non-agricultural market economy (Market economy less industry A)</t>
  </si>
  <si>
    <t xml:space="preserve">N</t>
  </si>
  <si>
    <t xml:space="preserve">Administrative and support service activities</t>
  </si>
  <si>
    <t xml:space="preserve">O</t>
  </si>
  <si>
    <t xml:space="preserve">Public administration and defence; compulsory social security</t>
  </si>
  <si>
    <t xml:space="preserve">O-Q</t>
  </si>
  <si>
    <t xml:space="preserve">Public administration, defence, education, human health and social work activities</t>
  </si>
  <si>
    <t xml:space="preserve">P</t>
  </si>
  <si>
    <t xml:space="preserve">Education</t>
  </si>
  <si>
    <t xml:space="preserve">Q</t>
  </si>
  <si>
    <t xml:space="preserve">Human health and social work activities</t>
  </si>
  <si>
    <t xml:space="preserve">Q86</t>
  </si>
  <si>
    <t xml:space="preserve">Human health activities</t>
  </si>
  <si>
    <t xml:space="preserve">Q87-Q88</t>
  </si>
  <si>
    <t xml:space="preserve">Residential care activities and social work activities without accommodation</t>
  </si>
  <si>
    <t xml:space="preserve">R</t>
  </si>
  <si>
    <t xml:space="preserve">Arts, entertainment and recreation</t>
  </si>
  <si>
    <t xml:space="preserve">R-S</t>
  </si>
  <si>
    <t xml:space="preserve">Arts, entertainment, recreation; other services and service activities, etc.</t>
  </si>
  <si>
    <t xml:space="preserve">S</t>
  </si>
  <si>
    <t xml:space="preserve">Other service activities</t>
  </si>
  <si>
    <t xml:space="preserve">T</t>
  </si>
  <si>
    <t xml:space="preserve">Activities of households as employers; undifferentiated goods- and services-producing activities of households for own use</t>
  </si>
  <si>
    <t xml:space="preserve">TOT</t>
  </si>
  <si>
    <t xml:space="preserve">Total - all NACE activities</t>
  </si>
  <si>
    <t xml:space="preserve">TOT_IND</t>
  </si>
  <si>
    <t xml:space="preserve">Total industries (A-S)</t>
  </si>
  <si>
    <t xml:space="preserve">U</t>
  </si>
  <si>
    <t xml:space="preserve">Activities of extraterritorial organisations and bodies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</si>
</sst>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rgb="FF000000"/>
      <name val="Calibri"/>
      <family val="2"/>
      <scheme val="minor"/>
    </font>
    <font>
      <sz val="14"/>
      <color rgb="FFFFFFFF"/>
      <name val="Calibri"/>
      <b/>
    </font>
    <font>
      <sz val="14"/>
      <color rgb="FF000000"/>
      <name val="Calibri"/>
      <b/>
    </font>
    <font>
      <sz val="8"/>
      <color rgb="FF000000"/>
      <name val="Calibri"/>
    </font>
    <font>
      <sz val="11"/>
      <color theme="10"/>
      <name val="Calibri"/>
      <u val="single"/>
    </font>
  </fonts>
  <fills count="4">
    <fill>
      <patternFill patternType="none"/>
    </fill>
    <fill>
      <patternFill patternType="gray125"/>
    </fill>
    <fill>
      <patternFill patternType="solid">
        <fgColor rgb="FF093170"/>
      </patternFill>
    </fill>
    <fill>
      <patternFill patternType="solid">
        <fgColor rgb="FFD8DE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theme" Target="theme/theme1.xml"/><Relationship Id="rId80" Type="http://schemas.openxmlformats.org/officeDocument/2006/relationships/styles" Target="styles.xml"/><Relationship Id="rId8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vml" Type="http://schemas.openxmlformats.org/officeDocument/2006/relationships/vmlDrawing" Target="../drawings/vmlDrawing59.v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vml" Type="http://schemas.openxmlformats.org/officeDocument/2006/relationships/vmlDrawing" Target="../drawings/vmlDrawing60.vml"/></Relationships>
</file>

<file path=xl/worksheets/_rels/sheet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1.xml"/><Relationship Id="rId2" Type="http://schemas.openxmlformats.org/officeDocument/2006/relationships/printerSettings" Target="../printerSettings/printerSettings61.bin"/><Relationship Id="rIdvml" Type="http://schemas.openxmlformats.org/officeDocument/2006/relationships/vmlDrawing" Target="../drawings/vmlDrawing61.vml"/></Relationships>
</file>

<file path=xl/worksheets/_rels/sheet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2.xml"/><Relationship Id="rId2" Type="http://schemas.openxmlformats.org/officeDocument/2006/relationships/printerSettings" Target="../printerSettings/printerSettings62.bin"/><Relationship Id="rIdvml" Type="http://schemas.openxmlformats.org/officeDocument/2006/relationships/vmlDrawing" Target="../drawings/vmlDrawing62.vml"/></Relationships>
</file>

<file path=xl/worksheets/_rels/sheet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3.xml"/><Relationship Id="rId2" Type="http://schemas.openxmlformats.org/officeDocument/2006/relationships/printerSettings" Target="../printerSettings/printerSettings63.bin"/><Relationship Id="rIdvml" Type="http://schemas.openxmlformats.org/officeDocument/2006/relationships/vmlDrawing" Target="../drawings/vmlDrawing63.vml"/></Relationships>
</file>

<file path=xl/worksheets/_rels/sheet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4.xml"/><Relationship Id="rId2" Type="http://schemas.openxmlformats.org/officeDocument/2006/relationships/printerSettings" Target="../printerSettings/printerSettings64.bin"/><Relationship Id="rIdvml" Type="http://schemas.openxmlformats.org/officeDocument/2006/relationships/vmlDrawing" Target="../drawings/vmlDrawing64.vml"/></Relationships>
</file>

<file path=xl/worksheets/_rels/sheet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5.xml"/><Relationship Id="rId2" Type="http://schemas.openxmlformats.org/officeDocument/2006/relationships/printerSettings" Target="../printerSettings/printerSettings65.bin"/><Relationship Id="rIdvml" Type="http://schemas.openxmlformats.org/officeDocument/2006/relationships/vmlDrawing" Target="../drawings/vmlDrawing65.vml"/></Relationships>
</file>

<file path=xl/worksheets/_rels/sheet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6.xml"/><Relationship Id="rId2" Type="http://schemas.openxmlformats.org/officeDocument/2006/relationships/printerSettings" Target="../printerSettings/printerSettings66.bin"/><Relationship Id="rIdvml" Type="http://schemas.openxmlformats.org/officeDocument/2006/relationships/vmlDrawing" Target="../drawings/vmlDrawing66.vml"/></Relationships>
</file>

<file path=xl/worksheets/_rels/sheet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7.xml"/><Relationship Id="rId2" Type="http://schemas.openxmlformats.org/officeDocument/2006/relationships/printerSettings" Target="../printerSettings/printerSettings67.bin"/><Relationship Id="rIdvml" Type="http://schemas.openxmlformats.org/officeDocument/2006/relationships/vmlDrawing" Target="../drawings/vmlDrawing67.vml"/></Relationships>
</file>

<file path=xl/worksheets/_rels/sheet6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8.xml"/><Relationship Id="rId2" Type="http://schemas.openxmlformats.org/officeDocument/2006/relationships/printerSettings" Target="../printerSettings/printerSettings68.bin"/><Relationship Id="rIdvml" Type="http://schemas.openxmlformats.org/officeDocument/2006/relationships/vmlDrawing" Target="../drawings/vmlDrawing68.vml"/></Relationships>
</file>

<file path=xl/worksheets/_rels/sheet6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9.xml"/><Relationship Id="rId2" Type="http://schemas.openxmlformats.org/officeDocument/2006/relationships/printerSettings" Target="../printerSettings/printerSettings69.bin"/><Relationship Id="rIdvml" Type="http://schemas.openxmlformats.org/officeDocument/2006/relationships/vmlDrawing" Target="../drawings/vmlDrawing69.vml"/></Relationships>
</file>

<file path=xl/worksheets/_rels/sheet7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0.xml"/><Relationship Id="rId2" Type="http://schemas.openxmlformats.org/officeDocument/2006/relationships/printerSettings" Target="../printerSettings/printerSettings70.bin"/><Relationship Id="rIdvml" Type="http://schemas.openxmlformats.org/officeDocument/2006/relationships/vmlDrawing" Target="../drawings/vmlDrawing70.vml"/></Relationships>
</file>

<file path=xl/worksheets/_rels/sheet7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1.xml"/><Relationship Id="rId2" Type="http://schemas.openxmlformats.org/officeDocument/2006/relationships/printerSettings" Target="../printerSettings/printerSettings71.bin"/><Relationship Id="rIdvml" Type="http://schemas.openxmlformats.org/officeDocument/2006/relationships/vmlDrawing" Target="../drawings/vmlDrawing71.vml"/></Relationships>
</file>

<file path=xl/worksheets/_rels/sheet7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2.xml"/><Relationship Id="rId2" Type="http://schemas.openxmlformats.org/officeDocument/2006/relationships/printerSettings" Target="../printerSettings/printerSettings72.bin"/><Relationship Id="rIdvml" Type="http://schemas.openxmlformats.org/officeDocument/2006/relationships/vmlDrawing" Target="../drawings/vmlDrawing72.vml"/></Relationships>
</file>

<file path=xl/worksheets/_rels/sheet7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3.xml"/><Relationship Id="rId2" Type="http://schemas.openxmlformats.org/officeDocument/2006/relationships/printerSettings" Target="../printerSettings/printerSettings73.bin"/><Relationship Id="rIdvml" Type="http://schemas.openxmlformats.org/officeDocument/2006/relationships/vmlDrawing" Target="../drawings/vmlDrawing73.vml"/></Relationships>
</file>

<file path=xl/worksheets/_rels/sheet7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4.xml"/><Relationship Id="rId2" Type="http://schemas.openxmlformats.org/officeDocument/2006/relationships/printerSettings" Target="../printerSettings/printerSettings74.bin"/><Relationship Id="rIdvml" Type="http://schemas.openxmlformats.org/officeDocument/2006/relationships/vmlDrawing" Target="../drawings/vmlDrawing74.vml"/></Relationships>
</file>

<file path=xl/worksheets/_rels/sheet7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5.xml"/><Relationship Id="rId2" Type="http://schemas.openxmlformats.org/officeDocument/2006/relationships/printerSettings" Target="../printerSettings/printerSettings75.bin"/><Relationship Id="rIdvml" Type="http://schemas.openxmlformats.org/officeDocument/2006/relationships/vmlDrawing" Target="../drawings/vmlDrawing75.vml"/></Relationships>
</file>

<file path=xl/worksheets/_rels/sheet7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6.xml"/><Relationship Id="rId2" Type="http://schemas.openxmlformats.org/officeDocument/2006/relationships/printerSettings" Target="../printerSettings/printerSettings76.bin"/><Relationship Id="rIdvml" Type="http://schemas.openxmlformats.org/officeDocument/2006/relationships/vmlDrawing" Target="../drawings/vmlDrawing76.vml"/></Relationships>
</file>

<file path=xl/worksheets/_rels/sheet7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7.xml"/><Relationship Id="rId2" Type="http://schemas.openxmlformats.org/officeDocument/2006/relationships/printerSettings" Target="../printerSettings/printerSettings77.bin"/><Relationship Id="rIdvml" Type="http://schemas.openxmlformats.org/officeDocument/2006/relationships/vmlDrawing" Target="../drawings/vmlDrawing77.vml"/></Relationships>
</file>

<file path=xl/worksheets/_rels/sheet7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8.xml"/><Relationship Id="rId2" Type="http://schemas.openxmlformats.org/officeDocument/2006/relationships/printerSettings" Target="../printerSettings/printerSettings78.bin"/><Relationship Id="rIdvml" Type="http://schemas.openxmlformats.org/officeDocument/2006/relationships/vmlDrawing" Target="../drawings/vmlDrawing7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217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>
      <c r="A2" s="1" t="s">
        <v>152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>
      <c r="A3" t="s">
        <v>153</v>
      </c>
    </row>
    <row r="4">
      <c r="A4" s="2" t="s">
        <v>154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>
      <c r="A5" t="s">
        <v>155</v>
      </c>
    </row>
    <row r="6">
      <c r="A6" s="1" t="s">
        <v>0</v>
      </c>
      <c r="B6" s="1" t="s">
        <v>1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>
      <c r="A7" s="2" t="s">
        <v>2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>
      <c r="A8" s="4" t="str">
        <f>=HYPERLINK("#'I_IT'!A1", "I_IT")</f>
      </c>
      <c r="B8" t="s">
        <v>4</v>
      </c>
    </row>
    <row r="9">
      <c r="A9" s="4" t="str">
        <f>=HYPERLINK("#'I_CT'!A1", "I_CT")</f>
      </c>
      <c r="B9" t="s">
        <v>6</v>
      </c>
    </row>
    <row r="10">
      <c r="A10" s="4" t="str">
        <f>=HYPERLINK("#'I_Soft_DB'!A1", "I_Soft_DB")</f>
      </c>
      <c r="B10" t="s">
        <v>8</v>
      </c>
    </row>
    <row r="11">
      <c r="A11" s="4" t="str">
        <f>=HYPERLINK("#'I_TraEq'!A1", "I_TraEq")</f>
      </c>
      <c r="B11" t="s">
        <v>10</v>
      </c>
    </row>
    <row r="12">
      <c r="A12" s="4" t="str">
        <f>=HYPERLINK("#'I_OMach'!A1", "I_OMach")</f>
      </c>
      <c r="B12" t="s">
        <v>12</v>
      </c>
    </row>
    <row r="13">
      <c r="A13" s="4" t="str">
        <f>=HYPERLINK("#'I_OCon'!A1", "I_OCon")</f>
      </c>
      <c r="B13" t="s">
        <v>14</v>
      </c>
    </row>
    <row r="14">
      <c r="A14" s="4" t="str">
        <f>=HYPERLINK("#'I_Rstruc'!A1", "I_Rstruc")</f>
      </c>
      <c r="B14" t="s">
        <v>16</v>
      </c>
    </row>
    <row r="15">
      <c r="A15" s="4" t="str">
        <f>=HYPERLINK("#'I_Cult'!A1", "I_Cult")</f>
      </c>
      <c r="B15" t="s">
        <v>18</v>
      </c>
    </row>
    <row r="16">
      <c r="A16" s="4" t="str">
        <f>=HYPERLINK("#'I_RD'!A1", "I_RD")</f>
      </c>
      <c r="B16" t="s">
        <v>20</v>
      </c>
    </row>
    <row r="17">
      <c r="A17" s="4" t="str">
        <f>=HYPERLINK("#'I_OIPP'!A1", "I_OIPP")</f>
      </c>
      <c r="B17" t="s">
        <v>22</v>
      </c>
    </row>
    <row r="18">
      <c r="A18" s="4" t="str">
        <f>=HYPERLINK("#'I_GFCF'!A1", "I_GFCF")</f>
      </c>
      <c r="B18" t="s">
        <v>24</v>
      </c>
    </row>
    <row r="19">
      <c r="A19" s="2" t="s">
        <v>25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>
      <c r="A20" s="4" t="str">
        <f>=HYPERLINK("#'Ipyp_IT'!A1", "Ipyp_IT")</f>
      </c>
      <c r="B20" t="s">
        <v>27</v>
      </c>
    </row>
    <row r="21">
      <c r="A21" s="4" t="str">
        <f>=HYPERLINK("#'Ipyp_CT'!A1", "Ipyp_CT")</f>
      </c>
      <c r="B21" t="s">
        <v>29</v>
      </c>
    </row>
    <row r="22">
      <c r="A22" s="4" t="str">
        <f>=HYPERLINK("#'Ipyp_Soft_DB'!A1", "Ipyp_Soft_DB")</f>
      </c>
      <c r="B22" t="s">
        <v>31</v>
      </c>
    </row>
    <row r="23">
      <c r="A23" s="4" t="str">
        <f>=HYPERLINK("#'Ipyp_TraEq'!A1", "Ipyp_TraEq")</f>
      </c>
      <c r="B23" t="s">
        <v>33</v>
      </c>
    </row>
    <row r="24">
      <c r="A24" s="4" t="str">
        <f>=HYPERLINK("#'Ipyp_OMach'!A1", "Ipyp_OMach")</f>
      </c>
      <c r="B24" t="s">
        <v>35</v>
      </c>
    </row>
    <row r="25">
      <c r="A25" s="4" t="str">
        <f>=HYPERLINK("#'Ipyp_OCon'!A1", "Ipyp_OCon")</f>
      </c>
      <c r="B25" t="s">
        <v>37</v>
      </c>
    </row>
    <row r="26">
      <c r="A26" s="4" t="str">
        <f>=HYPERLINK("#'Ipyp_Rstruc'!A1", "Ipyp_Rstruc")</f>
      </c>
      <c r="B26" t="s">
        <v>39</v>
      </c>
    </row>
    <row r="27">
      <c r="A27" s="4" t="str">
        <f>=HYPERLINK("#'Ipyp_Cult'!A1", "Ipyp_Cult")</f>
      </c>
      <c r="B27" t="s">
        <v>41</v>
      </c>
    </row>
    <row r="28">
      <c r="A28" s="4" t="str">
        <f>=HYPERLINK("#'Ipyp_RD'!A1", "Ipyp_RD")</f>
      </c>
      <c r="B28" t="s">
        <v>43</v>
      </c>
    </row>
    <row r="29">
      <c r="A29" s="4" t="str">
        <f>=HYPERLINK("#'Ipyp_OIPP'!A1", "Ipyp_OIPP")</f>
      </c>
      <c r="B29" t="s">
        <v>45</v>
      </c>
    </row>
    <row r="30">
      <c r="A30" s="4" t="str">
        <f>=HYPERLINK("#'Ipyp_GFCF'!A1", "Ipyp_GFCF")</f>
      </c>
      <c r="B30" t="s">
        <v>47</v>
      </c>
    </row>
    <row r="31">
      <c r="A31" s="2" t="s">
        <v>48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>
      <c r="A32" s="4" t="str">
        <f>=HYPERLINK("#'Iq_IT'!A1", "Iq_IT")</f>
      </c>
      <c r="B32" t="s">
        <v>50</v>
      </c>
    </row>
    <row r="33">
      <c r="A33" s="4" t="str">
        <f>=HYPERLINK("#'Iq_CT'!A1", "Iq_CT")</f>
      </c>
      <c r="B33" t="s">
        <v>52</v>
      </c>
    </row>
    <row r="34">
      <c r="A34" s="4" t="str">
        <f>=HYPERLINK("#'Iq_Soft_DB'!A1", "Iq_Soft_DB")</f>
      </c>
      <c r="B34" t="s">
        <v>54</v>
      </c>
    </row>
    <row r="35">
      <c r="A35" s="4" t="str">
        <f>=HYPERLINK("#'Iq_TraEq'!A1", "Iq_TraEq")</f>
      </c>
      <c r="B35" t="s">
        <v>56</v>
      </c>
    </row>
    <row r="36">
      <c r="A36" s="4" t="str">
        <f>=HYPERLINK("#'Iq_OMach'!A1", "Iq_OMach")</f>
      </c>
      <c r="B36" t="s">
        <v>58</v>
      </c>
    </row>
    <row r="37">
      <c r="A37" s="4" t="str">
        <f>=HYPERLINK("#'Iq_OCon'!A1", "Iq_OCon")</f>
      </c>
      <c r="B37" t="s">
        <v>60</v>
      </c>
    </row>
    <row r="38">
      <c r="A38" s="4" t="str">
        <f>=HYPERLINK("#'Iq_Rstruc'!A1", "Iq_Rstruc")</f>
      </c>
      <c r="B38" t="s">
        <v>62</v>
      </c>
    </row>
    <row r="39">
      <c r="A39" s="4" t="str">
        <f>=HYPERLINK("#'Iq_Cult'!A1", "Iq_Cult")</f>
      </c>
      <c r="B39" t="s">
        <v>64</v>
      </c>
    </row>
    <row r="40">
      <c r="A40" s="4" t="str">
        <f>=HYPERLINK("#'Iq_RD'!A1", "Iq_RD")</f>
      </c>
      <c r="B40" t="s">
        <v>66</v>
      </c>
    </row>
    <row r="41">
      <c r="A41" s="4" t="str">
        <f>=HYPERLINK("#'Iq_OIPP'!A1", "Iq_OIPP")</f>
      </c>
      <c r="B41" t="s">
        <v>68</v>
      </c>
    </row>
    <row r="42">
      <c r="A42" s="4" t="str">
        <f>=HYPERLINK("#'Iq_GFCF'!A1", "Iq_GFCF")</f>
      </c>
      <c r="B42" t="s">
        <v>70</v>
      </c>
    </row>
    <row r="43">
      <c r="A43" s="2" t="s">
        <v>71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>
      <c r="A44" s="4" t="str">
        <f>=HYPERLINK("#'Ip_IT'!A1", "Ip_IT")</f>
      </c>
      <c r="B44" t="s">
        <v>73</v>
      </c>
    </row>
    <row r="45">
      <c r="A45" s="4" t="str">
        <f>=HYPERLINK("#'Ip_CT'!A1", "Ip_CT")</f>
      </c>
      <c r="B45" t="s">
        <v>75</v>
      </c>
    </row>
    <row r="46">
      <c r="A46" s="4" t="str">
        <f>=HYPERLINK("#'Ip_Soft_DB'!A1", "Ip_Soft_DB")</f>
      </c>
      <c r="B46" t="s">
        <v>77</v>
      </c>
    </row>
    <row r="47">
      <c r="A47" s="4" t="str">
        <f>=HYPERLINK("#'Ip_TraEq'!A1", "Ip_TraEq")</f>
      </c>
      <c r="B47" t="s">
        <v>79</v>
      </c>
    </row>
    <row r="48">
      <c r="A48" s="4" t="str">
        <f>=HYPERLINK("#'Ip_OMach'!A1", "Ip_OMach")</f>
      </c>
      <c r="B48" t="s">
        <v>81</v>
      </c>
    </row>
    <row r="49">
      <c r="A49" s="4" t="str">
        <f>=HYPERLINK("#'Ip_OCon'!A1", "Ip_OCon")</f>
      </c>
      <c r="B49" t="s">
        <v>83</v>
      </c>
    </row>
    <row r="50">
      <c r="A50" s="4" t="str">
        <f>=HYPERLINK("#'Ip_Rstruc'!A1", "Ip_Rstruc")</f>
      </c>
      <c r="B50" t="s">
        <v>85</v>
      </c>
    </row>
    <row r="51">
      <c r="A51" s="4" t="str">
        <f>=HYPERLINK("#'Ip_Cult'!A1", "Ip_Cult")</f>
      </c>
      <c r="B51" t="s">
        <v>87</v>
      </c>
    </row>
    <row r="52">
      <c r="A52" s="4" t="str">
        <f>=HYPERLINK("#'Ip_RD'!A1", "Ip_RD")</f>
      </c>
      <c r="B52" t="s">
        <v>89</v>
      </c>
    </row>
    <row r="53">
      <c r="A53" s="4" t="str">
        <f>=HYPERLINK("#'Ip_OIPP'!A1", "Ip_OIPP")</f>
      </c>
      <c r="B53" t="s">
        <v>91</v>
      </c>
    </row>
    <row r="54">
      <c r="A54" s="4" t="str">
        <f>=HYPERLINK("#'Ip_GFCF'!A1", "Ip_GFCF")</f>
      </c>
      <c r="B54" t="s">
        <v>93</v>
      </c>
    </row>
    <row r="55">
      <c r="A55" s="2" t="s">
        <v>94</v>
      </c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>
      <c r="A56" s="4" t="str">
        <f>=HYPERLINK("#'K_IT'!A1", "K_IT")</f>
      </c>
      <c r="B56" t="s">
        <v>96</v>
      </c>
    </row>
    <row r="57">
      <c r="A57" s="4" t="str">
        <f>=HYPERLINK("#'K_CT'!A1", "K_CT")</f>
      </c>
      <c r="B57" t="s">
        <v>98</v>
      </c>
    </row>
    <row r="58">
      <c r="A58" s="4" t="str">
        <f>=HYPERLINK("#'K_Soft_DB'!A1", "K_Soft_DB")</f>
      </c>
      <c r="B58" t="s">
        <v>100</v>
      </c>
    </row>
    <row r="59">
      <c r="A59" s="4" t="str">
        <f>=HYPERLINK("#'K_TraEq'!A1", "K_TraEq")</f>
      </c>
      <c r="B59" t="s">
        <v>102</v>
      </c>
    </row>
    <row r="60">
      <c r="A60" s="4" t="str">
        <f>=HYPERLINK("#'K_OMach'!A1", "K_OMach")</f>
      </c>
      <c r="B60" t="s">
        <v>104</v>
      </c>
    </row>
    <row r="61">
      <c r="A61" s="4" t="str">
        <f>=HYPERLINK("#'K_OCon'!A1", "K_OCon")</f>
      </c>
      <c r="B61" t="s">
        <v>106</v>
      </c>
    </row>
    <row r="62">
      <c r="A62" s="4" t="str">
        <f>=HYPERLINK("#'K_Rstruc'!A1", "K_Rstruc")</f>
      </c>
      <c r="B62" t="s">
        <v>108</v>
      </c>
    </row>
    <row r="63">
      <c r="A63" s="4" t="str">
        <f>=HYPERLINK("#'K_Cult'!A1", "K_Cult")</f>
      </c>
      <c r="B63" t="s">
        <v>110</v>
      </c>
    </row>
    <row r="64">
      <c r="A64" s="4" t="str">
        <f>=HYPERLINK("#'K_RD'!A1", "K_RD")</f>
      </c>
      <c r="B64" t="s">
        <v>112</v>
      </c>
    </row>
    <row r="65">
      <c r="A65" s="4" t="str">
        <f>=HYPERLINK("#'K_OIPP'!A1", "K_OIPP")</f>
      </c>
      <c r="B65" t="s">
        <v>114</v>
      </c>
    </row>
    <row r="66">
      <c r="A66" s="4" t="str">
        <f>=HYPERLINK("#'K_GFCF'!A1", "K_GFCF")</f>
      </c>
      <c r="B66" t="s">
        <v>116</v>
      </c>
    </row>
    <row r="67">
      <c r="A67" s="2" t="s">
        <v>117</v>
      </c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>
      <c r="A68" s="4" t="str">
        <f>=HYPERLINK("#'Kpyp_IT'!A1", "Kpyp_IT")</f>
      </c>
      <c r="B68" t="s">
        <v>119</v>
      </c>
    </row>
    <row r="69">
      <c r="A69" s="4" t="str">
        <f>=HYPERLINK("#'Kpyp_CT'!A1", "Kpyp_CT")</f>
      </c>
      <c r="B69" t="s">
        <v>121</v>
      </c>
    </row>
    <row r="70">
      <c r="A70" s="4" t="str">
        <f>=HYPERLINK("#'Kpyp_Soft_DB'!A1", "Kpyp_Soft_DB")</f>
      </c>
      <c r="B70" t="s">
        <v>123</v>
      </c>
    </row>
    <row r="71">
      <c r="A71" s="4" t="str">
        <f>=HYPERLINK("#'Kpyp_TraEq'!A1", "Kpyp_TraEq")</f>
      </c>
      <c r="B71" t="s">
        <v>125</v>
      </c>
    </row>
    <row r="72">
      <c r="A72" s="4" t="str">
        <f>=HYPERLINK("#'Kpyp_OMach'!A1", "Kpyp_OMach")</f>
      </c>
      <c r="B72" t="s">
        <v>127</v>
      </c>
    </row>
    <row r="73">
      <c r="A73" s="4" t="str">
        <f>=HYPERLINK("#'Kpyp_OCon'!A1", "Kpyp_OCon")</f>
      </c>
      <c r="B73" t="s">
        <v>129</v>
      </c>
    </row>
    <row r="74">
      <c r="A74" s="4" t="str">
        <f>=HYPERLINK("#'Kpyp_Rstruc'!A1", "Kpyp_Rstruc")</f>
      </c>
      <c r="B74" t="s">
        <v>131</v>
      </c>
    </row>
    <row r="75">
      <c r="A75" s="4" t="str">
        <f>=HYPERLINK("#'Kpyp_Cult'!A1", "Kpyp_Cult")</f>
      </c>
      <c r="B75" t="s">
        <v>133</v>
      </c>
    </row>
    <row r="76">
      <c r="A76" s="4" t="str">
        <f>=HYPERLINK("#'Kpyp_RD'!A1", "Kpyp_RD")</f>
      </c>
      <c r="B76" t="s">
        <v>135</v>
      </c>
    </row>
    <row r="77">
      <c r="A77" s="4" t="str">
        <f>=HYPERLINK("#'Kpyp_OIPP'!A1", "Kpyp_OIPP")</f>
      </c>
      <c r="B77" t="s">
        <v>137</v>
      </c>
    </row>
    <row r="78">
      <c r="A78" s="4" t="str">
        <f>=HYPERLINK("#'Kpyp_GFCF'!A1", "Kpyp_GFCF")</f>
      </c>
      <c r="B78" t="s">
        <v>139</v>
      </c>
    </row>
    <row r="79">
      <c r="A79" s="2" t="s">
        <v>140</v>
      </c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>
      <c r="A80" s="4" t="str">
        <f>=HYPERLINK("#'Kq_IT'!A1", "Kq_IT")</f>
      </c>
      <c r="B80" t="s">
        <v>50</v>
      </c>
    </row>
    <row r="81">
      <c r="A81" s="4" t="str">
        <f>=HYPERLINK("#'Kq_CT'!A1", "Kq_CT")</f>
      </c>
      <c r="B81" t="s">
        <v>52</v>
      </c>
    </row>
    <row r="82">
      <c r="A82" s="4" t="str">
        <f>=HYPERLINK("#'Kq_Soft_DB'!A1", "Kq_Soft_DB")</f>
      </c>
      <c r="B82" t="s">
        <v>54</v>
      </c>
    </row>
    <row r="83">
      <c r="A83" s="4" t="str">
        <f>=HYPERLINK("#'Kq_TraEq'!A1", "Kq_TraEq")</f>
      </c>
      <c r="B83" t="s">
        <v>56</v>
      </c>
    </row>
    <row r="84">
      <c r="A84" s="4" t="str">
        <f>=HYPERLINK("#'Kq_OMach'!A1", "Kq_OMach")</f>
      </c>
      <c r="B84" t="s">
        <v>58</v>
      </c>
    </row>
    <row r="85">
      <c r="A85" s="4" t="str">
        <f>=HYPERLINK("#'Kq_OCon'!A1", "Kq_OCon")</f>
      </c>
      <c r="B85" t="s">
        <v>60</v>
      </c>
    </row>
    <row r="86">
      <c r="A86" s="4" t="str">
        <f>=HYPERLINK("#'Kq_Rstruc'!A1", "Kq_Rstruc")</f>
      </c>
      <c r="B86" t="s">
        <v>62</v>
      </c>
    </row>
    <row r="87">
      <c r="A87" s="4" t="str">
        <f>=HYPERLINK("#'Kq_Cult'!A1", "Kq_Cult")</f>
      </c>
      <c r="B87" t="s">
        <v>64</v>
      </c>
    </row>
    <row r="88">
      <c r="A88" s="4" t="str">
        <f>=HYPERLINK("#'Kq_RD'!A1", "Kq_RD")</f>
      </c>
      <c r="B88" t="s">
        <v>66</v>
      </c>
    </row>
    <row r="89">
      <c r="A89" s="4" t="str">
        <f>=HYPERLINK("#'Kq_OIPP'!A1", "Kq_OIPP")</f>
      </c>
      <c r="B89" t="s">
        <v>68</v>
      </c>
    </row>
    <row r="90">
      <c r="A90" s="4" t="str">
        <f>=HYPERLINK("#'Kq_GFCF'!A1", "Kq_GFCF")</f>
      </c>
      <c r="B90" t="s">
        <v>70</v>
      </c>
    </row>
    <row r="91">
      <c r="A91" t="s">
        <v>155</v>
      </c>
    </row>
    <row r="92">
      <c r="A92" t="s">
        <v>155</v>
      </c>
    </row>
    <row r="93">
      <c r="A93" s="1" t="s">
        <v>156</v>
      </c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>
      <c r="A94" s="3" t="s">
        <v>157</v>
      </c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>
      <c r="A95" s="3" t="s">
        <v>158</v>
      </c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>
      <c r="A96" s="3" t="s">
        <v>155</v>
      </c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>
      <c r="A97" s="1" t="s">
        <v>159</v>
      </c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>
      <c r="A98" t="s">
        <v>155</v>
      </c>
    </row>
    <row r="99">
      <c r="A99" s="1" t="s">
        <v>160</v>
      </c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>
      <c r="A100" s="3" t="s">
        <v>161</v>
      </c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>
      <c r="A101" s="3" t="s">
        <v>162</v>
      </c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>
      <c r="A102" s="3" t="s">
        <v>163</v>
      </c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>
      <c r="A103" s="3" t="s">
        <v>164</v>
      </c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3</v>
      </c>
      <c r="B2" t="s">
        <v>197</v>
      </c>
      <c r="C2" t="s">
        <v>217</v>
      </c>
      <c r="D2" t="s">
        <v>199</v>
      </c>
      <c r="E2" t="s">
        <v>218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</row>
    <row r="3">
      <c r="A3" t="s">
        <v>3</v>
      </c>
      <c r="B3" t="s">
        <v>276</v>
      </c>
      <c r="C3" t="s">
        <v>217</v>
      </c>
      <c r="D3" t="s">
        <v>277</v>
      </c>
      <c r="E3" t="s">
        <v>218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>
      <c r="A4" t="s">
        <v>3</v>
      </c>
      <c r="B4" t="s">
        <v>278</v>
      </c>
      <c r="C4" t="s">
        <v>217</v>
      </c>
      <c r="D4" t="s">
        <v>279</v>
      </c>
      <c r="E4" t="s">
        <v>218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</row>
    <row r="5">
      <c r="A5" t="s">
        <v>3</v>
      </c>
      <c r="B5" t="s">
        <v>280</v>
      </c>
      <c r="C5" t="s">
        <v>217</v>
      </c>
      <c r="D5" t="s">
        <v>281</v>
      </c>
      <c r="E5" t="s">
        <v>218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3</v>
      </c>
      <c r="B6" t="s">
        <v>282</v>
      </c>
      <c r="C6" t="s">
        <v>217</v>
      </c>
      <c r="D6" t="s">
        <v>283</v>
      </c>
      <c r="E6" t="s">
        <v>218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3</v>
      </c>
      <c r="B7" t="s">
        <v>284</v>
      </c>
      <c r="C7" t="s">
        <v>217</v>
      </c>
      <c r="D7" t="s">
        <v>285</v>
      </c>
      <c r="E7" t="s">
        <v>218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3</v>
      </c>
      <c r="B8" t="s">
        <v>286</v>
      </c>
      <c r="C8" t="s">
        <v>217</v>
      </c>
      <c r="D8" t="s">
        <v>287</v>
      </c>
      <c r="E8" t="s">
        <v>218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3</v>
      </c>
      <c r="B9" t="s">
        <v>288</v>
      </c>
      <c r="C9" t="s">
        <v>217</v>
      </c>
      <c r="D9" t="s">
        <v>289</v>
      </c>
      <c r="E9" t="s">
        <v>218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3</v>
      </c>
      <c r="B10" t="s">
        <v>290</v>
      </c>
      <c r="C10" t="s">
        <v>217</v>
      </c>
      <c r="D10" t="s">
        <v>291</v>
      </c>
      <c r="E10" t="s">
        <v>218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3</v>
      </c>
      <c r="B11" t="s">
        <v>292</v>
      </c>
      <c r="C11" t="s">
        <v>217</v>
      </c>
      <c r="D11" t="s">
        <v>293</v>
      </c>
      <c r="E11" t="s">
        <v>218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3</v>
      </c>
      <c r="B12" t="s">
        <v>294</v>
      </c>
      <c r="C12" t="s">
        <v>217</v>
      </c>
      <c r="D12" t="s">
        <v>295</v>
      </c>
      <c r="E12" t="s">
        <v>218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3</v>
      </c>
      <c r="B13" t="s">
        <v>296</v>
      </c>
      <c r="C13" t="s">
        <v>217</v>
      </c>
      <c r="D13" t="s">
        <v>297</v>
      </c>
      <c r="E13" t="s">
        <v>218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3</v>
      </c>
      <c r="B14" t="s">
        <v>298</v>
      </c>
      <c r="C14" t="s">
        <v>217</v>
      </c>
      <c r="D14" t="s">
        <v>299</v>
      </c>
      <c r="E14" t="s">
        <v>218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3</v>
      </c>
      <c r="B15" t="s">
        <v>300</v>
      </c>
      <c r="C15" t="s">
        <v>217</v>
      </c>
      <c r="D15" t="s">
        <v>301</v>
      </c>
      <c r="E15" t="s">
        <v>218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3</v>
      </c>
      <c r="B16" t="s">
        <v>302</v>
      </c>
      <c r="C16" t="s">
        <v>217</v>
      </c>
      <c r="D16" t="s">
        <v>303</v>
      </c>
      <c r="E16" t="s">
        <v>218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3</v>
      </c>
      <c r="B17" t="s">
        <v>304</v>
      </c>
      <c r="C17" t="s">
        <v>217</v>
      </c>
      <c r="D17" t="s">
        <v>305</v>
      </c>
      <c r="E17" t="s">
        <v>218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3</v>
      </c>
      <c r="B18" t="s">
        <v>306</v>
      </c>
      <c r="C18" t="s">
        <v>217</v>
      </c>
      <c r="D18" t="s">
        <v>307</v>
      </c>
      <c r="E18" t="s">
        <v>218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3</v>
      </c>
      <c r="B19" t="s">
        <v>308</v>
      </c>
      <c r="C19" t="s">
        <v>217</v>
      </c>
      <c r="D19" t="s">
        <v>309</v>
      </c>
      <c r="E19" t="s">
        <v>218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3</v>
      </c>
      <c r="B20" t="s">
        <v>310</v>
      </c>
      <c r="C20" t="s">
        <v>217</v>
      </c>
      <c r="D20" t="s">
        <v>311</v>
      </c>
      <c r="E20" t="s">
        <v>218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>
      <c r="A21" t="s">
        <v>3</v>
      </c>
      <c r="B21" t="s">
        <v>312</v>
      </c>
      <c r="C21" t="s">
        <v>217</v>
      </c>
      <c r="D21" t="s">
        <v>313</v>
      </c>
      <c r="E21" t="s">
        <v>218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>
      <c r="A22" t="s">
        <v>3</v>
      </c>
      <c r="B22" t="s">
        <v>314</v>
      </c>
      <c r="C22" t="s">
        <v>217</v>
      </c>
      <c r="D22" t="s">
        <v>315</v>
      </c>
      <c r="E22" t="s">
        <v>218</v>
      </c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</row>
    <row r="23">
      <c r="A23" t="s">
        <v>3</v>
      </c>
      <c r="B23" t="s">
        <v>316</v>
      </c>
      <c r="C23" t="s">
        <v>217</v>
      </c>
      <c r="D23" t="s">
        <v>317</v>
      </c>
      <c r="E23" t="s">
        <v>218</v>
      </c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</row>
    <row r="24">
      <c r="A24" t="s">
        <v>3</v>
      </c>
      <c r="B24" t="s">
        <v>318</v>
      </c>
      <c r="C24" t="s">
        <v>217</v>
      </c>
      <c r="D24" t="s">
        <v>319</v>
      </c>
      <c r="E24" t="s">
        <v>218</v>
      </c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</row>
    <row r="25">
      <c r="A25" t="s">
        <v>3</v>
      </c>
      <c r="B25" t="s">
        <v>320</v>
      </c>
      <c r="C25" t="s">
        <v>217</v>
      </c>
      <c r="D25" t="s">
        <v>321</v>
      </c>
      <c r="E25" t="s">
        <v>218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3</v>
      </c>
      <c r="B26" t="s">
        <v>322</v>
      </c>
      <c r="C26" t="s">
        <v>217</v>
      </c>
      <c r="D26" t="s">
        <v>323</v>
      </c>
      <c r="E26" t="s">
        <v>218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3</v>
      </c>
      <c r="B27" t="s">
        <v>324</v>
      </c>
      <c r="C27" t="s">
        <v>217</v>
      </c>
      <c r="D27" t="s">
        <v>325</v>
      </c>
      <c r="E27" t="s">
        <v>218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3</v>
      </c>
      <c r="B28" t="s">
        <v>326</v>
      </c>
      <c r="C28" t="s">
        <v>217</v>
      </c>
      <c r="D28" t="s">
        <v>327</v>
      </c>
      <c r="E28" t="s">
        <v>218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</row>
    <row r="29">
      <c r="A29" t="s">
        <v>3</v>
      </c>
      <c r="B29" t="s">
        <v>328</v>
      </c>
      <c r="C29" t="s">
        <v>217</v>
      </c>
      <c r="D29" t="s">
        <v>329</v>
      </c>
      <c r="E29" t="s">
        <v>218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3</v>
      </c>
      <c r="B30" t="s">
        <v>330</v>
      </c>
      <c r="C30" t="s">
        <v>217</v>
      </c>
      <c r="D30" t="s">
        <v>331</v>
      </c>
      <c r="E30" t="s">
        <v>218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3</v>
      </c>
      <c r="B31" t="s">
        <v>332</v>
      </c>
      <c r="C31" t="s">
        <v>217</v>
      </c>
      <c r="D31" t="s">
        <v>333</v>
      </c>
      <c r="E31" t="s">
        <v>218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3</v>
      </c>
      <c r="B32" t="s">
        <v>334</v>
      </c>
      <c r="C32" t="s">
        <v>217</v>
      </c>
      <c r="D32" t="s">
        <v>335</v>
      </c>
      <c r="E32" t="s">
        <v>218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3</v>
      </c>
      <c r="B33" t="s">
        <v>336</v>
      </c>
      <c r="C33" t="s">
        <v>217</v>
      </c>
      <c r="D33" t="s">
        <v>337</v>
      </c>
      <c r="E33" t="s">
        <v>218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3</v>
      </c>
      <c r="B34" t="s">
        <v>338</v>
      </c>
      <c r="C34" t="s">
        <v>217</v>
      </c>
      <c r="D34" t="s">
        <v>339</v>
      </c>
      <c r="E34" t="s">
        <v>218</v>
      </c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</row>
    <row r="35">
      <c r="A35" t="s">
        <v>3</v>
      </c>
      <c r="B35" t="s">
        <v>340</v>
      </c>
      <c r="C35" t="s">
        <v>217</v>
      </c>
      <c r="D35" t="s">
        <v>341</v>
      </c>
      <c r="E35" t="s">
        <v>218</v>
      </c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</row>
    <row r="36">
      <c r="A36" t="s">
        <v>3</v>
      </c>
      <c r="B36" t="s">
        <v>342</v>
      </c>
      <c r="C36" t="s">
        <v>217</v>
      </c>
      <c r="D36" t="s">
        <v>343</v>
      </c>
      <c r="E36" t="s">
        <v>218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3</v>
      </c>
      <c r="B37" t="s">
        <v>344</v>
      </c>
      <c r="C37" t="s">
        <v>217</v>
      </c>
      <c r="D37" t="s">
        <v>345</v>
      </c>
      <c r="E37" t="s">
        <v>218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3</v>
      </c>
      <c r="B38" t="s">
        <v>346</v>
      </c>
      <c r="C38" t="s">
        <v>217</v>
      </c>
      <c r="D38" t="s">
        <v>347</v>
      </c>
      <c r="E38" t="s">
        <v>218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3</v>
      </c>
      <c r="B39" t="s">
        <v>348</v>
      </c>
      <c r="C39" t="s">
        <v>217</v>
      </c>
      <c r="D39" t="s">
        <v>349</v>
      </c>
      <c r="E39" t="s">
        <v>218</v>
      </c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</row>
    <row r="40">
      <c r="A40" t="s">
        <v>3</v>
      </c>
      <c r="B40" t="s">
        <v>350</v>
      </c>
      <c r="C40" t="s">
        <v>217</v>
      </c>
      <c r="D40" t="s">
        <v>351</v>
      </c>
      <c r="E40" t="s">
        <v>218</v>
      </c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</row>
    <row r="41">
      <c r="A41" t="s">
        <v>3</v>
      </c>
      <c r="B41" t="s">
        <v>352</v>
      </c>
      <c r="C41" t="s">
        <v>217</v>
      </c>
      <c r="D41" t="s">
        <v>353</v>
      </c>
      <c r="E41" t="s">
        <v>218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3</v>
      </c>
      <c r="B42" t="s">
        <v>354</v>
      </c>
      <c r="C42" t="s">
        <v>217</v>
      </c>
      <c r="D42" t="s">
        <v>355</v>
      </c>
      <c r="E42" t="s">
        <v>218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</row>
    <row r="43">
      <c r="A43" t="s">
        <v>3</v>
      </c>
      <c r="B43" t="s">
        <v>356</v>
      </c>
      <c r="C43" t="s">
        <v>217</v>
      </c>
      <c r="D43" t="s">
        <v>357</v>
      </c>
      <c r="E43" t="s">
        <v>218</v>
      </c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</row>
    <row r="44">
      <c r="A44" t="s">
        <v>3</v>
      </c>
      <c r="B44" t="s">
        <v>358</v>
      </c>
      <c r="C44" t="s">
        <v>217</v>
      </c>
      <c r="D44" t="s">
        <v>359</v>
      </c>
      <c r="E44" t="s">
        <v>218</v>
      </c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</row>
    <row r="45">
      <c r="A45" t="s">
        <v>3</v>
      </c>
      <c r="B45" t="s">
        <v>360</v>
      </c>
      <c r="C45" t="s">
        <v>217</v>
      </c>
      <c r="D45" t="s">
        <v>361</v>
      </c>
      <c r="E45" t="s">
        <v>218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</row>
    <row r="46">
      <c r="A46" t="s">
        <v>3</v>
      </c>
      <c r="B46" t="s">
        <v>362</v>
      </c>
      <c r="C46" t="s">
        <v>217</v>
      </c>
      <c r="D46" t="s">
        <v>363</v>
      </c>
      <c r="E46" t="s">
        <v>218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</row>
    <row r="47">
      <c r="A47" t="s">
        <v>3</v>
      </c>
      <c r="B47" t="s">
        <v>364</v>
      </c>
      <c r="C47" t="s">
        <v>217</v>
      </c>
      <c r="D47" t="s">
        <v>365</v>
      </c>
      <c r="E47" t="s">
        <v>218</v>
      </c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</row>
    <row r="48">
      <c r="A48" t="s">
        <v>3</v>
      </c>
      <c r="B48" t="s">
        <v>366</v>
      </c>
      <c r="C48" t="s">
        <v>217</v>
      </c>
      <c r="D48" t="s">
        <v>367</v>
      </c>
      <c r="E48" t="s">
        <v>218</v>
      </c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</row>
    <row r="49">
      <c r="A49" t="s">
        <v>3</v>
      </c>
      <c r="B49" t="s">
        <v>368</v>
      </c>
      <c r="C49" t="s">
        <v>217</v>
      </c>
      <c r="D49" t="s">
        <v>369</v>
      </c>
      <c r="E49" t="s">
        <v>218</v>
      </c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</row>
    <row r="50">
      <c r="A50" t="s">
        <v>3</v>
      </c>
      <c r="B50" t="s">
        <v>370</v>
      </c>
      <c r="C50" t="s">
        <v>217</v>
      </c>
      <c r="D50" t="s">
        <v>371</v>
      </c>
      <c r="E50" t="s">
        <v>218</v>
      </c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</row>
    <row r="51">
      <c r="A51" t="s">
        <v>3</v>
      </c>
      <c r="B51" t="s">
        <v>372</v>
      </c>
      <c r="C51" t="s">
        <v>217</v>
      </c>
      <c r="D51" t="s">
        <v>373</v>
      </c>
      <c r="E51" t="s">
        <v>218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3</v>
      </c>
      <c r="B52" t="s">
        <v>374</v>
      </c>
      <c r="C52" t="s">
        <v>217</v>
      </c>
      <c r="D52" t="s">
        <v>375</v>
      </c>
      <c r="E52" t="s">
        <v>218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3</v>
      </c>
      <c r="B53" t="s">
        <v>376</v>
      </c>
      <c r="C53" t="s">
        <v>217</v>
      </c>
      <c r="D53" t="s">
        <v>377</v>
      </c>
      <c r="E53" t="s">
        <v>218</v>
      </c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</row>
    <row r="54">
      <c r="A54" t="s">
        <v>3</v>
      </c>
      <c r="B54" t="s">
        <v>378</v>
      </c>
      <c r="C54" t="s">
        <v>217</v>
      </c>
      <c r="D54" t="s">
        <v>379</v>
      </c>
      <c r="E54" t="s">
        <v>218</v>
      </c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</row>
    <row r="55">
      <c r="A55" t="s">
        <v>3</v>
      </c>
      <c r="B55" t="s">
        <v>380</v>
      </c>
      <c r="C55" t="s">
        <v>217</v>
      </c>
      <c r="D55" t="s">
        <v>381</v>
      </c>
      <c r="E55" t="s">
        <v>218</v>
      </c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</row>
    <row r="56">
      <c r="A56" t="s">
        <v>3</v>
      </c>
      <c r="B56" t="s">
        <v>382</v>
      </c>
      <c r="C56" t="s">
        <v>217</v>
      </c>
      <c r="D56" t="s">
        <v>383</v>
      </c>
      <c r="E56" t="s">
        <v>218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3</v>
      </c>
      <c r="B57" t="s">
        <v>384</v>
      </c>
      <c r="C57" t="s">
        <v>217</v>
      </c>
      <c r="D57" t="s">
        <v>385</v>
      </c>
      <c r="E57" t="s">
        <v>218</v>
      </c>
      <c r="F57" t="n">
        <v>343</v>
      </c>
      <c r="G57" t="n">
        <v>519.3</v>
      </c>
      <c r="H57" t="n">
        <v>616.5</v>
      </c>
      <c r="I57" t="n">
        <v>717.8</v>
      </c>
      <c r="J57" t="n">
        <v>753.1</v>
      </c>
      <c r="K57" t="n">
        <v>1170.4</v>
      </c>
      <c r="L57" t="n">
        <v>942.5</v>
      </c>
      <c r="M57" t="n">
        <v>840.5</v>
      </c>
      <c r="N57" t="n">
        <v>1054.3</v>
      </c>
      <c r="O57" t="n">
        <v>1089.8</v>
      </c>
      <c r="P57" t="n">
        <v>906</v>
      </c>
      <c r="Q57" t="n">
        <v>1102.6</v>
      </c>
      <c r="R57" t="n">
        <v>1112.3</v>
      </c>
      <c r="S57" t="n">
        <v>1260.5</v>
      </c>
      <c r="T57" t="n">
        <v>1152.2</v>
      </c>
      <c r="U57" t="n">
        <v>1078.2</v>
      </c>
      <c r="V57" t="n">
        <v>849.9</v>
      </c>
      <c r="W57" t="n">
        <v>782</v>
      </c>
      <c r="X57" t="n">
        <v>622.5</v>
      </c>
      <c r="Y57" t="n">
        <v>556.6</v>
      </c>
      <c r="Z57" t="n">
        <v>695.8</v>
      </c>
      <c r="AA57" t="n">
        <v>594.8</v>
      </c>
      <c r="AB57" t="n">
        <v>664.5</v>
      </c>
      <c r="AC57" t="n">
        <v>744.6</v>
      </c>
      <c r="AD57" t="n">
        <v>737.5</v>
      </c>
      <c r="AE57" t="n">
        <v>885.9</v>
      </c>
      <c r="AF57" t="n">
        <v>1209.3</v>
      </c>
    </row>
    <row r="58">
      <c r="A58" t="s">
        <v>3</v>
      </c>
      <c r="B58" t="s">
        <v>386</v>
      </c>
      <c r="C58" t="s">
        <v>217</v>
      </c>
      <c r="D58" t="s">
        <v>387</v>
      </c>
      <c r="E58" t="s">
        <v>218</v>
      </c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</row>
    <row r="59">
      <c r="A59" t="s">
        <v>3</v>
      </c>
      <c r="B59" t="s">
        <v>388</v>
      </c>
      <c r="C59" t="s">
        <v>217</v>
      </c>
      <c r="D59" t="s">
        <v>389</v>
      </c>
      <c r="E59" t="s">
        <v>218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5</v>
      </c>
      <c r="B2" t="s">
        <v>197</v>
      </c>
      <c r="C2" t="s">
        <v>217</v>
      </c>
      <c r="D2" t="s">
        <v>199</v>
      </c>
      <c r="E2" t="s">
        <v>218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</row>
    <row r="3">
      <c r="A3" t="s">
        <v>5</v>
      </c>
      <c r="B3" t="s">
        <v>276</v>
      </c>
      <c r="C3" t="s">
        <v>217</v>
      </c>
      <c r="D3" t="s">
        <v>277</v>
      </c>
      <c r="E3" t="s">
        <v>218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>
      <c r="A4" t="s">
        <v>5</v>
      </c>
      <c r="B4" t="s">
        <v>278</v>
      </c>
      <c r="C4" t="s">
        <v>217</v>
      </c>
      <c r="D4" t="s">
        <v>279</v>
      </c>
      <c r="E4" t="s">
        <v>218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</row>
    <row r="5">
      <c r="A5" t="s">
        <v>5</v>
      </c>
      <c r="B5" t="s">
        <v>280</v>
      </c>
      <c r="C5" t="s">
        <v>217</v>
      </c>
      <c r="D5" t="s">
        <v>281</v>
      </c>
      <c r="E5" t="s">
        <v>218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5</v>
      </c>
      <c r="B6" t="s">
        <v>282</v>
      </c>
      <c r="C6" t="s">
        <v>217</v>
      </c>
      <c r="D6" t="s">
        <v>283</v>
      </c>
      <c r="E6" t="s">
        <v>218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5</v>
      </c>
      <c r="B7" t="s">
        <v>284</v>
      </c>
      <c r="C7" t="s">
        <v>217</v>
      </c>
      <c r="D7" t="s">
        <v>285</v>
      </c>
      <c r="E7" t="s">
        <v>218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5</v>
      </c>
      <c r="B8" t="s">
        <v>286</v>
      </c>
      <c r="C8" t="s">
        <v>217</v>
      </c>
      <c r="D8" t="s">
        <v>287</v>
      </c>
      <c r="E8" t="s">
        <v>218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5</v>
      </c>
      <c r="B9" t="s">
        <v>288</v>
      </c>
      <c r="C9" t="s">
        <v>217</v>
      </c>
      <c r="D9" t="s">
        <v>289</v>
      </c>
      <c r="E9" t="s">
        <v>218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5</v>
      </c>
      <c r="B10" t="s">
        <v>290</v>
      </c>
      <c r="C10" t="s">
        <v>217</v>
      </c>
      <c r="D10" t="s">
        <v>291</v>
      </c>
      <c r="E10" t="s">
        <v>218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5</v>
      </c>
      <c r="B11" t="s">
        <v>292</v>
      </c>
      <c r="C11" t="s">
        <v>217</v>
      </c>
      <c r="D11" t="s">
        <v>293</v>
      </c>
      <c r="E11" t="s">
        <v>218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5</v>
      </c>
      <c r="B12" t="s">
        <v>294</v>
      </c>
      <c r="C12" t="s">
        <v>217</v>
      </c>
      <c r="D12" t="s">
        <v>295</v>
      </c>
      <c r="E12" t="s">
        <v>218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5</v>
      </c>
      <c r="B13" t="s">
        <v>296</v>
      </c>
      <c r="C13" t="s">
        <v>217</v>
      </c>
      <c r="D13" t="s">
        <v>297</v>
      </c>
      <c r="E13" t="s">
        <v>218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5</v>
      </c>
      <c r="B14" t="s">
        <v>298</v>
      </c>
      <c r="C14" t="s">
        <v>217</v>
      </c>
      <c r="D14" t="s">
        <v>299</v>
      </c>
      <c r="E14" t="s">
        <v>218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5</v>
      </c>
      <c r="B15" t="s">
        <v>300</v>
      </c>
      <c r="C15" t="s">
        <v>217</v>
      </c>
      <c r="D15" t="s">
        <v>301</v>
      </c>
      <c r="E15" t="s">
        <v>218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5</v>
      </c>
      <c r="B16" t="s">
        <v>302</v>
      </c>
      <c r="C16" t="s">
        <v>217</v>
      </c>
      <c r="D16" t="s">
        <v>303</v>
      </c>
      <c r="E16" t="s">
        <v>218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5</v>
      </c>
      <c r="B17" t="s">
        <v>304</v>
      </c>
      <c r="C17" t="s">
        <v>217</v>
      </c>
      <c r="D17" t="s">
        <v>305</v>
      </c>
      <c r="E17" t="s">
        <v>218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5</v>
      </c>
      <c r="B18" t="s">
        <v>306</v>
      </c>
      <c r="C18" t="s">
        <v>217</v>
      </c>
      <c r="D18" t="s">
        <v>307</v>
      </c>
      <c r="E18" t="s">
        <v>218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5</v>
      </c>
      <c r="B19" t="s">
        <v>308</v>
      </c>
      <c r="C19" t="s">
        <v>217</v>
      </c>
      <c r="D19" t="s">
        <v>309</v>
      </c>
      <c r="E19" t="s">
        <v>218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5</v>
      </c>
      <c r="B20" t="s">
        <v>310</v>
      </c>
      <c r="C20" t="s">
        <v>217</v>
      </c>
      <c r="D20" t="s">
        <v>311</v>
      </c>
      <c r="E20" t="s">
        <v>218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>
      <c r="A21" t="s">
        <v>5</v>
      </c>
      <c r="B21" t="s">
        <v>312</v>
      </c>
      <c r="C21" t="s">
        <v>217</v>
      </c>
      <c r="D21" t="s">
        <v>313</v>
      </c>
      <c r="E21" t="s">
        <v>218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>
      <c r="A22" t="s">
        <v>5</v>
      </c>
      <c r="B22" t="s">
        <v>314</v>
      </c>
      <c r="C22" t="s">
        <v>217</v>
      </c>
      <c r="D22" t="s">
        <v>315</v>
      </c>
      <c r="E22" t="s">
        <v>218</v>
      </c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</row>
    <row r="23">
      <c r="A23" t="s">
        <v>5</v>
      </c>
      <c r="B23" t="s">
        <v>316</v>
      </c>
      <c r="C23" t="s">
        <v>217</v>
      </c>
      <c r="D23" t="s">
        <v>317</v>
      </c>
      <c r="E23" t="s">
        <v>218</v>
      </c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</row>
    <row r="24">
      <c r="A24" t="s">
        <v>5</v>
      </c>
      <c r="B24" t="s">
        <v>318</v>
      </c>
      <c r="C24" t="s">
        <v>217</v>
      </c>
      <c r="D24" t="s">
        <v>319</v>
      </c>
      <c r="E24" t="s">
        <v>218</v>
      </c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</row>
    <row r="25">
      <c r="A25" t="s">
        <v>5</v>
      </c>
      <c r="B25" t="s">
        <v>320</v>
      </c>
      <c r="C25" t="s">
        <v>217</v>
      </c>
      <c r="D25" t="s">
        <v>321</v>
      </c>
      <c r="E25" t="s">
        <v>218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5</v>
      </c>
      <c r="B26" t="s">
        <v>322</v>
      </c>
      <c r="C26" t="s">
        <v>217</v>
      </c>
      <c r="D26" t="s">
        <v>323</v>
      </c>
      <c r="E26" t="s">
        <v>218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5</v>
      </c>
      <c r="B27" t="s">
        <v>324</v>
      </c>
      <c r="C27" t="s">
        <v>217</v>
      </c>
      <c r="D27" t="s">
        <v>325</v>
      </c>
      <c r="E27" t="s">
        <v>218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5</v>
      </c>
      <c r="B28" t="s">
        <v>326</v>
      </c>
      <c r="C28" t="s">
        <v>217</v>
      </c>
      <c r="D28" t="s">
        <v>327</v>
      </c>
      <c r="E28" t="s">
        <v>218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</row>
    <row r="29">
      <c r="A29" t="s">
        <v>5</v>
      </c>
      <c r="B29" t="s">
        <v>328</v>
      </c>
      <c r="C29" t="s">
        <v>217</v>
      </c>
      <c r="D29" t="s">
        <v>329</v>
      </c>
      <c r="E29" t="s">
        <v>218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5</v>
      </c>
      <c r="B30" t="s">
        <v>330</v>
      </c>
      <c r="C30" t="s">
        <v>217</v>
      </c>
      <c r="D30" t="s">
        <v>331</v>
      </c>
      <c r="E30" t="s">
        <v>218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5</v>
      </c>
      <c r="B31" t="s">
        <v>332</v>
      </c>
      <c r="C31" t="s">
        <v>217</v>
      </c>
      <c r="D31" t="s">
        <v>333</v>
      </c>
      <c r="E31" t="s">
        <v>218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5</v>
      </c>
      <c r="B32" t="s">
        <v>334</v>
      </c>
      <c r="C32" t="s">
        <v>217</v>
      </c>
      <c r="D32" t="s">
        <v>335</v>
      </c>
      <c r="E32" t="s">
        <v>218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5</v>
      </c>
      <c r="B33" t="s">
        <v>336</v>
      </c>
      <c r="C33" t="s">
        <v>217</v>
      </c>
      <c r="D33" t="s">
        <v>337</v>
      </c>
      <c r="E33" t="s">
        <v>218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5</v>
      </c>
      <c r="B34" t="s">
        <v>338</v>
      </c>
      <c r="C34" t="s">
        <v>217</v>
      </c>
      <c r="D34" t="s">
        <v>339</v>
      </c>
      <c r="E34" t="s">
        <v>218</v>
      </c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</row>
    <row r="35">
      <c r="A35" t="s">
        <v>5</v>
      </c>
      <c r="B35" t="s">
        <v>340</v>
      </c>
      <c r="C35" t="s">
        <v>217</v>
      </c>
      <c r="D35" t="s">
        <v>341</v>
      </c>
      <c r="E35" t="s">
        <v>218</v>
      </c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</row>
    <row r="36">
      <c r="A36" t="s">
        <v>5</v>
      </c>
      <c r="B36" t="s">
        <v>342</v>
      </c>
      <c r="C36" t="s">
        <v>217</v>
      </c>
      <c r="D36" t="s">
        <v>343</v>
      </c>
      <c r="E36" t="s">
        <v>218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5</v>
      </c>
      <c r="B37" t="s">
        <v>344</v>
      </c>
      <c r="C37" t="s">
        <v>217</v>
      </c>
      <c r="D37" t="s">
        <v>345</v>
      </c>
      <c r="E37" t="s">
        <v>218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5</v>
      </c>
      <c r="B38" t="s">
        <v>346</v>
      </c>
      <c r="C38" t="s">
        <v>217</v>
      </c>
      <c r="D38" t="s">
        <v>347</v>
      </c>
      <c r="E38" t="s">
        <v>218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5</v>
      </c>
      <c r="B39" t="s">
        <v>348</v>
      </c>
      <c r="C39" t="s">
        <v>217</v>
      </c>
      <c r="D39" t="s">
        <v>349</v>
      </c>
      <c r="E39" t="s">
        <v>218</v>
      </c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</row>
    <row r="40">
      <c r="A40" t="s">
        <v>5</v>
      </c>
      <c r="B40" t="s">
        <v>350</v>
      </c>
      <c r="C40" t="s">
        <v>217</v>
      </c>
      <c r="D40" t="s">
        <v>351</v>
      </c>
      <c r="E40" t="s">
        <v>218</v>
      </c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</row>
    <row r="41">
      <c r="A41" t="s">
        <v>5</v>
      </c>
      <c r="B41" t="s">
        <v>352</v>
      </c>
      <c r="C41" t="s">
        <v>217</v>
      </c>
      <c r="D41" t="s">
        <v>353</v>
      </c>
      <c r="E41" t="s">
        <v>218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5</v>
      </c>
      <c r="B42" t="s">
        <v>354</v>
      </c>
      <c r="C42" t="s">
        <v>217</v>
      </c>
      <c r="D42" t="s">
        <v>355</v>
      </c>
      <c r="E42" t="s">
        <v>218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</row>
    <row r="43">
      <c r="A43" t="s">
        <v>5</v>
      </c>
      <c r="B43" t="s">
        <v>356</v>
      </c>
      <c r="C43" t="s">
        <v>217</v>
      </c>
      <c r="D43" t="s">
        <v>357</v>
      </c>
      <c r="E43" t="s">
        <v>218</v>
      </c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</row>
    <row r="44">
      <c r="A44" t="s">
        <v>5</v>
      </c>
      <c r="B44" t="s">
        <v>358</v>
      </c>
      <c r="C44" t="s">
        <v>217</v>
      </c>
      <c r="D44" t="s">
        <v>359</v>
      </c>
      <c r="E44" t="s">
        <v>218</v>
      </c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</row>
    <row r="45">
      <c r="A45" t="s">
        <v>5</v>
      </c>
      <c r="B45" t="s">
        <v>360</v>
      </c>
      <c r="C45" t="s">
        <v>217</v>
      </c>
      <c r="D45" t="s">
        <v>361</v>
      </c>
      <c r="E45" t="s">
        <v>218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</row>
    <row r="46">
      <c r="A46" t="s">
        <v>5</v>
      </c>
      <c r="B46" t="s">
        <v>362</v>
      </c>
      <c r="C46" t="s">
        <v>217</v>
      </c>
      <c r="D46" t="s">
        <v>363</v>
      </c>
      <c r="E46" t="s">
        <v>218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</row>
    <row r="47">
      <c r="A47" t="s">
        <v>5</v>
      </c>
      <c r="B47" t="s">
        <v>364</v>
      </c>
      <c r="C47" t="s">
        <v>217</v>
      </c>
      <c r="D47" t="s">
        <v>365</v>
      </c>
      <c r="E47" t="s">
        <v>218</v>
      </c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</row>
    <row r="48">
      <c r="A48" t="s">
        <v>5</v>
      </c>
      <c r="B48" t="s">
        <v>366</v>
      </c>
      <c r="C48" t="s">
        <v>217</v>
      </c>
      <c r="D48" t="s">
        <v>367</v>
      </c>
      <c r="E48" t="s">
        <v>218</v>
      </c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</row>
    <row r="49">
      <c r="A49" t="s">
        <v>5</v>
      </c>
      <c r="B49" t="s">
        <v>368</v>
      </c>
      <c r="C49" t="s">
        <v>217</v>
      </c>
      <c r="D49" t="s">
        <v>369</v>
      </c>
      <c r="E49" t="s">
        <v>218</v>
      </c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</row>
    <row r="50">
      <c r="A50" t="s">
        <v>5</v>
      </c>
      <c r="B50" t="s">
        <v>370</v>
      </c>
      <c r="C50" t="s">
        <v>217</v>
      </c>
      <c r="D50" t="s">
        <v>371</v>
      </c>
      <c r="E50" t="s">
        <v>218</v>
      </c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</row>
    <row r="51">
      <c r="A51" t="s">
        <v>5</v>
      </c>
      <c r="B51" t="s">
        <v>372</v>
      </c>
      <c r="C51" t="s">
        <v>217</v>
      </c>
      <c r="D51" t="s">
        <v>373</v>
      </c>
      <c r="E51" t="s">
        <v>218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5</v>
      </c>
      <c r="B52" t="s">
        <v>374</v>
      </c>
      <c r="C52" t="s">
        <v>217</v>
      </c>
      <c r="D52" t="s">
        <v>375</v>
      </c>
      <c r="E52" t="s">
        <v>218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5</v>
      </c>
      <c r="B53" t="s">
        <v>376</v>
      </c>
      <c r="C53" t="s">
        <v>217</v>
      </c>
      <c r="D53" t="s">
        <v>377</v>
      </c>
      <c r="E53" t="s">
        <v>218</v>
      </c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</row>
    <row r="54">
      <c r="A54" t="s">
        <v>5</v>
      </c>
      <c r="B54" t="s">
        <v>378</v>
      </c>
      <c r="C54" t="s">
        <v>217</v>
      </c>
      <c r="D54" t="s">
        <v>379</v>
      </c>
      <c r="E54" t="s">
        <v>218</v>
      </c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</row>
    <row r="55">
      <c r="A55" t="s">
        <v>5</v>
      </c>
      <c r="B55" t="s">
        <v>380</v>
      </c>
      <c r="C55" t="s">
        <v>217</v>
      </c>
      <c r="D55" t="s">
        <v>381</v>
      </c>
      <c r="E55" t="s">
        <v>218</v>
      </c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</row>
    <row r="56">
      <c r="A56" t="s">
        <v>5</v>
      </c>
      <c r="B56" t="s">
        <v>382</v>
      </c>
      <c r="C56" t="s">
        <v>217</v>
      </c>
      <c r="D56" t="s">
        <v>383</v>
      </c>
      <c r="E56" t="s">
        <v>218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5</v>
      </c>
      <c r="B57" t="s">
        <v>384</v>
      </c>
      <c r="C57" t="s">
        <v>217</v>
      </c>
      <c r="D57" t="s">
        <v>385</v>
      </c>
      <c r="E57" t="s">
        <v>218</v>
      </c>
      <c r="F57" t="n">
        <v>426.7</v>
      </c>
      <c r="G57" t="n">
        <v>646</v>
      </c>
      <c r="H57" t="n">
        <v>766.9</v>
      </c>
      <c r="I57" t="n">
        <v>893</v>
      </c>
      <c r="J57" t="n">
        <v>936.8</v>
      </c>
      <c r="K57" t="n">
        <v>1456</v>
      </c>
      <c r="L57" t="n">
        <v>1129.4</v>
      </c>
      <c r="M57" t="n">
        <v>1217.4</v>
      </c>
      <c r="N57" t="n">
        <v>1415.7</v>
      </c>
      <c r="O57" t="n">
        <v>1415.5</v>
      </c>
      <c r="P57" t="n">
        <v>1439.9</v>
      </c>
      <c r="Q57" t="n">
        <v>1724.3</v>
      </c>
      <c r="R57" t="n">
        <v>1834.3</v>
      </c>
      <c r="S57" t="n">
        <v>1955.1</v>
      </c>
      <c r="T57" t="n">
        <v>1850.5</v>
      </c>
      <c r="U57" t="n">
        <v>1310.8</v>
      </c>
      <c r="V57" t="n">
        <v>856.4</v>
      </c>
      <c r="W57" t="n">
        <v>714</v>
      </c>
      <c r="X57" t="n">
        <v>648.6</v>
      </c>
      <c r="Y57" t="n">
        <v>754.1</v>
      </c>
      <c r="Z57" t="n">
        <v>860.9</v>
      </c>
      <c r="AA57" t="n">
        <v>909.2</v>
      </c>
      <c r="AB57" t="n">
        <v>1083.1</v>
      </c>
      <c r="AC57" t="n">
        <v>1304.7</v>
      </c>
      <c r="AD57" t="n">
        <v>1220.5</v>
      </c>
      <c r="AE57" t="n">
        <v>1277.3</v>
      </c>
      <c r="AF57" t="n">
        <v>1685.5</v>
      </c>
    </row>
    <row r="58">
      <c r="A58" t="s">
        <v>5</v>
      </c>
      <c r="B58" t="s">
        <v>386</v>
      </c>
      <c r="C58" t="s">
        <v>217</v>
      </c>
      <c r="D58" t="s">
        <v>387</v>
      </c>
      <c r="E58" t="s">
        <v>218</v>
      </c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</row>
    <row r="59">
      <c r="A59" t="s">
        <v>5</v>
      </c>
      <c r="B59" t="s">
        <v>388</v>
      </c>
      <c r="C59" t="s">
        <v>217</v>
      </c>
      <c r="D59" t="s">
        <v>389</v>
      </c>
      <c r="E59" t="s">
        <v>218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7</v>
      </c>
      <c r="B2" t="s">
        <v>197</v>
      </c>
      <c r="C2" t="s">
        <v>217</v>
      </c>
      <c r="D2" t="s">
        <v>199</v>
      </c>
      <c r="E2" t="s">
        <v>218</v>
      </c>
      <c r="F2" t="n">
        <v>0</v>
      </c>
      <c r="G2" t="n">
        <v>0</v>
      </c>
      <c r="H2" t="n">
        <v>0.1</v>
      </c>
      <c r="I2" t="n">
        <v>0.1</v>
      </c>
      <c r="J2" t="n">
        <v>0.1</v>
      </c>
      <c r="K2" t="n">
        <v>0.2</v>
      </c>
      <c r="L2" t="n">
        <v>0.1</v>
      </c>
      <c r="M2" t="n">
        <v>0.1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7</v>
      </c>
      <c r="B3" t="s">
        <v>276</v>
      </c>
      <c r="C3" t="s">
        <v>217</v>
      </c>
      <c r="D3" t="s">
        <v>277</v>
      </c>
      <c r="E3" t="s">
        <v>218</v>
      </c>
      <c r="F3" t="n">
        <v>0.1</v>
      </c>
      <c r="G3" t="n">
        <v>0.1</v>
      </c>
      <c r="H3" t="n">
        <v>0.1</v>
      </c>
      <c r="I3" t="n">
        <v>0.2</v>
      </c>
      <c r="J3" t="n">
        <v>0.2</v>
      </c>
      <c r="K3" t="n">
        <v>0.3</v>
      </c>
      <c r="L3" t="n">
        <v>0.3</v>
      </c>
      <c r="M3" t="n">
        <v>0.3</v>
      </c>
      <c r="N3" t="n">
        <v>0.3</v>
      </c>
      <c r="O3" t="n">
        <v>0.2</v>
      </c>
      <c r="P3" t="n">
        <v>0.3</v>
      </c>
      <c r="Q3" t="n">
        <v>0.7</v>
      </c>
      <c r="R3" t="n">
        <v>2.2</v>
      </c>
      <c r="S3" t="n">
        <v>1.1</v>
      </c>
      <c r="T3" t="n">
        <v>1.9</v>
      </c>
      <c r="U3" t="n">
        <v>2.8</v>
      </c>
      <c r="V3" t="n">
        <v>2</v>
      </c>
      <c r="W3" t="n">
        <v>5.3</v>
      </c>
      <c r="X3" t="n">
        <v>3.9</v>
      </c>
      <c r="Y3" t="n">
        <v>1.5</v>
      </c>
      <c r="Z3" t="n">
        <v>1.2</v>
      </c>
      <c r="AA3" t="n">
        <v>1.2</v>
      </c>
      <c r="AB3" t="n">
        <v>1.3</v>
      </c>
      <c r="AC3" t="n">
        <v>1.8</v>
      </c>
      <c r="AD3" t="n">
        <v>2.2</v>
      </c>
      <c r="AE3" t="n">
        <v>1.2</v>
      </c>
      <c r="AF3" t="n">
        <v>2.1</v>
      </c>
    </row>
    <row r="4">
      <c r="A4" t="s">
        <v>7</v>
      </c>
      <c r="B4" t="s">
        <v>278</v>
      </c>
      <c r="C4" t="s">
        <v>217</v>
      </c>
      <c r="D4" t="s">
        <v>279</v>
      </c>
      <c r="E4" t="s">
        <v>218</v>
      </c>
      <c r="F4" t="n">
        <v>14.4</v>
      </c>
      <c r="G4" t="n">
        <v>15.9</v>
      </c>
      <c r="H4" t="n">
        <v>18.9</v>
      </c>
      <c r="I4" t="n">
        <v>22.5</v>
      </c>
      <c r="J4" t="n">
        <v>25.3</v>
      </c>
      <c r="K4" t="n">
        <v>41.2</v>
      </c>
      <c r="L4" t="n">
        <v>29.9</v>
      </c>
      <c r="M4" t="n">
        <v>25.1</v>
      </c>
      <c r="N4" t="n">
        <v>23.5</v>
      </c>
      <c r="O4" t="n">
        <v>20.2</v>
      </c>
      <c r="P4" t="n">
        <v>37.9</v>
      </c>
      <c r="Q4" t="n">
        <v>43.8</v>
      </c>
      <c r="R4" t="n">
        <v>46.9</v>
      </c>
      <c r="S4" t="n">
        <v>37.5</v>
      </c>
      <c r="T4" t="n">
        <v>39.7</v>
      </c>
      <c r="U4" t="n">
        <v>86.7</v>
      </c>
      <c r="V4" t="n">
        <v>78.6</v>
      </c>
      <c r="W4" t="n">
        <v>80.2</v>
      </c>
      <c r="X4" t="n">
        <v>84.3</v>
      </c>
      <c r="Y4" t="n">
        <v>100.6</v>
      </c>
      <c r="Z4" t="n">
        <v>73.9</v>
      </c>
      <c r="AA4" t="n">
        <v>82.7</v>
      </c>
      <c r="AB4" t="n">
        <v>89.7</v>
      </c>
      <c r="AC4" t="n">
        <v>122.7</v>
      </c>
      <c r="AD4" t="n">
        <v>126.6</v>
      </c>
      <c r="AE4" t="n">
        <v>128.2</v>
      </c>
      <c r="AF4" t="n">
        <v>193.6</v>
      </c>
    </row>
    <row r="5">
      <c r="A5" t="s">
        <v>7</v>
      </c>
      <c r="B5" t="s">
        <v>280</v>
      </c>
      <c r="C5" t="s">
        <v>217</v>
      </c>
      <c r="D5" t="s">
        <v>281</v>
      </c>
      <c r="E5" t="s">
        <v>218</v>
      </c>
      <c r="F5" t="n">
        <v>2.8</v>
      </c>
      <c r="G5" t="n">
        <v>3</v>
      </c>
      <c r="H5" t="n">
        <v>3.4</v>
      </c>
      <c r="I5" t="n">
        <v>4.2</v>
      </c>
      <c r="J5" t="n">
        <v>4.7</v>
      </c>
      <c r="K5" t="n">
        <v>6.9</v>
      </c>
      <c r="L5" t="n">
        <v>6.5</v>
      </c>
      <c r="M5" t="n">
        <v>7</v>
      </c>
      <c r="N5" t="n">
        <v>6.5</v>
      </c>
      <c r="O5" t="n">
        <v>5</v>
      </c>
      <c r="P5" t="n">
        <v>4.5</v>
      </c>
      <c r="Q5" t="n">
        <v>6.2</v>
      </c>
      <c r="R5" t="n">
        <v>8.1</v>
      </c>
      <c r="S5" t="n">
        <v>7.1</v>
      </c>
      <c r="T5" t="n">
        <v>8.5</v>
      </c>
      <c r="U5" t="n">
        <v>22.6</v>
      </c>
      <c r="V5" t="n">
        <v>17.8</v>
      </c>
      <c r="W5" t="n">
        <v>18.2</v>
      </c>
      <c r="X5" t="n">
        <v>17.6</v>
      </c>
      <c r="Y5" t="n">
        <v>23.8</v>
      </c>
      <c r="Z5" t="n">
        <v>15.6</v>
      </c>
      <c r="AA5" t="n">
        <v>16.3</v>
      </c>
      <c r="AB5" t="n">
        <v>17.8</v>
      </c>
      <c r="AC5" t="n">
        <v>29</v>
      </c>
      <c r="AD5" t="n">
        <v>25.6</v>
      </c>
      <c r="AE5" t="n">
        <v>26.8</v>
      </c>
      <c r="AF5" t="n">
        <v>39.8</v>
      </c>
    </row>
    <row r="6">
      <c r="A6" t="s">
        <v>7</v>
      </c>
      <c r="B6" t="s">
        <v>282</v>
      </c>
      <c r="C6" t="s">
        <v>217</v>
      </c>
      <c r="D6" t="s">
        <v>283</v>
      </c>
      <c r="E6" t="s">
        <v>218</v>
      </c>
      <c r="F6" t="n">
        <v>1.3</v>
      </c>
      <c r="G6" t="n">
        <v>1.5</v>
      </c>
      <c r="H6" t="n">
        <v>2.1</v>
      </c>
      <c r="I6" t="n">
        <v>2.3</v>
      </c>
      <c r="J6" t="n">
        <v>2.6</v>
      </c>
      <c r="K6" t="n">
        <v>5.3</v>
      </c>
      <c r="L6" t="n">
        <v>1.9</v>
      </c>
      <c r="M6" t="n">
        <v>1.7</v>
      </c>
      <c r="N6" t="n">
        <v>1.4</v>
      </c>
      <c r="O6" t="n">
        <v>1.4</v>
      </c>
      <c r="P6" t="n">
        <v>2.2</v>
      </c>
      <c r="Q6" t="n">
        <v>4.2</v>
      </c>
      <c r="R6" t="n">
        <v>5.7</v>
      </c>
      <c r="S6" t="n">
        <v>2</v>
      </c>
      <c r="T6" t="n">
        <v>2.9</v>
      </c>
      <c r="U6" t="n">
        <v>5.5</v>
      </c>
      <c r="V6" t="n">
        <v>5.2</v>
      </c>
      <c r="W6" t="n">
        <v>5.1</v>
      </c>
      <c r="X6" t="n">
        <v>5.8</v>
      </c>
      <c r="Y6" t="n">
        <v>6.4</v>
      </c>
      <c r="Z6" t="n">
        <v>4.8</v>
      </c>
      <c r="AA6" t="n">
        <v>4.8</v>
      </c>
      <c r="AB6" t="n">
        <v>5.3</v>
      </c>
      <c r="AC6" t="n">
        <v>6.4</v>
      </c>
      <c r="AD6" t="n">
        <v>6</v>
      </c>
      <c r="AE6" t="n">
        <v>6.9</v>
      </c>
      <c r="AF6" t="n">
        <v>10.6</v>
      </c>
    </row>
    <row r="7">
      <c r="A7" t="s">
        <v>7</v>
      </c>
      <c r="B7" t="s">
        <v>284</v>
      </c>
      <c r="C7" t="s">
        <v>217</v>
      </c>
      <c r="D7" t="s">
        <v>285</v>
      </c>
      <c r="E7" t="s">
        <v>218</v>
      </c>
      <c r="F7" t="n">
        <v>2.8</v>
      </c>
      <c r="G7" t="n">
        <v>2.9</v>
      </c>
      <c r="H7" t="n">
        <v>2.9</v>
      </c>
      <c r="I7" t="n">
        <v>3.9</v>
      </c>
      <c r="J7" t="n">
        <v>4.4</v>
      </c>
      <c r="K7" t="n">
        <v>5.4</v>
      </c>
      <c r="L7" t="n">
        <v>6.5</v>
      </c>
      <c r="M7" t="n">
        <v>4.4</v>
      </c>
      <c r="N7" t="n">
        <v>3.9</v>
      </c>
      <c r="O7" t="n">
        <v>3.7</v>
      </c>
      <c r="P7" t="n">
        <v>4.2</v>
      </c>
      <c r="Q7" t="n">
        <v>6</v>
      </c>
      <c r="R7" t="n">
        <v>7.7</v>
      </c>
      <c r="S7" t="n">
        <v>8.1</v>
      </c>
      <c r="T7" t="n">
        <v>9.4</v>
      </c>
      <c r="U7" t="n">
        <v>15.5</v>
      </c>
      <c r="V7" t="n">
        <v>16.1</v>
      </c>
      <c r="W7" t="n">
        <v>17.4</v>
      </c>
      <c r="X7" t="n">
        <v>17.2</v>
      </c>
      <c r="Y7" t="n">
        <v>22</v>
      </c>
      <c r="Z7" t="n">
        <v>15.8</v>
      </c>
      <c r="AA7" t="n">
        <v>18.1</v>
      </c>
      <c r="AB7" t="n">
        <v>19.8</v>
      </c>
      <c r="AC7" t="n">
        <v>23.3</v>
      </c>
      <c r="AD7" t="n">
        <v>21.4</v>
      </c>
      <c r="AE7" t="n">
        <v>24</v>
      </c>
      <c r="AF7" t="n">
        <v>35.9</v>
      </c>
    </row>
    <row r="8">
      <c r="A8" t="s">
        <v>7</v>
      </c>
      <c r="B8" t="s">
        <v>286</v>
      </c>
      <c r="C8" t="s">
        <v>217</v>
      </c>
      <c r="D8" t="s">
        <v>287</v>
      </c>
      <c r="E8" t="s">
        <v>218</v>
      </c>
      <c r="F8" t="n">
        <v>1.4</v>
      </c>
      <c r="G8" t="n">
        <v>1.9</v>
      </c>
      <c r="H8" t="n">
        <v>3.3</v>
      </c>
      <c r="I8" t="n">
        <v>3.2</v>
      </c>
      <c r="J8" t="n">
        <v>3.6</v>
      </c>
      <c r="K8" t="n">
        <v>9.3</v>
      </c>
      <c r="L8" t="n">
        <v>0.8</v>
      </c>
      <c r="M8" t="n">
        <v>0.5</v>
      </c>
      <c r="N8" t="n">
        <v>0.5</v>
      </c>
      <c r="O8" t="n">
        <v>0.4</v>
      </c>
      <c r="P8" t="n">
        <v>0.4</v>
      </c>
      <c r="Q8" t="n">
        <v>0.6</v>
      </c>
      <c r="R8" t="n">
        <v>1.4</v>
      </c>
      <c r="S8" t="n">
        <v>0.7</v>
      </c>
      <c r="T8" t="n">
        <v>0.8</v>
      </c>
      <c r="U8" t="n">
        <v>1.8</v>
      </c>
      <c r="V8" t="n">
        <v>1.9</v>
      </c>
      <c r="W8" t="n">
        <v>2.2</v>
      </c>
      <c r="X8" t="n">
        <v>2.4</v>
      </c>
      <c r="Y8" t="n">
        <v>3.1</v>
      </c>
      <c r="Z8" t="n">
        <v>2.6</v>
      </c>
      <c r="AA8" t="n">
        <v>6.7</v>
      </c>
      <c r="AB8" t="n">
        <v>6.7</v>
      </c>
      <c r="AC8" t="n">
        <v>4.1</v>
      </c>
      <c r="AD8" t="n">
        <v>7.1</v>
      </c>
      <c r="AE8" t="n">
        <v>7.3</v>
      </c>
      <c r="AF8" t="n">
        <v>15.4</v>
      </c>
    </row>
    <row r="9">
      <c r="A9" t="s">
        <v>7</v>
      </c>
      <c r="B9" t="s">
        <v>288</v>
      </c>
      <c r="C9" t="s">
        <v>217</v>
      </c>
      <c r="D9" t="s">
        <v>289</v>
      </c>
      <c r="E9" t="s">
        <v>218</v>
      </c>
      <c r="F9" t="n">
        <v>0.4</v>
      </c>
      <c r="G9" t="n">
        <v>0.5</v>
      </c>
      <c r="H9" t="n">
        <v>0.5</v>
      </c>
      <c r="I9" t="n">
        <v>0.6</v>
      </c>
      <c r="J9" t="n">
        <v>0.7</v>
      </c>
      <c r="K9" t="n">
        <v>1</v>
      </c>
      <c r="L9" t="n">
        <v>1.1</v>
      </c>
      <c r="M9" t="n">
        <v>0.9</v>
      </c>
      <c r="N9" t="n">
        <v>0.8</v>
      </c>
      <c r="O9" t="n">
        <v>0.9</v>
      </c>
      <c r="P9" t="n">
        <v>0.7</v>
      </c>
      <c r="Q9" t="n">
        <v>1.2</v>
      </c>
      <c r="R9" t="n">
        <v>1.5</v>
      </c>
      <c r="S9" t="n">
        <v>2.7</v>
      </c>
      <c r="T9" t="n">
        <v>1.1</v>
      </c>
      <c r="U9" t="n">
        <v>2.7</v>
      </c>
      <c r="V9" t="n">
        <v>2.5</v>
      </c>
      <c r="W9" t="n">
        <v>2.9</v>
      </c>
      <c r="X9" t="n">
        <v>3.6</v>
      </c>
      <c r="Y9" t="n">
        <v>3.3</v>
      </c>
      <c r="Z9" t="n">
        <v>2.4</v>
      </c>
      <c r="AA9" t="n">
        <v>2.5</v>
      </c>
      <c r="AB9" t="n">
        <v>2.7</v>
      </c>
      <c r="AC9" t="n">
        <v>3.6</v>
      </c>
      <c r="AD9" t="n">
        <v>3.4</v>
      </c>
      <c r="AE9" t="n">
        <v>3.9</v>
      </c>
      <c r="AF9" t="n">
        <v>5.6</v>
      </c>
    </row>
    <row r="10">
      <c r="A10" t="s">
        <v>7</v>
      </c>
      <c r="B10" t="s">
        <v>290</v>
      </c>
      <c r="C10" t="s">
        <v>217</v>
      </c>
      <c r="D10" t="s">
        <v>291</v>
      </c>
      <c r="E10" t="s">
        <v>218</v>
      </c>
      <c r="F10" t="n">
        <v>0.5</v>
      </c>
      <c r="G10" t="n">
        <v>0.7</v>
      </c>
      <c r="H10" t="n">
        <v>0.7</v>
      </c>
      <c r="I10" t="n">
        <v>0.8</v>
      </c>
      <c r="J10" t="n">
        <v>0.9</v>
      </c>
      <c r="K10" t="n">
        <v>1.4</v>
      </c>
      <c r="L10" t="n">
        <v>1.5</v>
      </c>
      <c r="M10" t="n">
        <v>1.2</v>
      </c>
      <c r="N10" t="n">
        <v>1.1</v>
      </c>
      <c r="O10" t="n">
        <v>1.2</v>
      </c>
      <c r="P10" t="n">
        <v>1.3</v>
      </c>
      <c r="Q10" t="n">
        <v>1.7</v>
      </c>
      <c r="R10" t="n">
        <v>2.9</v>
      </c>
      <c r="S10" t="n">
        <v>3.3</v>
      </c>
      <c r="T10" t="n">
        <v>2.7</v>
      </c>
      <c r="U10" t="n">
        <v>4.9</v>
      </c>
      <c r="V10" t="n">
        <v>3.6</v>
      </c>
      <c r="W10" t="n">
        <v>4.3</v>
      </c>
      <c r="X10" t="n">
        <v>7.9</v>
      </c>
      <c r="Y10" t="n">
        <v>5.1</v>
      </c>
      <c r="Z10" t="n">
        <v>5.2</v>
      </c>
      <c r="AA10" t="n">
        <v>4.4</v>
      </c>
      <c r="AB10" t="n">
        <v>4.6</v>
      </c>
      <c r="AC10" t="n">
        <v>8.2</v>
      </c>
      <c r="AD10" t="n">
        <v>8.4</v>
      </c>
      <c r="AE10" t="n">
        <v>9.6</v>
      </c>
      <c r="AF10" t="n">
        <v>12.5</v>
      </c>
    </row>
    <row r="11">
      <c r="A11" t="s">
        <v>7</v>
      </c>
      <c r="B11" t="s">
        <v>292</v>
      </c>
      <c r="C11" t="s">
        <v>217</v>
      </c>
      <c r="D11" t="s">
        <v>293</v>
      </c>
      <c r="E11" t="s">
        <v>218</v>
      </c>
      <c r="F11" t="n">
        <v>0.1</v>
      </c>
      <c r="G11" t="n">
        <v>0.2</v>
      </c>
      <c r="H11" t="n">
        <v>0.2</v>
      </c>
      <c r="I11" t="n">
        <v>0.2</v>
      </c>
      <c r="J11" t="n">
        <v>0.2</v>
      </c>
      <c r="K11" t="n">
        <v>0.4</v>
      </c>
      <c r="L11" t="n">
        <v>0.4</v>
      </c>
      <c r="M11" t="n">
        <v>0.3</v>
      </c>
      <c r="N11" t="n">
        <v>0.3</v>
      </c>
      <c r="O11" t="n">
        <v>0.3</v>
      </c>
      <c r="P11" t="n">
        <v>0.6</v>
      </c>
      <c r="Q11" t="n">
        <v>0.5</v>
      </c>
      <c r="R11" t="n">
        <v>1.4</v>
      </c>
      <c r="S11" t="n">
        <v>0.6</v>
      </c>
      <c r="T11" t="n">
        <v>1.6</v>
      </c>
      <c r="U11" t="n">
        <v>2.2</v>
      </c>
      <c r="V11" t="n">
        <v>1.1</v>
      </c>
      <c r="W11" t="n">
        <v>1.4</v>
      </c>
      <c r="X11" t="n">
        <v>4.3</v>
      </c>
      <c r="Y11" t="n">
        <v>1.8</v>
      </c>
      <c r="Z11" t="n">
        <v>2.8</v>
      </c>
      <c r="AA11" t="n">
        <v>1.9</v>
      </c>
      <c r="AB11" t="n">
        <v>1.9</v>
      </c>
      <c r="AC11" t="n">
        <v>4.6</v>
      </c>
      <c r="AD11" t="n">
        <v>5</v>
      </c>
      <c r="AE11" t="n">
        <v>5.7</v>
      </c>
      <c r="AF11" t="n">
        <v>6.9</v>
      </c>
    </row>
    <row r="12">
      <c r="A12" t="s">
        <v>7</v>
      </c>
      <c r="B12" t="s">
        <v>294</v>
      </c>
      <c r="C12" t="s">
        <v>217</v>
      </c>
      <c r="D12" t="s">
        <v>295</v>
      </c>
      <c r="E12" t="s">
        <v>218</v>
      </c>
      <c r="F12" t="n">
        <v>0.2</v>
      </c>
      <c r="G12" t="n">
        <v>0.3</v>
      </c>
      <c r="H12" t="n">
        <v>0.4</v>
      </c>
      <c r="I12" t="n">
        <v>0.4</v>
      </c>
      <c r="J12" t="n">
        <v>0.5</v>
      </c>
      <c r="K12" t="n">
        <v>0.9</v>
      </c>
      <c r="L12" t="n">
        <v>0.6</v>
      </c>
      <c r="M12" t="n">
        <v>1.2</v>
      </c>
      <c r="N12" t="n">
        <v>1.2</v>
      </c>
      <c r="O12" t="n">
        <v>0.8</v>
      </c>
      <c r="P12" t="n">
        <v>0.8</v>
      </c>
      <c r="Q12" t="n">
        <v>0.9</v>
      </c>
      <c r="R12" t="n">
        <v>2</v>
      </c>
      <c r="S12" t="n">
        <v>2.8</v>
      </c>
      <c r="T12" t="n">
        <v>1.5</v>
      </c>
      <c r="U12" t="n">
        <v>2.5</v>
      </c>
      <c r="V12" t="n">
        <v>2.5</v>
      </c>
      <c r="W12" t="n">
        <v>2</v>
      </c>
      <c r="X12" t="n">
        <v>3.5</v>
      </c>
      <c r="Y12" t="n">
        <v>2.4</v>
      </c>
      <c r="Z12" t="n">
        <v>1.3</v>
      </c>
      <c r="AA12" t="n">
        <v>2.6</v>
      </c>
      <c r="AB12" t="n">
        <v>2.5</v>
      </c>
      <c r="AC12" t="n">
        <v>2.6</v>
      </c>
      <c r="AD12" t="n">
        <v>12.8</v>
      </c>
      <c r="AE12" t="n">
        <v>3</v>
      </c>
      <c r="AF12" t="n">
        <v>3.3</v>
      </c>
    </row>
    <row r="13">
      <c r="A13" t="s">
        <v>7</v>
      </c>
      <c r="B13" t="s">
        <v>296</v>
      </c>
      <c r="C13" t="s">
        <v>217</v>
      </c>
      <c r="D13" t="s">
        <v>297</v>
      </c>
      <c r="E13" t="s">
        <v>218</v>
      </c>
      <c r="F13" t="n">
        <v>1.3</v>
      </c>
      <c r="G13" t="n">
        <v>1.5</v>
      </c>
      <c r="H13" t="n">
        <v>1.8</v>
      </c>
      <c r="I13" t="n">
        <v>2.1</v>
      </c>
      <c r="J13" t="n">
        <v>2.4</v>
      </c>
      <c r="K13" t="n">
        <v>4</v>
      </c>
      <c r="L13" t="n">
        <v>2.7</v>
      </c>
      <c r="M13" t="n">
        <v>2.6</v>
      </c>
      <c r="N13" t="n">
        <v>2.4</v>
      </c>
      <c r="O13" t="n">
        <v>2.2</v>
      </c>
      <c r="P13" t="n">
        <v>7.1</v>
      </c>
      <c r="Q13" t="n">
        <v>6.3</v>
      </c>
      <c r="R13" t="n">
        <v>6.7</v>
      </c>
      <c r="S13" t="n">
        <v>3.7</v>
      </c>
      <c r="T13" t="n">
        <v>3</v>
      </c>
      <c r="U13" t="n">
        <v>12.2</v>
      </c>
      <c r="V13" t="n">
        <v>9.7</v>
      </c>
      <c r="W13" t="n">
        <v>7.9</v>
      </c>
      <c r="X13" t="n">
        <v>6.8</v>
      </c>
      <c r="Y13" t="n">
        <v>9.4</v>
      </c>
      <c r="Z13" t="n">
        <v>7.7</v>
      </c>
      <c r="AA13" t="n">
        <v>6.4</v>
      </c>
      <c r="AB13" t="n">
        <v>7.3</v>
      </c>
      <c r="AC13" t="n">
        <v>10.2</v>
      </c>
      <c r="AD13" t="n">
        <v>10.1</v>
      </c>
      <c r="AE13" t="n">
        <v>11.5</v>
      </c>
      <c r="AF13" t="n">
        <v>19.6</v>
      </c>
    </row>
    <row r="14">
      <c r="A14" t="s">
        <v>7</v>
      </c>
      <c r="B14" t="s">
        <v>298</v>
      </c>
      <c r="C14" t="s">
        <v>217</v>
      </c>
      <c r="D14" t="s">
        <v>299</v>
      </c>
      <c r="E14" t="s">
        <v>218</v>
      </c>
      <c r="F14" t="n">
        <v>2.5</v>
      </c>
      <c r="G14" t="n">
        <v>2.6</v>
      </c>
      <c r="H14" t="n">
        <v>2.6</v>
      </c>
      <c r="I14" t="n">
        <v>3.4</v>
      </c>
      <c r="J14" t="n">
        <v>3.8</v>
      </c>
      <c r="K14" t="n">
        <v>4.8</v>
      </c>
      <c r="L14" t="n">
        <v>6.1</v>
      </c>
      <c r="M14" t="n">
        <v>3.5</v>
      </c>
      <c r="N14" t="n">
        <v>3.8</v>
      </c>
      <c r="O14" t="n">
        <v>3.2</v>
      </c>
      <c r="P14" t="n">
        <v>13.7</v>
      </c>
      <c r="Q14" t="n">
        <v>9.3</v>
      </c>
      <c r="R14" t="n">
        <v>6.7</v>
      </c>
      <c r="S14" t="n">
        <v>4.9</v>
      </c>
      <c r="T14" t="n">
        <v>5.3</v>
      </c>
      <c r="U14" t="n">
        <v>12.6</v>
      </c>
      <c r="V14" t="n">
        <v>12.8</v>
      </c>
      <c r="W14" t="n">
        <v>13.7</v>
      </c>
      <c r="X14" t="n">
        <v>14</v>
      </c>
      <c r="Y14" t="n">
        <v>16.9</v>
      </c>
      <c r="Z14" t="n">
        <v>12.1</v>
      </c>
      <c r="AA14" t="n">
        <v>13.1</v>
      </c>
      <c r="AB14" t="n">
        <v>14.5</v>
      </c>
      <c r="AC14" t="n">
        <v>19.3</v>
      </c>
      <c r="AD14" t="n">
        <v>17.8</v>
      </c>
      <c r="AE14" t="n">
        <v>19.5</v>
      </c>
      <c r="AF14" t="n">
        <v>28.4</v>
      </c>
    </row>
    <row r="15">
      <c r="A15" t="s">
        <v>7</v>
      </c>
      <c r="B15" t="s">
        <v>300</v>
      </c>
      <c r="C15" t="s">
        <v>217</v>
      </c>
      <c r="D15" t="s">
        <v>301</v>
      </c>
      <c r="E15" t="s">
        <v>218</v>
      </c>
      <c r="F15" t="n">
        <v>2.6</v>
      </c>
      <c r="G15" t="n">
        <v>2.7</v>
      </c>
      <c r="H15" t="n">
        <v>2.8</v>
      </c>
      <c r="I15" t="n">
        <v>3.6</v>
      </c>
      <c r="J15" t="n">
        <v>4</v>
      </c>
      <c r="K15" t="n">
        <v>5.2</v>
      </c>
      <c r="L15" t="n">
        <v>6.3</v>
      </c>
      <c r="M15" t="n">
        <v>3.8</v>
      </c>
      <c r="N15" t="n">
        <v>4.1</v>
      </c>
      <c r="O15" t="n">
        <v>3.4</v>
      </c>
      <c r="P15" t="n">
        <v>14.4</v>
      </c>
      <c r="Q15" t="n">
        <v>12.2</v>
      </c>
      <c r="R15" t="n">
        <v>7.4</v>
      </c>
      <c r="S15" t="n">
        <v>5.2</v>
      </c>
      <c r="T15" t="n">
        <v>5.8</v>
      </c>
      <c r="U15" t="n">
        <v>13.9</v>
      </c>
      <c r="V15" t="n">
        <v>13.6</v>
      </c>
      <c r="W15" t="n">
        <v>14.5</v>
      </c>
      <c r="X15" t="n">
        <v>14.6</v>
      </c>
      <c r="Y15" t="n">
        <v>17.7</v>
      </c>
      <c r="Z15" t="n">
        <v>13.2</v>
      </c>
      <c r="AA15" t="n">
        <v>13.7</v>
      </c>
      <c r="AB15" t="n">
        <v>15.1</v>
      </c>
      <c r="AC15" t="n">
        <v>22.2</v>
      </c>
      <c r="AD15" t="n">
        <v>21.4</v>
      </c>
      <c r="AE15" t="n">
        <v>23.4</v>
      </c>
      <c r="AF15" t="n">
        <v>32.8</v>
      </c>
    </row>
    <row r="16">
      <c r="A16" t="s">
        <v>7</v>
      </c>
      <c r="B16" t="s">
        <v>302</v>
      </c>
      <c r="C16" t="s">
        <v>217</v>
      </c>
      <c r="D16" t="s">
        <v>303</v>
      </c>
      <c r="E16" t="s">
        <v>218</v>
      </c>
      <c r="F16" t="n">
        <v>0.1</v>
      </c>
      <c r="G16" t="n">
        <v>0.1</v>
      </c>
      <c r="H16" t="n">
        <v>0.2</v>
      </c>
      <c r="I16" t="n">
        <v>0.2</v>
      </c>
      <c r="J16" t="n">
        <v>0.2</v>
      </c>
      <c r="K16" t="n">
        <v>0.4</v>
      </c>
      <c r="L16" t="n">
        <v>0.2</v>
      </c>
      <c r="M16" t="n">
        <v>0.3</v>
      </c>
      <c r="N16" t="n">
        <v>0.3</v>
      </c>
      <c r="O16" t="n">
        <v>0.2</v>
      </c>
      <c r="P16" t="n">
        <v>0.7</v>
      </c>
      <c r="Q16" t="n">
        <v>2.9</v>
      </c>
      <c r="R16" t="n">
        <v>0.7</v>
      </c>
      <c r="S16" t="n">
        <v>0.3</v>
      </c>
      <c r="T16" t="n">
        <v>0.5</v>
      </c>
      <c r="U16" t="n">
        <v>1.3</v>
      </c>
      <c r="V16" t="n">
        <v>0.8</v>
      </c>
      <c r="W16" t="n">
        <v>0.8</v>
      </c>
      <c r="X16" t="n">
        <v>0.6</v>
      </c>
      <c r="Y16" t="n">
        <v>0.8</v>
      </c>
      <c r="Z16" t="n">
        <v>1.1</v>
      </c>
      <c r="AA16" t="n">
        <v>0.6</v>
      </c>
      <c r="AB16" t="n">
        <v>0.6</v>
      </c>
      <c r="AC16" t="n">
        <v>2.9</v>
      </c>
      <c r="AD16" t="n">
        <v>3.6</v>
      </c>
      <c r="AE16" t="n">
        <v>3.9</v>
      </c>
      <c r="AF16" t="n">
        <v>4.4</v>
      </c>
    </row>
    <row r="17">
      <c r="A17" t="s">
        <v>7</v>
      </c>
      <c r="B17" t="s">
        <v>304</v>
      </c>
      <c r="C17" t="s">
        <v>217</v>
      </c>
      <c r="D17" t="s">
        <v>305</v>
      </c>
      <c r="E17" t="s">
        <v>218</v>
      </c>
      <c r="F17" t="n">
        <v>0.4</v>
      </c>
      <c r="G17" t="n">
        <v>0.4</v>
      </c>
      <c r="H17" t="n">
        <v>0.5</v>
      </c>
      <c r="I17" t="n">
        <v>0.6</v>
      </c>
      <c r="J17" t="n">
        <v>0.7</v>
      </c>
      <c r="K17" t="n">
        <v>0.9</v>
      </c>
      <c r="L17" t="n">
        <v>0.9</v>
      </c>
      <c r="M17" t="n">
        <v>0.8</v>
      </c>
      <c r="N17" t="n">
        <v>0.7</v>
      </c>
      <c r="O17" t="n">
        <v>0.6</v>
      </c>
      <c r="P17" t="n">
        <v>1</v>
      </c>
      <c r="Q17" t="n">
        <v>1.7</v>
      </c>
      <c r="R17" t="n">
        <v>1.3</v>
      </c>
      <c r="S17" t="n">
        <v>1.4</v>
      </c>
      <c r="T17" t="n">
        <v>1</v>
      </c>
      <c r="U17" t="n">
        <v>2.2</v>
      </c>
      <c r="V17" t="n">
        <v>2.3</v>
      </c>
      <c r="W17" t="n">
        <v>2.4</v>
      </c>
      <c r="X17" t="n">
        <v>2.5</v>
      </c>
      <c r="Y17" t="n">
        <v>2.9</v>
      </c>
      <c r="Z17" t="n">
        <v>2.1</v>
      </c>
      <c r="AA17" t="n">
        <v>3.9</v>
      </c>
      <c r="AB17" t="n">
        <v>4.1</v>
      </c>
      <c r="AC17" t="n">
        <v>8.3</v>
      </c>
      <c r="AD17" t="n">
        <v>5.9</v>
      </c>
      <c r="AE17" t="n">
        <v>6.6</v>
      </c>
      <c r="AF17" t="n">
        <v>10.2</v>
      </c>
    </row>
    <row r="18">
      <c r="A18" t="s">
        <v>7</v>
      </c>
      <c r="B18" t="s">
        <v>306</v>
      </c>
      <c r="C18" t="s">
        <v>217</v>
      </c>
      <c r="D18" t="s">
        <v>307</v>
      </c>
      <c r="E18" t="s">
        <v>218</v>
      </c>
      <c r="F18" t="n">
        <v>0.2</v>
      </c>
      <c r="G18" t="n">
        <v>0.3</v>
      </c>
      <c r="H18" t="n">
        <v>0.3</v>
      </c>
      <c r="I18" t="n">
        <v>0.4</v>
      </c>
      <c r="J18" t="n">
        <v>0.4</v>
      </c>
      <c r="K18" t="n">
        <v>0.6</v>
      </c>
      <c r="L18" t="n">
        <v>0.5</v>
      </c>
      <c r="M18" t="n">
        <v>0.6</v>
      </c>
      <c r="N18" t="n">
        <v>0.4</v>
      </c>
      <c r="O18" t="n">
        <v>0.4</v>
      </c>
      <c r="P18" t="n">
        <v>0.5</v>
      </c>
      <c r="Q18" t="n">
        <v>1.1</v>
      </c>
      <c r="R18" t="n">
        <v>0.6</v>
      </c>
      <c r="S18" t="n">
        <v>1</v>
      </c>
      <c r="T18" t="n">
        <v>1.5</v>
      </c>
      <c r="U18" t="n">
        <v>1.4</v>
      </c>
      <c r="V18" t="n">
        <v>1.2</v>
      </c>
      <c r="W18" t="n">
        <v>1.2</v>
      </c>
      <c r="X18" t="n">
        <v>1.3</v>
      </c>
      <c r="Y18" t="n">
        <v>1.6</v>
      </c>
      <c r="Z18" t="n">
        <v>1.1</v>
      </c>
      <c r="AA18" t="n">
        <v>1.3</v>
      </c>
      <c r="AB18" t="n">
        <v>1.4</v>
      </c>
      <c r="AC18" t="n">
        <v>1.9</v>
      </c>
      <c r="AD18" t="n">
        <v>1.6</v>
      </c>
      <c r="AE18" t="n">
        <v>2.1</v>
      </c>
      <c r="AF18" t="n">
        <v>3.2</v>
      </c>
    </row>
    <row r="19">
      <c r="A19" t="s">
        <v>7</v>
      </c>
      <c r="B19" t="s">
        <v>308</v>
      </c>
      <c r="C19" t="s">
        <v>217</v>
      </c>
      <c r="D19" t="s">
        <v>309</v>
      </c>
      <c r="E19" t="s">
        <v>218</v>
      </c>
      <c r="F19" t="n">
        <v>0.7</v>
      </c>
      <c r="G19" t="n">
        <v>0.7</v>
      </c>
      <c r="H19" t="n">
        <v>0.7</v>
      </c>
      <c r="I19" t="n">
        <v>1</v>
      </c>
      <c r="J19" t="n">
        <v>1.1</v>
      </c>
      <c r="K19" t="n">
        <v>1.3</v>
      </c>
      <c r="L19" t="n">
        <v>1.7</v>
      </c>
      <c r="M19" t="n">
        <v>1.3</v>
      </c>
      <c r="N19" t="n">
        <v>1.3</v>
      </c>
      <c r="O19" t="n">
        <v>1.1</v>
      </c>
      <c r="P19" t="n">
        <v>1.5</v>
      </c>
      <c r="Q19" t="n">
        <v>2.9</v>
      </c>
      <c r="R19" t="n">
        <v>3.1</v>
      </c>
      <c r="S19" t="n">
        <v>2.2</v>
      </c>
      <c r="T19" t="n">
        <v>2.6</v>
      </c>
      <c r="U19" t="n">
        <v>4.2</v>
      </c>
      <c r="V19" t="n">
        <v>4.7</v>
      </c>
      <c r="W19" t="n">
        <v>5</v>
      </c>
      <c r="X19" t="n">
        <v>4.7</v>
      </c>
      <c r="Y19" t="n">
        <v>6.2</v>
      </c>
      <c r="Z19" t="n">
        <v>4.5</v>
      </c>
      <c r="AA19" t="n">
        <v>4.5</v>
      </c>
      <c r="AB19" t="n">
        <v>5.1</v>
      </c>
      <c r="AC19" t="n">
        <v>6.5</v>
      </c>
      <c r="AD19" t="n">
        <v>6.3</v>
      </c>
      <c r="AE19" t="n">
        <v>7</v>
      </c>
      <c r="AF19" t="n">
        <v>10.3</v>
      </c>
    </row>
    <row r="20">
      <c r="A20" t="s">
        <v>7</v>
      </c>
      <c r="B20" t="s">
        <v>310</v>
      </c>
      <c r="C20" t="s">
        <v>217</v>
      </c>
      <c r="D20" t="s">
        <v>311</v>
      </c>
      <c r="E20" t="s">
        <v>218</v>
      </c>
      <c r="F20" t="n">
        <v>3</v>
      </c>
      <c r="G20" t="n">
        <v>3.2</v>
      </c>
      <c r="H20" t="n">
        <v>3.6</v>
      </c>
      <c r="I20" t="n">
        <v>4.4</v>
      </c>
      <c r="J20" t="n">
        <v>5</v>
      </c>
      <c r="K20" t="n">
        <v>7.2</v>
      </c>
      <c r="L20" t="n">
        <v>6.5</v>
      </c>
      <c r="M20" t="n">
        <v>4</v>
      </c>
      <c r="N20" t="n">
        <v>4</v>
      </c>
      <c r="O20" t="n">
        <v>3.8</v>
      </c>
      <c r="P20" t="n">
        <v>4.7</v>
      </c>
      <c r="Q20" t="n">
        <v>5.6</v>
      </c>
      <c r="R20" t="n">
        <v>5.5</v>
      </c>
      <c r="S20" t="n">
        <v>3.9</v>
      </c>
      <c r="T20" t="n">
        <v>5.6</v>
      </c>
      <c r="U20" t="n">
        <v>11.8</v>
      </c>
      <c r="V20" t="n">
        <v>14.4</v>
      </c>
      <c r="W20" t="n">
        <v>17.8</v>
      </c>
      <c r="X20" t="n">
        <v>18</v>
      </c>
      <c r="Y20" t="n">
        <v>31.5</v>
      </c>
      <c r="Z20" t="n">
        <v>20.4</v>
      </c>
      <c r="AA20" t="n">
        <v>23.3</v>
      </c>
      <c r="AB20" t="n">
        <v>23.1</v>
      </c>
      <c r="AC20" t="n">
        <v>27.9</v>
      </c>
      <c r="AD20" t="n">
        <v>36.6</v>
      </c>
      <c r="AE20" t="n">
        <v>37.9</v>
      </c>
      <c r="AF20" t="n">
        <v>47.2</v>
      </c>
    </row>
    <row r="21">
      <c r="A21" t="s">
        <v>7</v>
      </c>
      <c r="B21" t="s">
        <v>312</v>
      </c>
      <c r="C21" t="s">
        <v>217</v>
      </c>
      <c r="D21" t="s">
        <v>313</v>
      </c>
      <c r="E21" t="s">
        <v>218</v>
      </c>
      <c r="F21" t="n">
        <v>3.6</v>
      </c>
      <c r="G21" t="n">
        <v>3.9</v>
      </c>
      <c r="H21" t="n">
        <v>4.3</v>
      </c>
      <c r="I21" t="n">
        <v>5.3</v>
      </c>
      <c r="J21" t="n">
        <v>6</v>
      </c>
      <c r="K21" t="n">
        <v>8.6</v>
      </c>
      <c r="L21" t="n">
        <v>9.1</v>
      </c>
      <c r="M21" t="n">
        <v>5.6</v>
      </c>
      <c r="N21" t="n">
        <v>5.1</v>
      </c>
      <c r="O21" t="n">
        <v>4.5</v>
      </c>
      <c r="P21" t="n">
        <v>6.5</v>
      </c>
      <c r="Q21" t="n">
        <v>82.1</v>
      </c>
      <c r="R21" t="n">
        <v>63</v>
      </c>
      <c r="S21" t="n">
        <v>6.3</v>
      </c>
      <c r="T21" t="n">
        <v>10.5</v>
      </c>
      <c r="U21" t="n">
        <v>17.9</v>
      </c>
      <c r="V21" t="n">
        <v>18.7</v>
      </c>
      <c r="W21" t="n">
        <v>22.5</v>
      </c>
      <c r="X21" t="n">
        <v>22.4</v>
      </c>
      <c r="Y21" t="n">
        <v>42.4</v>
      </c>
      <c r="Z21" t="n">
        <v>31.8</v>
      </c>
      <c r="AA21" t="n">
        <v>30.5</v>
      </c>
      <c r="AB21" t="n">
        <v>30.1</v>
      </c>
      <c r="AC21" t="n">
        <v>35.5</v>
      </c>
      <c r="AD21" t="n">
        <v>44.1</v>
      </c>
      <c r="AE21" t="n">
        <v>45.8</v>
      </c>
      <c r="AF21" t="n">
        <v>75.1</v>
      </c>
    </row>
    <row r="22">
      <c r="A22" t="s">
        <v>7</v>
      </c>
      <c r="B22" t="s">
        <v>314</v>
      </c>
      <c r="C22" t="s">
        <v>217</v>
      </c>
      <c r="D22" t="s">
        <v>315</v>
      </c>
      <c r="E22" t="s">
        <v>218</v>
      </c>
      <c r="F22" t="n">
        <v>0.6</v>
      </c>
      <c r="G22" t="n">
        <v>0.7</v>
      </c>
      <c r="H22" t="n">
        <v>0.7</v>
      </c>
      <c r="I22" t="n">
        <v>0.9</v>
      </c>
      <c r="J22" t="n">
        <v>1</v>
      </c>
      <c r="K22" t="n">
        <v>1.4</v>
      </c>
      <c r="L22" t="n">
        <v>2.6</v>
      </c>
      <c r="M22" t="n">
        <v>1.6</v>
      </c>
      <c r="N22" t="n">
        <v>1.1</v>
      </c>
      <c r="O22" t="n">
        <v>0.7</v>
      </c>
      <c r="P22" t="n">
        <v>1.8</v>
      </c>
      <c r="Q22" t="n">
        <v>76.5</v>
      </c>
      <c r="R22" t="n">
        <v>57.5</v>
      </c>
      <c r="S22" t="n">
        <v>2.4</v>
      </c>
      <c r="T22" t="n">
        <v>4.9</v>
      </c>
      <c r="U22" t="n">
        <v>6.1</v>
      </c>
      <c r="V22" t="n">
        <v>4.3</v>
      </c>
      <c r="W22" t="n">
        <v>4.7</v>
      </c>
      <c r="X22" t="n">
        <v>4.4</v>
      </c>
      <c r="Y22" t="n">
        <v>10.9</v>
      </c>
      <c r="Z22" t="n">
        <v>11.4</v>
      </c>
      <c r="AA22" t="n">
        <v>7.2</v>
      </c>
      <c r="AB22" t="n">
        <v>7</v>
      </c>
      <c r="AC22" t="n">
        <v>7.6</v>
      </c>
      <c r="AD22" t="n">
        <v>7.5</v>
      </c>
      <c r="AE22" t="n">
        <v>7.9</v>
      </c>
      <c r="AF22" t="n">
        <v>27.9</v>
      </c>
    </row>
    <row r="23">
      <c r="A23" t="s">
        <v>7</v>
      </c>
      <c r="B23" t="s">
        <v>316</v>
      </c>
      <c r="C23" t="s">
        <v>217</v>
      </c>
      <c r="D23" t="s">
        <v>317</v>
      </c>
      <c r="E23" t="s">
        <v>218</v>
      </c>
      <c r="F23" t="n">
        <v>0.8</v>
      </c>
      <c r="G23" t="n">
        <v>0.9</v>
      </c>
      <c r="H23" t="n">
        <v>1</v>
      </c>
      <c r="I23" t="n">
        <v>1.2</v>
      </c>
      <c r="J23" t="n">
        <v>1.4</v>
      </c>
      <c r="K23" t="n">
        <v>2.1</v>
      </c>
      <c r="L23" t="n">
        <v>2.8</v>
      </c>
      <c r="M23" t="n">
        <v>5</v>
      </c>
      <c r="N23" t="n">
        <v>4.1</v>
      </c>
      <c r="O23" t="n">
        <v>3</v>
      </c>
      <c r="P23" t="n">
        <v>5</v>
      </c>
      <c r="Q23" t="n">
        <v>10.4</v>
      </c>
      <c r="R23" t="n">
        <v>12.8</v>
      </c>
      <c r="S23" t="n">
        <v>5.3</v>
      </c>
      <c r="T23" t="n">
        <v>3.6</v>
      </c>
      <c r="U23" t="n">
        <v>7.9</v>
      </c>
      <c r="V23" t="n">
        <v>5.5</v>
      </c>
      <c r="W23" t="n">
        <v>12.1</v>
      </c>
      <c r="X23" t="n">
        <v>9.8</v>
      </c>
      <c r="Y23" t="n">
        <v>5.8</v>
      </c>
      <c r="Z23" t="n">
        <v>5.1</v>
      </c>
      <c r="AA23" t="n">
        <v>5.4</v>
      </c>
      <c r="AB23" t="n">
        <v>5.7</v>
      </c>
      <c r="AC23" t="n">
        <v>11.4</v>
      </c>
      <c r="AD23" t="n">
        <v>11.7</v>
      </c>
      <c r="AE23" t="n">
        <v>14.9</v>
      </c>
      <c r="AF23" t="n">
        <v>26.7</v>
      </c>
    </row>
    <row r="24">
      <c r="A24" t="s">
        <v>7</v>
      </c>
      <c r="B24" t="s">
        <v>318</v>
      </c>
      <c r="C24" t="s">
        <v>217</v>
      </c>
      <c r="D24" t="s">
        <v>319</v>
      </c>
      <c r="E24" t="s">
        <v>218</v>
      </c>
      <c r="F24" t="n">
        <v>9.7</v>
      </c>
      <c r="G24" t="n">
        <v>9.8</v>
      </c>
      <c r="H24" t="n">
        <v>9.5</v>
      </c>
      <c r="I24" t="n">
        <v>13.1</v>
      </c>
      <c r="J24" t="n">
        <v>14.7</v>
      </c>
      <c r="K24" t="n">
        <v>16.2</v>
      </c>
      <c r="L24" t="n">
        <v>38.7</v>
      </c>
      <c r="M24" t="n">
        <v>68.1</v>
      </c>
      <c r="N24" t="n">
        <v>51.5</v>
      </c>
      <c r="O24" t="n">
        <v>54.4</v>
      </c>
      <c r="P24" t="n">
        <v>84</v>
      </c>
      <c r="Q24" t="n">
        <v>122.4</v>
      </c>
      <c r="R24" t="n">
        <v>128.8</v>
      </c>
      <c r="S24" t="n">
        <v>83.8</v>
      </c>
      <c r="T24" t="n">
        <v>81.2</v>
      </c>
      <c r="U24" t="n">
        <v>266.9</v>
      </c>
      <c r="V24" t="n">
        <v>297.8</v>
      </c>
      <c r="W24" t="n">
        <v>215.8</v>
      </c>
      <c r="X24" t="n">
        <v>239.7</v>
      </c>
      <c r="Y24" t="n">
        <v>196.5</v>
      </c>
      <c r="Z24" t="n">
        <v>237.6</v>
      </c>
      <c r="AA24" t="n">
        <v>234.1</v>
      </c>
      <c r="AB24" t="n">
        <v>250.1</v>
      </c>
      <c r="AC24" t="n">
        <v>216</v>
      </c>
      <c r="AD24" t="n">
        <v>227</v>
      </c>
      <c r="AE24" t="n">
        <v>228.2</v>
      </c>
      <c r="AF24" t="n">
        <v>237.5</v>
      </c>
    </row>
    <row r="25">
      <c r="A25" t="s">
        <v>7</v>
      </c>
      <c r="B25" t="s">
        <v>320</v>
      </c>
      <c r="C25" t="s">
        <v>217</v>
      </c>
      <c r="D25" t="s">
        <v>321</v>
      </c>
      <c r="E25" t="s">
        <v>218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1.9</v>
      </c>
      <c r="M25" t="n">
        <v>2.6</v>
      </c>
      <c r="N25" t="n">
        <v>5.1</v>
      </c>
      <c r="O25" t="n">
        <v>2.4</v>
      </c>
      <c r="P25" t="n">
        <v>3.9</v>
      </c>
      <c r="Q25" t="n">
        <v>6.5</v>
      </c>
      <c r="R25" t="n">
        <v>7.8</v>
      </c>
      <c r="S25" t="n">
        <v>5.4</v>
      </c>
      <c r="T25" t="n">
        <v>4.1</v>
      </c>
      <c r="U25" t="n">
        <v>15.7</v>
      </c>
      <c r="V25" t="n">
        <v>12.6</v>
      </c>
      <c r="W25" t="n">
        <v>7.4</v>
      </c>
      <c r="X25" t="n">
        <v>7.3</v>
      </c>
      <c r="Y25" t="n">
        <v>6.6</v>
      </c>
      <c r="Z25" t="n">
        <v>8.4</v>
      </c>
      <c r="AA25" t="n">
        <v>18.6</v>
      </c>
      <c r="AB25" t="n">
        <v>19.7</v>
      </c>
      <c r="AC25" t="n">
        <v>9.9</v>
      </c>
      <c r="AD25" t="n">
        <v>6.1</v>
      </c>
      <c r="AE25" t="n">
        <v>9.4</v>
      </c>
      <c r="AF25" t="n">
        <v>4.4</v>
      </c>
    </row>
    <row r="26">
      <c r="A26" t="s">
        <v>7</v>
      </c>
      <c r="B26" t="s">
        <v>322</v>
      </c>
      <c r="C26" t="s">
        <v>217</v>
      </c>
      <c r="D26" t="s">
        <v>323</v>
      </c>
      <c r="E26" t="s">
        <v>218</v>
      </c>
      <c r="F26" t="n">
        <v>3.7</v>
      </c>
      <c r="G26" t="n">
        <v>3.8</v>
      </c>
      <c r="H26" t="n">
        <v>3.6</v>
      </c>
      <c r="I26" t="n">
        <v>5</v>
      </c>
      <c r="J26" t="n">
        <v>5.6</v>
      </c>
      <c r="K26" t="n">
        <v>6.2</v>
      </c>
      <c r="L26" t="n">
        <v>16.1</v>
      </c>
      <c r="M26" t="n">
        <v>27.9</v>
      </c>
      <c r="N26" t="n">
        <v>26.6</v>
      </c>
      <c r="O26" t="n">
        <v>35.1</v>
      </c>
      <c r="P26" t="n">
        <v>48</v>
      </c>
      <c r="Q26" t="n">
        <v>79</v>
      </c>
      <c r="R26" t="n">
        <v>80.6</v>
      </c>
      <c r="S26" t="n">
        <v>53.5</v>
      </c>
      <c r="T26" t="n">
        <v>50.5</v>
      </c>
      <c r="U26" t="n">
        <v>149.7</v>
      </c>
      <c r="V26" t="n">
        <v>144.7</v>
      </c>
      <c r="W26" t="n">
        <v>114.6</v>
      </c>
      <c r="X26" t="n">
        <v>131.4</v>
      </c>
      <c r="Y26" t="n">
        <v>100.8</v>
      </c>
      <c r="Z26" t="n">
        <v>144.5</v>
      </c>
      <c r="AA26" t="n">
        <v>112.3</v>
      </c>
      <c r="AB26" t="n">
        <v>119.6</v>
      </c>
      <c r="AC26" t="n">
        <v>112.3</v>
      </c>
      <c r="AD26" t="n">
        <v>113.7</v>
      </c>
      <c r="AE26" t="n">
        <v>128.9</v>
      </c>
      <c r="AF26" t="n">
        <v>120</v>
      </c>
    </row>
    <row r="27">
      <c r="A27" t="s">
        <v>7</v>
      </c>
      <c r="B27" t="s">
        <v>324</v>
      </c>
      <c r="C27" t="s">
        <v>217</v>
      </c>
      <c r="D27" t="s">
        <v>325</v>
      </c>
      <c r="E27" t="s">
        <v>218</v>
      </c>
      <c r="F27" t="n">
        <v>6</v>
      </c>
      <c r="G27" t="n">
        <v>6.1</v>
      </c>
      <c r="H27" t="n">
        <v>5.9</v>
      </c>
      <c r="I27" t="n">
        <v>8.1</v>
      </c>
      <c r="J27" t="n">
        <v>9.1</v>
      </c>
      <c r="K27" t="n">
        <v>10</v>
      </c>
      <c r="L27" t="n">
        <v>20.7</v>
      </c>
      <c r="M27" t="n">
        <v>37.6</v>
      </c>
      <c r="N27" t="n">
        <v>19.8</v>
      </c>
      <c r="O27" t="n">
        <v>16.9</v>
      </c>
      <c r="P27" t="n">
        <v>32.1</v>
      </c>
      <c r="Q27" t="n">
        <v>36.9</v>
      </c>
      <c r="R27" t="n">
        <v>40.4</v>
      </c>
      <c r="S27" t="n">
        <v>24.9</v>
      </c>
      <c r="T27" t="n">
        <v>26.6</v>
      </c>
      <c r="U27" t="n">
        <v>101.5</v>
      </c>
      <c r="V27" t="n">
        <v>140.5</v>
      </c>
      <c r="W27" t="n">
        <v>93.8</v>
      </c>
      <c r="X27" t="n">
        <v>101</v>
      </c>
      <c r="Y27" t="n">
        <v>89.1</v>
      </c>
      <c r="Z27" t="n">
        <v>84.7</v>
      </c>
      <c r="AA27" t="n">
        <v>103.2</v>
      </c>
      <c r="AB27" t="n">
        <v>110.8</v>
      </c>
      <c r="AC27" t="n">
        <v>93.8</v>
      </c>
      <c r="AD27" t="n">
        <v>107.2</v>
      </c>
      <c r="AE27" t="n">
        <v>89.9</v>
      </c>
      <c r="AF27" t="n">
        <v>113.1</v>
      </c>
    </row>
    <row r="28">
      <c r="A28" t="s">
        <v>7</v>
      </c>
      <c r="B28" t="s">
        <v>326</v>
      </c>
      <c r="C28" t="s">
        <v>217</v>
      </c>
      <c r="D28" t="s">
        <v>327</v>
      </c>
      <c r="E28" t="s">
        <v>218</v>
      </c>
      <c r="F28" t="n">
        <v>5.8</v>
      </c>
      <c r="G28" t="n">
        <v>6.1</v>
      </c>
      <c r="H28" t="n">
        <v>5.4</v>
      </c>
      <c r="I28" t="n">
        <v>8.9</v>
      </c>
      <c r="J28" t="n">
        <v>11</v>
      </c>
      <c r="K28" t="n">
        <v>10.7</v>
      </c>
      <c r="L28" t="n">
        <v>21.4</v>
      </c>
      <c r="M28" t="n">
        <v>39.6</v>
      </c>
      <c r="N28" t="n">
        <v>10.5</v>
      </c>
      <c r="O28" t="n">
        <v>8.3</v>
      </c>
      <c r="P28" t="n">
        <v>7.4</v>
      </c>
      <c r="Q28" t="n">
        <v>10.1</v>
      </c>
      <c r="R28" t="n">
        <v>15.5</v>
      </c>
      <c r="S28" t="n">
        <v>11.4</v>
      </c>
      <c r="T28" t="n">
        <v>14.5</v>
      </c>
      <c r="U28" t="n">
        <v>25.9</v>
      </c>
      <c r="V28" t="n">
        <v>26.6</v>
      </c>
      <c r="W28" t="n">
        <v>27.5</v>
      </c>
      <c r="X28" t="n">
        <v>28.3</v>
      </c>
      <c r="Y28" t="n">
        <v>33.9</v>
      </c>
      <c r="Z28" t="n">
        <v>30.1</v>
      </c>
      <c r="AA28" t="n">
        <v>34.6</v>
      </c>
      <c r="AB28" t="n">
        <v>36.9</v>
      </c>
      <c r="AC28" t="n">
        <v>47.2</v>
      </c>
      <c r="AD28" t="n">
        <v>36.9</v>
      </c>
      <c r="AE28" t="n">
        <v>37.1</v>
      </c>
      <c r="AF28" t="n">
        <v>64.3</v>
      </c>
    </row>
    <row r="29">
      <c r="A29" t="s">
        <v>7</v>
      </c>
      <c r="B29" t="s">
        <v>328</v>
      </c>
      <c r="C29" t="s">
        <v>217</v>
      </c>
      <c r="D29" t="s">
        <v>329</v>
      </c>
      <c r="E29" t="s">
        <v>218</v>
      </c>
      <c r="F29" t="n">
        <v>0.7</v>
      </c>
      <c r="G29" t="n">
        <v>0.8</v>
      </c>
      <c r="H29" t="n">
        <v>0.9</v>
      </c>
      <c r="I29" t="n">
        <v>1.2</v>
      </c>
      <c r="J29" t="n">
        <v>1.3</v>
      </c>
      <c r="K29" t="n">
        <v>2</v>
      </c>
      <c r="L29" t="n">
        <v>1.7</v>
      </c>
      <c r="M29" t="n">
        <v>1.4</v>
      </c>
      <c r="N29" t="n">
        <v>1.5</v>
      </c>
      <c r="O29" t="n">
        <v>1.9</v>
      </c>
      <c r="P29" t="n">
        <v>1.5</v>
      </c>
      <c r="Q29" t="n">
        <v>2</v>
      </c>
      <c r="R29" t="n">
        <v>2.1</v>
      </c>
      <c r="S29" t="n">
        <v>1.8</v>
      </c>
      <c r="T29" t="n">
        <v>2.4</v>
      </c>
      <c r="U29" t="n">
        <v>4.9</v>
      </c>
      <c r="V29" t="n">
        <v>4.5</v>
      </c>
      <c r="W29" t="n">
        <v>4.8</v>
      </c>
      <c r="X29" t="n">
        <v>5.2</v>
      </c>
      <c r="Y29" t="n">
        <v>6.7</v>
      </c>
      <c r="Z29" t="n">
        <v>4.5</v>
      </c>
      <c r="AA29" t="n">
        <v>4.8</v>
      </c>
      <c r="AB29" t="n">
        <v>6.8</v>
      </c>
      <c r="AC29" t="n">
        <v>7.8</v>
      </c>
      <c r="AD29" t="n">
        <v>7.2</v>
      </c>
      <c r="AE29" t="n">
        <v>7.6</v>
      </c>
      <c r="AF29" t="n">
        <v>11.9</v>
      </c>
    </row>
    <row r="30">
      <c r="A30" t="s">
        <v>7</v>
      </c>
      <c r="B30" t="s">
        <v>330</v>
      </c>
      <c r="C30" t="s">
        <v>217</v>
      </c>
      <c r="D30" t="s">
        <v>331</v>
      </c>
      <c r="E30" t="s">
        <v>218</v>
      </c>
      <c r="F30" t="n">
        <v>2.1</v>
      </c>
      <c r="G30" t="n">
        <v>2.2</v>
      </c>
      <c r="H30" t="n">
        <v>1.6</v>
      </c>
      <c r="I30" t="n">
        <v>3.1</v>
      </c>
      <c r="J30" t="n">
        <v>3.9</v>
      </c>
      <c r="K30" t="n">
        <v>2.7</v>
      </c>
      <c r="L30" t="n">
        <v>6.6</v>
      </c>
      <c r="M30" t="n">
        <v>2.1</v>
      </c>
      <c r="N30" t="n">
        <v>2.1</v>
      </c>
      <c r="O30" t="n">
        <v>2</v>
      </c>
      <c r="P30" t="n">
        <v>1.8</v>
      </c>
      <c r="Q30" t="n">
        <v>2.6</v>
      </c>
      <c r="R30" t="n">
        <v>3.1</v>
      </c>
      <c r="S30" t="n">
        <v>2.5</v>
      </c>
      <c r="T30" t="n">
        <v>3.2</v>
      </c>
      <c r="U30" t="n">
        <v>7.8</v>
      </c>
      <c r="V30" t="n">
        <v>8.6</v>
      </c>
      <c r="W30" t="n">
        <v>9.3</v>
      </c>
      <c r="X30" t="n">
        <v>9.7</v>
      </c>
      <c r="Y30" t="n">
        <v>11.4</v>
      </c>
      <c r="Z30" t="n">
        <v>8.2</v>
      </c>
      <c r="AA30" t="n">
        <v>8.9</v>
      </c>
      <c r="AB30" t="n">
        <v>9.9</v>
      </c>
      <c r="AC30" t="n">
        <v>12.3</v>
      </c>
      <c r="AD30" t="n">
        <v>11.5</v>
      </c>
      <c r="AE30" t="n">
        <v>12.5</v>
      </c>
      <c r="AF30" t="n">
        <v>18.7</v>
      </c>
    </row>
    <row r="31">
      <c r="A31" t="s">
        <v>7</v>
      </c>
      <c r="B31" t="s">
        <v>332</v>
      </c>
      <c r="C31" t="s">
        <v>217</v>
      </c>
      <c r="D31" t="s">
        <v>333</v>
      </c>
      <c r="E31" t="s">
        <v>218</v>
      </c>
      <c r="F31" t="n">
        <v>0.5</v>
      </c>
      <c r="G31" t="n">
        <v>0.6</v>
      </c>
      <c r="H31" t="n">
        <v>0.9</v>
      </c>
      <c r="I31" t="n">
        <v>1</v>
      </c>
      <c r="J31" t="n">
        <v>1.1</v>
      </c>
      <c r="K31" t="n">
        <v>2.4</v>
      </c>
      <c r="L31" t="n">
        <v>5.1</v>
      </c>
      <c r="M31" t="n">
        <v>31</v>
      </c>
      <c r="N31" t="n">
        <v>2.5</v>
      </c>
      <c r="O31" t="n">
        <v>0.4</v>
      </c>
      <c r="P31" t="n">
        <v>1</v>
      </c>
      <c r="Q31" t="n">
        <v>2</v>
      </c>
      <c r="R31" t="n">
        <v>5</v>
      </c>
      <c r="S31" t="n">
        <v>3.4</v>
      </c>
      <c r="T31" t="n">
        <v>3.9</v>
      </c>
      <c r="U31" t="n">
        <v>2.9</v>
      </c>
      <c r="V31" t="n">
        <v>2.4</v>
      </c>
      <c r="W31" t="n">
        <v>2.4</v>
      </c>
      <c r="X31" t="n">
        <v>1.9</v>
      </c>
      <c r="Y31" t="n">
        <v>1</v>
      </c>
      <c r="Z31" t="n">
        <v>6.2</v>
      </c>
      <c r="AA31" t="n">
        <v>6.9</v>
      </c>
      <c r="AB31" t="n">
        <v>5.8</v>
      </c>
      <c r="AC31" t="n">
        <v>9.7</v>
      </c>
      <c r="AD31" t="n">
        <v>3.4</v>
      </c>
      <c r="AE31" t="n">
        <v>1.2</v>
      </c>
      <c r="AF31" t="n">
        <v>2.9</v>
      </c>
    </row>
    <row r="32">
      <c r="A32" t="s">
        <v>7</v>
      </c>
      <c r="B32" t="s">
        <v>334</v>
      </c>
      <c r="C32" t="s">
        <v>217</v>
      </c>
      <c r="D32" t="s">
        <v>335</v>
      </c>
      <c r="E32" t="s">
        <v>218</v>
      </c>
      <c r="F32" t="n">
        <v>2.4</v>
      </c>
      <c r="G32" t="n">
        <v>2.4</v>
      </c>
      <c r="H32" t="n">
        <v>1.8</v>
      </c>
      <c r="I32" t="n">
        <v>3.5</v>
      </c>
      <c r="J32" t="n">
        <v>4.4</v>
      </c>
      <c r="K32" t="n">
        <v>3</v>
      </c>
      <c r="L32" t="n">
        <v>7.6</v>
      </c>
      <c r="M32" t="n">
        <v>2.4</v>
      </c>
      <c r="N32" t="n">
        <v>2.6</v>
      </c>
      <c r="O32" t="n">
        <v>2.7</v>
      </c>
      <c r="P32" t="n">
        <v>2.2</v>
      </c>
      <c r="Q32" t="n">
        <v>3.2</v>
      </c>
      <c r="R32" t="n">
        <v>3.9</v>
      </c>
      <c r="S32" t="n">
        <v>3</v>
      </c>
      <c r="T32" t="n">
        <v>4.4</v>
      </c>
      <c r="U32" t="n">
        <v>9.8</v>
      </c>
      <c r="V32" t="n">
        <v>10.7</v>
      </c>
      <c r="W32" t="n">
        <v>10.6</v>
      </c>
      <c r="X32" t="n">
        <v>11.1</v>
      </c>
      <c r="Y32" t="n">
        <v>14.4</v>
      </c>
      <c r="Z32" t="n">
        <v>10.8</v>
      </c>
      <c r="AA32" t="n">
        <v>13.5</v>
      </c>
      <c r="AB32" t="n">
        <v>13.9</v>
      </c>
      <c r="AC32" t="n">
        <v>16.9</v>
      </c>
      <c r="AD32" t="n">
        <v>14.2</v>
      </c>
      <c r="AE32" t="n">
        <v>15.3</v>
      </c>
      <c r="AF32" t="n">
        <v>28.5</v>
      </c>
    </row>
    <row r="33">
      <c r="A33" t="s">
        <v>7</v>
      </c>
      <c r="B33" t="s">
        <v>336</v>
      </c>
      <c r="C33" t="s">
        <v>217</v>
      </c>
      <c r="D33" t="s">
        <v>337</v>
      </c>
      <c r="E33" t="s">
        <v>218</v>
      </c>
      <c r="F33" t="n">
        <v>0.1</v>
      </c>
      <c r="G33" t="n">
        <v>0.1</v>
      </c>
      <c r="H33" t="n">
        <v>0.2</v>
      </c>
      <c r="I33" t="n">
        <v>0.2</v>
      </c>
      <c r="J33" t="n">
        <v>0.3</v>
      </c>
      <c r="K33" t="n">
        <v>0.6</v>
      </c>
      <c r="L33" t="n">
        <v>0.4</v>
      </c>
      <c r="M33" t="n">
        <v>2.7</v>
      </c>
      <c r="N33" t="n">
        <v>1.8</v>
      </c>
      <c r="O33" t="n">
        <v>1.3</v>
      </c>
      <c r="P33" t="n">
        <v>0.9</v>
      </c>
      <c r="Q33" t="n">
        <v>0.3</v>
      </c>
      <c r="R33" t="n">
        <v>1.4</v>
      </c>
      <c r="S33" t="n">
        <v>0.7</v>
      </c>
      <c r="T33" t="n">
        <v>0.6</v>
      </c>
      <c r="U33" t="n">
        <v>0.5</v>
      </c>
      <c r="V33" t="n">
        <v>0.4</v>
      </c>
      <c r="W33" t="n">
        <v>0.4</v>
      </c>
      <c r="X33" t="n">
        <v>0.4</v>
      </c>
      <c r="Y33" t="n">
        <v>0.4</v>
      </c>
      <c r="Z33" t="n">
        <v>0.4</v>
      </c>
      <c r="AA33" t="n">
        <v>0.5</v>
      </c>
      <c r="AB33" t="n">
        <v>0.5</v>
      </c>
      <c r="AC33" t="n">
        <v>0.5</v>
      </c>
      <c r="AD33" t="n">
        <v>0.6</v>
      </c>
      <c r="AE33" t="n">
        <v>0.5</v>
      </c>
      <c r="AF33" t="n">
        <v>2.3</v>
      </c>
    </row>
    <row r="34">
      <c r="A34" t="s">
        <v>7</v>
      </c>
      <c r="B34" t="s">
        <v>338</v>
      </c>
      <c r="C34" t="s">
        <v>217</v>
      </c>
      <c r="D34" t="s">
        <v>339</v>
      </c>
      <c r="E34" t="s">
        <v>218</v>
      </c>
      <c r="F34" t="n">
        <v>2.7</v>
      </c>
      <c r="G34" t="n">
        <v>4</v>
      </c>
      <c r="H34" t="n">
        <v>7.6</v>
      </c>
      <c r="I34" t="n">
        <v>7</v>
      </c>
      <c r="J34" t="n">
        <v>7.8</v>
      </c>
      <c r="K34" t="n">
        <v>22.2</v>
      </c>
      <c r="L34" t="n">
        <v>11</v>
      </c>
      <c r="M34" t="n">
        <v>27.3</v>
      </c>
      <c r="N34" t="n">
        <v>25.3</v>
      </c>
      <c r="O34" t="n">
        <v>23.7</v>
      </c>
      <c r="P34" t="n">
        <v>30</v>
      </c>
      <c r="Q34" t="n">
        <v>0</v>
      </c>
      <c r="R34" t="n">
        <v>0</v>
      </c>
      <c r="S34" t="n">
        <v>18.5</v>
      </c>
      <c r="T34" t="n">
        <v>13.9</v>
      </c>
      <c r="U34" t="n">
        <v>102.1</v>
      </c>
      <c r="V34" t="n">
        <v>109.2</v>
      </c>
      <c r="W34" t="n">
        <v>78.1</v>
      </c>
      <c r="X34" t="n">
        <v>81.7</v>
      </c>
      <c r="Y34" t="n">
        <v>31.7</v>
      </c>
      <c r="Z34" t="n">
        <v>107.9</v>
      </c>
      <c r="AA34" t="n">
        <v>87.7</v>
      </c>
      <c r="AB34" t="n">
        <v>94.3</v>
      </c>
      <c r="AC34" t="n">
        <v>53.6</v>
      </c>
      <c r="AD34" t="n">
        <v>62.3</v>
      </c>
      <c r="AE34" t="n">
        <v>54.9</v>
      </c>
      <c r="AF34" t="n">
        <v>58.6</v>
      </c>
    </row>
    <row r="35">
      <c r="A35" t="s">
        <v>7</v>
      </c>
      <c r="B35" t="s">
        <v>340</v>
      </c>
      <c r="C35" t="s">
        <v>217</v>
      </c>
      <c r="D35" t="s">
        <v>341</v>
      </c>
      <c r="E35" t="s">
        <v>218</v>
      </c>
      <c r="F35" t="n">
        <v>37.7</v>
      </c>
      <c r="G35" t="n">
        <v>40.9</v>
      </c>
      <c r="H35" t="n">
        <v>41.8</v>
      </c>
      <c r="I35" t="n">
        <v>62.1</v>
      </c>
      <c r="J35" t="n">
        <v>76.9</v>
      </c>
      <c r="K35" t="n">
        <v>83.8</v>
      </c>
      <c r="L35" t="n">
        <v>103.5</v>
      </c>
      <c r="M35" t="n">
        <v>96.4</v>
      </c>
      <c r="N35" t="n">
        <v>95.1</v>
      </c>
      <c r="O35" t="n">
        <v>83.6</v>
      </c>
      <c r="P35" t="n">
        <v>93.4</v>
      </c>
      <c r="Q35" t="n">
        <v>122.6</v>
      </c>
      <c r="R35" t="n">
        <v>128.6</v>
      </c>
      <c r="S35" t="n">
        <v>104.4</v>
      </c>
      <c r="T35" t="n">
        <v>112.7</v>
      </c>
      <c r="U35" t="n">
        <v>204.8</v>
      </c>
      <c r="V35" t="n">
        <v>180.6</v>
      </c>
      <c r="W35" t="n">
        <v>183.3</v>
      </c>
      <c r="X35" t="n">
        <v>176.3</v>
      </c>
      <c r="Y35" t="n">
        <v>217</v>
      </c>
      <c r="Z35" t="n">
        <v>173.9</v>
      </c>
      <c r="AA35" t="n">
        <v>210.9</v>
      </c>
      <c r="AB35" t="n">
        <v>221.4</v>
      </c>
      <c r="AC35" t="n">
        <v>251.2</v>
      </c>
      <c r="AD35" t="n">
        <v>234.8</v>
      </c>
      <c r="AE35" t="n">
        <v>280.8</v>
      </c>
      <c r="AF35" t="n">
        <v>417.9</v>
      </c>
    </row>
    <row r="36">
      <c r="A36" t="s">
        <v>7</v>
      </c>
      <c r="B36" t="s">
        <v>342</v>
      </c>
      <c r="C36" t="s">
        <v>217</v>
      </c>
      <c r="D36" t="s">
        <v>343</v>
      </c>
      <c r="E36" t="s">
        <v>218</v>
      </c>
      <c r="F36" t="n">
        <v>8.4</v>
      </c>
      <c r="G36" t="n">
        <v>9.5</v>
      </c>
      <c r="H36" t="n">
        <v>10.4</v>
      </c>
      <c r="I36" t="n">
        <v>14.4</v>
      </c>
      <c r="J36" t="n">
        <v>17.4</v>
      </c>
      <c r="K36" t="n">
        <v>24.4</v>
      </c>
      <c r="L36" t="n">
        <v>23.5</v>
      </c>
      <c r="M36" t="n">
        <v>23.7</v>
      </c>
      <c r="N36" t="n">
        <v>24.7</v>
      </c>
      <c r="O36" t="n">
        <v>23.9</v>
      </c>
      <c r="P36" t="n">
        <v>18.2</v>
      </c>
      <c r="Q36" t="n">
        <v>30.1</v>
      </c>
      <c r="R36" t="n">
        <v>37.5</v>
      </c>
      <c r="S36" t="n">
        <v>26.1</v>
      </c>
      <c r="T36" t="n">
        <v>30.4</v>
      </c>
      <c r="U36" t="n">
        <v>32.3</v>
      </c>
      <c r="V36" t="n">
        <v>32.6</v>
      </c>
      <c r="W36" t="n">
        <v>32.4</v>
      </c>
      <c r="X36" t="n">
        <v>31.9</v>
      </c>
      <c r="Y36" t="n">
        <v>37.3</v>
      </c>
      <c r="Z36" t="n">
        <v>29.4</v>
      </c>
      <c r="AA36" t="n">
        <v>31.7</v>
      </c>
      <c r="AB36" t="n">
        <v>35.4</v>
      </c>
      <c r="AC36" t="n">
        <v>42.8</v>
      </c>
      <c r="AD36" t="n">
        <v>41.9</v>
      </c>
      <c r="AE36" t="n">
        <v>68.8</v>
      </c>
      <c r="AF36" t="n">
        <v>64.8</v>
      </c>
    </row>
    <row r="37">
      <c r="A37" t="s">
        <v>7</v>
      </c>
      <c r="B37" t="s">
        <v>344</v>
      </c>
      <c r="C37" t="s">
        <v>217</v>
      </c>
      <c r="D37" t="s">
        <v>345</v>
      </c>
      <c r="E37" t="s">
        <v>218</v>
      </c>
      <c r="F37" t="n">
        <v>13.6</v>
      </c>
      <c r="G37" t="n">
        <v>14.1</v>
      </c>
      <c r="H37" t="n">
        <v>11.5</v>
      </c>
      <c r="I37" t="n">
        <v>20.3</v>
      </c>
      <c r="J37" t="n">
        <v>25.3</v>
      </c>
      <c r="K37" t="n">
        <v>21.5</v>
      </c>
      <c r="L37" t="n">
        <v>42.4</v>
      </c>
      <c r="M37" t="n">
        <v>39.4</v>
      </c>
      <c r="N37" t="n">
        <v>30.1</v>
      </c>
      <c r="O37" t="n">
        <v>24.2</v>
      </c>
      <c r="P37" t="n">
        <v>57.5</v>
      </c>
      <c r="Q37" t="n">
        <v>63.3</v>
      </c>
      <c r="R37" t="n">
        <v>57.3</v>
      </c>
      <c r="S37" t="n">
        <v>54.9</v>
      </c>
      <c r="T37" t="n">
        <v>49</v>
      </c>
      <c r="U37" t="n">
        <v>94.9</v>
      </c>
      <c r="V37" t="n">
        <v>79.3</v>
      </c>
      <c r="W37" t="n">
        <v>81.1</v>
      </c>
      <c r="X37" t="n">
        <v>71.4</v>
      </c>
      <c r="Y37" t="n">
        <v>88.3</v>
      </c>
      <c r="Z37" t="n">
        <v>72.6</v>
      </c>
      <c r="AA37" t="n">
        <v>81.4</v>
      </c>
      <c r="AB37" t="n">
        <v>81.7</v>
      </c>
      <c r="AC37" t="n">
        <v>95.4</v>
      </c>
      <c r="AD37" t="n">
        <v>85.7</v>
      </c>
      <c r="AE37" t="n">
        <v>94.2</v>
      </c>
      <c r="AF37" t="n">
        <v>202.8</v>
      </c>
    </row>
    <row r="38">
      <c r="A38" t="s">
        <v>7</v>
      </c>
      <c r="B38" t="s">
        <v>346</v>
      </c>
      <c r="C38" t="s">
        <v>217</v>
      </c>
      <c r="D38" t="s">
        <v>347</v>
      </c>
      <c r="E38" t="s">
        <v>218</v>
      </c>
      <c r="F38" t="n">
        <v>15.7</v>
      </c>
      <c r="G38" t="n">
        <v>17.3</v>
      </c>
      <c r="H38" t="n">
        <v>19.9</v>
      </c>
      <c r="I38" t="n">
        <v>27.4</v>
      </c>
      <c r="J38" t="n">
        <v>34.2</v>
      </c>
      <c r="K38" t="n">
        <v>37.9</v>
      </c>
      <c r="L38" t="n">
        <v>37.6</v>
      </c>
      <c r="M38" t="n">
        <v>33.3</v>
      </c>
      <c r="N38" t="n">
        <v>40.3</v>
      </c>
      <c r="O38" t="n">
        <v>35.5</v>
      </c>
      <c r="P38" t="n">
        <v>17.7</v>
      </c>
      <c r="Q38" t="n">
        <v>29.2</v>
      </c>
      <c r="R38" t="n">
        <v>33.8</v>
      </c>
      <c r="S38" t="n">
        <v>23.4</v>
      </c>
      <c r="T38" t="n">
        <v>33.3</v>
      </c>
      <c r="U38" t="n">
        <v>77.6</v>
      </c>
      <c r="V38" t="n">
        <v>68.7</v>
      </c>
      <c r="W38" t="n">
        <v>69.8</v>
      </c>
      <c r="X38" t="n">
        <v>73</v>
      </c>
      <c r="Y38" t="n">
        <v>91.4</v>
      </c>
      <c r="Z38" t="n">
        <v>71.9</v>
      </c>
      <c r="AA38" t="n">
        <v>97.8</v>
      </c>
      <c r="AB38" t="n">
        <v>104.3</v>
      </c>
      <c r="AC38" t="n">
        <v>113</v>
      </c>
      <c r="AD38" t="n">
        <v>107.2</v>
      </c>
      <c r="AE38" t="n">
        <v>117.8</v>
      </c>
      <c r="AF38" t="n">
        <v>150.3</v>
      </c>
    </row>
    <row r="39">
      <c r="A39" t="s">
        <v>7</v>
      </c>
      <c r="B39" t="s">
        <v>348</v>
      </c>
      <c r="C39" t="s">
        <v>217</v>
      </c>
      <c r="D39" t="s">
        <v>349</v>
      </c>
      <c r="E39" t="s">
        <v>218</v>
      </c>
      <c r="F39" t="n">
        <v>30.4</v>
      </c>
      <c r="G39" t="n">
        <v>32.1</v>
      </c>
      <c r="H39" t="n">
        <v>34.6</v>
      </c>
      <c r="I39" t="n">
        <v>44.2</v>
      </c>
      <c r="J39" t="n">
        <v>49.4</v>
      </c>
      <c r="K39" t="n">
        <v>66.3</v>
      </c>
      <c r="L39" t="n">
        <v>73.2</v>
      </c>
      <c r="M39" t="n">
        <v>117.5</v>
      </c>
      <c r="N39" t="n">
        <v>42.8</v>
      </c>
      <c r="O39" t="n">
        <v>108.2</v>
      </c>
      <c r="P39" t="n">
        <v>72.7</v>
      </c>
      <c r="Q39" t="n">
        <v>107.7</v>
      </c>
      <c r="R39" t="n">
        <v>157.2</v>
      </c>
      <c r="S39" t="n">
        <v>165.3</v>
      </c>
      <c r="T39" t="n">
        <v>168.1</v>
      </c>
      <c r="U39" t="n">
        <v>310.2</v>
      </c>
      <c r="V39" t="n">
        <v>262.3</v>
      </c>
      <c r="W39" t="n">
        <v>276.7</v>
      </c>
      <c r="X39" t="n">
        <v>269</v>
      </c>
      <c r="Y39" t="n">
        <v>275.9</v>
      </c>
      <c r="Z39" t="n">
        <v>251.8</v>
      </c>
      <c r="AA39" t="n">
        <v>311.6</v>
      </c>
      <c r="AB39" t="n">
        <v>292.4</v>
      </c>
      <c r="AC39" t="n">
        <v>373.9</v>
      </c>
      <c r="AD39" t="n">
        <v>434.5</v>
      </c>
      <c r="AE39" t="n">
        <v>448</v>
      </c>
      <c r="AF39" t="n">
        <v>444.6</v>
      </c>
    </row>
    <row r="40">
      <c r="A40" t="s">
        <v>7</v>
      </c>
      <c r="B40" t="s">
        <v>350</v>
      </c>
      <c r="C40" t="s">
        <v>217</v>
      </c>
      <c r="D40" t="s">
        <v>351</v>
      </c>
      <c r="E40" t="s">
        <v>218</v>
      </c>
      <c r="F40" t="n">
        <v>0.4</v>
      </c>
      <c r="G40" t="n">
        <v>0.5</v>
      </c>
      <c r="H40" t="n">
        <v>0.7</v>
      </c>
      <c r="I40" t="n">
        <v>0.7</v>
      </c>
      <c r="J40" t="n">
        <v>0.9</v>
      </c>
      <c r="K40" t="n">
        <v>1.9</v>
      </c>
      <c r="L40" t="n">
        <v>16.2</v>
      </c>
      <c r="M40" t="n">
        <v>42.5</v>
      </c>
      <c r="N40" t="n">
        <v>26.2</v>
      </c>
      <c r="O40" t="n">
        <v>24.4</v>
      </c>
      <c r="P40" t="n">
        <v>0.8</v>
      </c>
      <c r="Q40" t="n">
        <v>1.2</v>
      </c>
      <c r="R40" t="n">
        <v>5.5</v>
      </c>
      <c r="S40" t="n">
        <v>1.8</v>
      </c>
      <c r="T40" t="n">
        <v>1.8</v>
      </c>
      <c r="U40" t="n">
        <v>44.9</v>
      </c>
      <c r="V40" t="n">
        <v>8.9</v>
      </c>
      <c r="W40" t="n">
        <v>4.6</v>
      </c>
      <c r="X40" t="n">
        <v>5.1</v>
      </c>
      <c r="Y40" t="n">
        <v>4.7</v>
      </c>
      <c r="Z40" t="n">
        <v>26.9</v>
      </c>
      <c r="AA40" t="n">
        <v>27.1</v>
      </c>
      <c r="AB40" t="n">
        <v>28.9</v>
      </c>
      <c r="AC40" t="n">
        <v>18.5</v>
      </c>
      <c r="AD40" t="n">
        <v>26.8</v>
      </c>
      <c r="AE40" t="n">
        <v>35.8</v>
      </c>
      <c r="AF40" t="n">
        <v>31.3</v>
      </c>
    </row>
    <row r="41">
      <c r="A41" t="s">
        <v>7</v>
      </c>
      <c r="B41" t="s">
        <v>352</v>
      </c>
      <c r="C41" t="s">
        <v>217</v>
      </c>
      <c r="D41" t="s">
        <v>353</v>
      </c>
      <c r="E41" t="s">
        <v>218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7</v>
      </c>
      <c r="B42" t="s">
        <v>354</v>
      </c>
      <c r="C42" t="s">
        <v>217</v>
      </c>
      <c r="D42" t="s">
        <v>355</v>
      </c>
      <c r="E42" t="s">
        <v>218</v>
      </c>
      <c r="F42" t="n">
        <v>19</v>
      </c>
      <c r="G42" t="n">
        <v>23.5</v>
      </c>
      <c r="H42" t="n">
        <v>32.4</v>
      </c>
      <c r="I42" t="n">
        <v>37.6</v>
      </c>
      <c r="J42" t="n">
        <v>44.4</v>
      </c>
      <c r="K42" t="n">
        <v>86.1</v>
      </c>
      <c r="L42" t="n">
        <v>60</v>
      </c>
      <c r="M42" t="n">
        <v>38.4</v>
      </c>
      <c r="N42" t="n">
        <v>73.9</v>
      </c>
      <c r="O42" t="n">
        <v>68.4</v>
      </c>
      <c r="P42" t="n">
        <v>37.2</v>
      </c>
      <c r="Q42" t="n">
        <v>46.8</v>
      </c>
      <c r="R42" t="n">
        <v>91.9</v>
      </c>
      <c r="S42" t="n">
        <v>77</v>
      </c>
      <c r="T42" t="n">
        <v>71.6</v>
      </c>
      <c r="U42" t="n">
        <v>127</v>
      </c>
      <c r="V42" t="n">
        <v>147</v>
      </c>
      <c r="W42" t="n">
        <v>141.2</v>
      </c>
      <c r="X42" t="n">
        <v>108.2</v>
      </c>
      <c r="Y42" t="n">
        <v>85</v>
      </c>
      <c r="Z42" t="n">
        <v>130.3</v>
      </c>
      <c r="AA42" t="n">
        <v>120.9</v>
      </c>
      <c r="AB42" t="n">
        <v>124.3</v>
      </c>
      <c r="AC42" t="n">
        <v>121.6</v>
      </c>
      <c r="AD42" t="n">
        <v>134.1</v>
      </c>
      <c r="AE42" t="n">
        <v>163.5</v>
      </c>
      <c r="AF42" t="n">
        <v>187.9</v>
      </c>
    </row>
    <row r="43">
      <c r="A43" t="s">
        <v>7</v>
      </c>
      <c r="B43" t="s">
        <v>356</v>
      </c>
      <c r="C43" t="s">
        <v>217</v>
      </c>
      <c r="D43" t="s">
        <v>357</v>
      </c>
      <c r="E43" t="s">
        <v>218</v>
      </c>
      <c r="F43" t="n">
        <v>21.9</v>
      </c>
      <c r="G43" t="n">
        <v>26.6</v>
      </c>
      <c r="H43" t="n">
        <v>35.4</v>
      </c>
      <c r="I43" t="n">
        <v>42.2</v>
      </c>
      <c r="J43" t="n">
        <v>50.1</v>
      </c>
      <c r="K43" t="n">
        <v>92.7</v>
      </c>
      <c r="L43" t="n">
        <v>69.1</v>
      </c>
      <c r="M43" t="n">
        <v>78.3</v>
      </c>
      <c r="N43" t="n">
        <v>81.7</v>
      </c>
      <c r="O43" t="n">
        <v>76.5</v>
      </c>
      <c r="P43" t="n">
        <v>49.7</v>
      </c>
      <c r="Q43" t="n">
        <v>64</v>
      </c>
      <c r="R43" t="n">
        <v>110.4</v>
      </c>
      <c r="S43" t="n">
        <v>106.7</v>
      </c>
      <c r="T43" t="n">
        <v>96.5</v>
      </c>
      <c r="U43" t="n">
        <v>172.3</v>
      </c>
      <c r="V43" t="n">
        <v>193</v>
      </c>
      <c r="W43" t="n">
        <v>180.1</v>
      </c>
      <c r="X43" t="n">
        <v>128.6</v>
      </c>
      <c r="Y43" t="n">
        <v>113.5</v>
      </c>
      <c r="Z43" t="n">
        <v>156.6</v>
      </c>
      <c r="AA43" t="n">
        <v>144.3</v>
      </c>
      <c r="AB43" t="n">
        <v>146.5</v>
      </c>
      <c r="AC43" t="n">
        <v>147.2</v>
      </c>
      <c r="AD43" t="n">
        <v>163.3</v>
      </c>
      <c r="AE43" t="n">
        <v>190.3</v>
      </c>
      <c r="AF43" t="n">
        <v>223.1</v>
      </c>
    </row>
    <row r="44">
      <c r="A44" t="s">
        <v>7</v>
      </c>
      <c r="B44" t="s">
        <v>358</v>
      </c>
      <c r="C44" t="s">
        <v>217</v>
      </c>
      <c r="D44" t="s">
        <v>359</v>
      </c>
      <c r="E44" t="s">
        <v>218</v>
      </c>
      <c r="F44" t="n">
        <v>136.7</v>
      </c>
      <c r="G44" t="n">
        <v>152.6</v>
      </c>
      <c r="H44" t="n">
        <v>175.3</v>
      </c>
      <c r="I44" t="n">
        <v>225.3</v>
      </c>
      <c r="J44" t="n">
        <v>263.9</v>
      </c>
      <c r="K44" t="n">
        <v>385.8</v>
      </c>
      <c r="L44" t="n">
        <v>380.3</v>
      </c>
      <c r="M44" t="n">
        <v>487.1</v>
      </c>
      <c r="N44" t="n">
        <v>363.5</v>
      </c>
      <c r="O44" t="n">
        <v>406.1</v>
      </c>
      <c r="P44" t="n">
        <v>397.6</v>
      </c>
      <c r="Q44" t="n">
        <v>577.6</v>
      </c>
      <c r="R44" t="n">
        <v>681.4</v>
      </c>
      <c r="S44" t="n">
        <v>552.2</v>
      </c>
      <c r="T44" t="n">
        <v>557.1</v>
      </c>
      <c r="U44" t="n">
        <v>1225.1</v>
      </c>
      <c r="V44" t="n">
        <v>1200</v>
      </c>
      <c r="W44" t="n">
        <v>1100.6</v>
      </c>
      <c r="X44" t="n">
        <v>1069.2</v>
      </c>
      <c r="Y44" t="n">
        <v>1046</v>
      </c>
      <c r="Z44" t="n">
        <v>1091.5</v>
      </c>
      <c r="AA44" t="n">
        <v>1163.4</v>
      </c>
      <c r="AB44" t="n">
        <v>1190.1</v>
      </c>
      <c r="AC44" t="n">
        <v>1285.2</v>
      </c>
      <c r="AD44" t="n">
        <v>1367.3</v>
      </c>
      <c r="AE44" t="n">
        <v>1454.5</v>
      </c>
      <c r="AF44" t="n">
        <v>1777</v>
      </c>
    </row>
    <row r="45">
      <c r="A45" t="s">
        <v>7</v>
      </c>
      <c r="B45" t="s">
        <v>360</v>
      </c>
      <c r="C45" t="s">
        <v>217</v>
      </c>
      <c r="D45" t="s">
        <v>361</v>
      </c>
      <c r="E45" t="s">
        <v>218</v>
      </c>
      <c r="F45" t="n">
        <v>136.7</v>
      </c>
      <c r="G45" t="n">
        <v>152.6</v>
      </c>
      <c r="H45" t="n">
        <v>175.2</v>
      </c>
      <c r="I45" t="n">
        <v>225.2</v>
      </c>
      <c r="J45" t="n">
        <v>263.8</v>
      </c>
      <c r="K45" t="n">
        <v>385.6</v>
      </c>
      <c r="L45" t="n">
        <v>380.2</v>
      </c>
      <c r="M45" t="n">
        <v>487</v>
      </c>
      <c r="N45" t="n">
        <v>363.5</v>
      </c>
      <c r="O45" t="n">
        <v>406.1</v>
      </c>
      <c r="P45" t="n">
        <v>397.6</v>
      </c>
      <c r="Q45" t="n">
        <v>577.6</v>
      </c>
      <c r="R45" t="n">
        <v>681.4</v>
      </c>
      <c r="S45" t="n">
        <v>552.2</v>
      </c>
      <c r="T45" t="n">
        <v>557.1</v>
      </c>
      <c r="U45" t="n">
        <v>1225.1</v>
      </c>
      <c r="V45" t="n">
        <v>1200</v>
      </c>
      <c r="W45" t="n">
        <v>1100.6</v>
      </c>
      <c r="X45" t="n">
        <v>1069.2</v>
      </c>
      <c r="Y45" t="n">
        <v>1046</v>
      </c>
      <c r="Z45" t="n">
        <v>1091.5</v>
      </c>
      <c r="AA45" t="n">
        <v>1163.4</v>
      </c>
      <c r="AB45" t="n">
        <v>1190.1</v>
      </c>
      <c r="AC45" t="n">
        <v>1285.2</v>
      </c>
      <c r="AD45" t="n">
        <v>1367.3</v>
      </c>
      <c r="AE45" t="n">
        <v>1454.5</v>
      </c>
      <c r="AF45" t="n">
        <v>1777</v>
      </c>
    </row>
    <row r="46">
      <c r="A46" t="s">
        <v>7</v>
      </c>
      <c r="B46" t="s">
        <v>362</v>
      </c>
      <c r="C46" t="s">
        <v>217</v>
      </c>
      <c r="D46" t="s">
        <v>363</v>
      </c>
      <c r="E46" t="s">
        <v>218</v>
      </c>
      <c r="F46" t="n">
        <v>2.9</v>
      </c>
      <c r="G46" t="n">
        <v>3.1</v>
      </c>
      <c r="H46" t="n">
        <v>3</v>
      </c>
      <c r="I46" t="n">
        <v>4.6</v>
      </c>
      <c r="J46" t="n">
        <v>5.7</v>
      </c>
      <c r="K46" t="n">
        <v>6.6</v>
      </c>
      <c r="L46" t="n">
        <v>9.1</v>
      </c>
      <c r="M46" t="n">
        <v>39.9</v>
      </c>
      <c r="N46" t="n">
        <v>7.8</v>
      </c>
      <c r="O46" t="n">
        <v>8.1</v>
      </c>
      <c r="P46" t="n">
        <v>12.5</v>
      </c>
      <c r="Q46" t="n">
        <v>17.2</v>
      </c>
      <c r="R46" t="n">
        <v>18.5</v>
      </c>
      <c r="S46" t="n">
        <v>29.7</v>
      </c>
      <c r="T46" t="n">
        <v>24.9</v>
      </c>
      <c r="U46" t="n">
        <v>45.3</v>
      </c>
      <c r="V46" t="n">
        <v>46</v>
      </c>
      <c r="W46" t="n">
        <v>38.9</v>
      </c>
      <c r="X46" t="n">
        <v>20.4</v>
      </c>
      <c r="Y46" t="n">
        <v>28.5</v>
      </c>
      <c r="Z46" t="n">
        <v>26.3</v>
      </c>
      <c r="AA46" t="n">
        <v>23.4</v>
      </c>
      <c r="AB46" t="n">
        <v>22.2</v>
      </c>
      <c r="AC46" t="n">
        <v>25.6</v>
      </c>
      <c r="AD46" t="n">
        <v>29.2</v>
      </c>
      <c r="AE46" t="n">
        <v>26.8</v>
      </c>
      <c r="AF46" t="n">
        <v>35.2</v>
      </c>
    </row>
    <row r="47">
      <c r="A47" t="s">
        <v>7</v>
      </c>
      <c r="B47" t="s">
        <v>364</v>
      </c>
      <c r="C47" t="s">
        <v>217</v>
      </c>
      <c r="D47" t="s">
        <v>365</v>
      </c>
      <c r="E47" t="s">
        <v>218</v>
      </c>
      <c r="F47" t="n">
        <v>18.2</v>
      </c>
      <c r="G47" t="n">
        <v>18.7</v>
      </c>
      <c r="H47" t="n">
        <v>19.3</v>
      </c>
      <c r="I47" t="n">
        <v>25.2</v>
      </c>
      <c r="J47" t="n">
        <v>28.1</v>
      </c>
      <c r="K47" t="n">
        <v>35.4</v>
      </c>
      <c r="L47" t="n">
        <v>44</v>
      </c>
      <c r="M47" t="n">
        <v>67</v>
      </c>
      <c r="N47" t="n">
        <v>100.1</v>
      </c>
      <c r="O47" t="n">
        <v>91.7</v>
      </c>
      <c r="P47" t="n">
        <v>104.6</v>
      </c>
      <c r="Q47" t="n">
        <v>89.1</v>
      </c>
      <c r="R47" t="n">
        <v>106</v>
      </c>
      <c r="S47" t="n">
        <v>74.7</v>
      </c>
      <c r="T47" t="n">
        <v>104.8</v>
      </c>
      <c r="U47" t="n">
        <v>200.7</v>
      </c>
      <c r="V47" t="n">
        <v>141.1</v>
      </c>
      <c r="W47" t="n">
        <v>76.1</v>
      </c>
      <c r="X47" t="n">
        <v>92.4</v>
      </c>
      <c r="Y47" t="n">
        <v>65.6</v>
      </c>
      <c r="Z47" t="n">
        <v>76.2</v>
      </c>
      <c r="AA47" t="n">
        <v>66.6</v>
      </c>
      <c r="AB47" t="n">
        <v>107.3</v>
      </c>
      <c r="AC47" t="n">
        <v>85.6</v>
      </c>
      <c r="AD47" t="n">
        <v>89.1</v>
      </c>
      <c r="AE47" t="n">
        <v>98.3</v>
      </c>
      <c r="AF47" t="n">
        <v>107.5</v>
      </c>
    </row>
    <row r="48">
      <c r="A48" t="s">
        <v>7</v>
      </c>
      <c r="B48" t="s">
        <v>366</v>
      </c>
      <c r="C48" t="s">
        <v>217</v>
      </c>
      <c r="D48" t="s">
        <v>367</v>
      </c>
      <c r="E48" t="s">
        <v>218</v>
      </c>
      <c r="F48" t="n">
        <v>34.5</v>
      </c>
      <c r="G48" t="n">
        <v>39.5</v>
      </c>
      <c r="H48" t="n">
        <v>46.8</v>
      </c>
      <c r="I48" t="n">
        <v>58.2</v>
      </c>
      <c r="J48" t="n">
        <v>65.2</v>
      </c>
      <c r="K48" t="n">
        <v>94.4</v>
      </c>
      <c r="L48" t="n">
        <v>89.8</v>
      </c>
      <c r="M48" t="n">
        <v>105.3</v>
      </c>
      <c r="N48" t="n">
        <v>127.5</v>
      </c>
      <c r="O48" t="n">
        <v>135.5</v>
      </c>
      <c r="P48" t="n">
        <v>169.7</v>
      </c>
      <c r="Q48" t="n">
        <v>166.3</v>
      </c>
      <c r="R48" t="n">
        <v>180.9</v>
      </c>
      <c r="S48" t="n">
        <v>131.4</v>
      </c>
      <c r="T48" t="n">
        <v>174</v>
      </c>
      <c r="U48" t="n">
        <v>240.1</v>
      </c>
      <c r="V48" t="n">
        <v>184.3</v>
      </c>
      <c r="W48" t="n">
        <v>117.7</v>
      </c>
      <c r="X48" t="n">
        <v>132.1</v>
      </c>
      <c r="Y48" t="n">
        <v>117.1</v>
      </c>
      <c r="Z48" t="n">
        <v>128.8</v>
      </c>
      <c r="AA48" t="n">
        <v>121.6</v>
      </c>
      <c r="AB48" t="n">
        <v>167.4</v>
      </c>
      <c r="AC48" t="n">
        <v>166.4</v>
      </c>
      <c r="AD48" t="n">
        <v>164.2</v>
      </c>
      <c r="AE48" t="n">
        <v>180.6</v>
      </c>
      <c r="AF48" t="n">
        <v>194.9</v>
      </c>
    </row>
    <row r="49">
      <c r="A49" t="s">
        <v>7</v>
      </c>
      <c r="B49" t="s">
        <v>368</v>
      </c>
      <c r="C49" t="s">
        <v>217</v>
      </c>
      <c r="D49" t="s">
        <v>369</v>
      </c>
      <c r="E49" t="s">
        <v>218</v>
      </c>
      <c r="F49" t="n">
        <v>13.7</v>
      </c>
      <c r="G49" t="n">
        <v>18</v>
      </c>
      <c r="H49" t="n">
        <v>24.5</v>
      </c>
      <c r="I49" t="n">
        <v>29.1</v>
      </c>
      <c r="J49" t="n">
        <v>32.7</v>
      </c>
      <c r="K49" t="n">
        <v>52.6</v>
      </c>
      <c r="L49" t="n">
        <v>39.3</v>
      </c>
      <c r="M49" t="n">
        <v>33.5</v>
      </c>
      <c r="N49" t="n">
        <v>22.8</v>
      </c>
      <c r="O49" t="n">
        <v>38.9</v>
      </c>
      <c r="P49" t="n">
        <v>43.7</v>
      </c>
      <c r="Q49" t="n">
        <v>52.7</v>
      </c>
      <c r="R49" t="n">
        <v>50</v>
      </c>
      <c r="S49" t="n">
        <v>38</v>
      </c>
      <c r="T49" t="n">
        <v>50.1</v>
      </c>
      <c r="U49" t="n">
        <v>27</v>
      </c>
      <c r="V49" t="n">
        <v>28.4</v>
      </c>
      <c r="W49" t="n">
        <v>27.7</v>
      </c>
      <c r="X49" t="n">
        <v>26.3</v>
      </c>
      <c r="Y49" t="n">
        <v>37.3</v>
      </c>
      <c r="Z49" t="n">
        <v>26.1</v>
      </c>
      <c r="AA49" t="n">
        <v>26.2</v>
      </c>
      <c r="AB49" t="n">
        <v>29</v>
      </c>
      <c r="AC49" t="n">
        <v>38</v>
      </c>
      <c r="AD49" t="n">
        <v>36.6</v>
      </c>
      <c r="AE49" t="n">
        <v>39.9</v>
      </c>
      <c r="AF49" t="n">
        <v>50</v>
      </c>
    </row>
    <row r="50">
      <c r="A50" t="s">
        <v>7</v>
      </c>
      <c r="B50" t="s">
        <v>370</v>
      </c>
      <c r="C50" t="s">
        <v>217</v>
      </c>
      <c r="D50" t="s">
        <v>371</v>
      </c>
      <c r="E50" t="s">
        <v>218</v>
      </c>
      <c r="F50" t="n">
        <v>2.6</v>
      </c>
      <c r="G50" t="n">
        <v>2.8</v>
      </c>
      <c r="H50" t="n">
        <v>3.1</v>
      </c>
      <c r="I50" t="n">
        <v>3.9</v>
      </c>
      <c r="J50" t="n">
        <v>4.4</v>
      </c>
      <c r="K50" t="n">
        <v>6.4</v>
      </c>
      <c r="L50" t="n">
        <v>6.5</v>
      </c>
      <c r="M50" t="n">
        <v>4.8</v>
      </c>
      <c r="N50" t="n">
        <v>4.6</v>
      </c>
      <c r="O50" t="n">
        <v>5</v>
      </c>
      <c r="P50" t="n">
        <v>21.4</v>
      </c>
      <c r="Q50" t="n">
        <v>24.5</v>
      </c>
      <c r="R50" t="n">
        <v>24.9</v>
      </c>
      <c r="S50" t="n">
        <v>18.7</v>
      </c>
      <c r="T50" t="n">
        <v>19</v>
      </c>
      <c r="U50" t="n">
        <v>12.5</v>
      </c>
      <c r="V50" t="n">
        <v>14.9</v>
      </c>
      <c r="W50" t="n">
        <v>13.9</v>
      </c>
      <c r="X50" t="n">
        <v>13.4</v>
      </c>
      <c r="Y50" t="n">
        <v>14.3</v>
      </c>
      <c r="Z50" t="n">
        <v>26.5</v>
      </c>
      <c r="AA50" t="n">
        <v>28.8</v>
      </c>
      <c r="AB50" t="n">
        <v>31.1</v>
      </c>
      <c r="AC50" t="n">
        <v>42.7</v>
      </c>
      <c r="AD50" t="n">
        <v>38.4</v>
      </c>
      <c r="AE50" t="n">
        <v>42.5</v>
      </c>
      <c r="AF50" t="n">
        <v>37.5</v>
      </c>
    </row>
    <row r="51">
      <c r="A51" t="s">
        <v>7</v>
      </c>
      <c r="B51" t="s">
        <v>372</v>
      </c>
      <c r="C51" t="s">
        <v>217</v>
      </c>
      <c r="D51" t="s">
        <v>373</v>
      </c>
      <c r="E51" t="s">
        <v>218</v>
      </c>
      <c r="F51" t="n">
        <v>2.6</v>
      </c>
      <c r="G51" t="n">
        <v>2.8</v>
      </c>
      <c r="H51" t="n">
        <v>3</v>
      </c>
      <c r="I51" t="n">
        <v>3.8</v>
      </c>
      <c r="J51" t="n">
        <v>4.4</v>
      </c>
      <c r="K51" t="n">
        <v>6.2</v>
      </c>
      <c r="L51" t="n">
        <v>6.5</v>
      </c>
      <c r="M51" t="n">
        <v>4.7</v>
      </c>
      <c r="N51" t="n">
        <v>4.6</v>
      </c>
      <c r="O51" t="n">
        <v>4.9</v>
      </c>
      <c r="P51" t="n">
        <v>18.3</v>
      </c>
      <c r="Q51" t="n">
        <v>23.3</v>
      </c>
      <c r="R51" t="n">
        <v>24</v>
      </c>
      <c r="S51" t="n">
        <v>18.3</v>
      </c>
      <c r="T51" t="n">
        <v>18.7</v>
      </c>
      <c r="U51" t="n">
        <v>12.1</v>
      </c>
      <c r="V51" t="n">
        <v>13.5</v>
      </c>
      <c r="W51" t="n">
        <v>13.5</v>
      </c>
      <c r="X51" t="n">
        <v>13</v>
      </c>
      <c r="Y51" t="n">
        <v>14</v>
      </c>
      <c r="Z51" t="n">
        <v>26.4</v>
      </c>
      <c r="AA51" t="n">
        <v>28.7</v>
      </c>
      <c r="AB51" t="n">
        <v>31</v>
      </c>
      <c r="AC51" t="n">
        <v>42.6</v>
      </c>
      <c r="AD51" t="n">
        <v>38.3</v>
      </c>
      <c r="AE51" t="n">
        <v>42.3</v>
      </c>
      <c r="AF51" t="n">
        <v>37.1</v>
      </c>
    </row>
    <row r="52">
      <c r="A52" t="s">
        <v>7</v>
      </c>
      <c r="B52" t="s">
        <v>374</v>
      </c>
      <c r="C52" t="s">
        <v>217</v>
      </c>
      <c r="D52" t="s">
        <v>375</v>
      </c>
      <c r="E52" t="s">
        <v>218</v>
      </c>
      <c r="F52" t="n">
        <v>0</v>
      </c>
      <c r="G52" t="n">
        <v>0</v>
      </c>
      <c r="H52" t="n">
        <v>0.1</v>
      </c>
      <c r="I52" t="n">
        <v>0.1</v>
      </c>
      <c r="J52" t="n">
        <v>0.1</v>
      </c>
      <c r="K52" t="n">
        <v>0.2</v>
      </c>
      <c r="L52" t="n">
        <v>0</v>
      </c>
      <c r="M52" t="n">
        <v>0.1</v>
      </c>
      <c r="N52" t="n">
        <v>0.1</v>
      </c>
      <c r="O52" t="n">
        <v>0.1</v>
      </c>
      <c r="P52" t="n">
        <v>3.1</v>
      </c>
      <c r="Q52" t="n">
        <v>1.2</v>
      </c>
      <c r="R52" t="n">
        <v>0.9</v>
      </c>
      <c r="S52" t="n">
        <v>0.4</v>
      </c>
      <c r="T52" t="n">
        <v>0.3</v>
      </c>
      <c r="U52" t="n">
        <v>0.4</v>
      </c>
      <c r="V52" t="n">
        <v>1.4</v>
      </c>
      <c r="W52" t="n">
        <v>0.4</v>
      </c>
      <c r="X52" t="n">
        <v>0.4</v>
      </c>
      <c r="Y52" t="n">
        <v>0.3</v>
      </c>
      <c r="Z52" t="n">
        <v>0.1</v>
      </c>
      <c r="AA52" t="n">
        <v>0.1</v>
      </c>
      <c r="AB52" t="n">
        <v>0.1</v>
      </c>
      <c r="AC52" t="n">
        <v>0.1</v>
      </c>
      <c r="AD52" t="n">
        <v>0.1</v>
      </c>
      <c r="AE52" t="n">
        <v>0.2</v>
      </c>
      <c r="AF52" t="n">
        <v>0.4</v>
      </c>
    </row>
    <row r="53">
      <c r="A53" t="s">
        <v>7</v>
      </c>
      <c r="B53" t="s">
        <v>376</v>
      </c>
      <c r="C53" t="s">
        <v>217</v>
      </c>
      <c r="D53" t="s">
        <v>377</v>
      </c>
      <c r="E53" t="s">
        <v>218</v>
      </c>
      <c r="F53" t="n">
        <v>1.6</v>
      </c>
      <c r="G53" t="n">
        <v>2.5</v>
      </c>
      <c r="H53" t="n">
        <v>3.1</v>
      </c>
      <c r="I53" t="n">
        <v>3.3</v>
      </c>
      <c r="J53" t="n">
        <v>3.7</v>
      </c>
      <c r="K53" t="n">
        <v>8.6</v>
      </c>
      <c r="L53" t="n">
        <v>6.7</v>
      </c>
      <c r="M53" t="n">
        <v>11.4</v>
      </c>
      <c r="N53" t="n">
        <v>11.1</v>
      </c>
      <c r="O53" t="n">
        <v>10.7</v>
      </c>
      <c r="P53" t="n">
        <v>2.6</v>
      </c>
      <c r="Q53" t="n">
        <v>3</v>
      </c>
      <c r="R53" t="n">
        <v>3.4</v>
      </c>
      <c r="S53" t="n">
        <v>2.5</v>
      </c>
      <c r="T53" t="n">
        <v>3.1</v>
      </c>
      <c r="U53" t="n">
        <v>4.8</v>
      </c>
      <c r="V53" t="n">
        <v>6.6</v>
      </c>
      <c r="W53" t="n">
        <v>4.3</v>
      </c>
      <c r="X53" t="n">
        <v>4.7</v>
      </c>
      <c r="Y53" t="n">
        <v>5.7</v>
      </c>
      <c r="Z53" t="n">
        <v>4</v>
      </c>
      <c r="AA53" t="n">
        <v>4.4</v>
      </c>
      <c r="AB53" t="n">
        <v>4.8</v>
      </c>
      <c r="AC53" t="n">
        <v>6</v>
      </c>
      <c r="AD53" t="n">
        <v>5.6</v>
      </c>
      <c r="AE53" t="n">
        <v>6.2</v>
      </c>
      <c r="AF53" t="n">
        <v>10.7</v>
      </c>
    </row>
    <row r="54">
      <c r="A54" t="s">
        <v>7</v>
      </c>
      <c r="B54" t="s">
        <v>378</v>
      </c>
      <c r="C54" t="s">
        <v>217</v>
      </c>
      <c r="D54" t="s">
        <v>379</v>
      </c>
      <c r="E54" t="s">
        <v>218</v>
      </c>
      <c r="F54" t="n">
        <v>9.6</v>
      </c>
      <c r="G54" t="n">
        <v>12.3</v>
      </c>
      <c r="H54" t="n">
        <v>16.6</v>
      </c>
      <c r="I54" t="n">
        <v>18.5</v>
      </c>
      <c r="J54" t="n">
        <v>21</v>
      </c>
      <c r="K54" t="n">
        <v>41.5</v>
      </c>
      <c r="L54" t="n">
        <v>21.2</v>
      </c>
      <c r="M54" t="n">
        <v>23.8</v>
      </c>
      <c r="N54" t="n">
        <v>23.6</v>
      </c>
      <c r="O54" t="n">
        <v>23.5</v>
      </c>
      <c r="P54" t="n">
        <v>10.7</v>
      </c>
      <c r="Q54" t="n">
        <v>13.8</v>
      </c>
      <c r="R54" t="n">
        <v>16</v>
      </c>
      <c r="S54" t="n">
        <v>11.9</v>
      </c>
      <c r="T54" t="n">
        <v>14.5</v>
      </c>
      <c r="U54" t="n">
        <v>27.6</v>
      </c>
      <c r="V54" t="n">
        <v>25.7</v>
      </c>
      <c r="W54" t="n">
        <v>19</v>
      </c>
      <c r="X54" t="n">
        <v>25.2</v>
      </c>
      <c r="Y54" t="n">
        <v>27.2</v>
      </c>
      <c r="Z54" t="n">
        <v>21.6</v>
      </c>
      <c r="AA54" t="n">
        <v>20.4</v>
      </c>
      <c r="AB54" t="n">
        <v>21.7</v>
      </c>
      <c r="AC54" t="n">
        <v>24.7</v>
      </c>
      <c r="AD54" t="n">
        <v>23.9</v>
      </c>
      <c r="AE54" t="n">
        <v>25.1</v>
      </c>
      <c r="AF54" t="n">
        <v>33.5</v>
      </c>
    </row>
    <row r="55">
      <c r="A55" t="s">
        <v>7</v>
      </c>
      <c r="B55" t="s">
        <v>380</v>
      </c>
      <c r="C55" t="s">
        <v>217</v>
      </c>
      <c r="D55" t="s">
        <v>381</v>
      </c>
      <c r="E55" t="s">
        <v>218</v>
      </c>
      <c r="F55" t="n">
        <v>8</v>
      </c>
      <c r="G55" t="n">
        <v>9.8</v>
      </c>
      <c r="H55" t="n">
        <v>13.5</v>
      </c>
      <c r="I55" t="n">
        <v>15.2</v>
      </c>
      <c r="J55" t="n">
        <v>17.3</v>
      </c>
      <c r="K55" t="n">
        <v>32.9</v>
      </c>
      <c r="L55" t="n">
        <v>14.5</v>
      </c>
      <c r="M55" t="n">
        <v>12.4</v>
      </c>
      <c r="N55" t="n">
        <v>12.5</v>
      </c>
      <c r="O55" t="n">
        <v>12.8</v>
      </c>
      <c r="P55" t="n">
        <v>8.1</v>
      </c>
      <c r="Q55" t="n">
        <v>10.8</v>
      </c>
      <c r="R55" t="n">
        <v>12.6</v>
      </c>
      <c r="S55" t="n">
        <v>9.4</v>
      </c>
      <c r="T55" t="n">
        <v>11.4</v>
      </c>
      <c r="U55" t="n">
        <v>22.8</v>
      </c>
      <c r="V55" t="n">
        <v>19.1</v>
      </c>
      <c r="W55" t="n">
        <v>14.7</v>
      </c>
      <c r="X55" t="n">
        <v>20.5</v>
      </c>
      <c r="Y55" t="n">
        <v>21.5</v>
      </c>
      <c r="Z55" t="n">
        <v>17.6</v>
      </c>
      <c r="AA55" t="n">
        <v>16</v>
      </c>
      <c r="AB55" t="n">
        <v>16.9</v>
      </c>
      <c r="AC55" t="n">
        <v>18.7</v>
      </c>
      <c r="AD55" t="n">
        <v>18.3</v>
      </c>
      <c r="AE55" t="n">
        <v>18.9</v>
      </c>
      <c r="AF55" t="n">
        <v>22.8</v>
      </c>
    </row>
    <row r="56">
      <c r="A56" t="s">
        <v>7</v>
      </c>
      <c r="B56" t="s">
        <v>382</v>
      </c>
      <c r="C56" t="s">
        <v>217</v>
      </c>
      <c r="D56" t="s">
        <v>383</v>
      </c>
      <c r="E56" t="s">
        <v>218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7</v>
      </c>
      <c r="B57" t="s">
        <v>384</v>
      </c>
      <c r="C57" t="s">
        <v>217</v>
      </c>
      <c r="D57" t="s">
        <v>385</v>
      </c>
      <c r="E57" t="s">
        <v>218</v>
      </c>
      <c r="F57" t="n">
        <v>171.6</v>
      </c>
      <c r="G57" t="n">
        <v>192.6</v>
      </c>
      <c r="H57" t="n">
        <v>222.9</v>
      </c>
      <c r="I57" t="n">
        <v>284.2</v>
      </c>
      <c r="J57" t="n">
        <v>330</v>
      </c>
      <c r="K57" t="n">
        <v>482.1</v>
      </c>
      <c r="L57" t="n">
        <v>486.3</v>
      </c>
      <c r="M57" t="n">
        <v>634.9</v>
      </c>
      <c r="N57" t="n">
        <v>517.2</v>
      </c>
      <c r="O57" t="n">
        <v>566.1</v>
      </c>
      <c r="P57" t="n">
        <v>568.1</v>
      </c>
      <c r="Q57" t="n">
        <v>745.1</v>
      </c>
      <c r="R57" t="n">
        <v>867.8</v>
      </c>
      <c r="S57" t="n">
        <v>685.4</v>
      </c>
      <c r="T57" t="n">
        <v>732.8</v>
      </c>
      <c r="U57" t="n">
        <v>1510.2</v>
      </c>
      <c r="V57" t="n">
        <v>1393.3</v>
      </c>
      <c r="W57" t="n">
        <v>1222.9</v>
      </c>
      <c r="X57" t="n">
        <v>1206.4</v>
      </c>
      <c r="Y57" t="n">
        <v>1167.9</v>
      </c>
      <c r="Z57" t="n">
        <v>1247.2</v>
      </c>
      <c r="AA57" t="n">
        <v>1312.1</v>
      </c>
      <c r="AB57" t="n">
        <v>1386.4</v>
      </c>
      <c r="AC57" t="n">
        <v>1470</v>
      </c>
      <c r="AD57" t="n">
        <v>1558.2</v>
      </c>
      <c r="AE57" t="n">
        <v>1671</v>
      </c>
      <c r="AF57" t="n">
        <v>2003.3</v>
      </c>
    </row>
    <row r="58">
      <c r="A58" t="s">
        <v>7</v>
      </c>
      <c r="B58" t="s">
        <v>386</v>
      </c>
      <c r="C58" t="s">
        <v>217</v>
      </c>
      <c r="D58" t="s">
        <v>387</v>
      </c>
      <c r="E58" t="s">
        <v>218</v>
      </c>
      <c r="F58" t="n">
        <v>171.6</v>
      </c>
      <c r="G58" t="n">
        <v>192.6</v>
      </c>
      <c r="H58" t="n">
        <v>222.9</v>
      </c>
      <c r="I58" t="n">
        <v>284.2</v>
      </c>
      <c r="J58" t="n">
        <v>330</v>
      </c>
      <c r="K58" t="n">
        <v>482.1</v>
      </c>
      <c r="L58" t="n">
        <v>486.3</v>
      </c>
      <c r="M58" t="n">
        <v>634.9</v>
      </c>
      <c r="N58" t="n">
        <v>517.2</v>
      </c>
      <c r="O58" t="n">
        <v>566.1</v>
      </c>
      <c r="P58" t="n">
        <v>568.1</v>
      </c>
      <c r="Q58" t="n">
        <v>745.1</v>
      </c>
      <c r="R58" t="n">
        <v>867.8</v>
      </c>
      <c r="S58" t="n">
        <v>685.4</v>
      </c>
      <c r="T58" t="n">
        <v>732.8</v>
      </c>
      <c r="U58" t="n">
        <v>1510.2</v>
      </c>
      <c r="V58" t="n">
        <v>1393.3</v>
      </c>
      <c r="W58" t="n">
        <v>1222.9</v>
      </c>
      <c r="X58" t="n">
        <v>1206.4</v>
      </c>
      <c r="Y58" t="n">
        <v>1167.9</v>
      </c>
      <c r="Z58" t="n">
        <v>1247.2</v>
      </c>
      <c r="AA58" t="n">
        <v>1312.1</v>
      </c>
      <c r="AB58" t="n">
        <v>1386.4</v>
      </c>
      <c r="AC58" t="n">
        <v>1470</v>
      </c>
      <c r="AD58" t="n">
        <v>1558.2</v>
      </c>
      <c r="AE58" t="n">
        <v>1671</v>
      </c>
      <c r="AF58" t="n">
        <v>2003.3</v>
      </c>
    </row>
    <row r="59">
      <c r="A59" t="s">
        <v>7</v>
      </c>
      <c r="B59" t="s">
        <v>388</v>
      </c>
      <c r="C59" t="s">
        <v>217</v>
      </c>
      <c r="D59" t="s">
        <v>389</v>
      </c>
      <c r="E59" t="s">
        <v>218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9</v>
      </c>
      <c r="B2" t="s">
        <v>197</v>
      </c>
      <c r="C2" t="s">
        <v>217</v>
      </c>
      <c r="D2" t="s">
        <v>199</v>
      </c>
      <c r="E2" t="s">
        <v>218</v>
      </c>
      <c r="F2" t="n">
        <v>103.6</v>
      </c>
      <c r="G2" t="n">
        <v>121.3</v>
      </c>
      <c r="H2" t="n">
        <v>206.8</v>
      </c>
      <c r="I2" t="n">
        <v>176.6</v>
      </c>
      <c r="J2" t="n">
        <v>209.3</v>
      </c>
      <c r="K2" t="n">
        <v>226.2</v>
      </c>
      <c r="L2" t="n">
        <v>422.5</v>
      </c>
      <c r="M2" t="n">
        <v>417.8</v>
      </c>
      <c r="N2" t="n">
        <v>352.9</v>
      </c>
      <c r="O2" t="n">
        <v>341.9</v>
      </c>
      <c r="P2" t="n">
        <v>416.3</v>
      </c>
      <c r="Q2" t="n">
        <v>367.3</v>
      </c>
      <c r="R2" t="n">
        <v>537.3</v>
      </c>
      <c r="S2" t="n">
        <v>456.3</v>
      </c>
      <c r="T2" t="n">
        <v>334.2</v>
      </c>
      <c r="U2" t="n">
        <v>357.3</v>
      </c>
      <c r="V2" t="n">
        <v>251.2</v>
      </c>
      <c r="W2" t="n">
        <v>271</v>
      </c>
      <c r="X2" t="n">
        <v>407.7</v>
      </c>
      <c r="Y2" t="n">
        <v>242.5</v>
      </c>
      <c r="Z2" t="n">
        <v>414.1</v>
      </c>
      <c r="AA2" t="n">
        <v>422.6</v>
      </c>
      <c r="AB2" t="n">
        <v>443.9</v>
      </c>
      <c r="AC2" t="n">
        <v>539.5</v>
      </c>
      <c r="AD2" t="n">
        <v>642.7</v>
      </c>
      <c r="AE2" t="n">
        <v>502.5</v>
      </c>
      <c r="AF2" t="n">
        <v>350.4</v>
      </c>
    </row>
    <row r="3">
      <c r="A3" t="s">
        <v>9</v>
      </c>
      <c r="B3" t="s">
        <v>276</v>
      </c>
      <c r="C3" t="s">
        <v>217</v>
      </c>
      <c r="D3" t="s">
        <v>277</v>
      </c>
      <c r="E3" t="s">
        <v>218</v>
      </c>
      <c r="F3" t="n">
        <v>1.6</v>
      </c>
      <c r="G3" t="n">
        <v>2</v>
      </c>
      <c r="H3" t="n">
        <v>3.5</v>
      </c>
      <c r="I3" t="n">
        <v>2.6</v>
      </c>
      <c r="J3" t="n">
        <v>3.5</v>
      </c>
      <c r="K3" t="n">
        <v>3.6</v>
      </c>
      <c r="L3" t="n">
        <v>8.9</v>
      </c>
      <c r="M3" t="n">
        <v>3.9</v>
      </c>
      <c r="N3" t="n">
        <v>4.8</v>
      </c>
      <c r="O3" t="n">
        <v>5.1</v>
      </c>
      <c r="P3" t="n">
        <v>9</v>
      </c>
      <c r="Q3" t="n">
        <v>4.8</v>
      </c>
      <c r="R3" t="n">
        <v>2.8</v>
      </c>
      <c r="S3" t="n">
        <v>5.2</v>
      </c>
      <c r="T3" t="n">
        <v>4.1</v>
      </c>
      <c r="U3" t="n">
        <v>0</v>
      </c>
      <c r="V3" t="n">
        <v>-3.9</v>
      </c>
      <c r="W3" t="n">
        <v>1.2</v>
      </c>
      <c r="X3" t="n">
        <v>-1.3</v>
      </c>
      <c r="Y3" t="n">
        <v>7.1</v>
      </c>
      <c r="Z3" t="n">
        <v>4.7</v>
      </c>
      <c r="AA3" t="n">
        <v>-4.4</v>
      </c>
      <c r="AB3" t="n">
        <v>-4.8</v>
      </c>
      <c r="AC3" t="n">
        <v>3.7</v>
      </c>
      <c r="AD3" t="n">
        <v>2.5</v>
      </c>
      <c r="AE3" t="n">
        <v>1.9</v>
      </c>
      <c r="AF3" t="n">
        <v>3.2</v>
      </c>
    </row>
    <row r="4">
      <c r="A4" t="s">
        <v>9</v>
      </c>
      <c r="B4" t="s">
        <v>278</v>
      </c>
      <c r="C4" t="s">
        <v>217</v>
      </c>
      <c r="D4" t="s">
        <v>279</v>
      </c>
      <c r="E4" t="s">
        <v>218</v>
      </c>
      <c r="F4" t="n">
        <v>102.4</v>
      </c>
      <c r="G4" t="n">
        <v>122.4</v>
      </c>
      <c r="H4" t="n">
        <v>215.3</v>
      </c>
      <c r="I4" t="n">
        <v>162.8</v>
      </c>
      <c r="J4" t="n">
        <v>217.7</v>
      </c>
      <c r="K4" t="n">
        <v>225.2</v>
      </c>
      <c r="L4" t="n">
        <v>124.2</v>
      </c>
      <c r="M4" t="n">
        <v>83.8</v>
      </c>
      <c r="N4" t="n">
        <v>52.2</v>
      </c>
      <c r="O4" t="n">
        <v>67.4</v>
      </c>
      <c r="P4" t="n">
        <v>58.1</v>
      </c>
      <c r="Q4" t="n">
        <v>46.3</v>
      </c>
      <c r="R4" t="n">
        <v>76.3</v>
      </c>
      <c r="S4" t="n">
        <v>49.3</v>
      </c>
      <c r="T4" t="n">
        <v>39.8</v>
      </c>
      <c r="U4" t="n">
        <v>31.7</v>
      </c>
      <c r="V4" t="n">
        <v>-1.5</v>
      </c>
      <c r="W4" t="n">
        <v>-13.3</v>
      </c>
      <c r="X4" t="n">
        <v>-6.8</v>
      </c>
      <c r="Y4" t="n">
        <v>25</v>
      </c>
      <c r="Z4" t="n">
        <v>23.1</v>
      </c>
      <c r="AA4" t="n">
        <v>19.4</v>
      </c>
      <c r="AB4" t="n">
        <v>21</v>
      </c>
      <c r="AC4" t="n">
        <v>22.6</v>
      </c>
      <c r="AD4" t="n">
        <v>76</v>
      </c>
      <c r="AE4" t="n">
        <v>54.3</v>
      </c>
      <c r="AF4" t="n">
        <v>48.9</v>
      </c>
    </row>
    <row r="5">
      <c r="A5" t="s">
        <v>9</v>
      </c>
      <c r="B5" t="s">
        <v>280</v>
      </c>
      <c r="C5" t="s">
        <v>217</v>
      </c>
      <c r="D5" t="s">
        <v>281</v>
      </c>
      <c r="E5" t="s">
        <v>218</v>
      </c>
      <c r="F5" t="n">
        <v>6.3</v>
      </c>
      <c r="G5" t="n">
        <v>7.6</v>
      </c>
      <c r="H5" t="n">
        <v>13.3</v>
      </c>
      <c r="I5" t="n">
        <v>10.1</v>
      </c>
      <c r="J5" t="n">
        <v>13.5</v>
      </c>
      <c r="K5" t="n">
        <v>13.9</v>
      </c>
      <c r="L5" t="n">
        <v>27.2</v>
      </c>
      <c r="M5" t="n">
        <v>29.7</v>
      </c>
      <c r="N5" t="n">
        <v>12.1</v>
      </c>
      <c r="O5" t="n">
        <v>21.2</v>
      </c>
      <c r="P5" t="n">
        <v>18</v>
      </c>
      <c r="Q5" t="n">
        <v>17.9</v>
      </c>
      <c r="R5" t="n">
        <v>17.6</v>
      </c>
      <c r="S5" t="n">
        <v>16.9</v>
      </c>
      <c r="T5" t="n">
        <v>9.7</v>
      </c>
      <c r="U5" t="n">
        <v>21.4</v>
      </c>
      <c r="V5" t="n">
        <v>4.9</v>
      </c>
      <c r="W5" t="n">
        <v>3.8</v>
      </c>
      <c r="X5" t="n">
        <v>6.4</v>
      </c>
      <c r="Y5" t="n">
        <v>6.5</v>
      </c>
      <c r="Z5" t="n">
        <v>19.7</v>
      </c>
      <c r="AA5" t="n">
        <v>15.4</v>
      </c>
      <c r="AB5" t="n">
        <v>16.6</v>
      </c>
      <c r="AC5" t="n">
        <v>15</v>
      </c>
      <c r="AD5" t="n">
        <v>19.5</v>
      </c>
      <c r="AE5" t="n">
        <v>25.7</v>
      </c>
      <c r="AF5" t="n">
        <v>20.5</v>
      </c>
    </row>
    <row r="6">
      <c r="A6" t="s">
        <v>9</v>
      </c>
      <c r="B6" t="s">
        <v>282</v>
      </c>
      <c r="C6" t="s">
        <v>217</v>
      </c>
      <c r="D6" t="s">
        <v>283</v>
      </c>
      <c r="E6" t="s">
        <v>218</v>
      </c>
      <c r="F6" t="n">
        <v>2.5</v>
      </c>
      <c r="G6" t="n">
        <v>3</v>
      </c>
      <c r="H6" t="n">
        <v>5.2</v>
      </c>
      <c r="I6" t="n">
        <v>4</v>
      </c>
      <c r="J6" t="n">
        <v>5.3</v>
      </c>
      <c r="K6" t="n">
        <v>5.5</v>
      </c>
      <c r="L6" t="n">
        <v>8.5</v>
      </c>
      <c r="M6" t="n">
        <v>15.4</v>
      </c>
      <c r="N6" t="n">
        <v>6.3</v>
      </c>
      <c r="O6" t="n">
        <v>9.5</v>
      </c>
      <c r="P6" t="n">
        <v>5.3</v>
      </c>
      <c r="Q6" t="n">
        <v>-9.3</v>
      </c>
      <c r="R6" t="n">
        <v>1</v>
      </c>
      <c r="S6" t="n">
        <v>2</v>
      </c>
      <c r="T6" t="n">
        <v>1.8</v>
      </c>
      <c r="U6" t="n">
        <v>-2.8</v>
      </c>
      <c r="V6" t="n">
        <v>0.3</v>
      </c>
      <c r="W6" t="n">
        <v>0.4</v>
      </c>
      <c r="X6" t="n">
        <v>0.4</v>
      </c>
      <c r="Y6" t="n">
        <v>0.5</v>
      </c>
      <c r="Z6" t="n">
        <v>-1.1</v>
      </c>
      <c r="AA6" t="n">
        <v>0.9</v>
      </c>
      <c r="AB6" t="n">
        <v>1</v>
      </c>
      <c r="AC6" t="n">
        <v>-13.4</v>
      </c>
      <c r="AD6" t="n">
        <v>0.5</v>
      </c>
      <c r="AE6" t="n">
        <v>-4.3</v>
      </c>
      <c r="AF6" t="n">
        <v>2.1</v>
      </c>
    </row>
    <row r="7">
      <c r="A7" t="s">
        <v>9</v>
      </c>
      <c r="B7" t="s">
        <v>284</v>
      </c>
      <c r="C7" t="s">
        <v>217</v>
      </c>
      <c r="D7" t="s">
        <v>285</v>
      </c>
      <c r="E7" t="s">
        <v>218</v>
      </c>
      <c r="F7" t="n">
        <v>2</v>
      </c>
      <c r="G7" t="n">
        <v>2.4</v>
      </c>
      <c r="H7" t="n">
        <v>4.3</v>
      </c>
      <c r="I7" t="n">
        <v>3.2</v>
      </c>
      <c r="J7" t="n">
        <v>4.3</v>
      </c>
      <c r="K7" t="n">
        <v>4.5</v>
      </c>
      <c r="L7" t="n">
        <v>7.3</v>
      </c>
      <c r="M7" t="n">
        <v>-8.3</v>
      </c>
      <c r="N7" t="n">
        <v>3</v>
      </c>
      <c r="O7" t="n">
        <v>4.2</v>
      </c>
      <c r="P7" t="n">
        <v>4.3</v>
      </c>
      <c r="Q7" t="n">
        <v>3.3</v>
      </c>
      <c r="R7" t="n">
        <v>6.3</v>
      </c>
      <c r="S7" t="n">
        <v>3.8</v>
      </c>
      <c r="T7" t="n">
        <v>4.4</v>
      </c>
      <c r="U7" t="n">
        <v>1.8</v>
      </c>
      <c r="V7" t="n">
        <v>-1</v>
      </c>
      <c r="W7" t="n">
        <v>-1</v>
      </c>
      <c r="X7" t="n">
        <v>-1.4</v>
      </c>
      <c r="Y7" t="n">
        <v>2.6</v>
      </c>
      <c r="Z7" t="n">
        <v>0.6</v>
      </c>
      <c r="AA7" t="n">
        <v>1.7</v>
      </c>
      <c r="AB7" t="n">
        <v>1.9</v>
      </c>
      <c r="AC7" t="n">
        <v>0.4</v>
      </c>
      <c r="AD7" t="n">
        <v>1.3</v>
      </c>
      <c r="AE7" t="n">
        <v>3.4</v>
      </c>
      <c r="AF7" t="n">
        <v>-1.4</v>
      </c>
    </row>
    <row r="8">
      <c r="A8" t="s">
        <v>9</v>
      </c>
      <c r="B8" t="s">
        <v>286</v>
      </c>
      <c r="C8" t="s">
        <v>217</v>
      </c>
      <c r="D8" t="s">
        <v>287</v>
      </c>
      <c r="E8" t="s">
        <v>218</v>
      </c>
      <c r="F8" t="n">
        <v>0.1</v>
      </c>
      <c r="G8" t="n">
        <v>0.2</v>
      </c>
      <c r="H8" t="n">
        <v>0.3</v>
      </c>
      <c r="I8" t="n">
        <v>0.2</v>
      </c>
      <c r="J8" t="n">
        <v>0.3</v>
      </c>
      <c r="K8" t="n">
        <v>0.3</v>
      </c>
      <c r="L8" t="n">
        <v>0.3</v>
      </c>
      <c r="M8" t="n">
        <v>1.3</v>
      </c>
      <c r="N8" t="n">
        <v>0.3</v>
      </c>
      <c r="O8" t="n">
        <v>0.5</v>
      </c>
      <c r="P8" t="n">
        <v>0.9</v>
      </c>
      <c r="Q8" t="n">
        <v>0.5</v>
      </c>
      <c r="R8" t="n">
        <v>0.4</v>
      </c>
      <c r="S8" t="n">
        <v>1</v>
      </c>
      <c r="T8" t="n">
        <v>0.9</v>
      </c>
      <c r="U8" t="n">
        <v>0.6</v>
      </c>
      <c r="V8" t="n">
        <v>0.3</v>
      </c>
      <c r="W8" t="n">
        <v>-0.7</v>
      </c>
      <c r="X8" t="n">
        <v>0.4</v>
      </c>
      <c r="Y8" t="n">
        <v>0.8</v>
      </c>
      <c r="Z8" t="n">
        <v>1.6</v>
      </c>
      <c r="AA8" t="n">
        <v>1.4</v>
      </c>
      <c r="AB8" t="n">
        <v>1.5</v>
      </c>
      <c r="AC8" t="n">
        <v>0.2</v>
      </c>
      <c r="AD8" t="n">
        <v>28.3</v>
      </c>
      <c r="AE8" t="n">
        <v>0.4</v>
      </c>
      <c r="AF8" t="n">
        <v>5.3</v>
      </c>
    </row>
    <row r="9">
      <c r="A9" t="s">
        <v>9</v>
      </c>
      <c r="B9" t="s">
        <v>288</v>
      </c>
      <c r="C9" t="s">
        <v>217</v>
      </c>
      <c r="D9" t="s">
        <v>289</v>
      </c>
      <c r="E9" t="s">
        <v>218</v>
      </c>
      <c r="F9" t="n">
        <v>0.8</v>
      </c>
      <c r="G9" t="n">
        <v>0.9</v>
      </c>
      <c r="H9" t="n">
        <v>1.6</v>
      </c>
      <c r="I9" t="n">
        <v>1.2</v>
      </c>
      <c r="J9" t="n">
        <v>1.7</v>
      </c>
      <c r="K9" t="n">
        <v>1.7</v>
      </c>
      <c r="L9" t="n">
        <v>4.4</v>
      </c>
      <c r="M9" t="n">
        <v>3.8</v>
      </c>
      <c r="N9" t="n">
        <v>1.6</v>
      </c>
      <c r="O9" t="n">
        <v>4.4</v>
      </c>
      <c r="P9" t="n">
        <v>2</v>
      </c>
      <c r="Q9" t="n">
        <v>1.8</v>
      </c>
      <c r="R9" t="n">
        <v>3.9</v>
      </c>
      <c r="S9" t="n">
        <v>5.4</v>
      </c>
      <c r="T9" t="n">
        <v>2.4</v>
      </c>
      <c r="U9" t="n">
        <v>2.3</v>
      </c>
      <c r="V9" t="n">
        <v>2.5</v>
      </c>
      <c r="W9" t="n">
        <v>0.5</v>
      </c>
      <c r="X9" t="n">
        <v>1.9</v>
      </c>
      <c r="Y9" t="n">
        <v>1.2</v>
      </c>
      <c r="Z9" t="n">
        <v>-0.7</v>
      </c>
      <c r="AA9" t="n">
        <v>1.3</v>
      </c>
      <c r="AB9" t="n">
        <v>1.4</v>
      </c>
      <c r="AC9" t="n">
        <v>2.3</v>
      </c>
      <c r="AD9" t="n">
        <v>2.7</v>
      </c>
      <c r="AE9" t="n">
        <v>-0.2</v>
      </c>
      <c r="AF9" t="n">
        <v>3.6</v>
      </c>
    </row>
    <row r="10">
      <c r="A10" t="s">
        <v>9</v>
      </c>
      <c r="B10" t="s">
        <v>290</v>
      </c>
      <c r="C10" t="s">
        <v>217</v>
      </c>
      <c r="D10" t="s">
        <v>291</v>
      </c>
      <c r="E10" t="s">
        <v>218</v>
      </c>
      <c r="F10" t="n">
        <v>1.1</v>
      </c>
      <c r="G10" t="n">
        <v>1.2</v>
      </c>
      <c r="H10" t="n">
        <v>2.2</v>
      </c>
      <c r="I10" t="n">
        <v>1.7</v>
      </c>
      <c r="J10" t="n">
        <v>2.3</v>
      </c>
      <c r="K10" t="n">
        <v>2.3</v>
      </c>
      <c r="L10" t="n">
        <v>6</v>
      </c>
      <c r="M10" t="n">
        <v>5.2</v>
      </c>
      <c r="N10" t="n">
        <v>2.2</v>
      </c>
      <c r="O10" t="n">
        <v>6</v>
      </c>
      <c r="P10" t="n">
        <v>2</v>
      </c>
      <c r="Q10" t="n">
        <v>1.9</v>
      </c>
      <c r="R10" t="n">
        <v>4.1</v>
      </c>
      <c r="S10" t="n">
        <v>6.4</v>
      </c>
      <c r="T10" t="n">
        <v>2.5</v>
      </c>
      <c r="U10" t="n">
        <v>2.6</v>
      </c>
      <c r="V10" t="n">
        <v>3.7</v>
      </c>
      <c r="W10" t="n">
        <v>1.6</v>
      </c>
      <c r="X10" t="n">
        <v>3.2</v>
      </c>
      <c r="Y10" t="n">
        <v>1.7</v>
      </c>
      <c r="Z10" t="n">
        <v>0.4</v>
      </c>
      <c r="AA10" t="n">
        <v>1.9</v>
      </c>
      <c r="AB10" t="n">
        <v>2</v>
      </c>
      <c r="AC10" t="n">
        <v>1</v>
      </c>
      <c r="AD10" t="n">
        <v>3.4</v>
      </c>
      <c r="AE10" t="n">
        <v>-0.5</v>
      </c>
      <c r="AF10" t="n">
        <v>3.1</v>
      </c>
    </row>
    <row r="11">
      <c r="A11" t="s">
        <v>9</v>
      </c>
      <c r="B11" t="s">
        <v>292</v>
      </c>
      <c r="C11" t="s">
        <v>217</v>
      </c>
      <c r="D11" t="s">
        <v>293</v>
      </c>
      <c r="E11" t="s">
        <v>218</v>
      </c>
      <c r="F11" t="n">
        <v>0.3</v>
      </c>
      <c r="G11" t="n">
        <v>0.3</v>
      </c>
      <c r="H11" t="n">
        <v>0.6</v>
      </c>
      <c r="I11" t="n">
        <v>0.5</v>
      </c>
      <c r="J11" t="n">
        <v>0.6</v>
      </c>
      <c r="K11" t="n">
        <v>0.6</v>
      </c>
      <c r="L11" t="n">
        <v>1.6</v>
      </c>
      <c r="M11" t="n">
        <v>1.4</v>
      </c>
      <c r="N11" t="n">
        <v>0.6</v>
      </c>
      <c r="O11" t="n">
        <v>1.6</v>
      </c>
      <c r="P11" t="n">
        <v>0</v>
      </c>
      <c r="Q11" t="n">
        <v>0.1</v>
      </c>
      <c r="R11" t="n">
        <v>0.2</v>
      </c>
      <c r="S11" t="n">
        <v>1</v>
      </c>
      <c r="T11" t="n">
        <v>0.1</v>
      </c>
      <c r="U11" t="n">
        <v>0.3</v>
      </c>
      <c r="V11" t="n">
        <v>1.2</v>
      </c>
      <c r="W11" t="n">
        <v>1.1</v>
      </c>
      <c r="X11" t="n">
        <v>1.3</v>
      </c>
      <c r="Y11" t="n">
        <v>0.5</v>
      </c>
      <c r="Z11" t="n">
        <v>1.1</v>
      </c>
      <c r="AA11" t="n">
        <v>0.6</v>
      </c>
      <c r="AB11" t="n">
        <v>0.6</v>
      </c>
      <c r="AC11" t="n">
        <v>-1.3</v>
      </c>
      <c r="AD11" t="n">
        <v>0.7</v>
      </c>
      <c r="AE11" t="n">
        <v>-0.3</v>
      </c>
      <c r="AF11" t="n">
        <v>-0.5</v>
      </c>
    </row>
    <row r="12">
      <c r="A12" t="s">
        <v>9</v>
      </c>
      <c r="B12" t="s">
        <v>294</v>
      </c>
      <c r="C12" t="s">
        <v>217</v>
      </c>
      <c r="D12" t="s">
        <v>295</v>
      </c>
      <c r="E12" t="s">
        <v>218</v>
      </c>
      <c r="F12" t="n">
        <v>84.5</v>
      </c>
      <c r="G12" t="n">
        <v>101.1</v>
      </c>
      <c r="H12" t="n">
        <v>177.8</v>
      </c>
      <c r="I12" t="n">
        <v>134.5</v>
      </c>
      <c r="J12" t="n">
        <v>179.8</v>
      </c>
      <c r="K12" t="n">
        <v>186</v>
      </c>
      <c r="L12" t="n">
        <v>38.7</v>
      </c>
      <c r="M12" t="n">
        <v>18.6</v>
      </c>
      <c r="N12" t="n">
        <v>9</v>
      </c>
      <c r="O12" t="n">
        <v>9.9</v>
      </c>
      <c r="P12" t="n">
        <v>9.1</v>
      </c>
      <c r="Q12" t="n">
        <v>11.9</v>
      </c>
      <c r="R12" t="n">
        <v>27.5</v>
      </c>
      <c r="S12" t="n">
        <v>8.9</v>
      </c>
      <c r="T12" t="n">
        <v>5.7</v>
      </c>
      <c r="U12" t="n">
        <v>3</v>
      </c>
      <c r="V12" t="n">
        <v>2.2</v>
      </c>
      <c r="W12" t="n">
        <v>-13.3</v>
      </c>
      <c r="X12" t="n">
        <v>-11</v>
      </c>
      <c r="Y12" t="n">
        <v>4.4</v>
      </c>
      <c r="Z12" t="n">
        <v>2.9</v>
      </c>
      <c r="AA12" t="n">
        <v>-1.9</v>
      </c>
      <c r="AB12" t="n">
        <v>-2</v>
      </c>
      <c r="AC12" t="n">
        <v>9.4</v>
      </c>
      <c r="AD12" t="n">
        <v>9.6</v>
      </c>
      <c r="AE12" t="n">
        <v>8.2</v>
      </c>
      <c r="AF12" t="n">
        <v>2.3</v>
      </c>
    </row>
    <row r="13">
      <c r="A13" t="s">
        <v>9</v>
      </c>
      <c r="B13" t="s">
        <v>296</v>
      </c>
      <c r="C13" t="s">
        <v>217</v>
      </c>
      <c r="D13" t="s">
        <v>297</v>
      </c>
      <c r="E13" t="s">
        <v>218</v>
      </c>
      <c r="F13" t="n">
        <v>2.9</v>
      </c>
      <c r="G13" t="n">
        <v>3.4</v>
      </c>
      <c r="H13" t="n">
        <v>6.1</v>
      </c>
      <c r="I13" t="n">
        <v>4.6</v>
      </c>
      <c r="J13" t="n">
        <v>6.1</v>
      </c>
      <c r="K13" t="n">
        <v>6.3</v>
      </c>
      <c r="L13" t="n">
        <v>18.4</v>
      </c>
      <c r="M13" t="n">
        <v>15.8</v>
      </c>
      <c r="N13" t="n">
        <v>9.8</v>
      </c>
      <c r="O13" t="n">
        <v>6</v>
      </c>
      <c r="P13" t="n">
        <v>8</v>
      </c>
      <c r="Q13" t="n">
        <v>10.3</v>
      </c>
      <c r="R13" t="n">
        <v>11.8</v>
      </c>
      <c r="S13" t="n">
        <v>4.1</v>
      </c>
      <c r="T13" t="n">
        <v>7.5</v>
      </c>
      <c r="U13" t="n">
        <v>-0.5</v>
      </c>
      <c r="V13" t="n">
        <v>1.8</v>
      </c>
      <c r="W13" t="n">
        <v>-5.4</v>
      </c>
      <c r="X13" t="n">
        <v>-6</v>
      </c>
      <c r="Y13" t="n">
        <v>2.6</v>
      </c>
      <c r="Z13" t="n">
        <v>3.4</v>
      </c>
      <c r="AA13" t="n">
        <v>2.3</v>
      </c>
      <c r="AB13" t="n">
        <v>2.5</v>
      </c>
      <c r="AC13" t="n">
        <v>4.1</v>
      </c>
      <c r="AD13" t="n">
        <v>7.4</v>
      </c>
      <c r="AE13" t="n">
        <v>11.8</v>
      </c>
      <c r="AF13" t="n">
        <v>4.6</v>
      </c>
    </row>
    <row r="14">
      <c r="A14" t="s">
        <v>9</v>
      </c>
      <c r="B14" t="s">
        <v>298</v>
      </c>
      <c r="C14" t="s">
        <v>217</v>
      </c>
      <c r="D14" t="s">
        <v>299</v>
      </c>
      <c r="E14" t="s">
        <v>218</v>
      </c>
      <c r="F14" t="n">
        <v>0.2</v>
      </c>
      <c r="G14" t="n">
        <v>0.2</v>
      </c>
      <c r="H14" t="n">
        <v>0.3</v>
      </c>
      <c r="I14" t="n">
        <v>0.2</v>
      </c>
      <c r="J14" t="n">
        <v>0.3</v>
      </c>
      <c r="K14" t="n">
        <v>0.3</v>
      </c>
      <c r="L14" t="n">
        <v>0.9</v>
      </c>
      <c r="M14" t="n">
        <v>-0.1</v>
      </c>
      <c r="N14" t="n">
        <v>0.2</v>
      </c>
      <c r="O14" t="n">
        <v>0.2</v>
      </c>
      <c r="P14" t="n">
        <v>0</v>
      </c>
      <c r="Q14" t="n">
        <v>0</v>
      </c>
      <c r="R14" t="n">
        <v>0</v>
      </c>
      <c r="S14" t="n">
        <v>0.1</v>
      </c>
      <c r="T14" t="n">
        <v>-0.2</v>
      </c>
      <c r="U14" t="n">
        <v>1.4</v>
      </c>
      <c r="V14" t="n">
        <v>-0.2</v>
      </c>
      <c r="W14" t="n">
        <v>-1.7</v>
      </c>
      <c r="X14" t="n">
        <v>0.3</v>
      </c>
      <c r="Y14" t="n">
        <v>0.2</v>
      </c>
      <c r="Z14" t="n">
        <v>0</v>
      </c>
      <c r="AA14" t="n">
        <v>0.4</v>
      </c>
      <c r="AB14" t="n">
        <v>0.5</v>
      </c>
      <c r="AC14" t="n">
        <v>0</v>
      </c>
      <c r="AD14" t="n">
        <v>-2.8</v>
      </c>
      <c r="AE14" t="n">
        <v>-0.6</v>
      </c>
      <c r="AF14" t="n">
        <v>0</v>
      </c>
    </row>
    <row r="15">
      <c r="A15" t="s">
        <v>9</v>
      </c>
      <c r="B15" t="s">
        <v>300</v>
      </c>
      <c r="C15" t="s">
        <v>217</v>
      </c>
      <c r="D15" t="s">
        <v>301</v>
      </c>
      <c r="E15" t="s">
        <v>218</v>
      </c>
      <c r="F15" t="n">
        <v>0.8</v>
      </c>
      <c r="G15" t="n">
        <v>0.9</v>
      </c>
      <c r="H15" t="n">
        <v>1.5</v>
      </c>
      <c r="I15" t="n">
        <v>1.1</v>
      </c>
      <c r="J15" t="n">
        <v>1.5</v>
      </c>
      <c r="K15" t="n">
        <v>1.6</v>
      </c>
      <c r="L15" t="n">
        <v>4</v>
      </c>
      <c r="M15" t="n">
        <v>1.4</v>
      </c>
      <c r="N15" t="n">
        <v>0.7</v>
      </c>
      <c r="O15" t="n">
        <v>0.8</v>
      </c>
      <c r="P15" t="n">
        <v>0.3</v>
      </c>
      <c r="Q15" t="n">
        <v>1.5</v>
      </c>
      <c r="R15" t="n">
        <v>1.2</v>
      </c>
      <c r="S15" t="n">
        <v>1.6</v>
      </c>
      <c r="T15" t="n">
        <v>0.4</v>
      </c>
      <c r="U15" t="n">
        <v>2.8</v>
      </c>
      <c r="V15" t="n">
        <v>-0.9</v>
      </c>
      <c r="W15" t="n">
        <v>-1.5</v>
      </c>
      <c r="X15" t="n">
        <v>-1.7</v>
      </c>
      <c r="Y15" t="n">
        <v>1</v>
      </c>
      <c r="Z15" t="n">
        <v>-1.3</v>
      </c>
      <c r="AA15" t="n">
        <v>0.3</v>
      </c>
      <c r="AB15" t="n">
        <v>0.4</v>
      </c>
      <c r="AC15" t="n">
        <v>1.7</v>
      </c>
      <c r="AD15" t="n">
        <v>0.6</v>
      </c>
      <c r="AE15" t="n">
        <v>0.7</v>
      </c>
      <c r="AF15" t="n">
        <v>3.5</v>
      </c>
    </row>
    <row r="16">
      <c r="A16" t="s">
        <v>9</v>
      </c>
      <c r="B16" t="s">
        <v>302</v>
      </c>
      <c r="C16" t="s">
        <v>217</v>
      </c>
      <c r="D16" t="s">
        <v>303</v>
      </c>
      <c r="E16" t="s">
        <v>218</v>
      </c>
      <c r="F16" t="n">
        <v>0.6</v>
      </c>
      <c r="G16" t="n">
        <v>0.7</v>
      </c>
      <c r="H16" t="n">
        <v>1.2</v>
      </c>
      <c r="I16" t="n">
        <v>0.9</v>
      </c>
      <c r="J16" t="n">
        <v>1.2</v>
      </c>
      <c r="K16" t="n">
        <v>1.3</v>
      </c>
      <c r="L16" t="n">
        <v>3.1</v>
      </c>
      <c r="M16" t="n">
        <v>1.5</v>
      </c>
      <c r="N16" t="n">
        <v>0.5</v>
      </c>
      <c r="O16" t="n">
        <v>0.6</v>
      </c>
      <c r="P16" t="n">
        <v>0.3</v>
      </c>
      <c r="Q16" t="n">
        <v>1.5</v>
      </c>
      <c r="R16" t="n">
        <v>1.2</v>
      </c>
      <c r="S16" t="n">
        <v>1.5</v>
      </c>
      <c r="T16" t="n">
        <v>0.6</v>
      </c>
      <c r="U16" t="n">
        <v>1.4</v>
      </c>
      <c r="V16" t="n">
        <v>-0.7</v>
      </c>
      <c r="W16" t="n">
        <v>0.2</v>
      </c>
      <c r="X16" t="n">
        <v>-2</v>
      </c>
      <c r="Y16" t="n">
        <v>0.8</v>
      </c>
      <c r="Z16" t="n">
        <v>-1.3</v>
      </c>
      <c r="AA16" t="n">
        <v>-0.1</v>
      </c>
      <c r="AB16" t="n">
        <v>-0.1</v>
      </c>
      <c r="AC16" t="n">
        <v>1.7</v>
      </c>
      <c r="AD16" t="n">
        <v>3.4</v>
      </c>
      <c r="AE16" t="n">
        <v>1.3</v>
      </c>
      <c r="AF16" t="n">
        <v>3.5</v>
      </c>
    </row>
    <row r="17">
      <c r="A17" t="s">
        <v>9</v>
      </c>
      <c r="B17" t="s">
        <v>304</v>
      </c>
      <c r="C17" t="s">
        <v>217</v>
      </c>
      <c r="D17" t="s">
        <v>305</v>
      </c>
      <c r="E17" t="s">
        <v>218</v>
      </c>
      <c r="F17" t="n">
        <v>0.6</v>
      </c>
      <c r="G17" t="n">
        <v>0.7</v>
      </c>
      <c r="H17" t="n">
        <v>1.2</v>
      </c>
      <c r="I17" t="n">
        <v>0.9</v>
      </c>
      <c r="J17" t="n">
        <v>1.2</v>
      </c>
      <c r="K17" t="n">
        <v>1.3</v>
      </c>
      <c r="L17" t="n">
        <v>3.3</v>
      </c>
      <c r="M17" t="n">
        <v>1.5</v>
      </c>
      <c r="N17" t="n">
        <v>1.1</v>
      </c>
      <c r="O17" t="n">
        <v>1.4</v>
      </c>
      <c r="P17" t="n">
        <v>2.2</v>
      </c>
      <c r="Q17" t="n">
        <v>3.6</v>
      </c>
      <c r="R17" t="n">
        <v>1.6</v>
      </c>
      <c r="S17" t="n">
        <v>1</v>
      </c>
      <c r="T17" t="n">
        <v>3.3</v>
      </c>
      <c r="U17" t="n">
        <v>1.6</v>
      </c>
      <c r="V17" t="n">
        <v>0.5</v>
      </c>
      <c r="W17" t="n">
        <v>1.6</v>
      </c>
      <c r="X17" t="n">
        <v>9.2</v>
      </c>
      <c r="Y17" t="n">
        <v>2.4</v>
      </c>
      <c r="Z17" t="n">
        <v>2.2</v>
      </c>
      <c r="AA17" t="n">
        <v>1.3</v>
      </c>
      <c r="AB17" t="n">
        <v>1.5</v>
      </c>
      <c r="AC17" t="n">
        <v>1.5</v>
      </c>
      <c r="AD17" t="n">
        <v>1.3</v>
      </c>
      <c r="AE17" t="n">
        <v>0.5</v>
      </c>
      <c r="AF17" t="n">
        <v>1.1</v>
      </c>
    </row>
    <row r="18">
      <c r="A18" t="s">
        <v>9</v>
      </c>
      <c r="B18" t="s">
        <v>306</v>
      </c>
      <c r="C18" t="s">
        <v>217</v>
      </c>
      <c r="D18" t="s">
        <v>307</v>
      </c>
      <c r="E18" t="s">
        <v>218</v>
      </c>
      <c r="F18" t="n">
        <v>0.4</v>
      </c>
      <c r="G18" t="n">
        <v>0.5</v>
      </c>
      <c r="H18" t="n">
        <v>0.9</v>
      </c>
      <c r="I18" t="n">
        <v>0.6</v>
      </c>
      <c r="J18" t="n">
        <v>0.9</v>
      </c>
      <c r="K18" t="n">
        <v>0.9</v>
      </c>
      <c r="L18" t="n">
        <v>4.4</v>
      </c>
      <c r="M18" t="n">
        <v>1.3</v>
      </c>
      <c r="N18" t="n">
        <v>2.9</v>
      </c>
      <c r="O18" t="n">
        <v>3.7</v>
      </c>
      <c r="P18" t="n">
        <v>1.4</v>
      </c>
      <c r="Q18" t="n">
        <v>1.2</v>
      </c>
      <c r="R18" t="n">
        <v>1.4</v>
      </c>
      <c r="S18" t="n">
        <v>0.2</v>
      </c>
      <c r="T18" t="n">
        <v>-0.2</v>
      </c>
      <c r="U18" t="n">
        <v>-1.1</v>
      </c>
      <c r="V18" t="n">
        <v>-1.2</v>
      </c>
      <c r="W18" t="n">
        <v>0.2</v>
      </c>
      <c r="X18" t="n">
        <v>-0.9</v>
      </c>
      <c r="Y18" t="n">
        <v>0.1</v>
      </c>
      <c r="Z18" t="n">
        <v>0.2</v>
      </c>
      <c r="AA18" t="n">
        <v>0.2</v>
      </c>
      <c r="AB18" t="n">
        <v>0.2</v>
      </c>
      <c r="AC18" t="n">
        <v>-1</v>
      </c>
      <c r="AD18" t="n">
        <v>-1.7</v>
      </c>
      <c r="AE18" t="n">
        <v>1.3</v>
      </c>
      <c r="AF18" t="n">
        <v>0.7</v>
      </c>
    </row>
    <row r="19">
      <c r="A19" t="s">
        <v>9</v>
      </c>
      <c r="B19" t="s">
        <v>308</v>
      </c>
      <c r="C19" t="s">
        <v>217</v>
      </c>
      <c r="D19" t="s">
        <v>309</v>
      </c>
      <c r="E19" t="s">
        <v>218</v>
      </c>
      <c r="F19" t="n">
        <v>1.2</v>
      </c>
      <c r="G19" t="n">
        <v>1.4</v>
      </c>
      <c r="H19" t="n">
        <v>2.5</v>
      </c>
      <c r="I19" t="n">
        <v>1.9</v>
      </c>
      <c r="J19" t="n">
        <v>2.5</v>
      </c>
      <c r="K19" t="n">
        <v>2.6</v>
      </c>
      <c r="L19" t="n">
        <v>6.1</v>
      </c>
      <c r="M19" t="n">
        <v>1.9</v>
      </c>
      <c r="N19" t="n">
        <v>4.8</v>
      </c>
      <c r="O19" t="n">
        <v>4.2</v>
      </c>
      <c r="P19" t="n">
        <v>6.6</v>
      </c>
      <c r="Q19" t="n">
        <v>3.5</v>
      </c>
      <c r="R19" t="n">
        <v>3.4</v>
      </c>
      <c r="S19" t="n">
        <v>3.4</v>
      </c>
      <c r="T19" t="n">
        <v>3.8</v>
      </c>
      <c r="U19" t="n">
        <v>2.3</v>
      </c>
      <c r="V19" t="n">
        <v>-12.1</v>
      </c>
      <c r="W19" t="n">
        <v>1</v>
      </c>
      <c r="X19" t="n">
        <v>-5.4</v>
      </c>
      <c r="Y19" t="n">
        <v>2.4</v>
      </c>
      <c r="Z19" t="n">
        <v>-5.5</v>
      </c>
      <c r="AA19" t="n">
        <v>-4.3</v>
      </c>
      <c r="AB19" t="n">
        <v>-4.6</v>
      </c>
      <c r="AC19" t="n">
        <v>3.7</v>
      </c>
      <c r="AD19" t="n">
        <v>5.8</v>
      </c>
      <c r="AE19" t="n">
        <v>7.1</v>
      </c>
      <c r="AF19" t="n">
        <v>7.1</v>
      </c>
    </row>
    <row r="20">
      <c r="A20" t="s">
        <v>9</v>
      </c>
      <c r="B20" t="s">
        <v>310</v>
      </c>
      <c r="C20" t="s">
        <v>217</v>
      </c>
      <c r="D20" t="s">
        <v>311</v>
      </c>
      <c r="E20" t="s">
        <v>218</v>
      </c>
      <c r="F20" t="n">
        <v>1.8</v>
      </c>
      <c r="G20" t="n">
        <v>2.1</v>
      </c>
      <c r="H20" t="n">
        <v>3.7</v>
      </c>
      <c r="I20" t="n">
        <v>2.9</v>
      </c>
      <c r="J20" t="n">
        <v>3.8</v>
      </c>
      <c r="K20" t="n">
        <v>3.9</v>
      </c>
      <c r="L20" t="n">
        <v>2.1</v>
      </c>
      <c r="M20" t="n">
        <v>57.2</v>
      </c>
      <c r="N20" t="n">
        <v>1.9</v>
      </c>
      <c r="O20" t="n">
        <v>1.9</v>
      </c>
      <c r="P20" t="n">
        <v>9.4</v>
      </c>
      <c r="Q20" t="n">
        <v>3.4</v>
      </c>
      <c r="R20" t="n">
        <v>2.5</v>
      </c>
      <c r="S20" t="n">
        <v>7.5</v>
      </c>
      <c r="T20" t="n">
        <v>8.2</v>
      </c>
      <c r="U20" t="n">
        <v>3.2</v>
      </c>
      <c r="V20" t="n">
        <v>3.3</v>
      </c>
      <c r="W20" t="n">
        <v>4.1</v>
      </c>
      <c r="X20" t="n">
        <v>0.1</v>
      </c>
      <c r="Y20" t="n">
        <v>5.7</v>
      </c>
      <c r="Z20" t="n">
        <v>6.3</v>
      </c>
      <c r="AA20" t="n">
        <v>3.8</v>
      </c>
      <c r="AB20" t="n">
        <v>4</v>
      </c>
      <c r="AC20" t="n">
        <v>7.2</v>
      </c>
      <c r="AD20" t="n">
        <v>6.2</v>
      </c>
      <c r="AE20" t="n">
        <v>8.4</v>
      </c>
      <c r="AF20" t="n">
        <v>11.7</v>
      </c>
    </row>
    <row r="21">
      <c r="A21" t="s">
        <v>9</v>
      </c>
      <c r="B21" t="s">
        <v>312</v>
      </c>
      <c r="C21" t="s">
        <v>217</v>
      </c>
      <c r="D21" t="s">
        <v>313</v>
      </c>
      <c r="E21" t="s">
        <v>218</v>
      </c>
      <c r="F21" t="n">
        <v>5</v>
      </c>
      <c r="G21" t="n">
        <v>5.9</v>
      </c>
      <c r="H21" t="n">
        <v>10.4</v>
      </c>
      <c r="I21" t="n">
        <v>8</v>
      </c>
      <c r="J21" t="n">
        <v>10.6</v>
      </c>
      <c r="K21" t="n">
        <v>10.9</v>
      </c>
      <c r="L21" t="n">
        <v>27.2</v>
      </c>
      <c r="M21" t="n">
        <v>76.5</v>
      </c>
      <c r="N21" t="n">
        <v>21.6</v>
      </c>
      <c r="O21" t="n">
        <v>23.8</v>
      </c>
      <c r="P21" t="n">
        <v>26.7</v>
      </c>
      <c r="Q21" t="n">
        <v>17.1</v>
      </c>
      <c r="R21" t="n">
        <v>15.2</v>
      </c>
      <c r="S21" t="n">
        <v>27.1</v>
      </c>
      <c r="T21" t="n">
        <v>32</v>
      </c>
      <c r="U21" t="n">
        <v>17.9</v>
      </c>
      <c r="V21" t="n">
        <v>17.8</v>
      </c>
      <c r="W21" t="n">
        <v>26.1</v>
      </c>
      <c r="X21" t="n">
        <v>12.1</v>
      </c>
      <c r="Y21" t="n">
        <v>24.5</v>
      </c>
      <c r="Z21" t="n">
        <v>28.5</v>
      </c>
      <c r="AA21" t="n">
        <v>12.1</v>
      </c>
      <c r="AB21" t="n">
        <v>29</v>
      </c>
      <c r="AC21" t="n">
        <v>35.1</v>
      </c>
      <c r="AD21" t="n">
        <v>47.6</v>
      </c>
      <c r="AE21" t="n">
        <v>55.5</v>
      </c>
      <c r="AF21" t="n">
        <v>66.5</v>
      </c>
    </row>
    <row r="22">
      <c r="A22" t="s">
        <v>9</v>
      </c>
      <c r="B22" t="s">
        <v>314</v>
      </c>
      <c r="C22" t="s">
        <v>217</v>
      </c>
      <c r="D22" t="s">
        <v>315</v>
      </c>
      <c r="E22" t="s">
        <v>218</v>
      </c>
      <c r="F22" t="n">
        <v>3.2</v>
      </c>
      <c r="G22" t="n">
        <v>3.8</v>
      </c>
      <c r="H22" t="n">
        <v>6.7</v>
      </c>
      <c r="I22" t="n">
        <v>5.1</v>
      </c>
      <c r="J22" t="n">
        <v>6.8</v>
      </c>
      <c r="K22" t="n">
        <v>7</v>
      </c>
      <c r="L22" t="n">
        <v>25.1</v>
      </c>
      <c r="M22" t="n">
        <v>19.3</v>
      </c>
      <c r="N22" t="n">
        <v>19.7</v>
      </c>
      <c r="O22" t="n">
        <v>21.9</v>
      </c>
      <c r="P22" t="n">
        <v>17.3</v>
      </c>
      <c r="Q22" t="n">
        <v>13.7</v>
      </c>
      <c r="R22" t="n">
        <v>12.7</v>
      </c>
      <c r="S22" t="n">
        <v>19.6</v>
      </c>
      <c r="T22" t="n">
        <v>23.8</v>
      </c>
      <c r="U22" t="n">
        <v>14.7</v>
      </c>
      <c r="V22" t="n">
        <v>14.5</v>
      </c>
      <c r="W22" t="n">
        <v>22</v>
      </c>
      <c r="X22" t="n">
        <v>12</v>
      </c>
      <c r="Y22" t="n">
        <v>18.8</v>
      </c>
      <c r="Z22" t="n">
        <v>22.2</v>
      </c>
      <c r="AA22" t="n">
        <v>8.3</v>
      </c>
      <c r="AB22" t="n">
        <v>25</v>
      </c>
      <c r="AC22" t="n">
        <v>27.9</v>
      </c>
      <c r="AD22" t="n">
        <v>41.4</v>
      </c>
      <c r="AE22" t="n">
        <v>47.1</v>
      </c>
      <c r="AF22" t="n">
        <v>54.8</v>
      </c>
    </row>
    <row r="23">
      <c r="A23" t="s">
        <v>9</v>
      </c>
      <c r="B23" t="s">
        <v>316</v>
      </c>
      <c r="C23" t="s">
        <v>217</v>
      </c>
      <c r="D23" t="s">
        <v>317</v>
      </c>
      <c r="E23" t="s">
        <v>218</v>
      </c>
      <c r="F23" t="n">
        <v>22.2</v>
      </c>
      <c r="G23" t="n">
        <v>26.5</v>
      </c>
      <c r="H23" t="n">
        <v>46.3</v>
      </c>
      <c r="I23" t="n">
        <v>35.9</v>
      </c>
      <c r="J23" t="n">
        <v>46.8</v>
      </c>
      <c r="K23" t="n">
        <v>48.9</v>
      </c>
      <c r="L23" t="n">
        <v>229.8</v>
      </c>
      <c r="M23" t="n">
        <v>3.4</v>
      </c>
      <c r="N23" t="n">
        <v>127.9</v>
      </c>
      <c r="O23" t="n">
        <v>91.3</v>
      </c>
      <c r="P23" t="n">
        <v>115.2</v>
      </c>
      <c r="Q23" t="n">
        <v>124.7</v>
      </c>
      <c r="R23" t="n">
        <v>184.4</v>
      </c>
      <c r="S23" t="n">
        <v>125.8</v>
      </c>
      <c r="T23" t="n">
        <v>64.2</v>
      </c>
      <c r="U23" t="n">
        <v>8.8</v>
      </c>
      <c r="V23" t="n">
        <v>19.4</v>
      </c>
      <c r="W23" t="n">
        <v>29.8</v>
      </c>
      <c r="X23" t="n">
        <v>42.6</v>
      </c>
      <c r="Y23" t="n">
        <v>28.4</v>
      </c>
      <c r="Z23" t="n">
        <v>27.2</v>
      </c>
      <c r="AA23" t="n">
        <v>26.4</v>
      </c>
      <c r="AB23" t="n">
        <v>28.4</v>
      </c>
      <c r="AC23" t="n">
        <v>20.1</v>
      </c>
      <c r="AD23" t="n">
        <v>16.5</v>
      </c>
      <c r="AE23" t="n">
        <v>17.1</v>
      </c>
      <c r="AF23" t="n">
        <v>67</v>
      </c>
    </row>
    <row r="24">
      <c r="A24" t="s">
        <v>9</v>
      </c>
      <c r="B24" t="s">
        <v>318</v>
      </c>
      <c r="C24" t="s">
        <v>217</v>
      </c>
      <c r="D24" t="s">
        <v>319</v>
      </c>
      <c r="E24" t="s">
        <v>218</v>
      </c>
      <c r="F24" t="n">
        <v>38</v>
      </c>
      <c r="G24" t="n">
        <v>45.5</v>
      </c>
      <c r="H24" t="n">
        <v>80</v>
      </c>
      <c r="I24" t="n">
        <v>60.5</v>
      </c>
      <c r="J24" t="n">
        <v>80.9</v>
      </c>
      <c r="K24" t="n">
        <v>83.6</v>
      </c>
      <c r="L24" t="n">
        <v>458.2</v>
      </c>
      <c r="M24" t="n">
        <v>185.3</v>
      </c>
      <c r="N24" t="n">
        <v>300.6</v>
      </c>
      <c r="O24" t="n">
        <v>245.9</v>
      </c>
      <c r="P24" t="n">
        <v>359.5</v>
      </c>
      <c r="Q24" t="n">
        <v>351.1</v>
      </c>
      <c r="R24" t="n">
        <v>381.1</v>
      </c>
      <c r="S24" t="n">
        <v>336.5</v>
      </c>
      <c r="T24" t="n">
        <v>268.4</v>
      </c>
      <c r="U24" t="n">
        <v>121.9</v>
      </c>
      <c r="V24" t="n">
        <v>130.8</v>
      </c>
      <c r="W24" t="n">
        <v>71.3</v>
      </c>
      <c r="X24" t="n">
        <v>118.9</v>
      </c>
      <c r="Y24" t="n">
        <v>236.2</v>
      </c>
      <c r="Z24" t="n">
        <v>341.2</v>
      </c>
      <c r="AA24" t="n">
        <v>333.9</v>
      </c>
      <c r="AB24" t="n">
        <v>360.2</v>
      </c>
      <c r="AC24" t="n">
        <v>241</v>
      </c>
      <c r="AD24" t="n">
        <v>255.4</v>
      </c>
      <c r="AE24" t="n">
        <v>248.8</v>
      </c>
      <c r="AF24" t="n">
        <v>282.2</v>
      </c>
    </row>
    <row r="25">
      <c r="A25" t="s">
        <v>9</v>
      </c>
      <c r="B25" t="s">
        <v>320</v>
      </c>
      <c r="C25" t="s">
        <v>217</v>
      </c>
      <c r="D25" t="s">
        <v>321</v>
      </c>
      <c r="E25" t="s">
        <v>218</v>
      </c>
      <c r="F25" t="n">
        <v>9.7</v>
      </c>
      <c r="G25" t="n">
        <v>11.6</v>
      </c>
      <c r="H25" t="n">
        <v>20.4</v>
      </c>
      <c r="I25" t="n">
        <v>15.4</v>
      </c>
      <c r="J25" t="n">
        <v>20.6</v>
      </c>
      <c r="K25" t="n">
        <v>21.3</v>
      </c>
      <c r="L25" t="n">
        <v>249.2</v>
      </c>
      <c r="M25" t="n">
        <v>45</v>
      </c>
      <c r="N25" t="n">
        <v>73.4</v>
      </c>
      <c r="O25" t="n">
        <v>67.2</v>
      </c>
      <c r="P25" t="n">
        <v>93.1</v>
      </c>
      <c r="Q25" t="n">
        <v>103.6</v>
      </c>
      <c r="R25" t="n">
        <v>124.9</v>
      </c>
      <c r="S25" t="n">
        <v>117.4</v>
      </c>
      <c r="T25" t="n">
        <v>84.8</v>
      </c>
      <c r="U25" t="n">
        <v>41</v>
      </c>
      <c r="V25" t="n">
        <v>18.5</v>
      </c>
      <c r="W25" t="n">
        <v>5.7</v>
      </c>
      <c r="X25" t="n">
        <v>26.7</v>
      </c>
      <c r="Y25" t="n">
        <v>42.9</v>
      </c>
      <c r="Z25" t="n">
        <v>66.8</v>
      </c>
      <c r="AA25" t="n">
        <v>107.6</v>
      </c>
      <c r="AB25" t="n">
        <v>116.2</v>
      </c>
      <c r="AC25" t="n">
        <v>77.6</v>
      </c>
      <c r="AD25" t="n">
        <v>45.7</v>
      </c>
      <c r="AE25" t="n">
        <v>51.4</v>
      </c>
      <c r="AF25" t="n">
        <v>82</v>
      </c>
    </row>
    <row r="26">
      <c r="A26" t="s">
        <v>9</v>
      </c>
      <c r="B26" t="s">
        <v>322</v>
      </c>
      <c r="C26" t="s">
        <v>217</v>
      </c>
      <c r="D26" t="s">
        <v>323</v>
      </c>
      <c r="E26" t="s">
        <v>218</v>
      </c>
      <c r="F26" t="n">
        <v>15.6</v>
      </c>
      <c r="G26" t="n">
        <v>18.7</v>
      </c>
      <c r="H26" t="n">
        <v>32.9</v>
      </c>
      <c r="I26" t="n">
        <v>24.9</v>
      </c>
      <c r="J26" t="n">
        <v>33.3</v>
      </c>
      <c r="K26" t="n">
        <v>34.4</v>
      </c>
      <c r="L26" t="n">
        <v>117.7</v>
      </c>
      <c r="M26" t="n">
        <v>93.2</v>
      </c>
      <c r="N26" t="n">
        <v>175</v>
      </c>
      <c r="O26" t="n">
        <v>126.3</v>
      </c>
      <c r="P26" t="n">
        <v>157.3</v>
      </c>
      <c r="Q26" t="n">
        <v>171.7</v>
      </c>
      <c r="R26" t="n">
        <v>174.6</v>
      </c>
      <c r="S26" t="n">
        <v>156.7</v>
      </c>
      <c r="T26" t="n">
        <v>131.6</v>
      </c>
      <c r="U26" t="n">
        <v>65.2</v>
      </c>
      <c r="V26" t="n">
        <v>53.4</v>
      </c>
      <c r="W26" t="n">
        <v>35.5</v>
      </c>
      <c r="X26" t="n">
        <v>41.9</v>
      </c>
      <c r="Y26" t="n">
        <v>131.6</v>
      </c>
      <c r="Z26" t="n">
        <v>195.5</v>
      </c>
      <c r="AA26" t="n">
        <v>116.2</v>
      </c>
      <c r="AB26" t="n">
        <v>125.3</v>
      </c>
      <c r="AC26" t="n">
        <v>108.9</v>
      </c>
      <c r="AD26" t="n">
        <v>125.3</v>
      </c>
      <c r="AE26" t="n">
        <v>139.3</v>
      </c>
      <c r="AF26" t="n">
        <v>153.9</v>
      </c>
    </row>
    <row r="27">
      <c r="A27" t="s">
        <v>9</v>
      </c>
      <c r="B27" t="s">
        <v>324</v>
      </c>
      <c r="C27" t="s">
        <v>217</v>
      </c>
      <c r="D27" t="s">
        <v>325</v>
      </c>
      <c r="E27" t="s">
        <v>218</v>
      </c>
      <c r="F27" t="n">
        <v>12.7</v>
      </c>
      <c r="G27" t="n">
        <v>15.2</v>
      </c>
      <c r="H27" t="n">
        <v>26.7</v>
      </c>
      <c r="I27" t="n">
        <v>20.2</v>
      </c>
      <c r="J27" t="n">
        <v>27</v>
      </c>
      <c r="K27" t="n">
        <v>27.9</v>
      </c>
      <c r="L27" t="n">
        <v>91.3</v>
      </c>
      <c r="M27" t="n">
        <v>47.1</v>
      </c>
      <c r="N27" t="n">
        <v>52.2</v>
      </c>
      <c r="O27" t="n">
        <v>52.4</v>
      </c>
      <c r="P27" t="n">
        <v>109.1</v>
      </c>
      <c r="Q27" t="n">
        <v>75.8</v>
      </c>
      <c r="R27" t="n">
        <v>81.6</v>
      </c>
      <c r="S27" t="n">
        <v>62.4</v>
      </c>
      <c r="T27" t="n">
        <v>52</v>
      </c>
      <c r="U27" t="n">
        <v>15.7</v>
      </c>
      <c r="V27" t="n">
        <v>58.9</v>
      </c>
      <c r="W27" t="n">
        <v>30.1</v>
      </c>
      <c r="X27" t="n">
        <v>50.3</v>
      </c>
      <c r="Y27" t="n">
        <v>61.7</v>
      </c>
      <c r="Z27" t="n">
        <v>78.9</v>
      </c>
      <c r="AA27" t="n">
        <v>110.1</v>
      </c>
      <c r="AB27" t="n">
        <v>118.7</v>
      </c>
      <c r="AC27" t="n">
        <v>54.5</v>
      </c>
      <c r="AD27" t="n">
        <v>84.4</v>
      </c>
      <c r="AE27" t="n">
        <v>58.1</v>
      </c>
      <c r="AF27" t="n">
        <v>46.3</v>
      </c>
    </row>
    <row r="28">
      <c r="A28" t="s">
        <v>9</v>
      </c>
      <c r="B28" t="s">
        <v>326</v>
      </c>
      <c r="C28" t="s">
        <v>217</v>
      </c>
      <c r="D28" t="s">
        <v>327</v>
      </c>
      <c r="E28" t="s">
        <v>218</v>
      </c>
      <c r="F28" t="n">
        <v>512.6</v>
      </c>
      <c r="G28" t="n">
        <v>512.6</v>
      </c>
      <c r="H28" t="n">
        <v>652.7</v>
      </c>
      <c r="I28" t="n">
        <v>1259.3</v>
      </c>
      <c r="J28" t="n">
        <v>665.6</v>
      </c>
      <c r="K28" t="n">
        <v>1056</v>
      </c>
      <c r="L28" t="n">
        <v>1205</v>
      </c>
      <c r="M28" t="n">
        <v>2055.3</v>
      </c>
      <c r="N28" t="n">
        <v>1790.5</v>
      </c>
      <c r="O28" t="n">
        <v>1000</v>
      </c>
      <c r="P28" t="n">
        <v>1272</v>
      </c>
      <c r="Q28" t="n">
        <v>2361.9</v>
      </c>
      <c r="R28" t="n">
        <v>3155.8</v>
      </c>
      <c r="S28" t="n">
        <v>2119.6</v>
      </c>
      <c r="T28" t="n">
        <v>1019.5</v>
      </c>
      <c r="U28" t="n">
        <v>1361.8</v>
      </c>
      <c r="V28" t="n">
        <v>381.4</v>
      </c>
      <c r="W28" t="n">
        <v>192.6</v>
      </c>
      <c r="X28" t="n">
        <v>275</v>
      </c>
      <c r="Y28" t="n">
        <v>289.2</v>
      </c>
      <c r="Z28" t="n">
        <v>462</v>
      </c>
      <c r="AA28" t="n">
        <v>338.7</v>
      </c>
      <c r="AB28" t="n">
        <v>707.5</v>
      </c>
      <c r="AC28" t="n">
        <v>842.3</v>
      </c>
      <c r="AD28" t="n">
        <v>767.9</v>
      </c>
      <c r="AE28" t="n">
        <v>390.6</v>
      </c>
      <c r="AF28" t="n">
        <v>663</v>
      </c>
    </row>
    <row r="29">
      <c r="A29" t="s">
        <v>9</v>
      </c>
      <c r="B29" t="s">
        <v>328</v>
      </c>
      <c r="C29" t="s">
        <v>217</v>
      </c>
      <c r="D29" t="s">
        <v>329</v>
      </c>
      <c r="E29" t="s">
        <v>218</v>
      </c>
      <c r="F29" t="n">
        <v>126.3</v>
      </c>
      <c r="G29" t="n">
        <v>149.9</v>
      </c>
      <c r="H29" t="n">
        <v>260.4</v>
      </c>
      <c r="I29" t="n">
        <v>206.9</v>
      </c>
      <c r="J29" t="n">
        <v>263.4</v>
      </c>
      <c r="K29" t="n">
        <v>277.3</v>
      </c>
      <c r="L29" t="n">
        <v>515.8</v>
      </c>
      <c r="M29" t="n">
        <v>304</v>
      </c>
      <c r="N29" t="n">
        <v>320.9</v>
      </c>
      <c r="O29" t="n">
        <v>558.5</v>
      </c>
      <c r="P29" t="n">
        <v>312</v>
      </c>
      <c r="Q29" t="n">
        <v>343.8</v>
      </c>
      <c r="R29" t="n">
        <v>387.4</v>
      </c>
      <c r="S29" t="n">
        <v>258.1</v>
      </c>
      <c r="T29" t="n">
        <v>280.5</v>
      </c>
      <c r="U29" t="n">
        <v>446.9</v>
      </c>
      <c r="V29" t="n">
        <v>157.1</v>
      </c>
      <c r="W29" t="n">
        <v>99.6</v>
      </c>
      <c r="X29" t="n">
        <v>202</v>
      </c>
      <c r="Y29" t="n">
        <v>67.7</v>
      </c>
      <c r="Z29" t="n">
        <v>-35.7</v>
      </c>
      <c r="AA29" t="n">
        <v>-61.4</v>
      </c>
      <c r="AB29" t="n">
        <v>328.1</v>
      </c>
      <c r="AC29" t="n">
        <v>356</v>
      </c>
      <c r="AD29" t="n">
        <v>305.6</v>
      </c>
      <c r="AE29" t="n">
        <v>264.1</v>
      </c>
      <c r="AF29" t="n">
        <v>438.5</v>
      </c>
    </row>
    <row r="30">
      <c r="A30" t="s">
        <v>9</v>
      </c>
      <c r="B30" t="s">
        <v>330</v>
      </c>
      <c r="C30" t="s">
        <v>217</v>
      </c>
      <c r="D30" t="s">
        <v>331</v>
      </c>
      <c r="E30" t="s">
        <v>218</v>
      </c>
      <c r="F30" t="n">
        <v>379.8</v>
      </c>
      <c r="G30" t="n">
        <v>355.2</v>
      </c>
      <c r="H30" t="n">
        <v>379.7</v>
      </c>
      <c r="I30" t="n">
        <v>1041</v>
      </c>
      <c r="J30" t="n">
        <v>389.4</v>
      </c>
      <c r="K30" t="n">
        <v>764.6</v>
      </c>
      <c r="L30" t="n">
        <v>592.3</v>
      </c>
      <c r="M30" t="n">
        <v>1544.7</v>
      </c>
      <c r="N30" t="n">
        <v>1448.6</v>
      </c>
      <c r="O30" t="n">
        <v>420</v>
      </c>
      <c r="P30" t="n">
        <v>637.7</v>
      </c>
      <c r="Q30" t="n">
        <v>1995.8</v>
      </c>
      <c r="R30" t="n">
        <v>2720.7</v>
      </c>
      <c r="S30" t="n">
        <v>1810.7</v>
      </c>
      <c r="T30" t="n">
        <v>639.7</v>
      </c>
      <c r="U30" t="n">
        <v>887.5</v>
      </c>
      <c r="V30" t="n">
        <v>195.7</v>
      </c>
      <c r="W30" t="n">
        <v>75.7</v>
      </c>
      <c r="X30" t="n">
        <v>12.7</v>
      </c>
      <c r="Y30" t="n">
        <v>171.7</v>
      </c>
      <c r="Z30" t="n">
        <v>337.6</v>
      </c>
      <c r="AA30" t="n">
        <v>112.9</v>
      </c>
      <c r="AB30" t="n">
        <v>76.8</v>
      </c>
      <c r="AC30" t="n">
        <v>164.3</v>
      </c>
      <c r="AD30" t="n">
        <v>403.2</v>
      </c>
      <c r="AE30" t="n">
        <v>96.4</v>
      </c>
      <c r="AF30" t="n">
        <v>68</v>
      </c>
    </row>
    <row r="31">
      <c r="A31" t="s">
        <v>9</v>
      </c>
      <c r="B31" t="s">
        <v>332</v>
      </c>
      <c r="C31" t="s">
        <v>217</v>
      </c>
      <c r="D31" t="s">
        <v>333</v>
      </c>
      <c r="E31" t="s">
        <v>218</v>
      </c>
      <c r="F31" t="n">
        <v>4.6</v>
      </c>
      <c r="G31" t="n">
        <v>5.2</v>
      </c>
      <c r="H31" t="n">
        <v>8.6</v>
      </c>
      <c r="I31" t="n">
        <v>8.4</v>
      </c>
      <c r="J31" t="n">
        <v>8.7</v>
      </c>
      <c r="K31" t="n">
        <v>9.9</v>
      </c>
      <c r="L31" t="n">
        <v>81.8</v>
      </c>
      <c r="M31" t="n">
        <v>202.6</v>
      </c>
      <c r="N31" t="n">
        <v>11.7</v>
      </c>
      <c r="O31" t="n">
        <v>1.2</v>
      </c>
      <c r="P31" t="n">
        <v>298.8</v>
      </c>
      <c r="Q31" t="n">
        <v>4.7</v>
      </c>
      <c r="R31" t="n">
        <v>14.2</v>
      </c>
      <c r="S31" t="n">
        <v>11.7</v>
      </c>
      <c r="T31" t="n">
        <v>16.1</v>
      </c>
      <c r="U31" t="n">
        <v>-13.9</v>
      </c>
      <c r="V31" t="n">
        <v>-4.1</v>
      </c>
      <c r="W31" t="n">
        <v>4.4</v>
      </c>
      <c r="X31" t="n">
        <v>5.1</v>
      </c>
      <c r="Y31" t="n">
        <v>0.7</v>
      </c>
      <c r="Z31" t="n">
        <v>29.3</v>
      </c>
      <c r="AA31" t="n">
        <v>23.9</v>
      </c>
      <c r="AB31" t="n">
        <v>25.8</v>
      </c>
      <c r="AC31" t="n">
        <v>43.3</v>
      </c>
      <c r="AD31" t="n">
        <v>3.9</v>
      </c>
      <c r="AE31" t="n">
        <v>-0.1</v>
      </c>
      <c r="AF31" t="n">
        <v>2</v>
      </c>
    </row>
    <row r="32">
      <c r="A32" t="s">
        <v>9</v>
      </c>
      <c r="B32" t="s">
        <v>334</v>
      </c>
      <c r="C32" t="s">
        <v>217</v>
      </c>
      <c r="D32" t="s">
        <v>335</v>
      </c>
      <c r="E32" t="s">
        <v>218</v>
      </c>
      <c r="F32" t="n">
        <v>1.8</v>
      </c>
      <c r="G32" t="n">
        <v>2.2</v>
      </c>
      <c r="H32" t="n">
        <v>3.8</v>
      </c>
      <c r="I32" t="n">
        <v>2.9</v>
      </c>
      <c r="J32" t="n">
        <v>3.9</v>
      </c>
      <c r="K32" t="n">
        <v>4</v>
      </c>
      <c r="L32" t="n">
        <v>12.6</v>
      </c>
      <c r="M32" t="n">
        <v>2.6</v>
      </c>
      <c r="N32" t="n">
        <v>8.1</v>
      </c>
      <c r="O32" t="n">
        <v>18.9</v>
      </c>
      <c r="P32" t="n">
        <v>15.4</v>
      </c>
      <c r="Q32" t="n">
        <v>15.8</v>
      </c>
      <c r="R32" t="n">
        <v>23.1</v>
      </c>
      <c r="S32" t="n">
        <v>32.7</v>
      </c>
      <c r="T32" t="n">
        <v>77.3</v>
      </c>
      <c r="U32" t="n">
        <v>39.3</v>
      </c>
      <c r="V32" t="n">
        <v>31.9</v>
      </c>
      <c r="W32" t="n">
        <v>12</v>
      </c>
      <c r="X32" t="n">
        <v>54.4</v>
      </c>
      <c r="Y32" t="n">
        <v>48.5</v>
      </c>
      <c r="Z32" t="n">
        <v>127.7</v>
      </c>
      <c r="AA32" t="n">
        <v>260.9</v>
      </c>
      <c r="AB32" t="n">
        <v>274.2</v>
      </c>
      <c r="AC32" t="n">
        <v>277</v>
      </c>
      <c r="AD32" t="n">
        <v>52.6</v>
      </c>
      <c r="AE32" t="n">
        <v>29</v>
      </c>
      <c r="AF32" t="n">
        <v>151.8</v>
      </c>
    </row>
    <row r="33">
      <c r="A33" t="s">
        <v>9</v>
      </c>
      <c r="B33" t="s">
        <v>336</v>
      </c>
      <c r="C33" t="s">
        <v>217</v>
      </c>
      <c r="D33" t="s">
        <v>337</v>
      </c>
      <c r="E33" t="s">
        <v>218</v>
      </c>
      <c r="F33" t="n">
        <v>0.1</v>
      </c>
      <c r="G33" t="n">
        <v>0.1</v>
      </c>
      <c r="H33" t="n">
        <v>0.2</v>
      </c>
      <c r="I33" t="n">
        <v>0.1</v>
      </c>
      <c r="J33" t="n">
        <v>0.2</v>
      </c>
      <c r="K33" t="n">
        <v>0.2</v>
      </c>
      <c r="L33" t="n">
        <v>2.5</v>
      </c>
      <c r="M33" t="n">
        <v>1.4</v>
      </c>
      <c r="N33" t="n">
        <v>1.2</v>
      </c>
      <c r="O33" t="n">
        <v>1.4</v>
      </c>
      <c r="P33" t="n">
        <v>8.1</v>
      </c>
      <c r="Q33" t="n">
        <v>1.8</v>
      </c>
      <c r="R33" t="n">
        <v>10.4</v>
      </c>
      <c r="S33" t="n">
        <v>6.4</v>
      </c>
      <c r="T33" t="n">
        <v>5.9</v>
      </c>
      <c r="U33" t="n">
        <v>2</v>
      </c>
      <c r="V33" t="n">
        <v>0.8</v>
      </c>
      <c r="W33" t="n">
        <v>0.9</v>
      </c>
      <c r="X33" t="n">
        <v>0.8</v>
      </c>
      <c r="Y33" t="n">
        <v>0.6</v>
      </c>
      <c r="Z33" t="n">
        <v>3.1</v>
      </c>
      <c r="AA33" t="n">
        <v>2.4</v>
      </c>
      <c r="AB33" t="n">
        <v>2.6</v>
      </c>
      <c r="AC33" t="n">
        <v>1.7</v>
      </c>
      <c r="AD33" t="n">
        <v>2.6</v>
      </c>
      <c r="AE33" t="n">
        <v>1.2</v>
      </c>
      <c r="AF33" t="n">
        <v>2.7</v>
      </c>
    </row>
    <row r="34">
      <c r="A34" t="s">
        <v>9</v>
      </c>
      <c r="B34" t="s">
        <v>338</v>
      </c>
      <c r="C34" t="s">
        <v>217</v>
      </c>
      <c r="D34" t="s">
        <v>339</v>
      </c>
      <c r="E34" t="s">
        <v>218</v>
      </c>
      <c r="F34" t="n">
        <v>9.1</v>
      </c>
      <c r="G34" t="n">
        <v>10.9</v>
      </c>
      <c r="H34" t="n">
        <v>19.1</v>
      </c>
      <c r="I34" t="n">
        <v>14.5</v>
      </c>
      <c r="J34" t="n">
        <v>19.3</v>
      </c>
      <c r="K34" t="n">
        <v>20</v>
      </c>
      <c r="L34" t="n">
        <v>50.9</v>
      </c>
      <c r="M34" t="n">
        <v>16.5</v>
      </c>
      <c r="N34" t="n">
        <v>10.5</v>
      </c>
      <c r="O34" t="n">
        <v>18.7</v>
      </c>
      <c r="P34" t="n">
        <v>19.3</v>
      </c>
      <c r="Q34" t="n">
        <v>18.6</v>
      </c>
      <c r="R34" t="n">
        <v>24.3</v>
      </c>
      <c r="S34" t="n">
        <v>35.5</v>
      </c>
      <c r="T34" t="n">
        <v>49</v>
      </c>
      <c r="U34" t="n">
        <v>43.9</v>
      </c>
      <c r="V34" t="n">
        <v>42.9</v>
      </c>
      <c r="W34" t="n">
        <v>28.9</v>
      </c>
      <c r="X34" t="n">
        <v>47.5</v>
      </c>
      <c r="Y34" t="n">
        <v>92.9</v>
      </c>
      <c r="Z34" t="n">
        <v>31.2</v>
      </c>
      <c r="AA34" t="n">
        <v>25.6</v>
      </c>
      <c r="AB34" t="n">
        <v>27.7</v>
      </c>
      <c r="AC34" t="n">
        <v>11.8</v>
      </c>
      <c r="AD34" t="n">
        <v>12.2</v>
      </c>
      <c r="AE34" t="n">
        <v>12.1</v>
      </c>
      <c r="AF34" t="n">
        <v>14.5</v>
      </c>
    </row>
    <row r="35">
      <c r="A35" t="s">
        <v>9</v>
      </c>
      <c r="B35" t="s">
        <v>340</v>
      </c>
      <c r="C35" t="s">
        <v>217</v>
      </c>
      <c r="D35" t="s">
        <v>341</v>
      </c>
      <c r="E35" t="s">
        <v>218</v>
      </c>
      <c r="F35" t="n">
        <v>6.3</v>
      </c>
      <c r="G35" t="n">
        <v>7.5</v>
      </c>
      <c r="H35" t="n">
        <v>13.2</v>
      </c>
      <c r="I35" t="n">
        <v>10.1</v>
      </c>
      <c r="J35" t="n">
        <v>13.4</v>
      </c>
      <c r="K35" t="n">
        <v>13.9</v>
      </c>
      <c r="L35" t="n">
        <v>47</v>
      </c>
      <c r="M35" t="n">
        <v>81.7</v>
      </c>
      <c r="N35" t="n">
        <v>43.2</v>
      </c>
      <c r="O35" t="n">
        <v>37.2</v>
      </c>
      <c r="P35" t="n">
        <v>17.2</v>
      </c>
      <c r="Q35" t="n">
        <v>6.6</v>
      </c>
      <c r="R35" t="n">
        <v>8.7</v>
      </c>
      <c r="S35" t="n">
        <v>11.1</v>
      </c>
      <c r="T35" t="n">
        <v>10.3</v>
      </c>
      <c r="U35" t="n">
        <v>7.5</v>
      </c>
      <c r="V35" t="n">
        <v>4.5</v>
      </c>
      <c r="W35" t="n">
        <v>2.8</v>
      </c>
      <c r="X35" t="n">
        <v>3</v>
      </c>
      <c r="Y35" t="n">
        <v>9.4</v>
      </c>
      <c r="Z35" t="n">
        <v>13.5</v>
      </c>
      <c r="AA35" t="n">
        <v>10.7</v>
      </c>
      <c r="AB35" t="n">
        <v>11.4</v>
      </c>
      <c r="AC35" t="n">
        <v>7.6</v>
      </c>
      <c r="AD35" t="n">
        <v>7</v>
      </c>
      <c r="AE35" t="n">
        <v>10.7</v>
      </c>
      <c r="AF35" t="n">
        <v>28.6</v>
      </c>
    </row>
    <row r="36">
      <c r="A36" t="s">
        <v>9</v>
      </c>
      <c r="B36" t="s">
        <v>342</v>
      </c>
      <c r="C36" t="s">
        <v>217</v>
      </c>
      <c r="D36" t="s">
        <v>343</v>
      </c>
      <c r="E36" t="s">
        <v>218</v>
      </c>
      <c r="F36" t="n">
        <v>4.1</v>
      </c>
      <c r="G36" t="n">
        <v>4.9</v>
      </c>
      <c r="H36" t="n">
        <v>8.6</v>
      </c>
      <c r="I36" t="n">
        <v>6.6</v>
      </c>
      <c r="J36" t="n">
        <v>8.7</v>
      </c>
      <c r="K36" t="n">
        <v>9</v>
      </c>
      <c r="L36" t="n">
        <v>13.8</v>
      </c>
      <c r="M36" t="n">
        <v>31.8</v>
      </c>
      <c r="N36" t="n">
        <v>25.3</v>
      </c>
      <c r="O36" t="n">
        <v>16.2</v>
      </c>
      <c r="P36" t="n">
        <v>2.4</v>
      </c>
      <c r="Q36" t="n">
        <v>2.9</v>
      </c>
      <c r="R36" t="n">
        <v>4.9</v>
      </c>
      <c r="S36" t="n">
        <v>6.9</v>
      </c>
      <c r="T36" t="n">
        <v>5.7</v>
      </c>
      <c r="U36" t="n">
        <v>1.9</v>
      </c>
      <c r="V36" t="n">
        <v>1.2</v>
      </c>
      <c r="W36" t="n">
        <v>0.7</v>
      </c>
      <c r="X36" t="n">
        <v>0.9</v>
      </c>
      <c r="Y36" t="n">
        <v>3.3</v>
      </c>
      <c r="Z36" t="n">
        <v>1.5</v>
      </c>
      <c r="AA36" t="n">
        <v>1.1</v>
      </c>
      <c r="AB36" t="n">
        <v>1.1</v>
      </c>
      <c r="AC36" t="n">
        <v>1.5</v>
      </c>
      <c r="AD36" t="n">
        <v>2.6</v>
      </c>
      <c r="AE36" t="n">
        <v>4.2</v>
      </c>
      <c r="AF36" t="n">
        <v>5.2</v>
      </c>
    </row>
    <row r="37">
      <c r="A37" t="s">
        <v>9</v>
      </c>
      <c r="B37" t="s">
        <v>344</v>
      </c>
      <c r="C37" t="s">
        <v>217</v>
      </c>
      <c r="D37" t="s">
        <v>345</v>
      </c>
      <c r="E37" t="s">
        <v>218</v>
      </c>
      <c r="F37" t="n">
        <v>0.8</v>
      </c>
      <c r="G37" t="n">
        <v>0.9</v>
      </c>
      <c r="H37" t="n">
        <v>1.6</v>
      </c>
      <c r="I37" t="n">
        <v>1.2</v>
      </c>
      <c r="J37" t="n">
        <v>1.6</v>
      </c>
      <c r="K37" t="n">
        <v>1.7</v>
      </c>
      <c r="L37" t="n">
        <v>24.8</v>
      </c>
      <c r="M37" t="n">
        <v>14.1</v>
      </c>
      <c r="N37" t="n">
        <v>11.3</v>
      </c>
      <c r="O37" t="n">
        <v>14.2</v>
      </c>
      <c r="P37" t="n">
        <v>13.5</v>
      </c>
      <c r="Q37" t="n">
        <v>2.1</v>
      </c>
      <c r="R37" t="n">
        <v>2</v>
      </c>
      <c r="S37" t="n">
        <v>2.6</v>
      </c>
      <c r="T37" t="n">
        <v>2.2</v>
      </c>
      <c r="U37" t="n">
        <v>2.3</v>
      </c>
      <c r="V37" t="n">
        <v>1.2</v>
      </c>
      <c r="W37" t="n">
        <v>1</v>
      </c>
      <c r="X37" t="n">
        <v>1.1</v>
      </c>
      <c r="Y37" t="n">
        <v>1.4</v>
      </c>
      <c r="Z37" t="n">
        <v>7.3</v>
      </c>
      <c r="AA37" t="n">
        <v>3.1</v>
      </c>
      <c r="AB37" t="n">
        <v>3.3</v>
      </c>
      <c r="AC37" t="n">
        <v>3.3</v>
      </c>
      <c r="AD37" t="n">
        <v>1.5</v>
      </c>
      <c r="AE37" t="n">
        <v>1.5</v>
      </c>
      <c r="AF37" t="n">
        <v>12.8</v>
      </c>
    </row>
    <row r="38">
      <c r="A38" t="s">
        <v>9</v>
      </c>
      <c r="B38" t="s">
        <v>346</v>
      </c>
      <c r="C38" t="s">
        <v>217</v>
      </c>
      <c r="D38" t="s">
        <v>347</v>
      </c>
      <c r="E38" t="s">
        <v>218</v>
      </c>
      <c r="F38" t="n">
        <v>1.4</v>
      </c>
      <c r="G38" t="n">
        <v>1.7</v>
      </c>
      <c r="H38" t="n">
        <v>3</v>
      </c>
      <c r="I38" t="n">
        <v>2.3</v>
      </c>
      <c r="J38" t="n">
        <v>3.1</v>
      </c>
      <c r="K38" t="n">
        <v>3.2</v>
      </c>
      <c r="L38" t="n">
        <v>8.4</v>
      </c>
      <c r="M38" t="n">
        <v>35.8</v>
      </c>
      <c r="N38" t="n">
        <v>6.6</v>
      </c>
      <c r="O38" t="n">
        <v>6.8</v>
      </c>
      <c r="P38" t="n">
        <v>1.3</v>
      </c>
      <c r="Q38" t="n">
        <v>1.6</v>
      </c>
      <c r="R38" t="n">
        <v>1.9</v>
      </c>
      <c r="S38" t="n">
        <v>1.6</v>
      </c>
      <c r="T38" t="n">
        <v>2.4</v>
      </c>
      <c r="U38" t="n">
        <v>3.3</v>
      </c>
      <c r="V38" t="n">
        <v>2.1</v>
      </c>
      <c r="W38" t="n">
        <v>1.1</v>
      </c>
      <c r="X38" t="n">
        <v>1</v>
      </c>
      <c r="Y38" t="n">
        <v>4.7</v>
      </c>
      <c r="Z38" t="n">
        <v>4.7</v>
      </c>
      <c r="AA38" t="n">
        <v>6.5</v>
      </c>
      <c r="AB38" t="n">
        <v>7</v>
      </c>
      <c r="AC38" t="n">
        <v>2.9</v>
      </c>
      <c r="AD38" t="n">
        <v>2.9</v>
      </c>
      <c r="AE38" t="n">
        <v>5</v>
      </c>
      <c r="AF38" t="n">
        <v>10.6</v>
      </c>
    </row>
    <row r="39">
      <c r="A39" t="s">
        <v>9</v>
      </c>
      <c r="B39" t="s">
        <v>348</v>
      </c>
      <c r="C39" t="s">
        <v>217</v>
      </c>
      <c r="D39" t="s">
        <v>349</v>
      </c>
      <c r="E39" t="s">
        <v>218</v>
      </c>
      <c r="F39" t="n">
        <v>2</v>
      </c>
      <c r="G39" t="n">
        <v>2.4</v>
      </c>
      <c r="H39" t="n">
        <v>4</v>
      </c>
      <c r="I39" t="n">
        <v>3.4</v>
      </c>
      <c r="J39" t="n">
        <v>4.2</v>
      </c>
      <c r="K39" t="n">
        <v>4.4</v>
      </c>
      <c r="L39" t="n">
        <v>7.6</v>
      </c>
      <c r="M39" t="n">
        <v>12.6</v>
      </c>
      <c r="N39" t="n">
        <v>5.1</v>
      </c>
      <c r="O39" t="n">
        <v>2.5</v>
      </c>
      <c r="P39" t="n">
        <v>2.2</v>
      </c>
      <c r="Q39" t="n">
        <v>1.5</v>
      </c>
      <c r="R39" t="n">
        <v>1.1</v>
      </c>
      <c r="S39" t="n">
        <v>0.3</v>
      </c>
      <c r="T39" t="n">
        <v>-10.2</v>
      </c>
      <c r="U39" t="n">
        <v>-8.3</v>
      </c>
      <c r="V39" t="n">
        <v>-7.3</v>
      </c>
      <c r="W39" t="n">
        <v>-6.5</v>
      </c>
      <c r="X39" t="n">
        <v>2.3</v>
      </c>
      <c r="Y39" t="n">
        <v>2.3</v>
      </c>
      <c r="Z39" t="n">
        <v>1.7</v>
      </c>
      <c r="AA39" t="n">
        <v>1.3</v>
      </c>
      <c r="AB39" t="n">
        <v>1.1</v>
      </c>
      <c r="AC39" t="n">
        <v>1.3</v>
      </c>
      <c r="AD39" t="n">
        <v>0.7</v>
      </c>
      <c r="AE39" t="n">
        <v>1.3</v>
      </c>
      <c r="AF39" t="n">
        <v>-1.6</v>
      </c>
    </row>
    <row r="40">
      <c r="A40" t="s">
        <v>9</v>
      </c>
      <c r="B40" t="s">
        <v>350</v>
      </c>
      <c r="C40" t="s">
        <v>217</v>
      </c>
      <c r="D40" t="s">
        <v>351</v>
      </c>
      <c r="E40" t="s">
        <v>218</v>
      </c>
      <c r="F40" t="n">
        <v>0.4</v>
      </c>
      <c r="G40" t="n">
        <v>0.4</v>
      </c>
      <c r="H40" t="n">
        <v>0.7</v>
      </c>
      <c r="I40" t="n">
        <v>0.6</v>
      </c>
      <c r="J40" t="n">
        <v>0.8</v>
      </c>
      <c r="K40" t="n">
        <v>0.8</v>
      </c>
      <c r="L40" t="n">
        <v>38.6</v>
      </c>
      <c r="M40" t="n">
        <v>16.1</v>
      </c>
      <c r="N40" t="n">
        <v>12.8</v>
      </c>
      <c r="O40" t="n">
        <v>13.5</v>
      </c>
      <c r="P40" t="n">
        <v>0.5</v>
      </c>
      <c r="Q40" t="n">
        <v>0.3</v>
      </c>
      <c r="R40" t="n">
        <v>1.6</v>
      </c>
      <c r="S40" t="n">
        <v>0.2</v>
      </c>
      <c r="T40" t="n">
        <v>0.1</v>
      </c>
      <c r="U40" t="n">
        <v>1.3</v>
      </c>
      <c r="V40" t="n">
        <v>0.3</v>
      </c>
      <c r="W40" t="n">
        <v>0.1</v>
      </c>
      <c r="X40" t="n">
        <v>0.2</v>
      </c>
      <c r="Y40" t="n">
        <v>2</v>
      </c>
      <c r="Z40" t="n">
        <v>1.7</v>
      </c>
      <c r="AA40" t="n">
        <v>0.5</v>
      </c>
      <c r="AB40" t="n">
        <v>0.6</v>
      </c>
      <c r="AC40" t="n">
        <v>-0.2</v>
      </c>
      <c r="AD40" t="n">
        <v>-1.4</v>
      </c>
      <c r="AE40" t="n">
        <v>-13.3</v>
      </c>
      <c r="AF40" t="n">
        <v>2.3</v>
      </c>
    </row>
    <row r="41">
      <c r="A41" t="s">
        <v>9</v>
      </c>
      <c r="B41" t="s">
        <v>352</v>
      </c>
      <c r="C41" t="s">
        <v>217</v>
      </c>
      <c r="D41" t="s">
        <v>353</v>
      </c>
      <c r="E41" t="s">
        <v>218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9</v>
      </c>
      <c r="B42" t="s">
        <v>354</v>
      </c>
      <c r="C42" t="s">
        <v>217</v>
      </c>
      <c r="D42" t="s">
        <v>355</v>
      </c>
      <c r="E42" t="s">
        <v>218</v>
      </c>
      <c r="F42" t="n">
        <v>19.5</v>
      </c>
      <c r="G42" t="n">
        <v>23.4</v>
      </c>
      <c r="H42" t="n">
        <v>41.4</v>
      </c>
      <c r="I42" t="n">
        <v>30.7</v>
      </c>
      <c r="J42" t="n">
        <v>41.8</v>
      </c>
      <c r="K42" t="n">
        <v>43</v>
      </c>
      <c r="L42" t="n">
        <v>101.3</v>
      </c>
      <c r="M42" t="n">
        <v>78.5</v>
      </c>
      <c r="N42" t="n">
        <v>79.7</v>
      </c>
      <c r="O42" t="n">
        <v>67.4</v>
      </c>
      <c r="P42" t="n">
        <v>38.5</v>
      </c>
      <c r="Q42" t="n">
        <v>36.5</v>
      </c>
      <c r="R42" t="n">
        <v>39.5</v>
      </c>
      <c r="S42" t="n">
        <v>18.4</v>
      </c>
      <c r="T42" t="n">
        <v>32.4</v>
      </c>
      <c r="U42" t="n">
        <v>17.1</v>
      </c>
      <c r="V42" t="n">
        <v>16.1</v>
      </c>
      <c r="W42" t="n">
        <v>14.9</v>
      </c>
      <c r="X42" t="n">
        <v>11</v>
      </c>
      <c r="Y42" t="n">
        <v>14</v>
      </c>
      <c r="Z42" t="n">
        <v>16.7</v>
      </c>
      <c r="AA42" t="n">
        <v>11.8</v>
      </c>
      <c r="AB42" t="n">
        <v>12.6</v>
      </c>
      <c r="AC42" t="n">
        <v>9.5</v>
      </c>
      <c r="AD42" t="n">
        <v>67.5</v>
      </c>
      <c r="AE42" t="n">
        <v>55.6</v>
      </c>
      <c r="AF42" t="n">
        <v>14.6</v>
      </c>
    </row>
    <row r="43">
      <c r="A43" t="s">
        <v>9</v>
      </c>
      <c r="B43" t="s">
        <v>356</v>
      </c>
      <c r="C43" t="s">
        <v>217</v>
      </c>
      <c r="D43" t="s">
        <v>357</v>
      </c>
      <c r="E43" t="s">
        <v>218</v>
      </c>
      <c r="F43" t="n">
        <v>57.1</v>
      </c>
      <c r="G43" t="n">
        <v>64.1</v>
      </c>
      <c r="H43" t="n">
        <v>102.4</v>
      </c>
      <c r="I43" t="n">
        <v>109.2</v>
      </c>
      <c r="J43" t="n">
        <v>103.7</v>
      </c>
      <c r="K43" t="n">
        <v>122.6</v>
      </c>
      <c r="L43" t="n">
        <v>245.1</v>
      </c>
      <c r="M43" t="n">
        <v>139.3</v>
      </c>
      <c r="N43" t="n">
        <v>203.9</v>
      </c>
      <c r="O43" t="n">
        <v>239.8</v>
      </c>
      <c r="P43" t="n">
        <v>548.3</v>
      </c>
      <c r="Q43" t="n">
        <v>548.3</v>
      </c>
      <c r="R43" t="n">
        <v>783.7</v>
      </c>
      <c r="S43" t="n">
        <v>680.9</v>
      </c>
      <c r="T43" t="n">
        <v>447.4</v>
      </c>
      <c r="U43" t="n">
        <v>322.9</v>
      </c>
      <c r="V43" t="n">
        <v>365.5</v>
      </c>
      <c r="W43" t="n">
        <v>86.7</v>
      </c>
      <c r="X43" t="n">
        <v>13.8</v>
      </c>
      <c r="Y43" t="n">
        <v>146.1</v>
      </c>
      <c r="Z43" t="n">
        <v>13.6</v>
      </c>
      <c r="AA43" t="n">
        <v>9</v>
      </c>
      <c r="AB43" t="n">
        <v>8.1</v>
      </c>
      <c r="AC43" t="n">
        <v>41.7</v>
      </c>
      <c r="AD43" t="n">
        <v>119.5</v>
      </c>
      <c r="AE43" t="n">
        <v>92.5</v>
      </c>
      <c r="AF43" t="n">
        <v>217.5</v>
      </c>
    </row>
    <row r="44">
      <c r="A44" t="s">
        <v>9</v>
      </c>
      <c r="B44" t="s">
        <v>358</v>
      </c>
      <c r="C44" t="s">
        <v>217</v>
      </c>
      <c r="D44" t="s">
        <v>359</v>
      </c>
      <c r="E44" t="s">
        <v>218</v>
      </c>
      <c r="F44" t="n">
        <v>910</v>
      </c>
      <c r="G44" t="n">
        <v>981.2</v>
      </c>
      <c r="H44" t="n">
        <v>1459.3</v>
      </c>
      <c r="I44" t="n">
        <v>1922.8</v>
      </c>
      <c r="J44" t="n">
        <v>1481.6</v>
      </c>
      <c r="K44" t="n">
        <v>1925.8</v>
      </c>
      <c r="L44" t="n">
        <v>2893.3</v>
      </c>
      <c r="M44" t="n">
        <v>3121.2</v>
      </c>
      <c r="N44" t="n">
        <v>2966.4</v>
      </c>
      <c r="O44" t="n">
        <v>2118.1</v>
      </c>
      <c r="P44" t="n">
        <v>2906.1</v>
      </c>
      <c r="Q44" t="n">
        <v>3887.8</v>
      </c>
      <c r="R44" t="n">
        <v>5214.7</v>
      </c>
      <c r="S44" t="n">
        <v>3888.6</v>
      </c>
      <c r="T44" t="n">
        <v>2289.6</v>
      </c>
      <c r="U44" t="n">
        <v>2287.3</v>
      </c>
      <c r="V44" t="n">
        <v>1228.2</v>
      </c>
      <c r="W44" t="n">
        <v>717</v>
      </c>
      <c r="X44" t="n">
        <v>964.7</v>
      </c>
      <c r="Y44" t="n">
        <v>1123.7</v>
      </c>
      <c r="Z44" t="n">
        <v>1382.9</v>
      </c>
      <c r="AA44" t="n">
        <v>1212</v>
      </c>
      <c r="AB44" t="n">
        <v>1651.4</v>
      </c>
      <c r="AC44" t="n">
        <v>1788.6</v>
      </c>
      <c r="AD44" t="n">
        <v>1973</v>
      </c>
      <c r="AE44" t="n">
        <v>1407.1</v>
      </c>
      <c r="AF44" t="n">
        <v>1745.8</v>
      </c>
    </row>
    <row r="45">
      <c r="A45" t="s">
        <v>9</v>
      </c>
      <c r="B45" t="s">
        <v>360</v>
      </c>
      <c r="C45" t="s">
        <v>217</v>
      </c>
      <c r="D45" t="s">
        <v>361</v>
      </c>
      <c r="E45" t="s">
        <v>218</v>
      </c>
      <c r="F45" t="n">
        <v>806.4</v>
      </c>
      <c r="G45" t="n">
        <v>859.9</v>
      </c>
      <c r="H45" t="n">
        <v>1252.5</v>
      </c>
      <c r="I45" t="n">
        <v>1746.2</v>
      </c>
      <c r="J45" t="n">
        <v>1272.3</v>
      </c>
      <c r="K45" t="n">
        <v>1699.6</v>
      </c>
      <c r="L45" t="n">
        <v>2470.8</v>
      </c>
      <c r="M45" t="n">
        <v>2703.4</v>
      </c>
      <c r="N45" t="n">
        <v>2613.5</v>
      </c>
      <c r="O45" t="n">
        <v>1776.2</v>
      </c>
      <c r="P45" t="n">
        <v>2489.8</v>
      </c>
      <c r="Q45" t="n">
        <v>3520.5</v>
      </c>
      <c r="R45" t="n">
        <v>4677.4</v>
      </c>
      <c r="S45" t="n">
        <v>3432.3</v>
      </c>
      <c r="T45" t="n">
        <v>1955.4</v>
      </c>
      <c r="U45" t="n">
        <v>1930</v>
      </c>
      <c r="V45" t="n">
        <v>977</v>
      </c>
      <c r="W45" t="n">
        <v>446</v>
      </c>
      <c r="X45" t="n">
        <v>557</v>
      </c>
      <c r="Y45" t="n">
        <v>881.2</v>
      </c>
      <c r="Z45" t="n">
        <v>968.8</v>
      </c>
      <c r="AA45" t="n">
        <v>789.4</v>
      </c>
      <c r="AB45" t="n">
        <v>1207.5</v>
      </c>
      <c r="AC45" t="n">
        <v>1249.1</v>
      </c>
      <c r="AD45" t="n">
        <v>1330.3</v>
      </c>
      <c r="AE45" t="n">
        <v>904.6</v>
      </c>
      <c r="AF45" t="n">
        <v>1395.4</v>
      </c>
    </row>
    <row r="46">
      <c r="A46" t="s">
        <v>9</v>
      </c>
      <c r="B46" t="s">
        <v>362</v>
      </c>
      <c r="C46" t="s">
        <v>217</v>
      </c>
      <c r="D46" t="s">
        <v>363</v>
      </c>
      <c r="E46" t="s">
        <v>218</v>
      </c>
      <c r="F46" t="n">
        <v>37.6</v>
      </c>
      <c r="G46" t="n">
        <v>40.7</v>
      </c>
      <c r="H46" t="n">
        <v>61</v>
      </c>
      <c r="I46" t="n">
        <v>78.5</v>
      </c>
      <c r="J46" t="n">
        <v>61.9</v>
      </c>
      <c r="K46" t="n">
        <v>79.6</v>
      </c>
      <c r="L46" t="n">
        <v>143.8</v>
      </c>
      <c r="M46" t="n">
        <v>60.8</v>
      </c>
      <c r="N46" t="n">
        <v>124.2</v>
      </c>
      <c r="O46" t="n">
        <v>172.4</v>
      </c>
      <c r="P46" t="n">
        <v>509.8</v>
      </c>
      <c r="Q46" t="n">
        <v>511.8</v>
      </c>
      <c r="R46" t="n">
        <v>744.2</v>
      </c>
      <c r="S46" t="n">
        <v>662.5</v>
      </c>
      <c r="T46" t="n">
        <v>415</v>
      </c>
      <c r="U46" t="n">
        <v>305.8</v>
      </c>
      <c r="V46" t="n">
        <v>349.4</v>
      </c>
      <c r="W46" t="n">
        <v>71.8</v>
      </c>
      <c r="X46" t="n">
        <v>2.8</v>
      </c>
      <c r="Y46" t="n">
        <v>132.1</v>
      </c>
      <c r="Z46" t="n">
        <v>-3.1</v>
      </c>
      <c r="AA46" t="n">
        <v>-2.8</v>
      </c>
      <c r="AB46" t="n">
        <v>-4.5</v>
      </c>
      <c r="AC46" t="n">
        <v>32.2</v>
      </c>
      <c r="AD46" t="n">
        <v>52</v>
      </c>
      <c r="AE46" t="n">
        <v>36.9</v>
      </c>
      <c r="AF46" t="n">
        <v>202.9</v>
      </c>
    </row>
    <row r="47">
      <c r="A47" t="s">
        <v>9</v>
      </c>
      <c r="B47" t="s">
        <v>364</v>
      </c>
      <c r="C47" t="s">
        <v>217</v>
      </c>
      <c r="D47" t="s">
        <v>365</v>
      </c>
      <c r="E47" t="s">
        <v>218</v>
      </c>
      <c r="F47" t="n">
        <v>22.9</v>
      </c>
      <c r="G47" t="n">
        <v>-15.1</v>
      </c>
      <c r="H47" t="n">
        <v>23.3</v>
      </c>
      <c r="I47" t="n">
        <v>-517</v>
      </c>
      <c r="J47" t="n">
        <v>54.9</v>
      </c>
      <c r="K47" t="n">
        <v>37.7</v>
      </c>
      <c r="L47" t="n">
        <v>-3.9</v>
      </c>
      <c r="M47" t="n">
        <v>-4.4</v>
      </c>
      <c r="N47" t="n">
        <v>-536.2</v>
      </c>
      <c r="O47" t="n">
        <v>671.7</v>
      </c>
      <c r="P47" t="n">
        <v>58.8</v>
      </c>
      <c r="Q47" t="n">
        <v>29.7</v>
      </c>
      <c r="R47" t="n">
        <v>115.7</v>
      </c>
      <c r="S47" t="n">
        <v>-146.8</v>
      </c>
      <c r="T47" t="n">
        <v>-106.3</v>
      </c>
      <c r="U47" t="n">
        <v>128.2</v>
      </c>
      <c r="V47" t="n">
        <v>83.5</v>
      </c>
      <c r="W47" t="n">
        <v>76.3</v>
      </c>
      <c r="X47" t="n">
        <v>91.1</v>
      </c>
      <c r="Y47" t="n">
        <v>462.7</v>
      </c>
      <c r="Z47" t="n">
        <v>346.7</v>
      </c>
      <c r="AA47" t="n">
        <v>340.4</v>
      </c>
      <c r="AB47" t="n">
        <v>274.4</v>
      </c>
      <c r="AC47" t="n">
        <v>139.8</v>
      </c>
      <c r="AD47" t="n">
        <v>113.1</v>
      </c>
      <c r="AE47" t="n">
        <v>114.2</v>
      </c>
      <c r="AF47" t="n">
        <v>106.1</v>
      </c>
    </row>
    <row r="48">
      <c r="A48" t="s">
        <v>9</v>
      </c>
      <c r="B48" t="s">
        <v>366</v>
      </c>
      <c r="C48" t="s">
        <v>217</v>
      </c>
      <c r="D48" t="s">
        <v>367</v>
      </c>
      <c r="E48" t="s">
        <v>218</v>
      </c>
      <c r="F48" t="n">
        <v>41.8</v>
      </c>
      <c r="G48" t="n">
        <v>7.5</v>
      </c>
      <c r="H48" t="n">
        <v>63.1</v>
      </c>
      <c r="I48" t="n">
        <v>-486.9</v>
      </c>
      <c r="J48" t="n">
        <v>95.2</v>
      </c>
      <c r="K48" t="n">
        <v>79.3</v>
      </c>
      <c r="L48" t="n">
        <v>51.4</v>
      </c>
      <c r="M48" t="n">
        <v>32.1</v>
      </c>
      <c r="N48" t="n">
        <v>-502.6</v>
      </c>
      <c r="O48" t="n">
        <v>717.8</v>
      </c>
      <c r="P48" t="n">
        <v>274.5</v>
      </c>
      <c r="Q48" t="n">
        <v>119.9</v>
      </c>
      <c r="R48" t="n">
        <v>152.7</v>
      </c>
      <c r="S48" t="n">
        <v>-111.2</v>
      </c>
      <c r="T48" t="n">
        <v>-79.6</v>
      </c>
      <c r="U48" t="n">
        <v>134.1</v>
      </c>
      <c r="V48" t="n">
        <v>89.3</v>
      </c>
      <c r="W48" t="n">
        <v>81.8</v>
      </c>
      <c r="X48" t="n">
        <v>99</v>
      </c>
      <c r="Y48" t="n">
        <v>465.1</v>
      </c>
      <c r="Z48" t="n">
        <v>357.8</v>
      </c>
      <c r="AA48" t="n">
        <v>350.9</v>
      </c>
      <c r="AB48" t="n">
        <v>277.9</v>
      </c>
      <c r="AC48" t="n">
        <v>147.2</v>
      </c>
      <c r="AD48" t="n">
        <v>121.6</v>
      </c>
      <c r="AE48" t="n">
        <v>120.9</v>
      </c>
      <c r="AF48" t="n">
        <v>128.4</v>
      </c>
    </row>
    <row r="49">
      <c r="A49" t="s">
        <v>9</v>
      </c>
      <c r="B49" t="s">
        <v>368</v>
      </c>
      <c r="C49" t="s">
        <v>217</v>
      </c>
      <c r="D49" t="s">
        <v>369</v>
      </c>
      <c r="E49" t="s">
        <v>218</v>
      </c>
      <c r="F49" t="n">
        <v>12.3</v>
      </c>
      <c r="G49" t="n">
        <v>14.8</v>
      </c>
      <c r="H49" t="n">
        <v>26</v>
      </c>
      <c r="I49" t="n">
        <v>19.6</v>
      </c>
      <c r="J49" t="n">
        <v>26.2</v>
      </c>
      <c r="K49" t="n">
        <v>27.2</v>
      </c>
      <c r="L49" t="n">
        <v>39.4</v>
      </c>
      <c r="M49" t="n">
        <v>24.1</v>
      </c>
      <c r="N49" t="n">
        <v>11.3</v>
      </c>
      <c r="O49" t="n">
        <v>30.1</v>
      </c>
      <c r="P49" t="n">
        <v>166.2</v>
      </c>
      <c r="Q49" t="n">
        <v>71.5</v>
      </c>
      <c r="R49" t="n">
        <v>28.5</v>
      </c>
      <c r="S49" t="n">
        <v>26.3</v>
      </c>
      <c r="T49" t="n">
        <v>19.7</v>
      </c>
      <c r="U49" t="n">
        <v>2.5</v>
      </c>
      <c r="V49" t="n">
        <v>2.5</v>
      </c>
      <c r="W49" t="n">
        <v>2.6</v>
      </c>
      <c r="X49" t="n">
        <v>2.7</v>
      </c>
      <c r="Y49" t="n">
        <v>1.8</v>
      </c>
      <c r="Z49" t="n">
        <v>2.2</v>
      </c>
      <c r="AA49" t="n">
        <v>1.3</v>
      </c>
      <c r="AB49" t="n">
        <v>1.4</v>
      </c>
      <c r="AC49" t="n">
        <v>2.1</v>
      </c>
      <c r="AD49" t="n">
        <v>3.6</v>
      </c>
      <c r="AE49" t="n">
        <v>2.6</v>
      </c>
      <c r="AF49" t="n">
        <v>2.8</v>
      </c>
    </row>
    <row r="50">
      <c r="A50" t="s">
        <v>9</v>
      </c>
      <c r="B50" t="s">
        <v>370</v>
      </c>
      <c r="C50" t="s">
        <v>217</v>
      </c>
      <c r="D50" t="s">
        <v>371</v>
      </c>
      <c r="E50" t="s">
        <v>218</v>
      </c>
      <c r="F50" t="n">
        <v>6.6</v>
      </c>
      <c r="G50" t="n">
        <v>7.9</v>
      </c>
      <c r="H50" t="n">
        <v>13.8</v>
      </c>
      <c r="I50" t="n">
        <v>10.5</v>
      </c>
      <c r="J50" t="n">
        <v>14</v>
      </c>
      <c r="K50" t="n">
        <v>14.4</v>
      </c>
      <c r="L50" t="n">
        <v>15.8</v>
      </c>
      <c r="M50" t="n">
        <v>12.4</v>
      </c>
      <c r="N50" t="n">
        <v>22.2</v>
      </c>
      <c r="O50" t="n">
        <v>15.9</v>
      </c>
      <c r="P50" t="n">
        <v>49.5</v>
      </c>
      <c r="Q50" t="n">
        <v>18.6</v>
      </c>
      <c r="R50" t="n">
        <v>8.5</v>
      </c>
      <c r="S50" t="n">
        <v>9.3</v>
      </c>
      <c r="T50" t="n">
        <v>7</v>
      </c>
      <c r="U50" t="n">
        <v>3.4</v>
      </c>
      <c r="V50" t="n">
        <v>3.3</v>
      </c>
      <c r="W50" t="n">
        <v>2.9</v>
      </c>
      <c r="X50" t="n">
        <v>5.2</v>
      </c>
      <c r="Y50" t="n">
        <v>2.4</v>
      </c>
      <c r="Z50" t="n">
        <v>8.8</v>
      </c>
      <c r="AA50" t="n">
        <v>10.5</v>
      </c>
      <c r="AB50" t="n">
        <v>3.5</v>
      </c>
      <c r="AC50" t="n">
        <v>5.3</v>
      </c>
      <c r="AD50" t="n">
        <v>5</v>
      </c>
      <c r="AE50" t="n">
        <v>4.1</v>
      </c>
      <c r="AF50" t="n">
        <v>19.6</v>
      </c>
    </row>
    <row r="51">
      <c r="A51" t="s">
        <v>9</v>
      </c>
      <c r="B51" t="s">
        <v>372</v>
      </c>
      <c r="C51" t="s">
        <v>217</v>
      </c>
      <c r="D51" t="s">
        <v>373</v>
      </c>
      <c r="E51" t="s">
        <v>218</v>
      </c>
      <c r="F51" t="n">
        <v>6.1</v>
      </c>
      <c r="G51" t="n">
        <v>7.3</v>
      </c>
      <c r="H51" t="n">
        <v>12.9</v>
      </c>
      <c r="I51" t="n">
        <v>9.8</v>
      </c>
      <c r="J51" t="n">
        <v>13.1</v>
      </c>
      <c r="K51" t="n">
        <v>13.5</v>
      </c>
      <c r="L51" t="n">
        <v>14.8</v>
      </c>
      <c r="M51" t="n">
        <v>11.6</v>
      </c>
      <c r="N51" t="n">
        <v>20.8</v>
      </c>
      <c r="O51" t="n">
        <v>14.9</v>
      </c>
      <c r="P51" t="n">
        <v>38.5</v>
      </c>
      <c r="Q51" t="n">
        <v>17.2</v>
      </c>
      <c r="R51" t="n">
        <v>7.2</v>
      </c>
      <c r="S51" t="n">
        <v>7.9</v>
      </c>
      <c r="T51" t="n">
        <v>5.7</v>
      </c>
      <c r="U51" t="n">
        <v>2.7</v>
      </c>
      <c r="V51" t="n">
        <v>2.3</v>
      </c>
      <c r="W51" t="n">
        <v>2.2</v>
      </c>
      <c r="X51" t="n">
        <v>4.2</v>
      </c>
      <c r="Y51" t="n">
        <v>2</v>
      </c>
      <c r="Z51" t="n">
        <v>8.1</v>
      </c>
      <c r="AA51" t="n">
        <v>9.8</v>
      </c>
      <c r="AB51" t="n">
        <v>2.8</v>
      </c>
      <c r="AC51" t="n">
        <v>4.4</v>
      </c>
      <c r="AD51" t="n">
        <v>4</v>
      </c>
      <c r="AE51" t="n">
        <v>3.2</v>
      </c>
      <c r="AF51" t="n">
        <v>18.7</v>
      </c>
    </row>
    <row r="52">
      <c r="A52" t="s">
        <v>9</v>
      </c>
      <c r="B52" t="s">
        <v>374</v>
      </c>
      <c r="C52" t="s">
        <v>217</v>
      </c>
      <c r="D52" t="s">
        <v>375</v>
      </c>
      <c r="E52" t="s">
        <v>218</v>
      </c>
      <c r="F52" t="n">
        <v>0.4</v>
      </c>
      <c r="G52" t="n">
        <v>0.5</v>
      </c>
      <c r="H52" t="n">
        <v>0.9</v>
      </c>
      <c r="I52" t="n">
        <v>0.7</v>
      </c>
      <c r="J52" t="n">
        <v>0.9</v>
      </c>
      <c r="K52" t="n">
        <v>0.9</v>
      </c>
      <c r="L52" t="n">
        <v>1</v>
      </c>
      <c r="M52" t="n">
        <v>0.8</v>
      </c>
      <c r="N52" t="n">
        <v>1.4</v>
      </c>
      <c r="O52" t="n">
        <v>1</v>
      </c>
      <c r="P52" t="n">
        <v>11</v>
      </c>
      <c r="Q52" t="n">
        <v>1.4</v>
      </c>
      <c r="R52" t="n">
        <v>1.3</v>
      </c>
      <c r="S52" t="n">
        <v>1.4</v>
      </c>
      <c r="T52" t="n">
        <v>1.3</v>
      </c>
      <c r="U52" t="n">
        <v>0.7</v>
      </c>
      <c r="V52" t="n">
        <v>1</v>
      </c>
      <c r="W52" t="n">
        <v>0.7</v>
      </c>
      <c r="X52" t="n">
        <v>0.9</v>
      </c>
      <c r="Y52" t="n">
        <v>0.4</v>
      </c>
      <c r="Z52" t="n">
        <v>0.7</v>
      </c>
      <c r="AA52" t="n">
        <v>0.7</v>
      </c>
      <c r="AB52" t="n">
        <v>0.7</v>
      </c>
      <c r="AC52" t="n">
        <v>0.9</v>
      </c>
      <c r="AD52" t="n">
        <v>1</v>
      </c>
      <c r="AE52" t="n">
        <v>0.9</v>
      </c>
      <c r="AF52" t="n">
        <v>0.9</v>
      </c>
    </row>
    <row r="53">
      <c r="A53" t="s">
        <v>9</v>
      </c>
      <c r="B53" t="s">
        <v>376</v>
      </c>
      <c r="C53" t="s">
        <v>217</v>
      </c>
      <c r="D53" t="s">
        <v>377</v>
      </c>
      <c r="E53" t="s">
        <v>218</v>
      </c>
      <c r="F53" t="n">
        <v>5.4</v>
      </c>
      <c r="G53" t="n">
        <v>6.5</v>
      </c>
      <c r="H53" t="n">
        <v>11.4</v>
      </c>
      <c r="I53" t="n">
        <v>8.8</v>
      </c>
      <c r="J53" t="n">
        <v>11.5</v>
      </c>
      <c r="K53" t="n">
        <v>12</v>
      </c>
      <c r="L53" t="n">
        <v>15.5</v>
      </c>
      <c r="M53" t="n">
        <v>27</v>
      </c>
      <c r="N53" t="n">
        <v>42.1</v>
      </c>
      <c r="O53" t="n">
        <v>21.7</v>
      </c>
      <c r="P53" t="n">
        <v>53.1</v>
      </c>
      <c r="Q53" t="n">
        <v>33.3</v>
      </c>
      <c r="R53" t="n">
        <v>21.9</v>
      </c>
      <c r="S53" t="n">
        <v>24.9</v>
      </c>
      <c r="T53" t="n">
        <v>22.2</v>
      </c>
      <c r="U53" t="n">
        <v>18.8</v>
      </c>
      <c r="V53" t="n">
        <v>24.9</v>
      </c>
      <c r="W53" t="n">
        <v>24.2</v>
      </c>
      <c r="X53" t="n">
        <v>47.4</v>
      </c>
      <c r="Y53" t="n">
        <v>17.9</v>
      </c>
      <c r="Z53" t="n">
        <v>20.7</v>
      </c>
      <c r="AA53" t="n">
        <v>15.7</v>
      </c>
      <c r="AB53" t="n">
        <v>16.9</v>
      </c>
      <c r="AC53" t="n">
        <v>20.8</v>
      </c>
      <c r="AD53" t="n">
        <v>23.7</v>
      </c>
      <c r="AE53" t="n">
        <v>18.7</v>
      </c>
      <c r="AF53" t="n">
        <v>4</v>
      </c>
    </row>
    <row r="54">
      <c r="A54" t="s">
        <v>9</v>
      </c>
      <c r="B54" t="s">
        <v>378</v>
      </c>
      <c r="C54" t="s">
        <v>217</v>
      </c>
      <c r="D54" t="s">
        <v>379</v>
      </c>
      <c r="E54" t="s">
        <v>218</v>
      </c>
      <c r="F54" t="n">
        <v>50.1</v>
      </c>
      <c r="G54" t="n">
        <v>60.1</v>
      </c>
      <c r="H54" t="n">
        <v>105.6</v>
      </c>
      <c r="I54" t="n">
        <v>79.9</v>
      </c>
      <c r="J54" t="n">
        <v>106.6</v>
      </c>
      <c r="K54" t="n">
        <v>110.5</v>
      </c>
      <c r="L54" t="n">
        <v>66.9</v>
      </c>
      <c r="M54" t="n">
        <v>45.1</v>
      </c>
      <c r="N54" t="n">
        <v>53.2</v>
      </c>
      <c r="O54" t="n">
        <v>44.5</v>
      </c>
      <c r="P54" t="n">
        <v>62.3</v>
      </c>
      <c r="Q54" t="n">
        <v>39.6</v>
      </c>
      <c r="R54" t="n">
        <v>44</v>
      </c>
      <c r="S54" t="n">
        <v>41</v>
      </c>
      <c r="T54" t="n">
        <v>30.9</v>
      </c>
      <c r="U54" t="n">
        <v>21.9</v>
      </c>
      <c r="V54" t="n">
        <v>27.4</v>
      </c>
      <c r="W54" t="n">
        <v>26.4</v>
      </c>
      <c r="X54" t="n">
        <v>49.9</v>
      </c>
      <c r="Y54" t="n">
        <v>20.1</v>
      </c>
      <c r="Z54" t="n">
        <v>22.1</v>
      </c>
      <c r="AA54" t="n">
        <v>16.7</v>
      </c>
      <c r="AB54" t="n">
        <v>17.9</v>
      </c>
      <c r="AC54" t="n">
        <v>21.9</v>
      </c>
      <c r="AD54" t="n">
        <v>25</v>
      </c>
      <c r="AE54" t="n">
        <v>19.8</v>
      </c>
      <c r="AF54" t="n">
        <v>5.6</v>
      </c>
    </row>
    <row r="55">
      <c r="A55" t="s">
        <v>9</v>
      </c>
      <c r="B55" t="s">
        <v>380</v>
      </c>
      <c r="C55" t="s">
        <v>217</v>
      </c>
      <c r="D55" t="s">
        <v>381</v>
      </c>
      <c r="E55" t="s">
        <v>218</v>
      </c>
      <c r="F55" t="n">
        <v>44.7</v>
      </c>
      <c r="G55" t="n">
        <v>53.6</v>
      </c>
      <c r="H55" t="n">
        <v>94.2</v>
      </c>
      <c r="I55" t="n">
        <v>71.1</v>
      </c>
      <c r="J55" t="n">
        <v>95.1</v>
      </c>
      <c r="K55" t="n">
        <v>98.5</v>
      </c>
      <c r="L55" t="n">
        <v>51.4</v>
      </c>
      <c r="M55" t="n">
        <v>18.1</v>
      </c>
      <c r="N55" t="n">
        <v>11.1</v>
      </c>
      <c r="O55" t="n">
        <v>22.8</v>
      </c>
      <c r="P55" t="n">
        <v>9.2</v>
      </c>
      <c r="Q55" t="n">
        <v>6.3</v>
      </c>
      <c r="R55" t="n">
        <v>22.1</v>
      </c>
      <c r="S55" t="n">
        <v>16.1</v>
      </c>
      <c r="T55" t="n">
        <v>8.7</v>
      </c>
      <c r="U55" t="n">
        <v>3.1</v>
      </c>
      <c r="V55" t="n">
        <v>2.5</v>
      </c>
      <c r="W55" t="n">
        <v>2.2</v>
      </c>
      <c r="X55" t="n">
        <v>2.5</v>
      </c>
      <c r="Y55" t="n">
        <v>2.2</v>
      </c>
      <c r="Z55" t="n">
        <v>1.4</v>
      </c>
      <c r="AA55" t="n">
        <v>1</v>
      </c>
      <c r="AB55" t="n">
        <v>1</v>
      </c>
      <c r="AC55" t="n">
        <v>1.1</v>
      </c>
      <c r="AD55" t="n">
        <v>1.3</v>
      </c>
      <c r="AE55" t="n">
        <v>1.1</v>
      </c>
      <c r="AF55" t="n">
        <v>1.6</v>
      </c>
    </row>
    <row r="56">
      <c r="A56" t="s">
        <v>9</v>
      </c>
      <c r="B56" t="s">
        <v>382</v>
      </c>
      <c r="C56" t="s">
        <v>217</v>
      </c>
      <c r="D56" t="s">
        <v>383</v>
      </c>
      <c r="E56" t="s">
        <v>218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9</v>
      </c>
      <c r="B57" t="s">
        <v>384</v>
      </c>
      <c r="C57" t="s">
        <v>217</v>
      </c>
      <c r="D57" t="s">
        <v>385</v>
      </c>
      <c r="E57" t="s">
        <v>218</v>
      </c>
      <c r="F57" t="n">
        <v>952.2</v>
      </c>
      <c r="G57" t="n">
        <v>989.2</v>
      </c>
      <c r="H57" t="n">
        <v>1523.1</v>
      </c>
      <c r="I57" t="n">
        <v>1436.5</v>
      </c>
      <c r="J57" t="n">
        <v>1577.5</v>
      </c>
      <c r="K57" t="n">
        <v>2005.9</v>
      </c>
      <c r="L57" t="n">
        <v>2983.2</v>
      </c>
      <c r="M57" t="n">
        <v>3169.4</v>
      </c>
      <c r="N57" t="n">
        <v>2476.5</v>
      </c>
      <c r="O57" t="n">
        <v>2849.3</v>
      </c>
      <c r="P57" t="n">
        <v>3181.1</v>
      </c>
      <c r="Q57" t="n">
        <v>4007.9</v>
      </c>
      <c r="R57" t="n">
        <v>5369</v>
      </c>
      <c r="S57" t="n">
        <v>3777.6</v>
      </c>
      <c r="T57" t="n">
        <v>2210.1</v>
      </c>
      <c r="U57" t="n">
        <v>2422.7</v>
      </c>
      <c r="V57" t="n">
        <v>1317.8</v>
      </c>
      <c r="W57" t="n">
        <v>798.9</v>
      </c>
      <c r="X57" t="n">
        <v>1063.9</v>
      </c>
      <c r="Y57" t="n">
        <v>1592.6</v>
      </c>
      <c r="Z57" t="n">
        <v>1742.3</v>
      </c>
      <c r="AA57" t="n">
        <v>1564.7</v>
      </c>
      <c r="AB57" t="n">
        <v>1931.3</v>
      </c>
      <c r="AC57" t="n">
        <v>1935.6</v>
      </c>
      <c r="AD57" t="n">
        <v>2093.3</v>
      </c>
      <c r="AE57" t="n">
        <v>1514.7</v>
      </c>
      <c r="AF57" t="n">
        <v>1876.6</v>
      </c>
    </row>
    <row r="58">
      <c r="A58" t="s">
        <v>9</v>
      </c>
      <c r="B58" t="s">
        <v>386</v>
      </c>
      <c r="C58" t="s">
        <v>217</v>
      </c>
      <c r="D58" t="s">
        <v>387</v>
      </c>
      <c r="E58" t="s">
        <v>218</v>
      </c>
      <c r="F58" t="n">
        <v>952.2</v>
      </c>
      <c r="G58" t="n">
        <v>989.2</v>
      </c>
      <c r="H58" t="n">
        <v>1523.1</v>
      </c>
      <c r="I58" t="n">
        <v>1436.5</v>
      </c>
      <c r="J58" t="n">
        <v>1577.5</v>
      </c>
      <c r="K58" t="n">
        <v>2005.9</v>
      </c>
      <c r="L58" t="n">
        <v>2983.2</v>
      </c>
      <c r="M58" t="n">
        <v>3169.4</v>
      </c>
      <c r="N58" t="n">
        <v>2476.5</v>
      </c>
      <c r="O58" t="n">
        <v>2849.3</v>
      </c>
      <c r="P58" t="n">
        <v>3181.1</v>
      </c>
      <c r="Q58" t="n">
        <v>4007.9</v>
      </c>
      <c r="R58" t="n">
        <v>5369</v>
      </c>
      <c r="S58" t="n">
        <v>3777.6</v>
      </c>
      <c r="T58" t="n">
        <v>2210.1</v>
      </c>
      <c r="U58" t="n">
        <v>2422.7</v>
      </c>
      <c r="V58" t="n">
        <v>1317.8</v>
      </c>
      <c r="W58" t="n">
        <v>798.9</v>
      </c>
      <c r="X58" t="n">
        <v>1063.9</v>
      </c>
      <c r="Y58" t="n">
        <v>1592.6</v>
      </c>
      <c r="Z58" t="n">
        <v>1742.3</v>
      </c>
      <c r="AA58" t="n">
        <v>1564.7</v>
      </c>
      <c r="AB58" t="n">
        <v>1931.3</v>
      </c>
      <c r="AC58" t="n">
        <v>1935.6</v>
      </c>
      <c r="AD58" t="n">
        <v>2093.3</v>
      </c>
      <c r="AE58" t="n">
        <v>1514.7</v>
      </c>
      <c r="AF58" t="n">
        <v>1876.6</v>
      </c>
    </row>
    <row r="59">
      <c r="A59" t="s">
        <v>9</v>
      </c>
      <c r="B59" t="s">
        <v>388</v>
      </c>
      <c r="C59" t="s">
        <v>217</v>
      </c>
      <c r="D59" t="s">
        <v>389</v>
      </c>
      <c r="E59" t="s">
        <v>218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11</v>
      </c>
      <c r="B2" t="s">
        <v>197</v>
      </c>
      <c r="C2" t="s">
        <v>217</v>
      </c>
      <c r="D2" t="s">
        <v>199</v>
      </c>
      <c r="E2" t="s">
        <v>218</v>
      </c>
      <c r="F2" t="n">
        <v>187.1</v>
      </c>
      <c r="G2" t="n">
        <v>269.5</v>
      </c>
      <c r="H2" t="n">
        <v>293</v>
      </c>
      <c r="I2" t="n">
        <v>389.1</v>
      </c>
      <c r="J2" t="n">
        <v>430.8</v>
      </c>
      <c r="K2" t="n">
        <v>521.9</v>
      </c>
      <c r="L2" t="n">
        <v>438.6</v>
      </c>
      <c r="M2" t="n">
        <v>316.1</v>
      </c>
      <c r="N2" t="n">
        <v>558.5</v>
      </c>
      <c r="O2" t="n">
        <v>642.4</v>
      </c>
      <c r="P2" t="n">
        <v>644.6</v>
      </c>
      <c r="Q2" t="n">
        <v>527</v>
      </c>
      <c r="R2" t="n">
        <v>826.7</v>
      </c>
      <c r="S2" t="n">
        <v>1134.9</v>
      </c>
      <c r="T2" t="n">
        <v>918</v>
      </c>
      <c r="U2" t="n">
        <v>1240.4</v>
      </c>
      <c r="V2" t="n">
        <v>853.9</v>
      </c>
      <c r="W2" t="n">
        <v>634.6</v>
      </c>
      <c r="X2" t="n">
        <v>990.2</v>
      </c>
      <c r="Y2" t="n">
        <v>699.1</v>
      </c>
      <c r="Z2" t="n">
        <v>779.9</v>
      </c>
      <c r="AA2" t="n">
        <v>931.8</v>
      </c>
      <c r="AB2" t="n">
        <v>958.2</v>
      </c>
      <c r="AC2" t="n">
        <v>1068.2</v>
      </c>
      <c r="AD2" t="n">
        <v>1161.7</v>
      </c>
      <c r="AE2" t="n">
        <v>1190.4</v>
      </c>
      <c r="AF2" t="n">
        <v>1657.5</v>
      </c>
    </row>
    <row r="3">
      <c r="A3" t="s">
        <v>11</v>
      </c>
      <c r="B3" t="s">
        <v>276</v>
      </c>
      <c r="C3" t="s">
        <v>217</v>
      </c>
      <c r="D3" t="s">
        <v>277</v>
      </c>
      <c r="E3" t="s">
        <v>218</v>
      </c>
      <c r="F3" t="n">
        <v>17.2</v>
      </c>
      <c r="G3" t="n">
        <v>24.7</v>
      </c>
      <c r="H3" t="n">
        <v>26.6</v>
      </c>
      <c r="I3" t="n">
        <v>35.6</v>
      </c>
      <c r="J3" t="n">
        <v>38.4</v>
      </c>
      <c r="K3" t="n">
        <v>47.7</v>
      </c>
      <c r="L3" t="n">
        <v>53.8</v>
      </c>
      <c r="M3" t="n">
        <v>51.6</v>
      </c>
      <c r="N3" t="n">
        <v>64.5</v>
      </c>
      <c r="O3" t="n">
        <v>73.3</v>
      </c>
      <c r="P3" t="n">
        <v>70.4</v>
      </c>
      <c r="Q3" t="n">
        <v>103</v>
      </c>
      <c r="R3" t="n">
        <v>146.8</v>
      </c>
      <c r="S3" t="n">
        <v>54</v>
      </c>
      <c r="T3" t="n">
        <v>36.7</v>
      </c>
      <c r="U3" t="n">
        <v>35.8</v>
      </c>
      <c r="V3" t="n">
        <v>17.7</v>
      </c>
      <c r="W3" t="n">
        <v>21.5</v>
      </c>
      <c r="X3" t="n">
        <v>20.3</v>
      </c>
      <c r="Y3" t="n">
        <v>36.4</v>
      </c>
      <c r="Z3" t="n">
        <v>52.3</v>
      </c>
      <c r="AA3" t="n">
        <v>35</v>
      </c>
      <c r="AB3" t="n">
        <v>35.3</v>
      </c>
      <c r="AC3" t="n">
        <v>79.3</v>
      </c>
      <c r="AD3" t="n">
        <v>151.8</v>
      </c>
      <c r="AE3" t="n">
        <v>61.5</v>
      </c>
      <c r="AF3" t="n">
        <v>124.3</v>
      </c>
    </row>
    <row r="4">
      <c r="A4" t="s">
        <v>11</v>
      </c>
      <c r="B4" t="s">
        <v>278</v>
      </c>
      <c r="C4" t="s">
        <v>217</v>
      </c>
      <c r="D4" t="s">
        <v>279</v>
      </c>
      <c r="E4" t="s">
        <v>218</v>
      </c>
      <c r="F4" t="n">
        <v>673.2</v>
      </c>
      <c r="G4" t="n">
        <v>966.1</v>
      </c>
      <c r="H4" t="n">
        <v>1049.4</v>
      </c>
      <c r="I4" t="n">
        <v>1358.5</v>
      </c>
      <c r="J4" t="n">
        <v>1446.6</v>
      </c>
      <c r="K4" t="n">
        <v>1866.5</v>
      </c>
      <c r="L4" t="n">
        <v>1917.4</v>
      </c>
      <c r="M4" t="n">
        <v>1413.6</v>
      </c>
      <c r="N4" t="n">
        <v>1143.6</v>
      </c>
      <c r="O4" t="n">
        <v>1444</v>
      </c>
      <c r="P4" t="n">
        <v>1164</v>
      </c>
      <c r="Q4" t="n">
        <v>1268</v>
      </c>
      <c r="R4" t="n">
        <v>1559.9</v>
      </c>
      <c r="S4" t="n">
        <v>2196.5</v>
      </c>
      <c r="T4" t="n">
        <v>1302.6</v>
      </c>
      <c r="U4" t="n">
        <v>1750.4</v>
      </c>
      <c r="V4" t="n">
        <v>1373.5</v>
      </c>
      <c r="W4" t="n">
        <v>2119.2</v>
      </c>
      <c r="X4" t="n">
        <v>668.8</v>
      </c>
      <c r="Y4" t="n">
        <v>1123.4</v>
      </c>
      <c r="Z4" t="n">
        <v>1151.9</v>
      </c>
      <c r="AA4" t="n">
        <v>1203.1</v>
      </c>
      <c r="AB4" t="n">
        <v>1211.1</v>
      </c>
      <c r="AC4" t="n">
        <v>1584.9</v>
      </c>
      <c r="AD4" t="n">
        <v>1579.8</v>
      </c>
      <c r="AE4" t="n">
        <v>1607.4</v>
      </c>
      <c r="AF4" t="n">
        <v>1091.9</v>
      </c>
    </row>
    <row r="5">
      <c r="A5" t="s">
        <v>11</v>
      </c>
      <c r="B5" t="s">
        <v>280</v>
      </c>
      <c r="C5" t="s">
        <v>217</v>
      </c>
      <c r="D5" t="s">
        <v>281</v>
      </c>
      <c r="E5" t="s">
        <v>218</v>
      </c>
      <c r="F5" t="n">
        <v>147.5</v>
      </c>
      <c r="G5" t="n">
        <v>209.9</v>
      </c>
      <c r="H5" t="n">
        <v>227.9</v>
      </c>
      <c r="I5" t="n">
        <v>299.9</v>
      </c>
      <c r="J5" t="n">
        <v>334.9</v>
      </c>
      <c r="K5" t="n">
        <v>407.3</v>
      </c>
      <c r="L5" t="n">
        <v>392.9</v>
      </c>
      <c r="M5" t="n">
        <v>331.9</v>
      </c>
      <c r="N5" t="n">
        <v>311.6</v>
      </c>
      <c r="O5" t="n">
        <v>419.1</v>
      </c>
      <c r="P5" t="n">
        <v>286.2</v>
      </c>
      <c r="Q5" t="n">
        <v>329.7</v>
      </c>
      <c r="R5" t="n">
        <v>556.6</v>
      </c>
      <c r="S5" t="n">
        <v>614.7</v>
      </c>
      <c r="T5" t="n">
        <v>343.8</v>
      </c>
      <c r="U5" t="n">
        <v>431</v>
      </c>
      <c r="V5" t="n">
        <v>280.3</v>
      </c>
      <c r="W5" t="n">
        <v>152.2</v>
      </c>
      <c r="X5" t="n">
        <v>310.8</v>
      </c>
      <c r="Y5" t="n">
        <v>353.7</v>
      </c>
      <c r="Z5" t="n">
        <v>413</v>
      </c>
      <c r="AA5" t="n">
        <v>420.4</v>
      </c>
      <c r="AB5" t="n">
        <v>424.4</v>
      </c>
      <c r="AC5" t="n">
        <v>689.2</v>
      </c>
      <c r="AD5" t="n">
        <v>478.2</v>
      </c>
      <c r="AE5" t="n">
        <v>470.2</v>
      </c>
      <c r="AF5" t="n">
        <v>482.1</v>
      </c>
    </row>
    <row r="6">
      <c r="A6" t="s">
        <v>11</v>
      </c>
      <c r="B6" t="s">
        <v>282</v>
      </c>
      <c r="C6" t="s">
        <v>217</v>
      </c>
      <c r="D6" t="s">
        <v>283</v>
      </c>
      <c r="E6" t="s">
        <v>218</v>
      </c>
      <c r="F6" t="n">
        <v>80.8</v>
      </c>
      <c r="G6" t="n">
        <v>114.1</v>
      </c>
      <c r="H6" t="n">
        <v>124.3</v>
      </c>
      <c r="I6" t="n">
        <v>159.6</v>
      </c>
      <c r="J6" t="n">
        <v>177</v>
      </c>
      <c r="K6" t="n">
        <v>220.5</v>
      </c>
      <c r="L6" t="n">
        <v>233.5</v>
      </c>
      <c r="M6" t="n">
        <v>95.1</v>
      </c>
      <c r="N6" t="n">
        <v>88.9</v>
      </c>
      <c r="O6" t="n">
        <v>122.4</v>
      </c>
      <c r="P6" t="n">
        <v>65.2</v>
      </c>
      <c r="Q6" t="n">
        <v>-29.3</v>
      </c>
      <c r="R6" t="n">
        <v>43.3</v>
      </c>
      <c r="S6" t="n">
        <v>40</v>
      </c>
      <c r="T6" t="n">
        <v>24</v>
      </c>
      <c r="U6" t="n">
        <v>-30</v>
      </c>
      <c r="V6" t="n">
        <v>31</v>
      </c>
      <c r="W6" t="n">
        <v>-13.5</v>
      </c>
      <c r="X6" t="n">
        <v>13.2</v>
      </c>
      <c r="Y6" t="n">
        <v>22.1</v>
      </c>
      <c r="Z6" t="n">
        <v>30.5</v>
      </c>
      <c r="AA6" t="n">
        <v>75</v>
      </c>
      <c r="AB6" t="n">
        <v>75.1</v>
      </c>
      <c r="AC6" t="n">
        <v>17.7</v>
      </c>
      <c r="AD6" t="n">
        <v>19.4</v>
      </c>
      <c r="AE6" t="n">
        <v>16.1</v>
      </c>
      <c r="AF6" t="n">
        <v>14.4</v>
      </c>
    </row>
    <row r="7">
      <c r="A7" t="s">
        <v>11</v>
      </c>
      <c r="B7" t="s">
        <v>284</v>
      </c>
      <c r="C7" t="s">
        <v>217</v>
      </c>
      <c r="D7" t="s">
        <v>285</v>
      </c>
      <c r="E7" t="s">
        <v>218</v>
      </c>
      <c r="F7" t="n">
        <v>77.1</v>
      </c>
      <c r="G7" t="n">
        <v>112.1</v>
      </c>
      <c r="H7" t="n">
        <v>120.9</v>
      </c>
      <c r="I7" t="n">
        <v>161.6</v>
      </c>
      <c r="J7" t="n">
        <v>170.9</v>
      </c>
      <c r="K7" t="n">
        <v>217.3</v>
      </c>
      <c r="L7" t="n">
        <v>134</v>
      </c>
      <c r="M7" t="n">
        <v>159.7</v>
      </c>
      <c r="N7" t="n">
        <v>68.4</v>
      </c>
      <c r="O7" t="n">
        <v>89.3</v>
      </c>
      <c r="P7" t="n">
        <v>3.4</v>
      </c>
      <c r="Q7" t="n">
        <v>161.2</v>
      </c>
      <c r="R7" t="n">
        <v>181.9</v>
      </c>
      <c r="S7" t="n">
        <v>111.5</v>
      </c>
      <c r="T7" t="n">
        <v>56</v>
      </c>
      <c r="U7" t="n">
        <v>83.9</v>
      </c>
      <c r="V7" t="n">
        <v>56.1</v>
      </c>
      <c r="W7" t="n">
        <v>17.1</v>
      </c>
      <c r="X7" t="n">
        <v>34.7</v>
      </c>
      <c r="Y7" t="n">
        <v>72.5</v>
      </c>
      <c r="Z7" t="n">
        <v>73.3</v>
      </c>
      <c r="AA7" t="n">
        <v>118.2</v>
      </c>
      <c r="AB7" t="n">
        <v>118.7</v>
      </c>
      <c r="AC7" t="n">
        <v>92.7</v>
      </c>
      <c r="AD7" t="n">
        <v>68.8</v>
      </c>
      <c r="AE7" t="n">
        <v>90.8</v>
      </c>
      <c r="AF7" t="n">
        <v>70.3</v>
      </c>
    </row>
    <row r="8">
      <c r="A8" t="s">
        <v>11</v>
      </c>
      <c r="B8" t="s">
        <v>286</v>
      </c>
      <c r="C8" t="s">
        <v>217</v>
      </c>
      <c r="D8" t="s">
        <v>287</v>
      </c>
      <c r="E8" t="s">
        <v>218</v>
      </c>
      <c r="F8" t="n">
        <v>53.1</v>
      </c>
      <c r="G8" t="n">
        <v>71.7</v>
      </c>
      <c r="H8" t="n">
        <v>82.1</v>
      </c>
      <c r="I8" t="n">
        <v>87.2</v>
      </c>
      <c r="J8" t="n">
        <v>99</v>
      </c>
      <c r="K8" t="n">
        <v>137.2</v>
      </c>
      <c r="L8" t="n">
        <v>76.4</v>
      </c>
      <c r="M8" t="n">
        <v>60.8</v>
      </c>
      <c r="N8" t="n">
        <v>61.7</v>
      </c>
      <c r="O8" t="n">
        <v>31</v>
      </c>
      <c r="P8" t="n">
        <v>361.5</v>
      </c>
      <c r="Q8" t="n">
        <v>26.9</v>
      </c>
      <c r="R8" t="n">
        <v>39.4</v>
      </c>
      <c r="S8" t="n">
        <v>485.3</v>
      </c>
      <c r="T8" t="n">
        <v>178.9</v>
      </c>
      <c r="U8" t="n">
        <v>465.5</v>
      </c>
      <c r="V8" t="n">
        <v>510.9</v>
      </c>
      <c r="W8" t="n">
        <v>1736.1</v>
      </c>
      <c r="X8" t="n">
        <v>179.5</v>
      </c>
      <c r="Y8" t="n">
        <v>200.5</v>
      </c>
      <c r="Z8" t="n">
        <v>259.8</v>
      </c>
      <c r="AA8" t="n">
        <v>164</v>
      </c>
      <c r="AB8" t="n">
        <v>163.6</v>
      </c>
      <c r="AC8" t="n">
        <v>144.3</v>
      </c>
      <c r="AD8" t="n">
        <v>319.8</v>
      </c>
      <c r="AE8" t="n">
        <v>322.3</v>
      </c>
      <c r="AF8" t="n">
        <v>-34.1</v>
      </c>
    </row>
    <row r="9">
      <c r="A9" t="s">
        <v>11</v>
      </c>
      <c r="B9" t="s">
        <v>288</v>
      </c>
      <c r="C9" t="s">
        <v>217</v>
      </c>
      <c r="D9" t="s">
        <v>289</v>
      </c>
      <c r="E9" t="s">
        <v>218</v>
      </c>
      <c r="F9" t="n">
        <v>28.9</v>
      </c>
      <c r="G9" t="n">
        <v>41.4</v>
      </c>
      <c r="H9" t="n">
        <v>44.7</v>
      </c>
      <c r="I9" t="n">
        <v>58.9</v>
      </c>
      <c r="J9" t="n">
        <v>62.7</v>
      </c>
      <c r="K9" t="n">
        <v>79.5</v>
      </c>
      <c r="L9" t="n">
        <v>139.8</v>
      </c>
      <c r="M9" t="n">
        <v>47.5</v>
      </c>
      <c r="N9" t="n">
        <v>34.1</v>
      </c>
      <c r="O9" t="n">
        <v>84.4</v>
      </c>
      <c r="P9" t="n">
        <v>42.5</v>
      </c>
      <c r="Q9" t="n">
        <v>43.8</v>
      </c>
      <c r="R9" t="n">
        <v>83.2</v>
      </c>
      <c r="S9" t="n">
        <v>79.5</v>
      </c>
      <c r="T9" t="n">
        <v>98.7</v>
      </c>
      <c r="U9" t="n">
        <v>5.7</v>
      </c>
      <c r="V9" t="n">
        <v>39.6</v>
      </c>
      <c r="W9" t="n">
        <v>33.7</v>
      </c>
      <c r="X9" t="n">
        <v>60.8</v>
      </c>
      <c r="Y9" t="n">
        <v>41.6</v>
      </c>
      <c r="Z9" t="n">
        <v>-14</v>
      </c>
      <c r="AA9" t="n">
        <v>44.4</v>
      </c>
      <c r="AB9" t="n">
        <v>44.9</v>
      </c>
      <c r="AC9" t="n">
        <v>59.9</v>
      </c>
      <c r="AD9" t="n">
        <v>71.1</v>
      </c>
      <c r="AE9" t="n">
        <v>47.7</v>
      </c>
      <c r="AF9" t="n">
        <v>76</v>
      </c>
    </row>
    <row r="10">
      <c r="A10" t="s">
        <v>11</v>
      </c>
      <c r="B10" t="s">
        <v>290</v>
      </c>
      <c r="C10" t="s">
        <v>217</v>
      </c>
      <c r="D10" t="s">
        <v>291</v>
      </c>
      <c r="E10" t="s">
        <v>218</v>
      </c>
      <c r="F10" t="n">
        <v>39.6</v>
      </c>
      <c r="G10" t="n">
        <v>56.7</v>
      </c>
      <c r="H10" t="n">
        <v>61.3</v>
      </c>
      <c r="I10" t="n">
        <v>80.7</v>
      </c>
      <c r="J10" t="n">
        <v>85.9</v>
      </c>
      <c r="K10" t="n">
        <v>109</v>
      </c>
      <c r="L10" t="n">
        <v>191.8</v>
      </c>
      <c r="M10" t="n">
        <v>65.2</v>
      </c>
      <c r="N10" t="n">
        <v>46.8</v>
      </c>
      <c r="O10" t="n">
        <v>115.8</v>
      </c>
      <c r="P10" t="n">
        <v>54.8</v>
      </c>
      <c r="Q10" t="n">
        <v>72.9</v>
      </c>
      <c r="R10" t="n">
        <v>131.9</v>
      </c>
      <c r="S10" t="n">
        <v>164.5</v>
      </c>
      <c r="T10" t="n">
        <v>241.7</v>
      </c>
      <c r="U10" t="n">
        <v>-37.5</v>
      </c>
      <c r="V10" t="n">
        <v>58.7</v>
      </c>
      <c r="W10" t="n">
        <v>40.1</v>
      </c>
      <c r="X10" t="n">
        <v>118.8</v>
      </c>
      <c r="Y10" t="n">
        <v>68</v>
      </c>
      <c r="Z10" t="n">
        <v>22.2</v>
      </c>
      <c r="AA10" t="n">
        <v>88.4</v>
      </c>
      <c r="AB10" t="n">
        <v>90.2</v>
      </c>
      <c r="AC10" t="n">
        <v>156.3</v>
      </c>
      <c r="AD10" t="n">
        <v>172.5</v>
      </c>
      <c r="AE10" t="n">
        <v>126.4</v>
      </c>
      <c r="AF10" t="n">
        <v>160.3</v>
      </c>
    </row>
    <row r="11">
      <c r="A11" t="s">
        <v>11</v>
      </c>
      <c r="B11" t="s">
        <v>292</v>
      </c>
      <c r="C11" t="s">
        <v>217</v>
      </c>
      <c r="D11" t="s">
        <v>293</v>
      </c>
      <c r="E11" t="s">
        <v>218</v>
      </c>
      <c r="F11" t="n">
        <v>10.7</v>
      </c>
      <c r="G11" t="n">
        <v>15.3</v>
      </c>
      <c r="H11" t="n">
        <v>16.6</v>
      </c>
      <c r="I11" t="n">
        <v>21.8</v>
      </c>
      <c r="J11" t="n">
        <v>23.2</v>
      </c>
      <c r="K11" t="n">
        <v>29.5</v>
      </c>
      <c r="L11" t="n">
        <v>52</v>
      </c>
      <c r="M11" t="n">
        <v>17.7</v>
      </c>
      <c r="N11" t="n">
        <v>12.7</v>
      </c>
      <c r="O11" t="n">
        <v>31.4</v>
      </c>
      <c r="P11" t="n">
        <v>12.3</v>
      </c>
      <c r="Q11" t="n">
        <v>29.1</v>
      </c>
      <c r="R11" t="n">
        <v>48.7</v>
      </c>
      <c r="S11" t="n">
        <v>85</v>
      </c>
      <c r="T11" t="n">
        <v>143</v>
      </c>
      <c r="U11" t="n">
        <v>-43.2</v>
      </c>
      <c r="V11" t="n">
        <v>19.1</v>
      </c>
      <c r="W11" t="n">
        <v>6.4</v>
      </c>
      <c r="X11" t="n">
        <v>58</v>
      </c>
      <c r="Y11" t="n">
        <v>26.4</v>
      </c>
      <c r="Z11" t="n">
        <v>36.2</v>
      </c>
      <c r="AA11" t="n">
        <v>44</v>
      </c>
      <c r="AB11" t="n">
        <v>45.3</v>
      </c>
      <c r="AC11" t="n">
        <v>96.4</v>
      </c>
      <c r="AD11" t="n">
        <v>101.4</v>
      </c>
      <c r="AE11" t="n">
        <v>78.7</v>
      </c>
      <c r="AF11" t="n">
        <v>84.3</v>
      </c>
    </row>
    <row r="12">
      <c r="A12" t="s">
        <v>11</v>
      </c>
      <c r="B12" t="s">
        <v>294</v>
      </c>
      <c r="C12" t="s">
        <v>217</v>
      </c>
      <c r="D12" t="s">
        <v>295</v>
      </c>
      <c r="E12" t="s">
        <v>218</v>
      </c>
      <c r="F12" t="n">
        <v>81.6</v>
      </c>
      <c r="G12" t="n">
        <v>119.5</v>
      </c>
      <c r="H12" t="n">
        <v>128.6</v>
      </c>
      <c r="I12" t="n">
        <v>171.6</v>
      </c>
      <c r="J12" t="n">
        <v>176</v>
      </c>
      <c r="K12" t="n">
        <v>231.2</v>
      </c>
      <c r="L12" t="n">
        <v>229.2</v>
      </c>
      <c r="M12" t="n">
        <v>193.1</v>
      </c>
      <c r="N12" t="n">
        <v>175.1</v>
      </c>
      <c r="O12" t="n">
        <v>177.1</v>
      </c>
      <c r="P12" t="n">
        <v>119.9</v>
      </c>
      <c r="Q12" t="n">
        <v>175.1</v>
      </c>
      <c r="R12" t="n">
        <v>250.2</v>
      </c>
      <c r="S12" t="n">
        <v>213.6</v>
      </c>
      <c r="T12" t="n">
        <v>156.1</v>
      </c>
      <c r="U12" t="n">
        <v>201.4</v>
      </c>
      <c r="V12" t="n">
        <v>178.5</v>
      </c>
      <c r="W12" t="n">
        <v>45</v>
      </c>
      <c r="X12" t="n">
        <v>96.3</v>
      </c>
      <c r="Y12" t="n">
        <v>129.8</v>
      </c>
      <c r="Z12" t="n">
        <v>119</v>
      </c>
      <c r="AA12" t="n">
        <v>124.9</v>
      </c>
      <c r="AB12" t="n">
        <v>124.5</v>
      </c>
      <c r="AC12" t="n">
        <v>143.9</v>
      </c>
      <c r="AD12" t="n">
        <v>157</v>
      </c>
      <c r="AE12" t="n">
        <v>107.8</v>
      </c>
      <c r="AF12" t="n">
        <v>84.4</v>
      </c>
    </row>
    <row r="13">
      <c r="A13" t="s">
        <v>11</v>
      </c>
      <c r="B13" t="s">
        <v>296</v>
      </c>
      <c r="C13" t="s">
        <v>217</v>
      </c>
      <c r="D13" t="s">
        <v>297</v>
      </c>
      <c r="E13" t="s">
        <v>218</v>
      </c>
      <c r="F13" t="n">
        <v>133.1</v>
      </c>
      <c r="G13" t="n">
        <v>195</v>
      </c>
      <c r="H13" t="n">
        <v>210</v>
      </c>
      <c r="I13" t="n">
        <v>276.2</v>
      </c>
      <c r="J13" t="n">
        <v>278.1</v>
      </c>
      <c r="K13" t="n">
        <v>376.3</v>
      </c>
      <c r="L13" t="n">
        <v>378.7</v>
      </c>
      <c r="M13" t="n">
        <v>281.6</v>
      </c>
      <c r="N13" t="n">
        <v>278.5</v>
      </c>
      <c r="O13" t="n">
        <v>323.5</v>
      </c>
      <c r="P13" t="n">
        <v>167.4</v>
      </c>
      <c r="Q13" t="n">
        <v>356.1</v>
      </c>
      <c r="R13" t="n">
        <v>245.8</v>
      </c>
      <c r="S13" t="n">
        <v>343.2</v>
      </c>
      <c r="T13" t="n">
        <v>190.5</v>
      </c>
      <c r="U13" t="n">
        <v>531.2</v>
      </c>
      <c r="V13" t="n">
        <v>153.8</v>
      </c>
      <c r="W13" t="n">
        <v>125</v>
      </c>
      <c r="X13" t="n">
        <v>-140.4</v>
      </c>
      <c r="Y13" t="n">
        <v>152.2</v>
      </c>
      <c r="Z13" t="n">
        <v>178.4</v>
      </c>
      <c r="AA13" t="n">
        <v>158.4</v>
      </c>
      <c r="AB13" t="n">
        <v>159.3</v>
      </c>
      <c r="AC13" t="n">
        <v>253.1</v>
      </c>
      <c r="AD13" t="n">
        <v>244.3</v>
      </c>
      <c r="AE13" t="n">
        <v>371.6</v>
      </c>
      <c r="AF13" t="n">
        <v>212.4</v>
      </c>
    </row>
    <row r="14">
      <c r="A14" t="s">
        <v>11</v>
      </c>
      <c r="B14" t="s">
        <v>298</v>
      </c>
      <c r="C14" t="s">
        <v>217</v>
      </c>
      <c r="D14" t="s">
        <v>299</v>
      </c>
      <c r="E14" t="s">
        <v>218</v>
      </c>
      <c r="F14" t="n">
        <v>7.6</v>
      </c>
      <c r="G14" t="n">
        <v>10.4</v>
      </c>
      <c r="H14" t="n">
        <v>11.5</v>
      </c>
      <c r="I14" t="n">
        <v>13.6</v>
      </c>
      <c r="J14" t="n">
        <v>14.9</v>
      </c>
      <c r="K14" t="n">
        <v>19.5</v>
      </c>
      <c r="L14" t="n">
        <v>152.1</v>
      </c>
      <c r="M14" t="n">
        <v>20.9</v>
      </c>
      <c r="N14" t="n">
        <v>25.5</v>
      </c>
      <c r="O14" t="n">
        <v>16.5</v>
      </c>
      <c r="P14" t="n">
        <v>9</v>
      </c>
      <c r="Q14" t="n">
        <v>18.4</v>
      </c>
      <c r="R14" t="n">
        <v>5.7</v>
      </c>
      <c r="S14" t="n">
        <v>12</v>
      </c>
      <c r="T14" t="n">
        <v>4.7</v>
      </c>
      <c r="U14" t="n">
        <v>15.1</v>
      </c>
      <c r="V14" t="n">
        <v>9.7</v>
      </c>
      <c r="W14" t="n">
        <v>-17.8</v>
      </c>
      <c r="X14" t="n">
        <v>11.5</v>
      </c>
      <c r="Y14" t="n">
        <v>25.8</v>
      </c>
      <c r="Z14" t="n">
        <v>6.2</v>
      </c>
      <c r="AA14" t="n">
        <v>7.5</v>
      </c>
      <c r="AB14" t="n">
        <v>7.7</v>
      </c>
      <c r="AC14" t="n">
        <v>7.7</v>
      </c>
      <c r="AD14" t="n">
        <v>7</v>
      </c>
      <c r="AE14" t="n">
        <v>6.3</v>
      </c>
      <c r="AF14" t="n">
        <v>6.2</v>
      </c>
    </row>
    <row r="15">
      <c r="A15" t="s">
        <v>11</v>
      </c>
      <c r="B15" t="s">
        <v>300</v>
      </c>
      <c r="C15" t="s">
        <v>217</v>
      </c>
      <c r="D15" t="s">
        <v>301</v>
      </c>
      <c r="E15" t="s">
        <v>218</v>
      </c>
      <c r="F15" t="n">
        <v>27.2</v>
      </c>
      <c r="G15" t="n">
        <v>38.8</v>
      </c>
      <c r="H15" t="n">
        <v>42.2</v>
      </c>
      <c r="I15" t="n">
        <v>54</v>
      </c>
      <c r="J15" t="n">
        <v>57.6</v>
      </c>
      <c r="K15" t="n">
        <v>74.6</v>
      </c>
      <c r="L15" t="n">
        <v>184.6</v>
      </c>
      <c r="M15" t="n">
        <v>116</v>
      </c>
      <c r="N15" t="n">
        <v>51.8</v>
      </c>
      <c r="O15" t="n">
        <v>50.7</v>
      </c>
      <c r="P15" t="n">
        <v>30.2</v>
      </c>
      <c r="Q15" t="n">
        <v>63.7</v>
      </c>
      <c r="R15" t="n">
        <v>25.9</v>
      </c>
      <c r="S15" t="n">
        <v>68.4</v>
      </c>
      <c r="T15" t="n">
        <v>21.9</v>
      </c>
      <c r="U15" t="n">
        <v>29.9</v>
      </c>
      <c r="V15" t="n">
        <v>43.2</v>
      </c>
      <c r="W15" t="n">
        <v>-20.3</v>
      </c>
      <c r="X15" t="n">
        <v>23.9</v>
      </c>
      <c r="Y15" t="n">
        <v>87.4</v>
      </c>
      <c r="Z15" t="n">
        <v>24.1</v>
      </c>
      <c r="AA15" t="n">
        <v>30.7</v>
      </c>
      <c r="AB15" t="n">
        <v>31.5</v>
      </c>
      <c r="AC15" t="n">
        <v>46.7</v>
      </c>
      <c r="AD15" t="n">
        <v>70</v>
      </c>
      <c r="AE15" t="n">
        <v>57.8</v>
      </c>
      <c r="AF15" t="n">
        <v>45.3</v>
      </c>
    </row>
    <row r="16">
      <c r="A16" t="s">
        <v>11</v>
      </c>
      <c r="B16" t="s">
        <v>302</v>
      </c>
      <c r="C16" t="s">
        <v>217</v>
      </c>
      <c r="D16" t="s">
        <v>303</v>
      </c>
      <c r="E16" t="s">
        <v>218</v>
      </c>
      <c r="F16" t="n">
        <v>19.6</v>
      </c>
      <c r="G16" t="n">
        <v>28.4</v>
      </c>
      <c r="H16" t="n">
        <v>30.7</v>
      </c>
      <c r="I16" t="n">
        <v>40.4</v>
      </c>
      <c r="J16" t="n">
        <v>42.7</v>
      </c>
      <c r="K16" t="n">
        <v>55.1</v>
      </c>
      <c r="L16" t="n">
        <v>32.5</v>
      </c>
      <c r="M16" t="n">
        <v>95.1</v>
      </c>
      <c r="N16" t="n">
        <v>26.3</v>
      </c>
      <c r="O16" t="n">
        <v>34.2</v>
      </c>
      <c r="P16" t="n">
        <v>21.2</v>
      </c>
      <c r="Q16" t="n">
        <v>45.3</v>
      </c>
      <c r="R16" t="n">
        <v>20.2</v>
      </c>
      <c r="S16" t="n">
        <v>56.4</v>
      </c>
      <c r="T16" t="n">
        <v>17.2</v>
      </c>
      <c r="U16" t="n">
        <v>14.8</v>
      </c>
      <c r="V16" t="n">
        <v>33.5</v>
      </c>
      <c r="W16" t="n">
        <v>-2.5</v>
      </c>
      <c r="X16" t="n">
        <v>12.4</v>
      </c>
      <c r="Y16" t="n">
        <v>61.6</v>
      </c>
      <c r="Z16" t="n">
        <v>17.9</v>
      </c>
      <c r="AA16" t="n">
        <v>23.2</v>
      </c>
      <c r="AB16" t="n">
        <v>23.8</v>
      </c>
      <c r="AC16" t="n">
        <v>39</v>
      </c>
      <c r="AD16" t="n">
        <v>63</v>
      </c>
      <c r="AE16" t="n">
        <v>51.5</v>
      </c>
      <c r="AF16" t="n">
        <v>39.1</v>
      </c>
    </row>
    <row r="17">
      <c r="A17" t="s">
        <v>11</v>
      </c>
      <c r="B17" t="s">
        <v>304</v>
      </c>
      <c r="C17" t="s">
        <v>217</v>
      </c>
      <c r="D17" t="s">
        <v>305</v>
      </c>
      <c r="E17" t="s">
        <v>218</v>
      </c>
      <c r="F17" t="n">
        <v>7.2</v>
      </c>
      <c r="G17" t="n">
        <v>10.5</v>
      </c>
      <c r="H17" t="n">
        <v>11.3</v>
      </c>
      <c r="I17" t="n">
        <v>14.6</v>
      </c>
      <c r="J17" t="n">
        <v>13.8</v>
      </c>
      <c r="K17" t="n">
        <v>20.1</v>
      </c>
      <c r="L17" t="n">
        <v>16</v>
      </c>
      <c r="M17" t="n">
        <v>17.5</v>
      </c>
      <c r="N17" t="n">
        <v>11.4</v>
      </c>
      <c r="O17" t="n">
        <v>20.6</v>
      </c>
      <c r="P17" t="n">
        <v>20</v>
      </c>
      <c r="Q17" t="n">
        <v>32.8</v>
      </c>
      <c r="R17" t="n">
        <v>28.7</v>
      </c>
      <c r="S17" t="n">
        <v>43.8</v>
      </c>
      <c r="T17" t="n">
        <v>38.5</v>
      </c>
      <c r="U17" t="n">
        <v>22.3</v>
      </c>
      <c r="V17" t="n">
        <v>33</v>
      </c>
      <c r="W17" t="n">
        <v>9.8</v>
      </c>
      <c r="X17" t="n">
        <v>16.3</v>
      </c>
      <c r="Y17" t="n">
        <v>9.8</v>
      </c>
      <c r="Z17" t="n">
        <v>11.9</v>
      </c>
      <c r="AA17" t="n">
        <v>11.8</v>
      </c>
      <c r="AB17" t="n">
        <v>11.9</v>
      </c>
      <c r="AC17" t="n">
        <v>12.6</v>
      </c>
      <c r="AD17" t="n">
        <v>11.7</v>
      </c>
      <c r="AE17" t="n">
        <v>11.8</v>
      </c>
      <c r="AF17" t="n">
        <v>18</v>
      </c>
    </row>
    <row r="18">
      <c r="A18" t="s">
        <v>11</v>
      </c>
      <c r="B18" t="s">
        <v>306</v>
      </c>
      <c r="C18" t="s">
        <v>217</v>
      </c>
      <c r="D18" t="s">
        <v>307</v>
      </c>
      <c r="E18" t="s">
        <v>218</v>
      </c>
      <c r="F18" t="n">
        <v>9.2</v>
      </c>
      <c r="G18" t="n">
        <v>13.2</v>
      </c>
      <c r="H18" t="n">
        <v>14.3</v>
      </c>
      <c r="I18" t="n">
        <v>18.2</v>
      </c>
      <c r="J18" t="n">
        <v>18.5</v>
      </c>
      <c r="K18" t="n">
        <v>25.3</v>
      </c>
      <c r="L18" t="n">
        <v>23.5</v>
      </c>
      <c r="M18" t="n">
        <v>25.4</v>
      </c>
      <c r="N18" t="n">
        <v>13.8</v>
      </c>
      <c r="O18" t="n">
        <v>25.8</v>
      </c>
      <c r="P18" t="n">
        <v>14.9</v>
      </c>
      <c r="Q18" t="n">
        <v>15.5</v>
      </c>
      <c r="R18" t="n">
        <v>17.6</v>
      </c>
      <c r="S18" t="n">
        <v>26.8</v>
      </c>
      <c r="T18" t="n">
        <v>21</v>
      </c>
      <c r="U18" t="n">
        <v>34.4</v>
      </c>
      <c r="V18" t="n">
        <v>9.4</v>
      </c>
      <c r="W18" t="n">
        <v>24.8</v>
      </c>
      <c r="X18" t="n">
        <v>2.7</v>
      </c>
      <c r="Y18" t="n">
        <v>2.7</v>
      </c>
      <c r="Z18" t="n">
        <v>2.5</v>
      </c>
      <c r="AA18" t="n">
        <v>3.8</v>
      </c>
      <c r="AB18" t="n">
        <v>3.8</v>
      </c>
      <c r="AC18" t="n">
        <v>2.4</v>
      </c>
      <c r="AD18" t="n">
        <v>1.6</v>
      </c>
      <c r="AE18" t="n">
        <v>2</v>
      </c>
      <c r="AF18" t="n">
        <v>3.4</v>
      </c>
    </row>
    <row r="19">
      <c r="A19" t="s">
        <v>11</v>
      </c>
      <c r="B19" t="s">
        <v>308</v>
      </c>
      <c r="C19" t="s">
        <v>217</v>
      </c>
      <c r="D19" t="s">
        <v>309</v>
      </c>
      <c r="E19" t="s">
        <v>218</v>
      </c>
      <c r="F19" t="n">
        <v>16.8</v>
      </c>
      <c r="G19" t="n">
        <v>24.6</v>
      </c>
      <c r="H19" t="n">
        <v>26.5</v>
      </c>
      <c r="I19" t="n">
        <v>34.9</v>
      </c>
      <c r="J19" t="n">
        <v>34.9</v>
      </c>
      <c r="K19" t="n">
        <v>47.7</v>
      </c>
      <c r="L19" t="n">
        <v>56.8</v>
      </c>
      <c r="M19" t="n">
        <v>67.3</v>
      </c>
      <c r="N19" t="n">
        <v>35.6</v>
      </c>
      <c r="O19" t="n">
        <v>68.7</v>
      </c>
      <c r="P19" t="n">
        <v>40.5</v>
      </c>
      <c r="Q19" t="n">
        <v>63.4</v>
      </c>
      <c r="R19" t="n">
        <v>38.6</v>
      </c>
      <c r="S19" t="n">
        <v>84.7</v>
      </c>
      <c r="T19" t="n">
        <v>30.2</v>
      </c>
      <c r="U19" t="n">
        <v>18.3</v>
      </c>
      <c r="V19" t="n">
        <v>18.6</v>
      </c>
      <c r="W19" t="n">
        <v>2.9</v>
      </c>
      <c r="X19" t="n">
        <v>13</v>
      </c>
      <c r="Y19" t="n">
        <v>24.7</v>
      </c>
      <c r="Z19" t="n">
        <v>17.2</v>
      </c>
      <c r="AA19" t="n">
        <v>7.5</v>
      </c>
      <c r="AB19" t="n">
        <v>8.1</v>
      </c>
      <c r="AC19" t="n">
        <v>26</v>
      </c>
      <c r="AD19" t="n">
        <v>36.5</v>
      </c>
      <c r="AE19" t="n">
        <v>30.6</v>
      </c>
      <c r="AF19" t="n">
        <v>35.4</v>
      </c>
    </row>
    <row r="20">
      <c r="A20" t="s">
        <v>11</v>
      </c>
      <c r="B20" t="s">
        <v>310</v>
      </c>
      <c r="C20" t="s">
        <v>217</v>
      </c>
      <c r="D20" t="s">
        <v>311</v>
      </c>
      <c r="E20" t="s">
        <v>218</v>
      </c>
      <c r="F20" t="n">
        <v>5.5</v>
      </c>
      <c r="G20" t="n">
        <v>7.3</v>
      </c>
      <c r="H20" t="n">
        <v>8</v>
      </c>
      <c r="I20" t="n">
        <v>9.2</v>
      </c>
      <c r="J20" t="n">
        <v>9.4</v>
      </c>
      <c r="K20" t="n">
        <v>13.4</v>
      </c>
      <c r="L20" t="n">
        <v>13.9</v>
      </c>
      <c r="M20" t="n">
        <v>69</v>
      </c>
      <c r="N20" t="n">
        <v>10.2</v>
      </c>
      <c r="O20" t="n">
        <v>8.8</v>
      </c>
      <c r="P20" t="n">
        <v>5.5</v>
      </c>
      <c r="Q20" t="n">
        <v>8.9</v>
      </c>
      <c r="R20" t="n">
        <v>8.3</v>
      </c>
      <c r="S20" t="n">
        <v>10.4</v>
      </c>
      <c r="T20" t="n">
        <v>10.5</v>
      </c>
      <c r="U20" t="n">
        <v>0</v>
      </c>
      <c r="V20" t="n">
        <v>14.6</v>
      </c>
      <c r="W20" t="n">
        <v>2.3</v>
      </c>
      <c r="X20" t="n">
        <v>-2.9</v>
      </c>
      <c r="Y20" t="n">
        <v>6.5</v>
      </c>
      <c r="Z20" t="n">
        <v>395.6</v>
      </c>
      <c r="AA20" t="n">
        <v>45.6</v>
      </c>
      <c r="AB20" t="n">
        <v>46</v>
      </c>
      <c r="AC20" t="n">
        <v>503.9</v>
      </c>
      <c r="AD20" t="n">
        <v>601.2</v>
      </c>
      <c r="AE20" t="n">
        <v>1069</v>
      </c>
      <c r="AF20" t="n">
        <v>888.9</v>
      </c>
    </row>
    <row r="21">
      <c r="A21" t="s">
        <v>11</v>
      </c>
      <c r="B21" t="s">
        <v>312</v>
      </c>
      <c r="C21" t="s">
        <v>217</v>
      </c>
      <c r="D21" t="s">
        <v>313</v>
      </c>
      <c r="E21" t="s">
        <v>218</v>
      </c>
      <c r="F21" t="n">
        <v>10.9</v>
      </c>
      <c r="G21" t="n">
        <v>15.1</v>
      </c>
      <c r="H21" t="n">
        <v>16.7</v>
      </c>
      <c r="I21" t="n">
        <v>19.6</v>
      </c>
      <c r="J21" t="n">
        <v>21.2</v>
      </c>
      <c r="K21" t="n">
        <v>25.7</v>
      </c>
      <c r="L21" t="n">
        <v>36.2</v>
      </c>
      <c r="M21" t="n">
        <v>78.5</v>
      </c>
      <c r="N21" t="n">
        <v>11.4</v>
      </c>
      <c r="O21" t="n">
        <v>21.2</v>
      </c>
      <c r="P21" t="n">
        <v>11.4</v>
      </c>
      <c r="Q21" t="n">
        <v>57.7</v>
      </c>
      <c r="R21" t="n">
        <v>35.5</v>
      </c>
      <c r="S21" t="n">
        <v>30.2</v>
      </c>
      <c r="T21" t="n">
        <v>38.3</v>
      </c>
      <c r="U21" t="n">
        <v>117.4</v>
      </c>
      <c r="V21" t="n">
        <v>145.4</v>
      </c>
      <c r="W21" t="n">
        <v>131</v>
      </c>
      <c r="X21" t="n">
        <v>96.3</v>
      </c>
      <c r="Y21" t="n">
        <v>160.6</v>
      </c>
      <c r="Z21" t="n">
        <v>480.8</v>
      </c>
      <c r="AA21" t="n">
        <v>142.2</v>
      </c>
      <c r="AB21" t="n">
        <v>137.4</v>
      </c>
      <c r="AC21" t="n">
        <v>614.8</v>
      </c>
      <c r="AD21" t="n">
        <v>717.3</v>
      </c>
      <c r="AE21" t="n">
        <v>1156.7</v>
      </c>
      <c r="AF21" t="n">
        <v>1046.1</v>
      </c>
    </row>
    <row r="22">
      <c r="A22" t="s">
        <v>11</v>
      </c>
      <c r="B22" t="s">
        <v>314</v>
      </c>
      <c r="C22" t="s">
        <v>217</v>
      </c>
      <c r="D22" t="s">
        <v>315</v>
      </c>
      <c r="E22" t="s">
        <v>218</v>
      </c>
      <c r="F22" t="n">
        <v>5.4</v>
      </c>
      <c r="G22" t="n">
        <v>7.8</v>
      </c>
      <c r="H22" t="n">
        <v>8.7</v>
      </c>
      <c r="I22" t="n">
        <v>10.4</v>
      </c>
      <c r="J22" t="n">
        <v>11.8</v>
      </c>
      <c r="K22" t="n">
        <v>12.3</v>
      </c>
      <c r="L22" t="n">
        <v>22.3</v>
      </c>
      <c r="M22" t="n">
        <v>9.5</v>
      </c>
      <c r="N22" t="n">
        <v>1.2</v>
      </c>
      <c r="O22" t="n">
        <v>12.4</v>
      </c>
      <c r="P22" t="n">
        <v>5.9</v>
      </c>
      <c r="Q22" t="n">
        <v>48.8</v>
      </c>
      <c r="R22" t="n">
        <v>27.2</v>
      </c>
      <c r="S22" t="n">
        <v>19.8</v>
      </c>
      <c r="T22" t="n">
        <v>27.8</v>
      </c>
      <c r="U22" t="n">
        <v>117.4</v>
      </c>
      <c r="V22" t="n">
        <v>130.8</v>
      </c>
      <c r="W22" t="n">
        <v>128.7</v>
      </c>
      <c r="X22" t="n">
        <v>99.2</v>
      </c>
      <c r="Y22" t="n">
        <v>154.1</v>
      </c>
      <c r="Z22" t="n">
        <v>85.2</v>
      </c>
      <c r="AA22" t="n">
        <v>96.6</v>
      </c>
      <c r="AB22" t="n">
        <v>91.4</v>
      </c>
      <c r="AC22" t="n">
        <v>110.9</v>
      </c>
      <c r="AD22" t="n">
        <v>116.1</v>
      </c>
      <c r="AE22" t="n">
        <v>87.7</v>
      </c>
      <c r="AF22" t="n">
        <v>157.2</v>
      </c>
    </row>
    <row r="23">
      <c r="A23" t="s">
        <v>11</v>
      </c>
      <c r="B23" t="s">
        <v>316</v>
      </c>
      <c r="C23" t="s">
        <v>217</v>
      </c>
      <c r="D23" t="s">
        <v>317</v>
      </c>
      <c r="E23" t="s">
        <v>218</v>
      </c>
      <c r="F23" t="n">
        <v>126.8</v>
      </c>
      <c r="G23" t="n">
        <v>179.6</v>
      </c>
      <c r="H23" t="n">
        <v>194.3</v>
      </c>
      <c r="I23" t="n">
        <v>260.9</v>
      </c>
      <c r="J23" t="n">
        <v>298.9</v>
      </c>
      <c r="K23" t="n">
        <v>348</v>
      </c>
      <c r="L23" t="n">
        <v>678.2</v>
      </c>
      <c r="M23" t="n">
        <v>581.9</v>
      </c>
      <c r="N23" t="n">
        <v>456.4</v>
      </c>
      <c r="O23" t="n">
        <v>558.9</v>
      </c>
      <c r="P23" t="n">
        <v>374.5</v>
      </c>
      <c r="Q23" t="n">
        <v>707.3</v>
      </c>
      <c r="R23" t="n">
        <v>984.8</v>
      </c>
      <c r="S23" t="n">
        <v>1278.8</v>
      </c>
      <c r="T23" t="n">
        <v>626.3</v>
      </c>
      <c r="U23" t="n">
        <v>47.2</v>
      </c>
      <c r="V23" t="n">
        <v>13.3</v>
      </c>
      <c r="W23" t="n">
        <v>62.7</v>
      </c>
      <c r="X23" t="n">
        <v>159.5</v>
      </c>
      <c r="Y23" t="n">
        <v>95.1</v>
      </c>
      <c r="Z23" t="n">
        <v>70.2</v>
      </c>
      <c r="AA23" t="n">
        <v>101.2</v>
      </c>
      <c r="AB23" t="n">
        <v>102.2</v>
      </c>
      <c r="AC23" t="n">
        <v>15</v>
      </c>
      <c r="AD23" t="n">
        <v>0.7</v>
      </c>
      <c r="AE23" t="n">
        <v>-7.3</v>
      </c>
      <c r="AF23" t="n">
        <v>95</v>
      </c>
    </row>
    <row r="24">
      <c r="A24" t="s">
        <v>11</v>
      </c>
      <c r="B24" t="s">
        <v>318</v>
      </c>
      <c r="C24" t="s">
        <v>217</v>
      </c>
      <c r="D24" t="s">
        <v>319</v>
      </c>
      <c r="E24" t="s">
        <v>218</v>
      </c>
      <c r="F24" t="n">
        <v>130.7</v>
      </c>
      <c r="G24" t="n">
        <v>170.8</v>
      </c>
      <c r="H24" t="n">
        <v>186</v>
      </c>
      <c r="I24" t="n">
        <v>223</v>
      </c>
      <c r="J24" t="n">
        <v>266.7</v>
      </c>
      <c r="K24" t="n">
        <v>309.5</v>
      </c>
      <c r="L24" t="n">
        <v>358.1</v>
      </c>
      <c r="M24" t="n">
        <v>584.8</v>
      </c>
      <c r="N24" t="n">
        <v>542.6</v>
      </c>
      <c r="O24" t="n">
        <v>768.7</v>
      </c>
      <c r="P24" t="n">
        <v>999.1</v>
      </c>
      <c r="Q24" t="n">
        <v>1685.3</v>
      </c>
      <c r="R24" t="n">
        <v>1647</v>
      </c>
      <c r="S24" t="n">
        <v>1068.9</v>
      </c>
      <c r="T24" t="n">
        <v>755.2</v>
      </c>
      <c r="U24" t="n">
        <v>472.3</v>
      </c>
      <c r="V24" t="n">
        <v>596.2</v>
      </c>
      <c r="W24" t="n">
        <v>161</v>
      </c>
      <c r="X24" t="n">
        <v>276.5</v>
      </c>
      <c r="Y24" t="n">
        <v>593.8</v>
      </c>
      <c r="Z24" t="n">
        <v>474.4</v>
      </c>
      <c r="AA24" t="n">
        <v>580.7</v>
      </c>
      <c r="AB24" t="n">
        <v>603.1</v>
      </c>
      <c r="AC24" t="n">
        <v>443.6</v>
      </c>
      <c r="AD24" t="n">
        <v>523.5</v>
      </c>
      <c r="AE24" t="n">
        <v>426</v>
      </c>
      <c r="AF24" t="n">
        <v>673.8</v>
      </c>
    </row>
    <row r="25">
      <c r="A25" t="s">
        <v>11</v>
      </c>
      <c r="B25" t="s">
        <v>320</v>
      </c>
      <c r="C25" t="s">
        <v>217</v>
      </c>
      <c r="D25" t="s">
        <v>321</v>
      </c>
      <c r="E25" t="s">
        <v>218</v>
      </c>
      <c r="F25" t="n">
        <v>8.7</v>
      </c>
      <c r="G25" t="n">
        <v>11.5</v>
      </c>
      <c r="H25" t="n">
        <v>12.5</v>
      </c>
      <c r="I25" t="n">
        <v>15.2</v>
      </c>
      <c r="J25" t="n">
        <v>18.1</v>
      </c>
      <c r="K25" t="n">
        <v>21.3</v>
      </c>
      <c r="L25" t="n">
        <v>46.3</v>
      </c>
      <c r="M25" t="n">
        <v>43.8</v>
      </c>
      <c r="N25" t="n">
        <v>41.7</v>
      </c>
      <c r="O25" t="n">
        <v>69</v>
      </c>
      <c r="P25" t="n">
        <v>72.3</v>
      </c>
      <c r="Q25" t="n">
        <v>149.9</v>
      </c>
      <c r="R25" t="n">
        <v>166.9</v>
      </c>
      <c r="S25" t="n">
        <v>120.4</v>
      </c>
      <c r="T25" t="n">
        <v>73.6</v>
      </c>
      <c r="U25" t="n">
        <v>52.5</v>
      </c>
      <c r="V25" t="n">
        <v>21.2</v>
      </c>
      <c r="W25" t="n">
        <v>3.3</v>
      </c>
      <c r="X25" t="n">
        <v>17</v>
      </c>
      <c r="Y25" t="n">
        <v>31.5</v>
      </c>
      <c r="Z25" t="n">
        <v>25.9</v>
      </c>
      <c r="AA25" t="n">
        <v>67.4</v>
      </c>
      <c r="AB25" t="n">
        <v>70.5</v>
      </c>
      <c r="AC25" t="n">
        <v>41</v>
      </c>
      <c r="AD25" t="n">
        <v>22.8</v>
      </c>
      <c r="AE25" t="n">
        <v>21.4</v>
      </c>
      <c r="AF25" t="n">
        <v>14.2</v>
      </c>
    </row>
    <row r="26">
      <c r="A26" t="s">
        <v>11</v>
      </c>
      <c r="B26" t="s">
        <v>322</v>
      </c>
      <c r="C26" t="s">
        <v>217</v>
      </c>
      <c r="D26" t="s">
        <v>323</v>
      </c>
      <c r="E26" t="s">
        <v>218</v>
      </c>
      <c r="F26" t="n">
        <v>47.3</v>
      </c>
      <c r="G26" t="n">
        <v>62.5</v>
      </c>
      <c r="H26" t="n">
        <v>68</v>
      </c>
      <c r="I26" t="n">
        <v>83.3</v>
      </c>
      <c r="J26" t="n">
        <v>98.4</v>
      </c>
      <c r="K26" t="n">
        <v>113.5</v>
      </c>
      <c r="L26" t="n">
        <v>210</v>
      </c>
      <c r="M26" t="n">
        <v>275.9</v>
      </c>
      <c r="N26" t="n">
        <v>204.2</v>
      </c>
      <c r="O26" t="n">
        <v>437.3</v>
      </c>
      <c r="P26" t="n">
        <v>462.2</v>
      </c>
      <c r="Q26" t="n">
        <v>924.1</v>
      </c>
      <c r="R26" t="n">
        <v>932.3</v>
      </c>
      <c r="S26" t="n">
        <v>594.8</v>
      </c>
      <c r="T26" t="n">
        <v>440.5</v>
      </c>
      <c r="U26" t="n">
        <v>316.3</v>
      </c>
      <c r="V26" t="n">
        <v>244.1</v>
      </c>
      <c r="W26" t="n">
        <v>78.6</v>
      </c>
      <c r="X26" t="n">
        <v>115</v>
      </c>
      <c r="Y26" t="n">
        <v>348.7</v>
      </c>
      <c r="Z26" t="n">
        <v>293.9</v>
      </c>
      <c r="AA26" t="n">
        <v>257.7</v>
      </c>
      <c r="AB26" t="n">
        <v>261.4</v>
      </c>
      <c r="AC26" t="n">
        <v>242.1</v>
      </c>
      <c r="AD26" t="n">
        <v>266.7</v>
      </c>
      <c r="AE26" t="n">
        <v>265.3</v>
      </c>
      <c r="AF26" t="n">
        <v>512.1</v>
      </c>
    </row>
    <row r="27">
      <c r="A27" t="s">
        <v>11</v>
      </c>
      <c r="B27" t="s">
        <v>324</v>
      </c>
      <c r="C27" t="s">
        <v>217</v>
      </c>
      <c r="D27" t="s">
        <v>325</v>
      </c>
      <c r="E27" t="s">
        <v>218</v>
      </c>
      <c r="F27" t="n">
        <v>74.7</v>
      </c>
      <c r="G27" t="n">
        <v>96.8</v>
      </c>
      <c r="H27" t="n">
        <v>105.5</v>
      </c>
      <c r="I27" t="n">
        <v>124.5</v>
      </c>
      <c r="J27" t="n">
        <v>150.2</v>
      </c>
      <c r="K27" t="n">
        <v>174.7</v>
      </c>
      <c r="L27" t="n">
        <v>101.8</v>
      </c>
      <c r="M27" t="n">
        <v>265.1</v>
      </c>
      <c r="N27" t="n">
        <v>296.7</v>
      </c>
      <c r="O27" t="n">
        <v>262.4</v>
      </c>
      <c r="P27" t="n">
        <v>464.6</v>
      </c>
      <c r="Q27" t="n">
        <v>611.3</v>
      </c>
      <c r="R27" t="n">
        <v>547.8</v>
      </c>
      <c r="S27" t="n">
        <v>353.7</v>
      </c>
      <c r="T27" t="n">
        <v>241.1</v>
      </c>
      <c r="U27" t="n">
        <v>103.5</v>
      </c>
      <c r="V27" t="n">
        <v>330.9</v>
      </c>
      <c r="W27" t="n">
        <v>79.1</v>
      </c>
      <c r="X27" t="n">
        <v>144.5</v>
      </c>
      <c r="Y27" t="n">
        <v>213.6</v>
      </c>
      <c r="Z27" t="n">
        <v>154.6</v>
      </c>
      <c r="AA27" t="n">
        <v>255.6</v>
      </c>
      <c r="AB27" t="n">
        <v>271.2</v>
      </c>
      <c r="AC27" t="n">
        <v>160.5</v>
      </c>
      <c r="AD27" t="n">
        <v>234</v>
      </c>
      <c r="AE27" t="n">
        <v>139.3</v>
      </c>
      <c r="AF27" t="n">
        <v>147.5</v>
      </c>
    </row>
    <row r="28">
      <c r="A28" t="s">
        <v>11</v>
      </c>
      <c r="B28" t="s">
        <v>326</v>
      </c>
      <c r="C28" t="s">
        <v>217</v>
      </c>
      <c r="D28" t="s">
        <v>327</v>
      </c>
      <c r="E28" t="s">
        <v>218</v>
      </c>
      <c r="F28" t="n">
        <v>63.7</v>
      </c>
      <c r="G28" t="n">
        <v>79.6</v>
      </c>
      <c r="H28" t="n">
        <v>86.1</v>
      </c>
      <c r="I28" t="n">
        <v>106.9</v>
      </c>
      <c r="J28" t="n">
        <v>135.4</v>
      </c>
      <c r="K28" t="n">
        <v>172.5</v>
      </c>
      <c r="L28" t="n">
        <v>201.1</v>
      </c>
      <c r="M28" t="n">
        <v>367.6</v>
      </c>
      <c r="N28" t="n">
        <v>363.7</v>
      </c>
      <c r="O28" t="n">
        <v>382.6</v>
      </c>
      <c r="P28" t="n">
        <v>67.5</v>
      </c>
      <c r="Q28" t="n">
        <v>55.3</v>
      </c>
      <c r="R28" t="n">
        <v>108.2</v>
      </c>
      <c r="S28" t="n">
        <v>191.4</v>
      </c>
      <c r="T28" t="n">
        <v>374.2</v>
      </c>
      <c r="U28" t="n">
        <v>65</v>
      </c>
      <c r="V28" t="n">
        <v>46.3</v>
      </c>
      <c r="W28" t="n">
        <v>7</v>
      </c>
      <c r="X28" t="n">
        <v>57.3</v>
      </c>
      <c r="Y28" t="n">
        <v>50.7</v>
      </c>
      <c r="Z28" t="n">
        <v>68.7</v>
      </c>
      <c r="AA28" t="n">
        <v>169.4</v>
      </c>
      <c r="AB28" t="n">
        <v>180.8</v>
      </c>
      <c r="AC28" t="n">
        <v>192.2</v>
      </c>
      <c r="AD28" t="n">
        <v>41.8</v>
      </c>
      <c r="AE28" t="n">
        <v>21.7</v>
      </c>
      <c r="AF28" t="n">
        <v>188.8</v>
      </c>
    </row>
    <row r="29">
      <c r="A29" t="s">
        <v>11</v>
      </c>
      <c r="B29" t="s">
        <v>328</v>
      </c>
      <c r="C29" t="s">
        <v>217</v>
      </c>
      <c r="D29" t="s">
        <v>329</v>
      </c>
      <c r="E29" t="s">
        <v>218</v>
      </c>
      <c r="F29" t="n">
        <v>6.9</v>
      </c>
      <c r="G29" t="n">
        <v>8.6</v>
      </c>
      <c r="H29" t="n">
        <v>9.4</v>
      </c>
      <c r="I29" t="n">
        <v>10.2</v>
      </c>
      <c r="J29" t="n">
        <v>12.7</v>
      </c>
      <c r="K29" t="n">
        <v>15.7</v>
      </c>
      <c r="L29" t="n">
        <v>15.4</v>
      </c>
      <c r="M29" t="n">
        <v>53.8</v>
      </c>
      <c r="N29" t="n">
        <v>31.7</v>
      </c>
      <c r="O29" t="n">
        <v>76.7</v>
      </c>
      <c r="P29" t="n">
        <v>20.1</v>
      </c>
      <c r="Q29" t="n">
        <v>22.3</v>
      </c>
      <c r="R29" t="n">
        <v>32.8</v>
      </c>
      <c r="S29" t="n">
        <v>43.9</v>
      </c>
      <c r="T29" t="n">
        <v>73.5</v>
      </c>
      <c r="U29" t="n">
        <v>2.3</v>
      </c>
      <c r="V29" t="n">
        <v>0.6</v>
      </c>
      <c r="W29" t="n">
        <v>-0.2</v>
      </c>
      <c r="X29" t="n">
        <v>0.9</v>
      </c>
      <c r="Y29" t="n">
        <v>3.7</v>
      </c>
      <c r="Z29" t="n">
        <v>2.4</v>
      </c>
      <c r="AA29" t="n">
        <v>2.5</v>
      </c>
      <c r="AB29" t="n">
        <v>8.8</v>
      </c>
      <c r="AC29" t="n">
        <v>6.6</v>
      </c>
      <c r="AD29" t="n">
        <v>5.8</v>
      </c>
      <c r="AE29" t="n">
        <v>4</v>
      </c>
      <c r="AF29" t="n">
        <v>1.5</v>
      </c>
    </row>
    <row r="30">
      <c r="A30" t="s">
        <v>11</v>
      </c>
      <c r="B30" t="s">
        <v>330</v>
      </c>
      <c r="C30" t="s">
        <v>217</v>
      </c>
      <c r="D30" t="s">
        <v>331</v>
      </c>
      <c r="E30" t="s">
        <v>218</v>
      </c>
      <c r="F30" t="n">
        <v>42.4</v>
      </c>
      <c r="G30" t="n">
        <v>52.5</v>
      </c>
      <c r="H30" t="n">
        <v>56.5</v>
      </c>
      <c r="I30" t="n">
        <v>74.3</v>
      </c>
      <c r="J30" t="n">
        <v>95.8</v>
      </c>
      <c r="K30" t="n">
        <v>124.9</v>
      </c>
      <c r="L30" t="n">
        <v>143.4</v>
      </c>
      <c r="M30" t="n">
        <v>277.2</v>
      </c>
      <c r="N30" t="n">
        <v>301.3</v>
      </c>
      <c r="O30" t="n">
        <v>226.1</v>
      </c>
      <c r="P30" t="n">
        <v>4.5</v>
      </c>
      <c r="Q30" t="n">
        <v>3.7</v>
      </c>
      <c r="R30" t="n">
        <v>3.4</v>
      </c>
      <c r="S30" t="n">
        <v>20.6</v>
      </c>
      <c r="T30" t="n">
        <v>7.7</v>
      </c>
      <c r="U30" t="n">
        <v>1</v>
      </c>
      <c r="V30" t="n">
        <v>0</v>
      </c>
      <c r="W30" t="n">
        <v>-2.2</v>
      </c>
      <c r="X30" t="n">
        <v>9</v>
      </c>
      <c r="Y30" t="n">
        <v>1.1</v>
      </c>
      <c r="Z30" t="n">
        <v>1.3</v>
      </c>
      <c r="AA30" t="n">
        <v>0.4</v>
      </c>
      <c r="AB30" t="n">
        <v>0.4</v>
      </c>
      <c r="AC30" t="n">
        <v>0</v>
      </c>
      <c r="AD30" t="n">
        <v>-0.3</v>
      </c>
      <c r="AE30" t="n">
        <v>-0.1</v>
      </c>
      <c r="AF30" t="n">
        <v>-0.4</v>
      </c>
    </row>
    <row r="31">
      <c r="A31" t="s">
        <v>11</v>
      </c>
      <c r="B31" t="s">
        <v>332</v>
      </c>
      <c r="C31" t="s">
        <v>217</v>
      </c>
      <c r="D31" t="s">
        <v>333</v>
      </c>
      <c r="E31" t="s">
        <v>218</v>
      </c>
      <c r="F31" t="n">
        <v>0.5</v>
      </c>
      <c r="G31" t="n">
        <v>0.7</v>
      </c>
      <c r="H31" t="n">
        <v>0.7</v>
      </c>
      <c r="I31" t="n">
        <v>0.8</v>
      </c>
      <c r="J31" t="n">
        <v>0.9</v>
      </c>
      <c r="K31" t="n">
        <v>1.1</v>
      </c>
      <c r="L31" t="n">
        <v>25.4</v>
      </c>
      <c r="M31" t="n">
        <v>12.2</v>
      </c>
      <c r="N31" t="n">
        <v>0.6</v>
      </c>
      <c r="O31" t="n">
        <v>0.1</v>
      </c>
      <c r="P31" t="n">
        <v>0.3</v>
      </c>
      <c r="Q31" t="n">
        <v>0.7</v>
      </c>
      <c r="R31" t="n">
        <v>2.3</v>
      </c>
      <c r="S31" t="n">
        <v>2.3</v>
      </c>
      <c r="T31" t="n">
        <v>4</v>
      </c>
      <c r="U31" t="n">
        <v>0</v>
      </c>
      <c r="V31" t="n">
        <v>-0.1</v>
      </c>
      <c r="W31" t="n">
        <v>-0.4</v>
      </c>
      <c r="X31" t="n">
        <v>0</v>
      </c>
      <c r="Y31" t="n">
        <v>0.7</v>
      </c>
      <c r="Z31" t="n">
        <v>0.6</v>
      </c>
      <c r="AA31" t="n">
        <v>1.7</v>
      </c>
      <c r="AB31" t="n">
        <v>1.6</v>
      </c>
      <c r="AC31" t="n">
        <v>2</v>
      </c>
      <c r="AD31" t="n">
        <v>0.2</v>
      </c>
      <c r="AE31" t="n">
        <v>0</v>
      </c>
      <c r="AF31" t="n">
        <v>97.4</v>
      </c>
    </row>
    <row r="32">
      <c r="A32" t="s">
        <v>11</v>
      </c>
      <c r="B32" t="s">
        <v>334</v>
      </c>
      <c r="C32" t="s">
        <v>217</v>
      </c>
      <c r="D32" t="s">
        <v>335</v>
      </c>
      <c r="E32" t="s">
        <v>218</v>
      </c>
      <c r="F32" t="n">
        <v>4.3</v>
      </c>
      <c r="G32" t="n">
        <v>5.3</v>
      </c>
      <c r="H32" t="n">
        <v>5.8</v>
      </c>
      <c r="I32" t="n">
        <v>6.4</v>
      </c>
      <c r="J32" t="n">
        <v>8.3</v>
      </c>
      <c r="K32" t="n">
        <v>10.2</v>
      </c>
      <c r="L32" t="n">
        <v>13.1</v>
      </c>
      <c r="M32" t="n">
        <v>16.7</v>
      </c>
      <c r="N32" t="n">
        <v>23.2</v>
      </c>
      <c r="O32" t="n">
        <v>70.6</v>
      </c>
      <c r="P32" t="n">
        <v>19.3</v>
      </c>
      <c r="Q32" t="n">
        <v>22.5</v>
      </c>
      <c r="R32" t="n">
        <v>34.4</v>
      </c>
      <c r="S32" t="n">
        <v>88.7</v>
      </c>
      <c r="T32" t="n">
        <v>251.1</v>
      </c>
      <c r="U32" t="n">
        <v>57.1</v>
      </c>
      <c r="V32" t="n">
        <v>44</v>
      </c>
      <c r="W32" t="n">
        <v>9.4</v>
      </c>
      <c r="X32" t="n">
        <v>46.3</v>
      </c>
      <c r="Y32" t="n">
        <v>44</v>
      </c>
      <c r="Z32" t="n">
        <v>61</v>
      </c>
      <c r="AA32" t="n">
        <v>161</v>
      </c>
      <c r="AB32" t="n">
        <v>166.2</v>
      </c>
      <c r="AC32" t="n">
        <v>181.2</v>
      </c>
      <c r="AD32" t="n">
        <v>32.8</v>
      </c>
      <c r="AE32" t="n">
        <v>16.4</v>
      </c>
      <c r="AF32" t="n">
        <v>87</v>
      </c>
    </row>
    <row r="33">
      <c r="A33" t="s">
        <v>11</v>
      </c>
      <c r="B33" t="s">
        <v>336</v>
      </c>
      <c r="C33" t="s">
        <v>217</v>
      </c>
      <c r="D33" t="s">
        <v>337</v>
      </c>
      <c r="E33" t="s">
        <v>218</v>
      </c>
      <c r="F33" t="n">
        <v>9.6</v>
      </c>
      <c r="G33" t="n">
        <v>12.5</v>
      </c>
      <c r="H33" t="n">
        <v>13.7</v>
      </c>
      <c r="I33" t="n">
        <v>15.2</v>
      </c>
      <c r="J33" t="n">
        <v>17.7</v>
      </c>
      <c r="K33" t="n">
        <v>20.6</v>
      </c>
      <c r="L33" t="n">
        <v>3.8</v>
      </c>
      <c r="M33" t="n">
        <v>7.7</v>
      </c>
      <c r="N33" t="n">
        <v>6.9</v>
      </c>
      <c r="O33" t="n">
        <v>9.1</v>
      </c>
      <c r="P33" t="n">
        <v>23.3</v>
      </c>
      <c r="Q33" t="n">
        <v>6.1</v>
      </c>
      <c r="R33" t="n">
        <v>35.3</v>
      </c>
      <c r="S33" t="n">
        <v>35.9</v>
      </c>
      <c r="T33" t="n">
        <v>37.9</v>
      </c>
      <c r="U33" t="n">
        <v>4.6</v>
      </c>
      <c r="V33" t="n">
        <v>1.8</v>
      </c>
      <c r="W33" t="n">
        <v>0.4</v>
      </c>
      <c r="X33" t="n">
        <v>1.1</v>
      </c>
      <c r="Y33" t="n">
        <v>1.2</v>
      </c>
      <c r="Z33" t="n">
        <v>3.4</v>
      </c>
      <c r="AA33" t="n">
        <v>3.8</v>
      </c>
      <c r="AB33" t="n">
        <v>3.8</v>
      </c>
      <c r="AC33" t="n">
        <v>2.4</v>
      </c>
      <c r="AD33" t="n">
        <v>3.3</v>
      </c>
      <c r="AE33" t="n">
        <v>1.4</v>
      </c>
      <c r="AF33" t="n">
        <v>3.3</v>
      </c>
    </row>
    <row r="34">
      <c r="A34" t="s">
        <v>11</v>
      </c>
      <c r="B34" t="s">
        <v>338</v>
      </c>
      <c r="C34" t="s">
        <v>217</v>
      </c>
      <c r="D34" t="s">
        <v>339</v>
      </c>
      <c r="E34" t="s">
        <v>218</v>
      </c>
      <c r="F34" t="n">
        <v>99.7</v>
      </c>
      <c r="G34" t="n">
        <v>124.4</v>
      </c>
      <c r="H34" t="n">
        <v>139</v>
      </c>
      <c r="I34" t="n">
        <v>145.7</v>
      </c>
      <c r="J34" t="n">
        <v>175.6</v>
      </c>
      <c r="K34" t="n">
        <v>241.6</v>
      </c>
      <c r="L34" t="n">
        <v>206.8</v>
      </c>
      <c r="M34" t="n">
        <v>166.8</v>
      </c>
      <c r="N34" t="n">
        <v>152.6</v>
      </c>
      <c r="O34" t="n">
        <v>235.7</v>
      </c>
      <c r="P34" t="n">
        <v>311.7</v>
      </c>
      <c r="Q34" t="n">
        <v>535.1</v>
      </c>
      <c r="R34" t="n">
        <v>546.4</v>
      </c>
      <c r="S34" t="n">
        <v>844.3</v>
      </c>
      <c r="T34" t="n">
        <v>515.5</v>
      </c>
      <c r="U34" t="n">
        <v>448.6</v>
      </c>
      <c r="V34" t="n">
        <v>330.8</v>
      </c>
      <c r="W34" t="n">
        <v>149.4</v>
      </c>
      <c r="X34" t="n">
        <v>182.5</v>
      </c>
      <c r="Y34" t="n">
        <v>448.8</v>
      </c>
      <c r="Z34" t="n">
        <v>388.5</v>
      </c>
      <c r="AA34" t="n">
        <v>342</v>
      </c>
      <c r="AB34" t="n">
        <v>372</v>
      </c>
      <c r="AC34" t="n">
        <v>185.5</v>
      </c>
      <c r="AD34" t="n">
        <v>250.3</v>
      </c>
      <c r="AE34" t="n">
        <v>183.4</v>
      </c>
      <c r="AF34" t="n">
        <v>158.7</v>
      </c>
    </row>
    <row r="35">
      <c r="A35" t="s">
        <v>11</v>
      </c>
      <c r="B35" t="s">
        <v>340</v>
      </c>
      <c r="C35" t="s">
        <v>217</v>
      </c>
      <c r="D35" t="s">
        <v>341</v>
      </c>
      <c r="E35" t="s">
        <v>218</v>
      </c>
      <c r="F35" t="n">
        <v>154.4</v>
      </c>
      <c r="G35" t="n">
        <v>205.7</v>
      </c>
      <c r="H35" t="n">
        <v>225.4</v>
      </c>
      <c r="I35" t="n">
        <v>256.9</v>
      </c>
      <c r="J35" t="n">
        <v>294.3</v>
      </c>
      <c r="K35" t="n">
        <v>349.8</v>
      </c>
      <c r="L35" t="n">
        <v>282.2</v>
      </c>
      <c r="M35" t="n">
        <v>383.8</v>
      </c>
      <c r="N35" t="n">
        <v>250.3</v>
      </c>
      <c r="O35" t="n">
        <v>290.2</v>
      </c>
      <c r="P35" t="n">
        <v>240.3</v>
      </c>
      <c r="Q35" t="n">
        <v>395.7</v>
      </c>
      <c r="R35" t="n">
        <v>362.4</v>
      </c>
      <c r="S35" t="n">
        <v>576.5</v>
      </c>
      <c r="T35" t="n">
        <v>583.8</v>
      </c>
      <c r="U35" t="n">
        <v>449.7</v>
      </c>
      <c r="V35" t="n">
        <v>254.8</v>
      </c>
      <c r="W35" t="n">
        <v>164.2</v>
      </c>
      <c r="X35" t="n">
        <v>130.9</v>
      </c>
      <c r="Y35" t="n">
        <v>180</v>
      </c>
      <c r="Z35" t="n">
        <v>148.4</v>
      </c>
      <c r="AA35" t="n">
        <v>144</v>
      </c>
      <c r="AB35" t="n">
        <v>149.8</v>
      </c>
      <c r="AC35" t="n">
        <v>79.8</v>
      </c>
      <c r="AD35" t="n">
        <v>87.9</v>
      </c>
      <c r="AE35" t="n">
        <v>132.7</v>
      </c>
      <c r="AF35" t="n">
        <v>628.9</v>
      </c>
    </row>
    <row r="36">
      <c r="A36" t="s">
        <v>11</v>
      </c>
      <c r="B36" t="s">
        <v>342</v>
      </c>
      <c r="C36" t="s">
        <v>217</v>
      </c>
      <c r="D36" t="s">
        <v>343</v>
      </c>
      <c r="E36" t="s">
        <v>218</v>
      </c>
      <c r="F36" t="n">
        <v>47.4</v>
      </c>
      <c r="G36" t="n">
        <v>64.3</v>
      </c>
      <c r="H36" t="n">
        <v>70.5</v>
      </c>
      <c r="I36" t="n">
        <v>84.9</v>
      </c>
      <c r="J36" t="n">
        <v>96.3</v>
      </c>
      <c r="K36" t="n">
        <v>119.3</v>
      </c>
      <c r="L36" t="n">
        <v>214.4</v>
      </c>
      <c r="M36" t="n">
        <v>241.7</v>
      </c>
      <c r="N36" t="n">
        <v>144</v>
      </c>
      <c r="O36" t="n">
        <v>146.7</v>
      </c>
      <c r="P36" t="n">
        <v>64.4</v>
      </c>
      <c r="Q36" t="n">
        <v>144.9</v>
      </c>
      <c r="R36" t="n">
        <v>150.8</v>
      </c>
      <c r="S36" t="n">
        <v>371.4</v>
      </c>
      <c r="T36" t="n">
        <v>356.7</v>
      </c>
      <c r="U36" t="n">
        <v>115.4</v>
      </c>
      <c r="V36" t="n">
        <v>78.7</v>
      </c>
      <c r="W36" t="n">
        <v>35.1</v>
      </c>
      <c r="X36" t="n">
        <v>39.3</v>
      </c>
      <c r="Y36" t="n">
        <v>59</v>
      </c>
      <c r="Z36" t="n">
        <v>25</v>
      </c>
      <c r="AA36" t="n">
        <v>29.5</v>
      </c>
      <c r="AB36" t="n">
        <v>35.9</v>
      </c>
      <c r="AC36" t="n">
        <v>52.4</v>
      </c>
      <c r="AD36" t="n">
        <v>67.1</v>
      </c>
      <c r="AE36" t="n">
        <v>88.7</v>
      </c>
      <c r="AF36" t="n">
        <v>73.6</v>
      </c>
    </row>
    <row r="37">
      <c r="A37" t="s">
        <v>11</v>
      </c>
      <c r="B37" t="s">
        <v>344</v>
      </c>
      <c r="C37" t="s">
        <v>217</v>
      </c>
      <c r="D37" t="s">
        <v>345</v>
      </c>
      <c r="E37" t="s">
        <v>218</v>
      </c>
      <c r="F37" t="n">
        <v>94.6</v>
      </c>
      <c r="G37" t="n">
        <v>123.8</v>
      </c>
      <c r="H37" t="n">
        <v>135.6</v>
      </c>
      <c r="I37" t="n">
        <v>149.8</v>
      </c>
      <c r="J37" t="n">
        <v>175</v>
      </c>
      <c r="K37" t="n">
        <v>204.5</v>
      </c>
      <c r="L37" t="n">
        <v>38.5</v>
      </c>
      <c r="M37" t="n">
        <v>78.5</v>
      </c>
      <c r="N37" t="n">
        <v>70.9</v>
      </c>
      <c r="O37" t="n">
        <v>92.4</v>
      </c>
      <c r="P37" t="n">
        <v>162.5</v>
      </c>
      <c r="Q37" t="n">
        <v>226</v>
      </c>
      <c r="R37" t="n">
        <v>176.2</v>
      </c>
      <c r="S37" t="n">
        <v>183.4</v>
      </c>
      <c r="T37" t="n">
        <v>181</v>
      </c>
      <c r="U37" t="n">
        <v>364.9</v>
      </c>
      <c r="V37" t="n">
        <v>190.8</v>
      </c>
      <c r="W37" t="n">
        <v>153.1</v>
      </c>
      <c r="X37" t="n">
        <v>95.9</v>
      </c>
      <c r="Y37" t="n">
        <v>103</v>
      </c>
      <c r="Z37" t="n">
        <v>108.5</v>
      </c>
      <c r="AA37" t="n">
        <v>77.9</v>
      </c>
      <c r="AB37" t="n">
        <v>83.1</v>
      </c>
      <c r="AC37" t="n">
        <v>17.7</v>
      </c>
      <c r="AD37" t="n">
        <v>11.5</v>
      </c>
      <c r="AE37" t="n">
        <v>31.4</v>
      </c>
      <c r="AF37" t="n">
        <v>526.5</v>
      </c>
    </row>
    <row r="38">
      <c r="A38" t="s">
        <v>11</v>
      </c>
      <c r="B38" t="s">
        <v>346</v>
      </c>
      <c r="C38" t="s">
        <v>217</v>
      </c>
      <c r="D38" t="s">
        <v>347</v>
      </c>
      <c r="E38" t="s">
        <v>218</v>
      </c>
      <c r="F38" t="n">
        <v>12.4</v>
      </c>
      <c r="G38" t="n">
        <v>17.6</v>
      </c>
      <c r="H38" t="n">
        <v>19.3</v>
      </c>
      <c r="I38" t="n">
        <v>22.2</v>
      </c>
      <c r="J38" t="n">
        <v>23</v>
      </c>
      <c r="K38" t="n">
        <v>26</v>
      </c>
      <c r="L38" t="n">
        <v>29.3</v>
      </c>
      <c r="M38" t="n">
        <v>63.6</v>
      </c>
      <c r="N38" t="n">
        <v>35.4</v>
      </c>
      <c r="O38" t="n">
        <v>51.1</v>
      </c>
      <c r="P38" t="n">
        <v>13.4</v>
      </c>
      <c r="Q38" t="n">
        <v>24.8</v>
      </c>
      <c r="R38" t="n">
        <v>35.4</v>
      </c>
      <c r="S38" t="n">
        <v>21.7</v>
      </c>
      <c r="T38" t="n">
        <v>46.1</v>
      </c>
      <c r="U38" t="n">
        <v>-30.6</v>
      </c>
      <c r="V38" t="n">
        <v>-14.7</v>
      </c>
      <c r="W38" t="n">
        <v>-24</v>
      </c>
      <c r="X38" t="n">
        <v>-4.3</v>
      </c>
      <c r="Y38" t="n">
        <v>18</v>
      </c>
      <c r="Z38" t="n">
        <v>14.9</v>
      </c>
      <c r="AA38" t="n">
        <v>36.6</v>
      </c>
      <c r="AB38" t="n">
        <v>30.8</v>
      </c>
      <c r="AC38" t="n">
        <v>9.7</v>
      </c>
      <c r="AD38" t="n">
        <v>9.3</v>
      </c>
      <c r="AE38" t="n">
        <v>12.6</v>
      </c>
      <c r="AF38" t="n">
        <v>28.8</v>
      </c>
    </row>
    <row r="39">
      <c r="A39" t="s">
        <v>11</v>
      </c>
      <c r="B39" t="s">
        <v>348</v>
      </c>
      <c r="C39" t="s">
        <v>217</v>
      </c>
      <c r="D39" t="s">
        <v>349</v>
      </c>
      <c r="E39" t="s">
        <v>218</v>
      </c>
      <c r="F39" t="n">
        <v>61</v>
      </c>
      <c r="G39" t="n">
        <v>75.5</v>
      </c>
      <c r="H39" t="n">
        <v>83.1</v>
      </c>
      <c r="I39" t="n">
        <v>82.9</v>
      </c>
      <c r="J39" t="n">
        <v>123.6</v>
      </c>
      <c r="K39" t="n">
        <v>151.5</v>
      </c>
      <c r="L39" t="n">
        <v>150.4</v>
      </c>
      <c r="M39" t="n">
        <v>42.1</v>
      </c>
      <c r="N39" t="n">
        <v>29.5</v>
      </c>
      <c r="O39" t="n">
        <v>25</v>
      </c>
      <c r="P39" t="n">
        <v>46.1</v>
      </c>
      <c r="Q39" t="n">
        <v>73.7</v>
      </c>
      <c r="R39" t="n">
        <v>69.1</v>
      </c>
      <c r="S39" t="n">
        <v>105.2</v>
      </c>
      <c r="T39" t="n">
        <v>49.6</v>
      </c>
      <c r="U39" t="n">
        <v>62.1</v>
      </c>
      <c r="V39" t="n">
        <v>61.9</v>
      </c>
      <c r="W39" t="n">
        <v>60.8</v>
      </c>
      <c r="X39" t="n">
        <v>54.4</v>
      </c>
      <c r="Y39" t="n">
        <v>60.1</v>
      </c>
      <c r="Z39" t="n">
        <v>31.2</v>
      </c>
      <c r="AA39" t="n">
        <v>15.9</v>
      </c>
      <c r="AB39" t="n">
        <v>16.5</v>
      </c>
      <c r="AC39" t="n">
        <v>13</v>
      </c>
      <c r="AD39" t="n">
        <v>15</v>
      </c>
      <c r="AE39" t="n">
        <v>53.4</v>
      </c>
      <c r="AF39" t="n">
        <v>23.5</v>
      </c>
    </row>
    <row r="40">
      <c r="A40" t="s">
        <v>11</v>
      </c>
      <c r="B40" t="s">
        <v>350</v>
      </c>
      <c r="C40" t="s">
        <v>217</v>
      </c>
      <c r="D40" t="s">
        <v>351</v>
      </c>
      <c r="E40" t="s">
        <v>218</v>
      </c>
      <c r="F40" t="n">
        <v>2.2</v>
      </c>
      <c r="G40" t="n">
        <v>2.7</v>
      </c>
      <c r="H40" t="n">
        <v>3</v>
      </c>
      <c r="I40" t="n">
        <v>3.1</v>
      </c>
      <c r="J40" t="n">
        <v>3.7</v>
      </c>
      <c r="K40" t="n">
        <v>4.7</v>
      </c>
      <c r="L40" t="n">
        <v>112.5</v>
      </c>
      <c r="M40" t="n">
        <v>89.1</v>
      </c>
      <c r="N40" t="n">
        <v>30.7</v>
      </c>
      <c r="O40" t="n">
        <v>36.9</v>
      </c>
      <c r="P40" t="n">
        <v>1</v>
      </c>
      <c r="Q40" t="n">
        <v>1.3</v>
      </c>
      <c r="R40" t="n">
        <v>6.1</v>
      </c>
      <c r="S40" t="n">
        <v>3.6</v>
      </c>
      <c r="T40" t="n">
        <v>11.7</v>
      </c>
      <c r="U40" t="n">
        <v>18.6</v>
      </c>
      <c r="V40" t="n">
        <v>43.3</v>
      </c>
      <c r="W40" t="n">
        <v>12.4</v>
      </c>
      <c r="X40" t="n">
        <v>7.7</v>
      </c>
      <c r="Y40" t="n">
        <v>12.3</v>
      </c>
      <c r="Z40" t="n">
        <v>5.6</v>
      </c>
      <c r="AA40" t="n">
        <v>3.9</v>
      </c>
      <c r="AB40" t="n">
        <v>4.3</v>
      </c>
      <c r="AC40" t="n">
        <v>-2.5</v>
      </c>
      <c r="AD40" t="n">
        <v>1.5</v>
      </c>
      <c r="AE40" t="n">
        <v>21.8</v>
      </c>
      <c r="AF40" t="n">
        <v>66.3</v>
      </c>
    </row>
    <row r="41">
      <c r="A41" t="s">
        <v>11</v>
      </c>
      <c r="B41" t="s">
        <v>352</v>
      </c>
      <c r="C41" t="s">
        <v>217</v>
      </c>
      <c r="D41" t="s">
        <v>353</v>
      </c>
      <c r="E41" t="s">
        <v>218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11</v>
      </c>
      <c r="B42" t="s">
        <v>354</v>
      </c>
      <c r="C42" t="s">
        <v>217</v>
      </c>
      <c r="D42" t="s">
        <v>355</v>
      </c>
      <c r="E42" t="s">
        <v>218</v>
      </c>
      <c r="F42" t="n">
        <v>105.8</v>
      </c>
      <c r="G42" t="n">
        <v>136.6</v>
      </c>
      <c r="H42" t="n">
        <v>151.6</v>
      </c>
      <c r="I42" t="n">
        <v>160.8</v>
      </c>
      <c r="J42" t="n">
        <v>187.9</v>
      </c>
      <c r="K42" t="n">
        <v>234.3</v>
      </c>
      <c r="L42" t="n">
        <v>196</v>
      </c>
      <c r="M42" t="n">
        <v>175.2</v>
      </c>
      <c r="N42" t="n">
        <v>220.1</v>
      </c>
      <c r="O42" t="n">
        <v>272.8</v>
      </c>
      <c r="P42" t="n">
        <v>135.1</v>
      </c>
      <c r="Q42" t="n">
        <v>164.6</v>
      </c>
      <c r="R42" t="n">
        <v>201.2</v>
      </c>
      <c r="S42" t="n">
        <v>151.1</v>
      </c>
      <c r="T42" t="n">
        <v>236.1</v>
      </c>
      <c r="U42" t="n">
        <v>59</v>
      </c>
      <c r="V42" t="n">
        <v>60.2</v>
      </c>
      <c r="W42" t="n">
        <v>18</v>
      </c>
      <c r="X42" t="n">
        <v>20.2</v>
      </c>
      <c r="Y42" t="n">
        <v>59.2</v>
      </c>
      <c r="Z42" t="n">
        <v>56.6</v>
      </c>
      <c r="AA42" t="n">
        <v>47.8</v>
      </c>
      <c r="AB42" t="n">
        <v>42.5</v>
      </c>
      <c r="AC42" t="n">
        <v>29.2</v>
      </c>
      <c r="AD42" t="n">
        <v>89.6</v>
      </c>
      <c r="AE42" t="n">
        <v>70</v>
      </c>
      <c r="AF42" t="n">
        <v>24.9</v>
      </c>
    </row>
    <row r="43">
      <c r="A43" t="s">
        <v>11</v>
      </c>
      <c r="B43" t="s">
        <v>356</v>
      </c>
      <c r="C43" t="s">
        <v>217</v>
      </c>
      <c r="D43" t="s">
        <v>357</v>
      </c>
      <c r="E43" t="s">
        <v>218</v>
      </c>
      <c r="F43" t="n">
        <v>126.2</v>
      </c>
      <c r="G43" t="n">
        <v>162.3</v>
      </c>
      <c r="H43" t="n">
        <v>179.9</v>
      </c>
      <c r="I43" t="n">
        <v>190.8</v>
      </c>
      <c r="J43" t="n">
        <v>224.1</v>
      </c>
      <c r="K43" t="n">
        <v>278.9</v>
      </c>
      <c r="L43" t="n">
        <v>245.3</v>
      </c>
      <c r="M43" t="n">
        <v>238.7</v>
      </c>
      <c r="N43" t="n">
        <v>277.7</v>
      </c>
      <c r="O43" t="n">
        <v>391.5</v>
      </c>
      <c r="P43" t="n">
        <v>347.8</v>
      </c>
      <c r="Q43" t="n">
        <v>408.4</v>
      </c>
      <c r="R43" t="n">
        <v>494.2</v>
      </c>
      <c r="S43" t="n">
        <v>1290.7</v>
      </c>
      <c r="T43" t="n">
        <v>1515.7</v>
      </c>
      <c r="U43" t="n">
        <v>237.2</v>
      </c>
      <c r="V43" t="n">
        <v>181.9</v>
      </c>
      <c r="W43" t="n">
        <v>63.9</v>
      </c>
      <c r="X43" t="n">
        <v>42.6</v>
      </c>
      <c r="Y43" t="n">
        <v>117</v>
      </c>
      <c r="Z43" t="n">
        <v>226</v>
      </c>
      <c r="AA43" t="n">
        <v>150</v>
      </c>
      <c r="AB43" t="n">
        <v>144.2</v>
      </c>
      <c r="AC43" t="n">
        <v>130.7</v>
      </c>
      <c r="AD43" t="n">
        <v>296.5</v>
      </c>
      <c r="AE43" t="n">
        <v>203.2</v>
      </c>
      <c r="AF43" t="n">
        <v>51.2</v>
      </c>
    </row>
    <row r="44">
      <c r="A44" t="s">
        <v>11</v>
      </c>
      <c r="B44" t="s">
        <v>358</v>
      </c>
      <c r="C44" t="s">
        <v>217</v>
      </c>
      <c r="D44" t="s">
        <v>359</v>
      </c>
      <c r="E44" t="s">
        <v>218</v>
      </c>
      <c r="F44" t="n">
        <v>1993.8</v>
      </c>
      <c r="G44" t="n">
        <v>2702.4</v>
      </c>
      <c r="H44" t="n">
        <v>2952.3</v>
      </c>
      <c r="I44" t="n">
        <v>3563.2</v>
      </c>
      <c r="J44" t="n">
        <v>4140.3</v>
      </c>
      <c r="K44" t="n">
        <v>5152</v>
      </c>
      <c r="L44" t="n">
        <v>5073.2</v>
      </c>
      <c r="M44" t="n">
        <v>4685.1</v>
      </c>
      <c r="N44" t="n">
        <v>4183.3</v>
      </c>
      <c r="O44" t="n">
        <v>5258</v>
      </c>
      <c r="P44" t="n">
        <v>4681.6</v>
      </c>
      <c r="Q44" t="n">
        <v>6264.7</v>
      </c>
      <c r="R44" t="n">
        <v>7200.6</v>
      </c>
      <c r="S44" t="n">
        <v>9297.4</v>
      </c>
      <c r="T44" t="n">
        <v>7052.7</v>
      </c>
      <c r="U44" t="n">
        <v>5108</v>
      </c>
      <c r="V44" t="n">
        <v>4010</v>
      </c>
      <c r="W44" t="n">
        <v>3654.8</v>
      </c>
      <c r="X44" t="n">
        <v>2776.7</v>
      </c>
      <c r="Y44" t="n">
        <v>3671.8</v>
      </c>
      <c r="Z44" t="n">
        <v>3979.8</v>
      </c>
      <c r="AA44" t="n">
        <v>3911</v>
      </c>
      <c r="AB44" t="n">
        <v>4014.6</v>
      </c>
      <c r="AC44" t="n">
        <v>4539.8</v>
      </c>
      <c r="AD44" t="n">
        <v>4964</v>
      </c>
      <c r="AE44" t="n">
        <v>5148.9</v>
      </c>
      <c r="AF44" t="n">
        <v>5810</v>
      </c>
    </row>
    <row r="45">
      <c r="A45" t="s">
        <v>11</v>
      </c>
      <c r="B45" t="s">
        <v>360</v>
      </c>
      <c r="C45" t="s">
        <v>217</v>
      </c>
      <c r="D45" t="s">
        <v>361</v>
      </c>
      <c r="E45" t="s">
        <v>218</v>
      </c>
      <c r="F45" t="n">
        <v>1806.7</v>
      </c>
      <c r="G45" t="n">
        <v>2432.9</v>
      </c>
      <c r="H45" t="n">
        <v>2659.3</v>
      </c>
      <c r="I45" t="n">
        <v>3174.1</v>
      </c>
      <c r="J45" t="n">
        <v>3709.5</v>
      </c>
      <c r="K45" t="n">
        <v>4630.1</v>
      </c>
      <c r="L45" t="n">
        <v>4634.6</v>
      </c>
      <c r="M45" t="n">
        <v>4369</v>
      </c>
      <c r="N45" t="n">
        <v>3624.8</v>
      </c>
      <c r="O45" t="n">
        <v>4615.6</v>
      </c>
      <c r="P45" t="n">
        <v>4037</v>
      </c>
      <c r="Q45" t="n">
        <v>5737.7</v>
      </c>
      <c r="R45" t="n">
        <v>6373.9</v>
      </c>
      <c r="S45" t="n">
        <v>8162.5</v>
      </c>
      <c r="T45" t="n">
        <v>6134.7</v>
      </c>
      <c r="U45" t="n">
        <v>3867.6</v>
      </c>
      <c r="V45" t="n">
        <v>3156.1</v>
      </c>
      <c r="W45" t="n">
        <v>3020.2</v>
      </c>
      <c r="X45" t="n">
        <v>1786.5</v>
      </c>
      <c r="Y45" t="n">
        <v>2972.7</v>
      </c>
      <c r="Z45" t="n">
        <v>3199.9</v>
      </c>
      <c r="AA45" t="n">
        <v>2979.2</v>
      </c>
      <c r="AB45" t="n">
        <v>3056.4</v>
      </c>
      <c r="AC45" t="n">
        <v>3471.6</v>
      </c>
      <c r="AD45" t="n">
        <v>3802.3</v>
      </c>
      <c r="AE45" t="n">
        <v>3958.5</v>
      </c>
      <c r="AF45" t="n">
        <v>4152.5</v>
      </c>
    </row>
    <row r="46">
      <c r="A46" t="s">
        <v>11</v>
      </c>
      <c r="B46" t="s">
        <v>362</v>
      </c>
      <c r="C46" t="s">
        <v>217</v>
      </c>
      <c r="D46" t="s">
        <v>363</v>
      </c>
      <c r="E46" t="s">
        <v>218</v>
      </c>
      <c r="F46" t="n">
        <v>20.4</v>
      </c>
      <c r="G46" t="n">
        <v>25.7</v>
      </c>
      <c r="H46" t="n">
        <v>28.3</v>
      </c>
      <c r="I46" t="n">
        <v>30</v>
      </c>
      <c r="J46" t="n">
        <v>36.2</v>
      </c>
      <c r="K46" t="n">
        <v>44.6</v>
      </c>
      <c r="L46" t="n">
        <v>49.3</v>
      </c>
      <c r="M46" t="n">
        <v>63.5</v>
      </c>
      <c r="N46" t="n">
        <v>57.6</v>
      </c>
      <c r="O46" t="n">
        <v>118.7</v>
      </c>
      <c r="P46" t="n">
        <v>212.7</v>
      </c>
      <c r="Q46" t="n">
        <v>243.8</v>
      </c>
      <c r="R46" t="n">
        <v>293</v>
      </c>
      <c r="S46" t="n">
        <v>1139.6</v>
      </c>
      <c r="T46" t="n">
        <v>1279.6</v>
      </c>
      <c r="U46" t="n">
        <v>178.2</v>
      </c>
      <c r="V46" t="n">
        <v>121.7</v>
      </c>
      <c r="W46" t="n">
        <v>45.9</v>
      </c>
      <c r="X46" t="n">
        <v>22.4</v>
      </c>
      <c r="Y46" t="n">
        <v>57.8</v>
      </c>
      <c r="Z46" t="n">
        <v>169.4</v>
      </c>
      <c r="AA46" t="n">
        <v>102.2</v>
      </c>
      <c r="AB46" t="n">
        <v>101.7</v>
      </c>
      <c r="AC46" t="n">
        <v>101.5</v>
      </c>
      <c r="AD46" t="n">
        <v>206.9</v>
      </c>
      <c r="AE46" t="n">
        <v>133.2</v>
      </c>
      <c r="AF46" t="n">
        <v>26.3</v>
      </c>
    </row>
    <row r="47">
      <c r="A47" t="s">
        <v>11</v>
      </c>
      <c r="B47" t="s">
        <v>364</v>
      </c>
      <c r="C47" t="s">
        <v>217</v>
      </c>
      <c r="D47" t="s">
        <v>365</v>
      </c>
      <c r="E47" t="s">
        <v>218</v>
      </c>
      <c r="F47" t="n">
        <v>322.6</v>
      </c>
      <c r="G47" t="n">
        <v>416.4</v>
      </c>
      <c r="H47" t="n">
        <v>241</v>
      </c>
      <c r="I47" t="n">
        <v>1252.4</v>
      </c>
      <c r="J47" t="n">
        <v>1596.5</v>
      </c>
      <c r="K47" t="n">
        <v>359.8</v>
      </c>
      <c r="L47" t="n">
        <v>630.9</v>
      </c>
      <c r="M47" t="n">
        <v>1220.3</v>
      </c>
      <c r="N47" t="n">
        <v>2518.2</v>
      </c>
      <c r="O47" t="n">
        <v>1385.2</v>
      </c>
      <c r="P47" t="n">
        <v>813.9</v>
      </c>
      <c r="Q47" t="n">
        <v>1164.2</v>
      </c>
      <c r="R47" t="n">
        <v>1798.7</v>
      </c>
      <c r="S47" t="n">
        <v>2392</v>
      </c>
      <c r="T47" t="n">
        <v>2686.4</v>
      </c>
      <c r="U47" t="n">
        <v>2180.8</v>
      </c>
      <c r="V47" t="n">
        <v>724.1</v>
      </c>
      <c r="W47" t="n">
        <v>292.2</v>
      </c>
      <c r="X47" t="n">
        <v>332.7</v>
      </c>
      <c r="Y47" t="n">
        <v>1165.3</v>
      </c>
      <c r="Z47" t="n">
        <v>907.4</v>
      </c>
      <c r="AA47" t="n">
        <v>160</v>
      </c>
      <c r="AB47" t="n">
        <v>1129.8</v>
      </c>
      <c r="AC47" t="n">
        <v>243.6</v>
      </c>
      <c r="AD47" t="n">
        <v>199.1</v>
      </c>
      <c r="AE47" t="n">
        <v>409.7</v>
      </c>
      <c r="AF47" t="n">
        <v>1062.2</v>
      </c>
    </row>
    <row r="48">
      <c r="A48" t="s">
        <v>11</v>
      </c>
      <c r="B48" t="s">
        <v>366</v>
      </c>
      <c r="C48" t="s">
        <v>217</v>
      </c>
      <c r="D48" t="s">
        <v>367</v>
      </c>
      <c r="E48" t="s">
        <v>218</v>
      </c>
      <c r="F48" t="n">
        <v>670.6</v>
      </c>
      <c r="G48" t="n">
        <v>857.6</v>
      </c>
      <c r="H48" t="n">
        <v>733</v>
      </c>
      <c r="I48" t="n">
        <v>1787</v>
      </c>
      <c r="J48" t="n">
        <v>2260.3</v>
      </c>
      <c r="K48" t="n">
        <v>1205.6</v>
      </c>
      <c r="L48" t="n">
        <v>1598.9</v>
      </c>
      <c r="M48" t="n">
        <v>2134</v>
      </c>
      <c r="N48" t="n">
        <v>3257.1</v>
      </c>
      <c r="O48" t="n">
        <v>2256.8</v>
      </c>
      <c r="P48" t="n">
        <v>1467</v>
      </c>
      <c r="Q48" t="n">
        <v>1834.8</v>
      </c>
      <c r="R48" t="n">
        <v>2366.5</v>
      </c>
      <c r="S48" t="n">
        <v>2943.8</v>
      </c>
      <c r="T48" t="n">
        <v>3169.6</v>
      </c>
      <c r="U48" t="n">
        <v>2465.1</v>
      </c>
      <c r="V48" t="n">
        <v>987.4</v>
      </c>
      <c r="W48" t="n">
        <v>472.6</v>
      </c>
      <c r="X48" t="n">
        <v>586.4</v>
      </c>
      <c r="Y48" t="n">
        <v>1364.7</v>
      </c>
      <c r="Z48" t="n">
        <v>1131</v>
      </c>
      <c r="AA48" t="n">
        <v>351.2</v>
      </c>
      <c r="AB48" t="n">
        <v>1368.8</v>
      </c>
      <c r="AC48" t="n">
        <v>601.3</v>
      </c>
      <c r="AD48" t="n">
        <v>591.1</v>
      </c>
      <c r="AE48" t="n">
        <v>720.9</v>
      </c>
      <c r="AF48" t="n">
        <v>1368.8</v>
      </c>
    </row>
    <row r="49">
      <c r="A49" t="s">
        <v>11</v>
      </c>
      <c r="B49" t="s">
        <v>368</v>
      </c>
      <c r="C49" t="s">
        <v>217</v>
      </c>
      <c r="D49" t="s">
        <v>369</v>
      </c>
      <c r="E49" t="s">
        <v>218</v>
      </c>
      <c r="F49" t="n">
        <v>146.6</v>
      </c>
      <c r="G49" t="n">
        <v>177.2</v>
      </c>
      <c r="H49" t="n">
        <v>197.1</v>
      </c>
      <c r="I49" t="n">
        <v>200.3</v>
      </c>
      <c r="J49" t="n">
        <v>261.6</v>
      </c>
      <c r="K49" t="n">
        <v>329</v>
      </c>
      <c r="L49" t="n">
        <v>226.3</v>
      </c>
      <c r="M49" t="n">
        <v>207.3</v>
      </c>
      <c r="N49" t="n">
        <v>278.4</v>
      </c>
      <c r="O49" t="n">
        <v>286.8</v>
      </c>
      <c r="P49" t="n">
        <v>176.7</v>
      </c>
      <c r="Q49" t="n">
        <v>301.6</v>
      </c>
      <c r="R49" t="n">
        <v>194.1</v>
      </c>
      <c r="S49" t="n">
        <v>194.8</v>
      </c>
      <c r="T49" t="n">
        <v>127.2</v>
      </c>
      <c r="U49" t="n">
        <v>39.1</v>
      </c>
      <c r="V49" t="n">
        <v>34.1</v>
      </c>
      <c r="W49" t="n">
        <v>14.7</v>
      </c>
      <c r="X49" t="n">
        <v>38.1</v>
      </c>
      <c r="Y49" t="n">
        <v>42.8</v>
      </c>
      <c r="Z49" t="n">
        <v>40.5</v>
      </c>
      <c r="AA49" t="n">
        <v>26.8</v>
      </c>
      <c r="AB49" t="n">
        <v>24.9</v>
      </c>
      <c r="AC49" t="n">
        <v>47.6</v>
      </c>
      <c r="AD49" t="n">
        <v>66.3</v>
      </c>
      <c r="AE49" t="n">
        <v>54.8</v>
      </c>
      <c r="AF49" t="n">
        <v>37.9</v>
      </c>
    </row>
    <row r="50">
      <c r="A50" t="s">
        <v>11</v>
      </c>
      <c r="B50" t="s">
        <v>370</v>
      </c>
      <c r="C50" t="s">
        <v>217</v>
      </c>
      <c r="D50" t="s">
        <v>371</v>
      </c>
      <c r="E50" t="s">
        <v>218</v>
      </c>
      <c r="F50" t="n">
        <v>201.5</v>
      </c>
      <c r="G50" t="n">
        <v>264.1</v>
      </c>
      <c r="H50" t="n">
        <v>294.9</v>
      </c>
      <c r="I50" t="n">
        <v>334.3</v>
      </c>
      <c r="J50" t="n">
        <v>402.3</v>
      </c>
      <c r="K50" t="n">
        <v>516.8</v>
      </c>
      <c r="L50" t="n">
        <v>741.7</v>
      </c>
      <c r="M50" t="n">
        <v>706.4</v>
      </c>
      <c r="N50" t="n">
        <v>460.5</v>
      </c>
      <c r="O50" t="n">
        <v>584.8</v>
      </c>
      <c r="P50" t="n">
        <v>476.4</v>
      </c>
      <c r="Q50" t="n">
        <v>369</v>
      </c>
      <c r="R50" t="n">
        <v>373.6</v>
      </c>
      <c r="S50" t="n">
        <v>357</v>
      </c>
      <c r="T50" t="n">
        <v>356</v>
      </c>
      <c r="U50" t="n">
        <v>245.2</v>
      </c>
      <c r="V50" t="n">
        <v>229.1</v>
      </c>
      <c r="W50" t="n">
        <v>165.7</v>
      </c>
      <c r="X50" t="n">
        <v>215.7</v>
      </c>
      <c r="Y50" t="n">
        <v>156.6</v>
      </c>
      <c r="Z50" t="n">
        <v>183.1</v>
      </c>
      <c r="AA50" t="n">
        <v>164.4</v>
      </c>
      <c r="AB50" t="n">
        <v>214.1</v>
      </c>
      <c r="AC50" t="n">
        <v>310.2</v>
      </c>
      <c r="AD50" t="n">
        <v>325.7</v>
      </c>
      <c r="AE50" t="n">
        <v>256.3</v>
      </c>
      <c r="AF50" t="n">
        <v>268.7</v>
      </c>
    </row>
    <row r="51">
      <c r="A51" t="s">
        <v>11</v>
      </c>
      <c r="B51" t="s">
        <v>372</v>
      </c>
      <c r="C51" t="s">
        <v>217</v>
      </c>
      <c r="D51" t="s">
        <v>373</v>
      </c>
      <c r="E51" t="s">
        <v>218</v>
      </c>
      <c r="F51" t="n">
        <v>190</v>
      </c>
      <c r="G51" t="n">
        <v>249.3</v>
      </c>
      <c r="H51" t="n">
        <v>278.6</v>
      </c>
      <c r="I51" t="n">
        <v>315.9</v>
      </c>
      <c r="J51" t="n">
        <v>379.6</v>
      </c>
      <c r="K51" t="n">
        <v>488.6</v>
      </c>
      <c r="L51" t="n">
        <v>703</v>
      </c>
      <c r="M51" t="n">
        <v>668.1</v>
      </c>
      <c r="N51" t="n">
        <v>436.4</v>
      </c>
      <c r="O51" t="n">
        <v>552.9</v>
      </c>
      <c r="P51" t="n">
        <v>463.2</v>
      </c>
      <c r="Q51" t="n">
        <v>353.7</v>
      </c>
      <c r="R51" t="n">
        <v>360.8</v>
      </c>
      <c r="S51" t="n">
        <v>337.2</v>
      </c>
      <c r="T51" t="n">
        <v>334.7</v>
      </c>
      <c r="U51" t="n">
        <v>233.2</v>
      </c>
      <c r="V51" t="n">
        <v>213.1</v>
      </c>
      <c r="W51" t="n">
        <v>158.8</v>
      </c>
      <c r="X51" t="n">
        <v>203.8</v>
      </c>
      <c r="Y51" t="n">
        <v>150.6</v>
      </c>
      <c r="Z51" t="n">
        <v>174.5</v>
      </c>
      <c r="AA51" t="n">
        <v>153.3</v>
      </c>
      <c r="AB51" t="n">
        <v>205.9</v>
      </c>
      <c r="AC51" t="n">
        <v>300</v>
      </c>
      <c r="AD51" t="n">
        <v>316.6</v>
      </c>
      <c r="AE51" t="n">
        <v>248.6</v>
      </c>
      <c r="AF51" t="n">
        <v>264.6</v>
      </c>
    </row>
    <row r="52">
      <c r="A52" t="s">
        <v>11</v>
      </c>
      <c r="B52" t="s">
        <v>374</v>
      </c>
      <c r="C52" t="s">
        <v>217</v>
      </c>
      <c r="D52" t="s">
        <v>375</v>
      </c>
      <c r="E52" t="s">
        <v>218</v>
      </c>
      <c r="F52" t="n">
        <v>11.5</v>
      </c>
      <c r="G52" t="n">
        <v>14.8</v>
      </c>
      <c r="H52" t="n">
        <v>16.3</v>
      </c>
      <c r="I52" t="n">
        <v>18.4</v>
      </c>
      <c r="J52" t="n">
        <v>22.7</v>
      </c>
      <c r="K52" t="n">
        <v>28.2</v>
      </c>
      <c r="L52" t="n">
        <v>38.7</v>
      </c>
      <c r="M52" t="n">
        <v>38.3</v>
      </c>
      <c r="N52" t="n">
        <v>24.1</v>
      </c>
      <c r="O52" t="n">
        <v>31.9</v>
      </c>
      <c r="P52" t="n">
        <v>13.2</v>
      </c>
      <c r="Q52" t="n">
        <v>15.3</v>
      </c>
      <c r="R52" t="n">
        <v>12.8</v>
      </c>
      <c r="S52" t="n">
        <v>19.8</v>
      </c>
      <c r="T52" t="n">
        <v>21.3</v>
      </c>
      <c r="U52" t="n">
        <v>12</v>
      </c>
      <c r="V52" t="n">
        <v>16</v>
      </c>
      <c r="W52" t="n">
        <v>6.9</v>
      </c>
      <c r="X52" t="n">
        <v>11.9</v>
      </c>
      <c r="Y52" t="n">
        <v>6</v>
      </c>
      <c r="Z52" t="n">
        <v>8.6</v>
      </c>
      <c r="AA52" t="n">
        <v>11.1</v>
      </c>
      <c r="AB52" t="n">
        <v>8.2</v>
      </c>
      <c r="AC52" t="n">
        <v>10.2</v>
      </c>
      <c r="AD52" t="n">
        <v>9.1</v>
      </c>
      <c r="AE52" t="n">
        <v>7.7</v>
      </c>
      <c r="AF52" t="n">
        <v>4.1</v>
      </c>
    </row>
    <row r="53">
      <c r="A53" t="s">
        <v>11</v>
      </c>
      <c r="B53" t="s">
        <v>376</v>
      </c>
      <c r="C53" t="s">
        <v>217</v>
      </c>
      <c r="D53" t="s">
        <v>377</v>
      </c>
      <c r="E53" t="s">
        <v>218</v>
      </c>
      <c r="F53" t="n">
        <v>30.9</v>
      </c>
      <c r="G53" t="n">
        <v>37.2</v>
      </c>
      <c r="H53" t="n">
        <v>41.2</v>
      </c>
      <c r="I53" t="n">
        <v>42.6</v>
      </c>
      <c r="J53" t="n">
        <v>55.6</v>
      </c>
      <c r="K53" t="n">
        <v>69</v>
      </c>
      <c r="L53" t="n">
        <v>262.1</v>
      </c>
      <c r="M53" t="n">
        <v>245.9</v>
      </c>
      <c r="N53" t="n">
        <v>158.2</v>
      </c>
      <c r="O53" t="n">
        <v>147.3</v>
      </c>
      <c r="P53" t="n">
        <v>145.3</v>
      </c>
      <c r="Q53" t="n">
        <v>181.3</v>
      </c>
      <c r="R53" t="n">
        <v>169.6</v>
      </c>
      <c r="S53" t="n">
        <v>232.4</v>
      </c>
      <c r="T53" t="n">
        <v>136.7</v>
      </c>
      <c r="U53" t="n">
        <v>126.8</v>
      </c>
      <c r="V53" t="n">
        <v>87.3</v>
      </c>
      <c r="W53" t="n">
        <v>42.5</v>
      </c>
      <c r="X53" t="n">
        <v>51.1</v>
      </c>
      <c r="Y53" t="n">
        <v>66.4</v>
      </c>
      <c r="Z53" t="n">
        <v>47.7</v>
      </c>
      <c r="AA53" t="n">
        <v>54.4</v>
      </c>
      <c r="AB53" t="n">
        <v>61.2</v>
      </c>
      <c r="AC53" t="n">
        <v>84.8</v>
      </c>
      <c r="AD53" t="n">
        <v>86.9</v>
      </c>
      <c r="AE53" t="n">
        <v>75.4</v>
      </c>
      <c r="AF53" t="n">
        <v>28.6</v>
      </c>
    </row>
    <row r="54">
      <c r="A54" t="s">
        <v>11</v>
      </c>
      <c r="B54" t="s">
        <v>378</v>
      </c>
      <c r="C54" t="s">
        <v>217</v>
      </c>
      <c r="D54" t="s">
        <v>379</v>
      </c>
      <c r="E54" t="s">
        <v>218</v>
      </c>
      <c r="F54" t="n">
        <v>342.9</v>
      </c>
      <c r="G54" t="n">
        <v>429.1</v>
      </c>
      <c r="H54" t="n">
        <v>472.8</v>
      </c>
      <c r="I54" t="n">
        <v>493.3</v>
      </c>
      <c r="J54" t="n">
        <v>684.7</v>
      </c>
      <c r="K54" t="n">
        <v>838.4</v>
      </c>
      <c r="L54" t="n">
        <v>505.1</v>
      </c>
      <c r="M54" t="n">
        <v>459.6</v>
      </c>
      <c r="N54" t="n">
        <v>332.5</v>
      </c>
      <c r="O54" t="n">
        <v>424.5</v>
      </c>
      <c r="P54" t="n">
        <v>404.2</v>
      </c>
      <c r="Q54" t="n">
        <v>448.2</v>
      </c>
      <c r="R54" t="n">
        <v>419.6</v>
      </c>
      <c r="S54" t="n">
        <v>526</v>
      </c>
      <c r="T54" t="n">
        <v>336.8</v>
      </c>
      <c r="U54" t="n">
        <v>181.9</v>
      </c>
      <c r="V54" t="n">
        <v>134.3</v>
      </c>
      <c r="W54" t="n">
        <v>79.5</v>
      </c>
      <c r="X54" t="n">
        <v>97.4</v>
      </c>
      <c r="Y54" t="n">
        <v>106.8</v>
      </c>
      <c r="Z54" t="n">
        <v>107.5</v>
      </c>
      <c r="AA54" t="n">
        <v>95.7</v>
      </c>
      <c r="AB54" t="n">
        <v>104</v>
      </c>
      <c r="AC54" t="n">
        <v>132.8</v>
      </c>
      <c r="AD54" t="n">
        <v>137.7</v>
      </c>
      <c r="AE54" t="n">
        <v>119.8</v>
      </c>
      <c r="AF54" t="n">
        <v>70.3</v>
      </c>
    </row>
    <row r="55">
      <c r="A55" t="s">
        <v>11</v>
      </c>
      <c r="B55" t="s">
        <v>380</v>
      </c>
      <c r="C55" t="s">
        <v>217</v>
      </c>
      <c r="D55" t="s">
        <v>381</v>
      </c>
      <c r="E55" t="s">
        <v>218</v>
      </c>
      <c r="F55" t="n">
        <v>312</v>
      </c>
      <c r="G55" t="n">
        <v>391.9</v>
      </c>
      <c r="H55" t="n">
        <v>431.6</v>
      </c>
      <c r="I55" t="n">
        <v>450.7</v>
      </c>
      <c r="J55" t="n">
        <v>629.1</v>
      </c>
      <c r="K55" t="n">
        <v>769.4</v>
      </c>
      <c r="L55" t="n">
        <v>243</v>
      </c>
      <c r="M55" t="n">
        <v>213.7</v>
      </c>
      <c r="N55" t="n">
        <v>174.3</v>
      </c>
      <c r="O55" t="n">
        <v>277.2</v>
      </c>
      <c r="P55" t="n">
        <v>258.9</v>
      </c>
      <c r="Q55" t="n">
        <v>266.9</v>
      </c>
      <c r="R55" t="n">
        <v>250</v>
      </c>
      <c r="S55" t="n">
        <v>293.6</v>
      </c>
      <c r="T55" t="n">
        <v>200.1</v>
      </c>
      <c r="U55" t="n">
        <v>55.1</v>
      </c>
      <c r="V55" t="n">
        <v>47</v>
      </c>
      <c r="W55" t="n">
        <v>37</v>
      </c>
      <c r="X55" t="n">
        <v>46.3</v>
      </c>
      <c r="Y55" t="n">
        <v>40.4</v>
      </c>
      <c r="Z55" t="n">
        <v>59.8</v>
      </c>
      <c r="AA55" t="n">
        <v>41.3</v>
      </c>
      <c r="AB55" t="n">
        <v>42.8</v>
      </c>
      <c r="AC55" t="n">
        <v>48</v>
      </c>
      <c r="AD55" t="n">
        <v>50.8</v>
      </c>
      <c r="AE55" t="n">
        <v>44.4</v>
      </c>
      <c r="AF55" t="n">
        <v>41.7</v>
      </c>
    </row>
    <row r="56">
      <c r="A56" t="s">
        <v>11</v>
      </c>
      <c r="B56" t="s">
        <v>382</v>
      </c>
      <c r="C56" t="s">
        <v>217</v>
      </c>
      <c r="D56" t="s">
        <v>383</v>
      </c>
      <c r="E56" t="s">
        <v>218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11</v>
      </c>
      <c r="B57" t="s">
        <v>384</v>
      </c>
      <c r="C57" t="s">
        <v>217</v>
      </c>
      <c r="D57" t="s">
        <v>385</v>
      </c>
      <c r="E57" t="s">
        <v>218</v>
      </c>
      <c r="F57" t="n">
        <v>2666.7</v>
      </c>
      <c r="G57" t="n">
        <v>3562.8</v>
      </c>
      <c r="H57" t="n">
        <v>3688.3</v>
      </c>
      <c r="I57" t="n">
        <v>5353.3</v>
      </c>
      <c r="J57" t="n">
        <v>6404.4</v>
      </c>
      <c r="K57" t="n">
        <v>6362.3</v>
      </c>
      <c r="L57" t="n">
        <v>6784.6</v>
      </c>
      <c r="M57" t="n">
        <v>6908.2</v>
      </c>
      <c r="N57" t="n">
        <v>7471.1</v>
      </c>
      <c r="O57" t="n">
        <v>7551.7</v>
      </c>
      <c r="P57" t="n">
        <v>6149.6</v>
      </c>
      <c r="Q57" t="n">
        <v>8100.8</v>
      </c>
      <c r="R57" t="n">
        <v>9573.1</v>
      </c>
      <c r="S57" t="n">
        <v>12244.8</v>
      </c>
      <c r="T57" t="n">
        <v>10234</v>
      </c>
      <c r="U57" t="n">
        <v>7591.7</v>
      </c>
      <c r="V57" t="n">
        <v>5040.6</v>
      </c>
      <c r="W57" t="n">
        <v>4139.8</v>
      </c>
      <c r="X57" t="n">
        <v>3370.9</v>
      </c>
      <c r="Y57" t="n">
        <v>5048.8</v>
      </c>
      <c r="Z57" t="n">
        <v>5116.4</v>
      </c>
      <c r="AA57" t="n">
        <v>4266.1</v>
      </c>
      <c r="AB57" t="n">
        <v>5387.7</v>
      </c>
      <c r="AC57" t="n">
        <v>5138.7</v>
      </c>
      <c r="AD57" t="n">
        <v>5556.6</v>
      </c>
      <c r="AE57" t="n">
        <v>5891.5</v>
      </c>
      <c r="AF57" t="n">
        <v>7245.1</v>
      </c>
    </row>
    <row r="58">
      <c r="A58" t="s">
        <v>11</v>
      </c>
      <c r="B58" t="s">
        <v>386</v>
      </c>
      <c r="C58" t="s">
        <v>217</v>
      </c>
      <c r="D58" t="s">
        <v>387</v>
      </c>
      <c r="E58" t="s">
        <v>218</v>
      </c>
      <c r="F58" t="n">
        <v>2666.7</v>
      </c>
      <c r="G58" t="n">
        <v>3562.8</v>
      </c>
      <c r="H58" t="n">
        <v>3688.3</v>
      </c>
      <c r="I58" t="n">
        <v>5353.3</v>
      </c>
      <c r="J58" t="n">
        <v>6404.4</v>
      </c>
      <c r="K58" t="n">
        <v>6362.3</v>
      </c>
      <c r="L58" t="n">
        <v>6784.6</v>
      </c>
      <c r="M58" t="n">
        <v>6908.2</v>
      </c>
      <c r="N58" t="n">
        <v>7471.1</v>
      </c>
      <c r="O58" t="n">
        <v>7551.7</v>
      </c>
      <c r="P58" t="n">
        <v>6149.6</v>
      </c>
      <c r="Q58" t="n">
        <v>8100.8</v>
      </c>
      <c r="R58" t="n">
        <v>9573.1</v>
      </c>
      <c r="S58" t="n">
        <v>12244.8</v>
      </c>
      <c r="T58" t="n">
        <v>10234</v>
      </c>
      <c r="U58" t="n">
        <v>7591.7</v>
      </c>
      <c r="V58" t="n">
        <v>5040.6</v>
      </c>
      <c r="W58" t="n">
        <v>4139.8</v>
      </c>
      <c r="X58" t="n">
        <v>3370.9</v>
      </c>
      <c r="Y58" t="n">
        <v>5048.8</v>
      </c>
      <c r="Z58" t="n">
        <v>5116.4</v>
      </c>
      <c r="AA58" t="n">
        <v>4266.1</v>
      </c>
      <c r="AB58" t="n">
        <v>5387.7</v>
      </c>
      <c r="AC58" t="n">
        <v>5138.7</v>
      </c>
      <c r="AD58" t="n">
        <v>5556.6</v>
      </c>
      <c r="AE58" t="n">
        <v>5891.5</v>
      </c>
      <c r="AF58" t="n">
        <v>7245.1</v>
      </c>
    </row>
    <row r="59">
      <c r="A59" t="s">
        <v>11</v>
      </c>
      <c r="B59" t="s">
        <v>388</v>
      </c>
      <c r="C59" t="s">
        <v>217</v>
      </c>
      <c r="D59" t="s">
        <v>389</v>
      </c>
      <c r="E59" t="s">
        <v>218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13</v>
      </c>
      <c r="B2" t="s">
        <v>197</v>
      </c>
      <c r="C2" t="s">
        <v>217</v>
      </c>
      <c r="D2" t="s">
        <v>199</v>
      </c>
      <c r="E2" t="s">
        <v>218</v>
      </c>
      <c r="F2" t="n">
        <v>206.2</v>
      </c>
      <c r="G2" t="n">
        <v>228.2</v>
      </c>
      <c r="H2" t="n">
        <v>272.3</v>
      </c>
      <c r="I2" t="n">
        <v>289.6</v>
      </c>
      <c r="J2" t="n">
        <v>323.9</v>
      </c>
      <c r="K2" t="n">
        <v>286.8</v>
      </c>
      <c r="L2" t="n">
        <v>293.8</v>
      </c>
      <c r="M2" t="n">
        <v>197.6</v>
      </c>
      <c r="N2" t="n">
        <v>236.2</v>
      </c>
      <c r="O2" t="n">
        <v>296.5</v>
      </c>
      <c r="P2" t="n">
        <v>336.7</v>
      </c>
      <c r="Q2" t="n">
        <v>453.5</v>
      </c>
      <c r="R2" t="n">
        <v>437.9</v>
      </c>
      <c r="S2" t="n">
        <v>547.2</v>
      </c>
      <c r="T2" t="n">
        <v>422.3</v>
      </c>
      <c r="U2" t="n">
        <v>262.2</v>
      </c>
      <c r="V2" t="n">
        <v>166.8</v>
      </c>
      <c r="W2" t="n">
        <v>162.5</v>
      </c>
      <c r="X2" t="n">
        <v>150.6</v>
      </c>
      <c r="Y2" t="n">
        <v>167.2</v>
      </c>
      <c r="Z2" t="n">
        <v>180.1</v>
      </c>
      <c r="AA2" t="n">
        <v>211.1</v>
      </c>
      <c r="AB2" t="n">
        <v>170.8</v>
      </c>
      <c r="AC2" t="n">
        <v>154.9</v>
      </c>
      <c r="AD2" t="n">
        <v>145.7</v>
      </c>
      <c r="AE2" t="n">
        <v>132.3</v>
      </c>
      <c r="AF2" t="n">
        <v>122.8</v>
      </c>
    </row>
    <row r="3">
      <c r="A3" t="s">
        <v>13</v>
      </c>
      <c r="B3" t="s">
        <v>276</v>
      </c>
      <c r="C3" t="s">
        <v>217</v>
      </c>
      <c r="D3" t="s">
        <v>277</v>
      </c>
      <c r="E3" t="s">
        <v>218</v>
      </c>
      <c r="F3" t="n">
        <v>42.7</v>
      </c>
      <c r="G3" t="n">
        <v>47.9</v>
      </c>
      <c r="H3" t="n">
        <v>55</v>
      </c>
      <c r="I3" t="n">
        <v>62</v>
      </c>
      <c r="J3" t="n">
        <v>67.2</v>
      </c>
      <c r="K3" t="n">
        <v>68.5</v>
      </c>
      <c r="L3" t="n">
        <v>29.2</v>
      </c>
      <c r="M3" t="n">
        <v>1.4</v>
      </c>
      <c r="N3" t="n">
        <v>2.8</v>
      </c>
      <c r="O3" t="n">
        <v>0.8</v>
      </c>
      <c r="P3" t="n">
        <v>23</v>
      </c>
      <c r="Q3" t="n">
        <v>26.4</v>
      </c>
      <c r="R3" t="n">
        <v>36.4</v>
      </c>
      <c r="S3" t="n">
        <v>139.6</v>
      </c>
      <c r="T3" t="n">
        <v>157.1</v>
      </c>
      <c r="U3" t="n">
        <v>132.4</v>
      </c>
      <c r="V3" t="n">
        <v>190.4</v>
      </c>
      <c r="W3" t="n">
        <v>121.2</v>
      </c>
      <c r="X3" t="n">
        <v>106.1</v>
      </c>
      <c r="Y3" t="n">
        <v>70.1</v>
      </c>
      <c r="Z3" t="n">
        <v>110</v>
      </c>
      <c r="AA3" t="n">
        <v>310.8</v>
      </c>
      <c r="AB3" t="n">
        <v>250.5</v>
      </c>
      <c r="AC3" t="n">
        <v>98.5</v>
      </c>
      <c r="AD3" t="n">
        <v>82.5</v>
      </c>
      <c r="AE3" t="n">
        <v>20.5</v>
      </c>
      <c r="AF3" t="n">
        <v>15.2</v>
      </c>
    </row>
    <row r="4">
      <c r="A4" t="s">
        <v>13</v>
      </c>
      <c r="B4" t="s">
        <v>278</v>
      </c>
      <c r="C4" t="s">
        <v>217</v>
      </c>
      <c r="D4" t="s">
        <v>279</v>
      </c>
      <c r="E4" t="s">
        <v>218</v>
      </c>
      <c r="F4" t="n">
        <v>252</v>
      </c>
      <c r="G4" t="n">
        <v>282.5</v>
      </c>
      <c r="H4" t="n">
        <v>324.8</v>
      </c>
      <c r="I4" t="n">
        <v>366</v>
      </c>
      <c r="J4" t="n">
        <v>396.5</v>
      </c>
      <c r="K4" t="n">
        <v>404.2</v>
      </c>
      <c r="L4" t="n">
        <v>537.8</v>
      </c>
      <c r="M4" t="n">
        <v>130.8</v>
      </c>
      <c r="N4" t="n">
        <v>391.6</v>
      </c>
      <c r="O4" t="n">
        <v>457.8</v>
      </c>
      <c r="P4" t="n">
        <v>336.2</v>
      </c>
      <c r="Q4" t="n">
        <v>907.8</v>
      </c>
      <c r="R4" t="n">
        <v>503</v>
      </c>
      <c r="S4" t="n">
        <v>533.4</v>
      </c>
      <c r="T4" t="n">
        <v>1355.2</v>
      </c>
      <c r="U4" t="n">
        <v>461.2</v>
      </c>
      <c r="V4" t="n">
        <v>364.7</v>
      </c>
      <c r="W4" t="n">
        <v>451.6</v>
      </c>
      <c r="X4" t="n">
        <v>219.1</v>
      </c>
      <c r="Y4" t="n">
        <v>301.7</v>
      </c>
      <c r="Z4" t="n">
        <v>282.7</v>
      </c>
      <c r="AA4" t="n">
        <v>281.9</v>
      </c>
      <c r="AB4" t="n">
        <v>228.2</v>
      </c>
      <c r="AC4" t="n">
        <v>358.9</v>
      </c>
      <c r="AD4" t="n">
        <v>274.1</v>
      </c>
      <c r="AE4" t="n">
        <v>297.3</v>
      </c>
      <c r="AF4" t="n">
        <v>572.1</v>
      </c>
    </row>
    <row r="5">
      <c r="A5" t="s">
        <v>13</v>
      </c>
      <c r="B5" t="s">
        <v>280</v>
      </c>
      <c r="C5" t="s">
        <v>217</v>
      </c>
      <c r="D5" t="s">
        <v>281</v>
      </c>
      <c r="E5" t="s">
        <v>218</v>
      </c>
      <c r="F5" t="n">
        <v>61.1</v>
      </c>
      <c r="G5" t="n">
        <v>68.5</v>
      </c>
      <c r="H5" t="n">
        <v>78.7</v>
      </c>
      <c r="I5" t="n">
        <v>88.7</v>
      </c>
      <c r="J5" t="n">
        <v>96.1</v>
      </c>
      <c r="K5" t="n">
        <v>98</v>
      </c>
      <c r="L5" t="n">
        <v>123.1</v>
      </c>
      <c r="M5" t="n">
        <v>34.2</v>
      </c>
      <c r="N5" t="n">
        <v>124.1</v>
      </c>
      <c r="O5" t="n">
        <v>164.4</v>
      </c>
      <c r="P5" t="n">
        <v>70.8</v>
      </c>
      <c r="Q5" t="n">
        <v>155.9</v>
      </c>
      <c r="R5" t="n">
        <v>116.1</v>
      </c>
      <c r="S5" t="n">
        <v>160.2</v>
      </c>
      <c r="T5" t="n">
        <v>269.8</v>
      </c>
      <c r="U5" t="n">
        <v>146.3</v>
      </c>
      <c r="V5" t="n">
        <v>76.5</v>
      </c>
      <c r="W5" t="n">
        <v>63.4</v>
      </c>
      <c r="X5" t="n">
        <v>70.4</v>
      </c>
      <c r="Y5" t="n">
        <v>116.2</v>
      </c>
      <c r="Z5" t="n">
        <v>136.7</v>
      </c>
      <c r="AA5" t="n">
        <v>120.5</v>
      </c>
      <c r="AB5" t="n">
        <v>97.6</v>
      </c>
      <c r="AC5" t="n">
        <v>143.4</v>
      </c>
      <c r="AD5" t="n">
        <v>99.9</v>
      </c>
      <c r="AE5" t="n">
        <v>108.8</v>
      </c>
      <c r="AF5" t="n">
        <v>160.5</v>
      </c>
    </row>
    <row r="6">
      <c r="A6" t="s">
        <v>13</v>
      </c>
      <c r="B6" t="s">
        <v>282</v>
      </c>
      <c r="C6" t="s">
        <v>217</v>
      </c>
      <c r="D6" t="s">
        <v>283</v>
      </c>
      <c r="E6" t="s">
        <v>218</v>
      </c>
      <c r="F6" t="n">
        <v>25.5</v>
      </c>
      <c r="G6" t="n">
        <v>28.6</v>
      </c>
      <c r="H6" t="n">
        <v>32.8</v>
      </c>
      <c r="I6" t="n">
        <v>37</v>
      </c>
      <c r="J6" t="n">
        <v>40.1</v>
      </c>
      <c r="K6" t="n">
        <v>40.9</v>
      </c>
      <c r="L6" t="n">
        <v>65.3</v>
      </c>
      <c r="M6" t="n">
        <v>12.8</v>
      </c>
      <c r="N6" t="n">
        <v>33.6</v>
      </c>
      <c r="O6" t="n">
        <v>34</v>
      </c>
      <c r="P6" t="n">
        <v>26.2</v>
      </c>
      <c r="Q6" t="n">
        <v>46.3</v>
      </c>
      <c r="R6" t="n">
        <v>71.3</v>
      </c>
      <c r="S6" t="n">
        <v>21.1</v>
      </c>
      <c r="T6" t="n">
        <v>68.1</v>
      </c>
      <c r="U6" t="n">
        <v>17.8</v>
      </c>
      <c r="V6" t="n">
        <v>30</v>
      </c>
      <c r="W6" t="n">
        <v>0.2</v>
      </c>
      <c r="X6" t="n">
        <v>5.8</v>
      </c>
      <c r="Y6" t="n">
        <v>15.4</v>
      </c>
      <c r="Z6" t="n">
        <v>6.7</v>
      </c>
      <c r="AA6" t="n">
        <v>9.4</v>
      </c>
      <c r="AB6" t="n">
        <v>7.6</v>
      </c>
      <c r="AC6" t="n">
        <v>8.6</v>
      </c>
      <c r="AD6" t="n">
        <v>6.2</v>
      </c>
      <c r="AE6" t="n">
        <v>16.1</v>
      </c>
      <c r="AF6" t="n">
        <v>11.8</v>
      </c>
    </row>
    <row r="7">
      <c r="A7" t="s">
        <v>13</v>
      </c>
      <c r="B7" t="s">
        <v>284</v>
      </c>
      <c r="C7" t="s">
        <v>217</v>
      </c>
      <c r="D7" t="s">
        <v>285</v>
      </c>
      <c r="E7" t="s">
        <v>218</v>
      </c>
      <c r="F7" t="n">
        <v>27.3</v>
      </c>
      <c r="G7" t="n">
        <v>30.7</v>
      </c>
      <c r="H7" t="n">
        <v>35.2</v>
      </c>
      <c r="I7" t="n">
        <v>39.7</v>
      </c>
      <c r="J7" t="n">
        <v>43</v>
      </c>
      <c r="K7" t="n">
        <v>43.9</v>
      </c>
      <c r="L7" t="n">
        <v>24.3</v>
      </c>
      <c r="M7" t="n">
        <v>10.3</v>
      </c>
      <c r="N7" t="n">
        <v>5</v>
      </c>
      <c r="O7" t="n">
        <v>80.3</v>
      </c>
      <c r="P7" t="n">
        <v>14.1</v>
      </c>
      <c r="Q7" t="n">
        <v>86.6</v>
      </c>
      <c r="R7" t="n">
        <v>57.3</v>
      </c>
      <c r="S7" t="n">
        <v>26.3</v>
      </c>
      <c r="T7" t="n">
        <v>38.4</v>
      </c>
      <c r="U7" t="n">
        <v>14.3</v>
      </c>
      <c r="V7" t="n">
        <v>18.7</v>
      </c>
      <c r="W7" t="n">
        <v>13.7</v>
      </c>
      <c r="X7" t="n">
        <v>8.4</v>
      </c>
      <c r="Y7" t="n">
        <v>24.2</v>
      </c>
      <c r="Z7" t="n">
        <v>16.1</v>
      </c>
      <c r="AA7" t="n">
        <v>22.2</v>
      </c>
      <c r="AB7" t="n">
        <v>17.9</v>
      </c>
      <c r="AC7" t="n">
        <v>11.2</v>
      </c>
      <c r="AD7" t="n">
        <v>10.2</v>
      </c>
      <c r="AE7" t="n">
        <v>13.3</v>
      </c>
      <c r="AF7" t="n">
        <v>16.2</v>
      </c>
    </row>
    <row r="8">
      <c r="A8" t="s">
        <v>13</v>
      </c>
      <c r="B8" t="s">
        <v>286</v>
      </c>
      <c r="C8" t="s">
        <v>217</v>
      </c>
      <c r="D8" t="s">
        <v>287</v>
      </c>
      <c r="E8" t="s">
        <v>218</v>
      </c>
      <c r="F8" t="n">
        <v>4.7</v>
      </c>
      <c r="G8" t="n">
        <v>5.3</v>
      </c>
      <c r="H8" t="n">
        <v>6.1</v>
      </c>
      <c r="I8" t="n">
        <v>6.9</v>
      </c>
      <c r="J8" t="n">
        <v>7.4</v>
      </c>
      <c r="K8" t="n">
        <v>7.6</v>
      </c>
      <c r="L8" t="n">
        <v>3.3</v>
      </c>
      <c r="M8" t="n">
        <v>1.2</v>
      </c>
      <c r="N8" t="n">
        <v>6.9</v>
      </c>
      <c r="O8" t="n">
        <v>9.4</v>
      </c>
      <c r="P8" t="n">
        <v>49.8</v>
      </c>
      <c r="Q8" t="n">
        <v>9.5</v>
      </c>
      <c r="R8" t="n">
        <v>8.2</v>
      </c>
      <c r="S8" t="n">
        <v>17.2</v>
      </c>
      <c r="T8" t="n">
        <v>406.5</v>
      </c>
      <c r="U8" t="n">
        <v>40.7</v>
      </c>
      <c r="V8" t="n">
        <v>39.5</v>
      </c>
      <c r="W8" t="n">
        <v>293.2</v>
      </c>
      <c r="X8" t="n">
        <v>23.9</v>
      </c>
      <c r="Y8" t="n">
        <v>8.9</v>
      </c>
      <c r="Z8" t="n">
        <v>14.3</v>
      </c>
      <c r="AA8" t="n">
        <v>4.3</v>
      </c>
      <c r="AB8" t="n">
        <v>3.4</v>
      </c>
      <c r="AC8" t="n">
        <v>20.2</v>
      </c>
      <c r="AD8" t="n">
        <v>12.6</v>
      </c>
      <c r="AE8" t="n">
        <v>8.9</v>
      </c>
      <c r="AF8" t="n">
        <v>132.4</v>
      </c>
    </row>
    <row r="9">
      <c r="A9" t="s">
        <v>13</v>
      </c>
      <c r="B9" t="s">
        <v>288</v>
      </c>
      <c r="C9" t="s">
        <v>217</v>
      </c>
      <c r="D9" t="s">
        <v>289</v>
      </c>
      <c r="E9" t="s">
        <v>218</v>
      </c>
      <c r="F9" t="n">
        <v>24.8</v>
      </c>
      <c r="G9" t="n">
        <v>27.8</v>
      </c>
      <c r="H9" t="n">
        <v>31.9</v>
      </c>
      <c r="I9" t="n">
        <v>36</v>
      </c>
      <c r="J9" t="n">
        <v>38.9</v>
      </c>
      <c r="K9" t="n">
        <v>39.7</v>
      </c>
      <c r="L9" t="n">
        <v>34.8</v>
      </c>
      <c r="M9" t="n">
        <v>8.8</v>
      </c>
      <c r="N9" t="n">
        <v>22.3</v>
      </c>
      <c r="O9" t="n">
        <v>17.5</v>
      </c>
      <c r="P9" t="n">
        <v>28.4</v>
      </c>
      <c r="Q9" t="n">
        <v>22.1</v>
      </c>
      <c r="R9" t="n">
        <v>23.3</v>
      </c>
      <c r="S9" t="n">
        <v>31.5</v>
      </c>
      <c r="T9" t="n">
        <v>29.8</v>
      </c>
      <c r="U9" t="n">
        <v>14.3</v>
      </c>
      <c r="V9" t="n">
        <v>22.2</v>
      </c>
      <c r="W9" t="n">
        <v>7.6</v>
      </c>
      <c r="X9" t="n">
        <v>28.8</v>
      </c>
      <c r="Y9" t="n">
        <v>13.1</v>
      </c>
      <c r="Z9" t="n">
        <v>-5.7</v>
      </c>
      <c r="AA9" t="n">
        <v>15.7</v>
      </c>
      <c r="AB9" t="n">
        <v>12.8</v>
      </c>
      <c r="AC9" t="n">
        <v>18.1</v>
      </c>
      <c r="AD9" t="n">
        <v>23</v>
      </c>
      <c r="AE9" t="n">
        <v>14.4</v>
      </c>
      <c r="AF9" t="n">
        <v>24.8</v>
      </c>
    </row>
    <row r="10">
      <c r="A10" t="s">
        <v>13</v>
      </c>
      <c r="B10" t="s">
        <v>290</v>
      </c>
      <c r="C10" t="s">
        <v>217</v>
      </c>
      <c r="D10" t="s">
        <v>291</v>
      </c>
      <c r="E10" t="s">
        <v>218</v>
      </c>
      <c r="F10" t="n">
        <v>33.9</v>
      </c>
      <c r="G10" t="n">
        <v>38</v>
      </c>
      <c r="H10" t="n">
        <v>43.7</v>
      </c>
      <c r="I10" t="n">
        <v>49.3</v>
      </c>
      <c r="J10" t="n">
        <v>53.3</v>
      </c>
      <c r="K10" t="n">
        <v>54.4</v>
      </c>
      <c r="L10" t="n">
        <v>47.6</v>
      </c>
      <c r="M10" t="n">
        <v>12.1</v>
      </c>
      <c r="N10" t="n">
        <v>30.5</v>
      </c>
      <c r="O10" t="n">
        <v>24</v>
      </c>
      <c r="P10" t="n">
        <v>37.1</v>
      </c>
      <c r="Q10" t="n">
        <v>31.8</v>
      </c>
      <c r="R10" t="n">
        <v>35.8</v>
      </c>
      <c r="S10" t="n">
        <v>50.1</v>
      </c>
      <c r="T10" t="n">
        <v>97.7</v>
      </c>
      <c r="U10" t="n">
        <v>-1.5</v>
      </c>
      <c r="V10" t="n">
        <v>31</v>
      </c>
      <c r="W10" t="n">
        <v>10.5</v>
      </c>
      <c r="X10" t="n">
        <v>37.9</v>
      </c>
      <c r="Y10" t="n">
        <v>37.5</v>
      </c>
      <c r="Z10" t="n">
        <v>5.7</v>
      </c>
      <c r="AA10" t="n">
        <v>29.7</v>
      </c>
      <c r="AB10" t="n">
        <v>24.1</v>
      </c>
      <c r="AC10" t="n">
        <v>66.3</v>
      </c>
      <c r="AD10" t="n">
        <v>54.6</v>
      </c>
      <c r="AE10" t="n">
        <v>50.2</v>
      </c>
      <c r="AF10" t="n">
        <v>66.8</v>
      </c>
    </row>
    <row r="11">
      <c r="A11" t="s">
        <v>13</v>
      </c>
      <c r="B11" t="s">
        <v>292</v>
      </c>
      <c r="C11" t="s">
        <v>217</v>
      </c>
      <c r="D11" t="s">
        <v>293</v>
      </c>
      <c r="E11" t="s">
        <v>218</v>
      </c>
      <c r="F11" t="n">
        <v>9.1</v>
      </c>
      <c r="G11" t="n">
        <v>10.2</v>
      </c>
      <c r="H11" t="n">
        <v>11.8</v>
      </c>
      <c r="I11" t="n">
        <v>13.3</v>
      </c>
      <c r="J11" t="n">
        <v>14.4</v>
      </c>
      <c r="K11" t="n">
        <v>14.7</v>
      </c>
      <c r="L11" t="n">
        <v>12.8</v>
      </c>
      <c r="M11" t="n">
        <v>3.3</v>
      </c>
      <c r="N11" t="n">
        <v>8.2</v>
      </c>
      <c r="O11" t="n">
        <v>6.5</v>
      </c>
      <c r="P11" t="n">
        <v>8.7</v>
      </c>
      <c r="Q11" t="n">
        <v>9.7</v>
      </c>
      <c r="R11" t="n">
        <v>12.5</v>
      </c>
      <c r="S11" t="n">
        <v>18.6</v>
      </c>
      <c r="T11" t="n">
        <v>67.9</v>
      </c>
      <c r="U11" t="n">
        <v>-15.8</v>
      </c>
      <c r="V11" t="n">
        <v>8.8</v>
      </c>
      <c r="W11" t="n">
        <v>2.9</v>
      </c>
      <c r="X11" t="n">
        <v>9.1</v>
      </c>
      <c r="Y11" t="n">
        <v>24.4</v>
      </c>
      <c r="Z11" t="n">
        <v>11.4</v>
      </c>
      <c r="AA11" t="n">
        <v>14</v>
      </c>
      <c r="AB11" t="n">
        <v>11.3</v>
      </c>
      <c r="AC11" t="n">
        <v>48.2</v>
      </c>
      <c r="AD11" t="n">
        <v>31.6</v>
      </c>
      <c r="AE11" t="n">
        <v>35.8</v>
      </c>
      <c r="AF11" t="n">
        <v>42</v>
      </c>
    </row>
    <row r="12">
      <c r="A12" t="s">
        <v>13</v>
      </c>
      <c r="B12" t="s">
        <v>294</v>
      </c>
      <c r="C12" t="s">
        <v>217</v>
      </c>
      <c r="D12" t="s">
        <v>295</v>
      </c>
      <c r="E12" t="s">
        <v>218</v>
      </c>
      <c r="F12" t="n">
        <v>24.9</v>
      </c>
      <c r="G12" t="n">
        <v>27.9</v>
      </c>
      <c r="H12" t="n">
        <v>32.1</v>
      </c>
      <c r="I12" t="n">
        <v>36.1</v>
      </c>
      <c r="J12" t="n">
        <v>39.2</v>
      </c>
      <c r="K12" t="n">
        <v>39.9</v>
      </c>
      <c r="L12" t="n">
        <v>58.3</v>
      </c>
      <c r="M12" t="n">
        <v>15</v>
      </c>
      <c r="N12" t="n">
        <v>92.1</v>
      </c>
      <c r="O12" t="n">
        <v>39.7</v>
      </c>
      <c r="P12" t="n">
        <v>41.3</v>
      </c>
      <c r="Q12" t="n">
        <v>61.8</v>
      </c>
      <c r="R12" t="n">
        <v>71</v>
      </c>
      <c r="S12" t="n">
        <v>97</v>
      </c>
      <c r="T12" t="n">
        <v>206.9</v>
      </c>
      <c r="U12" t="n">
        <v>59.6</v>
      </c>
      <c r="V12" t="n">
        <v>40.9</v>
      </c>
      <c r="W12" t="n">
        <v>24.9</v>
      </c>
      <c r="X12" t="n">
        <v>39.8</v>
      </c>
      <c r="Y12" t="n">
        <v>25.5</v>
      </c>
      <c r="Z12" t="n">
        <v>25.8</v>
      </c>
      <c r="AA12" t="n">
        <v>26.8</v>
      </c>
      <c r="AB12" t="n">
        <v>21.8</v>
      </c>
      <c r="AC12" t="n">
        <v>26.2</v>
      </c>
      <c r="AD12" t="n">
        <v>26.1</v>
      </c>
      <c r="AE12" t="n">
        <v>25.6</v>
      </c>
      <c r="AF12" t="n">
        <v>32</v>
      </c>
    </row>
    <row r="13">
      <c r="A13" t="s">
        <v>13</v>
      </c>
      <c r="B13" t="s">
        <v>296</v>
      </c>
      <c r="C13" t="s">
        <v>217</v>
      </c>
      <c r="D13" t="s">
        <v>297</v>
      </c>
      <c r="E13" t="s">
        <v>218</v>
      </c>
      <c r="F13" t="n">
        <v>48.1</v>
      </c>
      <c r="G13" t="n">
        <v>53.9</v>
      </c>
      <c r="H13" t="n">
        <v>62</v>
      </c>
      <c r="I13" t="n">
        <v>69.8</v>
      </c>
      <c r="J13" t="n">
        <v>75.6</v>
      </c>
      <c r="K13" t="n">
        <v>77.1</v>
      </c>
      <c r="L13" t="n">
        <v>115.1</v>
      </c>
      <c r="M13" t="n">
        <v>21.8</v>
      </c>
      <c r="N13" t="n">
        <v>36.8</v>
      </c>
      <c r="O13" t="n">
        <v>56.7</v>
      </c>
      <c r="P13" t="n">
        <v>33.5</v>
      </c>
      <c r="Q13" t="n">
        <v>283.8</v>
      </c>
      <c r="R13" t="n">
        <v>62.1</v>
      </c>
      <c r="S13" t="n">
        <v>78.7</v>
      </c>
      <c r="T13" t="n">
        <v>134.3</v>
      </c>
      <c r="U13" t="n">
        <v>99.1</v>
      </c>
      <c r="V13" t="n">
        <v>84.8</v>
      </c>
      <c r="W13" t="n">
        <v>18.7</v>
      </c>
      <c r="X13" t="n">
        <v>33.3</v>
      </c>
      <c r="Y13" t="n">
        <v>20.7</v>
      </c>
      <c r="Z13" t="n">
        <v>28.4</v>
      </c>
      <c r="AA13" t="n">
        <v>22.1</v>
      </c>
      <c r="AB13" t="n">
        <v>17.8</v>
      </c>
      <c r="AC13" t="n">
        <v>52.1</v>
      </c>
      <c r="AD13" t="n">
        <v>17.6</v>
      </c>
      <c r="AE13" t="n">
        <v>39.7</v>
      </c>
      <c r="AF13" t="n">
        <v>107.6</v>
      </c>
    </row>
    <row r="14">
      <c r="A14" t="s">
        <v>13</v>
      </c>
      <c r="B14" t="s">
        <v>298</v>
      </c>
      <c r="C14" t="s">
        <v>217</v>
      </c>
      <c r="D14" t="s">
        <v>299</v>
      </c>
      <c r="E14" t="s">
        <v>218</v>
      </c>
      <c r="F14" t="n">
        <v>1.6</v>
      </c>
      <c r="G14" t="n">
        <v>1.8</v>
      </c>
      <c r="H14" t="n">
        <v>2.1</v>
      </c>
      <c r="I14" t="n">
        <v>2.4</v>
      </c>
      <c r="J14" t="n">
        <v>2.6</v>
      </c>
      <c r="K14" t="n">
        <v>2.6</v>
      </c>
      <c r="L14" t="n">
        <v>27.8</v>
      </c>
      <c r="M14" t="n">
        <v>2.3</v>
      </c>
      <c r="N14" t="n">
        <v>4.6</v>
      </c>
      <c r="O14" t="n">
        <v>16.9</v>
      </c>
      <c r="P14" t="n">
        <v>3.5</v>
      </c>
      <c r="Q14" t="n">
        <v>1.2</v>
      </c>
      <c r="R14" t="n">
        <v>3.7</v>
      </c>
      <c r="S14" t="n">
        <v>1.5</v>
      </c>
      <c r="T14" t="n">
        <v>1.3</v>
      </c>
      <c r="U14" t="n">
        <v>0.3</v>
      </c>
      <c r="V14" t="n">
        <v>7.9</v>
      </c>
      <c r="W14" t="n">
        <v>2.6</v>
      </c>
      <c r="X14" t="n">
        <v>2.8</v>
      </c>
      <c r="Y14" t="n">
        <v>2.2</v>
      </c>
      <c r="Z14" t="n">
        <v>0</v>
      </c>
      <c r="AA14" t="n">
        <v>1.5</v>
      </c>
      <c r="AB14" t="n">
        <v>1.2</v>
      </c>
      <c r="AC14" t="n">
        <v>1.6</v>
      </c>
      <c r="AD14" t="n">
        <v>2.2</v>
      </c>
      <c r="AE14" t="n">
        <v>1.4</v>
      </c>
      <c r="AF14" t="n">
        <v>1.5</v>
      </c>
    </row>
    <row r="15">
      <c r="A15" t="s">
        <v>13</v>
      </c>
      <c r="B15" t="s">
        <v>300</v>
      </c>
      <c r="C15" t="s">
        <v>217</v>
      </c>
      <c r="D15" t="s">
        <v>301</v>
      </c>
      <c r="E15" t="s">
        <v>218</v>
      </c>
      <c r="F15" t="n">
        <v>14.6</v>
      </c>
      <c r="G15" t="n">
        <v>16.3</v>
      </c>
      <c r="H15" t="n">
        <v>18.8</v>
      </c>
      <c r="I15" t="n">
        <v>21.2</v>
      </c>
      <c r="J15" t="n">
        <v>23</v>
      </c>
      <c r="K15" t="n">
        <v>23.4</v>
      </c>
      <c r="L15" t="n">
        <v>35.5</v>
      </c>
      <c r="M15" t="n">
        <v>8.1</v>
      </c>
      <c r="N15" t="n">
        <v>19.3</v>
      </c>
      <c r="O15" t="n">
        <v>31.5</v>
      </c>
      <c r="P15" t="n">
        <v>15.5</v>
      </c>
      <c r="Q15" t="n">
        <v>41.7</v>
      </c>
      <c r="R15" t="n">
        <v>21.5</v>
      </c>
      <c r="S15" t="n">
        <v>7.8</v>
      </c>
      <c r="T15" t="n">
        <v>25.2</v>
      </c>
      <c r="U15" t="n">
        <v>10.8</v>
      </c>
      <c r="V15" t="n">
        <v>10.7</v>
      </c>
      <c r="W15" t="n">
        <v>3.7</v>
      </c>
      <c r="X15" t="n">
        <v>1.6</v>
      </c>
      <c r="Y15" t="n">
        <v>23.3</v>
      </c>
      <c r="Z15" t="n">
        <v>7.3</v>
      </c>
      <c r="AA15" t="n">
        <v>7.9</v>
      </c>
      <c r="AB15" t="n">
        <v>6.4</v>
      </c>
      <c r="AC15" t="n">
        <v>17.8</v>
      </c>
      <c r="AD15" t="n">
        <v>32.9</v>
      </c>
      <c r="AE15" t="n">
        <v>14.4</v>
      </c>
      <c r="AF15" t="n">
        <v>16.3</v>
      </c>
    </row>
    <row r="16">
      <c r="A16" t="s">
        <v>13</v>
      </c>
      <c r="B16" t="s">
        <v>302</v>
      </c>
      <c r="C16" t="s">
        <v>217</v>
      </c>
      <c r="D16" t="s">
        <v>303</v>
      </c>
      <c r="E16" t="s">
        <v>218</v>
      </c>
      <c r="F16" t="n">
        <v>13</v>
      </c>
      <c r="G16" t="n">
        <v>14.5</v>
      </c>
      <c r="H16" t="n">
        <v>16.7</v>
      </c>
      <c r="I16" t="n">
        <v>18.8</v>
      </c>
      <c r="J16" t="n">
        <v>20.4</v>
      </c>
      <c r="K16" t="n">
        <v>20.8</v>
      </c>
      <c r="L16" t="n">
        <v>7.7</v>
      </c>
      <c r="M16" t="n">
        <v>5.8</v>
      </c>
      <c r="N16" t="n">
        <v>14.7</v>
      </c>
      <c r="O16" t="n">
        <v>14.6</v>
      </c>
      <c r="P16" t="n">
        <v>12</v>
      </c>
      <c r="Q16" t="n">
        <v>40.5</v>
      </c>
      <c r="R16" t="n">
        <v>17.8</v>
      </c>
      <c r="S16" t="n">
        <v>6.3</v>
      </c>
      <c r="T16" t="n">
        <v>23.9</v>
      </c>
      <c r="U16" t="n">
        <v>10.5</v>
      </c>
      <c r="V16" t="n">
        <v>2.8</v>
      </c>
      <c r="W16" t="n">
        <v>1.1</v>
      </c>
      <c r="X16" t="n">
        <v>-1.2</v>
      </c>
      <c r="Y16" t="n">
        <v>21.1</v>
      </c>
      <c r="Z16" t="n">
        <v>7.3</v>
      </c>
      <c r="AA16" t="n">
        <v>6.4</v>
      </c>
      <c r="AB16" t="n">
        <v>5.2</v>
      </c>
      <c r="AC16" t="n">
        <v>16.2</v>
      </c>
      <c r="AD16" t="n">
        <v>30.7</v>
      </c>
      <c r="AE16" t="n">
        <v>13</v>
      </c>
      <c r="AF16" t="n">
        <v>14.8</v>
      </c>
    </row>
    <row r="17">
      <c r="A17" t="s">
        <v>13</v>
      </c>
      <c r="B17" t="s">
        <v>304</v>
      </c>
      <c r="C17" t="s">
        <v>217</v>
      </c>
      <c r="D17" t="s">
        <v>305</v>
      </c>
      <c r="E17" t="s">
        <v>218</v>
      </c>
      <c r="F17" t="n">
        <v>2.4</v>
      </c>
      <c r="G17" t="n">
        <v>2.7</v>
      </c>
      <c r="H17" t="n">
        <v>3.1</v>
      </c>
      <c r="I17" t="n">
        <v>3.5</v>
      </c>
      <c r="J17" t="n">
        <v>3.8</v>
      </c>
      <c r="K17" t="n">
        <v>3.8</v>
      </c>
      <c r="L17" t="n">
        <v>5.6</v>
      </c>
      <c r="M17" t="n">
        <v>2.3</v>
      </c>
      <c r="N17" t="n">
        <v>5.9</v>
      </c>
      <c r="O17" t="n">
        <v>1.8</v>
      </c>
      <c r="P17" t="n">
        <v>5.6</v>
      </c>
      <c r="Q17" t="n">
        <v>90.2</v>
      </c>
      <c r="R17" t="n">
        <v>25.8</v>
      </c>
      <c r="S17" t="n">
        <v>31.8</v>
      </c>
      <c r="T17" t="n">
        <v>39.9</v>
      </c>
      <c r="U17" t="n">
        <v>13.2</v>
      </c>
      <c r="V17" t="n">
        <v>14.3</v>
      </c>
      <c r="W17" t="n">
        <v>12.5</v>
      </c>
      <c r="X17" t="n">
        <v>10.3</v>
      </c>
      <c r="Y17" t="n">
        <v>3.2</v>
      </c>
      <c r="Z17" t="n">
        <v>8.6</v>
      </c>
      <c r="AA17" t="n">
        <v>5.8</v>
      </c>
      <c r="AB17" t="n">
        <v>4.7</v>
      </c>
      <c r="AC17" t="n">
        <v>4.9</v>
      </c>
      <c r="AD17" t="n">
        <v>3.6</v>
      </c>
      <c r="AE17" t="n">
        <v>3.2</v>
      </c>
      <c r="AF17" t="n">
        <v>8.9</v>
      </c>
    </row>
    <row r="18">
      <c r="A18" t="s">
        <v>13</v>
      </c>
      <c r="B18" t="s">
        <v>306</v>
      </c>
      <c r="C18" t="s">
        <v>217</v>
      </c>
      <c r="D18" t="s">
        <v>307</v>
      </c>
      <c r="E18" t="s">
        <v>218</v>
      </c>
      <c r="F18" t="n">
        <v>2.1</v>
      </c>
      <c r="G18" t="n">
        <v>2.3</v>
      </c>
      <c r="H18" t="n">
        <v>2.7</v>
      </c>
      <c r="I18" t="n">
        <v>3</v>
      </c>
      <c r="J18" t="n">
        <v>3.3</v>
      </c>
      <c r="K18" t="n">
        <v>3.3</v>
      </c>
      <c r="L18" t="n">
        <v>21.4</v>
      </c>
      <c r="M18" t="n">
        <v>3.1</v>
      </c>
      <c r="N18" t="n">
        <v>4.7</v>
      </c>
      <c r="O18" t="n">
        <v>6.4</v>
      </c>
      <c r="P18" t="n">
        <v>23.4</v>
      </c>
      <c r="Q18" t="n">
        <v>29.9</v>
      </c>
      <c r="R18" t="n">
        <v>16.3</v>
      </c>
      <c r="S18" t="n">
        <v>12.1</v>
      </c>
      <c r="T18" t="n">
        <v>8.2</v>
      </c>
      <c r="U18" t="n">
        <v>-10.9</v>
      </c>
      <c r="V18" t="n">
        <v>0.8</v>
      </c>
      <c r="W18" t="n">
        <v>7.9</v>
      </c>
      <c r="X18" t="n">
        <v>0.2</v>
      </c>
      <c r="Y18" t="n">
        <v>4.7</v>
      </c>
      <c r="Z18" t="n">
        <v>3.1</v>
      </c>
      <c r="AA18" t="n">
        <v>6.6</v>
      </c>
      <c r="AB18" t="n">
        <v>5.4</v>
      </c>
      <c r="AC18" t="n">
        <v>4.1</v>
      </c>
      <c r="AD18" t="n">
        <v>1.9</v>
      </c>
      <c r="AE18" t="n">
        <v>9.6</v>
      </c>
      <c r="AF18" t="n">
        <v>8.7</v>
      </c>
    </row>
    <row r="19">
      <c r="A19" t="s">
        <v>13</v>
      </c>
      <c r="B19" t="s">
        <v>308</v>
      </c>
      <c r="C19" t="s">
        <v>217</v>
      </c>
      <c r="D19" t="s">
        <v>309</v>
      </c>
      <c r="E19" t="s">
        <v>218</v>
      </c>
      <c r="F19" t="n">
        <v>7.4</v>
      </c>
      <c r="G19" t="n">
        <v>8.3</v>
      </c>
      <c r="H19" t="n">
        <v>9.6</v>
      </c>
      <c r="I19" t="n">
        <v>10.8</v>
      </c>
      <c r="J19" t="n">
        <v>11.7</v>
      </c>
      <c r="K19" t="n">
        <v>11.9</v>
      </c>
      <c r="L19" t="n">
        <v>38.3</v>
      </c>
      <c r="M19" t="n">
        <v>9.9</v>
      </c>
      <c r="N19" t="n">
        <v>32.7</v>
      </c>
      <c r="O19" t="n">
        <v>9.6</v>
      </c>
      <c r="P19" t="n">
        <v>18.9</v>
      </c>
      <c r="Q19" t="n">
        <v>70.3</v>
      </c>
      <c r="R19" t="n">
        <v>17.6</v>
      </c>
      <c r="S19" t="n">
        <v>31.1</v>
      </c>
      <c r="T19" t="n">
        <v>60.2</v>
      </c>
      <c r="U19" t="n">
        <v>71.8</v>
      </c>
      <c r="V19" t="n">
        <v>17.5</v>
      </c>
      <c r="W19" t="n">
        <v>2.9</v>
      </c>
      <c r="X19" t="n">
        <v>-12.5</v>
      </c>
      <c r="Y19" t="n">
        <v>22.1</v>
      </c>
      <c r="Z19" t="n">
        <v>30</v>
      </c>
      <c r="AA19" t="n">
        <v>26.6</v>
      </c>
      <c r="AB19" t="n">
        <v>21.5</v>
      </c>
      <c r="AC19" t="n">
        <v>4.1</v>
      </c>
      <c r="AD19" t="n">
        <v>8.5</v>
      </c>
      <c r="AE19" t="n">
        <v>7.5</v>
      </c>
      <c r="AF19" t="n">
        <v>10.9</v>
      </c>
    </row>
    <row r="20">
      <c r="A20" t="s">
        <v>13</v>
      </c>
      <c r="B20" t="s">
        <v>310</v>
      </c>
      <c r="C20" t="s">
        <v>217</v>
      </c>
      <c r="D20" t="s">
        <v>311</v>
      </c>
      <c r="E20" t="s">
        <v>218</v>
      </c>
      <c r="F20" t="n">
        <v>622.3</v>
      </c>
      <c r="G20" t="n">
        <v>698.4</v>
      </c>
      <c r="H20" t="n">
        <v>802.2</v>
      </c>
      <c r="I20" t="n">
        <v>904</v>
      </c>
      <c r="J20" t="n">
        <v>979.1</v>
      </c>
      <c r="K20" t="n">
        <v>999</v>
      </c>
      <c r="L20" t="n">
        <v>849</v>
      </c>
      <c r="M20" t="n">
        <v>580.5</v>
      </c>
      <c r="N20" t="n">
        <v>685.8</v>
      </c>
      <c r="O20" t="n">
        <v>725.6</v>
      </c>
      <c r="P20" t="n">
        <v>714.4</v>
      </c>
      <c r="Q20" t="n">
        <v>731.8</v>
      </c>
      <c r="R20" t="n">
        <v>710.5</v>
      </c>
      <c r="S20" t="n">
        <v>957.4</v>
      </c>
      <c r="T20" t="n">
        <v>1029.5</v>
      </c>
      <c r="U20" t="n">
        <v>919.8</v>
      </c>
      <c r="V20" t="n">
        <v>67</v>
      </c>
      <c r="W20" t="n">
        <v>622</v>
      </c>
      <c r="X20" t="n">
        <v>333.9</v>
      </c>
      <c r="Y20" t="n">
        <v>604</v>
      </c>
      <c r="Z20" t="n">
        <v>268.7</v>
      </c>
      <c r="AA20" t="n">
        <v>776.9</v>
      </c>
      <c r="AB20" t="n">
        <v>627.8</v>
      </c>
      <c r="AC20" t="n">
        <v>33</v>
      </c>
      <c r="AD20" t="n">
        <v>35.3</v>
      </c>
      <c r="AE20" t="n">
        <v>42.3</v>
      </c>
      <c r="AF20" t="n">
        <v>151.3</v>
      </c>
    </row>
    <row r="21">
      <c r="A21" t="s">
        <v>13</v>
      </c>
      <c r="B21" t="s">
        <v>312</v>
      </c>
      <c r="C21" t="s">
        <v>217</v>
      </c>
      <c r="D21" t="s">
        <v>313</v>
      </c>
      <c r="E21" t="s">
        <v>218</v>
      </c>
      <c r="F21" t="n">
        <v>643.6</v>
      </c>
      <c r="G21" t="n">
        <v>722.3</v>
      </c>
      <c r="H21" t="n">
        <v>829</v>
      </c>
      <c r="I21" t="n">
        <v>934.9</v>
      </c>
      <c r="J21" t="n">
        <v>1012.5</v>
      </c>
      <c r="K21" t="n">
        <v>1033.4</v>
      </c>
      <c r="L21" t="n">
        <v>904.4</v>
      </c>
      <c r="M21" t="n">
        <v>590.1</v>
      </c>
      <c r="N21" t="n">
        <v>768.4</v>
      </c>
      <c r="O21" t="n">
        <v>774.8</v>
      </c>
      <c r="P21" t="n">
        <v>874.6</v>
      </c>
      <c r="Q21" t="n">
        <v>892.4</v>
      </c>
      <c r="R21" t="n">
        <v>912.3</v>
      </c>
      <c r="S21" t="n">
        <v>1228.9</v>
      </c>
      <c r="T21" t="n">
        <v>1319.2</v>
      </c>
      <c r="U21" t="n">
        <v>1289.2</v>
      </c>
      <c r="V21" t="n">
        <v>230.6</v>
      </c>
      <c r="W21" t="n">
        <v>795.9</v>
      </c>
      <c r="X21" t="n">
        <v>567.3</v>
      </c>
      <c r="Y21" t="n">
        <v>951.7</v>
      </c>
      <c r="Z21" t="n">
        <v>580.2</v>
      </c>
      <c r="AA21" t="n">
        <v>992.4</v>
      </c>
      <c r="AB21" t="n">
        <v>804</v>
      </c>
      <c r="AC21" t="n">
        <v>213.8</v>
      </c>
      <c r="AD21" t="n">
        <v>168.2</v>
      </c>
      <c r="AE21" t="n">
        <v>172.2</v>
      </c>
      <c r="AF21" t="n">
        <v>394</v>
      </c>
    </row>
    <row r="22">
      <c r="A22" t="s">
        <v>13</v>
      </c>
      <c r="B22" t="s">
        <v>314</v>
      </c>
      <c r="C22" t="s">
        <v>217</v>
      </c>
      <c r="D22" t="s">
        <v>315</v>
      </c>
      <c r="E22" t="s">
        <v>218</v>
      </c>
      <c r="F22" t="n">
        <v>21.3</v>
      </c>
      <c r="G22" t="n">
        <v>23.9</v>
      </c>
      <c r="H22" t="n">
        <v>26.8</v>
      </c>
      <c r="I22" t="n">
        <v>30.9</v>
      </c>
      <c r="J22" t="n">
        <v>33.4</v>
      </c>
      <c r="K22" t="n">
        <v>34.4</v>
      </c>
      <c r="L22" t="n">
        <v>55.4</v>
      </c>
      <c r="M22" t="n">
        <v>9.6</v>
      </c>
      <c r="N22" t="n">
        <v>82.6</v>
      </c>
      <c r="O22" t="n">
        <v>49.2</v>
      </c>
      <c r="P22" t="n">
        <v>160.2</v>
      </c>
      <c r="Q22" t="n">
        <v>160.6</v>
      </c>
      <c r="R22" t="n">
        <v>201.8</v>
      </c>
      <c r="S22" t="n">
        <v>271.5</v>
      </c>
      <c r="T22" t="n">
        <v>289.7</v>
      </c>
      <c r="U22" t="n">
        <v>369.4</v>
      </c>
      <c r="V22" t="n">
        <v>163.6</v>
      </c>
      <c r="W22" t="n">
        <v>173.9</v>
      </c>
      <c r="X22" t="n">
        <v>233.4</v>
      </c>
      <c r="Y22" t="n">
        <v>347.7</v>
      </c>
      <c r="Z22" t="n">
        <v>311.5</v>
      </c>
      <c r="AA22" t="n">
        <v>215.5</v>
      </c>
      <c r="AB22" t="n">
        <v>176.2</v>
      </c>
      <c r="AC22" t="n">
        <v>180.8</v>
      </c>
      <c r="AD22" t="n">
        <v>132.9</v>
      </c>
      <c r="AE22" t="n">
        <v>129.9</v>
      </c>
      <c r="AF22" t="n">
        <v>242.7</v>
      </c>
    </row>
    <row r="23">
      <c r="A23" t="s">
        <v>13</v>
      </c>
      <c r="B23" t="s">
        <v>316</v>
      </c>
      <c r="C23" t="s">
        <v>217</v>
      </c>
      <c r="D23" t="s">
        <v>317</v>
      </c>
      <c r="E23" t="s">
        <v>218</v>
      </c>
      <c r="F23" t="n">
        <v>21.4</v>
      </c>
      <c r="G23" t="n">
        <v>24</v>
      </c>
      <c r="H23" t="n">
        <v>27.7</v>
      </c>
      <c r="I23" t="n">
        <v>31</v>
      </c>
      <c r="J23" t="n">
        <v>33.6</v>
      </c>
      <c r="K23" t="n">
        <v>33.6</v>
      </c>
      <c r="L23" t="n">
        <v>137.5</v>
      </c>
      <c r="M23" t="n">
        <v>57.2</v>
      </c>
      <c r="N23" t="n">
        <v>304.2</v>
      </c>
      <c r="O23" t="n">
        <v>125.1</v>
      </c>
      <c r="P23" t="n">
        <v>242.6</v>
      </c>
      <c r="Q23" t="n">
        <v>116.6</v>
      </c>
      <c r="R23" t="n">
        <v>180.7</v>
      </c>
      <c r="S23" t="n">
        <v>73</v>
      </c>
      <c r="T23" t="n">
        <v>31.8</v>
      </c>
      <c r="U23" t="n">
        <v>21.6</v>
      </c>
      <c r="V23" t="n">
        <v>4.9</v>
      </c>
      <c r="W23" t="n">
        <v>322.6</v>
      </c>
      <c r="X23" t="n">
        <v>710.5</v>
      </c>
      <c r="Y23" t="n">
        <v>147.6</v>
      </c>
      <c r="Z23" t="n">
        <v>153.8</v>
      </c>
      <c r="AA23" t="n">
        <v>129.5</v>
      </c>
      <c r="AB23" t="n">
        <v>105.2</v>
      </c>
      <c r="AC23" t="n">
        <v>105</v>
      </c>
      <c r="AD23" t="n">
        <v>124.8</v>
      </c>
      <c r="AE23" t="n">
        <v>145.8</v>
      </c>
      <c r="AF23" t="n">
        <v>275.5</v>
      </c>
    </row>
    <row r="24">
      <c r="A24" t="s">
        <v>13</v>
      </c>
      <c r="B24" t="s">
        <v>318</v>
      </c>
      <c r="C24" t="s">
        <v>217</v>
      </c>
      <c r="D24" t="s">
        <v>319</v>
      </c>
      <c r="E24" t="s">
        <v>218</v>
      </c>
      <c r="F24" t="n">
        <v>314.1</v>
      </c>
      <c r="G24" t="n">
        <v>352.6</v>
      </c>
      <c r="H24" t="n">
        <v>405</v>
      </c>
      <c r="I24" t="n">
        <v>456.4</v>
      </c>
      <c r="J24" t="n">
        <v>494.3</v>
      </c>
      <c r="K24" t="n">
        <v>504.4</v>
      </c>
      <c r="L24" t="n">
        <v>115.5</v>
      </c>
      <c r="M24" t="n">
        <v>1014.7</v>
      </c>
      <c r="N24" t="n">
        <v>244.4</v>
      </c>
      <c r="O24" t="n">
        <v>423</v>
      </c>
      <c r="P24" t="n">
        <v>675</v>
      </c>
      <c r="Q24" t="n">
        <v>497.9</v>
      </c>
      <c r="R24" t="n">
        <v>657.4</v>
      </c>
      <c r="S24" t="n">
        <v>1126.6</v>
      </c>
      <c r="T24" t="n">
        <v>712.7</v>
      </c>
      <c r="U24" t="n">
        <v>1054.9</v>
      </c>
      <c r="V24" t="n">
        <v>861.8</v>
      </c>
      <c r="W24" t="n">
        <v>709.1</v>
      </c>
      <c r="X24" t="n">
        <v>532.9</v>
      </c>
      <c r="Y24" t="n">
        <v>490</v>
      </c>
      <c r="Z24" t="n">
        <v>321.3</v>
      </c>
      <c r="AA24" t="n">
        <v>368.7</v>
      </c>
      <c r="AB24" t="n">
        <v>298.5</v>
      </c>
      <c r="AC24" t="n">
        <v>610.8</v>
      </c>
      <c r="AD24" t="n">
        <v>567.4</v>
      </c>
      <c r="AE24" t="n">
        <v>556.7</v>
      </c>
      <c r="AF24" t="n">
        <v>465.2</v>
      </c>
    </row>
    <row r="25">
      <c r="A25" t="s">
        <v>13</v>
      </c>
      <c r="B25" t="s">
        <v>320</v>
      </c>
      <c r="C25" t="s">
        <v>217</v>
      </c>
      <c r="D25" t="s">
        <v>321</v>
      </c>
      <c r="E25" t="s">
        <v>218</v>
      </c>
      <c r="F25" t="n">
        <v>23.5</v>
      </c>
      <c r="G25" t="n">
        <v>26.4</v>
      </c>
      <c r="H25" t="n">
        <v>30.3</v>
      </c>
      <c r="I25" t="n">
        <v>34.2</v>
      </c>
      <c r="J25" t="n">
        <v>37</v>
      </c>
      <c r="K25" t="n">
        <v>37.8</v>
      </c>
      <c r="L25" t="n">
        <v>9.3</v>
      </c>
      <c r="M25" t="n">
        <v>105.5</v>
      </c>
      <c r="N25" t="n">
        <v>30.2</v>
      </c>
      <c r="O25" t="n">
        <v>59.3</v>
      </c>
      <c r="P25" t="n">
        <v>157.1</v>
      </c>
      <c r="Q25" t="n">
        <v>64.3</v>
      </c>
      <c r="R25" t="n">
        <v>90.2</v>
      </c>
      <c r="S25" t="n">
        <v>102.2</v>
      </c>
      <c r="T25" t="n">
        <v>142</v>
      </c>
      <c r="U25" t="n">
        <v>215.6</v>
      </c>
      <c r="V25" t="n">
        <v>101.4</v>
      </c>
      <c r="W25" t="n">
        <v>62.4</v>
      </c>
      <c r="X25" t="n">
        <v>62.3</v>
      </c>
      <c r="Y25" t="n">
        <v>65.7</v>
      </c>
      <c r="Z25" t="n">
        <v>19.7</v>
      </c>
      <c r="AA25" t="n">
        <v>52.8</v>
      </c>
      <c r="AB25" t="n">
        <v>42.6</v>
      </c>
      <c r="AC25" t="n">
        <v>124</v>
      </c>
      <c r="AD25" t="n">
        <v>71</v>
      </c>
      <c r="AE25" t="n">
        <v>75.2</v>
      </c>
      <c r="AF25" t="n">
        <v>31.1</v>
      </c>
    </row>
    <row r="26">
      <c r="A26" t="s">
        <v>13</v>
      </c>
      <c r="B26" t="s">
        <v>322</v>
      </c>
      <c r="C26" t="s">
        <v>217</v>
      </c>
      <c r="D26" t="s">
        <v>323</v>
      </c>
      <c r="E26" t="s">
        <v>218</v>
      </c>
      <c r="F26" t="n">
        <v>131.6</v>
      </c>
      <c r="G26" t="n">
        <v>147.7</v>
      </c>
      <c r="H26" t="n">
        <v>169.7</v>
      </c>
      <c r="I26" t="n">
        <v>191.2</v>
      </c>
      <c r="J26" t="n">
        <v>207.1</v>
      </c>
      <c r="K26" t="n">
        <v>211.3</v>
      </c>
      <c r="L26" t="n">
        <v>69.2</v>
      </c>
      <c r="M26" t="n">
        <v>515.7</v>
      </c>
      <c r="N26" t="n">
        <v>102.6</v>
      </c>
      <c r="O26" t="n">
        <v>239.4</v>
      </c>
      <c r="P26" t="n">
        <v>243.5</v>
      </c>
      <c r="Q26" t="n">
        <v>275.6</v>
      </c>
      <c r="R26" t="n">
        <v>271.9</v>
      </c>
      <c r="S26" t="n">
        <v>651</v>
      </c>
      <c r="T26" t="n">
        <v>406.5</v>
      </c>
      <c r="U26" t="n">
        <v>684.2</v>
      </c>
      <c r="V26" t="n">
        <v>441.6</v>
      </c>
      <c r="W26" t="n">
        <v>418.8</v>
      </c>
      <c r="X26" t="n">
        <v>249.3</v>
      </c>
      <c r="Y26" t="n">
        <v>157.1</v>
      </c>
      <c r="Z26" t="n">
        <v>140.3</v>
      </c>
      <c r="AA26" t="n">
        <v>129.5</v>
      </c>
      <c r="AB26" t="n">
        <v>104.6</v>
      </c>
      <c r="AC26" t="n">
        <v>206.9</v>
      </c>
      <c r="AD26" t="n">
        <v>205</v>
      </c>
      <c r="AE26" t="n">
        <v>256.4</v>
      </c>
      <c r="AF26" t="n">
        <v>205.7</v>
      </c>
    </row>
    <row r="27">
      <c r="A27" t="s">
        <v>13</v>
      </c>
      <c r="B27" t="s">
        <v>324</v>
      </c>
      <c r="C27" t="s">
        <v>217</v>
      </c>
      <c r="D27" t="s">
        <v>325</v>
      </c>
      <c r="E27" t="s">
        <v>218</v>
      </c>
      <c r="F27" t="n">
        <v>159</v>
      </c>
      <c r="G27" t="n">
        <v>178.5</v>
      </c>
      <c r="H27" t="n">
        <v>205</v>
      </c>
      <c r="I27" t="n">
        <v>231</v>
      </c>
      <c r="J27" t="n">
        <v>250.2</v>
      </c>
      <c r="K27" t="n">
        <v>255.3</v>
      </c>
      <c r="L27" t="n">
        <v>37</v>
      </c>
      <c r="M27" t="n">
        <v>393.5</v>
      </c>
      <c r="N27" t="n">
        <v>111.6</v>
      </c>
      <c r="O27" t="n">
        <v>124.3</v>
      </c>
      <c r="P27" t="n">
        <v>274.4</v>
      </c>
      <c r="Q27" t="n">
        <v>158</v>
      </c>
      <c r="R27" t="n">
        <v>295.3</v>
      </c>
      <c r="S27" t="n">
        <v>373.4</v>
      </c>
      <c r="T27" t="n">
        <v>164.2</v>
      </c>
      <c r="U27" t="n">
        <v>155.1</v>
      </c>
      <c r="V27" t="n">
        <v>318.8</v>
      </c>
      <c r="W27" t="n">
        <v>227.9</v>
      </c>
      <c r="X27" t="n">
        <v>221.3</v>
      </c>
      <c r="Y27" t="n">
        <v>267.2</v>
      </c>
      <c r="Z27" t="n">
        <v>161.3</v>
      </c>
      <c r="AA27" t="n">
        <v>186.4</v>
      </c>
      <c r="AB27" t="n">
        <v>151.3</v>
      </c>
      <c r="AC27" t="n">
        <v>279.9</v>
      </c>
      <c r="AD27" t="n">
        <v>291.4</v>
      </c>
      <c r="AE27" t="n">
        <v>225.1</v>
      </c>
      <c r="AF27" t="n">
        <v>228.4</v>
      </c>
    </row>
    <row r="28">
      <c r="A28" t="s">
        <v>13</v>
      </c>
      <c r="B28" t="s">
        <v>326</v>
      </c>
      <c r="C28" t="s">
        <v>217</v>
      </c>
      <c r="D28" t="s">
        <v>327</v>
      </c>
      <c r="E28" t="s">
        <v>218</v>
      </c>
      <c r="F28" t="n">
        <v>462.1</v>
      </c>
      <c r="G28" t="n">
        <v>518.6</v>
      </c>
      <c r="H28" t="n">
        <v>595.7</v>
      </c>
      <c r="I28" t="n">
        <v>671.2</v>
      </c>
      <c r="J28" t="n">
        <v>727</v>
      </c>
      <c r="K28" t="n">
        <v>741.9</v>
      </c>
      <c r="L28" t="n">
        <v>677</v>
      </c>
      <c r="M28" t="n">
        <v>1401.4</v>
      </c>
      <c r="N28" t="n">
        <v>2040.9</v>
      </c>
      <c r="O28" t="n">
        <v>2152.2</v>
      </c>
      <c r="P28" t="n">
        <v>547.6</v>
      </c>
      <c r="Q28" t="n">
        <v>564.3</v>
      </c>
      <c r="R28" t="n">
        <v>695.5</v>
      </c>
      <c r="S28" t="n">
        <v>824.6</v>
      </c>
      <c r="T28" t="n">
        <v>663.8</v>
      </c>
      <c r="U28" t="n">
        <v>833</v>
      </c>
      <c r="V28" t="n">
        <v>443.6</v>
      </c>
      <c r="W28" t="n">
        <v>424.6</v>
      </c>
      <c r="X28" t="n">
        <v>272.2</v>
      </c>
      <c r="Y28" t="n">
        <v>297.8</v>
      </c>
      <c r="Z28" t="n">
        <v>563.9</v>
      </c>
      <c r="AA28" t="n">
        <v>702.7</v>
      </c>
      <c r="AB28" t="n">
        <v>397.7</v>
      </c>
      <c r="AC28" t="n">
        <v>394.9</v>
      </c>
      <c r="AD28" t="n">
        <v>350.2</v>
      </c>
      <c r="AE28" t="n">
        <v>129.1</v>
      </c>
      <c r="AF28" t="n">
        <v>279.6</v>
      </c>
    </row>
    <row r="29">
      <c r="A29" t="s">
        <v>13</v>
      </c>
      <c r="B29" t="s">
        <v>328</v>
      </c>
      <c r="C29" t="s">
        <v>217</v>
      </c>
      <c r="D29" t="s">
        <v>329</v>
      </c>
      <c r="E29" t="s">
        <v>218</v>
      </c>
      <c r="F29" t="n">
        <v>399.3</v>
      </c>
      <c r="G29" t="n">
        <v>448.1</v>
      </c>
      <c r="H29" t="n">
        <v>514.7</v>
      </c>
      <c r="I29" t="n">
        <v>580</v>
      </c>
      <c r="J29" t="n">
        <v>628.2</v>
      </c>
      <c r="K29" t="n">
        <v>641</v>
      </c>
      <c r="L29" t="n">
        <v>406.6</v>
      </c>
      <c r="M29" t="n">
        <v>1219</v>
      </c>
      <c r="N29" t="n">
        <v>1912.3</v>
      </c>
      <c r="O29" t="n">
        <v>1966.3</v>
      </c>
      <c r="P29" t="n">
        <v>465.4</v>
      </c>
      <c r="Q29" t="n">
        <v>472.2</v>
      </c>
      <c r="R29" t="n">
        <v>661.3</v>
      </c>
      <c r="S29" t="n">
        <v>769</v>
      </c>
      <c r="T29" t="n">
        <v>624.8</v>
      </c>
      <c r="U29" t="n">
        <v>644</v>
      </c>
      <c r="V29" t="n">
        <v>329.8</v>
      </c>
      <c r="W29" t="n">
        <v>408.1</v>
      </c>
      <c r="X29" t="n">
        <v>222.6</v>
      </c>
      <c r="Y29" t="n">
        <v>242.9</v>
      </c>
      <c r="Z29" t="n">
        <v>481.9</v>
      </c>
      <c r="AA29" t="n">
        <v>643.2</v>
      </c>
      <c r="AB29" t="n">
        <v>349.2</v>
      </c>
      <c r="AC29" t="n">
        <v>213.1</v>
      </c>
      <c r="AD29" t="n">
        <v>153.3</v>
      </c>
      <c r="AE29" t="n">
        <v>116.8</v>
      </c>
      <c r="AF29" t="n">
        <v>207.5</v>
      </c>
    </row>
    <row r="30">
      <c r="A30" t="s">
        <v>13</v>
      </c>
      <c r="B30" t="s">
        <v>330</v>
      </c>
      <c r="C30" t="s">
        <v>217</v>
      </c>
      <c r="D30" t="s">
        <v>331</v>
      </c>
      <c r="E30" t="s">
        <v>218</v>
      </c>
      <c r="F30" t="n">
        <v>0.2</v>
      </c>
      <c r="G30" t="n">
        <v>0.2</v>
      </c>
      <c r="H30" t="n">
        <v>0.2</v>
      </c>
      <c r="I30" t="n">
        <v>0.3</v>
      </c>
      <c r="J30" t="n">
        <v>0.3</v>
      </c>
      <c r="K30" t="n">
        <v>0.3</v>
      </c>
      <c r="L30" t="n">
        <v>1</v>
      </c>
      <c r="M30" t="n">
        <v>0</v>
      </c>
      <c r="N30" t="n">
        <v>0</v>
      </c>
      <c r="O30" t="n">
        <v>0.3</v>
      </c>
      <c r="P30" t="n">
        <v>0.9</v>
      </c>
      <c r="Q30" t="n">
        <v>0</v>
      </c>
      <c r="R30" t="n">
        <v>0</v>
      </c>
      <c r="S30" t="n">
        <v>0</v>
      </c>
      <c r="T30" t="n">
        <v>0</v>
      </c>
      <c r="U30" t="n">
        <v>2.6</v>
      </c>
      <c r="V30" t="n">
        <v>11.2</v>
      </c>
      <c r="W30" t="n">
        <v>-1.1</v>
      </c>
      <c r="X30" t="n">
        <v>4.8</v>
      </c>
      <c r="Y30" t="n">
        <v>2.4</v>
      </c>
      <c r="Z30" t="n">
        <v>1.6</v>
      </c>
      <c r="AA30" t="n">
        <v>3</v>
      </c>
      <c r="AB30" t="n">
        <v>2.4</v>
      </c>
      <c r="AC30" t="n">
        <v>-0.3</v>
      </c>
      <c r="AD30" t="n">
        <v>-1.7</v>
      </c>
      <c r="AE30" t="n">
        <v>-2</v>
      </c>
      <c r="AF30" t="n">
        <v>-9.2</v>
      </c>
    </row>
    <row r="31">
      <c r="A31" t="s">
        <v>13</v>
      </c>
      <c r="B31" t="s">
        <v>332</v>
      </c>
      <c r="C31" t="s">
        <v>217</v>
      </c>
      <c r="D31" t="s">
        <v>333</v>
      </c>
      <c r="E31" t="s">
        <v>218</v>
      </c>
      <c r="F31" t="n">
        <v>0.5</v>
      </c>
      <c r="G31" t="n">
        <v>0.6</v>
      </c>
      <c r="H31" t="n">
        <v>0.7</v>
      </c>
      <c r="I31" t="n">
        <v>0.7</v>
      </c>
      <c r="J31" t="n">
        <v>0.8</v>
      </c>
      <c r="K31" t="n">
        <v>0.8</v>
      </c>
      <c r="L31" t="n">
        <v>10.2</v>
      </c>
      <c r="M31" t="n">
        <v>114.9</v>
      </c>
      <c r="N31" t="n">
        <v>2</v>
      </c>
      <c r="O31" t="n">
        <v>0.1</v>
      </c>
      <c r="P31" t="n">
        <v>0</v>
      </c>
      <c r="Q31" t="n">
        <v>0</v>
      </c>
      <c r="R31" t="n">
        <v>0.8</v>
      </c>
      <c r="S31" t="n">
        <v>0</v>
      </c>
      <c r="T31" t="n">
        <v>0</v>
      </c>
      <c r="U31" t="n">
        <v>0.7</v>
      </c>
      <c r="V31" t="n">
        <v>-0.7</v>
      </c>
      <c r="W31" t="n">
        <v>2.2</v>
      </c>
      <c r="X31" t="n">
        <v>1.9</v>
      </c>
      <c r="Y31" t="n">
        <v>4.9</v>
      </c>
      <c r="Z31" t="n">
        <v>-0.4</v>
      </c>
      <c r="AA31" t="n">
        <v>-0.4</v>
      </c>
      <c r="AB31" t="n">
        <v>-0.4</v>
      </c>
      <c r="AC31" t="n">
        <v>0.7</v>
      </c>
      <c r="AD31" t="n">
        <v>0.3</v>
      </c>
      <c r="AE31" t="n">
        <v>0.6</v>
      </c>
      <c r="AF31" t="n">
        <v>2</v>
      </c>
    </row>
    <row r="32">
      <c r="A32" t="s">
        <v>13</v>
      </c>
      <c r="B32" t="s">
        <v>334</v>
      </c>
      <c r="C32" t="s">
        <v>217</v>
      </c>
      <c r="D32" t="s">
        <v>335</v>
      </c>
      <c r="E32" t="s">
        <v>218</v>
      </c>
      <c r="F32" t="n">
        <v>16.4</v>
      </c>
      <c r="G32" t="n">
        <v>18.4</v>
      </c>
      <c r="H32" t="n">
        <v>21.2</v>
      </c>
      <c r="I32" t="n">
        <v>23.8</v>
      </c>
      <c r="J32" t="n">
        <v>25.8</v>
      </c>
      <c r="K32" t="n">
        <v>26.4</v>
      </c>
      <c r="L32" t="n">
        <v>52.1</v>
      </c>
      <c r="M32" t="n">
        <v>24.4</v>
      </c>
      <c r="N32" t="n">
        <v>81.1</v>
      </c>
      <c r="O32" t="n">
        <v>150.8</v>
      </c>
      <c r="P32" t="n">
        <v>81</v>
      </c>
      <c r="Q32" t="n">
        <v>81.6</v>
      </c>
      <c r="R32" t="n">
        <v>28.4</v>
      </c>
      <c r="S32" t="n">
        <v>54.8</v>
      </c>
      <c r="T32" t="n">
        <v>38.1</v>
      </c>
      <c r="U32" t="n">
        <v>183.5</v>
      </c>
      <c r="V32" t="n">
        <v>102</v>
      </c>
      <c r="W32" t="n">
        <v>14.2</v>
      </c>
      <c r="X32" t="n">
        <v>42.7</v>
      </c>
      <c r="Y32" t="n">
        <v>43.1</v>
      </c>
      <c r="Z32" t="n">
        <v>69.3</v>
      </c>
      <c r="AA32" t="n">
        <v>53.7</v>
      </c>
      <c r="AB32" t="n">
        <v>43.9</v>
      </c>
      <c r="AC32" t="n">
        <v>179.6</v>
      </c>
      <c r="AD32" t="n">
        <v>194.3</v>
      </c>
      <c r="AE32" t="n">
        <v>12.4</v>
      </c>
      <c r="AF32" t="n">
        <v>72.2</v>
      </c>
    </row>
    <row r="33">
      <c r="A33" t="s">
        <v>13</v>
      </c>
      <c r="B33" t="s">
        <v>336</v>
      </c>
      <c r="C33" t="s">
        <v>217</v>
      </c>
      <c r="D33" t="s">
        <v>337</v>
      </c>
      <c r="E33" t="s">
        <v>218</v>
      </c>
      <c r="F33" t="n">
        <v>45.7</v>
      </c>
      <c r="G33" t="n">
        <v>51.3</v>
      </c>
      <c r="H33" t="n">
        <v>58.9</v>
      </c>
      <c r="I33" t="n">
        <v>66.4</v>
      </c>
      <c r="J33" t="n">
        <v>71.9</v>
      </c>
      <c r="K33" t="n">
        <v>73.4</v>
      </c>
      <c r="L33" t="n">
        <v>207.1</v>
      </c>
      <c r="M33" t="n">
        <v>43.1</v>
      </c>
      <c r="N33" t="n">
        <v>45.5</v>
      </c>
      <c r="O33" t="n">
        <v>34.7</v>
      </c>
      <c r="P33" t="n">
        <v>0.3</v>
      </c>
      <c r="Q33" t="n">
        <v>10.5</v>
      </c>
      <c r="R33" t="n">
        <v>5</v>
      </c>
      <c r="S33" t="n">
        <v>0.8</v>
      </c>
      <c r="T33" t="n">
        <v>0.9</v>
      </c>
      <c r="U33" t="n">
        <v>2.2</v>
      </c>
      <c r="V33" t="n">
        <v>1.3</v>
      </c>
      <c r="W33" t="n">
        <v>1.2</v>
      </c>
      <c r="X33" t="n">
        <v>0.2</v>
      </c>
      <c r="Y33" t="n">
        <v>4.5</v>
      </c>
      <c r="Z33" t="n">
        <v>11.5</v>
      </c>
      <c r="AA33" t="n">
        <v>3.2</v>
      </c>
      <c r="AB33" t="n">
        <v>2.6</v>
      </c>
      <c r="AC33" t="n">
        <v>1.8</v>
      </c>
      <c r="AD33" t="n">
        <v>4</v>
      </c>
      <c r="AE33" t="n">
        <v>1.3</v>
      </c>
      <c r="AF33" t="n">
        <v>7.1</v>
      </c>
    </row>
    <row r="34">
      <c r="A34" t="s">
        <v>13</v>
      </c>
      <c r="B34" t="s">
        <v>338</v>
      </c>
      <c r="C34" t="s">
        <v>217</v>
      </c>
      <c r="D34" t="s">
        <v>339</v>
      </c>
      <c r="E34" t="s">
        <v>218</v>
      </c>
      <c r="F34" t="n">
        <v>172.8</v>
      </c>
      <c r="G34" t="n">
        <v>193.9</v>
      </c>
      <c r="H34" t="n">
        <v>222.9</v>
      </c>
      <c r="I34" t="n">
        <v>250.8</v>
      </c>
      <c r="J34" t="n">
        <v>271.9</v>
      </c>
      <c r="K34" t="n">
        <v>276.4</v>
      </c>
      <c r="L34" t="n">
        <v>250.1</v>
      </c>
      <c r="M34" t="n">
        <v>66.1</v>
      </c>
      <c r="N34" t="n">
        <v>366.6</v>
      </c>
      <c r="O34" t="n">
        <v>426.1</v>
      </c>
      <c r="P34" t="n">
        <v>142.9</v>
      </c>
      <c r="Q34" t="n">
        <v>227.2</v>
      </c>
      <c r="R34" t="n">
        <v>447</v>
      </c>
      <c r="S34" t="n">
        <v>577.6</v>
      </c>
      <c r="T34" t="n">
        <v>360.6</v>
      </c>
      <c r="U34" t="n">
        <v>435.9</v>
      </c>
      <c r="V34" t="n">
        <v>174.8</v>
      </c>
      <c r="W34" t="n">
        <v>101.3</v>
      </c>
      <c r="X34" t="n">
        <v>129.2</v>
      </c>
      <c r="Y34" t="n">
        <v>274.1</v>
      </c>
      <c r="Z34" t="n">
        <v>321.3</v>
      </c>
      <c r="AA34" t="n">
        <v>274.8</v>
      </c>
      <c r="AB34" t="n">
        <v>222.6</v>
      </c>
      <c r="AC34" t="n">
        <v>322.9</v>
      </c>
      <c r="AD34" t="n">
        <v>439.4</v>
      </c>
      <c r="AE34" t="n">
        <v>356.8</v>
      </c>
      <c r="AF34" t="n">
        <v>293.2</v>
      </c>
    </row>
    <row r="35">
      <c r="A35" t="s">
        <v>13</v>
      </c>
      <c r="B35" t="s">
        <v>340</v>
      </c>
      <c r="C35" t="s">
        <v>217</v>
      </c>
      <c r="D35" t="s">
        <v>341</v>
      </c>
      <c r="E35" t="s">
        <v>218</v>
      </c>
      <c r="F35" t="n">
        <v>499.5</v>
      </c>
      <c r="G35" t="n">
        <v>560.5</v>
      </c>
      <c r="H35" t="n">
        <v>643.8</v>
      </c>
      <c r="I35" t="n">
        <v>725.6</v>
      </c>
      <c r="J35" t="n">
        <v>785.8</v>
      </c>
      <c r="K35" t="n">
        <v>801.8</v>
      </c>
      <c r="L35" t="n">
        <v>2099.5</v>
      </c>
      <c r="M35" t="n">
        <v>557.7</v>
      </c>
      <c r="N35" t="n">
        <v>631.8</v>
      </c>
      <c r="O35" t="n">
        <v>563.3</v>
      </c>
      <c r="P35" t="n">
        <v>731.2</v>
      </c>
      <c r="Q35" t="n">
        <v>61.3</v>
      </c>
      <c r="R35" t="n">
        <v>66.2</v>
      </c>
      <c r="S35" t="n">
        <v>43.1</v>
      </c>
      <c r="T35" t="n">
        <v>23.6</v>
      </c>
      <c r="U35" t="n">
        <v>338.9</v>
      </c>
      <c r="V35" t="n">
        <v>313.4</v>
      </c>
      <c r="W35" t="n">
        <v>240.4</v>
      </c>
      <c r="X35" t="n">
        <v>101.9</v>
      </c>
      <c r="Y35" t="n">
        <v>166.4</v>
      </c>
      <c r="Z35" t="n">
        <v>216.6</v>
      </c>
      <c r="AA35" t="n">
        <v>255.8</v>
      </c>
      <c r="AB35" t="n">
        <v>206.5</v>
      </c>
      <c r="AC35" t="n">
        <v>319.6</v>
      </c>
      <c r="AD35" t="n">
        <v>255.9</v>
      </c>
      <c r="AE35" t="n">
        <v>259.6</v>
      </c>
      <c r="AF35" t="n">
        <v>30.5</v>
      </c>
    </row>
    <row r="36">
      <c r="A36" t="s">
        <v>13</v>
      </c>
      <c r="B36" t="s">
        <v>342</v>
      </c>
      <c r="C36" t="s">
        <v>217</v>
      </c>
      <c r="D36" t="s">
        <v>343</v>
      </c>
      <c r="E36" t="s">
        <v>218</v>
      </c>
      <c r="F36" t="n">
        <v>49.9</v>
      </c>
      <c r="G36" t="n">
        <v>56</v>
      </c>
      <c r="H36" t="n">
        <v>64.3</v>
      </c>
      <c r="I36" t="n">
        <v>72.5</v>
      </c>
      <c r="J36" t="n">
        <v>78.5</v>
      </c>
      <c r="K36" t="n">
        <v>80.1</v>
      </c>
      <c r="L36" t="n">
        <v>68.9</v>
      </c>
      <c r="M36" t="n">
        <v>127.1</v>
      </c>
      <c r="N36" t="n">
        <v>175.5</v>
      </c>
      <c r="O36" t="n">
        <v>213.1</v>
      </c>
      <c r="P36" t="n">
        <v>19.4</v>
      </c>
      <c r="Q36" t="n">
        <v>38.9</v>
      </c>
      <c r="R36" t="n">
        <v>37.3</v>
      </c>
      <c r="S36" t="n">
        <v>30.5</v>
      </c>
      <c r="T36" t="n">
        <v>20.4</v>
      </c>
      <c r="U36" t="n">
        <v>83.6</v>
      </c>
      <c r="V36" t="n">
        <v>97</v>
      </c>
      <c r="W36" t="n">
        <v>105.5</v>
      </c>
      <c r="X36" t="n">
        <v>26.3</v>
      </c>
      <c r="Y36" t="n">
        <v>35.3</v>
      </c>
      <c r="Z36" t="n">
        <v>55.4</v>
      </c>
      <c r="AA36" t="n">
        <v>24</v>
      </c>
      <c r="AB36" t="n">
        <v>19.7</v>
      </c>
      <c r="AC36" t="n">
        <v>6.4</v>
      </c>
      <c r="AD36" t="n">
        <v>6.1</v>
      </c>
      <c r="AE36" t="n">
        <v>31.2</v>
      </c>
      <c r="AF36" t="n">
        <v>5.7</v>
      </c>
    </row>
    <row r="37">
      <c r="A37" t="s">
        <v>13</v>
      </c>
      <c r="B37" t="s">
        <v>344</v>
      </c>
      <c r="C37" t="s">
        <v>217</v>
      </c>
      <c r="D37" t="s">
        <v>345</v>
      </c>
      <c r="E37" t="s">
        <v>218</v>
      </c>
      <c r="F37" t="n">
        <v>446.8</v>
      </c>
      <c r="G37" t="n">
        <v>501.4</v>
      </c>
      <c r="H37" t="n">
        <v>575.9</v>
      </c>
      <c r="I37" t="n">
        <v>649</v>
      </c>
      <c r="J37" t="n">
        <v>702.9</v>
      </c>
      <c r="K37" t="n">
        <v>717.2</v>
      </c>
      <c r="L37" t="n">
        <v>2024.9</v>
      </c>
      <c r="M37" t="n">
        <v>421.3</v>
      </c>
      <c r="N37" t="n">
        <v>445.2</v>
      </c>
      <c r="O37" t="n">
        <v>339.6</v>
      </c>
      <c r="P37" t="n">
        <v>700.1</v>
      </c>
      <c r="Q37" t="n">
        <v>7</v>
      </c>
      <c r="R37" t="n">
        <v>24.3</v>
      </c>
      <c r="S37" t="n">
        <v>3.1</v>
      </c>
      <c r="T37" t="n">
        <v>1.5</v>
      </c>
      <c r="U37" t="n">
        <v>196.6</v>
      </c>
      <c r="V37" t="n">
        <v>174.9</v>
      </c>
      <c r="W37" t="n">
        <v>117</v>
      </c>
      <c r="X37" t="n">
        <v>66.1</v>
      </c>
      <c r="Y37" t="n">
        <v>123.6</v>
      </c>
      <c r="Z37" t="n">
        <v>138.1</v>
      </c>
      <c r="AA37" t="n">
        <v>214.1</v>
      </c>
      <c r="AB37" t="n">
        <v>172.5</v>
      </c>
      <c r="AC37" t="n">
        <v>284.1</v>
      </c>
      <c r="AD37" t="n">
        <v>217</v>
      </c>
      <c r="AE37" t="n">
        <v>194.7</v>
      </c>
      <c r="AF37" t="n">
        <v>17</v>
      </c>
    </row>
    <row r="38">
      <c r="A38" t="s">
        <v>13</v>
      </c>
      <c r="B38" t="s">
        <v>346</v>
      </c>
      <c r="C38" t="s">
        <v>217</v>
      </c>
      <c r="D38" t="s">
        <v>347</v>
      </c>
      <c r="E38" t="s">
        <v>218</v>
      </c>
      <c r="F38" t="n">
        <v>2.8</v>
      </c>
      <c r="G38" t="n">
        <v>3.1</v>
      </c>
      <c r="H38" t="n">
        <v>3.6</v>
      </c>
      <c r="I38" t="n">
        <v>4.1</v>
      </c>
      <c r="J38" t="n">
        <v>4.4</v>
      </c>
      <c r="K38" t="n">
        <v>4.5</v>
      </c>
      <c r="L38" t="n">
        <v>5.7</v>
      </c>
      <c r="M38" t="n">
        <v>9.3</v>
      </c>
      <c r="N38" t="n">
        <v>11.1</v>
      </c>
      <c r="O38" t="n">
        <v>10.6</v>
      </c>
      <c r="P38" t="n">
        <v>11.7</v>
      </c>
      <c r="Q38" t="n">
        <v>15.4</v>
      </c>
      <c r="R38" t="n">
        <v>4.6</v>
      </c>
      <c r="S38" t="n">
        <v>9.5</v>
      </c>
      <c r="T38" t="n">
        <v>1.7</v>
      </c>
      <c r="U38" t="n">
        <v>58.7</v>
      </c>
      <c r="V38" t="n">
        <v>41.5</v>
      </c>
      <c r="W38" t="n">
        <v>17.9</v>
      </c>
      <c r="X38" t="n">
        <v>9.5</v>
      </c>
      <c r="Y38" t="n">
        <v>7.5</v>
      </c>
      <c r="Z38" t="n">
        <v>23.1</v>
      </c>
      <c r="AA38" t="n">
        <v>17.7</v>
      </c>
      <c r="AB38" t="n">
        <v>14.3</v>
      </c>
      <c r="AC38" t="n">
        <v>29.1</v>
      </c>
      <c r="AD38" t="n">
        <v>32.8</v>
      </c>
      <c r="AE38" t="n">
        <v>33.7</v>
      </c>
      <c r="AF38" t="n">
        <v>7.8</v>
      </c>
    </row>
    <row r="39">
      <c r="A39" t="s">
        <v>13</v>
      </c>
      <c r="B39" t="s">
        <v>348</v>
      </c>
      <c r="C39" t="s">
        <v>217</v>
      </c>
      <c r="D39" t="s">
        <v>349</v>
      </c>
      <c r="E39" t="s">
        <v>218</v>
      </c>
      <c r="F39" t="n">
        <v>34.3</v>
      </c>
      <c r="G39" t="n">
        <v>38.5</v>
      </c>
      <c r="H39" t="n">
        <v>44.2</v>
      </c>
      <c r="I39" t="n">
        <v>49.9</v>
      </c>
      <c r="J39" t="n">
        <v>54</v>
      </c>
      <c r="K39" t="n">
        <v>55.1</v>
      </c>
      <c r="L39" t="n">
        <v>55.2</v>
      </c>
      <c r="M39" t="n">
        <v>91.8</v>
      </c>
      <c r="N39" t="n">
        <v>30.2</v>
      </c>
      <c r="O39" t="n">
        <v>20.5</v>
      </c>
      <c r="P39" t="n">
        <v>73.1</v>
      </c>
      <c r="Q39" t="n">
        <v>125.7</v>
      </c>
      <c r="R39" t="n">
        <v>129.7</v>
      </c>
      <c r="S39" t="n">
        <v>99.5</v>
      </c>
      <c r="T39" t="n">
        <v>90.3</v>
      </c>
      <c r="U39" t="n">
        <v>453.2</v>
      </c>
      <c r="V39" t="n">
        <v>138.6</v>
      </c>
      <c r="W39" t="n">
        <v>38.3</v>
      </c>
      <c r="X39" t="n">
        <v>341.9</v>
      </c>
      <c r="Y39" t="n">
        <v>185</v>
      </c>
      <c r="Z39" t="n">
        <v>204.1</v>
      </c>
      <c r="AA39" t="n">
        <v>185.9</v>
      </c>
      <c r="AB39" t="n">
        <v>149.6</v>
      </c>
      <c r="AC39" t="n">
        <v>321.9</v>
      </c>
      <c r="AD39" t="n">
        <v>295.3</v>
      </c>
      <c r="AE39" t="n">
        <v>231.9</v>
      </c>
      <c r="AF39" t="n">
        <v>132.9</v>
      </c>
    </row>
    <row r="40">
      <c r="A40" t="s">
        <v>13</v>
      </c>
      <c r="B40" t="s">
        <v>350</v>
      </c>
      <c r="C40" t="s">
        <v>217</v>
      </c>
      <c r="D40" t="s">
        <v>351</v>
      </c>
      <c r="E40" t="s">
        <v>218</v>
      </c>
      <c r="F40" t="n">
        <v>909.2</v>
      </c>
      <c r="G40" t="n">
        <v>1000.3</v>
      </c>
      <c r="H40" t="n">
        <v>1096.4</v>
      </c>
      <c r="I40" t="n">
        <v>1271.1</v>
      </c>
      <c r="J40" t="n">
        <v>1386.3</v>
      </c>
      <c r="K40" t="n">
        <v>1249.6</v>
      </c>
      <c r="L40" t="n">
        <v>1523</v>
      </c>
      <c r="M40" t="n">
        <v>1520.8</v>
      </c>
      <c r="N40" t="n">
        <v>1912.9</v>
      </c>
      <c r="O40" t="n">
        <v>2093.9</v>
      </c>
      <c r="P40" t="n">
        <v>2331.7</v>
      </c>
      <c r="Q40" t="n">
        <v>3176.5</v>
      </c>
      <c r="R40" t="n">
        <v>2974.3</v>
      </c>
      <c r="S40" t="n">
        <v>2524.6</v>
      </c>
      <c r="T40" t="n">
        <v>2274.2</v>
      </c>
      <c r="U40" t="n">
        <v>1045.2</v>
      </c>
      <c r="V40" t="n">
        <v>1513.2</v>
      </c>
      <c r="W40" t="n">
        <v>1080.7</v>
      </c>
      <c r="X40" t="n">
        <v>406.2</v>
      </c>
      <c r="Y40" t="n">
        <v>487.1</v>
      </c>
      <c r="Z40" t="n">
        <v>208.5</v>
      </c>
      <c r="AA40" t="n">
        <v>356</v>
      </c>
      <c r="AB40" t="n">
        <v>303.2</v>
      </c>
      <c r="AC40" t="n">
        <v>179.3</v>
      </c>
      <c r="AD40" t="n">
        <v>275.4</v>
      </c>
      <c r="AE40" t="n">
        <v>169.2</v>
      </c>
      <c r="AF40" t="n">
        <v>183.7</v>
      </c>
    </row>
    <row r="41">
      <c r="A41" t="s">
        <v>13</v>
      </c>
      <c r="B41" t="s">
        <v>352</v>
      </c>
      <c r="C41" t="s">
        <v>217</v>
      </c>
      <c r="D41" t="s">
        <v>353</v>
      </c>
      <c r="E41" t="s">
        <v>218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13</v>
      </c>
      <c r="B42" t="s">
        <v>354</v>
      </c>
      <c r="C42" t="s">
        <v>217</v>
      </c>
      <c r="D42" t="s">
        <v>355</v>
      </c>
      <c r="E42" t="s">
        <v>218</v>
      </c>
      <c r="F42" t="n">
        <v>28.3</v>
      </c>
      <c r="G42" t="n">
        <v>31.8</v>
      </c>
      <c r="H42" t="n">
        <v>36.5</v>
      </c>
      <c r="I42" t="n">
        <v>41.1</v>
      </c>
      <c r="J42" t="n">
        <v>44.5</v>
      </c>
      <c r="K42" t="n">
        <v>45.4</v>
      </c>
      <c r="L42" t="n">
        <v>60</v>
      </c>
      <c r="M42" t="n">
        <v>57</v>
      </c>
      <c r="N42" t="n">
        <v>88.8</v>
      </c>
      <c r="O42" t="n">
        <v>88.5</v>
      </c>
      <c r="P42" t="n">
        <v>94.6</v>
      </c>
      <c r="Q42" t="n">
        <v>102.1</v>
      </c>
      <c r="R42" t="n">
        <v>134.8</v>
      </c>
      <c r="S42" t="n">
        <v>230.3</v>
      </c>
      <c r="T42" t="n">
        <v>75.2</v>
      </c>
      <c r="U42" t="n">
        <v>86.6</v>
      </c>
      <c r="V42" t="n">
        <v>209.7</v>
      </c>
      <c r="W42" t="n">
        <v>114.1</v>
      </c>
      <c r="X42" t="n">
        <v>43.7</v>
      </c>
      <c r="Y42" t="n">
        <v>24.1</v>
      </c>
      <c r="Z42" t="n">
        <v>37.8</v>
      </c>
      <c r="AA42" t="n">
        <v>30.4</v>
      </c>
      <c r="AB42" t="n">
        <v>27.2</v>
      </c>
      <c r="AC42" t="n">
        <v>17.4</v>
      </c>
      <c r="AD42" t="n">
        <v>50</v>
      </c>
      <c r="AE42" t="n">
        <v>42</v>
      </c>
      <c r="AF42" t="n">
        <v>41</v>
      </c>
    </row>
    <row r="43">
      <c r="A43" t="s">
        <v>13</v>
      </c>
      <c r="B43" t="s">
        <v>356</v>
      </c>
      <c r="C43" t="s">
        <v>217</v>
      </c>
      <c r="D43" t="s">
        <v>357</v>
      </c>
      <c r="E43" t="s">
        <v>218</v>
      </c>
      <c r="F43" t="n">
        <v>57.3</v>
      </c>
      <c r="G43" t="n">
        <v>64.3</v>
      </c>
      <c r="H43" t="n">
        <v>73.9</v>
      </c>
      <c r="I43" t="n">
        <v>83.1</v>
      </c>
      <c r="J43" t="n">
        <v>90.1</v>
      </c>
      <c r="K43" t="n">
        <v>91.6</v>
      </c>
      <c r="L43" t="n">
        <v>131.6</v>
      </c>
      <c r="M43" t="n">
        <v>111.7</v>
      </c>
      <c r="N43" t="n">
        <v>209</v>
      </c>
      <c r="O43" t="n">
        <v>265.3</v>
      </c>
      <c r="P43" t="n">
        <v>102.7</v>
      </c>
      <c r="Q43" t="n">
        <v>122.4</v>
      </c>
      <c r="R43" t="n">
        <v>159.3</v>
      </c>
      <c r="S43" t="n">
        <v>243.2</v>
      </c>
      <c r="T43" t="n">
        <v>81</v>
      </c>
      <c r="U43" t="n">
        <v>568.2</v>
      </c>
      <c r="V43" t="n">
        <v>268.4</v>
      </c>
      <c r="W43" t="n">
        <v>142.1</v>
      </c>
      <c r="X43" t="n">
        <v>58.5</v>
      </c>
      <c r="Y43" t="n">
        <v>36.2</v>
      </c>
      <c r="Z43" t="n">
        <v>38.3</v>
      </c>
      <c r="AA43" t="n">
        <v>34.1</v>
      </c>
      <c r="AB43" t="n">
        <v>30.2</v>
      </c>
      <c r="AC43" t="n">
        <v>36.1</v>
      </c>
      <c r="AD43" t="n">
        <v>81.3</v>
      </c>
      <c r="AE43" t="n">
        <v>55.5</v>
      </c>
      <c r="AF43" t="n">
        <v>54.8</v>
      </c>
    </row>
    <row r="44">
      <c r="A44" t="s">
        <v>13</v>
      </c>
      <c r="B44" t="s">
        <v>358</v>
      </c>
      <c r="C44" t="s">
        <v>217</v>
      </c>
      <c r="D44" t="s">
        <v>359</v>
      </c>
      <c r="E44" t="s">
        <v>218</v>
      </c>
      <c r="F44" t="n">
        <v>2856.6</v>
      </c>
      <c r="G44" t="n">
        <v>3202.3</v>
      </c>
      <c r="H44" t="n">
        <v>3688.4</v>
      </c>
      <c r="I44" t="n">
        <v>4139.2</v>
      </c>
      <c r="J44" t="n">
        <v>4493.7</v>
      </c>
      <c r="K44" t="n">
        <v>4538.9</v>
      </c>
      <c r="L44" t="n">
        <v>5364.8</v>
      </c>
      <c r="M44" t="n">
        <v>4540.9</v>
      </c>
      <c r="N44" t="n">
        <v>5636.8</v>
      </c>
      <c r="O44" t="n">
        <v>5843</v>
      </c>
      <c r="P44" t="n">
        <v>4366.6</v>
      </c>
      <c r="Q44" t="n">
        <v>4367.9</v>
      </c>
      <c r="R44" t="n">
        <v>4562.6</v>
      </c>
      <c r="S44" t="n">
        <v>5878.8</v>
      </c>
      <c r="T44" t="n">
        <v>6578.1</v>
      </c>
      <c r="U44" t="n">
        <v>5945.1</v>
      </c>
      <c r="V44" t="n">
        <v>3327.3</v>
      </c>
      <c r="W44" t="n">
        <v>3642.9</v>
      </c>
      <c r="X44" t="n">
        <v>3399.5</v>
      </c>
      <c r="Y44" t="n">
        <v>3331.8</v>
      </c>
      <c r="Z44" t="n">
        <v>3227.8</v>
      </c>
      <c r="AA44" t="n">
        <v>3956.2</v>
      </c>
      <c r="AB44" t="n">
        <v>2996.5</v>
      </c>
      <c r="AC44" t="n">
        <v>3018.7</v>
      </c>
      <c r="AD44" t="n">
        <v>2846.5</v>
      </c>
      <c r="AE44" t="n">
        <v>2420.2</v>
      </c>
      <c r="AF44" t="n">
        <v>2753.5</v>
      </c>
    </row>
    <row r="45">
      <c r="A45" t="s">
        <v>13</v>
      </c>
      <c r="B45" t="s">
        <v>360</v>
      </c>
      <c r="C45" t="s">
        <v>217</v>
      </c>
      <c r="D45" t="s">
        <v>361</v>
      </c>
      <c r="E45" t="s">
        <v>218</v>
      </c>
      <c r="F45" t="n">
        <v>2650.4</v>
      </c>
      <c r="G45" t="n">
        <v>2974.1</v>
      </c>
      <c r="H45" t="n">
        <v>3416.1</v>
      </c>
      <c r="I45" t="n">
        <v>3849.6</v>
      </c>
      <c r="J45" t="n">
        <v>4169.8</v>
      </c>
      <c r="K45" t="n">
        <v>4252.1</v>
      </c>
      <c r="L45" t="n">
        <v>5071</v>
      </c>
      <c r="M45" t="n">
        <v>4343.3</v>
      </c>
      <c r="N45" t="n">
        <v>5400.6</v>
      </c>
      <c r="O45" t="n">
        <v>5546.5</v>
      </c>
      <c r="P45" t="n">
        <v>4029.9</v>
      </c>
      <c r="Q45" t="n">
        <v>3914.4</v>
      </c>
      <c r="R45" t="n">
        <v>4124.7</v>
      </c>
      <c r="S45" t="n">
        <v>5331.6</v>
      </c>
      <c r="T45" t="n">
        <v>6155.8</v>
      </c>
      <c r="U45" t="n">
        <v>5682.9</v>
      </c>
      <c r="V45" t="n">
        <v>3160.5</v>
      </c>
      <c r="W45" t="n">
        <v>3480.4</v>
      </c>
      <c r="X45" t="n">
        <v>3248.9</v>
      </c>
      <c r="Y45" t="n">
        <v>3164.6</v>
      </c>
      <c r="Z45" t="n">
        <v>3047.7</v>
      </c>
      <c r="AA45" t="n">
        <v>3745.1</v>
      </c>
      <c r="AB45" t="n">
        <v>2825.7</v>
      </c>
      <c r="AC45" t="n">
        <v>2863.8</v>
      </c>
      <c r="AD45" t="n">
        <v>2700.8</v>
      </c>
      <c r="AE45" t="n">
        <v>2287.9</v>
      </c>
      <c r="AF45" t="n">
        <v>2630.7</v>
      </c>
    </row>
    <row r="46">
      <c r="A46" t="s">
        <v>13</v>
      </c>
      <c r="B46" t="s">
        <v>362</v>
      </c>
      <c r="C46" t="s">
        <v>217</v>
      </c>
      <c r="D46" t="s">
        <v>363</v>
      </c>
      <c r="E46" t="s">
        <v>218</v>
      </c>
      <c r="F46" t="n">
        <v>29</v>
      </c>
      <c r="G46" t="n">
        <v>32.5</v>
      </c>
      <c r="H46" t="n">
        <v>37.4</v>
      </c>
      <c r="I46" t="n">
        <v>42</v>
      </c>
      <c r="J46" t="n">
        <v>45.6</v>
      </c>
      <c r="K46" t="n">
        <v>46.2</v>
      </c>
      <c r="L46" t="n">
        <v>71.6</v>
      </c>
      <c r="M46" t="n">
        <v>54.7</v>
      </c>
      <c r="N46" t="n">
        <v>120.2</v>
      </c>
      <c r="O46" t="n">
        <v>176.8</v>
      </c>
      <c r="P46" t="n">
        <v>8.1</v>
      </c>
      <c r="Q46" t="n">
        <v>20.3</v>
      </c>
      <c r="R46" t="n">
        <v>24.5</v>
      </c>
      <c r="S46" t="n">
        <v>12.9</v>
      </c>
      <c r="T46" t="n">
        <v>5.8</v>
      </c>
      <c r="U46" t="n">
        <v>481.6</v>
      </c>
      <c r="V46" t="n">
        <v>58.7</v>
      </c>
      <c r="W46" t="n">
        <v>28</v>
      </c>
      <c r="X46" t="n">
        <v>14.8</v>
      </c>
      <c r="Y46" t="n">
        <v>12.1</v>
      </c>
      <c r="Z46" t="n">
        <v>0.5</v>
      </c>
      <c r="AA46" t="n">
        <v>3.7</v>
      </c>
      <c r="AB46" t="n">
        <v>3</v>
      </c>
      <c r="AC46" t="n">
        <v>18.7</v>
      </c>
      <c r="AD46" t="n">
        <v>31.3</v>
      </c>
      <c r="AE46" t="n">
        <v>13.5</v>
      </c>
      <c r="AF46" t="n">
        <v>13.8</v>
      </c>
    </row>
    <row r="47">
      <c r="A47" t="s">
        <v>13</v>
      </c>
      <c r="B47" t="s">
        <v>364</v>
      </c>
      <c r="C47" t="s">
        <v>217</v>
      </c>
      <c r="D47" t="s">
        <v>365</v>
      </c>
      <c r="E47" t="s">
        <v>218</v>
      </c>
      <c r="F47" t="n">
        <v>2004.4</v>
      </c>
      <c r="G47" t="n">
        <v>2254.3</v>
      </c>
      <c r="H47" t="n">
        <v>2598.2</v>
      </c>
      <c r="I47" t="n">
        <v>2953.4</v>
      </c>
      <c r="J47" t="n">
        <v>3184.1</v>
      </c>
      <c r="K47" t="n">
        <v>3536.2</v>
      </c>
      <c r="L47" t="n">
        <v>4473.1</v>
      </c>
      <c r="M47" t="n">
        <v>4034.8</v>
      </c>
      <c r="N47" t="n">
        <v>4223.9</v>
      </c>
      <c r="O47" t="n">
        <v>4344</v>
      </c>
      <c r="P47" t="n">
        <v>2737.8</v>
      </c>
      <c r="Q47" t="n">
        <v>3870.3</v>
      </c>
      <c r="R47" t="n">
        <v>4066.3</v>
      </c>
      <c r="S47" t="n">
        <v>4774.6</v>
      </c>
      <c r="T47" t="n">
        <v>4677</v>
      </c>
      <c r="U47" t="n">
        <v>3078.8</v>
      </c>
      <c r="V47" t="n">
        <v>2130.3</v>
      </c>
      <c r="W47" t="n">
        <v>2412.4</v>
      </c>
      <c r="X47" t="n">
        <v>3514.5</v>
      </c>
      <c r="Y47" t="n">
        <v>3066.1</v>
      </c>
      <c r="Z47" t="n">
        <v>3121.8</v>
      </c>
      <c r="AA47" t="n">
        <v>3555.8</v>
      </c>
      <c r="AB47" t="n">
        <v>4320.1</v>
      </c>
      <c r="AC47" t="n">
        <v>3128.9</v>
      </c>
      <c r="AD47" t="n">
        <v>1914.3</v>
      </c>
      <c r="AE47" t="n">
        <v>2185.3</v>
      </c>
      <c r="AF47" t="n">
        <v>2652.5</v>
      </c>
    </row>
    <row r="48">
      <c r="A48" t="s">
        <v>13</v>
      </c>
      <c r="B48" t="s">
        <v>366</v>
      </c>
      <c r="C48" t="s">
        <v>217</v>
      </c>
      <c r="D48" t="s">
        <v>367</v>
      </c>
      <c r="E48" t="s">
        <v>218</v>
      </c>
      <c r="F48" t="n">
        <v>2395.1</v>
      </c>
      <c r="G48" t="n">
        <v>2692.8</v>
      </c>
      <c r="H48" t="n">
        <v>3102</v>
      </c>
      <c r="I48" t="n">
        <v>3520.7</v>
      </c>
      <c r="J48" t="n">
        <v>3798.8</v>
      </c>
      <c r="K48" t="n">
        <v>4162.6</v>
      </c>
      <c r="L48" t="n">
        <v>5034.9</v>
      </c>
      <c r="M48" t="n">
        <v>4395.9</v>
      </c>
      <c r="N48" t="n">
        <v>5074.9</v>
      </c>
      <c r="O48" t="n">
        <v>4794</v>
      </c>
      <c r="P48" t="n">
        <v>3245.4</v>
      </c>
      <c r="Q48" t="n">
        <v>4328.7</v>
      </c>
      <c r="R48" t="n">
        <v>4563.9</v>
      </c>
      <c r="S48" t="n">
        <v>5330.5</v>
      </c>
      <c r="T48" t="n">
        <v>5142.1</v>
      </c>
      <c r="U48" t="n">
        <v>3263.3</v>
      </c>
      <c r="V48" t="n">
        <v>2308.5</v>
      </c>
      <c r="W48" t="n">
        <v>2618.8</v>
      </c>
      <c r="X48" t="n">
        <v>3814</v>
      </c>
      <c r="Y48" t="n">
        <v>3259.9</v>
      </c>
      <c r="Z48" t="n">
        <v>3293.1</v>
      </c>
      <c r="AA48" t="n">
        <v>3709.1</v>
      </c>
      <c r="AB48" t="n">
        <v>4407.2</v>
      </c>
      <c r="AC48" t="n">
        <v>3222.9</v>
      </c>
      <c r="AD48" t="n">
        <v>2003.4</v>
      </c>
      <c r="AE48" t="n">
        <v>2290.5</v>
      </c>
      <c r="AF48" t="n">
        <v>2982.5</v>
      </c>
    </row>
    <row r="49">
      <c r="A49" t="s">
        <v>13</v>
      </c>
      <c r="B49" t="s">
        <v>368</v>
      </c>
      <c r="C49" t="s">
        <v>217</v>
      </c>
      <c r="D49" t="s">
        <v>369</v>
      </c>
      <c r="E49" t="s">
        <v>218</v>
      </c>
      <c r="F49" t="n">
        <v>330.2</v>
      </c>
      <c r="G49" t="n">
        <v>370.5</v>
      </c>
      <c r="H49" t="n">
        <v>425.7</v>
      </c>
      <c r="I49" t="n">
        <v>479.4</v>
      </c>
      <c r="J49" t="n">
        <v>519.5</v>
      </c>
      <c r="K49" t="n">
        <v>529.3</v>
      </c>
      <c r="L49" t="n">
        <v>467.1</v>
      </c>
      <c r="M49" t="n">
        <v>264.6</v>
      </c>
      <c r="N49" t="n">
        <v>557.7</v>
      </c>
      <c r="O49" t="n">
        <v>296.6</v>
      </c>
      <c r="P49" t="n">
        <v>362</v>
      </c>
      <c r="Q49" t="n">
        <v>365.6</v>
      </c>
      <c r="R49" t="n">
        <v>388.5</v>
      </c>
      <c r="S49" t="n">
        <v>419.1</v>
      </c>
      <c r="T49" t="n">
        <v>308.6</v>
      </c>
      <c r="U49" t="n">
        <v>150</v>
      </c>
      <c r="V49" t="n">
        <v>140.1</v>
      </c>
      <c r="W49" t="n">
        <v>174.5</v>
      </c>
      <c r="X49" t="n">
        <v>262.6</v>
      </c>
      <c r="Y49" t="n">
        <v>165.1</v>
      </c>
      <c r="Z49" t="n">
        <v>148.8</v>
      </c>
      <c r="AA49" t="n">
        <v>133.7</v>
      </c>
      <c r="AB49" t="n">
        <v>69.5</v>
      </c>
      <c r="AC49" t="n">
        <v>78.3</v>
      </c>
      <c r="AD49" t="n">
        <v>73.4</v>
      </c>
      <c r="AE49" t="n">
        <v>88.1</v>
      </c>
      <c r="AF49" t="n">
        <v>116.5</v>
      </c>
    </row>
    <row r="50">
      <c r="A50" t="s">
        <v>13</v>
      </c>
      <c r="B50" t="s">
        <v>370</v>
      </c>
      <c r="C50" t="s">
        <v>217</v>
      </c>
      <c r="D50" t="s">
        <v>371</v>
      </c>
      <c r="E50" t="s">
        <v>218</v>
      </c>
      <c r="F50" t="n">
        <v>60.5</v>
      </c>
      <c r="G50" t="n">
        <v>67.9</v>
      </c>
      <c r="H50" t="n">
        <v>78.1</v>
      </c>
      <c r="I50" t="n">
        <v>87.9</v>
      </c>
      <c r="J50" t="n">
        <v>95.3</v>
      </c>
      <c r="K50" t="n">
        <v>97.1</v>
      </c>
      <c r="L50" t="n">
        <v>94.8</v>
      </c>
      <c r="M50" t="n">
        <v>96.6</v>
      </c>
      <c r="N50" t="n">
        <v>293.2</v>
      </c>
      <c r="O50" t="n">
        <v>153.4</v>
      </c>
      <c r="P50" t="n">
        <v>145.6</v>
      </c>
      <c r="Q50" t="n">
        <v>92.8</v>
      </c>
      <c r="R50" t="n">
        <v>109.2</v>
      </c>
      <c r="S50" t="n">
        <v>136.8</v>
      </c>
      <c r="T50" t="n">
        <v>156.5</v>
      </c>
      <c r="U50" t="n">
        <v>34.5</v>
      </c>
      <c r="V50" t="n">
        <v>38.1</v>
      </c>
      <c r="W50" t="n">
        <v>31.8</v>
      </c>
      <c r="X50" t="n">
        <v>36.8</v>
      </c>
      <c r="Y50" t="n">
        <v>28.7</v>
      </c>
      <c r="Z50" t="n">
        <v>22.5</v>
      </c>
      <c r="AA50" t="n">
        <v>19.6</v>
      </c>
      <c r="AB50" t="n">
        <v>17.5</v>
      </c>
      <c r="AC50" t="n">
        <v>15.7</v>
      </c>
      <c r="AD50" t="n">
        <v>15.7</v>
      </c>
      <c r="AE50" t="n">
        <v>17.2</v>
      </c>
      <c r="AF50" t="n">
        <v>213.5</v>
      </c>
    </row>
    <row r="51">
      <c r="A51" t="s">
        <v>13</v>
      </c>
      <c r="B51" t="s">
        <v>372</v>
      </c>
      <c r="C51" t="s">
        <v>217</v>
      </c>
      <c r="D51" t="s">
        <v>373</v>
      </c>
      <c r="E51" t="s">
        <v>218</v>
      </c>
      <c r="F51" t="n">
        <v>56.6</v>
      </c>
      <c r="G51" t="n">
        <v>63.5</v>
      </c>
      <c r="H51" t="n">
        <v>73</v>
      </c>
      <c r="I51" t="n">
        <v>82.2</v>
      </c>
      <c r="J51" t="n">
        <v>89.1</v>
      </c>
      <c r="K51" t="n">
        <v>90.8</v>
      </c>
      <c r="L51" t="n">
        <v>88.6</v>
      </c>
      <c r="M51" t="n">
        <v>90.3</v>
      </c>
      <c r="N51" t="n">
        <v>274.1</v>
      </c>
      <c r="O51" t="n">
        <v>143.4</v>
      </c>
      <c r="P51" t="n">
        <v>53.8</v>
      </c>
      <c r="Q51" t="n">
        <v>35</v>
      </c>
      <c r="R51" t="n">
        <v>47.3</v>
      </c>
      <c r="S51" t="n">
        <v>58.7</v>
      </c>
      <c r="T51" t="n">
        <v>118.1</v>
      </c>
      <c r="U51" t="n">
        <v>21.6</v>
      </c>
      <c r="V51" t="n">
        <v>19.7</v>
      </c>
      <c r="W51" t="n">
        <v>16.5</v>
      </c>
      <c r="X51" t="n">
        <v>14.2</v>
      </c>
      <c r="Y51" t="n">
        <v>16.9</v>
      </c>
      <c r="Z51" t="n">
        <v>16.6</v>
      </c>
      <c r="AA51" t="n">
        <v>13.1</v>
      </c>
      <c r="AB51" t="n">
        <v>13.2</v>
      </c>
      <c r="AC51" t="n">
        <v>11</v>
      </c>
      <c r="AD51" t="n">
        <v>14.4</v>
      </c>
      <c r="AE51" t="n">
        <v>13.6</v>
      </c>
      <c r="AF51" t="n">
        <v>200.3</v>
      </c>
    </row>
    <row r="52">
      <c r="A52" t="s">
        <v>13</v>
      </c>
      <c r="B52" t="s">
        <v>374</v>
      </c>
      <c r="C52" t="s">
        <v>217</v>
      </c>
      <c r="D52" t="s">
        <v>375</v>
      </c>
      <c r="E52" t="s">
        <v>218</v>
      </c>
      <c r="F52" t="n">
        <v>3.9</v>
      </c>
      <c r="G52" t="n">
        <v>4.4</v>
      </c>
      <c r="H52" t="n">
        <v>5.1</v>
      </c>
      <c r="I52" t="n">
        <v>5.7</v>
      </c>
      <c r="J52" t="n">
        <v>6.2</v>
      </c>
      <c r="K52" t="n">
        <v>6.3</v>
      </c>
      <c r="L52" t="n">
        <v>6.2</v>
      </c>
      <c r="M52" t="n">
        <v>6.3</v>
      </c>
      <c r="N52" t="n">
        <v>19.1</v>
      </c>
      <c r="O52" t="n">
        <v>10</v>
      </c>
      <c r="P52" t="n">
        <v>91.8</v>
      </c>
      <c r="Q52" t="n">
        <v>57.8</v>
      </c>
      <c r="R52" t="n">
        <v>61.9</v>
      </c>
      <c r="S52" t="n">
        <v>78.1</v>
      </c>
      <c r="T52" t="n">
        <v>38.4</v>
      </c>
      <c r="U52" t="n">
        <v>12.9</v>
      </c>
      <c r="V52" t="n">
        <v>18.4</v>
      </c>
      <c r="W52" t="n">
        <v>15.3</v>
      </c>
      <c r="X52" t="n">
        <v>22.6</v>
      </c>
      <c r="Y52" t="n">
        <v>11.8</v>
      </c>
      <c r="Z52" t="n">
        <v>5.9</v>
      </c>
      <c r="AA52" t="n">
        <v>6.5</v>
      </c>
      <c r="AB52" t="n">
        <v>4.3</v>
      </c>
      <c r="AC52" t="n">
        <v>4.7</v>
      </c>
      <c r="AD52" t="n">
        <v>1.3</v>
      </c>
      <c r="AE52" t="n">
        <v>3.6</v>
      </c>
      <c r="AF52" t="n">
        <v>13.2</v>
      </c>
    </row>
    <row r="53">
      <c r="A53" t="s">
        <v>13</v>
      </c>
      <c r="B53" t="s">
        <v>376</v>
      </c>
      <c r="C53" t="s">
        <v>217</v>
      </c>
      <c r="D53" t="s">
        <v>377</v>
      </c>
      <c r="E53" t="s">
        <v>218</v>
      </c>
      <c r="F53" t="n">
        <v>53.6</v>
      </c>
      <c r="G53" t="n">
        <v>60.2</v>
      </c>
      <c r="H53" t="n">
        <v>69.2</v>
      </c>
      <c r="I53" t="n">
        <v>77.9</v>
      </c>
      <c r="J53" t="n">
        <v>84.4</v>
      </c>
      <c r="K53" t="n">
        <v>86</v>
      </c>
      <c r="L53" t="n">
        <v>100</v>
      </c>
      <c r="M53" t="n">
        <v>225.3</v>
      </c>
      <c r="N53" t="n">
        <v>331.1</v>
      </c>
      <c r="O53" t="n">
        <v>310.7</v>
      </c>
      <c r="P53" t="n">
        <v>228</v>
      </c>
      <c r="Q53" t="n">
        <v>271.2</v>
      </c>
      <c r="R53" t="n">
        <v>209.2</v>
      </c>
      <c r="S53" t="n">
        <v>259.1</v>
      </c>
      <c r="T53" t="n">
        <v>183.4</v>
      </c>
      <c r="U53" t="n">
        <v>82.4</v>
      </c>
      <c r="V53" t="n">
        <v>94.1</v>
      </c>
      <c r="W53" t="n">
        <v>86.8</v>
      </c>
      <c r="X53" t="n">
        <v>150.6</v>
      </c>
      <c r="Y53" t="n">
        <v>120.8</v>
      </c>
      <c r="Z53" t="n">
        <v>128.4</v>
      </c>
      <c r="AA53" t="n">
        <v>119.8</v>
      </c>
      <c r="AB53" t="n">
        <v>61.2</v>
      </c>
      <c r="AC53" t="n">
        <v>71.5</v>
      </c>
      <c r="AD53" t="n">
        <v>51.3</v>
      </c>
      <c r="AE53" t="n">
        <v>52.7</v>
      </c>
      <c r="AF53" t="n">
        <v>86.7</v>
      </c>
    </row>
    <row r="54">
      <c r="A54" t="s">
        <v>13</v>
      </c>
      <c r="B54" t="s">
        <v>378</v>
      </c>
      <c r="C54" t="s">
        <v>217</v>
      </c>
      <c r="D54" t="s">
        <v>379</v>
      </c>
      <c r="E54" t="s">
        <v>218</v>
      </c>
      <c r="F54" t="n">
        <v>150.6</v>
      </c>
      <c r="G54" t="n">
        <v>169</v>
      </c>
      <c r="H54" t="n">
        <v>194.1</v>
      </c>
      <c r="I54" t="n">
        <v>218.7</v>
      </c>
      <c r="J54" t="n">
        <v>236.9</v>
      </c>
      <c r="K54" t="n">
        <v>241.2</v>
      </c>
      <c r="L54" t="n">
        <v>133.2</v>
      </c>
      <c r="M54" t="n">
        <v>320.4</v>
      </c>
      <c r="N54" t="n">
        <v>410.7</v>
      </c>
      <c r="O54" t="n">
        <v>337.6</v>
      </c>
      <c r="P54" t="n">
        <v>281</v>
      </c>
      <c r="Q54" t="n">
        <v>372.4</v>
      </c>
      <c r="R54" t="n">
        <v>337.2</v>
      </c>
      <c r="S54" t="n">
        <v>442.1</v>
      </c>
      <c r="T54" t="n">
        <v>1360.5</v>
      </c>
      <c r="U54" t="n">
        <v>94.4</v>
      </c>
      <c r="V54" t="n">
        <v>169.3</v>
      </c>
      <c r="W54" t="n">
        <v>133.3</v>
      </c>
      <c r="X54" t="n">
        <v>209.3</v>
      </c>
      <c r="Y54" t="n">
        <v>244</v>
      </c>
      <c r="Z54" t="n">
        <v>255.5</v>
      </c>
      <c r="AA54" t="n">
        <v>208.5</v>
      </c>
      <c r="AB54" t="n">
        <v>132.7</v>
      </c>
      <c r="AC54" t="n">
        <v>81.4</v>
      </c>
      <c r="AD54" t="n">
        <v>61.7</v>
      </c>
      <c r="AE54" t="n">
        <v>62.5</v>
      </c>
      <c r="AF54" t="n">
        <v>117.7</v>
      </c>
    </row>
    <row r="55">
      <c r="A55" t="s">
        <v>13</v>
      </c>
      <c r="B55" t="s">
        <v>380</v>
      </c>
      <c r="C55" t="s">
        <v>217</v>
      </c>
      <c r="D55" t="s">
        <v>381</v>
      </c>
      <c r="E55" t="s">
        <v>218</v>
      </c>
      <c r="F55" t="n">
        <v>97</v>
      </c>
      <c r="G55" t="n">
        <v>108.8</v>
      </c>
      <c r="H55" t="n">
        <v>124.9</v>
      </c>
      <c r="I55" t="n">
        <v>140.8</v>
      </c>
      <c r="J55" t="n">
        <v>152.5</v>
      </c>
      <c r="K55" t="n">
        <v>155.2</v>
      </c>
      <c r="L55" t="n">
        <v>33.2</v>
      </c>
      <c r="M55" t="n">
        <v>95.1</v>
      </c>
      <c r="N55" t="n">
        <v>79.6</v>
      </c>
      <c r="O55" t="n">
        <v>26.9</v>
      </c>
      <c r="P55" t="n">
        <v>53</v>
      </c>
      <c r="Q55" t="n">
        <v>101.2</v>
      </c>
      <c r="R55" t="n">
        <v>128</v>
      </c>
      <c r="S55" t="n">
        <v>183</v>
      </c>
      <c r="T55" t="n">
        <v>1177.1</v>
      </c>
      <c r="U55" t="n">
        <v>12</v>
      </c>
      <c r="V55" t="n">
        <v>75.2</v>
      </c>
      <c r="W55" t="n">
        <v>46.5</v>
      </c>
      <c r="X55" t="n">
        <v>58.7</v>
      </c>
      <c r="Y55" t="n">
        <v>123.2</v>
      </c>
      <c r="Z55" t="n">
        <v>127.1</v>
      </c>
      <c r="AA55" t="n">
        <v>88.7</v>
      </c>
      <c r="AB55" t="n">
        <v>71.5</v>
      </c>
      <c r="AC55" t="n">
        <v>9.9</v>
      </c>
      <c r="AD55" t="n">
        <v>10.4</v>
      </c>
      <c r="AE55" t="n">
        <v>9.8</v>
      </c>
      <c r="AF55" t="n">
        <v>31</v>
      </c>
    </row>
    <row r="56">
      <c r="A56" t="s">
        <v>13</v>
      </c>
      <c r="B56" t="s">
        <v>382</v>
      </c>
      <c r="C56" t="s">
        <v>217</v>
      </c>
      <c r="D56" t="s">
        <v>383</v>
      </c>
      <c r="E56" t="s">
        <v>218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13</v>
      </c>
      <c r="B57" t="s">
        <v>384</v>
      </c>
      <c r="C57" t="s">
        <v>217</v>
      </c>
      <c r="D57" t="s">
        <v>385</v>
      </c>
      <c r="E57" t="s">
        <v>218</v>
      </c>
      <c r="F57" t="n">
        <v>6160.9</v>
      </c>
      <c r="G57" t="n">
        <v>6895.3</v>
      </c>
      <c r="H57" t="n">
        <v>7886.8</v>
      </c>
      <c r="I57" t="n">
        <v>8931</v>
      </c>
      <c r="J57" t="n">
        <v>9678.9</v>
      </c>
      <c r="K57" t="n">
        <v>9951.1</v>
      </c>
      <c r="L57" t="n">
        <v>11922.8</v>
      </c>
      <c r="M57" t="n">
        <v>10457.7</v>
      </c>
      <c r="N57" t="n">
        <v>12624.5</v>
      </c>
      <c r="O57" t="n">
        <v>12730.9</v>
      </c>
      <c r="P57" t="n">
        <v>9943.7</v>
      </c>
      <c r="Q57" t="n">
        <v>11873.1</v>
      </c>
      <c r="R57" t="n">
        <v>12100.9</v>
      </c>
      <c r="S57" t="n">
        <v>13733.9</v>
      </c>
      <c r="T57" t="n">
        <v>13994.4</v>
      </c>
      <c r="U57" t="n">
        <v>10253.6</v>
      </c>
      <c r="V57" t="n">
        <v>7149</v>
      </c>
      <c r="W57" t="n">
        <v>7342.3</v>
      </c>
      <c r="X57" t="n">
        <v>7619.6</v>
      </c>
      <c r="Y57" t="n">
        <v>7078.8</v>
      </c>
      <c r="Z57" t="n">
        <v>6729.4</v>
      </c>
      <c r="AA57" t="n">
        <v>8021.3</v>
      </c>
      <c r="AB57" t="n">
        <v>7706.8</v>
      </c>
      <c r="AC57" t="n">
        <v>6420.9</v>
      </c>
      <c r="AD57" t="n">
        <v>5125.3</v>
      </c>
      <c r="AE57" t="n">
        <v>4880</v>
      </c>
      <c r="AF57" t="n">
        <v>5919.7</v>
      </c>
    </row>
    <row r="58">
      <c r="A58" t="s">
        <v>13</v>
      </c>
      <c r="B58" t="s">
        <v>386</v>
      </c>
      <c r="C58" t="s">
        <v>217</v>
      </c>
      <c r="D58" t="s">
        <v>387</v>
      </c>
      <c r="E58" t="s">
        <v>218</v>
      </c>
      <c r="F58" t="n">
        <v>6160.9</v>
      </c>
      <c r="G58" t="n">
        <v>6895.3</v>
      </c>
      <c r="H58" t="n">
        <v>7886.8</v>
      </c>
      <c r="I58" t="n">
        <v>8931</v>
      </c>
      <c r="J58" t="n">
        <v>9678.9</v>
      </c>
      <c r="K58" t="n">
        <v>9951.1</v>
      </c>
      <c r="L58" t="n">
        <v>11922.8</v>
      </c>
      <c r="M58" t="n">
        <v>10457.7</v>
      </c>
      <c r="N58" t="n">
        <v>12624.5</v>
      </c>
      <c r="O58" t="n">
        <v>12730.9</v>
      </c>
      <c r="P58" t="n">
        <v>9943.7</v>
      </c>
      <c r="Q58" t="n">
        <v>11873.1</v>
      </c>
      <c r="R58" t="n">
        <v>12100.9</v>
      </c>
      <c r="S58" t="n">
        <v>13733.9</v>
      </c>
      <c r="T58" t="n">
        <v>13994.4</v>
      </c>
      <c r="U58" t="n">
        <v>10253.6</v>
      </c>
      <c r="V58" t="n">
        <v>7149</v>
      </c>
      <c r="W58" t="n">
        <v>7342.3</v>
      </c>
      <c r="X58" t="n">
        <v>7619.6</v>
      </c>
      <c r="Y58" t="n">
        <v>7078.8</v>
      </c>
      <c r="Z58" t="n">
        <v>6729.4</v>
      </c>
      <c r="AA58" t="n">
        <v>8021.3</v>
      </c>
      <c r="AB58" t="n">
        <v>7706.8</v>
      </c>
      <c r="AC58" t="n">
        <v>6420.9</v>
      </c>
      <c r="AD58" t="n">
        <v>5125.3</v>
      </c>
      <c r="AE58" t="n">
        <v>4880</v>
      </c>
      <c r="AF58" t="n">
        <v>5919.7</v>
      </c>
    </row>
    <row r="59">
      <c r="A59" t="s">
        <v>13</v>
      </c>
      <c r="B59" t="s">
        <v>388</v>
      </c>
      <c r="C59" t="s">
        <v>217</v>
      </c>
      <c r="D59" t="s">
        <v>389</v>
      </c>
      <c r="E59" t="s">
        <v>218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15</v>
      </c>
      <c r="B2" t="s">
        <v>197</v>
      </c>
      <c r="C2" t="s">
        <v>217</v>
      </c>
      <c r="D2" t="s">
        <v>199</v>
      </c>
      <c r="E2" t="s">
        <v>218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15</v>
      </c>
      <c r="B3" t="s">
        <v>276</v>
      </c>
      <c r="C3" t="s">
        <v>217</v>
      </c>
      <c r="D3" t="s">
        <v>277</v>
      </c>
      <c r="E3" t="s">
        <v>218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15</v>
      </c>
      <c r="B4" t="s">
        <v>278</v>
      </c>
      <c r="C4" t="s">
        <v>217</v>
      </c>
      <c r="D4" t="s">
        <v>279</v>
      </c>
      <c r="E4" t="s">
        <v>218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15</v>
      </c>
      <c r="B5" t="s">
        <v>280</v>
      </c>
      <c r="C5" t="s">
        <v>217</v>
      </c>
      <c r="D5" t="s">
        <v>281</v>
      </c>
      <c r="E5" t="s">
        <v>218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15</v>
      </c>
      <c r="B6" t="s">
        <v>282</v>
      </c>
      <c r="C6" t="s">
        <v>217</v>
      </c>
      <c r="D6" t="s">
        <v>283</v>
      </c>
      <c r="E6" t="s">
        <v>218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15</v>
      </c>
      <c r="B7" t="s">
        <v>284</v>
      </c>
      <c r="C7" t="s">
        <v>217</v>
      </c>
      <c r="D7" t="s">
        <v>285</v>
      </c>
      <c r="E7" t="s">
        <v>218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15</v>
      </c>
      <c r="B8" t="s">
        <v>286</v>
      </c>
      <c r="C8" t="s">
        <v>217</v>
      </c>
      <c r="D8" t="s">
        <v>287</v>
      </c>
      <c r="E8" t="s">
        <v>218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15</v>
      </c>
      <c r="B9" t="s">
        <v>288</v>
      </c>
      <c r="C9" t="s">
        <v>217</v>
      </c>
      <c r="D9" t="s">
        <v>289</v>
      </c>
      <c r="E9" t="s">
        <v>218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15</v>
      </c>
      <c r="B10" t="s">
        <v>290</v>
      </c>
      <c r="C10" t="s">
        <v>217</v>
      </c>
      <c r="D10" t="s">
        <v>291</v>
      </c>
      <c r="E10" t="s">
        <v>218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15</v>
      </c>
      <c r="B11" t="s">
        <v>292</v>
      </c>
      <c r="C11" t="s">
        <v>217</v>
      </c>
      <c r="D11" t="s">
        <v>293</v>
      </c>
      <c r="E11" t="s">
        <v>218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15</v>
      </c>
      <c r="B12" t="s">
        <v>294</v>
      </c>
      <c r="C12" t="s">
        <v>217</v>
      </c>
      <c r="D12" t="s">
        <v>295</v>
      </c>
      <c r="E12" t="s">
        <v>218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15</v>
      </c>
      <c r="B13" t="s">
        <v>296</v>
      </c>
      <c r="C13" t="s">
        <v>217</v>
      </c>
      <c r="D13" t="s">
        <v>297</v>
      </c>
      <c r="E13" t="s">
        <v>218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15</v>
      </c>
      <c r="B14" t="s">
        <v>298</v>
      </c>
      <c r="C14" t="s">
        <v>217</v>
      </c>
      <c r="D14" t="s">
        <v>299</v>
      </c>
      <c r="E14" t="s">
        <v>218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15</v>
      </c>
      <c r="B15" t="s">
        <v>300</v>
      </c>
      <c r="C15" t="s">
        <v>217</v>
      </c>
      <c r="D15" t="s">
        <v>301</v>
      </c>
      <c r="E15" t="s">
        <v>218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15</v>
      </c>
      <c r="B16" t="s">
        <v>302</v>
      </c>
      <c r="C16" t="s">
        <v>217</v>
      </c>
      <c r="D16" t="s">
        <v>303</v>
      </c>
      <c r="E16" t="s">
        <v>218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15</v>
      </c>
      <c r="B17" t="s">
        <v>304</v>
      </c>
      <c r="C17" t="s">
        <v>217</v>
      </c>
      <c r="D17" t="s">
        <v>305</v>
      </c>
      <c r="E17" t="s">
        <v>218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15</v>
      </c>
      <c r="B18" t="s">
        <v>306</v>
      </c>
      <c r="C18" t="s">
        <v>217</v>
      </c>
      <c r="D18" t="s">
        <v>307</v>
      </c>
      <c r="E18" t="s">
        <v>218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15</v>
      </c>
      <c r="B19" t="s">
        <v>308</v>
      </c>
      <c r="C19" t="s">
        <v>217</v>
      </c>
      <c r="D19" t="s">
        <v>309</v>
      </c>
      <c r="E19" t="s">
        <v>218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15</v>
      </c>
      <c r="B20" t="s">
        <v>310</v>
      </c>
      <c r="C20" t="s">
        <v>217</v>
      </c>
      <c r="D20" t="s">
        <v>311</v>
      </c>
      <c r="E20" t="s">
        <v>218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15</v>
      </c>
      <c r="B21" t="s">
        <v>312</v>
      </c>
      <c r="C21" t="s">
        <v>217</v>
      </c>
      <c r="D21" t="s">
        <v>313</v>
      </c>
      <c r="E21" t="s">
        <v>218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15</v>
      </c>
      <c r="B22" t="s">
        <v>314</v>
      </c>
      <c r="C22" t="s">
        <v>217</v>
      </c>
      <c r="D22" t="s">
        <v>315</v>
      </c>
      <c r="E22" t="s">
        <v>218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15</v>
      </c>
      <c r="B23" t="s">
        <v>316</v>
      </c>
      <c r="C23" t="s">
        <v>217</v>
      </c>
      <c r="D23" t="s">
        <v>317</v>
      </c>
      <c r="E23" t="s">
        <v>218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15</v>
      </c>
      <c r="B24" t="s">
        <v>318</v>
      </c>
      <c r="C24" t="s">
        <v>217</v>
      </c>
      <c r="D24" t="s">
        <v>319</v>
      </c>
      <c r="E24" t="s">
        <v>218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15</v>
      </c>
      <c r="B25" t="s">
        <v>320</v>
      </c>
      <c r="C25" t="s">
        <v>217</v>
      </c>
      <c r="D25" t="s">
        <v>321</v>
      </c>
      <c r="E25" t="s">
        <v>218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15</v>
      </c>
      <c r="B26" t="s">
        <v>322</v>
      </c>
      <c r="C26" t="s">
        <v>217</v>
      </c>
      <c r="D26" t="s">
        <v>323</v>
      </c>
      <c r="E26" t="s">
        <v>218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15</v>
      </c>
      <c r="B27" t="s">
        <v>324</v>
      </c>
      <c r="C27" t="s">
        <v>217</v>
      </c>
      <c r="D27" t="s">
        <v>325</v>
      </c>
      <c r="E27" t="s">
        <v>218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15</v>
      </c>
      <c r="B28" t="s">
        <v>326</v>
      </c>
      <c r="C28" t="s">
        <v>217</v>
      </c>
      <c r="D28" t="s">
        <v>327</v>
      </c>
      <c r="E28" t="s">
        <v>218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15</v>
      </c>
      <c r="B29" t="s">
        <v>328</v>
      </c>
      <c r="C29" t="s">
        <v>217</v>
      </c>
      <c r="D29" t="s">
        <v>329</v>
      </c>
      <c r="E29" t="s">
        <v>218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15</v>
      </c>
      <c r="B30" t="s">
        <v>330</v>
      </c>
      <c r="C30" t="s">
        <v>217</v>
      </c>
      <c r="D30" t="s">
        <v>331</v>
      </c>
      <c r="E30" t="s">
        <v>218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15</v>
      </c>
      <c r="B31" t="s">
        <v>332</v>
      </c>
      <c r="C31" t="s">
        <v>217</v>
      </c>
      <c r="D31" t="s">
        <v>333</v>
      </c>
      <c r="E31" t="s">
        <v>218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15</v>
      </c>
      <c r="B32" t="s">
        <v>334</v>
      </c>
      <c r="C32" t="s">
        <v>217</v>
      </c>
      <c r="D32" t="s">
        <v>335</v>
      </c>
      <c r="E32" t="s">
        <v>218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15</v>
      </c>
      <c r="B33" t="s">
        <v>336</v>
      </c>
      <c r="C33" t="s">
        <v>217</v>
      </c>
      <c r="D33" t="s">
        <v>337</v>
      </c>
      <c r="E33" t="s">
        <v>218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15</v>
      </c>
      <c r="B34" t="s">
        <v>338</v>
      </c>
      <c r="C34" t="s">
        <v>217</v>
      </c>
      <c r="D34" t="s">
        <v>339</v>
      </c>
      <c r="E34" t="s">
        <v>218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15</v>
      </c>
      <c r="B35" t="s">
        <v>340</v>
      </c>
      <c r="C35" t="s">
        <v>217</v>
      </c>
      <c r="D35" t="s">
        <v>341</v>
      </c>
      <c r="E35" t="s">
        <v>218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s">
        <v>15</v>
      </c>
      <c r="B36" t="s">
        <v>342</v>
      </c>
      <c r="C36" t="s">
        <v>217</v>
      </c>
      <c r="D36" t="s">
        <v>343</v>
      </c>
      <c r="E36" t="s">
        <v>218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15</v>
      </c>
      <c r="B37" t="s">
        <v>344</v>
      </c>
      <c r="C37" t="s">
        <v>217</v>
      </c>
      <c r="D37" t="s">
        <v>345</v>
      </c>
      <c r="E37" t="s">
        <v>218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15</v>
      </c>
      <c r="B38" t="s">
        <v>346</v>
      </c>
      <c r="C38" t="s">
        <v>217</v>
      </c>
      <c r="D38" t="s">
        <v>347</v>
      </c>
      <c r="E38" t="s">
        <v>218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15</v>
      </c>
      <c r="B39" t="s">
        <v>348</v>
      </c>
      <c r="C39" t="s">
        <v>217</v>
      </c>
      <c r="D39" t="s">
        <v>349</v>
      </c>
      <c r="E39" t="s">
        <v>218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15</v>
      </c>
      <c r="B40" t="s">
        <v>350</v>
      </c>
      <c r="C40" t="s">
        <v>217</v>
      </c>
      <c r="D40" t="s">
        <v>351</v>
      </c>
      <c r="E40" t="s">
        <v>218</v>
      </c>
      <c r="F40" t="n">
        <v>7663.7</v>
      </c>
      <c r="G40" t="n">
        <v>8533.1</v>
      </c>
      <c r="H40" t="n">
        <v>8290.7</v>
      </c>
      <c r="I40" t="n">
        <v>10952.6</v>
      </c>
      <c r="J40" t="n">
        <v>11784.3</v>
      </c>
      <c r="K40" t="n">
        <v>12579.2</v>
      </c>
      <c r="L40" t="n">
        <v>11953.4</v>
      </c>
      <c r="M40" t="n">
        <v>13114.1</v>
      </c>
      <c r="N40" t="n">
        <v>16009.7</v>
      </c>
      <c r="O40" t="n">
        <v>19254</v>
      </c>
      <c r="P40" t="n">
        <v>17398.5</v>
      </c>
      <c r="Q40" t="n">
        <v>21864.6</v>
      </c>
      <c r="R40" t="n">
        <v>25199.5</v>
      </c>
      <c r="S40" t="n">
        <v>19624.7</v>
      </c>
      <c r="T40" t="n">
        <v>15532.3</v>
      </c>
      <c r="U40" t="n">
        <v>11665.3</v>
      </c>
      <c r="V40" t="n">
        <v>9961.4</v>
      </c>
      <c r="W40" t="n">
        <v>6147.4</v>
      </c>
      <c r="X40" t="n">
        <v>4186.1</v>
      </c>
      <c r="Y40" t="n">
        <v>1890.1</v>
      </c>
      <c r="Z40" t="n">
        <v>1364.6</v>
      </c>
      <c r="AA40" t="n">
        <v>1174.2</v>
      </c>
      <c r="AB40" t="n">
        <v>1089.4</v>
      </c>
      <c r="AC40" t="n">
        <v>1339.5</v>
      </c>
      <c r="AD40" t="n">
        <v>1501.7</v>
      </c>
      <c r="AE40" t="n">
        <v>1786</v>
      </c>
      <c r="AF40" t="n">
        <v>2410</v>
      </c>
    </row>
    <row r="41">
      <c r="A41" t="s">
        <v>15</v>
      </c>
      <c r="B41" t="s">
        <v>352</v>
      </c>
      <c r="C41" t="s">
        <v>217</v>
      </c>
      <c r="D41" t="s">
        <v>353</v>
      </c>
      <c r="E41" t="s">
        <v>218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15</v>
      </c>
      <c r="B42" t="s">
        <v>354</v>
      </c>
      <c r="C42" t="s">
        <v>217</v>
      </c>
      <c r="D42" t="s">
        <v>355</v>
      </c>
      <c r="E42" t="s">
        <v>218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15</v>
      </c>
      <c r="B43" t="s">
        <v>356</v>
      </c>
      <c r="C43" t="s">
        <v>217</v>
      </c>
      <c r="D43" t="s">
        <v>357</v>
      </c>
      <c r="E43" t="s">
        <v>218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15</v>
      </c>
      <c r="B44" t="s">
        <v>358</v>
      </c>
      <c r="C44" t="s">
        <v>217</v>
      </c>
      <c r="D44" t="s">
        <v>359</v>
      </c>
      <c r="E44" t="s">
        <v>218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</row>
    <row r="45">
      <c r="A45" t="s">
        <v>15</v>
      </c>
      <c r="B45" t="s">
        <v>360</v>
      </c>
      <c r="C45" t="s">
        <v>217</v>
      </c>
      <c r="D45" t="s">
        <v>361</v>
      </c>
      <c r="E45" t="s">
        <v>218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</row>
    <row r="46">
      <c r="A46" t="s">
        <v>15</v>
      </c>
      <c r="B46" t="s">
        <v>362</v>
      </c>
      <c r="C46" t="s">
        <v>217</v>
      </c>
      <c r="D46" t="s">
        <v>363</v>
      </c>
      <c r="E46" t="s">
        <v>218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15</v>
      </c>
      <c r="B47" t="s">
        <v>364</v>
      </c>
      <c r="C47" t="s">
        <v>217</v>
      </c>
      <c r="D47" t="s">
        <v>365</v>
      </c>
      <c r="E47" t="s">
        <v>218</v>
      </c>
      <c r="F47" t="n">
        <v>68.7</v>
      </c>
      <c r="G47" t="n">
        <v>73.2</v>
      </c>
      <c r="H47" t="n">
        <v>73.5</v>
      </c>
      <c r="I47" t="n">
        <v>62.9</v>
      </c>
      <c r="J47" t="n">
        <v>83.5</v>
      </c>
      <c r="K47" t="n">
        <v>82.6</v>
      </c>
      <c r="L47" t="n">
        <v>93</v>
      </c>
      <c r="M47" t="n">
        <v>101</v>
      </c>
      <c r="N47" t="n">
        <v>94</v>
      </c>
      <c r="O47" t="n">
        <v>78</v>
      </c>
      <c r="P47" t="n">
        <v>113.4</v>
      </c>
      <c r="Q47" t="n">
        <v>3.1</v>
      </c>
      <c r="R47" t="n">
        <v>3.1</v>
      </c>
      <c r="S47" t="n">
        <v>5.5</v>
      </c>
      <c r="T47" t="n">
        <v>6</v>
      </c>
      <c r="U47" t="n">
        <v>0</v>
      </c>
      <c r="V47" t="n">
        <v>0.3</v>
      </c>
      <c r="W47" t="n">
        <v>0.7</v>
      </c>
      <c r="X47" t="n">
        <v>1.2</v>
      </c>
      <c r="Y47" t="n">
        <v>0.3</v>
      </c>
      <c r="Z47" t="n">
        <v>0.3</v>
      </c>
      <c r="AA47" t="n">
        <v>0.2</v>
      </c>
      <c r="AB47" t="n">
        <v>0.1</v>
      </c>
      <c r="AC47" t="n">
        <v>0.1</v>
      </c>
      <c r="AD47" t="n">
        <v>0.1</v>
      </c>
      <c r="AE47" t="n">
        <v>0.1</v>
      </c>
      <c r="AF47" t="n">
        <v>0</v>
      </c>
    </row>
    <row r="48">
      <c r="A48" t="s">
        <v>15</v>
      </c>
      <c r="B48" t="s">
        <v>366</v>
      </c>
      <c r="C48" t="s">
        <v>217</v>
      </c>
      <c r="D48" t="s">
        <v>367</v>
      </c>
      <c r="E48" t="s">
        <v>218</v>
      </c>
      <c r="F48" t="n">
        <v>68.7</v>
      </c>
      <c r="G48" t="n">
        <v>73.2</v>
      </c>
      <c r="H48" t="n">
        <v>73.5</v>
      </c>
      <c r="I48" t="n">
        <v>62.9</v>
      </c>
      <c r="J48" t="n">
        <v>83.5</v>
      </c>
      <c r="K48" t="n">
        <v>82.6</v>
      </c>
      <c r="L48" t="n">
        <v>93</v>
      </c>
      <c r="M48" t="n">
        <v>101</v>
      </c>
      <c r="N48" t="n">
        <v>94</v>
      </c>
      <c r="O48" t="n">
        <v>78</v>
      </c>
      <c r="P48" t="n">
        <v>113.4</v>
      </c>
      <c r="Q48" t="n">
        <v>3.1</v>
      </c>
      <c r="R48" t="n">
        <v>3.1</v>
      </c>
      <c r="S48" t="n">
        <v>5.5</v>
      </c>
      <c r="T48" t="n">
        <v>6</v>
      </c>
      <c r="U48" t="n">
        <v>0</v>
      </c>
      <c r="V48" t="n">
        <v>0.3</v>
      </c>
      <c r="W48" t="n">
        <v>0.7</v>
      </c>
      <c r="X48" t="n">
        <v>1.2</v>
      </c>
      <c r="Y48" t="n">
        <v>0.3</v>
      </c>
      <c r="Z48" t="n">
        <v>0.3</v>
      </c>
      <c r="AA48" t="n">
        <v>0.2</v>
      </c>
      <c r="AB48" t="n">
        <v>0.1</v>
      </c>
      <c r="AC48" t="n">
        <v>0.1</v>
      </c>
      <c r="AD48" t="n">
        <v>0.1</v>
      </c>
      <c r="AE48" t="n">
        <v>0.1</v>
      </c>
      <c r="AF48" t="n">
        <v>0</v>
      </c>
    </row>
    <row r="49">
      <c r="A49" t="s">
        <v>15</v>
      </c>
      <c r="B49" t="s">
        <v>368</v>
      </c>
      <c r="C49" t="s">
        <v>217</v>
      </c>
      <c r="D49" t="s">
        <v>369</v>
      </c>
      <c r="E49" t="s">
        <v>218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15</v>
      </c>
      <c r="B50" t="s">
        <v>370</v>
      </c>
      <c r="C50" t="s">
        <v>217</v>
      </c>
      <c r="D50" t="s">
        <v>371</v>
      </c>
      <c r="E50" t="s">
        <v>218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15</v>
      </c>
      <c r="B51" t="s">
        <v>372</v>
      </c>
      <c r="C51" t="s">
        <v>217</v>
      </c>
      <c r="D51" t="s">
        <v>373</v>
      </c>
      <c r="E51" t="s">
        <v>218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15</v>
      </c>
      <c r="B52" t="s">
        <v>374</v>
      </c>
      <c r="C52" t="s">
        <v>217</v>
      </c>
      <c r="D52" t="s">
        <v>375</v>
      </c>
      <c r="E52" t="s">
        <v>218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15</v>
      </c>
      <c r="B53" t="s">
        <v>376</v>
      </c>
      <c r="C53" t="s">
        <v>217</v>
      </c>
      <c r="D53" t="s">
        <v>377</v>
      </c>
      <c r="E53" t="s">
        <v>218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15</v>
      </c>
      <c r="B54" t="s">
        <v>378</v>
      </c>
      <c r="C54" t="s">
        <v>217</v>
      </c>
      <c r="D54" t="s">
        <v>379</v>
      </c>
      <c r="E54" t="s">
        <v>218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s">
        <v>15</v>
      </c>
      <c r="B55" t="s">
        <v>380</v>
      </c>
      <c r="C55" t="s">
        <v>217</v>
      </c>
      <c r="D55" t="s">
        <v>381</v>
      </c>
      <c r="E55" t="s">
        <v>218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15</v>
      </c>
      <c r="B56" t="s">
        <v>382</v>
      </c>
      <c r="C56" t="s">
        <v>217</v>
      </c>
      <c r="D56" t="s">
        <v>383</v>
      </c>
      <c r="E56" t="s">
        <v>218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15</v>
      </c>
      <c r="B57" t="s">
        <v>384</v>
      </c>
      <c r="C57" t="s">
        <v>217</v>
      </c>
      <c r="D57" t="s">
        <v>385</v>
      </c>
      <c r="E57" t="s">
        <v>218</v>
      </c>
      <c r="F57" t="n">
        <v>7732.4</v>
      </c>
      <c r="G57" t="n">
        <v>8606.3</v>
      </c>
      <c r="H57" t="n">
        <v>8364.2</v>
      </c>
      <c r="I57" t="n">
        <v>11015.5</v>
      </c>
      <c r="J57" t="n">
        <v>11867.8</v>
      </c>
      <c r="K57" t="n">
        <v>12661.8</v>
      </c>
      <c r="L57" t="n">
        <v>12046.4</v>
      </c>
      <c r="M57" t="n">
        <v>13215.1</v>
      </c>
      <c r="N57" t="n">
        <v>16103.7</v>
      </c>
      <c r="O57" t="n">
        <v>19332</v>
      </c>
      <c r="P57" t="n">
        <v>17511.9</v>
      </c>
      <c r="Q57" t="n">
        <v>21867.7</v>
      </c>
      <c r="R57" t="n">
        <v>25202.6</v>
      </c>
      <c r="S57" t="n">
        <v>19630.2</v>
      </c>
      <c r="T57" t="n">
        <v>15538.3</v>
      </c>
      <c r="U57" t="n">
        <v>11665.3</v>
      </c>
      <c r="V57" t="n">
        <v>9961.7</v>
      </c>
      <c r="W57" t="n">
        <v>6148.1</v>
      </c>
      <c r="X57" t="n">
        <v>4187.3</v>
      </c>
      <c r="Y57" t="n">
        <v>1890.4</v>
      </c>
      <c r="Z57" t="n">
        <v>1364.9</v>
      </c>
      <c r="AA57" t="n">
        <v>1174.4</v>
      </c>
      <c r="AB57" t="n">
        <v>1089.5</v>
      </c>
      <c r="AC57" t="n">
        <v>1339.6</v>
      </c>
      <c r="AD57" t="n">
        <v>1501.8</v>
      </c>
      <c r="AE57" t="n">
        <v>1786.1</v>
      </c>
      <c r="AF57" t="n">
        <v>2410</v>
      </c>
    </row>
    <row r="58">
      <c r="A58" t="s">
        <v>15</v>
      </c>
      <c r="B58" t="s">
        <v>386</v>
      </c>
      <c r="C58" t="s">
        <v>217</v>
      </c>
      <c r="D58" t="s">
        <v>387</v>
      </c>
      <c r="E58" t="s">
        <v>218</v>
      </c>
      <c r="F58" t="n">
        <v>7732.4</v>
      </c>
      <c r="G58" t="n">
        <v>8606.3</v>
      </c>
      <c r="H58" t="n">
        <v>8364.2</v>
      </c>
      <c r="I58" t="n">
        <v>11015.5</v>
      </c>
      <c r="J58" t="n">
        <v>11867.8</v>
      </c>
      <c r="K58" t="n">
        <v>12661.8</v>
      </c>
      <c r="L58" t="n">
        <v>12046.4</v>
      </c>
      <c r="M58" t="n">
        <v>13215.1</v>
      </c>
      <c r="N58" t="n">
        <v>16103.7</v>
      </c>
      <c r="O58" t="n">
        <v>19332</v>
      </c>
      <c r="P58" t="n">
        <v>17511.9</v>
      </c>
      <c r="Q58" t="n">
        <v>21867.7</v>
      </c>
      <c r="R58" t="n">
        <v>25202.6</v>
      </c>
      <c r="S58" t="n">
        <v>19630.2</v>
      </c>
      <c r="T58" t="n">
        <v>15538.3</v>
      </c>
      <c r="U58" t="n">
        <v>11665.3</v>
      </c>
      <c r="V58" t="n">
        <v>9961.7</v>
      </c>
      <c r="W58" t="n">
        <v>6148.1</v>
      </c>
      <c r="X58" t="n">
        <v>4187.3</v>
      </c>
      <c r="Y58" t="n">
        <v>1890.4</v>
      </c>
      <c r="Z58" t="n">
        <v>1364.9</v>
      </c>
      <c r="AA58" t="n">
        <v>1174.4</v>
      </c>
      <c r="AB58" t="n">
        <v>1089.5</v>
      </c>
      <c r="AC58" t="n">
        <v>1339.6</v>
      </c>
      <c r="AD58" t="n">
        <v>1501.8</v>
      </c>
      <c r="AE58" t="n">
        <v>1786.1</v>
      </c>
      <c r="AF58" t="n">
        <v>2410</v>
      </c>
    </row>
    <row r="59">
      <c r="A59" t="s">
        <v>15</v>
      </c>
      <c r="B59" t="s">
        <v>388</v>
      </c>
      <c r="C59" t="s">
        <v>217</v>
      </c>
      <c r="D59" t="s">
        <v>389</v>
      </c>
      <c r="E59" t="s">
        <v>218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17</v>
      </c>
      <c r="B2" t="s">
        <v>197</v>
      </c>
      <c r="C2" t="s">
        <v>217</v>
      </c>
      <c r="D2" t="s">
        <v>199</v>
      </c>
      <c r="E2" t="s">
        <v>218</v>
      </c>
      <c r="F2" t="n">
        <v>72.3</v>
      </c>
      <c r="G2" t="n">
        <v>40.2</v>
      </c>
      <c r="H2" t="n">
        <v>48.6</v>
      </c>
      <c r="I2" t="n">
        <v>61</v>
      </c>
      <c r="J2" t="n">
        <v>55.2</v>
      </c>
      <c r="K2" t="n">
        <v>88.7</v>
      </c>
      <c r="L2" t="n">
        <v>95.6</v>
      </c>
      <c r="M2" t="n">
        <v>102.3</v>
      </c>
      <c r="N2" t="n">
        <v>115.6</v>
      </c>
      <c r="O2" t="n">
        <v>96.2</v>
      </c>
      <c r="P2" t="n">
        <v>115.3</v>
      </c>
      <c r="Q2" t="n">
        <v>134.8</v>
      </c>
      <c r="R2" t="n">
        <v>107.3</v>
      </c>
      <c r="S2" t="n">
        <v>160.5</v>
      </c>
      <c r="T2" t="n">
        <v>158.9</v>
      </c>
      <c r="U2" t="n">
        <v>91.8</v>
      </c>
      <c r="V2" t="n">
        <v>113</v>
      </c>
      <c r="W2" t="n">
        <v>90.1</v>
      </c>
      <c r="X2" t="n">
        <v>112.7</v>
      </c>
      <c r="Y2" t="n">
        <v>106.7</v>
      </c>
      <c r="Z2" t="n">
        <v>70</v>
      </c>
      <c r="AA2" t="n">
        <v>112.1</v>
      </c>
      <c r="AB2" t="n">
        <v>76.6</v>
      </c>
      <c r="AC2" t="n">
        <v>70.9</v>
      </c>
      <c r="AD2" t="n">
        <v>85.4</v>
      </c>
      <c r="AE2" t="n">
        <v>70.2</v>
      </c>
      <c r="AF2" t="n">
        <v>34.4</v>
      </c>
    </row>
    <row r="3">
      <c r="A3" t="s">
        <v>17</v>
      </c>
      <c r="B3" t="s">
        <v>276</v>
      </c>
      <c r="C3" t="s">
        <v>217</v>
      </c>
      <c r="D3" t="s">
        <v>277</v>
      </c>
      <c r="E3" t="s">
        <v>218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17</v>
      </c>
      <c r="B4" t="s">
        <v>278</v>
      </c>
      <c r="C4" t="s">
        <v>217</v>
      </c>
      <c r="D4" t="s">
        <v>279</v>
      </c>
      <c r="E4" t="s">
        <v>218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17</v>
      </c>
      <c r="B5" t="s">
        <v>280</v>
      </c>
      <c r="C5" t="s">
        <v>217</v>
      </c>
      <c r="D5" t="s">
        <v>281</v>
      </c>
      <c r="E5" t="s">
        <v>218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17</v>
      </c>
      <c r="B6" t="s">
        <v>282</v>
      </c>
      <c r="C6" t="s">
        <v>217</v>
      </c>
      <c r="D6" t="s">
        <v>283</v>
      </c>
      <c r="E6" t="s">
        <v>218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17</v>
      </c>
      <c r="B7" t="s">
        <v>284</v>
      </c>
      <c r="C7" t="s">
        <v>217</v>
      </c>
      <c r="D7" t="s">
        <v>285</v>
      </c>
      <c r="E7" t="s">
        <v>218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17</v>
      </c>
      <c r="B8" t="s">
        <v>286</v>
      </c>
      <c r="C8" t="s">
        <v>217</v>
      </c>
      <c r="D8" t="s">
        <v>287</v>
      </c>
      <c r="E8" t="s">
        <v>218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17</v>
      </c>
      <c r="B9" t="s">
        <v>288</v>
      </c>
      <c r="C9" t="s">
        <v>217</v>
      </c>
      <c r="D9" t="s">
        <v>289</v>
      </c>
      <c r="E9" t="s">
        <v>218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17</v>
      </c>
      <c r="B10" t="s">
        <v>290</v>
      </c>
      <c r="C10" t="s">
        <v>217</v>
      </c>
      <c r="D10" t="s">
        <v>291</v>
      </c>
      <c r="E10" t="s">
        <v>218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17</v>
      </c>
      <c r="B11" t="s">
        <v>292</v>
      </c>
      <c r="C11" t="s">
        <v>217</v>
      </c>
      <c r="D11" t="s">
        <v>293</v>
      </c>
      <c r="E11" t="s">
        <v>218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17</v>
      </c>
      <c r="B12" t="s">
        <v>294</v>
      </c>
      <c r="C12" t="s">
        <v>217</v>
      </c>
      <c r="D12" t="s">
        <v>295</v>
      </c>
      <c r="E12" t="s">
        <v>218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17</v>
      </c>
      <c r="B13" t="s">
        <v>296</v>
      </c>
      <c r="C13" t="s">
        <v>217</v>
      </c>
      <c r="D13" t="s">
        <v>297</v>
      </c>
      <c r="E13" t="s">
        <v>218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17</v>
      </c>
      <c r="B14" t="s">
        <v>298</v>
      </c>
      <c r="C14" t="s">
        <v>217</v>
      </c>
      <c r="D14" t="s">
        <v>299</v>
      </c>
      <c r="E14" t="s">
        <v>218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17</v>
      </c>
      <c r="B15" t="s">
        <v>300</v>
      </c>
      <c r="C15" t="s">
        <v>217</v>
      </c>
      <c r="D15" t="s">
        <v>301</v>
      </c>
      <c r="E15" t="s">
        <v>218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17</v>
      </c>
      <c r="B16" t="s">
        <v>302</v>
      </c>
      <c r="C16" t="s">
        <v>217</v>
      </c>
      <c r="D16" t="s">
        <v>303</v>
      </c>
      <c r="E16" t="s">
        <v>218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17</v>
      </c>
      <c r="B17" t="s">
        <v>304</v>
      </c>
      <c r="C17" t="s">
        <v>217</v>
      </c>
      <c r="D17" t="s">
        <v>305</v>
      </c>
      <c r="E17" t="s">
        <v>218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17</v>
      </c>
      <c r="B18" t="s">
        <v>306</v>
      </c>
      <c r="C18" t="s">
        <v>217</v>
      </c>
      <c r="D18" t="s">
        <v>307</v>
      </c>
      <c r="E18" t="s">
        <v>218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17</v>
      </c>
      <c r="B19" t="s">
        <v>308</v>
      </c>
      <c r="C19" t="s">
        <v>217</v>
      </c>
      <c r="D19" t="s">
        <v>309</v>
      </c>
      <c r="E19" t="s">
        <v>218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17</v>
      </c>
      <c r="B20" t="s">
        <v>310</v>
      </c>
      <c r="C20" t="s">
        <v>217</v>
      </c>
      <c r="D20" t="s">
        <v>311</v>
      </c>
      <c r="E20" t="s">
        <v>218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17</v>
      </c>
      <c r="B21" t="s">
        <v>312</v>
      </c>
      <c r="C21" t="s">
        <v>217</v>
      </c>
      <c r="D21" t="s">
        <v>313</v>
      </c>
      <c r="E21" t="s">
        <v>218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17</v>
      </c>
      <c r="B22" t="s">
        <v>314</v>
      </c>
      <c r="C22" t="s">
        <v>217</v>
      </c>
      <c r="D22" t="s">
        <v>315</v>
      </c>
      <c r="E22" t="s">
        <v>218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17</v>
      </c>
      <c r="B23" t="s">
        <v>316</v>
      </c>
      <c r="C23" t="s">
        <v>217</v>
      </c>
      <c r="D23" t="s">
        <v>317</v>
      </c>
      <c r="E23" t="s">
        <v>218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17</v>
      </c>
      <c r="B24" t="s">
        <v>318</v>
      </c>
      <c r="C24" t="s">
        <v>217</v>
      </c>
      <c r="D24" t="s">
        <v>319</v>
      </c>
      <c r="E24" t="s">
        <v>218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17</v>
      </c>
      <c r="B25" t="s">
        <v>320</v>
      </c>
      <c r="C25" t="s">
        <v>217</v>
      </c>
      <c r="D25" t="s">
        <v>321</v>
      </c>
      <c r="E25" t="s">
        <v>218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17</v>
      </c>
      <c r="B26" t="s">
        <v>322</v>
      </c>
      <c r="C26" t="s">
        <v>217</v>
      </c>
      <c r="D26" t="s">
        <v>323</v>
      </c>
      <c r="E26" t="s">
        <v>218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17</v>
      </c>
      <c r="B27" t="s">
        <v>324</v>
      </c>
      <c r="C27" t="s">
        <v>217</v>
      </c>
      <c r="D27" t="s">
        <v>325</v>
      </c>
      <c r="E27" t="s">
        <v>218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17</v>
      </c>
      <c r="B28" t="s">
        <v>326</v>
      </c>
      <c r="C28" t="s">
        <v>217</v>
      </c>
      <c r="D28" t="s">
        <v>327</v>
      </c>
      <c r="E28" t="s">
        <v>218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17</v>
      </c>
      <c r="B29" t="s">
        <v>328</v>
      </c>
      <c r="C29" t="s">
        <v>217</v>
      </c>
      <c r="D29" t="s">
        <v>329</v>
      </c>
      <c r="E29" t="s">
        <v>218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17</v>
      </c>
      <c r="B30" t="s">
        <v>330</v>
      </c>
      <c r="C30" t="s">
        <v>217</v>
      </c>
      <c r="D30" t="s">
        <v>331</v>
      </c>
      <c r="E30" t="s">
        <v>218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17</v>
      </c>
      <c r="B31" t="s">
        <v>332</v>
      </c>
      <c r="C31" t="s">
        <v>217</v>
      </c>
      <c r="D31" t="s">
        <v>333</v>
      </c>
      <c r="E31" t="s">
        <v>218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17</v>
      </c>
      <c r="B32" t="s">
        <v>334</v>
      </c>
      <c r="C32" t="s">
        <v>217</v>
      </c>
      <c r="D32" t="s">
        <v>335</v>
      </c>
      <c r="E32" t="s">
        <v>218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17</v>
      </c>
      <c r="B33" t="s">
        <v>336</v>
      </c>
      <c r="C33" t="s">
        <v>217</v>
      </c>
      <c r="D33" t="s">
        <v>337</v>
      </c>
      <c r="E33" t="s">
        <v>218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17</v>
      </c>
      <c r="B34" t="s">
        <v>338</v>
      </c>
      <c r="C34" t="s">
        <v>217</v>
      </c>
      <c r="D34" t="s">
        <v>339</v>
      </c>
      <c r="E34" t="s">
        <v>218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17</v>
      </c>
      <c r="B35" t="s">
        <v>340</v>
      </c>
      <c r="C35" t="s">
        <v>217</v>
      </c>
      <c r="D35" t="s">
        <v>341</v>
      </c>
      <c r="E35" t="s">
        <v>218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s">
        <v>17</v>
      </c>
      <c r="B36" t="s">
        <v>342</v>
      </c>
      <c r="C36" t="s">
        <v>217</v>
      </c>
      <c r="D36" t="s">
        <v>343</v>
      </c>
      <c r="E36" t="s">
        <v>218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17</v>
      </c>
      <c r="B37" t="s">
        <v>344</v>
      </c>
      <c r="C37" t="s">
        <v>217</v>
      </c>
      <c r="D37" t="s">
        <v>345</v>
      </c>
      <c r="E37" t="s">
        <v>218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17</v>
      </c>
      <c r="B38" t="s">
        <v>346</v>
      </c>
      <c r="C38" t="s">
        <v>217</v>
      </c>
      <c r="D38" t="s">
        <v>347</v>
      </c>
      <c r="E38" t="s">
        <v>218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17</v>
      </c>
      <c r="B39" t="s">
        <v>348</v>
      </c>
      <c r="C39" t="s">
        <v>217</v>
      </c>
      <c r="D39" t="s">
        <v>349</v>
      </c>
      <c r="E39" t="s">
        <v>218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17</v>
      </c>
      <c r="B40" t="s">
        <v>350</v>
      </c>
      <c r="C40" t="s">
        <v>217</v>
      </c>
      <c r="D40" t="s">
        <v>351</v>
      </c>
      <c r="E40" t="s">
        <v>218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s">
        <v>17</v>
      </c>
      <c r="B41" t="s">
        <v>352</v>
      </c>
      <c r="C41" t="s">
        <v>217</v>
      </c>
      <c r="D41" t="s">
        <v>353</v>
      </c>
      <c r="E41" t="s">
        <v>218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17</v>
      </c>
      <c r="B42" t="s">
        <v>354</v>
      </c>
      <c r="C42" t="s">
        <v>217</v>
      </c>
      <c r="D42" t="s">
        <v>355</v>
      </c>
      <c r="E42" t="s">
        <v>218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17</v>
      </c>
      <c r="B43" t="s">
        <v>356</v>
      </c>
      <c r="C43" t="s">
        <v>217</v>
      </c>
      <c r="D43" t="s">
        <v>357</v>
      </c>
      <c r="E43" t="s">
        <v>218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17</v>
      </c>
      <c r="B44" t="s">
        <v>358</v>
      </c>
      <c r="C44" t="s">
        <v>217</v>
      </c>
      <c r="D44" t="s">
        <v>359</v>
      </c>
      <c r="E44" t="s">
        <v>218</v>
      </c>
      <c r="F44" t="n">
        <v>72.3</v>
      </c>
      <c r="G44" t="n">
        <v>40.2</v>
      </c>
      <c r="H44" t="n">
        <v>48.6</v>
      </c>
      <c r="I44" t="n">
        <v>61</v>
      </c>
      <c r="J44" t="n">
        <v>55.2</v>
      </c>
      <c r="K44" t="n">
        <v>88.7</v>
      </c>
      <c r="L44" t="n">
        <v>95.6</v>
      </c>
      <c r="M44" t="n">
        <v>102.3</v>
      </c>
      <c r="N44" t="n">
        <v>115.6</v>
      </c>
      <c r="O44" t="n">
        <v>96.2</v>
      </c>
      <c r="P44" t="n">
        <v>115.3</v>
      </c>
      <c r="Q44" t="n">
        <v>134.8</v>
      </c>
      <c r="R44" t="n">
        <v>107.3</v>
      </c>
      <c r="S44" t="n">
        <v>160.5</v>
      </c>
      <c r="T44" t="n">
        <v>158.9</v>
      </c>
      <c r="U44" t="n">
        <v>91.8</v>
      </c>
      <c r="V44" t="n">
        <v>113</v>
      </c>
      <c r="W44" t="n">
        <v>90.1</v>
      </c>
      <c r="X44" t="n">
        <v>112.7</v>
      </c>
      <c r="Y44" t="n">
        <v>106.7</v>
      </c>
      <c r="Z44" t="n">
        <v>70</v>
      </c>
      <c r="AA44" t="n">
        <v>112.1</v>
      </c>
      <c r="AB44" t="n">
        <v>76.6</v>
      </c>
      <c r="AC44" t="n">
        <v>70.9</v>
      </c>
      <c r="AD44" t="n">
        <v>85.4</v>
      </c>
      <c r="AE44" t="n">
        <v>70.2</v>
      </c>
      <c r="AF44" t="n">
        <v>34.4</v>
      </c>
    </row>
    <row r="45">
      <c r="A45" t="s">
        <v>17</v>
      </c>
      <c r="B45" t="s">
        <v>360</v>
      </c>
      <c r="C45" t="s">
        <v>217</v>
      </c>
      <c r="D45" t="s">
        <v>361</v>
      </c>
      <c r="E45" t="s">
        <v>218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</row>
    <row r="46">
      <c r="A46" t="s">
        <v>17</v>
      </c>
      <c r="B46" t="s">
        <v>362</v>
      </c>
      <c r="C46" t="s">
        <v>217</v>
      </c>
      <c r="D46" t="s">
        <v>363</v>
      </c>
      <c r="E46" t="s">
        <v>218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17</v>
      </c>
      <c r="B47" t="s">
        <v>364</v>
      </c>
      <c r="C47" t="s">
        <v>217</v>
      </c>
      <c r="D47" t="s">
        <v>365</v>
      </c>
      <c r="E47" t="s">
        <v>218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s">
        <v>17</v>
      </c>
      <c r="B48" t="s">
        <v>366</v>
      </c>
      <c r="C48" t="s">
        <v>217</v>
      </c>
      <c r="D48" t="s">
        <v>367</v>
      </c>
      <c r="E48" t="s">
        <v>218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s">
        <v>17</v>
      </c>
      <c r="B49" t="s">
        <v>368</v>
      </c>
      <c r="C49" t="s">
        <v>217</v>
      </c>
      <c r="D49" t="s">
        <v>369</v>
      </c>
      <c r="E49" t="s">
        <v>218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17</v>
      </c>
      <c r="B50" t="s">
        <v>370</v>
      </c>
      <c r="C50" t="s">
        <v>217</v>
      </c>
      <c r="D50" t="s">
        <v>371</v>
      </c>
      <c r="E50" t="s">
        <v>218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17</v>
      </c>
      <c r="B51" t="s">
        <v>372</v>
      </c>
      <c r="C51" t="s">
        <v>217</v>
      </c>
      <c r="D51" t="s">
        <v>373</v>
      </c>
      <c r="E51" t="s">
        <v>218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17</v>
      </c>
      <c r="B52" t="s">
        <v>374</v>
      </c>
      <c r="C52" t="s">
        <v>217</v>
      </c>
      <c r="D52" t="s">
        <v>375</v>
      </c>
      <c r="E52" t="s">
        <v>218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17</v>
      </c>
      <c r="B53" t="s">
        <v>376</v>
      </c>
      <c r="C53" t="s">
        <v>217</v>
      </c>
      <c r="D53" t="s">
        <v>377</v>
      </c>
      <c r="E53" t="s">
        <v>218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17</v>
      </c>
      <c r="B54" t="s">
        <v>378</v>
      </c>
      <c r="C54" t="s">
        <v>217</v>
      </c>
      <c r="D54" t="s">
        <v>379</v>
      </c>
      <c r="E54" t="s">
        <v>218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s">
        <v>17</v>
      </c>
      <c r="B55" t="s">
        <v>380</v>
      </c>
      <c r="C55" t="s">
        <v>217</v>
      </c>
      <c r="D55" t="s">
        <v>381</v>
      </c>
      <c r="E55" t="s">
        <v>218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17</v>
      </c>
      <c r="B56" t="s">
        <v>382</v>
      </c>
      <c r="C56" t="s">
        <v>217</v>
      </c>
      <c r="D56" t="s">
        <v>383</v>
      </c>
      <c r="E56" t="s">
        <v>218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17</v>
      </c>
      <c r="B57" t="s">
        <v>384</v>
      </c>
      <c r="C57" t="s">
        <v>217</v>
      </c>
      <c r="D57" t="s">
        <v>385</v>
      </c>
      <c r="E57" t="s">
        <v>218</v>
      </c>
      <c r="F57" t="n">
        <v>72.3</v>
      </c>
      <c r="G57" t="n">
        <v>40.2</v>
      </c>
      <c r="H57" t="n">
        <v>48.6</v>
      </c>
      <c r="I57" t="n">
        <v>61</v>
      </c>
      <c r="J57" t="n">
        <v>55.2</v>
      </c>
      <c r="K57" t="n">
        <v>88.7</v>
      </c>
      <c r="L57" t="n">
        <v>95.6</v>
      </c>
      <c r="M57" t="n">
        <v>102.3</v>
      </c>
      <c r="N57" t="n">
        <v>115.6</v>
      </c>
      <c r="O57" t="n">
        <v>96.2</v>
      </c>
      <c r="P57" t="n">
        <v>115.3</v>
      </c>
      <c r="Q57" t="n">
        <v>134.8</v>
      </c>
      <c r="R57" t="n">
        <v>107.3</v>
      </c>
      <c r="S57" t="n">
        <v>160.5</v>
      </c>
      <c r="T57" t="n">
        <v>158.9</v>
      </c>
      <c r="U57" t="n">
        <v>91.8</v>
      </c>
      <c r="V57" t="n">
        <v>113</v>
      </c>
      <c r="W57" t="n">
        <v>90.1</v>
      </c>
      <c r="X57" t="n">
        <v>112.7</v>
      </c>
      <c r="Y57" t="n">
        <v>108.4</v>
      </c>
      <c r="Z57" t="n">
        <v>71.8</v>
      </c>
      <c r="AA57" t="n">
        <v>115.3</v>
      </c>
      <c r="AB57" t="n">
        <v>78.6</v>
      </c>
      <c r="AC57" t="n">
        <v>71</v>
      </c>
      <c r="AD57" t="n">
        <v>85.6</v>
      </c>
      <c r="AE57" t="n">
        <v>70.3</v>
      </c>
      <c r="AF57" t="n">
        <v>34.4</v>
      </c>
    </row>
    <row r="58">
      <c r="A58" t="s">
        <v>17</v>
      </c>
      <c r="B58" t="s">
        <v>386</v>
      </c>
      <c r="C58" t="s">
        <v>217</v>
      </c>
      <c r="D58" t="s">
        <v>387</v>
      </c>
      <c r="E58" t="s">
        <v>218</v>
      </c>
      <c r="F58" t="n">
        <v>72.3</v>
      </c>
      <c r="G58" t="n">
        <v>40.2</v>
      </c>
      <c r="H58" t="n">
        <v>48.6</v>
      </c>
      <c r="I58" t="n">
        <v>61</v>
      </c>
      <c r="J58" t="n">
        <v>55.2</v>
      </c>
      <c r="K58" t="n">
        <v>88.7</v>
      </c>
      <c r="L58" t="n">
        <v>95.6</v>
      </c>
      <c r="M58" t="n">
        <v>102.3</v>
      </c>
      <c r="N58" t="n">
        <v>115.6</v>
      </c>
      <c r="O58" t="n">
        <v>96.2</v>
      </c>
      <c r="P58" t="n">
        <v>115.3</v>
      </c>
      <c r="Q58" t="n">
        <v>134.8</v>
      </c>
      <c r="R58" t="n">
        <v>107.3</v>
      </c>
      <c r="S58" t="n">
        <v>160.5</v>
      </c>
      <c r="T58" t="n">
        <v>158.9</v>
      </c>
      <c r="U58" t="n">
        <v>91.8</v>
      </c>
      <c r="V58" t="n">
        <v>113</v>
      </c>
      <c r="W58" t="n">
        <v>90.1</v>
      </c>
      <c r="X58" t="n">
        <v>112.7</v>
      </c>
      <c r="Y58" t="n">
        <v>108.4</v>
      </c>
      <c r="Z58" t="n">
        <v>71.8</v>
      </c>
      <c r="AA58" t="n">
        <v>115.3</v>
      </c>
      <c r="AB58" t="n">
        <v>78.6</v>
      </c>
      <c r="AC58" t="n">
        <v>71</v>
      </c>
      <c r="AD58" t="n">
        <v>85.6</v>
      </c>
      <c r="AE58" t="n">
        <v>70.3</v>
      </c>
      <c r="AF58" t="n">
        <v>34.4</v>
      </c>
    </row>
    <row r="59">
      <c r="A59" t="s">
        <v>17</v>
      </c>
      <c r="B59" t="s">
        <v>388</v>
      </c>
      <c r="C59" t="s">
        <v>217</v>
      </c>
      <c r="D59" t="s">
        <v>389</v>
      </c>
      <c r="E59" t="s">
        <v>218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19</v>
      </c>
      <c r="B2" t="s">
        <v>197</v>
      </c>
      <c r="C2" t="s">
        <v>217</v>
      </c>
      <c r="D2" t="s">
        <v>199</v>
      </c>
      <c r="E2" t="s">
        <v>218</v>
      </c>
      <c r="F2" t="n">
        <v>0.7</v>
      </c>
      <c r="G2" t="n">
        <v>0.7</v>
      </c>
      <c r="H2" t="n">
        <v>0.7</v>
      </c>
      <c r="I2" t="n">
        <v>0.8</v>
      </c>
      <c r="J2" t="n">
        <v>0.9</v>
      </c>
      <c r="K2" t="n">
        <v>1.2</v>
      </c>
      <c r="L2" t="n">
        <v>1.6</v>
      </c>
      <c r="M2" t="n">
        <v>1.5</v>
      </c>
      <c r="N2" t="n">
        <v>1.6</v>
      </c>
      <c r="O2" t="n">
        <v>1.8</v>
      </c>
      <c r="P2" t="n">
        <v>1.9</v>
      </c>
      <c r="Q2" t="n">
        <v>2.2</v>
      </c>
      <c r="R2" t="n">
        <v>2.7</v>
      </c>
      <c r="S2" t="n">
        <v>2</v>
      </c>
      <c r="T2" t="n">
        <v>2.1</v>
      </c>
      <c r="U2" t="n">
        <v>2</v>
      </c>
      <c r="V2" t="n">
        <v>1.7</v>
      </c>
      <c r="W2" t="n">
        <v>1.5</v>
      </c>
      <c r="X2" t="n">
        <v>1.6</v>
      </c>
      <c r="Y2" t="n">
        <v>1.4</v>
      </c>
      <c r="Z2" t="n">
        <v>1.2</v>
      </c>
      <c r="AA2" t="n">
        <v>1.7</v>
      </c>
      <c r="AB2" t="n">
        <v>2.7</v>
      </c>
      <c r="AC2" t="n">
        <v>1.8</v>
      </c>
      <c r="AD2" t="n">
        <v>6.3</v>
      </c>
      <c r="AE2" t="n">
        <v>7.8</v>
      </c>
      <c r="AF2" t="n">
        <v>15.7</v>
      </c>
    </row>
    <row r="3">
      <c r="A3" t="s">
        <v>19</v>
      </c>
      <c r="B3" t="s">
        <v>276</v>
      </c>
      <c r="C3" t="s">
        <v>217</v>
      </c>
      <c r="D3" t="s">
        <v>277</v>
      </c>
      <c r="E3" t="s">
        <v>218</v>
      </c>
      <c r="F3" t="n">
        <v>0.1</v>
      </c>
      <c r="G3" t="n">
        <v>0.1</v>
      </c>
      <c r="H3" t="n">
        <v>0.1</v>
      </c>
      <c r="I3" t="n">
        <v>0.2</v>
      </c>
      <c r="J3" t="n">
        <v>0.2</v>
      </c>
      <c r="K3" t="n">
        <v>0.2</v>
      </c>
      <c r="L3" t="n">
        <v>0.3</v>
      </c>
      <c r="M3" t="n">
        <v>0.3</v>
      </c>
      <c r="N3" t="n">
        <v>0.3</v>
      </c>
      <c r="O3" t="n">
        <v>0.3</v>
      </c>
      <c r="P3" t="n">
        <v>0.4</v>
      </c>
      <c r="Q3" t="n">
        <v>0.4</v>
      </c>
      <c r="R3" t="n">
        <v>0.5</v>
      </c>
      <c r="S3" t="n">
        <v>0.4</v>
      </c>
      <c r="T3" t="n">
        <v>0.4</v>
      </c>
      <c r="U3" t="n">
        <v>0.4</v>
      </c>
      <c r="V3" t="n">
        <v>0.3</v>
      </c>
      <c r="W3" t="n">
        <v>0.3</v>
      </c>
      <c r="X3" t="n">
        <v>0.3</v>
      </c>
      <c r="Y3" t="n">
        <v>0.3</v>
      </c>
      <c r="Z3" t="n">
        <v>0.2</v>
      </c>
      <c r="AA3" t="n">
        <v>0.2</v>
      </c>
      <c r="AB3" t="n">
        <v>8.3</v>
      </c>
      <c r="AC3" t="n">
        <v>7.8</v>
      </c>
      <c r="AD3" t="n">
        <v>13.9</v>
      </c>
      <c r="AE3" t="n">
        <v>8.8</v>
      </c>
      <c r="AF3" t="n">
        <v>7.9</v>
      </c>
    </row>
    <row r="4">
      <c r="A4" t="s">
        <v>19</v>
      </c>
      <c r="B4" t="s">
        <v>278</v>
      </c>
      <c r="C4" t="s">
        <v>217</v>
      </c>
      <c r="D4" t="s">
        <v>279</v>
      </c>
      <c r="E4" t="s">
        <v>218</v>
      </c>
      <c r="F4" t="n">
        <v>81.7</v>
      </c>
      <c r="G4" t="n">
        <v>80.2</v>
      </c>
      <c r="H4" t="n">
        <v>81.9</v>
      </c>
      <c r="I4" t="n">
        <v>102.2</v>
      </c>
      <c r="J4" t="n">
        <v>115</v>
      </c>
      <c r="K4" t="n">
        <v>129.7</v>
      </c>
      <c r="L4" t="n">
        <v>168.6</v>
      </c>
      <c r="M4" t="n">
        <v>160.7</v>
      </c>
      <c r="N4" t="n">
        <v>178.6</v>
      </c>
      <c r="O4" t="n">
        <v>201.5</v>
      </c>
      <c r="P4" t="n">
        <v>217.3</v>
      </c>
      <c r="Q4" t="n">
        <v>248.9</v>
      </c>
      <c r="R4" t="n">
        <v>326.6</v>
      </c>
      <c r="S4" t="n">
        <v>246.6</v>
      </c>
      <c r="T4" t="n">
        <v>252.5</v>
      </c>
      <c r="U4" t="n">
        <v>244.2</v>
      </c>
      <c r="V4" t="n">
        <v>203.1</v>
      </c>
      <c r="W4" t="n">
        <v>180.8</v>
      </c>
      <c r="X4" t="n">
        <v>193.3</v>
      </c>
      <c r="Y4" t="n">
        <v>171.3</v>
      </c>
      <c r="Z4" t="n">
        <v>113.4</v>
      </c>
      <c r="AA4" t="n">
        <v>156.3</v>
      </c>
      <c r="AB4" t="n">
        <v>226.4</v>
      </c>
      <c r="AC4" t="n">
        <v>198.5</v>
      </c>
      <c r="AD4" t="n">
        <v>262.2</v>
      </c>
      <c r="AE4" t="n">
        <v>319.9</v>
      </c>
      <c r="AF4" t="n">
        <v>396.2</v>
      </c>
    </row>
    <row r="5">
      <c r="A5" t="s">
        <v>19</v>
      </c>
      <c r="B5" t="s">
        <v>280</v>
      </c>
      <c r="C5" t="s">
        <v>217</v>
      </c>
      <c r="D5" t="s">
        <v>281</v>
      </c>
      <c r="E5" t="s">
        <v>218</v>
      </c>
      <c r="F5" t="n">
        <v>7.5</v>
      </c>
      <c r="G5" t="n">
        <v>7.3</v>
      </c>
      <c r="H5" t="n">
        <v>7.4</v>
      </c>
      <c r="I5" t="n">
        <v>8.9</v>
      </c>
      <c r="J5" t="n">
        <v>9.9</v>
      </c>
      <c r="K5" t="n">
        <v>11.8</v>
      </c>
      <c r="L5" t="n">
        <v>16</v>
      </c>
      <c r="M5" t="n">
        <v>15</v>
      </c>
      <c r="N5" t="n">
        <v>16.4</v>
      </c>
      <c r="O5" t="n">
        <v>18.2</v>
      </c>
      <c r="P5" t="n">
        <v>19.6</v>
      </c>
      <c r="Q5" t="n">
        <v>22.4</v>
      </c>
      <c r="R5" t="n">
        <v>28.6</v>
      </c>
      <c r="S5" t="n">
        <v>21.5</v>
      </c>
      <c r="T5" t="n">
        <v>22.1</v>
      </c>
      <c r="U5" t="n">
        <v>21.4</v>
      </c>
      <c r="V5" t="n">
        <v>17.8</v>
      </c>
      <c r="W5" t="n">
        <v>15.8</v>
      </c>
      <c r="X5" t="n">
        <v>16.9</v>
      </c>
      <c r="Y5" t="n">
        <v>14.9</v>
      </c>
      <c r="Z5" t="n">
        <v>13.9</v>
      </c>
      <c r="AA5" t="n">
        <v>19.5</v>
      </c>
      <c r="AB5" t="n">
        <v>19.4</v>
      </c>
      <c r="AC5" t="n">
        <v>12.1</v>
      </c>
      <c r="AD5" t="n">
        <v>26.5</v>
      </c>
      <c r="AE5" t="n">
        <v>30.8</v>
      </c>
      <c r="AF5" t="n">
        <v>37.1</v>
      </c>
    </row>
    <row r="6">
      <c r="A6" t="s">
        <v>19</v>
      </c>
      <c r="B6" t="s">
        <v>282</v>
      </c>
      <c r="C6" t="s">
        <v>217</v>
      </c>
      <c r="D6" t="s">
        <v>283</v>
      </c>
      <c r="E6" t="s">
        <v>218</v>
      </c>
      <c r="F6" t="n">
        <v>0.6</v>
      </c>
      <c r="G6" t="n">
        <v>0.6</v>
      </c>
      <c r="H6" t="n">
        <v>0.6</v>
      </c>
      <c r="I6" t="n">
        <v>0.7</v>
      </c>
      <c r="J6" t="n">
        <v>0.8</v>
      </c>
      <c r="K6" t="n">
        <v>1</v>
      </c>
      <c r="L6" t="n">
        <v>1.4</v>
      </c>
      <c r="M6" t="n">
        <v>1.3</v>
      </c>
      <c r="N6" t="n">
        <v>1.4</v>
      </c>
      <c r="O6" t="n">
        <v>1.5</v>
      </c>
      <c r="P6" t="n">
        <v>1.6</v>
      </c>
      <c r="Q6" t="n">
        <v>1.9</v>
      </c>
      <c r="R6" t="n">
        <v>2.2</v>
      </c>
      <c r="S6" t="n">
        <v>1.7</v>
      </c>
      <c r="T6" t="n">
        <v>1.7</v>
      </c>
      <c r="U6" t="n">
        <v>1.7</v>
      </c>
      <c r="V6" t="n">
        <v>1.4</v>
      </c>
      <c r="W6" t="n">
        <v>1.2</v>
      </c>
      <c r="X6" t="n">
        <v>1.3</v>
      </c>
      <c r="Y6" t="n">
        <v>1.2</v>
      </c>
      <c r="Z6" t="n">
        <v>2.2</v>
      </c>
      <c r="AA6" t="n">
        <v>3.1</v>
      </c>
      <c r="AB6" t="n">
        <v>2.4</v>
      </c>
      <c r="AC6" t="n">
        <v>1.1</v>
      </c>
      <c r="AD6" t="n">
        <v>2.8</v>
      </c>
      <c r="AE6" t="n">
        <v>2.1</v>
      </c>
      <c r="AF6" t="n">
        <v>0.8</v>
      </c>
    </row>
    <row r="7">
      <c r="A7" t="s">
        <v>19</v>
      </c>
      <c r="B7" t="s">
        <v>284</v>
      </c>
      <c r="C7" t="s">
        <v>217</v>
      </c>
      <c r="D7" t="s">
        <v>285</v>
      </c>
      <c r="E7" t="s">
        <v>218</v>
      </c>
      <c r="F7" t="n">
        <v>4.7</v>
      </c>
      <c r="G7" t="n">
        <v>4.6</v>
      </c>
      <c r="H7" t="n">
        <v>4.7</v>
      </c>
      <c r="I7" t="n">
        <v>5.9</v>
      </c>
      <c r="J7" t="n">
        <v>6.6</v>
      </c>
      <c r="K7" t="n">
        <v>7.4</v>
      </c>
      <c r="L7" t="n">
        <v>9.5</v>
      </c>
      <c r="M7" t="n">
        <v>9.1</v>
      </c>
      <c r="N7" t="n">
        <v>10.2</v>
      </c>
      <c r="O7" t="n">
        <v>11.5</v>
      </c>
      <c r="P7" t="n">
        <v>12.4</v>
      </c>
      <c r="Q7" t="n">
        <v>14.3</v>
      </c>
      <c r="R7" t="n">
        <v>18.9</v>
      </c>
      <c r="S7" t="n">
        <v>14.2</v>
      </c>
      <c r="T7" t="n">
        <v>14.6</v>
      </c>
      <c r="U7" t="n">
        <v>14.1</v>
      </c>
      <c r="V7" t="n">
        <v>11.7</v>
      </c>
      <c r="W7" t="n">
        <v>10.4</v>
      </c>
      <c r="X7" t="n">
        <v>11.1</v>
      </c>
      <c r="Y7" t="n">
        <v>9.8</v>
      </c>
      <c r="Z7" t="n">
        <v>3.2</v>
      </c>
      <c r="AA7" t="n">
        <v>4.5</v>
      </c>
      <c r="AB7" t="n">
        <v>5.5</v>
      </c>
      <c r="AC7" t="n">
        <v>4.1</v>
      </c>
      <c r="AD7" t="n">
        <v>2.5</v>
      </c>
      <c r="AE7" t="n">
        <v>3.7</v>
      </c>
      <c r="AF7" t="n">
        <v>5.4</v>
      </c>
    </row>
    <row r="8">
      <c r="A8" t="s">
        <v>19</v>
      </c>
      <c r="B8" t="s">
        <v>286</v>
      </c>
      <c r="C8" t="s">
        <v>217</v>
      </c>
      <c r="D8" t="s">
        <v>287</v>
      </c>
      <c r="E8" t="s">
        <v>218</v>
      </c>
      <c r="F8" t="n">
        <v>0.3</v>
      </c>
      <c r="G8" t="n">
        <v>0.2</v>
      </c>
      <c r="H8" t="n">
        <v>0.2</v>
      </c>
      <c r="I8" t="n">
        <v>0.3</v>
      </c>
      <c r="J8" t="n">
        <v>0.3</v>
      </c>
      <c r="K8" t="n">
        <v>0.4</v>
      </c>
      <c r="L8" t="n">
        <v>0.6</v>
      </c>
      <c r="M8" t="n">
        <v>0.5</v>
      </c>
      <c r="N8" t="n">
        <v>0.6</v>
      </c>
      <c r="O8" t="n">
        <v>0.6</v>
      </c>
      <c r="P8" t="n">
        <v>0.7</v>
      </c>
      <c r="Q8" t="n">
        <v>0.7</v>
      </c>
      <c r="R8" t="n">
        <v>0.9</v>
      </c>
      <c r="S8" t="n">
        <v>0.7</v>
      </c>
      <c r="T8" t="n">
        <v>0.7</v>
      </c>
      <c r="U8" t="n">
        <v>0.7</v>
      </c>
      <c r="V8" t="n">
        <v>0.6</v>
      </c>
      <c r="W8" t="n">
        <v>0.5</v>
      </c>
      <c r="X8" t="n">
        <v>0.5</v>
      </c>
      <c r="Y8" t="n">
        <v>0.5</v>
      </c>
      <c r="Z8" t="n">
        <v>3.1</v>
      </c>
      <c r="AA8" t="n">
        <v>4.4</v>
      </c>
      <c r="AB8" t="n">
        <v>38.6</v>
      </c>
      <c r="AC8" t="n">
        <v>43.2</v>
      </c>
      <c r="AD8" t="n">
        <v>42.4</v>
      </c>
      <c r="AE8" t="n">
        <v>58.2</v>
      </c>
      <c r="AF8" t="n">
        <v>74.6</v>
      </c>
    </row>
    <row r="9">
      <c r="A9" t="s">
        <v>19</v>
      </c>
      <c r="B9" t="s">
        <v>288</v>
      </c>
      <c r="C9" t="s">
        <v>217</v>
      </c>
      <c r="D9" t="s">
        <v>289</v>
      </c>
      <c r="E9" t="s">
        <v>218</v>
      </c>
      <c r="F9" t="n">
        <v>7</v>
      </c>
      <c r="G9" t="n">
        <v>6.8</v>
      </c>
      <c r="H9" t="n">
        <v>6.9</v>
      </c>
      <c r="I9" t="n">
        <v>8.4</v>
      </c>
      <c r="J9" t="n">
        <v>9.3</v>
      </c>
      <c r="K9" t="n">
        <v>11</v>
      </c>
      <c r="L9" t="n">
        <v>14.8</v>
      </c>
      <c r="M9" t="n">
        <v>13.9</v>
      </c>
      <c r="N9" t="n">
        <v>15.3</v>
      </c>
      <c r="O9" t="n">
        <v>17</v>
      </c>
      <c r="P9" t="n">
        <v>18.3</v>
      </c>
      <c r="Q9" t="n">
        <v>21</v>
      </c>
      <c r="R9" t="n">
        <v>26.8</v>
      </c>
      <c r="S9" t="n">
        <v>20.2</v>
      </c>
      <c r="T9" t="n">
        <v>20.7</v>
      </c>
      <c r="U9" t="n">
        <v>20.1</v>
      </c>
      <c r="V9" t="n">
        <v>16.7</v>
      </c>
      <c r="W9" t="n">
        <v>14.8</v>
      </c>
      <c r="X9" t="n">
        <v>15.8</v>
      </c>
      <c r="Y9" t="n">
        <v>14</v>
      </c>
      <c r="Z9" t="n">
        <v>6.9</v>
      </c>
      <c r="AA9" t="n">
        <v>9.7</v>
      </c>
      <c r="AB9" t="n">
        <v>20.6</v>
      </c>
      <c r="AC9" t="n">
        <v>12.5</v>
      </c>
      <c r="AD9" t="n">
        <v>25.8</v>
      </c>
      <c r="AE9" t="n">
        <v>33.2</v>
      </c>
      <c r="AF9" t="n">
        <v>36.8</v>
      </c>
    </row>
    <row r="10">
      <c r="A10" t="s">
        <v>19</v>
      </c>
      <c r="B10" t="s">
        <v>290</v>
      </c>
      <c r="C10" t="s">
        <v>217</v>
      </c>
      <c r="D10" t="s">
        <v>291</v>
      </c>
      <c r="E10" t="s">
        <v>218</v>
      </c>
      <c r="F10" t="n">
        <v>32.6</v>
      </c>
      <c r="G10" t="n">
        <v>32</v>
      </c>
      <c r="H10" t="n">
        <v>32.8</v>
      </c>
      <c r="I10" t="n">
        <v>42</v>
      </c>
      <c r="J10" t="n">
        <v>47.8</v>
      </c>
      <c r="K10" t="n">
        <v>52</v>
      </c>
      <c r="L10" t="n">
        <v>65.7</v>
      </c>
      <c r="M10" t="n">
        <v>63.2</v>
      </c>
      <c r="N10" t="n">
        <v>70.9</v>
      </c>
      <c r="O10" t="n">
        <v>81.4</v>
      </c>
      <c r="P10" t="n">
        <v>87.8</v>
      </c>
      <c r="Q10" t="n">
        <v>100.6</v>
      </c>
      <c r="R10" t="n">
        <v>134.9</v>
      </c>
      <c r="S10" t="n">
        <v>101.6</v>
      </c>
      <c r="T10" t="n">
        <v>104.2</v>
      </c>
      <c r="U10" t="n">
        <v>101.1</v>
      </c>
      <c r="V10" t="n">
        <v>83.9</v>
      </c>
      <c r="W10" t="n">
        <v>74.4</v>
      </c>
      <c r="X10" t="n">
        <v>79.6</v>
      </c>
      <c r="Y10" t="n">
        <v>70.4</v>
      </c>
      <c r="Z10" t="n">
        <v>40.3</v>
      </c>
      <c r="AA10" t="n">
        <v>56.6</v>
      </c>
      <c r="AB10" t="n">
        <v>68.6</v>
      </c>
      <c r="AC10" t="n">
        <v>69.1</v>
      </c>
      <c r="AD10" t="n">
        <v>91.6</v>
      </c>
      <c r="AE10" t="n">
        <v>117.7</v>
      </c>
      <c r="AF10" t="n">
        <v>125.1</v>
      </c>
    </row>
    <row r="11">
      <c r="A11" t="s">
        <v>19</v>
      </c>
      <c r="B11" t="s">
        <v>292</v>
      </c>
      <c r="C11" t="s">
        <v>217</v>
      </c>
      <c r="D11" t="s">
        <v>293</v>
      </c>
      <c r="E11" t="s">
        <v>218</v>
      </c>
      <c r="F11" t="n">
        <v>25.6</v>
      </c>
      <c r="G11" t="n">
        <v>25.2</v>
      </c>
      <c r="H11" t="n">
        <v>25.9</v>
      </c>
      <c r="I11" t="n">
        <v>33.6</v>
      </c>
      <c r="J11" t="n">
        <v>38.5</v>
      </c>
      <c r="K11" t="n">
        <v>41</v>
      </c>
      <c r="L11" t="n">
        <v>50.9</v>
      </c>
      <c r="M11" t="n">
        <v>49.3</v>
      </c>
      <c r="N11" t="n">
        <v>55.6</v>
      </c>
      <c r="O11" t="n">
        <v>64.4</v>
      </c>
      <c r="P11" t="n">
        <v>69.5</v>
      </c>
      <c r="Q11" t="n">
        <v>79.6</v>
      </c>
      <c r="R11" t="n">
        <v>108.1</v>
      </c>
      <c r="S11" t="n">
        <v>81.4</v>
      </c>
      <c r="T11" t="n">
        <v>83.5</v>
      </c>
      <c r="U11" t="n">
        <v>81</v>
      </c>
      <c r="V11" t="n">
        <v>67.2</v>
      </c>
      <c r="W11" t="n">
        <v>59.6</v>
      </c>
      <c r="X11" t="n">
        <v>63.8</v>
      </c>
      <c r="Y11" t="n">
        <v>56.4</v>
      </c>
      <c r="Z11" t="n">
        <v>33.4</v>
      </c>
      <c r="AA11" t="n">
        <v>46.9</v>
      </c>
      <c r="AB11" t="n">
        <v>48</v>
      </c>
      <c r="AC11" t="n">
        <v>56.6</v>
      </c>
      <c r="AD11" t="n">
        <v>65.8</v>
      </c>
      <c r="AE11" t="n">
        <v>84.5</v>
      </c>
      <c r="AF11" t="n">
        <v>88.3</v>
      </c>
    </row>
    <row r="12">
      <c r="A12" t="s">
        <v>19</v>
      </c>
      <c r="B12" t="s">
        <v>294</v>
      </c>
      <c r="C12" t="s">
        <v>217</v>
      </c>
      <c r="D12" t="s">
        <v>295</v>
      </c>
      <c r="E12" t="s">
        <v>218</v>
      </c>
      <c r="F12" t="n">
        <v>2.8</v>
      </c>
      <c r="G12" t="n">
        <v>2.7</v>
      </c>
      <c r="H12" t="n">
        <v>2.8</v>
      </c>
      <c r="I12" t="n">
        <v>3.3</v>
      </c>
      <c r="J12" t="n">
        <v>3.6</v>
      </c>
      <c r="K12" t="n">
        <v>4.4</v>
      </c>
      <c r="L12" t="n">
        <v>6.1</v>
      </c>
      <c r="M12" t="n">
        <v>5.7</v>
      </c>
      <c r="N12" t="n">
        <v>6.2</v>
      </c>
      <c r="O12" t="n">
        <v>6.8</v>
      </c>
      <c r="P12" t="n">
        <v>7.3</v>
      </c>
      <c r="Q12" t="n">
        <v>8.4</v>
      </c>
      <c r="R12" t="n">
        <v>10.5</v>
      </c>
      <c r="S12" t="n">
        <v>7.9</v>
      </c>
      <c r="T12" t="n">
        <v>8.1</v>
      </c>
      <c r="U12" t="n">
        <v>7.8</v>
      </c>
      <c r="V12" t="n">
        <v>6.5</v>
      </c>
      <c r="W12" t="n">
        <v>5.8</v>
      </c>
      <c r="X12" t="n">
        <v>6.2</v>
      </c>
      <c r="Y12" t="n">
        <v>5.5</v>
      </c>
      <c r="Z12" t="n">
        <v>3</v>
      </c>
      <c r="AA12" t="n">
        <v>4.3</v>
      </c>
      <c r="AB12" t="n">
        <v>8.6</v>
      </c>
      <c r="AC12" t="n">
        <v>7.8</v>
      </c>
      <c r="AD12" t="n">
        <v>17.8</v>
      </c>
      <c r="AE12" t="n">
        <v>23.6</v>
      </c>
      <c r="AF12" t="n">
        <v>33.5</v>
      </c>
    </row>
    <row r="13">
      <c r="A13" t="s">
        <v>19</v>
      </c>
      <c r="B13" t="s">
        <v>296</v>
      </c>
      <c r="C13" t="s">
        <v>217</v>
      </c>
      <c r="D13" t="s">
        <v>297</v>
      </c>
      <c r="E13" t="s">
        <v>218</v>
      </c>
      <c r="F13" t="n">
        <v>10.4</v>
      </c>
      <c r="G13" t="n">
        <v>10.4</v>
      </c>
      <c r="H13" t="n">
        <v>10.7</v>
      </c>
      <c r="I13" t="n">
        <v>13.2</v>
      </c>
      <c r="J13" t="n">
        <v>14.7</v>
      </c>
      <c r="K13" t="n">
        <v>16.5</v>
      </c>
      <c r="L13" t="n">
        <v>21.2</v>
      </c>
      <c r="M13" t="n">
        <v>20.4</v>
      </c>
      <c r="N13" t="n">
        <v>22.7</v>
      </c>
      <c r="O13" t="n">
        <v>25.5</v>
      </c>
      <c r="P13" t="n">
        <v>27.5</v>
      </c>
      <c r="Q13" t="n">
        <v>31.4</v>
      </c>
      <c r="R13" t="n">
        <v>41.1</v>
      </c>
      <c r="S13" t="n">
        <v>31.5</v>
      </c>
      <c r="T13" t="n">
        <v>32</v>
      </c>
      <c r="U13" t="n">
        <v>30.5</v>
      </c>
      <c r="V13" t="n">
        <v>25.7</v>
      </c>
      <c r="W13" t="n">
        <v>23.3</v>
      </c>
      <c r="X13" t="n">
        <v>25</v>
      </c>
      <c r="Y13" t="n">
        <v>22.2</v>
      </c>
      <c r="Z13" t="n">
        <v>25.1</v>
      </c>
      <c r="AA13" t="n">
        <v>32.3</v>
      </c>
      <c r="AB13" t="n">
        <v>42.2</v>
      </c>
      <c r="AC13" t="n">
        <v>37.7</v>
      </c>
      <c r="AD13" t="n">
        <v>37.6</v>
      </c>
      <c r="AE13" t="n">
        <v>40.8</v>
      </c>
      <c r="AF13" t="n">
        <v>53.6</v>
      </c>
    </row>
    <row r="14">
      <c r="A14" t="s">
        <v>19</v>
      </c>
      <c r="B14" t="s">
        <v>298</v>
      </c>
      <c r="C14" t="s">
        <v>217</v>
      </c>
      <c r="D14" t="s">
        <v>299</v>
      </c>
      <c r="E14" t="s">
        <v>218</v>
      </c>
      <c r="F14" t="n">
        <v>9.9</v>
      </c>
      <c r="G14" t="n">
        <v>9.6</v>
      </c>
      <c r="H14" t="n">
        <v>9.7</v>
      </c>
      <c r="I14" t="n">
        <v>11.6</v>
      </c>
      <c r="J14" t="n">
        <v>12.7</v>
      </c>
      <c r="K14" t="n">
        <v>15.6</v>
      </c>
      <c r="L14" t="n">
        <v>21.5</v>
      </c>
      <c r="M14" t="n">
        <v>20</v>
      </c>
      <c r="N14" t="n">
        <v>21.8</v>
      </c>
      <c r="O14" t="n">
        <v>23.9</v>
      </c>
      <c r="P14" t="n">
        <v>25.8</v>
      </c>
      <c r="Q14" t="n">
        <v>29.5</v>
      </c>
      <c r="R14" t="n">
        <v>37</v>
      </c>
      <c r="S14" t="n">
        <v>27.9</v>
      </c>
      <c r="T14" t="n">
        <v>28.6</v>
      </c>
      <c r="U14" t="n">
        <v>27.7</v>
      </c>
      <c r="V14" t="n">
        <v>23</v>
      </c>
      <c r="W14" t="n">
        <v>20.4</v>
      </c>
      <c r="X14" t="n">
        <v>21.8</v>
      </c>
      <c r="Y14" t="n">
        <v>19.3</v>
      </c>
      <c r="Z14" t="n">
        <v>9.2</v>
      </c>
      <c r="AA14" t="n">
        <v>12.9</v>
      </c>
      <c r="AB14" t="n">
        <v>18.2</v>
      </c>
      <c r="AC14" t="n">
        <v>6</v>
      </c>
      <c r="AD14" t="n">
        <v>16.1</v>
      </c>
      <c r="AE14" t="n">
        <v>12.4</v>
      </c>
      <c r="AF14" t="n">
        <v>15.8</v>
      </c>
    </row>
    <row r="15">
      <c r="A15" t="s">
        <v>19</v>
      </c>
      <c r="B15" t="s">
        <v>300</v>
      </c>
      <c r="C15" t="s">
        <v>217</v>
      </c>
      <c r="D15" t="s">
        <v>301</v>
      </c>
      <c r="E15" t="s">
        <v>218</v>
      </c>
      <c r="F15" t="n">
        <v>14.3</v>
      </c>
      <c r="G15" t="n">
        <v>14</v>
      </c>
      <c r="H15" t="n">
        <v>14.2</v>
      </c>
      <c r="I15" t="n">
        <v>17.4</v>
      </c>
      <c r="J15" t="n">
        <v>19.4</v>
      </c>
      <c r="K15" t="n">
        <v>22.7</v>
      </c>
      <c r="L15" t="n">
        <v>30.3</v>
      </c>
      <c r="M15" t="n">
        <v>28.6</v>
      </c>
      <c r="N15" t="n">
        <v>31.4</v>
      </c>
      <c r="O15" t="n">
        <v>35.1</v>
      </c>
      <c r="P15" t="n">
        <v>37.8</v>
      </c>
      <c r="Q15" t="n">
        <v>43.3</v>
      </c>
      <c r="R15" t="n">
        <v>55.7</v>
      </c>
      <c r="S15" t="n">
        <v>42</v>
      </c>
      <c r="T15" t="n">
        <v>43.1</v>
      </c>
      <c r="U15" t="n">
        <v>41.7</v>
      </c>
      <c r="V15" t="n">
        <v>34.6</v>
      </c>
      <c r="W15" t="n">
        <v>30.7</v>
      </c>
      <c r="X15" t="n">
        <v>32.8</v>
      </c>
      <c r="Y15" t="n">
        <v>29.1</v>
      </c>
      <c r="Z15" t="n">
        <v>14.8</v>
      </c>
      <c r="AA15" t="n">
        <v>20.7</v>
      </c>
      <c r="AB15" t="n">
        <v>28.7</v>
      </c>
      <c r="AC15" t="n">
        <v>16.2</v>
      </c>
      <c r="AD15" t="n">
        <v>29.8</v>
      </c>
      <c r="AE15" t="n">
        <v>29.4</v>
      </c>
      <c r="AF15" t="n">
        <v>44.7</v>
      </c>
    </row>
    <row r="16">
      <c r="A16" t="s">
        <v>19</v>
      </c>
      <c r="B16" t="s">
        <v>302</v>
      </c>
      <c r="C16" t="s">
        <v>217</v>
      </c>
      <c r="D16" t="s">
        <v>303</v>
      </c>
      <c r="E16" t="s">
        <v>218</v>
      </c>
      <c r="F16" t="n">
        <v>4.4</v>
      </c>
      <c r="G16" t="n">
        <v>4.4</v>
      </c>
      <c r="H16" t="n">
        <v>4.5</v>
      </c>
      <c r="I16" t="n">
        <v>5.8</v>
      </c>
      <c r="J16" t="n">
        <v>6.7</v>
      </c>
      <c r="K16" t="n">
        <v>7.1</v>
      </c>
      <c r="L16" t="n">
        <v>8.8</v>
      </c>
      <c r="M16" t="n">
        <v>8.6</v>
      </c>
      <c r="N16" t="n">
        <v>9.6</v>
      </c>
      <c r="O16" t="n">
        <v>11.2</v>
      </c>
      <c r="P16" t="n">
        <v>12</v>
      </c>
      <c r="Q16" t="n">
        <v>13.8</v>
      </c>
      <c r="R16" t="n">
        <v>18.7</v>
      </c>
      <c r="S16" t="n">
        <v>14.1</v>
      </c>
      <c r="T16" t="n">
        <v>14.5</v>
      </c>
      <c r="U16" t="n">
        <v>14</v>
      </c>
      <c r="V16" t="n">
        <v>11.6</v>
      </c>
      <c r="W16" t="n">
        <v>10.3</v>
      </c>
      <c r="X16" t="n">
        <v>11</v>
      </c>
      <c r="Y16" t="n">
        <v>9.8</v>
      </c>
      <c r="Z16" t="n">
        <v>5.6</v>
      </c>
      <c r="AA16" t="n">
        <v>7.8</v>
      </c>
      <c r="AB16" t="n">
        <v>10.5</v>
      </c>
      <c r="AC16" t="n">
        <v>10.2</v>
      </c>
      <c r="AD16" t="n">
        <v>13.7</v>
      </c>
      <c r="AE16" t="n">
        <v>17</v>
      </c>
      <c r="AF16" t="n">
        <v>28.9</v>
      </c>
    </row>
    <row r="17">
      <c r="A17" t="s">
        <v>19</v>
      </c>
      <c r="B17" t="s">
        <v>304</v>
      </c>
      <c r="C17" t="s">
        <v>217</v>
      </c>
      <c r="D17" t="s">
        <v>305</v>
      </c>
      <c r="E17" t="s">
        <v>218</v>
      </c>
      <c r="F17" t="n">
        <v>2.9</v>
      </c>
      <c r="G17" t="n">
        <v>2.9</v>
      </c>
      <c r="H17" t="n">
        <v>2.9</v>
      </c>
      <c r="I17" t="n">
        <v>3.7</v>
      </c>
      <c r="J17" t="n">
        <v>4.2</v>
      </c>
      <c r="K17" t="n">
        <v>4.6</v>
      </c>
      <c r="L17" t="n">
        <v>6</v>
      </c>
      <c r="M17" t="n">
        <v>5.7</v>
      </c>
      <c r="N17" t="n">
        <v>6.4</v>
      </c>
      <c r="O17" t="n">
        <v>7.2</v>
      </c>
      <c r="P17" t="n">
        <v>7.8</v>
      </c>
      <c r="Q17" t="n">
        <v>8.9</v>
      </c>
      <c r="R17" t="n">
        <v>11.8</v>
      </c>
      <c r="S17" t="n">
        <v>8.9</v>
      </c>
      <c r="T17" t="n">
        <v>9.1</v>
      </c>
      <c r="U17" t="n">
        <v>8.8</v>
      </c>
      <c r="V17" t="n">
        <v>7.3</v>
      </c>
      <c r="W17" t="n">
        <v>6.5</v>
      </c>
      <c r="X17" t="n">
        <v>7</v>
      </c>
      <c r="Y17" t="n">
        <v>6.2</v>
      </c>
      <c r="Z17" t="n">
        <v>5.5</v>
      </c>
      <c r="AA17" t="n">
        <v>7.7</v>
      </c>
      <c r="AB17" t="n">
        <v>9.3</v>
      </c>
      <c r="AC17" t="n">
        <v>4.7</v>
      </c>
      <c r="AD17" t="n">
        <v>8.1</v>
      </c>
      <c r="AE17" t="n">
        <v>9.6</v>
      </c>
      <c r="AF17" t="n">
        <v>10.2</v>
      </c>
    </row>
    <row r="18">
      <c r="A18" t="s">
        <v>19</v>
      </c>
      <c r="B18" t="s">
        <v>306</v>
      </c>
      <c r="C18" t="s">
        <v>217</v>
      </c>
      <c r="D18" t="s">
        <v>307</v>
      </c>
      <c r="E18" t="s">
        <v>218</v>
      </c>
      <c r="F18" t="n">
        <v>3.2</v>
      </c>
      <c r="G18" t="n">
        <v>3.1</v>
      </c>
      <c r="H18" t="n">
        <v>3.2</v>
      </c>
      <c r="I18" t="n">
        <v>3.9</v>
      </c>
      <c r="J18" t="n">
        <v>4.4</v>
      </c>
      <c r="K18" t="n">
        <v>5</v>
      </c>
      <c r="L18" t="n">
        <v>6.6</v>
      </c>
      <c r="M18" t="n">
        <v>6.3</v>
      </c>
      <c r="N18" t="n">
        <v>7</v>
      </c>
      <c r="O18" t="n">
        <v>7.8</v>
      </c>
      <c r="P18" t="n">
        <v>8.4</v>
      </c>
      <c r="Q18" t="n">
        <v>9.7</v>
      </c>
      <c r="R18" t="n">
        <v>12.6</v>
      </c>
      <c r="S18" t="n">
        <v>9.5</v>
      </c>
      <c r="T18" t="n">
        <v>9.7</v>
      </c>
      <c r="U18" t="n">
        <v>9.4</v>
      </c>
      <c r="V18" t="n">
        <v>7.8</v>
      </c>
      <c r="W18" t="n">
        <v>7</v>
      </c>
      <c r="X18" t="n">
        <v>7.4</v>
      </c>
      <c r="Y18" t="n">
        <v>6.6</v>
      </c>
      <c r="Z18" t="n">
        <v>0.5</v>
      </c>
      <c r="AA18" t="n">
        <v>0.7</v>
      </c>
      <c r="AB18" t="n">
        <v>0.7</v>
      </c>
      <c r="AC18" t="n">
        <v>0.3</v>
      </c>
      <c r="AD18" t="n">
        <v>0.5</v>
      </c>
      <c r="AE18" t="n">
        <v>1.8</v>
      </c>
      <c r="AF18" t="n">
        <v>4.8</v>
      </c>
    </row>
    <row r="19">
      <c r="A19" t="s">
        <v>19</v>
      </c>
      <c r="B19" t="s">
        <v>308</v>
      </c>
      <c r="C19" t="s">
        <v>217</v>
      </c>
      <c r="D19" t="s">
        <v>309</v>
      </c>
      <c r="E19" t="s">
        <v>218</v>
      </c>
      <c r="F19" t="n">
        <v>2.4</v>
      </c>
      <c r="G19" t="n">
        <v>2.4</v>
      </c>
      <c r="H19" t="n">
        <v>2.4</v>
      </c>
      <c r="I19" t="n">
        <v>2.9</v>
      </c>
      <c r="J19" t="n">
        <v>3.3</v>
      </c>
      <c r="K19" t="n">
        <v>3.9</v>
      </c>
      <c r="L19" t="n">
        <v>5.2</v>
      </c>
      <c r="M19" t="n">
        <v>4.9</v>
      </c>
      <c r="N19" t="n">
        <v>5.4</v>
      </c>
      <c r="O19" t="n">
        <v>5.9</v>
      </c>
      <c r="P19" t="n">
        <v>6.4</v>
      </c>
      <c r="Q19" t="n">
        <v>7.3</v>
      </c>
      <c r="R19" t="n">
        <v>9.4</v>
      </c>
      <c r="S19" t="n">
        <v>7.1</v>
      </c>
      <c r="T19" t="n">
        <v>7.2</v>
      </c>
      <c r="U19" t="n">
        <v>7</v>
      </c>
      <c r="V19" t="n">
        <v>5.8</v>
      </c>
      <c r="W19" t="n">
        <v>5.2</v>
      </c>
      <c r="X19" t="n">
        <v>5.5</v>
      </c>
      <c r="Y19" t="n">
        <v>4.9</v>
      </c>
      <c r="Z19" t="n">
        <v>1.8</v>
      </c>
      <c r="AA19" t="n">
        <v>2.5</v>
      </c>
      <c r="AB19" t="n">
        <v>2.4</v>
      </c>
      <c r="AC19" t="n">
        <v>2.2</v>
      </c>
      <c r="AD19" t="n">
        <v>2.6</v>
      </c>
      <c r="AE19" t="n">
        <v>2.2</v>
      </c>
      <c r="AF19" t="n">
        <v>6.4</v>
      </c>
    </row>
    <row r="20">
      <c r="A20" t="s">
        <v>19</v>
      </c>
      <c r="B20" t="s">
        <v>310</v>
      </c>
      <c r="C20" t="s">
        <v>217</v>
      </c>
      <c r="D20" t="s">
        <v>311</v>
      </c>
      <c r="E20" t="s">
        <v>218</v>
      </c>
      <c r="F20" t="n">
        <v>1.9</v>
      </c>
      <c r="G20" t="n">
        <v>1.8</v>
      </c>
      <c r="H20" t="n">
        <v>1.9</v>
      </c>
      <c r="I20" t="n">
        <v>2.3</v>
      </c>
      <c r="J20" t="n">
        <v>2.5</v>
      </c>
      <c r="K20" t="n">
        <v>3</v>
      </c>
      <c r="L20" t="n">
        <v>4.1</v>
      </c>
      <c r="M20" t="n">
        <v>3.8</v>
      </c>
      <c r="N20" t="n">
        <v>4.2</v>
      </c>
      <c r="O20" t="n">
        <v>4.6</v>
      </c>
      <c r="P20" t="n">
        <v>5</v>
      </c>
      <c r="Q20" t="n">
        <v>5.7</v>
      </c>
      <c r="R20" t="n">
        <v>7.2</v>
      </c>
      <c r="S20" t="n">
        <v>5.4</v>
      </c>
      <c r="T20" t="n">
        <v>5.6</v>
      </c>
      <c r="U20" t="n">
        <v>5.4</v>
      </c>
      <c r="V20" t="n">
        <v>4.5</v>
      </c>
      <c r="W20" t="n">
        <v>4</v>
      </c>
      <c r="X20" t="n">
        <v>4.3</v>
      </c>
      <c r="Y20" t="n">
        <v>3.8</v>
      </c>
      <c r="Z20" t="n">
        <v>6.2</v>
      </c>
      <c r="AA20" t="n">
        <v>8.7</v>
      </c>
      <c r="AB20" t="n">
        <v>14.5</v>
      </c>
      <c r="AC20" t="n">
        <v>14</v>
      </c>
      <c r="AD20" t="n">
        <v>11.2</v>
      </c>
      <c r="AE20" t="n">
        <v>16.5</v>
      </c>
      <c r="AF20" t="n">
        <v>12.9</v>
      </c>
    </row>
    <row r="21">
      <c r="A21" t="s">
        <v>19</v>
      </c>
      <c r="B21" t="s">
        <v>312</v>
      </c>
      <c r="C21" t="s">
        <v>217</v>
      </c>
      <c r="D21" t="s">
        <v>313</v>
      </c>
      <c r="E21" t="s">
        <v>218</v>
      </c>
      <c r="F21" t="n">
        <v>3</v>
      </c>
      <c r="G21" t="n">
        <v>2.9</v>
      </c>
      <c r="H21" t="n">
        <v>3</v>
      </c>
      <c r="I21" t="n">
        <v>3.6</v>
      </c>
      <c r="J21" t="n">
        <v>4</v>
      </c>
      <c r="K21" t="n">
        <v>4.7</v>
      </c>
      <c r="L21" t="n">
        <v>6.5</v>
      </c>
      <c r="M21" t="n">
        <v>6</v>
      </c>
      <c r="N21" t="n">
        <v>6.6</v>
      </c>
      <c r="O21" t="n">
        <v>7.3</v>
      </c>
      <c r="P21" t="n">
        <v>7.9</v>
      </c>
      <c r="Q21" t="n">
        <v>9</v>
      </c>
      <c r="R21" t="n">
        <v>11.4</v>
      </c>
      <c r="S21" t="n">
        <v>8.6</v>
      </c>
      <c r="T21" t="n">
        <v>8.9</v>
      </c>
      <c r="U21" t="n">
        <v>8.6</v>
      </c>
      <c r="V21" t="n">
        <v>7.1</v>
      </c>
      <c r="W21" t="n">
        <v>6.3</v>
      </c>
      <c r="X21" t="n">
        <v>6.8</v>
      </c>
      <c r="Y21" t="n">
        <v>6</v>
      </c>
      <c r="Z21" t="n">
        <v>8.2</v>
      </c>
      <c r="AA21" t="n">
        <v>11.4</v>
      </c>
      <c r="AB21" t="n">
        <v>16.8</v>
      </c>
      <c r="AC21" t="n">
        <v>15.6</v>
      </c>
      <c r="AD21" t="n">
        <v>15.6</v>
      </c>
      <c r="AE21" t="n">
        <v>21.7</v>
      </c>
      <c r="AF21" t="n">
        <v>20.8</v>
      </c>
    </row>
    <row r="22">
      <c r="A22" t="s">
        <v>19</v>
      </c>
      <c r="B22" t="s">
        <v>314</v>
      </c>
      <c r="C22" t="s">
        <v>217</v>
      </c>
      <c r="D22" t="s">
        <v>315</v>
      </c>
      <c r="E22" t="s">
        <v>218</v>
      </c>
      <c r="F22" t="n">
        <v>1.1</v>
      </c>
      <c r="G22" t="n">
        <v>1.1</v>
      </c>
      <c r="H22" t="n">
        <v>1.1</v>
      </c>
      <c r="I22" t="n">
        <v>1.3</v>
      </c>
      <c r="J22" t="n">
        <v>1.5</v>
      </c>
      <c r="K22" t="n">
        <v>1.7</v>
      </c>
      <c r="L22" t="n">
        <v>2.4</v>
      </c>
      <c r="M22" t="n">
        <v>2.2</v>
      </c>
      <c r="N22" t="n">
        <v>2.4</v>
      </c>
      <c r="O22" t="n">
        <v>2.7</v>
      </c>
      <c r="P22" t="n">
        <v>2.9</v>
      </c>
      <c r="Q22" t="n">
        <v>3.3</v>
      </c>
      <c r="R22" t="n">
        <v>4.2</v>
      </c>
      <c r="S22" t="n">
        <v>3.2</v>
      </c>
      <c r="T22" t="n">
        <v>3.3</v>
      </c>
      <c r="U22" t="n">
        <v>3.2</v>
      </c>
      <c r="V22" t="n">
        <v>2.6</v>
      </c>
      <c r="W22" t="n">
        <v>2.3</v>
      </c>
      <c r="X22" t="n">
        <v>2.5</v>
      </c>
      <c r="Y22" t="n">
        <v>2.2</v>
      </c>
      <c r="Z22" t="n">
        <v>2</v>
      </c>
      <c r="AA22" t="n">
        <v>2.7</v>
      </c>
      <c r="AB22" t="n">
        <v>2.3</v>
      </c>
      <c r="AC22" t="n">
        <v>1.6</v>
      </c>
      <c r="AD22" t="n">
        <v>4.4</v>
      </c>
      <c r="AE22" t="n">
        <v>5.2</v>
      </c>
      <c r="AF22" t="n">
        <v>7.9</v>
      </c>
    </row>
    <row r="23">
      <c r="A23" t="s">
        <v>19</v>
      </c>
      <c r="B23" t="s">
        <v>316</v>
      </c>
      <c r="C23" t="s">
        <v>217</v>
      </c>
      <c r="D23" t="s">
        <v>317</v>
      </c>
      <c r="E23" t="s">
        <v>218</v>
      </c>
      <c r="F23" t="n">
        <v>2.1</v>
      </c>
      <c r="G23" t="n">
        <v>2.2</v>
      </c>
      <c r="H23" t="n">
        <v>2.3</v>
      </c>
      <c r="I23" t="n">
        <v>3.1</v>
      </c>
      <c r="J23" t="n">
        <v>3.7</v>
      </c>
      <c r="K23" t="n">
        <v>3.5</v>
      </c>
      <c r="L23" t="n">
        <v>3.9</v>
      </c>
      <c r="M23" t="n">
        <v>3.9</v>
      </c>
      <c r="N23" t="n">
        <v>4.6</v>
      </c>
      <c r="O23" t="n">
        <v>5.7</v>
      </c>
      <c r="P23" t="n">
        <v>6.1</v>
      </c>
      <c r="Q23" t="n">
        <v>7</v>
      </c>
      <c r="R23" t="n">
        <v>10.2</v>
      </c>
      <c r="S23" t="n">
        <v>7.7</v>
      </c>
      <c r="T23" t="n">
        <v>7.9</v>
      </c>
      <c r="U23" t="n">
        <v>7.6</v>
      </c>
      <c r="V23" t="n">
        <v>6.3</v>
      </c>
      <c r="W23" t="n">
        <v>5.6</v>
      </c>
      <c r="X23" t="n">
        <v>6</v>
      </c>
      <c r="Y23" t="n">
        <v>5.3</v>
      </c>
      <c r="Z23" t="n">
        <v>2.5</v>
      </c>
      <c r="AA23" t="n">
        <v>3.6</v>
      </c>
      <c r="AB23" t="n">
        <v>10.4</v>
      </c>
      <c r="AC23" t="n">
        <v>12.3</v>
      </c>
      <c r="AD23" t="n">
        <v>18.7</v>
      </c>
      <c r="AE23" t="n">
        <v>10.4</v>
      </c>
      <c r="AF23" t="n">
        <v>11.9</v>
      </c>
    </row>
    <row r="24">
      <c r="A24" t="s">
        <v>19</v>
      </c>
      <c r="B24" t="s">
        <v>318</v>
      </c>
      <c r="C24" t="s">
        <v>217</v>
      </c>
      <c r="D24" t="s">
        <v>319</v>
      </c>
      <c r="E24" t="s">
        <v>218</v>
      </c>
      <c r="F24" t="n">
        <v>12.5</v>
      </c>
      <c r="G24" t="n">
        <v>12.2</v>
      </c>
      <c r="H24" t="n">
        <v>12.5</v>
      </c>
      <c r="I24" t="n">
        <v>15.8</v>
      </c>
      <c r="J24" t="n">
        <v>17.8</v>
      </c>
      <c r="K24" t="n">
        <v>19.8</v>
      </c>
      <c r="L24" t="n">
        <v>25.5</v>
      </c>
      <c r="M24" t="n">
        <v>24.4</v>
      </c>
      <c r="N24" t="n">
        <v>27.2</v>
      </c>
      <c r="O24" t="n">
        <v>30.9</v>
      </c>
      <c r="P24" t="n">
        <v>33.3</v>
      </c>
      <c r="Q24" t="n">
        <v>38.2</v>
      </c>
      <c r="R24" t="n">
        <v>50.6</v>
      </c>
      <c r="S24" t="n">
        <v>38.1</v>
      </c>
      <c r="T24" t="n">
        <v>39.1</v>
      </c>
      <c r="U24" t="n">
        <v>37.9</v>
      </c>
      <c r="V24" t="n">
        <v>31.5</v>
      </c>
      <c r="W24" t="n">
        <v>27.9</v>
      </c>
      <c r="X24" t="n">
        <v>29.9</v>
      </c>
      <c r="Y24" t="n">
        <v>26.4</v>
      </c>
      <c r="Z24" t="n">
        <v>69.4</v>
      </c>
      <c r="AA24" t="n">
        <v>97.5</v>
      </c>
      <c r="AB24" t="n">
        <v>84.6</v>
      </c>
      <c r="AC24" t="n">
        <v>70.6</v>
      </c>
      <c r="AD24" t="n">
        <v>83.9</v>
      </c>
      <c r="AE24" t="n">
        <v>98.6</v>
      </c>
      <c r="AF24" t="n">
        <v>131.8</v>
      </c>
    </row>
    <row r="25">
      <c r="A25" t="s">
        <v>19</v>
      </c>
      <c r="B25" t="s">
        <v>320</v>
      </c>
      <c r="C25" t="s">
        <v>217</v>
      </c>
      <c r="D25" t="s">
        <v>321</v>
      </c>
      <c r="E25" t="s">
        <v>218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19</v>
      </c>
      <c r="B26" t="s">
        <v>322</v>
      </c>
      <c r="C26" t="s">
        <v>217</v>
      </c>
      <c r="D26" t="s">
        <v>323</v>
      </c>
      <c r="E26" t="s">
        <v>218</v>
      </c>
      <c r="F26" t="n">
        <v>12.5</v>
      </c>
      <c r="G26" t="n">
        <v>12.2</v>
      </c>
      <c r="H26" t="n">
        <v>12.5</v>
      </c>
      <c r="I26" t="n">
        <v>15.8</v>
      </c>
      <c r="J26" t="n">
        <v>17.8</v>
      </c>
      <c r="K26" t="n">
        <v>19.8</v>
      </c>
      <c r="L26" t="n">
        <v>25.5</v>
      </c>
      <c r="M26" t="n">
        <v>24.4</v>
      </c>
      <c r="N26" t="n">
        <v>27.2</v>
      </c>
      <c r="O26" t="n">
        <v>30.9</v>
      </c>
      <c r="P26" t="n">
        <v>33.3</v>
      </c>
      <c r="Q26" t="n">
        <v>38.2</v>
      </c>
      <c r="R26" t="n">
        <v>50.6</v>
      </c>
      <c r="S26" t="n">
        <v>38.1</v>
      </c>
      <c r="T26" t="n">
        <v>39.1</v>
      </c>
      <c r="U26" t="n">
        <v>37.9</v>
      </c>
      <c r="V26" t="n">
        <v>31.5</v>
      </c>
      <c r="W26" t="n">
        <v>27.9</v>
      </c>
      <c r="X26" t="n">
        <v>29.9</v>
      </c>
      <c r="Y26" t="n">
        <v>26.4</v>
      </c>
      <c r="Z26" t="n">
        <v>69.4</v>
      </c>
      <c r="AA26" t="n">
        <v>97.5</v>
      </c>
      <c r="AB26" t="n">
        <v>84.6</v>
      </c>
      <c r="AC26" t="n">
        <v>70.5</v>
      </c>
      <c r="AD26" t="n">
        <v>80.7</v>
      </c>
      <c r="AE26" t="n">
        <v>93.7</v>
      </c>
      <c r="AF26" t="n">
        <v>128.1</v>
      </c>
    </row>
    <row r="27">
      <c r="A27" t="s">
        <v>19</v>
      </c>
      <c r="B27" t="s">
        <v>324</v>
      </c>
      <c r="C27" t="s">
        <v>217</v>
      </c>
      <c r="D27" t="s">
        <v>325</v>
      </c>
      <c r="E27" t="s">
        <v>218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3.2</v>
      </c>
      <c r="AE27" t="n">
        <v>4.9</v>
      </c>
      <c r="AF27" t="n">
        <v>3.7</v>
      </c>
    </row>
    <row r="28">
      <c r="A28" t="s">
        <v>19</v>
      </c>
      <c r="B28" t="s">
        <v>326</v>
      </c>
      <c r="C28" t="s">
        <v>217</v>
      </c>
      <c r="D28" t="s">
        <v>327</v>
      </c>
      <c r="E28" t="s">
        <v>218</v>
      </c>
      <c r="F28" t="n">
        <v>0.1</v>
      </c>
      <c r="G28" t="n">
        <v>0.1</v>
      </c>
      <c r="H28" t="n">
        <v>0.1</v>
      </c>
      <c r="I28" t="n">
        <v>0.1</v>
      </c>
      <c r="J28" t="n">
        <v>0.1</v>
      </c>
      <c r="K28" t="n">
        <v>0.1</v>
      </c>
      <c r="L28" t="n">
        <v>0.2</v>
      </c>
      <c r="M28" t="n">
        <v>0.2</v>
      </c>
      <c r="N28" t="n">
        <v>0.2</v>
      </c>
      <c r="O28" t="n">
        <v>0.2</v>
      </c>
      <c r="P28" t="n">
        <v>0.2</v>
      </c>
      <c r="Q28" t="n">
        <v>0.3</v>
      </c>
      <c r="R28" t="n">
        <v>0.3</v>
      </c>
      <c r="S28" t="n">
        <v>0.3</v>
      </c>
      <c r="T28" t="n">
        <v>0.3</v>
      </c>
      <c r="U28" t="n">
        <v>0.2</v>
      </c>
      <c r="V28" t="n">
        <v>0.2</v>
      </c>
      <c r="W28" t="n">
        <v>0.2</v>
      </c>
      <c r="X28" t="n">
        <v>0.2</v>
      </c>
      <c r="Y28" t="n">
        <v>0.2</v>
      </c>
      <c r="Z28" t="n">
        <v>1.3</v>
      </c>
      <c r="AA28" t="n">
        <v>1.7</v>
      </c>
      <c r="AB28" t="n">
        <v>22.6</v>
      </c>
      <c r="AC28" t="n">
        <v>28.8</v>
      </c>
      <c r="AD28" t="n">
        <v>34.6</v>
      </c>
      <c r="AE28" t="n">
        <v>33.2</v>
      </c>
      <c r="AF28" t="n">
        <v>41.8</v>
      </c>
    </row>
    <row r="29">
      <c r="A29" t="s">
        <v>19</v>
      </c>
      <c r="B29" t="s">
        <v>328</v>
      </c>
      <c r="C29" t="s">
        <v>217</v>
      </c>
      <c r="D29" t="s">
        <v>329</v>
      </c>
      <c r="E29" t="s">
        <v>218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0.1</v>
      </c>
      <c r="R29" t="n">
        <v>0.1</v>
      </c>
      <c r="S29" t="n">
        <v>0.1</v>
      </c>
      <c r="T29" t="n">
        <v>0.1</v>
      </c>
      <c r="U29" t="n">
        <v>0</v>
      </c>
      <c r="V29" t="n">
        <v>0</v>
      </c>
      <c r="W29" t="n">
        <v>0.1</v>
      </c>
      <c r="X29" t="n">
        <v>0.1</v>
      </c>
      <c r="Y29" t="n">
        <v>0.1</v>
      </c>
      <c r="Z29" t="n">
        <v>0.3</v>
      </c>
      <c r="AA29" t="n">
        <v>0.4</v>
      </c>
      <c r="AB29" t="n">
        <v>12</v>
      </c>
      <c r="AC29" t="n">
        <v>18.3</v>
      </c>
      <c r="AD29" t="n">
        <v>19.1</v>
      </c>
      <c r="AE29" t="n">
        <v>19.4</v>
      </c>
      <c r="AF29" t="n">
        <v>16.3</v>
      </c>
    </row>
    <row r="30">
      <c r="A30" t="s">
        <v>19</v>
      </c>
      <c r="B30" t="s">
        <v>330</v>
      </c>
      <c r="C30" t="s">
        <v>217</v>
      </c>
      <c r="D30" t="s">
        <v>331</v>
      </c>
      <c r="E30" t="s">
        <v>218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19</v>
      </c>
      <c r="B31" t="s">
        <v>332</v>
      </c>
      <c r="C31" t="s">
        <v>217</v>
      </c>
      <c r="D31" t="s">
        <v>333</v>
      </c>
      <c r="E31" t="s">
        <v>218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0.3</v>
      </c>
      <c r="AA31" t="n">
        <v>0.4</v>
      </c>
      <c r="AB31" t="n">
        <v>0</v>
      </c>
      <c r="AC31" t="n">
        <v>0</v>
      </c>
      <c r="AD31" t="n">
        <v>0.3</v>
      </c>
      <c r="AE31" t="n">
        <v>0.3</v>
      </c>
      <c r="AF31" t="n">
        <v>6.5</v>
      </c>
    </row>
    <row r="32">
      <c r="A32" t="s">
        <v>19</v>
      </c>
      <c r="B32" t="s">
        <v>334</v>
      </c>
      <c r="C32" t="s">
        <v>217</v>
      </c>
      <c r="D32" t="s">
        <v>335</v>
      </c>
      <c r="E32" t="s">
        <v>218</v>
      </c>
      <c r="F32" t="n">
        <v>0.1</v>
      </c>
      <c r="G32" t="n">
        <v>0.1</v>
      </c>
      <c r="H32" t="n">
        <v>0.1</v>
      </c>
      <c r="I32" t="n">
        <v>0.1</v>
      </c>
      <c r="J32" t="n">
        <v>0.1</v>
      </c>
      <c r="K32" t="n">
        <v>0.1</v>
      </c>
      <c r="L32" t="n">
        <v>0.1</v>
      </c>
      <c r="M32" t="n">
        <v>0.1</v>
      </c>
      <c r="N32" t="n">
        <v>0.1</v>
      </c>
      <c r="O32" t="n">
        <v>0.1</v>
      </c>
      <c r="P32" t="n">
        <v>0.1</v>
      </c>
      <c r="Q32" t="n">
        <v>0.2</v>
      </c>
      <c r="R32" t="n">
        <v>0.2</v>
      </c>
      <c r="S32" t="n">
        <v>0.2</v>
      </c>
      <c r="T32" t="n">
        <v>0.2</v>
      </c>
      <c r="U32" t="n">
        <v>0.2</v>
      </c>
      <c r="V32" t="n">
        <v>0.1</v>
      </c>
      <c r="W32" t="n">
        <v>0.1</v>
      </c>
      <c r="X32" t="n">
        <v>0.1</v>
      </c>
      <c r="Y32" t="n">
        <v>0.1</v>
      </c>
      <c r="Z32" t="n">
        <v>0.5</v>
      </c>
      <c r="AA32" t="n">
        <v>0.8</v>
      </c>
      <c r="AB32" t="n">
        <v>10.1</v>
      </c>
      <c r="AC32" t="n">
        <v>9.7</v>
      </c>
      <c r="AD32" t="n">
        <v>14</v>
      </c>
      <c r="AE32" t="n">
        <v>12</v>
      </c>
      <c r="AF32" t="n">
        <v>15.9</v>
      </c>
    </row>
    <row r="33">
      <c r="A33" t="s">
        <v>19</v>
      </c>
      <c r="B33" t="s">
        <v>336</v>
      </c>
      <c r="C33" t="s">
        <v>217</v>
      </c>
      <c r="D33" t="s">
        <v>337</v>
      </c>
      <c r="E33" t="s">
        <v>218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0.1</v>
      </c>
      <c r="AA33" t="n">
        <v>0.2</v>
      </c>
      <c r="AB33" t="n">
        <v>0.5</v>
      </c>
      <c r="AC33" t="n">
        <v>0.8</v>
      </c>
      <c r="AD33" t="n">
        <v>1.2</v>
      </c>
      <c r="AE33" t="n">
        <v>1.5</v>
      </c>
      <c r="AF33" t="n">
        <v>3.1</v>
      </c>
    </row>
    <row r="34">
      <c r="A34" t="s">
        <v>19</v>
      </c>
      <c r="B34" t="s">
        <v>338</v>
      </c>
      <c r="C34" t="s">
        <v>217</v>
      </c>
      <c r="D34" t="s">
        <v>339</v>
      </c>
      <c r="E34" t="s">
        <v>218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0.1</v>
      </c>
      <c r="M34" t="n">
        <v>0.1</v>
      </c>
      <c r="N34" t="n">
        <v>0.1</v>
      </c>
      <c r="O34" t="n">
        <v>0.1</v>
      </c>
      <c r="P34" t="n">
        <v>0.1</v>
      </c>
      <c r="Q34" t="n">
        <v>0.1</v>
      </c>
      <c r="R34" t="n">
        <v>0.1</v>
      </c>
      <c r="S34" t="n">
        <v>0.1</v>
      </c>
      <c r="T34" t="n">
        <v>0.1</v>
      </c>
      <c r="U34" t="n">
        <v>0.1</v>
      </c>
      <c r="V34" t="n">
        <v>0.1</v>
      </c>
      <c r="W34" t="n">
        <v>0.1</v>
      </c>
      <c r="X34" t="n">
        <v>0.1</v>
      </c>
      <c r="Y34" t="n">
        <v>0.1</v>
      </c>
      <c r="Z34" t="n">
        <v>0.4</v>
      </c>
      <c r="AA34" t="n">
        <v>0.6</v>
      </c>
      <c r="AB34" t="n">
        <v>0</v>
      </c>
      <c r="AC34" t="n">
        <v>0.2</v>
      </c>
      <c r="AD34" t="n">
        <v>0.1</v>
      </c>
      <c r="AE34" t="n">
        <v>0.4</v>
      </c>
      <c r="AF34" t="n">
        <v>0</v>
      </c>
    </row>
    <row r="35">
      <c r="A35" t="s">
        <v>19</v>
      </c>
      <c r="B35" t="s">
        <v>340</v>
      </c>
      <c r="C35" t="s">
        <v>217</v>
      </c>
      <c r="D35" t="s">
        <v>341</v>
      </c>
      <c r="E35" t="s">
        <v>218</v>
      </c>
      <c r="F35" t="n">
        <v>30.1</v>
      </c>
      <c r="G35" t="n">
        <v>29.5</v>
      </c>
      <c r="H35" t="n">
        <v>30.1</v>
      </c>
      <c r="I35" t="n">
        <v>37.9</v>
      </c>
      <c r="J35" t="n">
        <v>42.8</v>
      </c>
      <c r="K35" t="n">
        <v>48.1</v>
      </c>
      <c r="L35" t="n">
        <v>62.3</v>
      </c>
      <c r="M35" t="n">
        <v>59.3</v>
      </c>
      <c r="N35" t="n">
        <v>66</v>
      </c>
      <c r="O35" t="n">
        <v>74.7</v>
      </c>
      <c r="P35" t="n">
        <v>80.5</v>
      </c>
      <c r="Q35" t="n">
        <v>92.2</v>
      </c>
      <c r="R35" t="n">
        <v>121.4</v>
      </c>
      <c r="S35" t="n">
        <v>91.4</v>
      </c>
      <c r="T35" t="n">
        <v>93.8</v>
      </c>
      <c r="U35" t="n">
        <v>90.9</v>
      </c>
      <c r="V35" t="n">
        <v>75.6</v>
      </c>
      <c r="W35" t="n">
        <v>67</v>
      </c>
      <c r="X35" t="n">
        <v>71.7</v>
      </c>
      <c r="Y35" t="n">
        <v>63.4</v>
      </c>
      <c r="Z35" t="n">
        <v>60.7</v>
      </c>
      <c r="AA35" t="n">
        <v>85.4</v>
      </c>
      <c r="AB35" t="n">
        <v>128.7</v>
      </c>
      <c r="AC35" t="n">
        <v>99.5</v>
      </c>
      <c r="AD35" t="n">
        <v>150.1</v>
      </c>
      <c r="AE35" t="n">
        <v>185.7</v>
      </c>
      <c r="AF35" t="n">
        <v>231.5</v>
      </c>
    </row>
    <row r="36">
      <c r="A36" t="s">
        <v>19</v>
      </c>
      <c r="B36" t="s">
        <v>342</v>
      </c>
      <c r="C36" t="s">
        <v>217</v>
      </c>
      <c r="D36" t="s">
        <v>343</v>
      </c>
      <c r="E36" t="s">
        <v>218</v>
      </c>
      <c r="F36" t="n">
        <v>0</v>
      </c>
      <c r="G36" t="n">
        <v>0</v>
      </c>
      <c r="H36" t="n">
        <v>0</v>
      </c>
      <c r="I36" t="n">
        <v>0.1</v>
      </c>
      <c r="J36" t="n">
        <v>0.1</v>
      </c>
      <c r="K36" t="n">
        <v>0.1</v>
      </c>
      <c r="L36" t="n">
        <v>0.1</v>
      </c>
      <c r="M36" t="n">
        <v>0.1</v>
      </c>
      <c r="N36" t="n">
        <v>0.1</v>
      </c>
      <c r="O36" t="n">
        <v>0.1</v>
      </c>
      <c r="P36" t="n">
        <v>0.1</v>
      </c>
      <c r="Q36" t="n">
        <v>0.1</v>
      </c>
      <c r="R36" t="n">
        <v>0.2</v>
      </c>
      <c r="S36" t="n">
        <v>0.1</v>
      </c>
      <c r="T36" t="n">
        <v>0.1</v>
      </c>
      <c r="U36" t="n">
        <v>0.1</v>
      </c>
      <c r="V36" t="n">
        <v>0.1</v>
      </c>
      <c r="W36" t="n">
        <v>0.1</v>
      </c>
      <c r="X36" t="n">
        <v>0.1</v>
      </c>
      <c r="Y36" t="n">
        <v>0.1</v>
      </c>
      <c r="Z36" t="n">
        <v>2.4</v>
      </c>
      <c r="AA36" t="n">
        <v>3.4</v>
      </c>
      <c r="AB36" t="n">
        <v>2.6</v>
      </c>
      <c r="AC36" t="n">
        <v>4.1</v>
      </c>
      <c r="AD36" t="n">
        <v>20.2</v>
      </c>
      <c r="AE36" t="n">
        <v>24.3</v>
      </c>
      <c r="AF36" t="n">
        <v>35.2</v>
      </c>
    </row>
    <row r="37">
      <c r="A37" t="s">
        <v>19</v>
      </c>
      <c r="B37" t="s">
        <v>344</v>
      </c>
      <c r="C37" t="s">
        <v>217</v>
      </c>
      <c r="D37" t="s">
        <v>345</v>
      </c>
      <c r="E37" t="s">
        <v>218</v>
      </c>
      <c r="F37" t="n">
        <v>10.9</v>
      </c>
      <c r="G37" t="n">
        <v>10.9</v>
      </c>
      <c r="H37" t="n">
        <v>11.3</v>
      </c>
      <c r="I37" t="n">
        <v>15.3</v>
      </c>
      <c r="J37" t="n">
        <v>17.9</v>
      </c>
      <c r="K37" t="n">
        <v>17.8</v>
      </c>
      <c r="L37" t="n">
        <v>20.6</v>
      </c>
      <c r="M37" t="n">
        <v>20.5</v>
      </c>
      <c r="N37" t="n">
        <v>23.7</v>
      </c>
      <c r="O37" t="n">
        <v>28.3</v>
      </c>
      <c r="P37" t="n">
        <v>30.5</v>
      </c>
      <c r="Q37" t="n">
        <v>34.9</v>
      </c>
      <c r="R37" t="n">
        <v>49.4</v>
      </c>
      <c r="S37" t="n">
        <v>37.2</v>
      </c>
      <c r="T37" t="n">
        <v>38.2</v>
      </c>
      <c r="U37" t="n">
        <v>37</v>
      </c>
      <c r="V37" t="n">
        <v>30.8</v>
      </c>
      <c r="W37" t="n">
        <v>27.3</v>
      </c>
      <c r="X37" t="n">
        <v>29.2</v>
      </c>
      <c r="Y37" t="n">
        <v>25.8</v>
      </c>
      <c r="Z37" t="n">
        <v>7</v>
      </c>
      <c r="AA37" t="n">
        <v>9.9</v>
      </c>
      <c r="AB37" t="n">
        <v>37.5</v>
      </c>
      <c r="AC37" t="n">
        <v>33.7</v>
      </c>
      <c r="AD37" t="n">
        <v>31.8</v>
      </c>
      <c r="AE37" t="n">
        <v>33.3</v>
      </c>
      <c r="AF37" t="n">
        <v>29.7</v>
      </c>
    </row>
    <row r="38">
      <c r="A38" t="s">
        <v>19</v>
      </c>
      <c r="B38" t="s">
        <v>346</v>
      </c>
      <c r="C38" t="s">
        <v>217</v>
      </c>
      <c r="D38" t="s">
        <v>347</v>
      </c>
      <c r="E38" t="s">
        <v>218</v>
      </c>
      <c r="F38" t="n">
        <v>19.2</v>
      </c>
      <c r="G38" t="n">
        <v>18.6</v>
      </c>
      <c r="H38" t="n">
        <v>18.8</v>
      </c>
      <c r="I38" t="n">
        <v>22.5</v>
      </c>
      <c r="J38" t="n">
        <v>24.8</v>
      </c>
      <c r="K38" t="n">
        <v>30.2</v>
      </c>
      <c r="L38" t="n">
        <v>41.6</v>
      </c>
      <c r="M38" t="n">
        <v>38.7</v>
      </c>
      <c r="N38" t="n">
        <v>42.2</v>
      </c>
      <c r="O38" t="n">
        <v>46.3</v>
      </c>
      <c r="P38" t="n">
        <v>49.9</v>
      </c>
      <c r="Q38" t="n">
        <v>57.2</v>
      </c>
      <c r="R38" t="n">
        <v>71.8</v>
      </c>
      <c r="S38" t="n">
        <v>54.1</v>
      </c>
      <c r="T38" t="n">
        <v>55.5</v>
      </c>
      <c r="U38" t="n">
        <v>53.8</v>
      </c>
      <c r="V38" t="n">
        <v>44.7</v>
      </c>
      <c r="W38" t="n">
        <v>39.6</v>
      </c>
      <c r="X38" t="n">
        <v>42.4</v>
      </c>
      <c r="Y38" t="n">
        <v>37.5</v>
      </c>
      <c r="Z38" t="n">
        <v>51.3</v>
      </c>
      <c r="AA38" t="n">
        <v>72.1</v>
      </c>
      <c r="AB38" t="n">
        <v>88.6</v>
      </c>
      <c r="AC38" t="n">
        <v>61.7</v>
      </c>
      <c r="AD38" t="n">
        <v>98.1</v>
      </c>
      <c r="AE38" t="n">
        <v>128.1</v>
      </c>
      <c r="AF38" t="n">
        <v>166.6</v>
      </c>
    </row>
    <row r="39">
      <c r="A39" t="s">
        <v>19</v>
      </c>
      <c r="B39" t="s">
        <v>348</v>
      </c>
      <c r="C39" t="s">
        <v>217</v>
      </c>
      <c r="D39" t="s">
        <v>349</v>
      </c>
      <c r="E39" t="s">
        <v>218</v>
      </c>
      <c r="F39" t="n">
        <v>12.3</v>
      </c>
      <c r="G39" t="n">
        <v>12.5</v>
      </c>
      <c r="H39" t="n">
        <v>13.1</v>
      </c>
      <c r="I39" t="n">
        <v>16.5</v>
      </c>
      <c r="J39" t="n">
        <v>21.1</v>
      </c>
      <c r="K39" t="n">
        <v>27.4</v>
      </c>
      <c r="L39" t="n">
        <v>33.9</v>
      </c>
      <c r="M39" t="n">
        <v>34.6</v>
      </c>
      <c r="N39" t="n">
        <v>34.9</v>
      </c>
      <c r="O39" t="n">
        <v>37.3</v>
      </c>
      <c r="P39" t="n">
        <v>42.2</v>
      </c>
      <c r="Q39" t="n">
        <v>44.8</v>
      </c>
      <c r="R39" t="n">
        <v>48</v>
      </c>
      <c r="S39" t="n">
        <v>49.9</v>
      </c>
      <c r="T39" t="n">
        <v>53.5</v>
      </c>
      <c r="U39" t="n">
        <v>39.5</v>
      </c>
      <c r="V39" t="n">
        <v>36.4</v>
      </c>
      <c r="W39" t="n">
        <v>33.2</v>
      </c>
      <c r="X39" t="n">
        <v>35.5</v>
      </c>
      <c r="Y39" t="n">
        <v>35.5</v>
      </c>
      <c r="Z39" t="n">
        <v>87.1</v>
      </c>
      <c r="AA39" t="n">
        <v>121.6</v>
      </c>
      <c r="AB39" t="n">
        <v>100.8</v>
      </c>
      <c r="AC39" t="n">
        <v>110.4</v>
      </c>
      <c r="AD39" t="n">
        <v>103</v>
      </c>
      <c r="AE39" t="n">
        <v>103.7</v>
      </c>
      <c r="AF39" t="n">
        <v>102.9</v>
      </c>
    </row>
    <row r="40">
      <c r="A40" t="s">
        <v>19</v>
      </c>
      <c r="B40" t="s">
        <v>350</v>
      </c>
      <c r="C40" t="s">
        <v>217</v>
      </c>
      <c r="D40" t="s">
        <v>351</v>
      </c>
      <c r="E40" t="s">
        <v>218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0.1</v>
      </c>
      <c r="AB40" t="n">
        <v>0</v>
      </c>
      <c r="AC40" t="n">
        <v>0</v>
      </c>
      <c r="AD40" t="n">
        <v>0.2</v>
      </c>
      <c r="AE40" t="n">
        <v>0</v>
      </c>
      <c r="AF40" t="n">
        <v>0</v>
      </c>
    </row>
    <row r="41">
      <c r="A41" t="s">
        <v>19</v>
      </c>
      <c r="B41" t="s">
        <v>352</v>
      </c>
      <c r="C41" t="s">
        <v>217</v>
      </c>
      <c r="D41" t="s">
        <v>353</v>
      </c>
      <c r="E41" t="s">
        <v>218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19</v>
      </c>
      <c r="B42" t="s">
        <v>354</v>
      </c>
      <c r="C42" t="s">
        <v>217</v>
      </c>
      <c r="D42" t="s">
        <v>355</v>
      </c>
      <c r="E42" t="s">
        <v>218</v>
      </c>
      <c r="F42" t="n">
        <v>140.2</v>
      </c>
      <c r="G42" t="n">
        <v>153.2</v>
      </c>
      <c r="H42" t="n">
        <v>171</v>
      </c>
      <c r="I42" t="n">
        <v>188.7</v>
      </c>
      <c r="J42" t="n">
        <v>196.7</v>
      </c>
      <c r="K42" t="n">
        <v>213.1</v>
      </c>
      <c r="L42" t="n">
        <v>253.5</v>
      </c>
      <c r="M42" t="n">
        <v>260.9</v>
      </c>
      <c r="N42" t="n">
        <v>287.2</v>
      </c>
      <c r="O42" t="n">
        <v>314.6</v>
      </c>
      <c r="P42" t="n">
        <v>330</v>
      </c>
      <c r="Q42" t="n">
        <v>366.7</v>
      </c>
      <c r="R42" t="n">
        <v>436.5</v>
      </c>
      <c r="S42" t="n">
        <v>376.6</v>
      </c>
      <c r="T42" t="n">
        <v>354.3</v>
      </c>
      <c r="U42" t="n">
        <v>297.8</v>
      </c>
      <c r="V42" t="n">
        <v>284.4</v>
      </c>
      <c r="W42" t="n">
        <v>303.6</v>
      </c>
      <c r="X42" t="n">
        <v>330.8</v>
      </c>
      <c r="Y42" t="n">
        <v>294</v>
      </c>
      <c r="Z42" t="n">
        <v>307.6</v>
      </c>
      <c r="AA42" t="n">
        <v>289.4</v>
      </c>
      <c r="AB42" t="n">
        <v>319.9</v>
      </c>
      <c r="AC42" t="n">
        <v>300.4</v>
      </c>
      <c r="AD42" t="n">
        <v>351.4</v>
      </c>
      <c r="AE42" t="n">
        <v>391.5</v>
      </c>
      <c r="AF42" t="n">
        <v>441.9</v>
      </c>
    </row>
    <row r="43">
      <c r="A43" t="s">
        <v>19</v>
      </c>
      <c r="B43" t="s">
        <v>356</v>
      </c>
      <c r="C43" t="s">
        <v>217</v>
      </c>
      <c r="D43" t="s">
        <v>357</v>
      </c>
      <c r="E43" t="s">
        <v>218</v>
      </c>
      <c r="F43" t="n">
        <v>140.4</v>
      </c>
      <c r="G43" t="n">
        <v>153.4</v>
      </c>
      <c r="H43" t="n">
        <v>171.2</v>
      </c>
      <c r="I43" t="n">
        <v>189</v>
      </c>
      <c r="J43" t="n">
        <v>197</v>
      </c>
      <c r="K43" t="n">
        <v>213.4</v>
      </c>
      <c r="L43" t="n">
        <v>253.9</v>
      </c>
      <c r="M43" t="n">
        <v>261.3</v>
      </c>
      <c r="N43" t="n">
        <v>287.7</v>
      </c>
      <c r="O43" t="n">
        <v>315.1</v>
      </c>
      <c r="P43" t="n">
        <v>330.6</v>
      </c>
      <c r="Q43" t="n">
        <v>367.4</v>
      </c>
      <c r="R43" t="n">
        <v>437.4</v>
      </c>
      <c r="S43" t="n">
        <v>377.3</v>
      </c>
      <c r="T43" t="n">
        <v>355</v>
      </c>
      <c r="U43" t="n">
        <v>298.5</v>
      </c>
      <c r="V43" t="n">
        <v>285</v>
      </c>
      <c r="W43" t="n">
        <v>304.1</v>
      </c>
      <c r="X43" t="n">
        <v>331.3</v>
      </c>
      <c r="Y43" t="n">
        <v>294.5</v>
      </c>
      <c r="Z43" t="n">
        <v>307.6</v>
      </c>
      <c r="AA43" t="n">
        <v>289.4</v>
      </c>
      <c r="AB43" t="n">
        <v>322</v>
      </c>
      <c r="AC43" t="n">
        <v>300.8</v>
      </c>
      <c r="AD43" t="n">
        <v>351.7</v>
      </c>
      <c r="AE43" t="n">
        <v>394</v>
      </c>
      <c r="AF43" t="n">
        <v>446.6</v>
      </c>
    </row>
    <row r="44">
      <c r="A44" t="s">
        <v>19</v>
      </c>
      <c r="B44" t="s">
        <v>358</v>
      </c>
      <c r="C44" t="s">
        <v>217</v>
      </c>
      <c r="D44" t="s">
        <v>359</v>
      </c>
      <c r="E44" t="s">
        <v>218</v>
      </c>
      <c r="F44" t="n">
        <v>287.3</v>
      </c>
      <c r="G44" t="n">
        <v>298.1</v>
      </c>
      <c r="H44" t="n">
        <v>319.5</v>
      </c>
      <c r="I44" t="n">
        <v>374.4</v>
      </c>
      <c r="J44" t="n">
        <v>408.1</v>
      </c>
      <c r="K44" t="n">
        <v>454.6</v>
      </c>
      <c r="L44" t="n">
        <v>565.3</v>
      </c>
      <c r="M44" t="n">
        <v>560.5</v>
      </c>
      <c r="N44" t="n">
        <v>616.5</v>
      </c>
      <c r="O44" t="n">
        <v>684.4</v>
      </c>
      <c r="P44" t="n">
        <v>730.4</v>
      </c>
      <c r="Q44" t="n">
        <v>821.7</v>
      </c>
      <c r="R44" t="n">
        <v>1023.9</v>
      </c>
      <c r="S44" t="n">
        <v>833.8</v>
      </c>
      <c r="T44" t="n">
        <v>825.1</v>
      </c>
      <c r="U44" t="n">
        <v>740.4</v>
      </c>
      <c r="V44" t="n">
        <v>656.3</v>
      </c>
      <c r="W44" t="n">
        <v>635.8</v>
      </c>
      <c r="X44" t="n">
        <v>686</v>
      </c>
      <c r="Y44" t="n">
        <v>612.4</v>
      </c>
      <c r="Z44" t="n">
        <v>669.1</v>
      </c>
      <c r="AA44" t="n">
        <v>788.6</v>
      </c>
      <c r="AB44" t="n">
        <v>938.4</v>
      </c>
      <c r="AC44" t="n">
        <v>851.8</v>
      </c>
      <c r="AD44" t="n">
        <v>1047.2</v>
      </c>
      <c r="AE44" t="n">
        <v>1189.7</v>
      </c>
      <c r="AF44" t="n">
        <v>1412.2</v>
      </c>
    </row>
    <row r="45">
      <c r="A45" t="s">
        <v>19</v>
      </c>
      <c r="B45" t="s">
        <v>360</v>
      </c>
      <c r="C45" t="s">
        <v>217</v>
      </c>
      <c r="D45" t="s">
        <v>361</v>
      </c>
      <c r="E45" t="s">
        <v>218</v>
      </c>
      <c r="F45" t="n">
        <v>286.6</v>
      </c>
      <c r="G45" t="n">
        <v>297.4</v>
      </c>
      <c r="H45" t="n">
        <v>318.8</v>
      </c>
      <c r="I45" t="n">
        <v>373.6</v>
      </c>
      <c r="J45" t="n">
        <v>407.2</v>
      </c>
      <c r="K45" t="n">
        <v>453.4</v>
      </c>
      <c r="L45" t="n">
        <v>563.7</v>
      </c>
      <c r="M45" t="n">
        <v>559</v>
      </c>
      <c r="N45" t="n">
        <v>614.9</v>
      </c>
      <c r="O45" t="n">
        <v>682.6</v>
      </c>
      <c r="P45" t="n">
        <v>728.5</v>
      </c>
      <c r="Q45" t="n">
        <v>819.5</v>
      </c>
      <c r="R45" t="n">
        <v>1021.2</v>
      </c>
      <c r="S45" t="n">
        <v>831.8</v>
      </c>
      <c r="T45" t="n">
        <v>823</v>
      </c>
      <c r="U45" t="n">
        <v>738.4</v>
      </c>
      <c r="V45" t="n">
        <v>654.6</v>
      </c>
      <c r="W45" t="n">
        <v>634.3</v>
      </c>
      <c r="X45" t="n">
        <v>684.4</v>
      </c>
      <c r="Y45" t="n">
        <v>611</v>
      </c>
      <c r="Z45" t="n">
        <v>667.9</v>
      </c>
      <c r="AA45" t="n">
        <v>786.9</v>
      </c>
      <c r="AB45" t="n">
        <v>935.7</v>
      </c>
      <c r="AC45" t="n">
        <v>850</v>
      </c>
      <c r="AD45" t="n">
        <v>1040.9</v>
      </c>
      <c r="AE45" t="n">
        <v>1181.9</v>
      </c>
      <c r="AF45" t="n">
        <v>1396.5</v>
      </c>
    </row>
    <row r="46">
      <c r="A46" t="s">
        <v>19</v>
      </c>
      <c r="B46" t="s">
        <v>362</v>
      </c>
      <c r="C46" t="s">
        <v>217</v>
      </c>
      <c r="D46" t="s">
        <v>363</v>
      </c>
      <c r="E46" t="s">
        <v>218</v>
      </c>
      <c r="F46" t="n">
        <v>0.2</v>
      </c>
      <c r="G46" t="n">
        <v>0.2</v>
      </c>
      <c r="H46" t="n">
        <v>0.2</v>
      </c>
      <c r="I46" t="n">
        <v>0.3</v>
      </c>
      <c r="J46" t="n">
        <v>0.3</v>
      </c>
      <c r="K46" t="n">
        <v>0.3</v>
      </c>
      <c r="L46" t="n">
        <v>0.4</v>
      </c>
      <c r="M46" t="n">
        <v>0.4</v>
      </c>
      <c r="N46" t="n">
        <v>0.5</v>
      </c>
      <c r="O46" t="n">
        <v>0.5</v>
      </c>
      <c r="P46" t="n">
        <v>0.6</v>
      </c>
      <c r="Q46" t="n">
        <v>0.7</v>
      </c>
      <c r="R46" t="n">
        <v>0.9</v>
      </c>
      <c r="S46" t="n">
        <v>0.7</v>
      </c>
      <c r="T46" t="n">
        <v>0.7</v>
      </c>
      <c r="U46" t="n">
        <v>0.7</v>
      </c>
      <c r="V46" t="n">
        <v>0.6</v>
      </c>
      <c r="W46" t="n">
        <v>0.5</v>
      </c>
      <c r="X46" t="n">
        <v>0.5</v>
      </c>
      <c r="Y46" t="n">
        <v>0.5</v>
      </c>
      <c r="Z46" t="n">
        <v>0</v>
      </c>
      <c r="AA46" t="n">
        <v>0</v>
      </c>
      <c r="AB46" t="n">
        <v>2.1</v>
      </c>
      <c r="AC46" t="n">
        <v>0.4</v>
      </c>
      <c r="AD46" t="n">
        <v>0.3</v>
      </c>
      <c r="AE46" t="n">
        <v>2.5</v>
      </c>
      <c r="AF46" t="n">
        <v>4.7</v>
      </c>
    </row>
    <row r="47">
      <c r="A47" t="s">
        <v>19</v>
      </c>
      <c r="B47" t="s">
        <v>364</v>
      </c>
      <c r="C47" t="s">
        <v>217</v>
      </c>
      <c r="D47" t="s">
        <v>365</v>
      </c>
      <c r="E47" t="s">
        <v>218</v>
      </c>
      <c r="F47" t="n">
        <v>42.9</v>
      </c>
      <c r="G47" t="n">
        <v>51.5</v>
      </c>
      <c r="H47" t="n">
        <v>61.9</v>
      </c>
      <c r="I47" t="n">
        <v>73.4</v>
      </c>
      <c r="J47" t="n">
        <v>90</v>
      </c>
      <c r="K47" t="n">
        <v>93.9</v>
      </c>
      <c r="L47" t="n">
        <v>98.1</v>
      </c>
      <c r="M47" t="n">
        <v>108.4</v>
      </c>
      <c r="N47" t="n">
        <v>116.3</v>
      </c>
      <c r="O47" t="n">
        <v>121.1</v>
      </c>
      <c r="P47" t="n">
        <v>136.2</v>
      </c>
      <c r="Q47" t="n">
        <v>144.7</v>
      </c>
      <c r="R47" t="n">
        <v>160.5</v>
      </c>
      <c r="S47" t="n">
        <v>199.3</v>
      </c>
      <c r="T47" t="n">
        <v>176.2</v>
      </c>
      <c r="U47" t="n">
        <v>113.7</v>
      </c>
      <c r="V47" t="n">
        <v>120.5</v>
      </c>
      <c r="W47" t="n">
        <v>120</v>
      </c>
      <c r="X47" t="n">
        <v>131.3</v>
      </c>
      <c r="Y47" t="n">
        <v>133.1</v>
      </c>
      <c r="Z47" t="n">
        <v>200.6</v>
      </c>
      <c r="AA47" t="n">
        <v>177.2</v>
      </c>
      <c r="AB47" t="n">
        <v>155.1</v>
      </c>
      <c r="AC47" t="n">
        <v>182.5</v>
      </c>
      <c r="AD47" t="n">
        <v>159.2</v>
      </c>
      <c r="AE47" t="n">
        <v>165.1</v>
      </c>
      <c r="AF47" t="n">
        <v>179.4</v>
      </c>
    </row>
    <row r="48">
      <c r="A48" t="s">
        <v>19</v>
      </c>
      <c r="B48" t="s">
        <v>366</v>
      </c>
      <c r="C48" t="s">
        <v>217</v>
      </c>
      <c r="D48" t="s">
        <v>367</v>
      </c>
      <c r="E48" t="s">
        <v>218</v>
      </c>
      <c r="F48" t="n">
        <v>382.5</v>
      </c>
      <c r="G48" t="n">
        <v>434.8</v>
      </c>
      <c r="H48" t="n">
        <v>500.6</v>
      </c>
      <c r="I48" t="n">
        <v>551.2</v>
      </c>
      <c r="J48" t="n">
        <v>583.5</v>
      </c>
      <c r="K48" t="n">
        <v>607.7</v>
      </c>
      <c r="L48" t="n">
        <v>678.7</v>
      </c>
      <c r="M48" t="n">
        <v>728.1</v>
      </c>
      <c r="N48" t="n">
        <v>805</v>
      </c>
      <c r="O48" t="n">
        <v>876.6</v>
      </c>
      <c r="P48" t="n">
        <v>925.5</v>
      </c>
      <c r="Q48" t="n">
        <v>1013.4</v>
      </c>
      <c r="R48" t="n">
        <v>1196</v>
      </c>
      <c r="S48" t="n">
        <v>1139.8</v>
      </c>
      <c r="T48" t="n">
        <v>1035.8</v>
      </c>
      <c r="U48" t="n">
        <v>799.4</v>
      </c>
      <c r="V48" t="n">
        <v>809.5</v>
      </c>
      <c r="W48" t="n">
        <v>890.8</v>
      </c>
      <c r="X48" t="n">
        <v>978.6</v>
      </c>
      <c r="Y48" t="n">
        <v>892.7</v>
      </c>
      <c r="Z48" t="n">
        <v>1016.2</v>
      </c>
      <c r="AA48" t="n">
        <v>888.6</v>
      </c>
      <c r="AB48" t="n">
        <v>981.9</v>
      </c>
      <c r="AC48" t="n">
        <v>1054.6</v>
      </c>
      <c r="AD48" t="n">
        <v>1185.6</v>
      </c>
      <c r="AE48" t="n">
        <v>1295.9</v>
      </c>
      <c r="AF48" t="n">
        <v>1397.1</v>
      </c>
    </row>
    <row r="49">
      <c r="A49" t="s">
        <v>19</v>
      </c>
      <c r="B49" t="s">
        <v>368</v>
      </c>
      <c r="C49" t="s">
        <v>217</v>
      </c>
      <c r="D49" t="s">
        <v>369</v>
      </c>
      <c r="E49" t="s">
        <v>218</v>
      </c>
      <c r="F49" t="n">
        <v>319.7</v>
      </c>
      <c r="G49" t="n">
        <v>361.3</v>
      </c>
      <c r="H49" t="n">
        <v>413.7</v>
      </c>
      <c r="I49" t="n">
        <v>450.7</v>
      </c>
      <c r="J49" t="n">
        <v>465.6</v>
      </c>
      <c r="K49" t="n">
        <v>484.1</v>
      </c>
      <c r="L49" t="n">
        <v>546</v>
      </c>
      <c r="M49" t="n">
        <v>583.4</v>
      </c>
      <c r="N49" t="n">
        <v>648.7</v>
      </c>
      <c r="O49" t="n">
        <v>711.8</v>
      </c>
      <c r="P49" t="n">
        <v>743.9</v>
      </c>
      <c r="Q49" t="n">
        <v>818.5</v>
      </c>
      <c r="R49" t="n">
        <v>973.5</v>
      </c>
      <c r="S49" t="n">
        <v>886.5</v>
      </c>
      <c r="T49" t="n">
        <v>809.3</v>
      </c>
      <c r="U49" t="n">
        <v>644.2</v>
      </c>
      <c r="V49" t="n">
        <v>648.7</v>
      </c>
      <c r="W49" t="n">
        <v>726.4</v>
      </c>
      <c r="X49" t="n">
        <v>798.9</v>
      </c>
      <c r="Y49" t="n">
        <v>716.9</v>
      </c>
      <c r="Z49" t="n">
        <v>709.4</v>
      </c>
      <c r="AA49" t="n">
        <v>621.3</v>
      </c>
      <c r="AB49" t="n">
        <v>579.5</v>
      </c>
      <c r="AC49" t="n">
        <v>632.6</v>
      </c>
      <c r="AD49" t="n">
        <v>734.6</v>
      </c>
      <c r="AE49" t="n">
        <v>828.1</v>
      </c>
      <c r="AF49" t="n">
        <v>888.4</v>
      </c>
    </row>
    <row r="50">
      <c r="A50" t="s">
        <v>19</v>
      </c>
      <c r="B50" t="s">
        <v>370</v>
      </c>
      <c r="C50" t="s">
        <v>217</v>
      </c>
      <c r="D50" t="s">
        <v>371</v>
      </c>
      <c r="E50" t="s">
        <v>218</v>
      </c>
      <c r="F50" t="n">
        <v>19.9</v>
      </c>
      <c r="G50" t="n">
        <v>22.1</v>
      </c>
      <c r="H50" t="n">
        <v>24.9</v>
      </c>
      <c r="I50" t="n">
        <v>27.1</v>
      </c>
      <c r="J50" t="n">
        <v>27.9</v>
      </c>
      <c r="K50" t="n">
        <v>29.8</v>
      </c>
      <c r="L50" t="n">
        <v>34.6</v>
      </c>
      <c r="M50" t="n">
        <v>36.3</v>
      </c>
      <c r="N50" t="n">
        <v>40</v>
      </c>
      <c r="O50" t="n">
        <v>43.7</v>
      </c>
      <c r="P50" t="n">
        <v>45.4</v>
      </c>
      <c r="Q50" t="n">
        <v>50.2</v>
      </c>
      <c r="R50" t="n">
        <v>61.9</v>
      </c>
      <c r="S50" t="n">
        <v>54</v>
      </c>
      <c r="T50" t="n">
        <v>50.4</v>
      </c>
      <c r="U50" t="n">
        <v>41.5</v>
      </c>
      <c r="V50" t="n">
        <v>40.4</v>
      </c>
      <c r="W50" t="n">
        <v>44.4</v>
      </c>
      <c r="X50" t="n">
        <v>48.3</v>
      </c>
      <c r="Y50" t="n">
        <v>42.8</v>
      </c>
      <c r="Z50" t="n">
        <v>106.2</v>
      </c>
      <c r="AA50" t="n">
        <v>90.1</v>
      </c>
      <c r="AB50" t="n">
        <v>247.3</v>
      </c>
      <c r="AC50" t="n">
        <v>239.4</v>
      </c>
      <c r="AD50" t="n">
        <v>291.7</v>
      </c>
      <c r="AE50" t="n">
        <v>302.6</v>
      </c>
      <c r="AF50" t="n">
        <v>329.3</v>
      </c>
    </row>
    <row r="51">
      <c r="A51" t="s">
        <v>19</v>
      </c>
      <c r="B51" t="s">
        <v>372</v>
      </c>
      <c r="C51" t="s">
        <v>217</v>
      </c>
      <c r="D51" t="s">
        <v>373</v>
      </c>
      <c r="E51" t="s">
        <v>218</v>
      </c>
      <c r="F51" t="n">
        <v>19.9</v>
      </c>
      <c r="G51" t="n">
        <v>22.1</v>
      </c>
      <c r="H51" t="n">
        <v>24.9</v>
      </c>
      <c r="I51" t="n">
        <v>27.1</v>
      </c>
      <c r="J51" t="n">
        <v>27.9</v>
      </c>
      <c r="K51" t="n">
        <v>29.8</v>
      </c>
      <c r="L51" t="n">
        <v>34.6</v>
      </c>
      <c r="M51" t="n">
        <v>36.3</v>
      </c>
      <c r="N51" t="n">
        <v>40</v>
      </c>
      <c r="O51" t="n">
        <v>43.7</v>
      </c>
      <c r="P51" t="n">
        <v>45.4</v>
      </c>
      <c r="Q51" t="n">
        <v>50.2</v>
      </c>
      <c r="R51" t="n">
        <v>61.9</v>
      </c>
      <c r="S51" t="n">
        <v>54</v>
      </c>
      <c r="T51" t="n">
        <v>50.4</v>
      </c>
      <c r="U51" t="n">
        <v>41.5</v>
      </c>
      <c r="V51" t="n">
        <v>40.4</v>
      </c>
      <c r="W51" t="n">
        <v>44.4</v>
      </c>
      <c r="X51" t="n">
        <v>48.3</v>
      </c>
      <c r="Y51" t="n">
        <v>42.8</v>
      </c>
      <c r="Z51" t="n">
        <v>106.1</v>
      </c>
      <c r="AA51" t="n">
        <v>89.8</v>
      </c>
      <c r="AB51" t="n">
        <v>246.4</v>
      </c>
      <c r="AC51" t="n">
        <v>239.2</v>
      </c>
      <c r="AD51" t="n">
        <v>291.5</v>
      </c>
      <c r="AE51" t="n">
        <v>302.1</v>
      </c>
      <c r="AF51" t="n">
        <v>328.9</v>
      </c>
    </row>
    <row r="52">
      <c r="A52" t="s">
        <v>19</v>
      </c>
      <c r="B52" t="s">
        <v>374</v>
      </c>
      <c r="C52" t="s">
        <v>217</v>
      </c>
      <c r="D52" t="s">
        <v>375</v>
      </c>
      <c r="E52" t="s">
        <v>218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0.1</v>
      </c>
      <c r="AA52" t="n">
        <v>0.3</v>
      </c>
      <c r="AB52" t="n">
        <v>0.9</v>
      </c>
      <c r="AC52" t="n">
        <v>0.2</v>
      </c>
      <c r="AD52" t="n">
        <v>0.2</v>
      </c>
      <c r="AE52" t="n">
        <v>0.5</v>
      </c>
      <c r="AF52" t="n">
        <v>0.4</v>
      </c>
    </row>
    <row r="53">
      <c r="A53" t="s">
        <v>19</v>
      </c>
      <c r="B53" t="s">
        <v>376</v>
      </c>
      <c r="C53" t="s">
        <v>217</v>
      </c>
      <c r="D53" t="s">
        <v>377</v>
      </c>
      <c r="E53" t="s">
        <v>218</v>
      </c>
      <c r="F53" t="n">
        <v>4.3</v>
      </c>
      <c r="G53" t="n">
        <v>4.3</v>
      </c>
      <c r="H53" t="n">
        <v>4.5</v>
      </c>
      <c r="I53" t="n">
        <v>5.1</v>
      </c>
      <c r="J53" t="n">
        <v>5.4</v>
      </c>
      <c r="K53" t="n">
        <v>6.4</v>
      </c>
      <c r="L53" t="n">
        <v>8.4</v>
      </c>
      <c r="M53" t="n">
        <v>8.1</v>
      </c>
      <c r="N53" t="n">
        <v>8.6</v>
      </c>
      <c r="O53" t="n">
        <v>9.4</v>
      </c>
      <c r="P53" t="n">
        <v>9.8</v>
      </c>
      <c r="Q53" t="n">
        <v>11.1</v>
      </c>
      <c r="R53" t="n">
        <v>13.4</v>
      </c>
      <c r="S53" t="n">
        <v>10</v>
      </c>
      <c r="T53" t="n">
        <v>10.2</v>
      </c>
      <c r="U53" t="n">
        <v>9.6</v>
      </c>
      <c r="V53" t="n">
        <v>8.1</v>
      </c>
      <c r="W53" t="n">
        <v>7.9</v>
      </c>
      <c r="X53" t="n">
        <v>8.3</v>
      </c>
      <c r="Y53" t="n">
        <v>7</v>
      </c>
      <c r="Z53" t="n">
        <v>0.8</v>
      </c>
      <c r="AA53" t="n">
        <v>1.8</v>
      </c>
      <c r="AB53" t="n">
        <v>1.5</v>
      </c>
      <c r="AC53" t="n">
        <v>3.1</v>
      </c>
      <c r="AD53" t="n">
        <v>3.9</v>
      </c>
      <c r="AE53" t="n">
        <v>4.2</v>
      </c>
      <c r="AF53" t="n">
        <v>4.1</v>
      </c>
    </row>
    <row r="54">
      <c r="A54" t="s">
        <v>19</v>
      </c>
      <c r="B54" t="s">
        <v>378</v>
      </c>
      <c r="C54" t="s">
        <v>217</v>
      </c>
      <c r="D54" t="s">
        <v>379</v>
      </c>
      <c r="E54" t="s">
        <v>218</v>
      </c>
      <c r="F54" t="n">
        <v>4.3</v>
      </c>
      <c r="G54" t="n">
        <v>4.3</v>
      </c>
      <c r="H54" t="n">
        <v>4.5</v>
      </c>
      <c r="I54" t="n">
        <v>5.2</v>
      </c>
      <c r="J54" t="n">
        <v>5.5</v>
      </c>
      <c r="K54" t="n">
        <v>6.5</v>
      </c>
      <c r="L54" t="n">
        <v>8.5</v>
      </c>
      <c r="M54" t="n">
        <v>8.2</v>
      </c>
      <c r="N54" t="n">
        <v>8.7</v>
      </c>
      <c r="O54" t="n">
        <v>9.5</v>
      </c>
      <c r="P54" t="n">
        <v>9.9</v>
      </c>
      <c r="Q54" t="n">
        <v>11.2</v>
      </c>
      <c r="R54" t="n">
        <v>14.7</v>
      </c>
      <c r="S54" t="n">
        <v>11.4</v>
      </c>
      <c r="T54" t="n">
        <v>11.5</v>
      </c>
      <c r="U54" t="n">
        <v>10.5</v>
      </c>
      <c r="V54" t="n">
        <v>9</v>
      </c>
      <c r="W54" t="n">
        <v>8.8</v>
      </c>
      <c r="X54" t="n">
        <v>9.3</v>
      </c>
      <c r="Y54" t="n">
        <v>8</v>
      </c>
      <c r="Z54" t="n">
        <v>17.1</v>
      </c>
      <c r="AA54" t="n">
        <v>19.2</v>
      </c>
      <c r="AB54" t="n">
        <v>15.1</v>
      </c>
      <c r="AC54" t="n">
        <v>5.5</v>
      </c>
      <c r="AD54" t="n">
        <v>7.1</v>
      </c>
      <c r="AE54" t="n">
        <v>5.5</v>
      </c>
      <c r="AF54" t="n">
        <v>5.1</v>
      </c>
    </row>
    <row r="55">
      <c r="A55" t="s">
        <v>19</v>
      </c>
      <c r="B55" t="s">
        <v>380</v>
      </c>
      <c r="C55" t="s">
        <v>217</v>
      </c>
      <c r="D55" t="s">
        <v>381</v>
      </c>
      <c r="E55" t="s">
        <v>218</v>
      </c>
      <c r="F55" t="n">
        <v>0</v>
      </c>
      <c r="G55" t="n">
        <v>0</v>
      </c>
      <c r="H55" t="n">
        <v>0</v>
      </c>
      <c r="I55" t="n">
        <v>0.1</v>
      </c>
      <c r="J55" t="n">
        <v>0.1</v>
      </c>
      <c r="K55" t="n">
        <v>0.1</v>
      </c>
      <c r="L55" t="n">
        <v>0.1</v>
      </c>
      <c r="M55" t="n">
        <v>0.1</v>
      </c>
      <c r="N55" t="n">
        <v>0.1</v>
      </c>
      <c r="O55" t="n">
        <v>0.1</v>
      </c>
      <c r="P55" t="n">
        <v>0.1</v>
      </c>
      <c r="Q55" t="n">
        <v>0.1</v>
      </c>
      <c r="R55" t="n">
        <v>1.3</v>
      </c>
      <c r="S55" t="n">
        <v>1.4</v>
      </c>
      <c r="T55" t="n">
        <v>1.3</v>
      </c>
      <c r="U55" t="n">
        <v>0.9</v>
      </c>
      <c r="V55" t="n">
        <v>0.9</v>
      </c>
      <c r="W55" t="n">
        <v>0.9</v>
      </c>
      <c r="X55" t="n">
        <v>1</v>
      </c>
      <c r="Y55" t="n">
        <v>1</v>
      </c>
      <c r="Z55" t="n">
        <v>16.3</v>
      </c>
      <c r="AA55" t="n">
        <v>17.4</v>
      </c>
      <c r="AB55" t="n">
        <v>13.6</v>
      </c>
      <c r="AC55" t="n">
        <v>2.4</v>
      </c>
      <c r="AD55" t="n">
        <v>3.2</v>
      </c>
      <c r="AE55" t="n">
        <v>1.3</v>
      </c>
      <c r="AF55" t="n">
        <v>1</v>
      </c>
    </row>
    <row r="56">
      <c r="A56" t="s">
        <v>19</v>
      </c>
      <c r="B56" t="s">
        <v>382</v>
      </c>
      <c r="C56" t="s">
        <v>217</v>
      </c>
      <c r="D56" t="s">
        <v>383</v>
      </c>
      <c r="E56" t="s">
        <v>218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19</v>
      </c>
      <c r="B57" t="s">
        <v>384</v>
      </c>
      <c r="C57" t="s">
        <v>217</v>
      </c>
      <c r="D57" t="s">
        <v>385</v>
      </c>
      <c r="E57" t="s">
        <v>218</v>
      </c>
      <c r="F57" t="n">
        <v>669.8</v>
      </c>
      <c r="G57" t="n">
        <v>733</v>
      </c>
      <c r="H57" t="n">
        <v>820</v>
      </c>
      <c r="I57" t="n">
        <v>925.6</v>
      </c>
      <c r="J57" t="n">
        <v>991.6</v>
      </c>
      <c r="K57" t="n">
        <v>1062.4</v>
      </c>
      <c r="L57" t="n">
        <v>1244</v>
      </c>
      <c r="M57" t="n">
        <v>1288.6</v>
      </c>
      <c r="N57" t="n">
        <v>1421.5</v>
      </c>
      <c r="O57" t="n">
        <v>1561</v>
      </c>
      <c r="P57" t="n">
        <v>1655.9</v>
      </c>
      <c r="Q57" t="n">
        <v>1835.1</v>
      </c>
      <c r="R57" t="n">
        <v>2219.8</v>
      </c>
      <c r="S57" t="n">
        <v>1973.6</v>
      </c>
      <c r="T57" t="n">
        <v>1861</v>
      </c>
      <c r="U57" t="n">
        <v>1539.8</v>
      </c>
      <c r="V57" t="n">
        <v>1465.9</v>
      </c>
      <c r="W57" t="n">
        <v>1526.6</v>
      </c>
      <c r="X57" t="n">
        <v>1664.5</v>
      </c>
      <c r="Y57" t="n">
        <v>1505.2</v>
      </c>
      <c r="Z57" t="n">
        <v>1685.3</v>
      </c>
      <c r="AA57" t="n">
        <v>1677.3</v>
      </c>
      <c r="AB57" t="n">
        <v>1920.3</v>
      </c>
      <c r="AC57" t="n">
        <v>1906.3</v>
      </c>
      <c r="AD57" t="n">
        <v>2232.9</v>
      </c>
      <c r="AE57" t="n">
        <v>2485.5</v>
      </c>
      <c r="AF57" t="n">
        <v>2809.3</v>
      </c>
    </row>
    <row r="58">
      <c r="A58" t="s">
        <v>19</v>
      </c>
      <c r="B58" t="s">
        <v>386</v>
      </c>
      <c r="C58" t="s">
        <v>217</v>
      </c>
      <c r="D58" t="s">
        <v>387</v>
      </c>
      <c r="E58" t="s">
        <v>218</v>
      </c>
      <c r="F58" t="n">
        <v>669.8</v>
      </c>
      <c r="G58" t="n">
        <v>733</v>
      </c>
      <c r="H58" t="n">
        <v>820</v>
      </c>
      <c r="I58" t="n">
        <v>925.6</v>
      </c>
      <c r="J58" t="n">
        <v>991.6</v>
      </c>
      <c r="K58" t="n">
        <v>1062.4</v>
      </c>
      <c r="L58" t="n">
        <v>1244</v>
      </c>
      <c r="M58" t="n">
        <v>1288.6</v>
      </c>
      <c r="N58" t="n">
        <v>1421.5</v>
      </c>
      <c r="O58" t="n">
        <v>1561</v>
      </c>
      <c r="P58" t="n">
        <v>1655.9</v>
      </c>
      <c r="Q58" t="n">
        <v>1835.1</v>
      </c>
      <c r="R58" t="n">
        <v>2219.8</v>
      </c>
      <c r="S58" t="n">
        <v>1973.6</v>
      </c>
      <c r="T58" t="n">
        <v>1861</v>
      </c>
      <c r="U58" t="n">
        <v>1539.8</v>
      </c>
      <c r="V58" t="n">
        <v>1465.9</v>
      </c>
      <c r="W58" t="n">
        <v>1526.6</v>
      </c>
      <c r="X58" t="n">
        <v>1664.5</v>
      </c>
      <c r="Y58" t="n">
        <v>1505.2</v>
      </c>
      <c r="Z58" t="n">
        <v>1685.3</v>
      </c>
      <c r="AA58" t="n">
        <v>1677.3</v>
      </c>
      <c r="AB58" t="n">
        <v>1920.3</v>
      </c>
      <c r="AC58" t="n">
        <v>1906.3</v>
      </c>
      <c r="AD58" t="n">
        <v>2232.9</v>
      </c>
      <c r="AE58" t="n">
        <v>2485.5</v>
      </c>
      <c r="AF58" t="n">
        <v>2809.3</v>
      </c>
    </row>
    <row r="59">
      <c r="A59" t="s">
        <v>19</v>
      </c>
      <c r="B59" t="s">
        <v>388</v>
      </c>
      <c r="C59" t="s">
        <v>217</v>
      </c>
      <c r="D59" t="s">
        <v>389</v>
      </c>
      <c r="E59" t="s">
        <v>218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21</v>
      </c>
      <c r="B2" t="s">
        <v>197</v>
      </c>
      <c r="C2" t="s">
        <v>217</v>
      </c>
      <c r="D2" t="s">
        <v>199</v>
      </c>
      <c r="E2" t="s">
        <v>218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21</v>
      </c>
      <c r="B3" t="s">
        <v>276</v>
      </c>
      <c r="C3" t="s">
        <v>217</v>
      </c>
      <c r="D3" t="s">
        <v>277</v>
      </c>
      <c r="E3" t="s">
        <v>218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21</v>
      </c>
      <c r="B4" t="s">
        <v>278</v>
      </c>
      <c r="C4" t="s">
        <v>217</v>
      </c>
      <c r="D4" t="s">
        <v>279</v>
      </c>
      <c r="E4" t="s">
        <v>218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21</v>
      </c>
      <c r="B5" t="s">
        <v>280</v>
      </c>
      <c r="C5" t="s">
        <v>217</v>
      </c>
      <c r="D5" t="s">
        <v>281</v>
      </c>
      <c r="E5" t="s">
        <v>218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21</v>
      </c>
      <c r="B6" t="s">
        <v>282</v>
      </c>
      <c r="C6" t="s">
        <v>217</v>
      </c>
      <c r="D6" t="s">
        <v>283</v>
      </c>
      <c r="E6" t="s">
        <v>218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21</v>
      </c>
      <c r="B7" t="s">
        <v>284</v>
      </c>
      <c r="C7" t="s">
        <v>217</v>
      </c>
      <c r="D7" t="s">
        <v>285</v>
      </c>
      <c r="E7" t="s">
        <v>218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21</v>
      </c>
      <c r="B8" t="s">
        <v>286</v>
      </c>
      <c r="C8" t="s">
        <v>217</v>
      </c>
      <c r="D8" t="s">
        <v>287</v>
      </c>
      <c r="E8" t="s">
        <v>218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21</v>
      </c>
      <c r="B9" t="s">
        <v>288</v>
      </c>
      <c r="C9" t="s">
        <v>217</v>
      </c>
      <c r="D9" t="s">
        <v>289</v>
      </c>
      <c r="E9" t="s">
        <v>218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21</v>
      </c>
      <c r="B10" t="s">
        <v>290</v>
      </c>
      <c r="C10" t="s">
        <v>217</v>
      </c>
      <c r="D10" t="s">
        <v>291</v>
      </c>
      <c r="E10" t="s">
        <v>218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21</v>
      </c>
      <c r="B11" t="s">
        <v>292</v>
      </c>
      <c r="C11" t="s">
        <v>217</v>
      </c>
      <c r="D11" t="s">
        <v>293</v>
      </c>
      <c r="E11" t="s">
        <v>218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21</v>
      </c>
      <c r="B12" t="s">
        <v>294</v>
      </c>
      <c r="C12" t="s">
        <v>217</v>
      </c>
      <c r="D12" t="s">
        <v>295</v>
      </c>
      <c r="E12" t="s">
        <v>218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21</v>
      </c>
      <c r="B13" t="s">
        <v>296</v>
      </c>
      <c r="C13" t="s">
        <v>217</v>
      </c>
      <c r="D13" t="s">
        <v>297</v>
      </c>
      <c r="E13" t="s">
        <v>218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21</v>
      </c>
      <c r="B14" t="s">
        <v>298</v>
      </c>
      <c r="C14" t="s">
        <v>217</v>
      </c>
      <c r="D14" t="s">
        <v>299</v>
      </c>
      <c r="E14" t="s">
        <v>218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21</v>
      </c>
      <c r="B15" t="s">
        <v>300</v>
      </c>
      <c r="C15" t="s">
        <v>217</v>
      </c>
      <c r="D15" t="s">
        <v>301</v>
      </c>
      <c r="E15" t="s">
        <v>218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21</v>
      </c>
      <c r="B16" t="s">
        <v>302</v>
      </c>
      <c r="C16" t="s">
        <v>217</v>
      </c>
      <c r="D16" t="s">
        <v>303</v>
      </c>
      <c r="E16" t="s">
        <v>218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21</v>
      </c>
      <c r="B17" t="s">
        <v>304</v>
      </c>
      <c r="C17" t="s">
        <v>217</v>
      </c>
      <c r="D17" t="s">
        <v>305</v>
      </c>
      <c r="E17" t="s">
        <v>218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21</v>
      </c>
      <c r="B18" t="s">
        <v>306</v>
      </c>
      <c r="C18" t="s">
        <v>217</v>
      </c>
      <c r="D18" t="s">
        <v>307</v>
      </c>
      <c r="E18" t="s">
        <v>218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21</v>
      </c>
      <c r="B19" t="s">
        <v>308</v>
      </c>
      <c r="C19" t="s">
        <v>217</v>
      </c>
      <c r="D19" t="s">
        <v>309</v>
      </c>
      <c r="E19" t="s">
        <v>218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21</v>
      </c>
      <c r="B20" t="s">
        <v>310</v>
      </c>
      <c r="C20" t="s">
        <v>217</v>
      </c>
      <c r="D20" t="s">
        <v>311</v>
      </c>
      <c r="E20" t="s">
        <v>218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21</v>
      </c>
      <c r="B21" t="s">
        <v>312</v>
      </c>
      <c r="C21" t="s">
        <v>217</v>
      </c>
      <c r="D21" t="s">
        <v>313</v>
      </c>
      <c r="E21" t="s">
        <v>218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21</v>
      </c>
      <c r="B22" t="s">
        <v>314</v>
      </c>
      <c r="C22" t="s">
        <v>217</v>
      </c>
      <c r="D22" t="s">
        <v>315</v>
      </c>
      <c r="E22" t="s">
        <v>218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21</v>
      </c>
      <c r="B23" t="s">
        <v>316</v>
      </c>
      <c r="C23" t="s">
        <v>217</v>
      </c>
      <c r="D23" t="s">
        <v>317</v>
      </c>
      <c r="E23" t="s">
        <v>218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21</v>
      </c>
      <c r="B24" t="s">
        <v>318</v>
      </c>
      <c r="C24" t="s">
        <v>217</v>
      </c>
      <c r="D24" t="s">
        <v>319</v>
      </c>
      <c r="E24" t="s">
        <v>218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21</v>
      </c>
      <c r="B25" t="s">
        <v>320</v>
      </c>
      <c r="C25" t="s">
        <v>217</v>
      </c>
      <c r="D25" t="s">
        <v>321</v>
      </c>
      <c r="E25" t="s">
        <v>218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21</v>
      </c>
      <c r="B26" t="s">
        <v>322</v>
      </c>
      <c r="C26" t="s">
        <v>217</v>
      </c>
      <c r="D26" t="s">
        <v>323</v>
      </c>
      <c r="E26" t="s">
        <v>218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21</v>
      </c>
      <c r="B27" t="s">
        <v>324</v>
      </c>
      <c r="C27" t="s">
        <v>217</v>
      </c>
      <c r="D27" t="s">
        <v>325</v>
      </c>
      <c r="E27" t="s">
        <v>218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21</v>
      </c>
      <c r="B28" t="s">
        <v>326</v>
      </c>
      <c r="C28" t="s">
        <v>217</v>
      </c>
      <c r="D28" t="s">
        <v>327</v>
      </c>
      <c r="E28" t="s">
        <v>218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21</v>
      </c>
      <c r="B29" t="s">
        <v>328</v>
      </c>
      <c r="C29" t="s">
        <v>217</v>
      </c>
      <c r="D29" t="s">
        <v>329</v>
      </c>
      <c r="E29" t="s">
        <v>218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21</v>
      </c>
      <c r="B30" t="s">
        <v>330</v>
      </c>
      <c r="C30" t="s">
        <v>217</v>
      </c>
      <c r="D30" t="s">
        <v>331</v>
      </c>
      <c r="E30" t="s">
        <v>218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21</v>
      </c>
      <c r="B31" t="s">
        <v>332</v>
      </c>
      <c r="C31" t="s">
        <v>217</v>
      </c>
      <c r="D31" t="s">
        <v>333</v>
      </c>
      <c r="E31" t="s">
        <v>218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21</v>
      </c>
      <c r="B32" t="s">
        <v>334</v>
      </c>
      <c r="C32" t="s">
        <v>217</v>
      </c>
      <c r="D32" t="s">
        <v>335</v>
      </c>
      <c r="E32" t="s">
        <v>218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21</v>
      </c>
      <c r="B33" t="s">
        <v>336</v>
      </c>
      <c r="C33" t="s">
        <v>217</v>
      </c>
      <c r="D33" t="s">
        <v>337</v>
      </c>
      <c r="E33" t="s">
        <v>218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21</v>
      </c>
      <c r="B34" t="s">
        <v>338</v>
      </c>
      <c r="C34" t="s">
        <v>217</v>
      </c>
      <c r="D34" t="s">
        <v>339</v>
      </c>
      <c r="E34" t="s">
        <v>218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21</v>
      </c>
      <c r="B35" t="s">
        <v>340</v>
      </c>
      <c r="C35" t="s">
        <v>217</v>
      </c>
      <c r="D35" t="s">
        <v>341</v>
      </c>
      <c r="E35" t="s">
        <v>218</v>
      </c>
      <c r="F35" t="n">
        <v>15.2</v>
      </c>
      <c r="G35" t="n">
        <v>23.4</v>
      </c>
      <c r="H35" t="n">
        <v>23</v>
      </c>
      <c r="I35" t="n">
        <v>21.6</v>
      </c>
      <c r="J35" t="n">
        <v>22.7</v>
      </c>
      <c r="K35" t="n">
        <v>25.1</v>
      </c>
      <c r="L35" t="n">
        <v>35.3</v>
      </c>
      <c r="M35" t="n">
        <v>35.1</v>
      </c>
      <c r="N35" t="n">
        <v>37.1</v>
      </c>
      <c r="O35" t="n">
        <v>39.4</v>
      </c>
      <c r="P35" t="n">
        <v>122.4</v>
      </c>
      <c r="Q35" t="n">
        <v>161.5</v>
      </c>
      <c r="R35" t="n">
        <v>150.9</v>
      </c>
      <c r="S35" t="n">
        <v>151.2</v>
      </c>
      <c r="T35" t="n">
        <v>159</v>
      </c>
      <c r="U35" t="n">
        <v>143.3</v>
      </c>
      <c r="V35" t="n">
        <v>65.6</v>
      </c>
      <c r="W35" t="n">
        <v>62.6</v>
      </c>
      <c r="X35" t="n">
        <v>50.9</v>
      </c>
      <c r="Y35" t="n">
        <v>77.3</v>
      </c>
      <c r="Z35" t="n">
        <v>58</v>
      </c>
      <c r="AA35" t="n">
        <v>197.3</v>
      </c>
      <c r="AB35" t="n">
        <v>124.4</v>
      </c>
      <c r="AC35" t="n">
        <v>134.4</v>
      </c>
      <c r="AD35" t="n">
        <v>203.8</v>
      </c>
      <c r="AE35" t="n">
        <v>145.1</v>
      </c>
      <c r="AF35" t="n">
        <v>261.7</v>
      </c>
    </row>
    <row r="36">
      <c r="A36" t="s">
        <v>21</v>
      </c>
      <c r="B36" t="s">
        <v>342</v>
      </c>
      <c r="C36" t="s">
        <v>217</v>
      </c>
      <c r="D36" t="s">
        <v>343</v>
      </c>
      <c r="E36" t="s">
        <v>218</v>
      </c>
      <c r="F36" t="n">
        <v>14.8</v>
      </c>
      <c r="G36" t="n">
        <v>22.7</v>
      </c>
      <c r="H36" t="n">
        <v>22.3</v>
      </c>
      <c r="I36" t="n">
        <v>21.1</v>
      </c>
      <c r="J36" t="n">
        <v>22.2</v>
      </c>
      <c r="K36" t="n">
        <v>24.5</v>
      </c>
      <c r="L36" t="n">
        <v>34.4</v>
      </c>
      <c r="M36" t="n">
        <v>34</v>
      </c>
      <c r="N36" t="n">
        <v>36.1</v>
      </c>
      <c r="O36" t="n">
        <v>38.3</v>
      </c>
      <c r="P36" t="n">
        <v>122.5</v>
      </c>
      <c r="Q36" t="n">
        <v>161.7</v>
      </c>
      <c r="R36" t="n">
        <v>151.1</v>
      </c>
      <c r="S36" t="n">
        <v>151.3</v>
      </c>
      <c r="T36" t="n">
        <v>159.1</v>
      </c>
      <c r="U36" t="n">
        <v>143.3</v>
      </c>
      <c r="V36" t="n">
        <v>65.7</v>
      </c>
      <c r="W36" t="n">
        <v>62.8</v>
      </c>
      <c r="X36" t="n">
        <v>51</v>
      </c>
      <c r="Y36" t="n">
        <v>77.4</v>
      </c>
      <c r="Z36" t="n">
        <v>58</v>
      </c>
      <c r="AA36" t="n">
        <v>197.4</v>
      </c>
      <c r="AB36" t="n">
        <v>124.5</v>
      </c>
      <c r="AC36" t="n">
        <v>59.7</v>
      </c>
      <c r="AD36" t="n">
        <v>203.9</v>
      </c>
      <c r="AE36" t="n">
        <v>145.2</v>
      </c>
      <c r="AF36" t="n">
        <v>68.2</v>
      </c>
    </row>
    <row r="37">
      <c r="A37" t="s">
        <v>21</v>
      </c>
      <c r="B37" t="s">
        <v>344</v>
      </c>
      <c r="C37" t="s">
        <v>217</v>
      </c>
      <c r="D37" t="s">
        <v>345</v>
      </c>
      <c r="E37" t="s">
        <v>218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21</v>
      </c>
      <c r="B38" t="s">
        <v>346</v>
      </c>
      <c r="C38" t="s">
        <v>217</v>
      </c>
      <c r="D38" t="s">
        <v>347</v>
      </c>
      <c r="E38" t="s">
        <v>218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21</v>
      </c>
      <c r="B39" t="s">
        <v>348</v>
      </c>
      <c r="C39" t="s">
        <v>217</v>
      </c>
      <c r="D39" t="s">
        <v>349</v>
      </c>
      <c r="E39" t="s">
        <v>218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21</v>
      </c>
      <c r="B40" t="s">
        <v>350</v>
      </c>
      <c r="C40" t="s">
        <v>217</v>
      </c>
      <c r="D40" t="s">
        <v>351</v>
      </c>
      <c r="E40" t="s">
        <v>218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s">
        <v>21</v>
      </c>
      <c r="B41" t="s">
        <v>352</v>
      </c>
      <c r="C41" t="s">
        <v>217</v>
      </c>
      <c r="D41" t="s">
        <v>353</v>
      </c>
      <c r="E41" t="s">
        <v>218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21</v>
      </c>
      <c r="B42" t="s">
        <v>354</v>
      </c>
      <c r="C42" t="s">
        <v>217</v>
      </c>
      <c r="D42" t="s">
        <v>355</v>
      </c>
      <c r="E42" t="s">
        <v>218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21</v>
      </c>
      <c r="B43" t="s">
        <v>356</v>
      </c>
      <c r="C43" t="s">
        <v>217</v>
      </c>
      <c r="D43" t="s">
        <v>357</v>
      </c>
      <c r="E43" t="s">
        <v>218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21</v>
      </c>
      <c r="B44" t="s">
        <v>358</v>
      </c>
      <c r="C44" t="s">
        <v>217</v>
      </c>
      <c r="D44" t="s">
        <v>359</v>
      </c>
      <c r="E44" t="s">
        <v>218</v>
      </c>
      <c r="F44" t="n">
        <v>44.9</v>
      </c>
      <c r="G44" t="n">
        <v>69.3</v>
      </c>
      <c r="H44" t="n">
        <v>67.8</v>
      </c>
      <c r="I44" t="n">
        <v>64.1</v>
      </c>
      <c r="J44" t="n">
        <v>67.5</v>
      </c>
      <c r="K44" t="n">
        <v>74.5</v>
      </c>
      <c r="L44" t="n">
        <v>104.8</v>
      </c>
      <c r="M44" t="n">
        <v>103.5</v>
      </c>
      <c r="N44" t="n">
        <v>109.2</v>
      </c>
      <c r="O44" t="n">
        <v>116.8</v>
      </c>
      <c r="P44" t="n">
        <v>125.9</v>
      </c>
      <c r="Q44" t="n">
        <v>161.2</v>
      </c>
      <c r="R44" t="n">
        <v>150.9</v>
      </c>
      <c r="S44" t="n">
        <v>151</v>
      </c>
      <c r="T44" t="n">
        <v>158.8</v>
      </c>
      <c r="U44" t="n">
        <v>143.8</v>
      </c>
      <c r="V44" t="n">
        <v>65.9</v>
      </c>
      <c r="W44" t="n">
        <v>62.7</v>
      </c>
      <c r="X44" t="n">
        <v>50.7</v>
      </c>
      <c r="Y44" t="n">
        <v>77.2</v>
      </c>
      <c r="Z44" t="n">
        <v>57.8</v>
      </c>
      <c r="AA44" t="n">
        <v>197.2</v>
      </c>
      <c r="AB44" t="n">
        <v>124.5</v>
      </c>
      <c r="AC44" t="n">
        <v>134</v>
      </c>
      <c r="AD44" t="n">
        <v>203.5</v>
      </c>
      <c r="AE44" t="n">
        <v>144.8</v>
      </c>
      <c r="AF44" t="n">
        <v>261.6</v>
      </c>
    </row>
    <row r="45">
      <c r="A45" t="s">
        <v>21</v>
      </c>
      <c r="B45" t="s">
        <v>360</v>
      </c>
      <c r="C45" t="s">
        <v>217</v>
      </c>
      <c r="D45" t="s">
        <v>361</v>
      </c>
      <c r="E45" t="s">
        <v>218</v>
      </c>
      <c r="F45" t="n">
        <v>44.8</v>
      </c>
      <c r="G45" t="n">
        <v>69.2</v>
      </c>
      <c r="H45" t="n">
        <v>67.8</v>
      </c>
      <c r="I45" t="n">
        <v>64.1</v>
      </c>
      <c r="J45" t="n">
        <v>67.5</v>
      </c>
      <c r="K45" t="n">
        <v>74.6</v>
      </c>
      <c r="L45" t="n">
        <v>104.8</v>
      </c>
      <c r="M45" t="n">
        <v>103.5</v>
      </c>
      <c r="N45" t="n">
        <v>109.2</v>
      </c>
      <c r="O45" t="n">
        <v>116.8</v>
      </c>
      <c r="P45" t="n">
        <v>125.9</v>
      </c>
      <c r="Q45" t="n">
        <v>161.2</v>
      </c>
      <c r="R45" t="n">
        <v>150.9</v>
      </c>
      <c r="S45" t="n">
        <v>151</v>
      </c>
      <c r="T45" t="n">
        <v>158.8</v>
      </c>
      <c r="U45" t="n">
        <v>143.8</v>
      </c>
      <c r="V45" t="n">
        <v>65.9</v>
      </c>
      <c r="W45" t="n">
        <v>62.7</v>
      </c>
      <c r="X45" t="n">
        <v>50.7</v>
      </c>
      <c r="Y45" t="n">
        <v>77.2</v>
      </c>
      <c r="Z45" t="n">
        <v>57.8</v>
      </c>
      <c r="AA45" t="n">
        <v>197.2</v>
      </c>
      <c r="AB45" t="n">
        <v>124.5</v>
      </c>
      <c r="AC45" t="n">
        <v>134</v>
      </c>
      <c r="AD45" t="n">
        <v>203.5</v>
      </c>
      <c r="AE45" t="n">
        <v>144.8</v>
      </c>
      <c r="AF45" t="n">
        <v>261.6</v>
      </c>
    </row>
    <row r="46">
      <c r="A46" t="s">
        <v>21</v>
      </c>
      <c r="B46" t="s">
        <v>362</v>
      </c>
      <c r="C46" t="s">
        <v>217</v>
      </c>
      <c r="D46" t="s">
        <v>363</v>
      </c>
      <c r="E46" t="s">
        <v>218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21</v>
      </c>
      <c r="B47" t="s">
        <v>364</v>
      </c>
      <c r="C47" t="s">
        <v>217</v>
      </c>
      <c r="D47" t="s">
        <v>365</v>
      </c>
      <c r="E47" t="s">
        <v>218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s">
        <v>21</v>
      </c>
      <c r="B48" t="s">
        <v>366</v>
      </c>
      <c r="C48" t="s">
        <v>217</v>
      </c>
      <c r="D48" t="s">
        <v>367</v>
      </c>
      <c r="E48" t="s">
        <v>218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s">
        <v>21</v>
      </c>
      <c r="B49" t="s">
        <v>368</v>
      </c>
      <c r="C49" t="s">
        <v>217</v>
      </c>
      <c r="D49" t="s">
        <v>369</v>
      </c>
      <c r="E49" t="s">
        <v>218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21</v>
      </c>
      <c r="B50" t="s">
        <v>370</v>
      </c>
      <c r="C50" t="s">
        <v>217</v>
      </c>
      <c r="D50" t="s">
        <v>371</v>
      </c>
      <c r="E50" t="s">
        <v>218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21</v>
      </c>
      <c r="B51" t="s">
        <v>372</v>
      </c>
      <c r="C51" t="s">
        <v>217</v>
      </c>
      <c r="D51" t="s">
        <v>373</v>
      </c>
      <c r="E51" t="s">
        <v>218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21</v>
      </c>
      <c r="B52" t="s">
        <v>374</v>
      </c>
      <c r="C52" t="s">
        <v>217</v>
      </c>
      <c r="D52" t="s">
        <v>375</v>
      </c>
      <c r="E52" t="s">
        <v>218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21</v>
      </c>
      <c r="B53" t="s">
        <v>376</v>
      </c>
      <c r="C53" t="s">
        <v>217</v>
      </c>
      <c r="D53" t="s">
        <v>377</v>
      </c>
      <c r="E53" t="s">
        <v>218</v>
      </c>
      <c r="F53" t="n">
        <v>28.1</v>
      </c>
      <c r="G53" t="n">
        <v>43.4</v>
      </c>
      <c r="H53" t="n">
        <v>42.7</v>
      </c>
      <c r="I53" t="n">
        <v>40.4</v>
      </c>
      <c r="J53" t="n">
        <v>42.5</v>
      </c>
      <c r="K53" t="n">
        <v>46.8</v>
      </c>
      <c r="L53" t="n">
        <v>65.6</v>
      </c>
      <c r="M53" t="n">
        <v>65</v>
      </c>
      <c r="N53" t="n">
        <v>68.9</v>
      </c>
      <c r="O53" t="n">
        <v>73.1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21</v>
      </c>
      <c r="B54" t="s">
        <v>378</v>
      </c>
      <c r="C54" t="s">
        <v>217</v>
      </c>
      <c r="D54" t="s">
        <v>379</v>
      </c>
      <c r="E54" t="s">
        <v>218</v>
      </c>
      <c r="F54" t="n">
        <v>28.1</v>
      </c>
      <c r="G54" t="n">
        <v>43.4</v>
      </c>
      <c r="H54" t="n">
        <v>42.7</v>
      </c>
      <c r="I54" t="n">
        <v>40.4</v>
      </c>
      <c r="J54" t="n">
        <v>42.5</v>
      </c>
      <c r="K54" t="n">
        <v>46.8</v>
      </c>
      <c r="L54" t="n">
        <v>65.6</v>
      </c>
      <c r="M54" t="n">
        <v>65</v>
      </c>
      <c r="N54" t="n">
        <v>68.9</v>
      </c>
      <c r="O54" t="n">
        <v>73.1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s">
        <v>21</v>
      </c>
      <c r="B55" t="s">
        <v>380</v>
      </c>
      <c r="C55" t="s">
        <v>217</v>
      </c>
      <c r="D55" t="s">
        <v>381</v>
      </c>
      <c r="E55" t="s">
        <v>218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21</v>
      </c>
      <c r="B56" t="s">
        <v>382</v>
      </c>
      <c r="C56" t="s">
        <v>217</v>
      </c>
      <c r="D56" t="s">
        <v>383</v>
      </c>
      <c r="E56" t="s">
        <v>218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21</v>
      </c>
      <c r="B57" t="s">
        <v>384</v>
      </c>
      <c r="C57" t="s">
        <v>217</v>
      </c>
      <c r="D57" t="s">
        <v>385</v>
      </c>
      <c r="E57" t="s">
        <v>218</v>
      </c>
      <c r="F57" t="n">
        <v>45.5</v>
      </c>
      <c r="G57" t="n">
        <v>70.3</v>
      </c>
      <c r="H57" t="n">
        <v>69</v>
      </c>
      <c r="I57" t="n">
        <v>65.1</v>
      </c>
      <c r="J57" t="n">
        <v>68.6</v>
      </c>
      <c r="K57" t="n">
        <v>75.7</v>
      </c>
      <c r="L57" t="n">
        <v>106.5</v>
      </c>
      <c r="M57" t="n">
        <v>105.3</v>
      </c>
      <c r="N57" t="n">
        <v>111.1</v>
      </c>
      <c r="O57" t="n">
        <v>118.6</v>
      </c>
      <c r="P57" t="n">
        <v>125.8</v>
      </c>
      <c r="Q57" t="n">
        <v>161.2</v>
      </c>
      <c r="R57" t="n">
        <v>151</v>
      </c>
      <c r="S57" t="n">
        <v>157.5</v>
      </c>
      <c r="T57" t="n">
        <v>159.6</v>
      </c>
      <c r="U57" t="n">
        <v>143.8</v>
      </c>
      <c r="V57" t="n">
        <v>65.8</v>
      </c>
      <c r="W57" t="n">
        <v>62.7</v>
      </c>
      <c r="X57" t="n">
        <v>50.8</v>
      </c>
      <c r="Y57" t="n">
        <v>76.9</v>
      </c>
      <c r="Z57" t="n">
        <v>57.8</v>
      </c>
      <c r="AA57" t="n">
        <v>197.2</v>
      </c>
      <c r="AB57" t="n">
        <v>124.4</v>
      </c>
      <c r="AC57" t="n">
        <v>134.1</v>
      </c>
      <c r="AD57" t="n">
        <v>203.7</v>
      </c>
      <c r="AE57" t="n">
        <v>144.8</v>
      </c>
      <c r="AF57" t="n">
        <v>261.6</v>
      </c>
    </row>
    <row r="58">
      <c r="A58" t="s">
        <v>21</v>
      </c>
      <c r="B58" t="s">
        <v>386</v>
      </c>
      <c r="C58" t="s">
        <v>217</v>
      </c>
      <c r="D58" t="s">
        <v>387</v>
      </c>
      <c r="E58" t="s">
        <v>218</v>
      </c>
      <c r="F58" t="n">
        <v>45.5</v>
      </c>
      <c r="G58" t="n">
        <v>70.3</v>
      </c>
      <c r="H58" t="n">
        <v>69</v>
      </c>
      <c r="I58" t="n">
        <v>65.1</v>
      </c>
      <c r="J58" t="n">
        <v>68.6</v>
      </c>
      <c r="K58" t="n">
        <v>75.7</v>
      </c>
      <c r="L58" t="n">
        <v>106.5</v>
      </c>
      <c r="M58" t="n">
        <v>105.3</v>
      </c>
      <c r="N58" t="n">
        <v>111.1</v>
      </c>
      <c r="O58" t="n">
        <v>118.6</v>
      </c>
      <c r="P58" t="n">
        <v>125.8</v>
      </c>
      <c r="Q58" t="n">
        <v>161.2</v>
      </c>
      <c r="R58" t="n">
        <v>151</v>
      </c>
      <c r="S58" t="n">
        <v>157.5</v>
      </c>
      <c r="T58" t="n">
        <v>159.6</v>
      </c>
      <c r="U58" t="n">
        <v>143.8</v>
      </c>
      <c r="V58" t="n">
        <v>65.8</v>
      </c>
      <c r="W58" t="n">
        <v>62.7</v>
      </c>
      <c r="X58" t="n">
        <v>50.8</v>
      </c>
      <c r="Y58" t="n">
        <v>76.9</v>
      </c>
      <c r="Z58" t="n">
        <v>57.8</v>
      </c>
      <c r="AA58" t="n">
        <v>197.2</v>
      </c>
      <c r="AB58" t="n">
        <v>124.4</v>
      </c>
      <c r="AC58" t="n">
        <v>134.1</v>
      </c>
      <c r="AD58" t="n">
        <v>203.7</v>
      </c>
      <c r="AE58" t="n">
        <v>144.8</v>
      </c>
      <c r="AF58" t="n">
        <v>261.6</v>
      </c>
    </row>
    <row r="59">
      <c r="A59" t="s">
        <v>21</v>
      </c>
      <c r="B59" t="s">
        <v>388</v>
      </c>
      <c r="C59" t="s">
        <v>217</v>
      </c>
      <c r="D59" t="s">
        <v>389</v>
      </c>
      <c r="E59" t="s">
        <v>218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23</v>
      </c>
      <c r="B2" t="s">
        <v>197</v>
      </c>
      <c r="C2" t="s">
        <v>217</v>
      </c>
      <c r="D2" t="s">
        <v>199</v>
      </c>
      <c r="E2" t="s">
        <v>218</v>
      </c>
      <c r="F2" t="n">
        <v>583.7</v>
      </c>
      <c r="G2" t="n">
        <v>680.8</v>
      </c>
      <c r="H2" t="n">
        <v>846.4</v>
      </c>
      <c r="I2" t="n">
        <v>945.9</v>
      </c>
      <c r="J2" t="n">
        <v>1050.4</v>
      </c>
      <c r="K2" t="n">
        <v>1171.9</v>
      </c>
      <c r="L2" t="n">
        <v>1283.9</v>
      </c>
      <c r="M2" t="n">
        <v>1056.7</v>
      </c>
      <c r="N2" t="n">
        <v>1289.9</v>
      </c>
      <c r="O2" t="n">
        <v>1398.2</v>
      </c>
      <c r="P2" t="n">
        <v>1574.3</v>
      </c>
      <c r="Q2" t="n">
        <v>1502</v>
      </c>
      <c r="R2" t="n">
        <v>2044.7</v>
      </c>
      <c r="S2" t="n">
        <v>2503.9</v>
      </c>
      <c r="T2" t="n">
        <v>2022.9</v>
      </c>
      <c r="U2" t="n">
        <v>2086.2</v>
      </c>
      <c r="V2" t="n">
        <v>1468.4</v>
      </c>
      <c r="W2" t="n">
        <v>1258.7</v>
      </c>
      <c r="X2" t="n">
        <v>1788.2</v>
      </c>
      <c r="Y2" t="n">
        <v>1327.5</v>
      </c>
      <c r="Z2" t="n">
        <v>1578.8</v>
      </c>
      <c r="AA2" t="n">
        <v>1798.3</v>
      </c>
      <c r="AB2" t="n">
        <v>1791.8</v>
      </c>
      <c r="AC2" t="n">
        <v>2052.9</v>
      </c>
      <c r="AD2" t="n">
        <v>2250.5</v>
      </c>
      <c r="AE2" t="n">
        <v>2076.6</v>
      </c>
      <c r="AF2" t="n">
        <v>2564.8</v>
      </c>
    </row>
    <row r="3">
      <c r="A3" t="s">
        <v>23</v>
      </c>
      <c r="B3" t="s">
        <v>276</v>
      </c>
      <c r="C3" t="s">
        <v>217</v>
      </c>
      <c r="D3" t="s">
        <v>277</v>
      </c>
      <c r="E3" t="s">
        <v>218</v>
      </c>
      <c r="F3" t="n">
        <v>62.1</v>
      </c>
      <c r="G3" t="n">
        <v>75.2</v>
      </c>
      <c r="H3" t="n">
        <v>85.9</v>
      </c>
      <c r="I3" t="n">
        <v>101.2</v>
      </c>
      <c r="J3" t="n">
        <v>110.1</v>
      </c>
      <c r="K3" t="n">
        <v>121.3</v>
      </c>
      <c r="L3" t="n">
        <v>93.4</v>
      </c>
      <c r="M3" t="n">
        <v>58.1</v>
      </c>
      <c r="N3" t="n">
        <v>73.6</v>
      </c>
      <c r="O3" t="n">
        <v>80.6</v>
      </c>
      <c r="P3" t="n">
        <v>105</v>
      </c>
      <c r="Q3" t="n">
        <v>137.6</v>
      </c>
      <c r="R3" t="n">
        <v>191.3</v>
      </c>
      <c r="S3" t="n">
        <v>204.7</v>
      </c>
      <c r="T3" t="n">
        <v>203.6</v>
      </c>
      <c r="U3" t="n">
        <v>175.4</v>
      </c>
      <c r="V3" t="n">
        <v>208.4</v>
      </c>
      <c r="W3" t="n">
        <v>153.9</v>
      </c>
      <c r="X3" t="n">
        <v>130.8</v>
      </c>
      <c r="Y3" t="n">
        <v>117.5</v>
      </c>
      <c r="Z3" t="n">
        <v>169.8</v>
      </c>
      <c r="AA3" t="n">
        <v>344.1</v>
      </c>
      <c r="AB3" t="n">
        <v>292.2</v>
      </c>
      <c r="AC3" t="n">
        <v>194.7</v>
      </c>
      <c r="AD3" t="n">
        <v>257</v>
      </c>
      <c r="AE3" t="n">
        <v>96.2</v>
      </c>
      <c r="AF3" t="n">
        <v>158.9</v>
      </c>
    </row>
    <row r="4">
      <c r="A4" t="s">
        <v>23</v>
      </c>
      <c r="B4" t="s">
        <v>278</v>
      </c>
      <c r="C4" t="s">
        <v>217</v>
      </c>
      <c r="D4" t="s">
        <v>279</v>
      </c>
      <c r="E4" t="s">
        <v>218</v>
      </c>
      <c r="F4" t="n">
        <v>1177.4</v>
      </c>
      <c r="G4" t="n">
        <v>1549.2</v>
      </c>
      <c r="H4" t="n">
        <v>1787.3</v>
      </c>
      <c r="I4" t="n">
        <v>2125</v>
      </c>
      <c r="J4" t="n">
        <v>2319.7</v>
      </c>
      <c r="K4" t="n">
        <v>2851.1</v>
      </c>
      <c r="L4" t="n">
        <v>2931.4</v>
      </c>
      <c r="M4" t="n">
        <v>1886.7</v>
      </c>
      <c r="N4" t="n">
        <v>1873.4</v>
      </c>
      <c r="O4" t="n">
        <v>2270.4</v>
      </c>
      <c r="P4" t="n">
        <v>1896.3</v>
      </c>
      <c r="Q4" t="n">
        <v>2639.5</v>
      </c>
      <c r="R4" t="n">
        <v>2632.4</v>
      </c>
      <c r="S4" t="n">
        <v>3215.9</v>
      </c>
      <c r="T4" t="n">
        <v>3105.5</v>
      </c>
      <c r="U4" t="n">
        <v>2679.2</v>
      </c>
      <c r="V4" t="n">
        <v>2090.8</v>
      </c>
      <c r="W4" t="n">
        <v>2918</v>
      </c>
      <c r="X4" t="n">
        <v>1215.9</v>
      </c>
      <c r="Y4" t="n">
        <v>1793.3</v>
      </c>
      <c r="Z4" t="n">
        <v>1672.7</v>
      </c>
      <c r="AA4" t="n">
        <v>1771.1</v>
      </c>
      <c r="AB4" t="n">
        <v>1809.8</v>
      </c>
      <c r="AC4" t="n">
        <v>2350.5</v>
      </c>
      <c r="AD4" t="n">
        <v>2369.6</v>
      </c>
      <c r="AE4" t="n">
        <v>2459.4</v>
      </c>
      <c r="AF4" t="n">
        <v>2460.3</v>
      </c>
    </row>
    <row r="5">
      <c r="A5" t="s">
        <v>23</v>
      </c>
      <c r="B5" t="s">
        <v>280</v>
      </c>
      <c r="C5" t="s">
        <v>217</v>
      </c>
      <c r="D5" t="s">
        <v>281</v>
      </c>
      <c r="E5" t="s">
        <v>218</v>
      </c>
      <c r="F5" t="n">
        <v>232</v>
      </c>
      <c r="G5" t="n">
        <v>306.6</v>
      </c>
      <c r="H5" t="n">
        <v>342.9</v>
      </c>
      <c r="I5" t="n">
        <v>426</v>
      </c>
      <c r="J5" t="n">
        <v>474</v>
      </c>
      <c r="K5" t="n">
        <v>561.2</v>
      </c>
      <c r="L5" t="n">
        <v>597.9</v>
      </c>
      <c r="M5" t="n">
        <v>440.3</v>
      </c>
      <c r="N5" t="n">
        <v>496.6</v>
      </c>
      <c r="O5" t="n">
        <v>646.8</v>
      </c>
      <c r="P5" t="n">
        <v>426.1</v>
      </c>
      <c r="Q5" t="n">
        <v>555.4</v>
      </c>
      <c r="R5" t="n">
        <v>757.2</v>
      </c>
      <c r="S5" t="n">
        <v>873.2</v>
      </c>
      <c r="T5" t="n">
        <v>684</v>
      </c>
      <c r="U5" t="n">
        <v>696.2</v>
      </c>
      <c r="V5" t="n">
        <v>429.1</v>
      </c>
      <c r="W5" t="n">
        <v>292.4</v>
      </c>
      <c r="X5" t="n">
        <v>453.5</v>
      </c>
      <c r="Y5" t="n">
        <v>544</v>
      </c>
      <c r="Z5" t="n">
        <v>609.1</v>
      </c>
      <c r="AA5" t="n">
        <v>598.7</v>
      </c>
      <c r="AB5" t="n">
        <v>583.7</v>
      </c>
      <c r="AC5" t="n">
        <v>915.6</v>
      </c>
      <c r="AD5" t="n">
        <v>665.9</v>
      </c>
      <c r="AE5" t="n">
        <v>677.5</v>
      </c>
      <c r="AF5" t="n">
        <v>819.6</v>
      </c>
    </row>
    <row r="6">
      <c r="A6" t="s">
        <v>23</v>
      </c>
      <c r="B6" t="s">
        <v>282</v>
      </c>
      <c r="C6" t="s">
        <v>217</v>
      </c>
      <c r="D6" t="s">
        <v>283</v>
      </c>
      <c r="E6" t="s">
        <v>218</v>
      </c>
      <c r="F6" t="n">
        <v>118.4</v>
      </c>
      <c r="G6" t="n">
        <v>159.5</v>
      </c>
      <c r="H6" t="n">
        <v>179.1</v>
      </c>
      <c r="I6" t="n">
        <v>219.8</v>
      </c>
      <c r="J6" t="n">
        <v>242.8</v>
      </c>
      <c r="K6" t="n">
        <v>299.6</v>
      </c>
      <c r="L6" t="n">
        <v>315.9</v>
      </c>
      <c r="M6" t="n">
        <v>129.6</v>
      </c>
      <c r="N6" t="n">
        <v>134.3</v>
      </c>
      <c r="O6" t="n">
        <v>172.2</v>
      </c>
      <c r="P6" t="n">
        <v>107.1</v>
      </c>
      <c r="Q6" t="n">
        <v>15.5</v>
      </c>
      <c r="R6" t="n">
        <v>128.6</v>
      </c>
      <c r="S6" t="n">
        <v>73.7</v>
      </c>
      <c r="T6" t="n">
        <v>99.9</v>
      </c>
      <c r="U6" t="n">
        <v>-14.6</v>
      </c>
      <c r="V6" t="n">
        <v>67.4</v>
      </c>
      <c r="W6" t="n">
        <v>-1.7</v>
      </c>
      <c r="X6" t="n">
        <v>29.8</v>
      </c>
      <c r="Y6" t="n">
        <v>48.6</v>
      </c>
      <c r="Z6" t="n">
        <v>43.2</v>
      </c>
      <c r="AA6" t="n">
        <v>94</v>
      </c>
      <c r="AB6" t="n">
        <v>92.4</v>
      </c>
      <c r="AC6" t="n">
        <v>20.9</v>
      </c>
      <c r="AD6" t="n">
        <v>35.4</v>
      </c>
      <c r="AE6" t="n">
        <v>36.9</v>
      </c>
      <c r="AF6" t="n">
        <v>41.7</v>
      </c>
    </row>
    <row r="7">
      <c r="A7" t="s">
        <v>23</v>
      </c>
      <c r="B7" t="s">
        <v>284</v>
      </c>
      <c r="C7" t="s">
        <v>217</v>
      </c>
      <c r="D7" t="s">
        <v>285</v>
      </c>
      <c r="E7" t="s">
        <v>218</v>
      </c>
      <c r="F7" t="n">
        <v>116.2</v>
      </c>
      <c r="G7" t="n">
        <v>156.2</v>
      </c>
      <c r="H7" t="n">
        <v>172.1</v>
      </c>
      <c r="I7" t="n">
        <v>219</v>
      </c>
      <c r="J7" t="n">
        <v>234.3</v>
      </c>
      <c r="K7" t="n">
        <v>286.2</v>
      </c>
      <c r="L7" t="n">
        <v>188.2</v>
      </c>
      <c r="M7" t="n">
        <v>182.5</v>
      </c>
      <c r="N7" t="n">
        <v>94.7</v>
      </c>
      <c r="O7" t="n">
        <v>192.9</v>
      </c>
      <c r="P7" t="n">
        <v>43.2</v>
      </c>
      <c r="Q7" t="n">
        <v>308.1</v>
      </c>
      <c r="R7" t="n">
        <v>299.2</v>
      </c>
      <c r="S7" t="n">
        <v>181.7</v>
      </c>
      <c r="T7" t="n">
        <v>126.4</v>
      </c>
      <c r="U7" t="n">
        <v>138.3</v>
      </c>
      <c r="V7" t="n">
        <v>104.6</v>
      </c>
      <c r="W7" t="n">
        <v>54.3</v>
      </c>
      <c r="X7" t="n">
        <v>75.6</v>
      </c>
      <c r="Y7" t="n">
        <v>140.9</v>
      </c>
      <c r="Z7" t="n">
        <v>112.9</v>
      </c>
      <c r="AA7" t="n">
        <v>171.2</v>
      </c>
      <c r="AB7" t="n">
        <v>171.6</v>
      </c>
      <c r="AC7" t="n">
        <v>134.9</v>
      </c>
      <c r="AD7" t="n">
        <v>106.4</v>
      </c>
      <c r="AE7" t="n">
        <v>139.3</v>
      </c>
      <c r="AF7" t="n">
        <v>140.1</v>
      </c>
    </row>
    <row r="8">
      <c r="A8" t="s">
        <v>23</v>
      </c>
      <c r="B8" t="s">
        <v>286</v>
      </c>
      <c r="C8" t="s">
        <v>217</v>
      </c>
      <c r="D8" t="s">
        <v>287</v>
      </c>
      <c r="E8" t="s">
        <v>218</v>
      </c>
      <c r="F8" t="n">
        <v>77.7</v>
      </c>
      <c r="G8" t="n">
        <v>106.7</v>
      </c>
      <c r="H8" t="n">
        <v>124.6</v>
      </c>
      <c r="I8" t="n">
        <v>135.7</v>
      </c>
      <c r="J8" t="n">
        <v>150.3</v>
      </c>
      <c r="K8" t="n">
        <v>216.5</v>
      </c>
      <c r="L8" t="n">
        <v>82.1</v>
      </c>
      <c r="M8" t="n">
        <v>64.7</v>
      </c>
      <c r="N8" t="n">
        <v>70.3</v>
      </c>
      <c r="O8" t="n">
        <v>42.4</v>
      </c>
      <c r="P8" t="n">
        <v>415.4</v>
      </c>
      <c r="Q8" t="n">
        <v>38.5</v>
      </c>
      <c r="R8" t="n">
        <v>50.6</v>
      </c>
      <c r="S8" t="n">
        <v>509.4</v>
      </c>
      <c r="T8" t="n">
        <v>588.9</v>
      </c>
      <c r="U8" t="n">
        <v>512.1</v>
      </c>
      <c r="V8" t="n">
        <v>555.7</v>
      </c>
      <c r="W8" t="n">
        <v>2051.8</v>
      </c>
      <c r="X8" t="n">
        <v>207.6</v>
      </c>
      <c r="Y8" t="n">
        <v>214.6</v>
      </c>
      <c r="Z8" t="n">
        <v>282.2</v>
      </c>
      <c r="AA8" t="n">
        <v>181.2</v>
      </c>
      <c r="AB8" t="n">
        <v>214.5</v>
      </c>
      <c r="AC8" t="n">
        <v>212.6</v>
      </c>
      <c r="AD8" t="n">
        <v>411.5</v>
      </c>
      <c r="AE8" t="n">
        <v>398.5</v>
      </c>
      <c r="AF8" t="n">
        <v>193.3</v>
      </c>
    </row>
    <row r="9">
      <c r="A9" t="s">
        <v>23</v>
      </c>
      <c r="B9" t="s">
        <v>288</v>
      </c>
      <c r="C9" t="s">
        <v>217</v>
      </c>
      <c r="D9" t="s">
        <v>289</v>
      </c>
      <c r="E9" t="s">
        <v>218</v>
      </c>
      <c r="F9" t="n">
        <v>63.9</v>
      </c>
      <c r="G9" t="n">
        <v>80.5</v>
      </c>
      <c r="H9" t="n">
        <v>89.4</v>
      </c>
      <c r="I9" t="n">
        <v>109.5</v>
      </c>
      <c r="J9" t="n">
        <v>117.9</v>
      </c>
      <c r="K9" t="n">
        <v>140.1</v>
      </c>
      <c r="L9" t="n">
        <v>216.2</v>
      </c>
      <c r="M9" t="n">
        <v>80.2</v>
      </c>
      <c r="N9" t="n">
        <v>80.5</v>
      </c>
      <c r="O9" t="n">
        <v>134.9</v>
      </c>
      <c r="P9" t="n">
        <v>96.5</v>
      </c>
      <c r="Q9" t="n">
        <v>93.8</v>
      </c>
      <c r="R9" t="n">
        <v>143.4</v>
      </c>
      <c r="S9" t="n">
        <v>145.8</v>
      </c>
      <c r="T9" t="n">
        <v>161.4</v>
      </c>
      <c r="U9" t="n">
        <v>45.5</v>
      </c>
      <c r="V9" t="n">
        <v>85.9</v>
      </c>
      <c r="W9" t="n">
        <v>63.9</v>
      </c>
      <c r="X9" t="n">
        <v>114.9</v>
      </c>
      <c r="Y9" t="n">
        <v>75.5</v>
      </c>
      <c r="Z9" t="n">
        <v>-11.8</v>
      </c>
      <c r="AA9" t="n">
        <v>75.3</v>
      </c>
      <c r="AB9" t="n">
        <v>84.4</v>
      </c>
      <c r="AC9" t="n">
        <v>99.9</v>
      </c>
      <c r="AD9" t="n">
        <v>129.7</v>
      </c>
      <c r="AE9" t="n">
        <v>101.9</v>
      </c>
      <c r="AF9" t="n">
        <v>157</v>
      </c>
    </row>
    <row r="10">
      <c r="A10" t="s">
        <v>23</v>
      </c>
      <c r="B10" t="s">
        <v>290</v>
      </c>
      <c r="C10" t="s">
        <v>217</v>
      </c>
      <c r="D10" t="s">
        <v>291</v>
      </c>
      <c r="E10" t="s">
        <v>218</v>
      </c>
      <c r="F10" t="n">
        <v>110.5</v>
      </c>
      <c r="G10" t="n">
        <v>132.9</v>
      </c>
      <c r="H10" t="n">
        <v>145.8</v>
      </c>
      <c r="I10" t="n">
        <v>180.3</v>
      </c>
      <c r="J10" t="n">
        <v>196.4</v>
      </c>
      <c r="K10" t="n">
        <v>228.7</v>
      </c>
      <c r="L10" t="n">
        <v>341.3</v>
      </c>
      <c r="M10" t="n">
        <v>154</v>
      </c>
      <c r="N10" t="n">
        <v>160.2</v>
      </c>
      <c r="O10" t="n">
        <v>242.8</v>
      </c>
      <c r="P10" t="n">
        <v>191</v>
      </c>
      <c r="Q10" t="n">
        <v>219.5</v>
      </c>
      <c r="R10" t="n">
        <v>321.9</v>
      </c>
      <c r="S10" t="n">
        <v>339.9</v>
      </c>
      <c r="T10" t="n">
        <v>492</v>
      </c>
      <c r="U10" t="n">
        <v>60.5</v>
      </c>
      <c r="V10" t="n">
        <v>187.1</v>
      </c>
      <c r="W10" t="n">
        <v>138</v>
      </c>
      <c r="X10" t="n">
        <v>263.7</v>
      </c>
      <c r="Y10" t="n">
        <v>189.4</v>
      </c>
      <c r="Z10" t="n">
        <v>77.2</v>
      </c>
      <c r="AA10" t="n">
        <v>187.4</v>
      </c>
      <c r="AB10" t="n">
        <v>197.1</v>
      </c>
      <c r="AC10" t="n">
        <v>318.2</v>
      </c>
      <c r="AD10" t="n">
        <v>347.5</v>
      </c>
      <c r="AE10" t="n">
        <v>317.1</v>
      </c>
      <c r="AF10" t="n">
        <v>392.7</v>
      </c>
    </row>
    <row r="11">
      <c r="A11" t="s">
        <v>23</v>
      </c>
      <c r="B11" t="s">
        <v>292</v>
      </c>
      <c r="C11" t="s">
        <v>217</v>
      </c>
      <c r="D11" t="s">
        <v>293</v>
      </c>
      <c r="E11" t="s">
        <v>218</v>
      </c>
      <c r="F11" t="n">
        <v>46.6</v>
      </c>
      <c r="G11" t="n">
        <v>52.4</v>
      </c>
      <c r="H11" t="n">
        <v>56.4</v>
      </c>
      <c r="I11" t="n">
        <v>70.8</v>
      </c>
      <c r="J11" t="n">
        <v>78.5</v>
      </c>
      <c r="K11" t="n">
        <v>88.6</v>
      </c>
      <c r="L11" t="n">
        <v>125.1</v>
      </c>
      <c r="M11" t="n">
        <v>73.8</v>
      </c>
      <c r="N11" t="n">
        <v>79.7</v>
      </c>
      <c r="O11" t="n">
        <v>107.9</v>
      </c>
      <c r="P11" t="n">
        <v>94.5</v>
      </c>
      <c r="Q11" t="n">
        <v>125.7</v>
      </c>
      <c r="R11" t="n">
        <v>178.5</v>
      </c>
      <c r="S11" t="n">
        <v>194.1</v>
      </c>
      <c r="T11" t="n">
        <v>330.6</v>
      </c>
      <c r="U11" t="n">
        <v>15</v>
      </c>
      <c r="V11" t="n">
        <v>101.2</v>
      </c>
      <c r="W11" t="n">
        <v>74.1</v>
      </c>
      <c r="X11" t="n">
        <v>148.8</v>
      </c>
      <c r="Y11" t="n">
        <v>113.9</v>
      </c>
      <c r="Z11" t="n">
        <v>89</v>
      </c>
      <c r="AA11" t="n">
        <v>112.1</v>
      </c>
      <c r="AB11" t="n">
        <v>112.7</v>
      </c>
      <c r="AC11" t="n">
        <v>218.3</v>
      </c>
      <c r="AD11" t="n">
        <v>217.8</v>
      </c>
      <c r="AE11" t="n">
        <v>215.2</v>
      </c>
      <c r="AF11" t="n">
        <v>235.7</v>
      </c>
    </row>
    <row r="12">
      <c r="A12" t="s">
        <v>23</v>
      </c>
      <c r="B12" t="s">
        <v>294</v>
      </c>
      <c r="C12" t="s">
        <v>217</v>
      </c>
      <c r="D12" t="s">
        <v>295</v>
      </c>
      <c r="E12" t="s">
        <v>218</v>
      </c>
      <c r="F12" t="n">
        <v>195.9</v>
      </c>
      <c r="G12" t="n">
        <v>254.5</v>
      </c>
      <c r="H12" t="n">
        <v>345.1</v>
      </c>
      <c r="I12" t="n">
        <v>349.9</v>
      </c>
      <c r="J12" t="n">
        <v>403.3</v>
      </c>
      <c r="K12" t="n">
        <v>469.1</v>
      </c>
      <c r="L12" t="n">
        <v>347.3</v>
      </c>
      <c r="M12" t="n">
        <v>241.8</v>
      </c>
      <c r="N12" t="n">
        <v>295</v>
      </c>
      <c r="O12" t="n">
        <v>243.5</v>
      </c>
      <c r="P12" t="n">
        <v>187.7</v>
      </c>
      <c r="Q12" t="n">
        <v>269.4</v>
      </c>
      <c r="R12" t="n">
        <v>373.6</v>
      </c>
      <c r="S12" t="n">
        <v>343.1</v>
      </c>
      <c r="T12" t="n">
        <v>386.6</v>
      </c>
      <c r="U12" t="n">
        <v>286.1</v>
      </c>
      <c r="V12" t="n">
        <v>243</v>
      </c>
      <c r="W12" t="n">
        <v>69.5</v>
      </c>
      <c r="X12" t="n">
        <v>140</v>
      </c>
      <c r="Y12" t="n">
        <v>173</v>
      </c>
      <c r="Z12" t="n">
        <v>154.4</v>
      </c>
      <c r="AA12" t="n">
        <v>158.7</v>
      </c>
      <c r="AB12" t="n">
        <v>157.9</v>
      </c>
      <c r="AC12" t="n">
        <v>193.1</v>
      </c>
      <c r="AD12" t="n">
        <v>226.6</v>
      </c>
      <c r="AE12" t="n">
        <v>170.5</v>
      </c>
      <c r="AF12" t="n">
        <v>162.7</v>
      </c>
    </row>
    <row r="13">
      <c r="A13" t="s">
        <v>23</v>
      </c>
      <c r="B13" t="s">
        <v>296</v>
      </c>
      <c r="C13" t="s">
        <v>217</v>
      </c>
      <c r="D13" t="s">
        <v>297</v>
      </c>
      <c r="E13" t="s">
        <v>218</v>
      </c>
      <c r="F13" t="n">
        <v>203.7</v>
      </c>
      <c r="G13" t="n">
        <v>276.3</v>
      </c>
      <c r="H13" t="n">
        <v>304.8</v>
      </c>
      <c r="I13" t="n">
        <v>382.6</v>
      </c>
      <c r="J13" t="n">
        <v>394.4</v>
      </c>
      <c r="K13" t="n">
        <v>507.4</v>
      </c>
      <c r="L13" t="n">
        <v>552.7</v>
      </c>
      <c r="M13" t="n">
        <v>353.6</v>
      </c>
      <c r="N13" t="n">
        <v>362.7</v>
      </c>
      <c r="O13" t="n">
        <v>429</v>
      </c>
      <c r="P13" t="n">
        <v>258.2</v>
      </c>
      <c r="Q13" t="n">
        <v>715</v>
      </c>
      <c r="R13" t="n">
        <v>389.6</v>
      </c>
      <c r="S13" t="n">
        <v>487</v>
      </c>
      <c r="T13" t="n">
        <v>384</v>
      </c>
      <c r="U13" t="n">
        <v>705.4</v>
      </c>
      <c r="V13" t="n">
        <v>284.7</v>
      </c>
      <c r="W13" t="n">
        <v>189</v>
      </c>
      <c r="X13" t="n">
        <v>-91.2</v>
      </c>
      <c r="Y13" t="n">
        <v>215</v>
      </c>
      <c r="Z13" t="n">
        <v>247.3</v>
      </c>
      <c r="AA13" t="n">
        <v>223.8</v>
      </c>
      <c r="AB13" t="n">
        <v>231.9</v>
      </c>
      <c r="AC13" t="n">
        <v>365.8</v>
      </c>
      <c r="AD13" t="n">
        <v>324.3</v>
      </c>
      <c r="AE13" t="n">
        <v>487.4</v>
      </c>
      <c r="AF13" t="n">
        <v>408.9</v>
      </c>
    </row>
    <row r="14">
      <c r="A14" t="s">
        <v>23</v>
      </c>
      <c r="B14" t="s">
        <v>298</v>
      </c>
      <c r="C14" t="s">
        <v>217</v>
      </c>
      <c r="D14" t="s">
        <v>299</v>
      </c>
      <c r="E14" t="s">
        <v>218</v>
      </c>
      <c r="F14" t="n">
        <v>24.7</v>
      </c>
      <c r="G14" t="n">
        <v>29</v>
      </c>
      <c r="H14" t="n">
        <v>31.4</v>
      </c>
      <c r="I14" t="n">
        <v>37.3</v>
      </c>
      <c r="J14" t="n">
        <v>40.7</v>
      </c>
      <c r="K14" t="n">
        <v>52.7</v>
      </c>
      <c r="L14" t="n">
        <v>246.5</v>
      </c>
      <c r="M14" t="n">
        <v>49.3</v>
      </c>
      <c r="N14" t="n">
        <v>65.1</v>
      </c>
      <c r="O14" t="n">
        <v>64.6</v>
      </c>
      <c r="P14" t="n">
        <v>52.7</v>
      </c>
      <c r="Q14" t="n">
        <v>59.9</v>
      </c>
      <c r="R14" t="n">
        <v>53.6</v>
      </c>
      <c r="S14" t="n">
        <v>47.3</v>
      </c>
      <c r="T14" t="n">
        <v>40.1</v>
      </c>
      <c r="U14" t="n">
        <v>58.5</v>
      </c>
      <c r="V14" t="n">
        <v>54</v>
      </c>
      <c r="W14" t="n">
        <v>13.9</v>
      </c>
      <c r="X14" t="n">
        <v>51.4</v>
      </c>
      <c r="Y14" t="n">
        <v>66.6</v>
      </c>
      <c r="Z14" t="n">
        <v>28.1</v>
      </c>
      <c r="AA14" t="n">
        <v>36.5</v>
      </c>
      <c r="AB14" t="n">
        <v>43.3</v>
      </c>
      <c r="AC14" t="n">
        <v>34.8</v>
      </c>
      <c r="AD14" t="n">
        <v>40.4</v>
      </c>
      <c r="AE14" t="n">
        <v>39.1</v>
      </c>
      <c r="AF14" t="n">
        <v>59.2</v>
      </c>
    </row>
    <row r="15">
      <c r="A15" t="s">
        <v>23</v>
      </c>
      <c r="B15" t="s">
        <v>300</v>
      </c>
      <c r="C15" t="s">
        <v>217</v>
      </c>
      <c r="D15" t="s">
        <v>301</v>
      </c>
      <c r="E15" t="s">
        <v>218</v>
      </c>
      <c r="F15" t="n">
        <v>62.9</v>
      </c>
      <c r="G15" t="n">
        <v>77.9</v>
      </c>
      <c r="H15" t="n">
        <v>85.6</v>
      </c>
      <c r="I15" t="n">
        <v>104.5</v>
      </c>
      <c r="J15" t="n">
        <v>113</v>
      </c>
      <c r="K15" t="n">
        <v>139</v>
      </c>
      <c r="L15" t="n">
        <v>299.6</v>
      </c>
      <c r="M15" t="n">
        <v>161.4</v>
      </c>
      <c r="N15" t="n">
        <v>117.4</v>
      </c>
      <c r="O15" t="n">
        <v>126.6</v>
      </c>
      <c r="P15" t="n">
        <v>100.8</v>
      </c>
      <c r="Q15" t="n">
        <v>167.4</v>
      </c>
      <c r="R15" t="n">
        <v>113.9</v>
      </c>
      <c r="S15" t="n">
        <v>130.3</v>
      </c>
      <c r="T15" t="n">
        <v>98.2</v>
      </c>
      <c r="U15" t="n">
        <v>101.9</v>
      </c>
      <c r="V15" t="n">
        <v>105</v>
      </c>
      <c r="W15" t="n">
        <v>23.2</v>
      </c>
      <c r="X15" t="n">
        <v>73.3</v>
      </c>
      <c r="Y15" t="n">
        <v>165.2</v>
      </c>
      <c r="Z15" t="n">
        <v>59.1</v>
      </c>
      <c r="AA15" t="n">
        <v>75</v>
      </c>
      <c r="AB15" t="n">
        <v>84</v>
      </c>
      <c r="AC15" t="n">
        <v>106.1</v>
      </c>
      <c r="AD15" t="n">
        <v>156.7</v>
      </c>
      <c r="AE15" t="n">
        <v>127.5</v>
      </c>
      <c r="AF15" t="n">
        <v>153.2</v>
      </c>
    </row>
    <row r="16">
      <c r="A16" t="s">
        <v>23</v>
      </c>
      <c r="B16" t="s">
        <v>302</v>
      </c>
      <c r="C16" t="s">
        <v>217</v>
      </c>
      <c r="D16" t="s">
        <v>303</v>
      </c>
      <c r="E16" t="s">
        <v>218</v>
      </c>
      <c r="F16" t="n">
        <v>38.2</v>
      </c>
      <c r="G16" t="n">
        <v>48.9</v>
      </c>
      <c r="H16" t="n">
        <v>54.2</v>
      </c>
      <c r="I16" t="n">
        <v>67.2</v>
      </c>
      <c r="J16" t="n">
        <v>72.3</v>
      </c>
      <c r="K16" t="n">
        <v>86.3</v>
      </c>
      <c r="L16" t="n">
        <v>53.1</v>
      </c>
      <c r="M16" t="n">
        <v>112.1</v>
      </c>
      <c r="N16" t="n">
        <v>52.3</v>
      </c>
      <c r="O16" t="n">
        <v>62</v>
      </c>
      <c r="P16" t="n">
        <v>48.1</v>
      </c>
      <c r="Q16" t="n">
        <v>107.5</v>
      </c>
      <c r="R16" t="n">
        <v>60.3</v>
      </c>
      <c r="S16" t="n">
        <v>83</v>
      </c>
      <c r="T16" t="n">
        <v>58.1</v>
      </c>
      <c r="U16" t="n">
        <v>43.4</v>
      </c>
      <c r="V16" t="n">
        <v>51</v>
      </c>
      <c r="W16" t="n">
        <v>9.3</v>
      </c>
      <c r="X16" t="n">
        <v>21.9</v>
      </c>
      <c r="Y16" t="n">
        <v>98.6</v>
      </c>
      <c r="Z16" t="n">
        <v>31</v>
      </c>
      <c r="AA16" t="n">
        <v>38.5</v>
      </c>
      <c r="AB16" t="n">
        <v>40.7</v>
      </c>
      <c r="AC16" t="n">
        <v>71.3</v>
      </c>
      <c r="AD16" t="n">
        <v>116.3</v>
      </c>
      <c r="AE16" t="n">
        <v>88.4</v>
      </c>
      <c r="AF16" t="n">
        <v>94</v>
      </c>
    </row>
    <row r="17">
      <c r="A17" t="s">
        <v>23</v>
      </c>
      <c r="B17" t="s">
        <v>304</v>
      </c>
      <c r="C17" t="s">
        <v>217</v>
      </c>
      <c r="D17" t="s">
        <v>305</v>
      </c>
      <c r="E17" t="s">
        <v>218</v>
      </c>
      <c r="F17" t="n">
        <v>14.5</v>
      </c>
      <c r="G17" t="n">
        <v>18.8</v>
      </c>
      <c r="H17" t="n">
        <v>20.9</v>
      </c>
      <c r="I17" t="n">
        <v>25.5</v>
      </c>
      <c r="J17" t="n">
        <v>26</v>
      </c>
      <c r="K17" t="n">
        <v>34.4</v>
      </c>
      <c r="L17" t="n">
        <v>34.6</v>
      </c>
      <c r="M17" t="n">
        <v>30.6</v>
      </c>
      <c r="N17" t="n">
        <v>28.1</v>
      </c>
      <c r="O17" t="n">
        <v>35</v>
      </c>
      <c r="P17" t="n">
        <v>38.4</v>
      </c>
      <c r="Q17" t="n">
        <v>139.6</v>
      </c>
      <c r="R17" t="n">
        <v>71.6</v>
      </c>
      <c r="S17" t="n">
        <v>90.1</v>
      </c>
      <c r="T17" t="n">
        <v>95.1</v>
      </c>
      <c r="U17" t="n">
        <v>49.9</v>
      </c>
      <c r="V17" t="n">
        <v>59.7</v>
      </c>
      <c r="W17" t="n">
        <v>34.3</v>
      </c>
      <c r="X17" t="n">
        <v>46.4</v>
      </c>
      <c r="Y17" t="n">
        <v>24.9</v>
      </c>
      <c r="Z17" t="n">
        <v>30.5</v>
      </c>
      <c r="AA17" t="n">
        <v>30.7</v>
      </c>
      <c r="AB17" t="n">
        <v>31.6</v>
      </c>
      <c r="AC17" t="n">
        <v>32.5</v>
      </c>
      <c r="AD17" t="n">
        <v>31</v>
      </c>
      <c r="AE17" t="n">
        <v>32.2</v>
      </c>
      <c r="AF17" t="n">
        <v>52.5</v>
      </c>
    </row>
    <row r="18">
      <c r="A18" t="s">
        <v>23</v>
      </c>
      <c r="B18" t="s">
        <v>306</v>
      </c>
      <c r="C18" t="s">
        <v>217</v>
      </c>
      <c r="D18" t="s">
        <v>307</v>
      </c>
      <c r="E18" t="s">
        <v>218</v>
      </c>
      <c r="F18" t="n">
        <v>16.5</v>
      </c>
      <c r="G18" t="n">
        <v>21.5</v>
      </c>
      <c r="H18" t="n">
        <v>23.7</v>
      </c>
      <c r="I18" t="n">
        <v>29.1</v>
      </c>
      <c r="J18" t="n">
        <v>30.5</v>
      </c>
      <c r="K18" t="n">
        <v>39.8</v>
      </c>
      <c r="L18" t="n">
        <v>60.7</v>
      </c>
      <c r="M18" t="n">
        <v>40.5</v>
      </c>
      <c r="N18" t="n">
        <v>31.2</v>
      </c>
      <c r="O18" t="n">
        <v>46.5</v>
      </c>
      <c r="P18" t="n">
        <v>51.4</v>
      </c>
      <c r="Q18" t="n">
        <v>59.6</v>
      </c>
      <c r="R18" t="n">
        <v>51.3</v>
      </c>
      <c r="S18" t="n">
        <v>53.7</v>
      </c>
      <c r="T18" t="n">
        <v>44.2</v>
      </c>
      <c r="U18" t="n">
        <v>39</v>
      </c>
      <c r="V18" t="n">
        <v>19.2</v>
      </c>
      <c r="W18" t="n">
        <v>49.9</v>
      </c>
      <c r="X18" t="n">
        <v>11.1</v>
      </c>
      <c r="Y18" t="n">
        <v>16</v>
      </c>
      <c r="Z18" t="n">
        <v>7.5</v>
      </c>
      <c r="AA18" t="n">
        <v>12.7</v>
      </c>
      <c r="AB18" t="n">
        <v>11.5</v>
      </c>
      <c r="AC18" t="n">
        <v>7.7</v>
      </c>
      <c r="AD18" t="n">
        <v>3.9</v>
      </c>
      <c r="AE18" t="n">
        <v>16.8</v>
      </c>
      <c r="AF18" t="n">
        <v>21.3</v>
      </c>
    </row>
    <row r="19">
      <c r="A19" t="s">
        <v>23</v>
      </c>
      <c r="B19" t="s">
        <v>308</v>
      </c>
      <c r="C19" t="s">
        <v>217</v>
      </c>
      <c r="D19" t="s">
        <v>309</v>
      </c>
      <c r="E19" t="s">
        <v>218</v>
      </c>
      <c r="F19" t="n">
        <v>29.1</v>
      </c>
      <c r="G19" t="n">
        <v>38.3</v>
      </c>
      <c r="H19" t="n">
        <v>42.7</v>
      </c>
      <c r="I19" t="n">
        <v>52.6</v>
      </c>
      <c r="J19" t="n">
        <v>54.7</v>
      </c>
      <c r="K19" t="n">
        <v>69.2</v>
      </c>
      <c r="L19" t="n">
        <v>111.1</v>
      </c>
      <c r="M19" t="n">
        <v>87.7</v>
      </c>
      <c r="N19" t="n">
        <v>82.9</v>
      </c>
      <c r="O19" t="n">
        <v>92.7</v>
      </c>
      <c r="P19" t="n">
        <v>77</v>
      </c>
      <c r="Q19" t="n">
        <v>151.5</v>
      </c>
      <c r="R19" t="n">
        <v>74.9</v>
      </c>
      <c r="S19" t="n">
        <v>133.8</v>
      </c>
      <c r="T19" t="n">
        <v>106.2</v>
      </c>
      <c r="U19" t="n">
        <v>104.4</v>
      </c>
      <c r="V19" t="n">
        <v>35.3</v>
      </c>
      <c r="W19" t="n">
        <v>17.3</v>
      </c>
      <c r="X19" t="n">
        <v>6.1</v>
      </c>
      <c r="Y19" t="n">
        <v>61.7</v>
      </c>
      <c r="Z19" t="n">
        <v>49.3</v>
      </c>
      <c r="AA19" t="n">
        <v>37.7</v>
      </c>
      <c r="AB19" t="n">
        <v>33.6</v>
      </c>
      <c r="AC19" t="n">
        <v>43.1</v>
      </c>
      <c r="AD19" t="n">
        <v>60.4</v>
      </c>
      <c r="AE19" t="n">
        <v>55.7</v>
      </c>
      <c r="AF19" t="n">
        <v>74.3</v>
      </c>
    </row>
    <row r="20">
      <c r="A20" t="s">
        <v>23</v>
      </c>
      <c r="B20" t="s">
        <v>310</v>
      </c>
      <c r="C20" t="s">
        <v>217</v>
      </c>
      <c r="D20" t="s">
        <v>311</v>
      </c>
      <c r="E20" t="s">
        <v>218</v>
      </c>
      <c r="F20" t="n">
        <v>635.9</v>
      </c>
      <c r="G20" t="n">
        <v>714.8</v>
      </c>
      <c r="H20" t="n">
        <v>821.7</v>
      </c>
      <c r="I20" t="n">
        <v>925.4</v>
      </c>
      <c r="J20" t="n">
        <v>1002.6</v>
      </c>
      <c r="K20" t="n">
        <v>1030.9</v>
      </c>
      <c r="L20" t="n">
        <v>880.6</v>
      </c>
      <c r="M20" t="n">
        <v>738.9</v>
      </c>
      <c r="N20" t="n">
        <v>710.7</v>
      </c>
      <c r="O20" t="n">
        <v>747.2</v>
      </c>
      <c r="P20" t="n">
        <v>741.8</v>
      </c>
      <c r="Q20" t="n">
        <v>759.5</v>
      </c>
      <c r="R20" t="n">
        <v>735.8</v>
      </c>
      <c r="S20" t="n">
        <v>987.5</v>
      </c>
      <c r="T20" t="n">
        <v>1062.3</v>
      </c>
      <c r="U20" t="n">
        <v>941.1</v>
      </c>
      <c r="V20" t="n">
        <v>109.5</v>
      </c>
      <c r="W20" t="n">
        <v>654</v>
      </c>
      <c r="X20" t="n">
        <v>353.8</v>
      </c>
      <c r="Y20" t="n">
        <v>653.9</v>
      </c>
      <c r="Z20" t="n">
        <v>813.7</v>
      </c>
      <c r="AA20" t="n">
        <v>869</v>
      </c>
      <c r="AB20" t="n">
        <v>729.6</v>
      </c>
      <c r="AC20" t="n">
        <v>782</v>
      </c>
      <c r="AD20" t="n">
        <v>912.2</v>
      </c>
      <c r="AE20" t="n">
        <v>1652.3</v>
      </c>
      <c r="AF20" t="n">
        <v>1499.2</v>
      </c>
    </row>
    <row r="21">
      <c r="A21" t="s">
        <v>23</v>
      </c>
      <c r="B21" t="s">
        <v>312</v>
      </c>
      <c r="C21" t="s">
        <v>217</v>
      </c>
      <c r="D21" t="s">
        <v>313</v>
      </c>
      <c r="E21" t="s">
        <v>218</v>
      </c>
      <c r="F21" t="n">
        <v>668</v>
      </c>
      <c r="G21" t="n">
        <v>752.7</v>
      </c>
      <c r="H21" t="n">
        <v>866.5</v>
      </c>
      <c r="I21" t="n">
        <v>974.8</v>
      </c>
      <c r="J21" t="n">
        <v>1058</v>
      </c>
      <c r="K21" t="n">
        <v>1089.2</v>
      </c>
      <c r="L21" t="n">
        <v>992.5</v>
      </c>
      <c r="M21" t="n">
        <v>782.4</v>
      </c>
      <c r="N21" t="n">
        <v>818.4</v>
      </c>
      <c r="O21" t="n">
        <v>835.1</v>
      </c>
      <c r="P21" t="n">
        <v>930.7</v>
      </c>
      <c r="Q21" t="n">
        <v>1066.1</v>
      </c>
      <c r="R21" t="n">
        <v>1041.4</v>
      </c>
      <c r="S21" t="n">
        <v>1305.6</v>
      </c>
      <c r="T21" t="n">
        <v>1414.2</v>
      </c>
      <c r="U21" t="n">
        <v>1477.4</v>
      </c>
      <c r="V21" t="n">
        <v>450.5</v>
      </c>
      <c r="W21" t="n">
        <v>1032.3</v>
      </c>
      <c r="X21" t="n">
        <v>724.5</v>
      </c>
      <c r="Y21" t="n">
        <v>1209.1</v>
      </c>
      <c r="Z21" t="n">
        <v>1258</v>
      </c>
      <c r="AA21" t="n">
        <v>1210.3</v>
      </c>
      <c r="AB21" t="n">
        <v>1046</v>
      </c>
      <c r="AC21" t="n">
        <v>1132.7</v>
      </c>
      <c r="AD21" t="n">
        <v>1236.9</v>
      </c>
      <c r="AE21" t="n">
        <v>1949.2</v>
      </c>
      <c r="AF21" t="n">
        <v>2034.4</v>
      </c>
    </row>
    <row r="22">
      <c r="A22" t="s">
        <v>23</v>
      </c>
      <c r="B22" t="s">
        <v>314</v>
      </c>
      <c r="C22" t="s">
        <v>217</v>
      </c>
      <c r="D22" t="s">
        <v>315</v>
      </c>
      <c r="E22" t="s">
        <v>218</v>
      </c>
      <c r="F22" t="n">
        <v>32.1</v>
      </c>
      <c r="G22" t="n">
        <v>37.9</v>
      </c>
      <c r="H22" t="n">
        <v>44.8</v>
      </c>
      <c r="I22" t="n">
        <v>49.4</v>
      </c>
      <c r="J22" t="n">
        <v>55.4</v>
      </c>
      <c r="K22" t="n">
        <v>58.3</v>
      </c>
      <c r="L22" t="n">
        <v>111.9</v>
      </c>
      <c r="M22" t="n">
        <v>43.5</v>
      </c>
      <c r="N22" t="n">
        <v>107.7</v>
      </c>
      <c r="O22" t="n">
        <v>87.9</v>
      </c>
      <c r="P22" t="n">
        <v>188.9</v>
      </c>
      <c r="Q22" t="n">
        <v>306.6</v>
      </c>
      <c r="R22" t="n">
        <v>305.6</v>
      </c>
      <c r="S22" t="n">
        <v>318.1</v>
      </c>
      <c r="T22" t="n">
        <v>351.9</v>
      </c>
      <c r="U22" t="n">
        <v>536.3</v>
      </c>
      <c r="V22" t="n">
        <v>341</v>
      </c>
      <c r="W22" t="n">
        <v>378.3</v>
      </c>
      <c r="X22" t="n">
        <v>370.7</v>
      </c>
      <c r="Y22" t="n">
        <v>555.2</v>
      </c>
      <c r="Z22" t="n">
        <v>444.3</v>
      </c>
      <c r="AA22" t="n">
        <v>341.3</v>
      </c>
      <c r="AB22" t="n">
        <v>316.4</v>
      </c>
      <c r="AC22" t="n">
        <v>350.7</v>
      </c>
      <c r="AD22" t="n">
        <v>324.7</v>
      </c>
      <c r="AE22" t="n">
        <v>296.9</v>
      </c>
      <c r="AF22" t="n">
        <v>535.2</v>
      </c>
    </row>
    <row r="23">
      <c r="A23" t="s">
        <v>23</v>
      </c>
      <c r="B23" t="s">
        <v>316</v>
      </c>
      <c r="C23" t="s">
        <v>217</v>
      </c>
      <c r="D23" t="s">
        <v>317</v>
      </c>
      <c r="E23" t="s">
        <v>218</v>
      </c>
      <c r="F23" t="n">
        <v>177.1</v>
      </c>
      <c r="G23" t="n">
        <v>238.8</v>
      </c>
      <c r="H23" t="n">
        <v>278.3</v>
      </c>
      <c r="I23" t="n">
        <v>340.2</v>
      </c>
      <c r="J23" t="n">
        <v>392.8</v>
      </c>
      <c r="K23" t="n">
        <v>449.2</v>
      </c>
      <c r="L23" t="n">
        <v>1109</v>
      </c>
      <c r="M23" t="n">
        <v>757.6</v>
      </c>
      <c r="N23" t="n">
        <v>931.1</v>
      </c>
      <c r="O23" t="n">
        <v>820.8</v>
      </c>
      <c r="P23" t="n">
        <v>772.8</v>
      </c>
      <c r="Q23" t="n">
        <v>1013.8</v>
      </c>
      <c r="R23" t="n">
        <v>1429.7</v>
      </c>
      <c r="S23" t="n">
        <v>1588.9</v>
      </c>
      <c r="T23" t="n">
        <v>765.3</v>
      </c>
      <c r="U23" t="n">
        <v>97.6</v>
      </c>
      <c r="V23" t="n">
        <v>50.6</v>
      </c>
      <c r="W23" t="n">
        <v>444.7</v>
      </c>
      <c r="X23" t="n">
        <v>942.8</v>
      </c>
      <c r="Y23" t="n">
        <v>288.9</v>
      </c>
      <c r="Z23" t="n">
        <v>261.3</v>
      </c>
      <c r="AA23" t="n">
        <v>269.6</v>
      </c>
      <c r="AB23" t="n">
        <v>256.3</v>
      </c>
      <c r="AC23" t="n">
        <v>164.2</v>
      </c>
      <c r="AD23" t="n">
        <v>172</v>
      </c>
      <c r="AE23" t="n">
        <v>180.2</v>
      </c>
      <c r="AF23" t="n">
        <v>490.1</v>
      </c>
    </row>
    <row r="24">
      <c r="A24" t="s">
        <v>23</v>
      </c>
      <c r="B24" t="s">
        <v>318</v>
      </c>
      <c r="C24" t="s">
        <v>217</v>
      </c>
      <c r="D24" t="s">
        <v>319</v>
      </c>
      <c r="E24" t="s">
        <v>218</v>
      </c>
      <c r="F24" t="n">
        <v>567.9</v>
      </c>
      <c r="G24" t="n">
        <v>685.9</v>
      </c>
      <c r="H24" t="n">
        <v>805.7</v>
      </c>
      <c r="I24" t="n">
        <v>899.9</v>
      </c>
      <c r="J24" t="n">
        <v>1012</v>
      </c>
      <c r="K24" t="n">
        <v>1147.6</v>
      </c>
      <c r="L24" t="n">
        <v>1170.9</v>
      </c>
      <c r="M24" t="n">
        <v>2107.3</v>
      </c>
      <c r="N24" t="n">
        <v>1478.8</v>
      </c>
      <c r="O24" t="n">
        <v>1794.2</v>
      </c>
      <c r="P24" t="n">
        <v>2558.1</v>
      </c>
      <c r="Q24" t="n">
        <v>3246.1</v>
      </c>
      <c r="R24" t="n">
        <v>3319.3</v>
      </c>
      <c r="S24" t="n">
        <v>3044.4</v>
      </c>
      <c r="T24" t="n">
        <v>2202.2</v>
      </c>
      <c r="U24" t="n">
        <v>2160.1</v>
      </c>
      <c r="V24" t="n">
        <v>2153.6</v>
      </c>
      <c r="W24" t="n">
        <v>1372.4</v>
      </c>
      <c r="X24" t="n">
        <v>1341.5</v>
      </c>
      <c r="Y24" t="n">
        <v>1734.7</v>
      </c>
      <c r="Z24" t="n">
        <v>1571.7</v>
      </c>
      <c r="AA24" t="n">
        <v>1759.6</v>
      </c>
      <c r="AB24" t="n">
        <v>1778.2</v>
      </c>
      <c r="AC24" t="n">
        <v>1721.6</v>
      </c>
      <c r="AD24" t="n">
        <v>1803.1</v>
      </c>
      <c r="AE24" t="n">
        <v>1681.2</v>
      </c>
      <c r="AF24" t="n">
        <v>2035.2</v>
      </c>
    </row>
    <row r="25">
      <c r="A25" t="s">
        <v>23</v>
      </c>
      <c r="B25" t="s">
        <v>320</v>
      </c>
      <c r="C25" t="s">
        <v>217</v>
      </c>
      <c r="D25" t="s">
        <v>321</v>
      </c>
      <c r="E25" t="s">
        <v>218</v>
      </c>
      <c r="F25" t="n">
        <v>45.4</v>
      </c>
      <c r="G25" t="n">
        <v>54.7</v>
      </c>
      <c r="H25" t="n">
        <v>69.4</v>
      </c>
      <c r="I25" t="n">
        <v>72</v>
      </c>
      <c r="J25" t="n">
        <v>83.2</v>
      </c>
      <c r="K25" t="n">
        <v>92.1</v>
      </c>
      <c r="L25" t="n">
        <v>342.6</v>
      </c>
      <c r="M25" t="n">
        <v>226.8</v>
      </c>
      <c r="N25" t="n">
        <v>169.6</v>
      </c>
      <c r="O25" t="n">
        <v>218.3</v>
      </c>
      <c r="P25" t="n">
        <v>352.6</v>
      </c>
      <c r="Q25" t="n">
        <v>365.6</v>
      </c>
      <c r="R25" t="n">
        <v>429.7</v>
      </c>
      <c r="S25" t="n">
        <v>382.8</v>
      </c>
      <c r="T25" t="n">
        <v>333.4</v>
      </c>
      <c r="U25" t="n">
        <v>343.2</v>
      </c>
      <c r="V25" t="n">
        <v>160.9</v>
      </c>
      <c r="W25" t="n">
        <v>82</v>
      </c>
      <c r="X25" t="n">
        <v>121.1</v>
      </c>
      <c r="Y25" t="n">
        <v>155.4</v>
      </c>
      <c r="Z25" t="n">
        <v>126.8</v>
      </c>
      <c r="AA25" t="n">
        <v>264.1</v>
      </c>
      <c r="AB25" t="n">
        <v>271</v>
      </c>
      <c r="AC25" t="n">
        <v>263.3</v>
      </c>
      <c r="AD25" t="n">
        <v>150.7</v>
      </c>
      <c r="AE25" t="n">
        <v>160.6</v>
      </c>
      <c r="AF25" t="n">
        <v>132.9</v>
      </c>
    </row>
    <row r="26">
      <c r="A26" t="s">
        <v>23</v>
      </c>
      <c r="B26" t="s">
        <v>322</v>
      </c>
      <c r="C26" t="s">
        <v>217</v>
      </c>
      <c r="D26" t="s">
        <v>323</v>
      </c>
      <c r="E26" t="s">
        <v>218</v>
      </c>
      <c r="F26" t="n">
        <v>231.5</v>
      </c>
      <c r="G26" t="n">
        <v>276.2</v>
      </c>
      <c r="H26" t="n">
        <v>323.9</v>
      </c>
      <c r="I26" t="n">
        <v>363.4</v>
      </c>
      <c r="J26" t="n">
        <v>407.6</v>
      </c>
      <c r="K26" t="n">
        <v>455.9</v>
      </c>
      <c r="L26" t="n">
        <v>532.2</v>
      </c>
      <c r="M26" t="n">
        <v>1041.2</v>
      </c>
      <c r="N26" t="n">
        <v>695.4</v>
      </c>
      <c r="O26" t="n">
        <v>1052.1</v>
      </c>
      <c r="P26" t="n">
        <v>1170.5</v>
      </c>
      <c r="Q26" t="n">
        <v>1840.8</v>
      </c>
      <c r="R26" t="n">
        <v>1793.6</v>
      </c>
      <c r="S26" t="n">
        <v>1747.7</v>
      </c>
      <c r="T26" t="n">
        <v>1295.9</v>
      </c>
      <c r="U26" t="n">
        <v>1404.1</v>
      </c>
      <c r="V26" t="n">
        <v>1023</v>
      </c>
      <c r="W26" t="n">
        <v>773.7</v>
      </c>
      <c r="X26" t="n">
        <v>629</v>
      </c>
      <c r="Y26" t="n">
        <v>876.5</v>
      </c>
      <c r="Z26" t="n">
        <v>924</v>
      </c>
      <c r="AA26" t="n">
        <v>776.8</v>
      </c>
      <c r="AB26" t="n">
        <v>775.1</v>
      </c>
      <c r="AC26" t="n">
        <v>816.2</v>
      </c>
      <c r="AD26" t="n">
        <v>860.3</v>
      </c>
      <c r="AE26" t="n">
        <v>963.8</v>
      </c>
      <c r="AF26" t="n">
        <v>1246</v>
      </c>
    </row>
    <row r="27">
      <c r="A27" t="s">
        <v>23</v>
      </c>
      <c r="B27" t="s">
        <v>324</v>
      </c>
      <c r="C27" t="s">
        <v>217</v>
      </c>
      <c r="D27" t="s">
        <v>325</v>
      </c>
      <c r="E27" t="s">
        <v>218</v>
      </c>
      <c r="F27" t="n">
        <v>291</v>
      </c>
      <c r="G27" t="n">
        <v>355</v>
      </c>
      <c r="H27" t="n">
        <v>412.4</v>
      </c>
      <c r="I27" t="n">
        <v>464.5</v>
      </c>
      <c r="J27" t="n">
        <v>521.2</v>
      </c>
      <c r="K27" t="n">
        <v>599.6</v>
      </c>
      <c r="L27" t="n">
        <v>296.1</v>
      </c>
      <c r="M27" t="n">
        <v>839.3</v>
      </c>
      <c r="N27" t="n">
        <v>613.8</v>
      </c>
      <c r="O27" t="n">
        <v>523.8</v>
      </c>
      <c r="P27" t="n">
        <v>1035</v>
      </c>
      <c r="Q27" t="n">
        <v>1039.7</v>
      </c>
      <c r="R27" t="n">
        <v>1096</v>
      </c>
      <c r="S27" t="n">
        <v>913.9</v>
      </c>
      <c r="T27" t="n">
        <v>572.9</v>
      </c>
      <c r="U27" t="n">
        <v>412.8</v>
      </c>
      <c r="V27" t="n">
        <v>969.7</v>
      </c>
      <c r="W27" t="n">
        <v>516.7</v>
      </c>
      <c r="X27" t="n">
        <v>591.4</v>
      </c>
      <c r="Y27" t="n">
        <v>702.8</v>
      </c>
      <c r="Z27" t="n">
        <v>520.9</v>
      </c>
      <c r="AA27" t="n">
        <v>718.7</v>
      </c>
      <c r="AB27" t="n">
        <v>732.1</v>
      </c>
      <c r="AC27" t="n">
        <v>642.1</v>
      </c>
      <c r="AD27" t="n">
        <v>792.1</v>
      </c>
      <c r="AE27" t="n">
        <v>556.8</v>
      </c>
      <c r="AF27" t="n">
        <v>656.3</v>
      </c>
    </row>
    <row r="28">
      <c r="A28" t="s">
        <v>23</v>
      </c>
      <c r="B28" t="s">
        <v>326</v>
      </c>
      <c r="C28" t="s">
        <v>217</v>
      </c>
      <c r="D28" t="s">
        <v>327</v>
      </c>
      <c r="E28" t="s">
        <v>218</v>
      </c>
      <c r="F28" t="n">
        <v>1062</v>
      </c>
      <c r="G28" t="n">
        <v>1143.7</v>
      </c>
      <c r="H28" t="n">
        <v>1371.7</v>
      </c>
      <c r="I28" t="n">
        <v>2083.5</v>
      </c>
      <c r="J28" t="n">
        <v>1577.8</v>
      </c>
      <c r="K28" t="n">
        <v>2041.4</v>
      </c>
      <c r="L28" t="n">
        <v>2209.6</v>
      </c>
      <c r="M28" t="n">
        <v>3944.4</v>
      </c>
      <c r="N28" t="n">
        <v>4270.2</v>
      </c>
      <c r="O28" t="n">
        <v>3626</v>
      </c>
      <c r="P28" t="n">
        <v>1915.9</v>
      </c>
      <c r="Q28" t="n">
        <v>3008.1</v>
      </c>
      <c r="R28" t="n">
        <v>4013.9</v>
      </c>
      <c r="S28" t="n">
        <v>3165.5</v>
      </c>
      <c r="T28" t="n">
        <v>2098.3</v>
      </c>
      <c r="U28" t="n">
        <v>2302.6</v>
      </c>
      <c r="V28" t="n">
        <v>905.4</v>
      </c>
      <c r="W28" t="n">
        <v>656.6</v>
      </c>
      <c r="X28" t="n">
        <v>653.2</v>
      </c>
      <c r="Y28" t="n">
        <v>682.4</v>
      </c>
      <c r="Z28" t="n">
        <v>1134.6</v>
      </c>
      <c r="AA28" t="n">
        <v>1262.9</v>
      </c>
      <c r="AB28" t="n">
        <v>1374.4</v>
      </c>
      <c r="AC28" t="n">
        <v>1541.2</v>
      </c>
      <c r="AD28" t="n">
        <v>1244.2</v>
      </c>
      <c r="AE28" t="n">
        <v>620.3</v>
      </c>
      <c r="AF28" t="n">
        <v>1298.7</v>
      </c>
    </row>
    <row r="29">
      <c r="A29" t="s">
        <v>23</v>
      </c>
      <c r="B29" t="s">
        <v>328</v>
      </c>
      <c r="C29" t="s">
        <v>217</v>
      </c>
      <c r="D29" t="s">
        <v>329</v>
      </c>
      <c r="E29" t="s">
        <v>218</v>
      </c>
      <c r="F29" t="n">
        <v>537.3</v>
      </c>
      <c r="G29" t="n">
        <v>613.6</v>
      </c>
      <c r="H29" t="n">
        <v>792.8</v>
      </c>
      <c r="I29" t="n">
        <v>806.9</v>
      </c>
      <c r="J29" t="n">
        <v>914.6</v>
      </c>
      <c r="K29" t="n">
        <v>949.9</v>
      </c>
      <c r="L29" t="n">
        <v>954.8</v>
      </c>
      <c r="M29" t="n">
        <v>1585.4</v>
      </c>
      <c r="N29" t="n">
        <v>2276.5</v>
      </c>
      <c r="O29" t="n">
        <v>2624.6</v>
      </c>
      <c r="P29" t="n">
        <v>806.4</v>
      </c>
      <c r="Q29" t="n">
        <v>848.1</v>
      </c>
      <c r="R29" t="n">
        <v>1091</v>
      </c>
      <c r="S29" t="n">
        <v>1079.9</v>
      </c>
      <c r="T29" t="n">
        <v>988.4</v>
      </c>
      <c r="U29" t="n">
        <v>1107.8</v>
      </c>
      <c r="V29" t="n">
        <v>494.4</v>
      </c>
      <c r="W29" t="n">
        <v>514</v>
      </c>
      <c r="X29" t="n">
        <v>435.6</v>
      </c>
      <c r="Y29" t="n">
        <v>326.3</v>
      </c>
      <c r="Z29" t="n">
        <v>454.1</v>
      </c>
      <c r="AA29" t="n">
        <v>589.8</v>
      </c>
      <c r="AB29" t="n">
        <v>713.8</v>
      </c>
      <c r="AC29" t="n">
        <v>611.6</v>
      </c>
      <c r="AD29" t="n">
        <v>498.9</v>
      </c>
      <c r="AE29" t="n">
        <v>418.2</v>
      </c>
      <c r="AF29" t="n">
        <v>695.1</v>
      </c>
    </row>
    <row r="30">
      <c r="A30" t="s">
        <v>23</v>
      </c>
      <c r="B30" t="s">
        <v>330</v>
      </c>
      <c r="C30" t="s">
        <v>217</v>
      </c>
      <c r="D30" t="s">
        <v>331</v>
      </c>
      <c r="E30" t="s">
        <v>218</v>
      </c>
      <c r="F30" t="n">
        <v>425.2</v>
      </c>
      <c r="G30" t="n">
        <v>411.1</v>
      </c>
      <c r="H30" t="n">
        <v>439.3</v>
      </c>
      <c r="I30" t="n">
        <v>1120.1</v>
      </c>
      <c r="J30" t="n">
        <v>490.9</v>
      </c>
      <c r="K30" t="n">
        <v>894.9</v>
      </c>
      <c r="L30" t="n">
        <v>771.3</v>
      </c>
      <c r="M30" t="n">
        <v>1832.7</v>
      </c>
      <c r="N30" t="n">
        <v>1754.1</v>
      </c>
      <c r="O30" t="n">
        <v>654.8</v>
      </c>
      <c r="P30" t="n">
        <v>647.4</v>
      </c>
      <c r="Q30" t="n">
        <v>2004.4</v>
      </c>
      <c r="R30" t="n">
        <v>2729.8</v>
      </c>
      <c r="S30" t="n">
        <v>1835.3</v>
      </c>
      <c r="T30" t="n">
        <v>651.3</v>
      </c>
      <c r="U30" t="n">
        <v>899.3</v>
      </c>
      <c r="V30" t="n">
        <v>215.5</v>
      </c>
      <c r="W30" t="n">
        <v>79</v>
      </c>
      <c r="X30" t="n">
        <v>44.1</v>
      </c>
      <c r="Y30" t="n">
        <v>187</v>
      </c>
      <c r="Z30" t="n">
        <v>348.9</v>
      </c>
      <c r="AA30" t="n">
        <v>125.2</v>
      </c>
      <c r="AB30" t="n">
        <v>89.6</v>
      </c>
      <c r="AC30" t="n">
        <v>176.3</v>
      </c>
      <c r="AD30" t="n">
        <v>412.7</v>
      </c>
      <c r="AE30" t="n">
        <v>106.8</v>
      </c>
      <c r="AF30" t="n">
        <v>76.8</v>
      </c>
    </row>
    <row r="31">
      <c r="A31" t="s">
        <v>23</v>
      </c>
      <c r="B31" t="s">
        <v>332</v>
      </c>
      <c r="C31" t="s">
        <v>217</v>
      </c>
      <c r="D31" t="s">
        <v>333</v>
      </c>
      <c r="E31" t="s">
        <v>218</v>
      </c>
      <c r="F31" t="n">
        <v>6.8</v>
      </c>
      <c r="G31" t="n">
        <v>8.1</v>
      </c>
      <c r="H31" t="n">
        <v>12.1</v>
      </c>
      <c r="I31" t="n">
        <v>12.4</v>
      </c>
      <c r="J31" t="n">
        <v>13</v>
      </c>
      <c r="K31" t="n">
        <v>16.6</v>
      </c>
      <c r="L31" t="n">
        <v>159.9</v>
      </c>
      <c r="M31" t="n">
        <v>381</v>
      </c>
      <c r="N31" t="n">
        <v>18.4</v>
      </c>
      <c r="O31" t="n">
        <v>1.9</v>
      </c>
      <c r="P31" t="n">
        <v>300.7</v>
      </c>
      <c r="Q31" t="n">
        <v>8.4</v>
      </c>
      <c r="R31" t="n">
        <v>25.9</v>
      </c>
      <c r="S31" t="n">
        <v>18.8</v>
      </c>
      <c r="T31" t="n">
        <v>26.6</v>
      </c>
      <c r="U31" t="n">
        <v>-13.7</v>
      </c>
      <c r="V31" t="n">
        <v>-3.3</v>
      </c>
      <c r="W31" t="n">
        <v>10</v>
      </c>
      <c r="X31" t="n">
        <v>9.8</v>
      </c>
      <c r="Y31" t="n">
        <v>7.5</v>
      </c>
      <c r="Z31" t="n">
        <v>37.3</v>
      </c>
      <c r="AA31" t="n">
        <v>34.2</v>
      </c>
      <c r="AB31" t="n">
        <v>35.1</v>
      </c>
      <c r="AC31" t="n">
        <v>59.7</v>
      </c>
      <c r="AD31" t="n">
        <v>8.3</v>
      </c>
      <c r="AE31" t="n">
        <v>1.9</v>
      </c>
      <c r="AF31" t="n">
        <v>111.6</v>
      </c>
    </row>
    <row r="32">
      <c r="A32" t="s">
        <v>23</v>
      </c>
      <c r="B32" t="s">
        <v>334</v>
      </c>
      <c r="C32" t="s">
        <v>217</v>
      </c>
      <c r="D32" t="s">
        <v>335</v>
      </c>
      <c r="E32" t="s">
        <v>218</v>
      </c>
      <c r="F32" t="n">
        <v>25.6</v>
      </c>
      <c r="G32" t="n">
        <v>29.3</v>
      </c>
      <c r="H32" t="n">
        <v>33.7</v>
      </c>
      <c r="I32" t="n">
        <v>38</v>
      </c>
      <c r="J32" t="n">
        <v>43.8</v>
      </c>
      <c r="K32" t="n">
        <v>45.8</v>
      </c>
      <c r="L32" t="n">
        <v>91.2</v>
      </c>
      <c r="M32" t="n">
        <v>46.9</v>
      </c>
      <c r="N32" t="n">
        <v>118.8</v>
      </c>
      <c r="O32" t="n">
        <v>252.2</v>
      </c>
      <c r="P32" t="n">
        <v>119.7</v>
      </c>
      <c r="Q32" t="n">
        <v>125.5</v>
      </c>
      <c r="R32" t="n">
        <v>93.9</v>
      </c>
      <c r="S32" t="n">
        <v>182.2</v>
      </c>
      <c r="T32" t="n">
        <v>379.6</v>
      </c>
      <c r="U32" t="n">
        <v>296.2</v>
      </c>
      <c r="V32" t="n">
        <v>193.3</v>
      </c>
      <c r="W32" t="n">
        <v>48.7</v>
      </c>
      <c r="X32" t="n">
        <v>160.2</v>
      </c>
      <c r="Y32" t="n">
        <v>154.3</v>
      </c>
      <c r="Z32" t="n">
        <v>274.5</v>
      </c>
      <c r="AA32" t="n">
        <v>502.5</v>
      </c>
      <c r="AB32" t="n">
        <v>524.4</v>
      </c>
      <c r="AC32" t="n">
        <v>685.2</v>
      </c>
      <c r="AD32" t="n">
        <v>311.1</v>
      </c>
      <c r="AE32" t="n">
        <v>86.9</v>
      </c>
      <c r="AF32" t="n">
        <v>391</v>
      </c>
    </row>
    <row r="33">
      <c r="A33" t="s">
        <v>23</v>
      </c>
      <c r="B33" t="s">
        <v>336</v>
      </c>
      <c r="C33" t="s">
        <v>217</v>
      </c>
      <c r="D33" t="s">
        <v>337</v>
      </c>
      <c r="E33" t="s">
        <v>218</v>
      </c>
      <c r="F33" t="n">
        <v>67.1</v>
      </c>
      <c r="G33" t="n">
        <v>81.6</v>
      </c>
      <c r="H33" t="n">
        <v>93.8</v>
      </c>
      <c r="I33" t="n">
        <v>106.1</v>
      </c>
      <c r="J33" t="n">
        <v>115.5</v>
      </c>
      <c r="K33" t="n">
        <v>134.2</v>
      </c>
      <c r="L33" t="n">
        <v>232.4</v>
      </c>
      <c r="M33" t="n">
        <v>98.4</v>
      </c>
      <c r="N33" t="n">
        <v>102.4</v>
      </c>
      <c r="O33" t="n">
        <v>92.5</v>
      </c>
      <c r="P33" t="n">
        <v>41.7</v>
      </c>
      <c r="Q33" t="n">
        <v>21.7</v>
      </c>
      <c r="R33" t="n">
        <v>73.3</v>
      </c>
      <c r="S33" t="n">
        <v>49.3</v>
      </c>
      <c r="T33" t="n">
        <v>52.4</v>
      </c>
      <c r="U33" t="n">
        <v>13</v>
      </c>
      <c r="V33" t="n">
        <v>5.5</v>
      </c>
      <c r="W33" t="n">
        <v>4.9</v>
      </c>
      <c r="X33" t="n">
        <v>3.5</v>
      </c>
      <c r="Y33" t="n">
        <v>7.3</v>
      </c>
      <c r="Z33" t="n">
        <v>19.8</v>
      </c>
      <c r="AA33" t="n">
        <v>11.2</v>
      </c>
      <c r="AB33" t="n">
        <v>11.5</v>
      </c>
      <c r="AC33" t="n">
        <v>8.4</v>
      </c>
      <c r="AD33" t="n">
        <v>13.2</v>
      </c>
      <c r="AE33" t="n">
        <v>6.5</v>
      </c>
      <c r="AF33" t="n">
        <v>24.2</v>
      </c>
    </row>
    <row r="34">
      <c r="A34" t="s">
        <v>23</v>
      </c>
      <c r="B34" t="s">
        <v>338</v>
      </c>
      <c r="C34" t="s">
        <v>217</v>
      </c>
      <c r="D34" t="s">
        <v>339</v>
      </c>
      <c r="E34" t="s">
        <v>218</v>
      </c>
      <c r="F34" t="n">
        <v>292.5</v>
      </c>
      <c r="G34" t="n">
        <v>345.6</v>
      </c>
      <c r="H34" t="n">
        <v>403.2</v>
      </c>
      <c r="I34" t="n">
        <v>435</v>
      </c>
      <c r="J34" t="n">
        <v>492.5</v>
      </c>
      <c r="K34" t="n">
        <v>588</v>
      </c>
      <c r="L34" t="n">
        <v>543.1</v>
      </c>
      <c r="M34" t="n">
        <v>294.4</v>
      </c>
      <c r="N34" t="n">
        <v>577.2</v>
      </c>
      <c r="O34" t="n">
        <v>735.6</v>
      </c>
      <c r="P34" t="n">
        <v>520.5</v>
      </c>
      <c r="Q34" t="n">
        <v>831.5</v>
      </c>
      <c r="R34" t="n">
        <v>1087.7</v>
      </c>
      <c r="S34" t="n">
        <v>1565.7</v>
      </c>
      <c r="T34" t="n">
        <v>988.3</v>
      </c>
      <c r="U34" t="n">
        <v>1030.7</v>
      </c>
      <c r="V34" t="n">
        <v>657.8</v>
      </c>
      <c r="W34" t="n">
        <v>357.8</v>
      </c>
      <c r="X34" t="n">
        <v>441</v>
      </c>
      <c r="Y34" t="n">
        <v>851.2</v>
      </c>
      <c r="Z34" t="n">
        <v>981.5</v>
      </c>
      <c r="AA34" t="n">
        <v>851.1</v>
      </c>
      <c r="AB34" t="n">
        <v>863.6</v>
      </c>
      <c r="AC34" t="n">
        <v>651.3</v>
      </c>
      <c r="AD34" t="n">
        <v>860</v>
      </c>
      <c r="AE34" t="n">
        <v>676.3</v>
      </c>
      <c r="AF34" t="n">
        <v>709.6</v>
      </c>
    </row>
    <row r="35">
      <c r="A35" t="s">
        <v>23</v>
      </c>
      <c r="B35" t="s">
        <v>340</v>
      </c>
      <c r="C35" t="s">
        <v>217</v>
      </c>
      <c r="D35" t="s">
        <v>341</v>
      </c>
      <c r="E35" t="s">
        <v>218</v>
      </c>
      <c r="F35" t="n">
        <v>899.1</v>
      </c>
      <c r="G35" t="n">
        <v>1103.6</v>
      </c>
      <c r="H35" t="n">
        <v>1257.4</v>
      </c>
      <c r="I35" t="n">
        <v>1440.4</v>
      </c>
      <c r="J35" t="n">
        <v>1578.1</v>
      </c>
      <c r="K35" t="n">
        <v>1854.3</v>
      </c>
      <c r="L35" t="n">
        <v>2957.7</v>
      </c>
      <c r="M35" t="n">
        <v>1824.5</v>
      </c>
      <c r="N35" t="n">
        <v>1801.3</v>
      </c>
      <c r="O35" t="n">
        <v>1759.2</v>
      </c>
      <c r="P35" t="n">
        <v>1871.4</v>
      </c>
      <c r="Q35" t="n">
        <v>1614.8</v>
      </c>
      <c r="R35" t="n">
        <v>1603.5</v>
      </c>
      <c r="S35" t="n">
        <v>1671.7</v>
      </c>
      <c r="T35" t="n">
        <v>1688.8</v>
      </c>
      <c r="U35" t="n">
        <v>2244.4</v>
      </c>
      <c r="V35" t="n">
        <v>1390.2</v>
      </c>
      <c r="W35" t="n">
        <v>1165.5</v>
      </c>
      <c r="X35" t="n">
        <v>872</v>
      </c>
      <c r="Y35" t="n">
        <v>1108.3</v>
      </c>
      <c r="Z35" t="n">
        <v>1015.8</v>
      </c>
      <c r="AA35" t="n">
        <v>1372.4</v>
      </c>
      <c r="AB35" t="n">
        <v>1405.3</v>
      </c>
      <c r="AC35" t="n">
        <v>1430.6</v>
      </c>
      <c r="AD35" t="n">
        <v>1304.2</v>
      </c>
      <c r="AE35" t="n">
        <v>1365.2</v>
      </c>
      <c r="AF35" t="n">
        <v>1840.6</v>
      </c>
    </row>
    <row r="36">
      <c r="A36" t="s">
        <v>23</v>
      </c>
      <c r="B36" t="s">
        <v>342</v>
      </c>
      <c r="C36" t="s">
        <v>217</v>
      </c>
      <c r="D36" t="s">
        <v>343</v>
      </c>
      <c r="E36" t="s">
        <v>218</v>
      </c>
      <c r="F36" t="n">
        <v>142.7</v>
      </c>
      <c r="G36" t="n">
        <v>184.8</v>
      </c>
      <c r="H36" t="n">
        <v>208.7</v>
      </c>
      <c r="I36" t="n">
        <v>237.5</v>
      </c>
      <c r="J36" t="n">
        <v>263</v>
      </c>
      <c r="K36" t="n">
        <v>319.3</v>
      </c>
      <c r="L36" t="n">
        <v>415.2</v>
      </c>
      <c r="M36" t="n">
        <v>535.7</v>
      </c>
      <c r="N36" t="n">
        <v>518</v>
      </c>
      <c r="O36" t="n">
        <v>537.9</v>
      </c>
      <c r="P36" t="n">
        <v>251.8</v>
      </c>
      <c r="Q36" t="n">
        <v>434.2</v>
      </c>
      <c r="R36" t="n">
        <v>440.6</v>
      </c>
      <c r="S36" t="n">
        <v>629.3</v>
      </c>
      <c r="T36" t="n">
        <v>616.1</v>
      </c>
      <c r="U36" t="n">
        <v>438.6</v>
      </c>
      <c r="V36" t="n">
        <v>334.8</v>
      </c>
      <c r="W36" t="n">
        <v>273.3</v>
      </c>
      <c r="X36" t="n">
        <v>188.9</v>
      </c>
      <c r="Y36" t="n">
        <v>232.5</v>
      </c>
      <c r="Z36" t="n">
        <v>183.8</v>
      </c>
      <c r="AA36" t="n">
        <v>304.6</v>
      </c>
      <c r="AB36" t="n">
        <v>245.2</v>
      </c>
      <c r="AC36" t="n">
        <v>213.9</v>
      </c>
      <c r="AD36" t="n">
        <v>390.6</v>
      </c>
      <c r="AE36" t="n">
        <v>426.5</v>
      </c>
      <c r="AF36" t="n">
        <v>388.8</v>
      </c>
    </row>
    <row r="37">
      <c r="A37" t="s">
        <v>23</v>
      </c>
      <c r="B37" t="s">
        <v>344</v>
      </c>
      <c r="C37" t="s">
        <v>217</v>
      </c>
      <c r="D37" t="s">
        <v>345</v>
      </c>
      <c r="E37" t="s">
        <v>218</v>
      </c>
      <c r="F37" t="n">
        <v>679.1</v>
      </c>
      <c r="G37" t="n">
        <v>821.4</v>
      </c>
      <c r="H37" t="n">
        <v>937.9</v>
      </c>
      <c r="I37" t="n">
        <v>1070.9</v>
      </c>
      <c r="J37" t="n">
        <v>1169.5</v>
      </c>
      <c r="K37" t="n">
        <v>1346.3</v>
      </c>
      <c r="L37" t="n">
        <v>2330.8</v>
      </c>
      <c r="M37" t="n">
        <v>995.6</v>
      </c>
      <c r="N37" t="n">
        <v>1037.5</v>
      </c>
      <c r="O37" t="n">
        <v>944.2</v>
      </c>
      <c r="P37" t="n">
        <v>1491.7</v>
      </c>
      <c r="Q37" t="n">
        <v>992.2</v>
      </c>
      <c r="R37" t="n">
        <v>928.5</v>
      </c>
      <c r="S37" t="n">
        <v>901</v>
      </c>
      <c r="T37" t="n">
        <v>867.7</v>
      </c>
      <c r="U37" t="n">
        <v>1506.6</v>
      </c>
      <c r="V37" t="n">
        <v>837</v>
      </c>
      <c r="W37" t="n">
        <v>728.1</v>
      </c>
      <c r="X37" t="n">
        <v>536.2</v>
      </c>
      <c r="Y37" t="n">
        <v>665</v>
      </c>
      <c r="Z37" t="n">
        <v>635.5</v>
      </c>
      <c r="AA37" t="n">
        <v>780.1</v>
      </c>
      <c r="AB37" t="n">
        <v>840.4</v>
      </c>
      <c r="AC37" t="n">
        <v>992.5</v>
      </c>
      <c r="AD37" t="n">
        <v>657.3</v>
      </c>
      <c r="AE37" t="n">
        <v>627.7</v>
      </c>
      <c r="AF37" t="n">
        <v>1058.4</v>
      </c>
    </row>
    <row r="38">
      <c r="A38" t="s">
        <v>23</v>
      </c>
      <c r="B38" t="s">
        <v>346</v>
      </c>
      <c r="C38" t="s">
        <v>217</v>
      </c>
      <c r="D38" t="s">
        <v>347</v>
      </c>
      <c r="E38" t="s">
        <v>218</v>
      </c>
      <c r="F38" t="n">
        <v>77.3</v>
      </c>
      <c r="G38" t="n">
        <v>97.4</v>
      </c>
      <c r="H38" t="n">
        <v>110.8</v>
      </c>
      <c r="I38" t="n">
        <v>132</v>
      </c>
      <c r="J38" t="n">
        <v>145.6</v>
      </c>
      <c r="K38" t="n">
        <v>188.7</v>
      </c>
      <c r="L38" t="n">
        <v>211.7</v>
      </c>
      <c r="M38" t="n">
        <v>293.2</v>
      </c>
      <c r="N38" t="n">
        <v>245.8</v>
      </c>
      <c r="O38" t="n">
        <v>277.1</v>
      </c>
      <c r="P38" t="n">
        <v>127.9</v>
      </c>
      <c r="Q38" t="n">
        <v>188.4</v>
      </c>
      <c r="R38" t="n">
        <v>234.4</v>
      </c>
      <c r="S38" t="n">
        <v>141.4</v>
      </c>
      <c r="T38" t="n">
        <v>205</v>
      </c>
      <c r="U38" t="n">
        <v>299.2</v>
      </c>
      <c r="V38" t="n">
        <v>218.4</v>
      </c>
      <c r="W38" t="n">
        <v>164.1</v>
      </c>
      <c r="X38" t="n">
        <v>146.9</v>
      </c>
      <c r="Y38" t="n">
        <v>210.8</v>
      </c>
      <c r="Z38" t="n">
        <v>196.5</v>
      </c>
      <c r="AA38" t="n">
        <v>287.7</v>
      </c>
      <c r="AB38" t="n">
        <v>319.7</v>
      </c>
      <c r="AC38" t="n">
        <v>224.2</v>
      </c>
      <c r="AD38" t="n">
        <v>256.3</v>
      </c>
      <c r="AE38" t="n">
        <v>311</v>
      </c>
      <c r="AF38" t="n">
        <v>393.4</v>
      </c>
    </row>
    <row r="39">
      <c r="A39" t="s">
        <v>23</v>
      </c>
      <c r="B39" t="s">
        <v>348</v>
      </c>
      <c r="C39" t="s">
        <v>217</v>
      </c>
      <c r="D39" t="s">
        <v>349</v>
      </c>
      <c r="E39" t="s">
        <v>218</v>
      </c>
      <c r="F39" t="n">
        <v>226.5</v>
      </c>
      <c r="G39" t="n">
        <v>292.1</v>
      </c>
      <c r="H39" t="n">
        <v>334.6</v>
      </c>
      <c r="I39" t="n">
        <v>378</v>
      </c>
      <c r="J39" t="n">
        <v>442.4</v>
      </c>
      <c r="K39" t="n">
        <v>600.1</v>
      </c>
      <c r="L39" t="n">
        <v>525.5</v>
      </c>
      <c r="M39" t="n">
        <v>388.3</v>
      </c>
      <c r="N39" t="n">
        <v>216</v>
      </c>
      <c r="O39" t="n">
        <v>274.2</v>
      </c>
      <c r="P39" t="n">
        <v>335.2</v>
      </c>
      <c r="Q39" t="n">
        <v>492.5</v>
      </c>
      <c r="R39" t="n">
        <v>546.2</v>
      </c>
      <c r="S39" t="n">
        <v>577.2</v>
      </c>
      <c r="T39" t="n">
        <v>469.1</v>
      </c>
      <c r="U39" t="n">
        <v>936.3</v>
      </c>
      <c r="V39" t="n">
        <v>589.2</v>
      </c>
      <c r="W39" t="n">
        <v>491.7</v>
      </c>
      <c r="X39" t="n">
        <v>787.8</v>
      </c>
      <c r="Y39" t="n">
        <v>674</v>
      </c>
      <c r="Z39" t="n">
        <v>640.4</v>
      </c>
      <c r="AA39" t="n">
        <v>704.4</v>
      </c>
      <c r="AB39" t="n">
        <v>631.6</v>
      </c>
      <c r="AC39" t="n">
        <v>919.3</v>
      </c>
      <c r="AD39" t="n">
        <v>933.1</v>
      </c>
      <c r="AE39" t="n">
        <v>993.7</v>
      </c>
      <c r="AF39" t="n">
        <v>794.7</v>
      </c>
    </row>
    <row r="40">
      <c r="A40" t="s">
        <v>23</v>
      </c>
      <c r="B40" t="s">
        <v>350</v>
      </c>
      <c r="C40" t="s">
        <v>217</v>
      </c>
      <c r="D40" t="s">
        <v>351</v>
      </c>
      <c r="E40" t="s">
        <v>218</v>
      </c>
      <c r="F40" t="n">
        <v>8577.7</v>
      </c>
      <c r="G40" t="n">
        <v>9539.9</v>
      </c>
      <c r="H40" t="n">
        <v>9395.2</v>
      </c>
      <c r="I40" t="n">
        <v>12232.2</v>
      </c>
      <c r="J40" t="n">
        <v>13180.4</v>
      </c>
      <c r="K40" t="n">
        <v>13843</v>
      </c>
      <c r="L40" t="n">
        <v>13764.1</v>
      </c>
      <c r="M40" t="n">
        <v>14934.8</v>
      </c>
      <c r="N40" t="n">
        <v>18059.1</v>
      </c>
      <c r="O40" t="n">
        <v>21483.4</v>
      </c>
      <c r="P40" t="n">
        <v>19733.8</v>
      </c>
      <c r="Q40" t="n">
        <v>25045.4</v>
      </c>
      <c r="R40" t="n">
        <v>28195.2</v>
      </c>
      <c r="S40" t="n">
        <v>22168.1</v>
      </c>
      <c r="T40" t="n">
        <v>17843.8</v>
      </c>
      <c r="U40" t="n">
        <v>12799.8</v>
      </c>
      <c r="V40" t="n">
        <v>11608.4</v>
      </c>
      <c r="W40" t="n">
        <v>7273</v>
      </c>
      <c r="X40" t="n">
        <v>4626.2</v>
      </c>
      <c r="Y40" t="n">
        <v>2404.6</v>
      </c>
      <c r="Z40" t="n">
        <v>1610.1</v>
      </c>
      <c r="AA40" t="n">
        <v>1564.3</v>
      </c>
      <c r="AB40" t="n">
        <v>1429.3</v>
      </c>
      <c r="AC40" t="n">
        <v>1659.7</v>
      </c>
      <c r="AD40" t="n">
        <v>1942.8</v>
      </c>
      <c r="AE40" t="n">
        <v>2123.9</v>
      </c>
      <c r="AF40" t="n">
        <v>2805.5</v>
      </c>
    </row>
    <row r="41">
      <c r="A41" t="s">
        <v>23</v>
      </c>
      <c r="B41" t="s">
        <v>352</v>
      </c>
      <c r="C41" t="s">
        <v>217</v>
      </c>
      <c r="D41" t="s">
        <v>353</v>
      </c>
      <c r="E41" t="s">
        <v>218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23</v>
      </c>
      <c r="B42" t="s">
        <v>354</v>
      </c>
      <c r="C42" t="s">
        <v>217</v>
      </c>
      <c r="D42" t="s">
        <v>355</v>
      </c>
      <c r="E42" t="s">
        <v>218</v>
      </c>
      <c r="F42" t="n">
        <v>413</v>
      </c>
      <c r="G42" t="n">
        <v>520.1</v>
      </c>
      <c r="H42" t="n">
        <v>613</v>
      </c>
      <c r="I42" t="n">
        <v>668.6</v>
      </c>
      <c r="J42" t="n">
        <v>735.4</v>
      </c>
      <c r="K42" t="n">
        <v>963.8</v>
      </c>
      <c r="L42" t="n">
        <v>956.9</v>
      </c>
      <c r="M42" t="n">
        <v>830.7</v>
      </c>
      <c r="N42" t="n">
        <v>1146.4</v>
      </c>
      <c r="O42" t="n">
        <v>1182.4</v>
      </c>
      <c r="P42" t="n">
        <v>856.2</v>
      </c>
      <c r="Q42" t="n">
        <v>923.7</v>
      </c>
      <c r="R42" t="n">
        <v>1189.9</v>
      </c>
      <c r="S42" t="n">
        <v>1048.6</v>
      </c>
      <c r="T42" t="n">
        <v>1020</v>
      </c>
      <c r="U42" t="n">
        <v>730.5</v>
      </c>
      <c r="V42" t="n">
        <v>840.7</v>
      </c>
      <c r="W42" t="n">
        <v>738.1</v>
      </c>
      <c r="X42" t="n">
        <v>626.4</v>
      </c>
      <c r="Y42" t="n">
        <v>591.4</v>
      </c>
      <c r="Z42" t="n">
        <v>616.5</v>
      </c>
      <c r="AA42" t="n">
        <v>566.5</v>
      </c>
      <c r="AB42" t="n">
        <v>611.2</v>
      </c>
      <c r="AC42" t="n">
        <v>538.6</v>
      </c>
      <c r="AD42" t="n">
        <v>698.3</v>
      </c>
      <c r="AE42" t="n">
        <v>810.6</v>
      </c>
      <c r="AF42" t="n">
        <v>976.6</v>
      </c>
    </row>
    <row r="43">
      <c r="A43" t="s">
        <v>23</v>
      </c>
      <c r="B43" t="s">
        <v>356</v>
      </c>
      <c r="C43" t="s">
        <v>217</v>
      </c>
      <c r="D43" t="s">
        <v>357</v>
      </c>
      <c r="E43" t="s">
        <v>218</v>
      </c>
      <c r="F43" t="n">
        <v>524.3</v>
      </c>
      <c r="G43" t="n">
        <v>654.6</v>
      </c>
      <c r="H43" t="n">
        <v>780.8</v>
      </c>
      <c r="I43" t="n">
        <v>867.7</v>
      </c>
      <c r="J43" t="n">
        <v>930.8</v>
      </c>
      <c r="K43" t="n">
        <v>1211.3</v>
      </c>
      <c r="L43" t="n">
        <v>1304.3</v>
      </c>
      <c r="M43" t="n">
        <v>1096.2</v>
      </c>
      <c r="N43" t="n">
        <v>1562.8</v>
      </c>
      <c r="O43" t="n">
        <v>1804.5</v>
      </c>
      <c r="P43" t="n">
        <v>1852.4</v>
      </c>
      <c r="Q43" t="n">
        <v>1956.5</v>
      </c>
      <c r="R43" t="n">
        <v>2559.2</v>
      </c>
      <c r="S43" t="n">
        <v>3370.2</v>
      </c>
      <c r="T43" t="n">
        <v>3194.7</v>
      </c>
      <c r="U43" t="n">
        <v>1900.9</v>
      </c>
      <c r="V43" t="n">
        <v>1537.5</v>
      </c>
      <c r="W43" t="n">
        <v>1002.8</v>
      </c>
      <c r="X43" t="n">
        <v>702</v>
      </c>
      <c r="Y43" t="n">
        <v>879</v>
      </c>
      <c r="Z43" t="n">
        <v>988.5</v>
      </c>
      <c r="AA43" t="n">
        <v>841.8</v>
      </c>
      <c r="AB43" t="n">
        <v>916.9</v>
      </c>
      <c r="AC43" t="n">
        <v>872.2</v>
      </c>
      <c r="AD43" t="n">
        <v>1315.2</v>
      </c>
      <c r="AE43" t="n">
        <v>1223</v>
      </c>
      <c r="AF43" t="n">
        <v>1560.4</v>
      </c>
    </row>
    <row r="44">
      <c r="A44" t="s">
        <v>23</v>
      </c>
      <c r="B44" t="s">
        <v>358</v>
      </c>
      <c r="C44" t="s">
        <v>217</v>
      </c>
      <c r="D44" t="s">
        <v>359</v>
      </c>
      <c r="E44" t="s">
        <v>218</v>
      </c>
      <c r="F44" t="n">
        <v>6956.6</v>
      </c>
      <c r="G44" t="n">
        <v>8437.9</v>
      </c>
      <c r="H44" t="n">
        <v>9888.5</v>
      </c>
      <c r="I44" t="n">
        <v>11720.4</v>
      </c>
      <c r="J44" t="n">
        <v>12348.1</v>
      </c>
      <c r="K44" t="n">
        <v>14855.3</v>
      </c>
      <c r="L44" t="n">
        <v>16090.7</v>
      </c>
      <c r="M44" t="n">
        <v>15260.5</v>
      </c>
      <c r="N44" t="n">
        <v>16057.8</v>
      </c>
      <c r="O44" t="n">
        <v>16552.7</v>
      </c>
      <c r="P44" t="n">
        <v>15271.8</v>
      </c>
      <c r="Q44" t="n">
        <v>18577.8</v>
      </c>
      <c r="R44" t="n">
        <v>21498.1</v>
      </c>
      <c r="S44" t="n">
        <v>23413.1</v>
      </c>
      <c r="T44" t="n">
        <v>20090.8</v>
      </c>
      <c r="U44" t="n">
        <v>17463.7</v>
      </c>
      <c r="V44" t="n">
        <v>11907.8</v>
      </c>
      <c r="W44" t="n">
        <v>11164.6</v>
      </c>
      <c r="X44" t="n">
        <v>10039.8</v>
      </c>
      <c r="Y44" t="n">
        <v>11096.4</v>
      </c>
      <c r="Z44" t="n">
        <v>11729.2</v>
      </c>
      <c r="AA44" t="n">
        <v>12577</v>
      </c>
      <c r="AB44" t="n">
        <v>12492.4</v>
      </c>
      <c r="AC44" t="n">
        <v>13348.8</v>
      </c>
      <c r="AD44" t="n">
        <v>14049.8</v>
      </c>
      <c r="AE44" t="n">
        <v>13596.6</v>
      </c>
      <c r="AF44" t="n">
        <v>16209.2</v>
      </c>
    </row>
    <row r="45">
      <c r="A45" t="s">
        <v>23</v>
      </c>
      <c r="B45" t="s">
        <v>360</v>
      </c>
      <c r="C45" t="s">
        <v>217</v>
      </c>
      <c r="D45" t="s">
        <v>361</v>
      </c>
      <c r="E45" t="s">
        <v>218</v>
      </c>
      <c r="F45" t="n">
        <v>6372.9</v>
      </c>
      <c r="G45" t="n">
        <v>7757.1</v>
      </c>
      <c r="H45" t="n">
        <v>9042.1</v>
      </c>
      <c r="I45" t="n">
        <v>10774.5</v>
      </c>
      <c r="J45" t="n">
        <v>11297.7</v>
      </c>
      <c r="K45" t="n">
        <v>13683.4</v>
      </c>
      <c r="L45" t="n">
        <v>14806.8</v>
      </c>
      <c r="M45" t="n">
        <v>14203.8</v>
      </c>
      <c r="N45" t="n">
        <v>14767.9</v>
      </c>
      <c r="O45" t="n">
        <v>15154.5</v>
      </c>
      <c r="P45" t="n">
        <v>13697.5</v>
      </c>
      <c r="Q45" t="n">
        <v>17075.8</v>
      </c>
      <c r="R45" t="n">
        <v>19453.4</v>
      </c>
      <c r="S45" t="n">
        <v>20909.2</v>
      </c>
      <c r="T45" t="n">
        <v>18067.9</v>
      </c>
      <c r="U45" t="n">
        <v>15377.5</v>
      </c>
      <c r="V45" t="n">
        <v>10439.4</v>
      </c>
      <c r="W45" t="n">
        <v>9905.9</v>
      </c>
      <c r="X45" t="n">
        <v>8251.6</v>
      </c>
      <c r="Y45" t="n">
        <v>9768.9</v>
      </c>
      <c r="Z45" t="n">
        <v>10150.4</v>
      </c>
      <c r="AA45" t="n">
        <v>10778.7</v>
      </c>
      <c r="AB45" t="n">
        <v>10700.6</v>
      </c>
      <c r="AC45" t="n">
        <v>11295.9</v>
      </c>
      <c r="AD45" t="n">
        <v>11799.3</v>
      </c>
      <c r="AE45" t="n">
        <v>11520</v>
      </c>
      <c r="AF45" t="n">
        <v>13644.4</v>
      </c>
    </row>
    <row r="46">
      <c r="A46" t="s">
        <v>23</v>
      </c>
      <c r="B46" t="s">
        <v>362</v>
      </c>
      <c r="C46" t="s">
        <v>217</v>
      </c>
      <c r="D46" t="s">
        <v>363</v>
      </c>
      <c r="E46" t="s">
        <v>218</v>
      </c>
      <c r="F46" t="n">
        <v>111.3</v>
      </c>
      <c r="G46" t="n">
        <v>134.5</v>
      </c>
      <c r="H46" t="n">
        <v>167.8</v>
      </c>
      <c r="I46" t="n">
        <v>199.1</v>
      </c>
      <c r="J46" t="n">
        <v>195.4</v>
      </c>
      <c r="K46" t="n">
        <v>247.5</v>
      </c>
      <c r="L46" t="n">
        <v>347.4</v>
      </c>
      <c r="M46" t="n">
        <v>265.5</v>
      </c>
      <c r="N46" t="n">
        <v>416.4</v>
      </c>
      <c r="O46" t="n">
        <v>622.1</v>
      </c>
      <c r="P46" t="n">
        <v>996.2</v>
      </c>
      <c r="Q46" t="n">
        <v>1032.8</v>
      </c>
      <c r="R46" t="n">
        <v>1369.3</v>
      </c>
      <c r="S46" t="n">
        <v>2321.6</v>
      </c>
      <c r="T46" t="n">
        <v>2174.7</v>
      </c>
      <c r="U46" t="n">
        <v>1170.4</v>
      </c>
      <c r="V46" t="n">
        <v>696.8</v>
      </c>
      <c r="W46" t="n">
        <v>264.7</v>
      </c>
      <c r="X46" t="n">
        <v>75.6</v>
      </c>
      <c r="Y46" t="n">
        <v>287.6</v>
      </c>
      <c r="Z46" t="n">
        <v>372</v>
      </c>
      <c r="AA46" t="n">
        <v>275.3</v>
      </c>
      <c r="AB46" t="n">
        <v>305.7</v>
      </c>
      <c r="AC46" t="n">
        <v>333.6</v>
      </c>
      <c r="AD46" t="n">
        <v>616.9</v>
      </c>
      <c r="AE46" t="n">
        <v>412.4</v>
      </c>
      <c r="AF46" t="n">
        <v>583.8</v>
      </c>
    </row>
    <row r="47">
      <c r="A47" t="s">
        <v>23</v>
      </c>
      <c r="B47" t="s">
        <v>364</v>
      </c>
      <c r="C47" t="s">
        <v>217</v>
      </c>
      <c r="D47" t="s">
        <v>365</v>
      </c>
      <c r="E47" t="s">
        <v>218</v>
      </c>
      <c r="F47" t="n">
        <v>2519</v>
      </c>
      <c r="G47" t="n">
        <v>2858.6</v>
      </c>
      <c r="H47" t="n">
        <v>3088.1</v>
      </c>
      <c r="I47" t="n">
        <v>3932.7</v>
      </c>
      <c r="J47" t="n">
        <v>5123.6</v>
      </c>
      <c r="K47" t="n">
        <v>4280</v>
      </c>
      <c r="L47" t="n">
        <v>5456.6</v>
      </c>
      <c r="M47" t="n">
        <v>5584.6</v>
      </c>
      <c r="N47" t="n">
        <v>6624.1</v>
      </c>
      <c r="O47" t="n">
        <v>6807.2</v>
      </c>
      <c r="P47" t="n">
        <v>4149.4</v>
      </c>
      <c r="Q47" t="n">
        <v>5459.6</v>
      </c>
      <c r="R47" t="n">
        <v>6456</v>
      </c>
      <c r="S47" t="n">
        <v>7683.4</v>
      </c>
      <c r="T47" t="n">
        <v>7937</v>
      </c>
      <c r="U47" t="n">
        <v>6002.8</v>
      </c>
      <c r="V47" t="n">
        <v>3394.6</v>
      </c>
      <c r="W47" t="n">
        <v>3059.2</v>
      </c>
      <c r="X47" t="n">
        <v>4313.4</v>
      </c>
      <c r="Y47" t="n">
        <v>4999</v>
      </c>
      <c r="Z47" t="n">
        <v>4890.7</v>
      </c>
      <c r="AA47" t="n">
        <v>4509.9</v>
      </c>
      <c r="AB47" t="n">
        <v>6174.3</v>
      </c>
      <c r="AC47" t="n">
        <v>3937.7</v>
      </c>
      <c r="AD47" t="n">
        <v>2620.3</v>
      </c>
      <c r="AE47" t="n">
        <v>3148.4</v>
      </c>
      <c r="AF47" t="n">
        <v>4300.2</v>
      </c>
    </row>
    <row r="48">
      <c r="A48" t="s">
        <v>23</v>
      </c>
      <c r="B48" t="s">
        <v>366</v>
      </c>
      <c r="C48" t="s">
        <v>217</v>
      </c>
      <c r="D48" t="s">
        <v>367</v>
      </c>
      <c r="E48" t="s">
        <v>218</v>
      </c>
      <c r="F48" t="n">
        <v>3706.7</v>
      </c>
      <c r="G48" t="n">
        <v>4277.3</v>
      </c>
      <c r="H48" t="n">
        <v>4722.9</v>
      </c>
      <c r="I48" t="n">
        <v>5730.3</v>
      </c>
      <c r="J48" t="n">
        <v>7135.3</v>
      </c>
      <c r="K48" t="n">
        <v>6618.4</v>
      </c>
      <c r="L48" t="n">
        <v>7886.9</v>
      </c>
      <c r="M48" t="n">
        <v>7744.1</v>
      </c>
      <c r="N48" t="n">
        <v>9194.9</v>
      </c>
      <c r="O48" t="n">
        <v>9275.4</v>
      </c>
      <c r="P48" t="n">
        <v>6591.7</v>
      </c>
      <c r="Q48" t="n">
        <v>7929.6</v>
      </c>
      <c r="R48" t="n">
        <v>8844.4</v>
      </c>
      <c r="S48" t="n">
        <v>9998.2</v>
      </c>
      <c r="T48" t="n">
        <v>9957.4</v>
      </c>
      <c r="U48" t="n">
        <v>7344.2</v>
      </c>
      <c r="V48" t="n">
        <v>4696.7</v>
      </c>
      <c r="W48" t="n">
        <v>4389.9</v>
      </c>
      <c r="X48" t="n">
        <v>5881.8</v>
      </c>
      <c r="Y48" t="n">
        <v>6278.7</v>
      </c>
      <c r="Z48" t="n">
        <v>6233.3</v>
      </c>
      <c r="AA48" t="n">
        <v>5690.7</v>
      </c>
      <c r="AB48" t="n">
        <v>7451.2</v>
      </c>
      <c r="AC48" t="n">
        <v>5456.9</v>
      </c>
      <c r="AD48" t="n">
        <v>4322.7</v>
      </c>
      <c r="AE48" t="n">
        <v>4886.6</v>
      </c>
      <c r="AF48" t="n">
        <v>6440.9</v>
      </c>
    </row>
    <row r="49">
      <c r="A49" t="s">
        <v>23</v>
      </c>
      <c r="B49" t="s">
        <v>368</v>
      </c>
      <c r="C49" t="s">
        <v>217</v>
      </c>
      <c r="D49" t="s">
        <v>369</v>
      </c>
      <c r="E49" t="s">
        <v>218</v>
      </c>
      <c r="F49" t="n">
        <v>883.2</v>
      </c>
      <c r="G49" t="n">
        <v>1033.6</v>
      </c>
      <c r="H49" t="n">
        <v>1195.7</v>
      </c>
      <c r="I49" t="n">
        <v>1305.7</v>
      </c>
      <c r="J49" t="n">
        <v>1438.3</v>
      </c>
      <c r="K49" t="n">
        <v>1627.9</v>
      </c>
      <c r="L49" t="n">
        <v>1456.2</v>
      </c>
      <c r="M49" t="n">
        <v>1238.2</v>
      </c>
      <c r="N49" t="n">
        <v>1700.6</v>
      </c>
      <c r="O49" t="n">
        <v>1613.6</v>
      </c>
      <c r="P49" t="n">
        <v>1646.5</v>
      </c>
      <c r="Q49" t="n">
        <v>1874.1</v>
      </c>
      <c r="R49" t="n">
        <v>1771.6</v>
      </c>
      <c r="S49" t="n">
        <v>1708.8</v>
      </c>
      <c r="T49" t="n">
        <v>1390</v>
      </c>
      <c r="U49" t="n">
        <v>968.5</v>
      </c>
      <c r="V49" t="n">
        <v>942.3</v>
      </c>
      <c r="W49" t="n">
        <v>1032.8</v>
      </c>
      <c r="X49" t="n">
        <v>1212.4</v>
      </c>
      <c r="Y49" t="n">
        <v>1014.7</v>
      </c>
      <c r="Z49" t="n">
        <v>962.8</v>
      </c>
      <c r="AA49" t="n">
        <v>834.6</v>
      </c>
      <c r="AB49" t="n">
        <v>727.5</v>
      </c>
      <c r="AC49" t="n">
        <v>847.1</v>
      </c>
      <c r="AD49" t="n">
        <v>971.8</v>
      </c>
      <c r="AE49" t="n">
        <v>1067.3</v>
      </c>
      <c r="AF49" t="n">
        <v>1187.8</v>
      </c>
    </row>
    <row r="50">
      <c r="A50" t="s">
        <v>23</v>
      </c>
      <c r="B50" t="s">
        <v>370</v>
      </c>
      <c r="C50" t="s">
        <v>217</v>
      </c>
      <c r="D50" t="s">
        <v>371</v>
      </c>
      <c r="E50" t="s">
        <v>218</v>
      </c>
      <c r="F50" t="n">
        <v>304.6</v>
      </c>
      <c r="G50" t="n">
        <v>385.1</v>
      </c>
      <c r="H50" t="n">
        <v>439.1</v>
      </c>
      <c r="I50" t="n">
        <v>491.9</v>
      </c>
      <c r="J50" t="n">
        <v>573.4</v>
      </c>
      <c r="K50" t="n">
        <v>710.6</v>
      </c>
      <c r="L50" t="n">
        <v>974.1</v>
      </c>
      <c r="M50" t="n">
        <v>921.2</v>
      </c>
      <c r="N50" t="n">
        <v>870.3</v>
      </c>
      <c r="O50" t="n">
        <v>854.5</v>
      </c>
      <c r="P50" t="n">
        <v>795.8</v>
      </c>
      <c r="Q50" t="n">
        <v>595.9</v>
      </c>
      <c r="R50" t="n">
        <v>616.9</v>
      </c>
      <c r="S50" t="n">
        <v>606</v>
      </c>
      <c r="T50" t="n">
        <v>630.4</v>
      </c>
      <c r="U50" t="n">
        <v>372.9</v>
      </c>
      <c r="V50" t="n">
        <v>359.8</v>
      </c>
      <c r="W50" t="n">
        <v>297.9</v>
      </c>
      <c r="X50" t="n">
        <v>355.9</v>
      </c>
      <c r="Y50" t="n">
        <v>264.9</v>
      </c>
      <c r="Z50" t="n">
        <v>379.8</v>
      </c>
      <c r="AA50" t="n">
        <v>346.2</v>
      </c>
      <c r="AB50" t="n">
        <v>549.4</v>
      </c>
      <c r="AC50" t="n">
        <v>672.1</v>
      </c>
      <c r="AD50" t="n">
        <v>730.6</v>
      </c>
      <c r="AE50" t="n">
        <v>670.9</v>
      </c>
      <c r="AF50" t="n">
        <v>952.7</v>
      </c>
    </row>
    <row r="51">
      <c r="A51" t="s">
        <v>23</v>
      </c>
      <c r="B51" t="s">
        <v>372</v>
      </c>
      <c r="C51" t="s">
        <v>217</v>
      </c>
      <c r="D51" t="s">
        <v>373</v>
      </c>
      <c r="E51" t="s">
        <v>218</v>
      </c>
      <c r="F51" t="n">
        <v>286.2</v>
      </c>
      <c r="G51" t="n">
        <v>361.6</v>
      </c>
      <c r="H51" t="n">
        <v>412.3</v>
      </c>
      <c r="I51" t="n">
        <v>461.8</v>
      </c>
      <c r="J51" t="n">
        <v>538.1</v>
      </c>
      <c r="K51" t="n">
        <v>666.5</v>
      </c>
      <c r="L51" t="n">
        <v>913.3</v>
      </c>
      <c r="M51" t="n">
        <v>863.8</v>
      </c>
      <c r="N51" t="n">
        <v>816.4</v>
      </c>
      <c r="O51" t="n">
        <v>801.9</v>
      </c>
      <c r="P51" t="n">
        <v>672</v>
      </c>
      <c r="Q51" t="n">
        <v>513.1</v>
      </c>
      <c r="R51" t="n">
        <v>536.5</v>
      </c>
      <c r="S51" t="n">
        <v>501.5</v>
      </c>
      <c r="T51" t="n">
        <v>564.2</v>
      </c>
      <c r="U51" t="n">
        <v>340.4</v>
      </c>
      <c r="V51" t="n">
        <v>314.8</v>
      </c>
      <c r="W51" t="n">
        <v>265.7</v>
      </c>
      <c r="X51" t="n">
        <v>311.3</v>
      </c>
      <c r="Y51" t="n">
        <v>243.4</v>
      </c>
      <c r="Z51" t="n">
        <v>348.6</v>
      </c>
      <c r="AA51" t="n">
        <v>311.9</v>
      </c>
      <c r="AB51" t="n">
        <v>524.4</v>
      </c>
      <c r="AC51" t="n">
        <v>639.3</v>
      </c>
      <c r="AD51" t="n">
        <v>706.1</v>
      </c>
      <c r="AE51" t="n">
        <v>644.7</v>
      </c>
      <c r="AF51" t="n">
        <v>907.1</v>
      </c>
    </row>
    <row r="52">
      <c r="A52" t="s">
        <v>23</v>
      </c>
      <c r="B52" t="s">
        <v>374</v>
      </c>
      <c r="C52" t="s">
        <v>217</v>
      </c>
      <c r="D52" t="s">
        <v>375</v>
      </c>
      <c r="E52" t="s">
        <v>218</v>
      </c>
      <c r="F52" t="n">
        <v>18.4</v>
      </c>
      <c r="G52" t="n">
        <v>23.5</v>
      </c>
      <c r="H52" t="n">
        <v>26.8</v>
      </c>
      <c r="I52" t="n">
        <v>30.1</v>
      </c>
      <c r="J52" t="n">
        <v>35.3</v>
      </c>
      <c r="K52" t="n">
        <v>44.1</v>
      </c>
      <c r="L52" t="n">
        <v>60.8</v>
      </c>
      <c r="M52" t="n">
        <v>57.4</v>
      </c>
      <c r="N52" t="n">
        <v>53.9</v>
      </c>
      <c r="O52" t="n">
        <v>52.6</v>
      </c>
      <c r="P52" t="n">
        <v>123.8</v>
      </c>
      <c r="Q52" t="n">
        <v>82.8</v>
      </c>
      <c r="R52" t="n">
        <v>80.4</v>
      </c>
      <c r="S52" t="n">
        <v>104.5</v>
      </c>
      <c r="T52" t="n">
        <v>66.2</v>
      </c>
      <c r="U52" t="n">
        <v>32.5</v>
      </c>
      <c r="V52" t="n">
        <v>45</v>
      </c>
      <c r="W52" t="n">
        <v>32.2</v>
      </c>
      <c r="X52" t="n">
        <v>44.6</v>
      </c>
      <c r="Y52" t="n">
        <v>21.5</v>
      </c>
      <c r="Z52" t="n">
        <v>31.2</v>
      </c>
      <c r="AA52" t="n">
        <v>34.3</v>
      </c>
      <c r="AB52" t="n">
        <v>25</v>
      </c>
      <c r="AC52" t="n">
        <v>32.8</v>
      </c>
      <c r="AD52" t="n">
        <v>24.5</v>
      </c>
      <c r="AE52" t="n">
        <v>26.2</v>
      </c>
      <c r="AF52" t="n">
        <v>45.6</v>
      </c>
    </row>
    <row r="53">
      <c r="A53" t="s">
        <v>23</v>
      </c>
      <c r="B53" t="s">
        <v>376</v>
      </c>
      <c r="C53" t="s">
        <v>217</v>
      </c>
      <c r="D53" t="s">
        <v>377</v>
      </c>
      <c r="E53" t="s">
        <v>218</v>
      </c>
      <c r="F53" t="n">
        <v>135.8</v>
      </c>
      <c r="G53" t="n">
        <v>172.1</v>
      </c>
      <c r="H53" t="n">
        <v>193.5</v>
      </c>
      <c r="I53" t="n">
        <v>202.9</v>
      </c>
      <c r="J53" t="n">
        <v>229.2</v>
      </c>
      <c r="K53" t="n">
        <v>269.5</v>
      </c>
      <c r="L53" t="n">
        <v>491.5</v>
      </c>
      <c r="M53" t="n">
        <v>629</v>
      </c>
      <c r="N53" t="n">
        <v>772.6</v>
      </c>
      <c r="O53" t="n">
        <v>677.2</v>
      </c>
      <c r="P53" t="n">
        <v>490.2</v>
      </c>
      <c r="Q53" t="n">
        <v>516.4</v>
      </c>
      <c r="R53" t="n">
        <v>433.7</v>
      </c>
      <c r="S53" t="n">
        <v>551</v>
      </c>
      <c r="T53" t="n">
        <v>373.4</v>
      </c>
      <c r="U53" t="n">
        <v>257.3</v>
      </c>
      <c r="V53" t="n">
        <v>242.6</v>
      </c>
      <c r="W53" t="n">
        <v>188.6</v>
      </c>
      <c r="X53" t="n">
        <v>291.8</v>
      </c>
      <c r="Y53" t="n">
        <v>227.6</v>
      </c>
      <c r="Z53" t="n">
        <v>211.8</v>
      </c>
      <c r="AA53" t="n">
        <v>210.4</v>
      </c>
      <c r="AB53" t="n">
        <v>161.2</v>
      </c>
      <c r="AC53" t="n">
        <v>210.4</v>
      </c>
      <c r="AD53" t="n">
        <v>193.4</v>
      </c>
      <c r="AE53" t="n">
        <v>175.8</v>
      </c>
      <c r="AF53" t="n">
        <v>149.9</v>
      </c>
    </row>
    <row r="54">
      <c r="A54" t="s">
        <v>23</v>
      </c>
      <c r="B54" t="s">
        <v>378</v>
      </c>
      <c r="C54" t="s">
        <v>217</v>
      </c>
      <c r="D54" t="s">
        <v>379</v>
      </c>
      <c r="E54" t="s">
        <v>218</v>
      </c>
      <c r="F54" t="n">
        <v>716</v>
      </c>
      <c r="G54" t="n">
        <v>915.7</v>
      </c>
      <c r="H54" t="n">
        <v>1070.7</v>
      </c>
      <c r="I54" t="n">
        <v>1128.8</v>
      </c>
      <c r="J54" t="n">
        <v>1383.5</v>
      </c>
      <c r="K54" t="n">
        <v>1729.9</v>
      </c>
      <c r="L54" t="n">
        <v>969.4</v>
      </c>
      <c r="M54" t="n">
        <v>1063.9</v>
      </c>
      <c r="N54" t="n">
        <v>1165.1</v>
      </c>
      <c r="O54" t="n">
        <v>1153.9</v>
      </c>
      <c r="P54" t="n">
        <v>939.2</v>
      </c>
      <c r="Q54" t="n">
        <v>1069.3</v>
      </c>
      <c r="R54" t="n">
        <v>1028.8</v>
      </c>
      <c r="S54" t="n">
        <v>1199.4</v>
      </c>
      <c r="T54" t="n">
        <v>1937.9</v>
      </c>
      <c r="U54" t="n">
        <v>372.9</v>
      </c>
      <c r="V54" t="n">
        <v>405.4</v>
      </c>
      <c r="W54" t="n">
        <v>310.2</v>
      </c>
      <c r="X54" t="n">
        <v>440.1</v>
      </c>
      <c r="Y54" t="n">
        <v>430.5</v>
      </c>
      <c r="Z54" t="n">
        <v>456.1</v>
      </c>
      <c r="AA54" t="n">
        <v>391.4</v>
      </c>
      <c r="AB54" t="n">
        <v>326.3</v>
      </c>
      <c r="AC54" t="n">
        <v>317.6</v>
      </c>
      <c r="AD54" t="n">
        <v>304</v>
      </c>
      <c r="AE54" t="n">
        <v>275.3</v>
      </c>
      <c r="AF54" t="n">
        <v>261.5</v>
      </c>
    </row>
    <row r="55">
      <c r="A55" t="s">
        <v>23</v>
      </c>
      <c r="B55" t="s">
        <v>380</v>
      </c>
      <c r="C55" t="s">
        <v>217</v>
      </c>
      <c r="D55" t="s">
        <v>381</v>
      </c>
      <c r="E55" t="s">
        <v>218</v>
      </c>
      <c r="F55" t="n">
        <v>580.2</v>
      </c>
      <c r="G55" t="n">
        <v>743.6</v>
      </c>
      <c r="H55" t="n">
        <v>877.2</v>
      </c>
      <c r="I55" t="n">
        <v>925.9</v>
      </c>
      <c r="J55" t="n">
        <v>1154.3</v>
      </c>
      <c r="K55" t="n">
        <v>1460.4</v>
      </c>
      <c r="L55" t="n">
        <v>477.9</v>
      </c>
      <c r="M55" t="n">
        <v>434.9</v>
      </c>
      <c r="N55" t="n">
        <v>392.5</v>
      </c>
      <c r="O55" t="n">
        <v>476.7</v>
      </c>
      <c r="P55" t="n">
        <v>449</v>
      </c>
      <c r="Q55" t="n">
        <v>552.9</v>
      </c>
      <c r="R55" t="n">
        <v>595.1</v>
      </c>
      <c r="S55" t="n">
        <v>648.4</v>
      </c>
      <c r="T55" t="n">
        <v>1564.5</v>
      </c>
      <c r="U55" t="n">
        <v>115.6</v>
      </c>
      <c r="V55" t="n">
        <v>162.8</v>
      </c>
      <c r="W55" t="n">
        <v>121.6</v>
      </c>
      <c r="X55" t="n">
        <v>148.3</v>
      </c>
      <c r="Y55" t="n">
        <v>202.9</v>
      </c>
      <c r="Z55" t="n">
        <v>244.3</v>
      </c>
      <c r="AA55" t="n">
        <v>181</v>
      </c>
      <c r="AB55" t="n">
        <v>165.1</v>
      </c>
      <c r="AC55" t="n">
        <v>107.2</v>
      </c>
      <c r="AD55" t="n">
        <v>110.6</v>
      </c>
      <c r="AE55" t="n">
        <v>99.5</v>
      </c>
      <c r="AF55" t="n">
        <v>111.6</v>
      </c>
    </row>
    <row r="56">
      <c r="A56" t="s">
        <v>23</v>
      </c>
      <c r="B56" t="s">
        <v>382</v>
      </c>
      <c r="C56" t="s">
        <v>217</v>
      </c>
      <c r="D56" t="s">
        <v>383</v>
      </c>
      <c r="E56" t="s">
        <v>218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23</v>
      </c>
      <c r="B57" t="s">
        <v>384</v>
      </c>
      <c r="C57" t="s">
        <v>217</v>
      </c>
      <c r="D57" t="s">
        <v>385</v>
      </c>
      <c r="E57" t="s">
        <v>218</v>
      </c>
      <c r="F57" t="n">
        <v>19241.1</v>
      </c>
      <c r="G57" t="n">
        <v>22255.1</v>
      </c>
      <c r="H57" t="n">
        <v>24006.6</v>
      </c>
      <c r="I57" t="n">
        <v>29682.9</v>
      </c>
      <c r="J57" t="n">
        <v>32663.8</v>
      </c>
      <c r="K57" t="n">
        <v>35316.8</v>
      </c>
      <c r="L57" t="n">
        <v>37741.7</v>
      </c>
      <c r="M57" t="n">
        <v>37939.3</v>
      </c>
      <c r="N57" t="n">
        <v>43311.9</v>
      </c>
      <c r="O57" t="n">
        <v>47311.4</v>
      </c>
      <c r="P57" t="n">
        <v>41597.3</v>
      </c>
      <c r="Q57" t="n">
        <v>51552.8</v>
      </c>
      <c r="R57" t="n">
        <v>58537.8</v>
      </c>
      <c r="S57" t="n">
        <v>55579.4</v>
      </c>
      <c r="T57" t="n">
        <v>47892</v>
      </c>
      <c r="U57" t="n">
        <v>37607.7</v>
      </c>
      <c r="V57" t="n">
        <v>28212.9</v>
      </c>
      <c r="W57" t="n">
        <v>22827.5</v>
      </c>
      <c r="X57" t="n">
        <v>20547.7</v>
      </c>
      <c r="Y57" t="n">
        <v>19779.6</v>
      </c>
      <c r="Z57" t="n">
        <v>19572.6</v>
      </c>
      <c r="AA57" t="n">
        <v>19832</v>
      </c>
      <c r="AB57" t="n">
        <v>21372.9</v>
      </c>
      <c r="AC57" t="n">
        <v>20465.4</v>
      </c>
      <c r="AD57" t="n">
        <v>20315.3</v>
      </c>
      <c r="AE57" t="n">
        <v>20607.1</v>
      </c>
      <c r="AF57" t="n">
        <v>25455.4</v>
      </c>
    </row>
    <row r="58">
      <c r="A58" t="s">
        <v>23</v>
      </c>
      <c r="B58" t="s">
        <v>386</v>
      </c>
      <c r="C58" t="s">
        <v>217</v>
      </c>
      <c r="D58" t="s">
        <v>387</v>
      </c>
      <c r="E58" t="s">
        <v>218</v>
      </c>
      <c r="F58" t="n">
        <v>19241.1</v>
      </c>
      <c r="G58" t="n">
        <v>22255.1</v>
      </c>
      <c r="H58" t="n">
        <v>24006.6</v>
      </c>
      <c r="I58" t="n">
        <v>29682.9</v>
      </c>
      <c r="J58" t="n">
        <v>32663.8</v>
      </c>
      <c r="K58" t="n">
        <v>35316.8</v>
      </c>
      <c r="L58" t="n">
        <v>37741.7</v>
      </c>
      <c r="M58" t="n">
        <v>37939.3</v>
      </c>
      <c r="N58" t="n">
        <v>43311.9</v>
      </c>
      <c r="O58" t="n">
        <v>47311.4</v>
      </c>
      <c r="P58" t="n">
        <v>41597.3</v>
      </c>
      <c r="Q58" t="n">
        <v>51552.8</v>
      </c>
      <c r="R58" t="n">
        <v>58537.8</v>
      </c>
      <c r="S58" t="n">
        <v>55579.4</v>
      </c>
      <c r="T58" t="n">
        <v>47892</v>
      </c>
      <c r="U58" t="n">
        <v>37607.7</v>
      </c>
      <c r="V58" t="n">
        <v>28212.9</v>
      </c>
      <c r="W58" t="n">
        <v>22827.5</v>
      </c>
      <c r="X58" t="n">
        <v>20547.7</v>
      </c>
      <c r="Y58" t="n">
        <v>19779.6</v>
      </c>
      <c r="Z58" t="n">
        <v>19572.6</v>
      </c>
      <c r="AA58" t="n">
        <v>19832</v>
      </c>
      <c r="AB58" t="n">
        <v>21372.9</v>
      </c>
      <c r="AC58" t="n">
        <v>20465.4</v>
      </c>
      <c r="AD58" t="n">
        <v>20315.3</v>
      </c>
      <c r="AE58" t="n">
        <v>20607.1</v>
      </c>
      <c r="AF58" t="n">
        <v>25455.4</v>
      </c>
    </row>
    <row r="59">
      <c r="A59" t="s">
        <v>23</v>
      </c>
      <c r="B59" t="s">
        <v>388</v>
      </c>
      <c r="C59" t="s">
        <v>217</v>
      </c>
      <c r="D59" t="s">
        <v>389</v>
      </c>
      <c r="E59" t="s">
        <v>218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26</v>
      </c>
      <c r="B2" t="s">
        <v>197</v>
      </c>
      <c r="C2" t="s">
        <v>217</v>
      </c>
      <c r="D2" t="s">
        <v>199</v>
      </c>
      <c r="E2" t="s">
        <v>218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</row>
    <row r="3">
      <c r="A3" t="s">
        <v>26</v>
      </c>
      <c r="B3" t="s">
        <v>276</v>
      </c>
      <c r="C3" t="s">
        <v>217</v>
      </c>
      <c r="D3" t="s">
        <v>277</v>
      </c>
      <c r="E3" t="s">
        <v>218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>
      <c r="A4" t="s">
        <v>26</v>
      </c>
      <c r="B4" t="s">
        <v>278</v>
      </c>
      <c r="C4" t="s">
        <v>217</v>
      </c>
      <c r="D4" t="s">
        <v>279</v>
      </c>
      <c r="E4" t="s">
        <v>218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</row>
    <row r="5">
      <c r="A5" t="s">
        <v>26</v>
      </c>
      <c r="B5" t="s">
        <v>280</v>
      </c>
      <c r="C5" t="s">
        <v>217</v>
      </c>
      <c r="D5" t="s">
        <v>281</v>
      </c>
      <c r="E5" t="s">
        <v>218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26</v>
      </c>
      <c r="B6" t="s">
        <v>282</v>
      </c>
      <c r="C6" t="s">
        <v>217</v>
      </c>
      <c r="D6" t="s">
        <v>283</v>
      </c>
      <c r="E6" t="s">
        <v>218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26</v>
      </c>
      <c r="B7" t="s">
        <v>284</v>
      </c>
      <c r="C7" t="s">
        <v>217</v>
      </c>
      <c r="D7" t="s">
        <v>285</v>
      </c>
      <c r="E7" t="s">
        <v>218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26</v>
      </c>
      <c r="B8" t="s">
        <v>286</v>
      </c>
      <c r="C8" t="s">
        <v>217</v>
      </c>
      <c r="D8" t="s">
        <v>287</v>
      </c>
      <c r="E8" t="s">
        <v>218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26</v>
      </c>
      <c r="B9" t="s">
        <v>288</v>
      </c>
      <c r="C9" t="s">
        <v>217</v>
      </c>
      <c r="D9" t="s">
        <v>289</v>
      </c>
      <c r="E9" t="s">
        <v>218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26</v>
      </c>
      <c r="B10" t="s">
        <v>290</v>
      </c>
      <c r="C10" t="s">
        <v>217</v>
      </c>
      <c r="D10" t="s">
        <v>291</v>
      </c>
      <c r="E10" t="s">
        <v>218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26</v>
      </c>
      <c r="B11" t="s">
        <v>292</v>
      </c>
      <c r="C11" t="s">
        <v>217</v>
      </c>
      <c r="D11" t="s">
        <v>293</v>
      </c>
      <c r="E11" t="s">
        <v>218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26</v>
      </c>
      <c r="B12" t="s">
        <v>294</v>
      </c>
      <c r="C12" t="s">
        <v>217</v>
      </c>
      <c r="D12" t="s">
        <v>295</v>
      </c>
      <c r="E12" t="s">
        <v>218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26</v>
      </c>
      <c r="B13" t="s">
        <v>296</v>
      </c>
      <c r="C13" t="s">
        <v>217</v>
      </c>
      <c r="D13" t="s">
        <v>297</v>
      </c>
      <c r="E13" t="s">
        <v>218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26</v>
      </c>
      <c r="B14" t="s">
        <v>298</v>
      </c>
      <c r="C14" t="s">
        <v>217</v>
      </c>
      <c r="D14" t="s">
        <v>299</v>
      </c>
      <c r="E14" t="s">
        <v>218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26</v>
      </c>
      <c r="B15" t="s">
        <v>300</v>
      </c>
      <c r="C15" t="s">
        <v>217</v>
      </c>
      <c r="D15" t="s">
        <v>301</v>
      </c>
      <c r="E15" t="s">
        <v>218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26</v>
      </c>
      <c r="B16" t="s">
        <v>302</v>
      </c>
      <c r="C16" t="s">
        <v>217</v>
      </c>
      <c r="D16" t="s">
        <v>303</v>
      </c>
      <c r="E16" t="s">
        <v>218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26</v>
      </c>
      <c r="B17" t="s">
        <v>304</v>
      </c>
      <c r="C17" t="s">
        <v>217</v>
      </c>
      <c r="D17" t="s">
        <v>305</v>
      </c>
      <c r="E17" t="s">
        <v>218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26</v>
      </c>
      <c r="B18" t="s">
        <v>306</v>
      </c>
      <c r="C18" t="s">
        <v>217</v>
      </c>
      <c r="D18" t="s">
        <v>307</v>
      </c>
      <c r="E18" t="s">
        <v>218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26</v>
      </c>
      <c r="B19" t="s">
        <v>308</v>
      </c>
      <c r="C19" t="s">
        <v>217</v>
      </c>
      <c r="D19" t="s">
        <v>309</v>
      </c>
      <c r="E19" t="s">
        <v>218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26</v>
      </c>
      <c r="B20" t="s">
        <v>310</v>
      </c>
      <c r="C20" t="s">
        <v>217</v>
      </c>
      <c r="D20" t="s">
        <v>311</v>
      </c>
      <c r="E20" t="s">
        <v>218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>
      <c r="A21" t="s">
        <v>26</v>
      </c>
      <c r="B21" t="s">
        <v>312</v>
      </c>
      <c r="C21" t="s">
        <v>217</v>
      </c>
      <c r="D21" t="s">
        <v>313</v>
      </c>
      <c r="E21" t="s">
        <v>218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>
      <c r="A22" t="s">
        <v>26</v>
      </c>
      <c r="B22" t="s">
        <v>314</v>
      </c>
      <c r="C22" t="s">
        <v>217</v>
      </c>
      <c r="D22" t="s">
        <v>315</v>
      </c>
      <c r="E22" t="s">
        <v>218</v>
      </c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</row>
    <row r="23">
      <c r="A23" t="s">
        <v>26</v>
      </c>
      <c r="B23" t="s">
        <v>316</v>
      </c>
      <c r="C23" t="s">
        <v>217</v>
      </c>
      <c r="D23" t="s">
        <v>317</v>
      </c>
      <c r="E23" t="s">
        <v>218</v>
      </c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</row>
    <row r="24">
      <c r="A24" t="s">
        <v>26</v>
      </c>
      <c r="B24" t="s">
        <v>318</v>
      </c>
      <c r="C24" t="s">
        <v>217</v>
      </c>
      <c r="D24" t="s">
        <v>319</v>
      </c>
      <c r="E24" t="s">
        <v>218</v>
      </c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</row>
    <row r="25">
      <c r="A25" t="s">
        <v>26</v>
      </c>
      <c r="B25" t="s">
        <v>320</v>
      </c>
      <c r="C25" t="s">
        <v>217</v>
      </c>
      <c r="D25" t="s">
        <v>321</v>
      </c>
      <c r="E25" t="s">
        <v>218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26</v>
      </c>
      <c r="B26" t="s">
        <v>322</v>
      </c>
      <c r="C26" t="s">
        <v>217</v>
      </c>
      <c r="D26" t="s">
        <v>323</v>
      </c>
      <c r="E26" t="s">
        <v>218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26</v>
      </c>
      <c r="B27" t="s">
        <v>324</v>
      </c>
      <c r="C27" t="s">
        <v>217</v>
      </c>
      <c r="D27" t="s">
        <v>325</v>
      </c>
      <c r="E27" t="s">
        <v>218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26</v>
      </c>
      <c r="B28" t="s">
        <v>326</v>
      </c>
      <c r="C28" t="s">
        <v>217</v>
      </c>
      <c r="D28" t="s">
        <v>327</v>
      </c>
      <c r="E28" t="s">
        <v>218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</row>
    <row r="29">
      <c r="A29" t="s">
        <v>26</v>
      </c>
      <c r="B29" t="s">
        <v>328</v>
      </c>
      <c r="C29" t="s">
        <v>217</v>
      </c>
      <c r="D29" t="s">
        <v>329</v>
      </c>
      <c r="E29" t="s">
        <v>218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26</v>
      </c>
      <c r="B30" t="s">
        <v>330</v>
      </c>
      <c r="C30" t="s">
        <v>217</v>
      </c>
      <c r="D30" t="s">
        <v>331</v>
      </c>
      <c r="E30" t="s">
        <v>218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26</v>
      </c>
      <c r="B31" t="s">
        <v>332</v>
      </c>
      <c r="C31" t="s">
        <v>217</v>
      </c>
      <c r="D31" t="s">
        <v>333</v>
      </c>
      <c r="E31" t="s">
        <v>218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26</v>
      </c>
      <c r="B32" t="s">
        <v>334</v>
      </c>
      <c r="C32" t="s">
        <v>217</v>
      </c>
      <c r="D32" t="s">
        <v>335</v>
      </c>
      <c r="E32" t="s">
        <v>218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26</v>
      </c>
      <c r="B33" t="s">
        <v>336</v>
      </c>
      <c r="C33" t="s">
        <v>217</v>
      </c>
      <c r="D33" t="s">
        <v>337</v>
      </c>
      <c r="E33" t="s">
        <v>218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26</v>
      </c>
      <c r="B34" t="s">
        <v>338</v>
      </c>
      <c r="C34" t="s">
        <v>217</v>
      </c>
      <c r="D34" t="s">
        <v>339</v>
      </c>
      <c r="E34" t="s">
        <v>218</v>
      </c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</row>
    <row r="35">
      <c r="A35" t="s">
        <v>26</v>
      </c>
      <c r="B35" t="s">
        <v>340</v>
      </c>
      <c r="C35" t="s">
        <v>217</v>
      </c>
      <c r="D35" t="s">
        <v>341</v>
      </c>
      <c r="E35" t="s">
        <v>218</v>
      </c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</row>
    <row r="36">
      <c r="A36" t="s">
        <v>26</v>
      </c>
      <c r="B36" t="s">
        <v>342</v>
      </c>
      <c r="C36" t="s">
        <v>217</v>
      </c>
      <c r="D36" t="s">
        <v>343</v>
      </c>
      <c r="E36" t="s">
        <v>218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26</v>
      </c>
      <c r="B37" t="s">
        <v>344</v>
      </c>
      <c r="C37" t="s">
        <v>217</v>
      </c>
      <c r="D37" t="s">
        <v>345</v>
      </c>
      <c r="E37" t="s">
        <v>218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26</v>
      </c>
      <c r="B38" t="s">
        <v>346</v>
      </c>
      <c r="C38" t="s">
        <v>217</v>
      </c>
      <c r="D38" t="s">
        <v>347</v>
      </c>
      <c r="E38" t="s">
        <v>218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26</v>
      </c>
      <c r="B39" t="s">
        <v>348</v>
      </c>
      <c r="C39" t="s">
        <v>217</v>
      </c>
      <c r="D39" t="s">
        <v>349</v>
      </c>
      <c r="E39" t="s">
        <v>218</v>
      </c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</row>
    <row r="40">
      <c r="A40" t="s">
        <v>26</v>
      </c>
      <c r="B40" t="s">
        <v>350</v>
      </c>
      <c r="C40" t="s">
        <v>217</v>
      </c>
      <c r="D40" t="s">
        <v>351</v>
      </c>
      <c r="E40" t="s">
        <v>218</v>
      </c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</row>
    <row r="41">
      <c r="A41" t="s">
        <v>26</v>
      </c>
      <c r="B41" t="s">
        <v>352</v>
      </c>
      <c r="C41" t="s">
        <v>217</v>
      </c>
      <c r="D41" t="s">
        <v>353</v>
      </c>
      <c r="E41" t="s">
        <v>218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26</v>
      </c>
      <c r="B42" t="s">
        <v>354</v>
      </c>
      <c r="C42" t="s">
        <v>217</v>
      </c>
      <c r="D42" t="s">
        <v>355</v>
      </c>
      <c r="E42" t="s">
        <v>218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</row>
    <row r="43">
      <c r="A43" t="s">
        <v>26</v>
      </c>
      <c r="B43" t="s">
        <v>356</v>
      </c>
      <c r="C43" t="s">
        <v>217</v>
      </c>
      <c r="D43" t="s">
        <v>357</v>
      </c>
      <c r="E43" t="s">
        <v>218</v>
      </c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</row>
    <row r="44">
      <c r="A44" t="s">
        <v>26</v>
      </c>
      <c r="B44" t="s">
        <v>358</v>
      </c>
      <c r="C44" t="s">
        <v>217</v>
      </c>
      <c r="D44" t="s">
        <v>359</v>
      </c>
      <c r="E44" t="s">
        <v>218</v>
      </c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</row>
    <row r="45">
      <c r="A45" t="s">
        <v>26</v>
      </c>
      <c r="B45" t="s">
        <v>360</v>
      </c>
      <c r="C45" t="s">
        <v>217</v>
      </c>
      <c r="D45" t="s">
        <v>361</v>
      </c>
      <c r="E45" t="s">
        <v>218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</row>
    <row r="46">
      <c r="A46" t="s">
        <v>26</v>
      </c>
      <c r="B46" t="s">
        <v>362</v>
      </c>
      <c r="C46" t="s">
        <v>217</v>
      </c>
      <c r="D46" t="s">
        <v>363</v>
      </c>
      <c r="E46" t="s">
        <v>218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</row>
    <row r="47">
      <c r="A47" t="s">
        <v>26</v>
      </c>
      <c r="B47" t="s">
        <v>364</v>
      </c>
      <c r="C47" t="s">
        <v>217</v>
      </c>
      <c r="D47" t="s">
        <v>365</v>
      </c>
      <c r="E47" t="s">
        <v>218</v>
      </c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</row>
    <row r="48">
      <c r="A48" t="s">
        <v>26</v>
      </c>
      <c r="B48" t="s">
        <v>366</v>
      </c>
      <c r="C48" t="s">
        <v>217</v>
      </c>
      <c r="D48" t="s">
        <v>367</v>
      </c>
      <c r="E48" t="s">
        <v>218</v>
      </c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</row>
    <row r="49">
      <c r="A49" t="s">
        <v>26</v>
      </c>
      <c r="B49" t="s">
        <v>368</v>
      </c>
      <c r="C49" t="s">
        <v>217</v>
      </c>
      <c r="D49" t="s">
        <v>369</v>
      </c>
      <c r="E49" t="s">
        <v>218</v>
      </c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</row>
    <row r="50">
      <c r="A50" t="s">
        <v>26</v>
      </c>
      <c r="B50" t="s">
        <v>370</v>
      </c>
      <c r="C50" t="s">
        <v>217</v>
      </c>
      <c r="D50" t="s">
        <v>371</v>
      </c>
      <c r="E50" t="s">
        <v>218</v>
      </c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</row>
    <row r="51">
      <c r="A51" t="s">
        <v>26</v>
      </c>
      <c r="B51" t="s">
        <v>372</v>
      </c>
      <c r="C51" t="s">
        <v>217</v>
      </c>
      <c r="D51" t="s">
        <v>373</v>
      </c>
      <c r="E51" t="s">
        <v>218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26</v>
      </c>
      <c r="B52" t="s">
        <v>374</v>
      </c>
      <c r="C52" t="s">
        <v>217</v>
      </c>
      <c r="D52" t="s">
        <v>375</v>
      </c>
      <c r="E52" t="s">
        <v>218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26</v>
      </c>
      <c r="B53" t="s">
        <v>376</v>
      </c>
      <c r="C53" t="s">
        <v>217</v>
      </c>
      <c r="D53" t="s">
        <v>377</v>
      </c>
      <c r="E53" t="s">
        <v>218</v>
      </c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</row>
    <row r="54">
      <c r="A54" t="s">
        <v>26</v>
      </c>
      <c r="B54" t="s">
        <v>378</v>
      </c>
      <c r="C54" t="s">
        <v>217</v>
      </c>
      <c r="D54" t="s">
        <v>379</v>
      </c>
      <c r="E54" t="s">
        <v>218</v>
      </c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</row>
    <row r="55">
      <c r="A55" t="s">
        <v>26</v>
      </c>
      <c r="B55" t="s">
        <v>380</v>
      </c>
      <c r="C55" t="s">
        <v>217</v>
      </c>
      <c r="D55" t="s">
        <v>381</v>
      </c>
      <c r="E55" t="s">
        <v>218</v>
      </c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</row>
    <row r="56">
      <c r="A56" t="s">
        <v>26</v>
      </c>
      <c r="B56" t="s">
        <v>382</v>
      </c>
      <c r="C56" t="s">
        <v>217</v>
      </c>
      <c r="D56" t="s">
        <v>383</v>
      </c>
      <c r="E56" t="s">
        <v>218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26</v>
      </c>
      <c r="B57" t="s">
        <v>384</v>
      </c>
      <c r="C57" t="s">
        <v>217</v>
      </c>
      <c r="D57" t="s">
        <v>385</v>
      </c>
      <c r="E57" t="s">
        <v>218</v>
      </c>
      <c r="F57"/>
      <c r="G57" t="n">
        <v>505.4</v>
      </c>
      <c r="H57" t="n">
        <v>581.9</v>
      </c>
      <c r="I57" t="n">
        <v>705.4</v>
      </c>
      <c r="J57" t="n">
        <v>731.6</v>
      </c>
      <c r="K57" t="n">
        <v>1145.1</v>
      </c>
      <c r="L57" t="n">
        <v>914.6</v>
      </c>
      <c r="M57" t="n">
        <v>840</v>
      </c>
      <c r="N57" t="n">
        <v>1041.7</v>
      </c>
      <c r="O57" t="n">
        <v>1123.7</v>
      </c>
      <c r="P57" t="n">
        <v>922.3</v>
      </c>
      <c r="Q57" t="n">
        <v>1107.5</v>
      </c>
      <c r="R57" t="n">
        <v>1112</v>
      </c>
      <c r="S57" t="n">
        <v>1258.1</v>
      </c>
      <c r="T57" t="n">
        <v>1152.6</v>
      </c>
      <c r="U57" t="n">
        <v>1083.6</v>
      </c>
      <c r="V57" t="n">
        <v>850.2</v>
      </c>
      <c r="W57" t="n">
        <v>783.1</v>
      </c>
      <c r="X57" t="n">
        <v>623.1</v>
      </c>
      <c r="Y57" t="n">
        <v>556.1</v>
      </c>
      <c r="Z57" t="n">
        <v>698.1</v>
      </c>
      <c r="AA57" t="n">
        <v>581.8</v>
      </c>
      <c r="AB57" t="n">
        <v>667.7</v>
      </c>
      <c r="AC57" t="n">
        <v>745.2</v>
      </c>
      <c r="AD57" t="n">
        <v>740.4</v>
      </c>
      <c r="AE57" t="n">
        <v>879.5</v>
      </c>
      <c r="AF57" t="n">
        <v>1165.8</v>
      </c>
    </row>
    <row r="58">
      <c r="A58" t="s">
        <v>26</v>
      </c>
      <c r="B58" t="s">
        <v>386</v>
      </c>
      <c r="C58" t="s">
        <v>217</v>
      </c>
      <c r="D58" t="s">
        <v>387</v>
      </c>
      <c r="E58" t="s">
        <v>218</v>
      </c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</row>
    <row r="59">
      <c r="A59" t="s">
        <v>26</v>
      </c>
      <c r="B59" t="s">
        <v>388</v>
      </c>
      <c r="C59" t="s">
        <v>217</v>
      </c>
      <c r="D59" t="s">
        <v>389</v>
      </c>
      <c r="E59" t="s">
        <v>218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28</v>
      </c>
      <c r="B2" t="s">
        <v>197</v>
      </c>
      <c r="C2" t="s">
        <v>217</v>
      </c>
      <c r="D2" t="s">
        <v>199</v>
      </c>
      <c r="E2" t="s">
        <v>218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</row>
    <row r="3">
      <c r="A3" t="s">
        <v>28</v>
      </c>
      <c r="B3" t="s">
        <v>276</v>
      </c>
      <c r="C3" t="s">
        <v>217</v>
      </c>
      <c r="D3" t="s">
        <v>277</v>
      </c>
      <c r="E3" t="s">
        <v>218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>
      <c r="A4" t="s">
        <v>28</v>
      </c>
      <c r="B4" t="s">
        <v>278</v>
      </c>
      <c r="C4" t="s">
        <v>217</v>
      </c>
      <c r="D4" t="s">
        <v>279</v>
      </c>
      <c r="E4" t="s">
        <v>218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</row>
    <row r="5">
      <c r="A5" t="s">
        <v>28</v>
      </c>
      <c r="B5" t="s">
        <v>280</v>
      </c>
      <c r="C5" t="s">
        <v>217</v>
      </c>
      <c r="D5" t="s">
        <v>281</v>
      </c>
      <c r="E5" t="s">
        <v>218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28</v>
      </c>
      <c r="B6" t="s">
        <v>282</v>
      </c>
      <c r="C6" t="s">
        <v>217</v>
      </c>
      <c r="D6" t="s">
        <v>283</v>
      </c>
      <c r="E6" t="s">
        <v>218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28</v>
      </c>
      <c r="B7" t="s">
        <v>284</v>
      </c>
      <c r="C7" t="s">
        <v>217</v>
      </c>
      <c r="D7" t="s">
        <v>285</v>
      </c>
      <c r="E7" t="s">
        <v>218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28</v>
      </c>
      <c r="B8" t="s">
        <v>286</v>
      </c>
      <c r="C8" t="s">
        <v>217</v>
      </c>
      <c r="D8" t="s">
        <v>287</v>
      </c>
      <c r="E8" t="s">
        <v>218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28</v>
      </c>
      <c r="B9" t="s">
        <v>288</v>
      </c>
      <c r="C9" t="s">
        <v>217</v>
      </c>
      <c r="D9" t="s">
        <v>289</v>
      </c>
      <c r="E9" t="s">
        <v>218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28</v>
      </c>
      <c r="B10" t="s">
        <v>290</v>
      </c>
      <c r="C10" t="s">
        <v>217</v>
      </c>
      <c r="D10" t="s">
        <v>291</v>
      </c>
      <c r="E10" t="s">
        <v>218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28</v>
      </c>
      <c r="B11" t="s">
        <v>292</v>
      </c>
      <c r="C11" t="s">
        <v>217</v>
      </c>
      <c r="D11" t="s">
        <v>293</v>
      </c>
      <c r="E11" t="s">
        <v>218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28</v>
      </c>
      <c r="B12" t="s">
        <v>294</v>
      </c>
      <c r="C12" t="s">
        <v>217</v>
      </c>
      <c r="D12" t="s">
        <v>295</v>
      </c>
      <c r="E12" t="s">
        <v>218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28</v>
      </c>
      <c r="B13" t="s">
        <v>296</v>
      </c>
      <c r="C13" t="s">
        <v>217</v>
      </c>
      <c r="D13" t="s">
        <v>297</v>
      </c>
      <c r="E13" t="s">
        <v>218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28</v>
      </c>
      <c r="B14" t="s">
        <v>298</v>
      </c>
      <c r="C14" t="s">
        <v>217</v>
      </c>
      <c r="D14" t="s">
        <v>299</v>
      </c>
      <c r="E14" t="s">
        <v>218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28</v>
      </c>
      <c r="B15" t="s">
        <v>300</v>
      </c>
      <c r="C15" t="s">
        <v>217</v>
      </c>
      <c r="D15" t="s">
        <v>301</v>
      </c>
      <c r="E15" t="s">
        <v>218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28</v>
      </c>
      <c r="B16" t="s">
        <v>302</v>
      </c>
      <c r="C16" t="s">
        <v>217</v>
      </c>
      <c r="D16" t="s">
        <v>303</v>
      </c>
      <c r="E16" t="s">
        <v>218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28</v>
      </c>
      <c r="B17" t="s">
        <v>304</v>
      </c>
      <c r="C17" t="s">
        <v>217</v>
      </c>
      <c r="D17" t="s">
        <v>305</v>
      </c>
      <c r="E17" t="s">
        <v>218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28</v>
      </c>
      <c r="B18" t="s">
        <v>306</v>
      </c>
      <c r="C18" t="s">
        <v>217</v>
      </c>
      <c r="D18" t="s">
        <v>307</v>
      </c>
      <c r="E18" t="s">
        <v>218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28</v>
      </c>
      <c r="B19" t="s">
        <v>308</v>
      </c>
      <c r="C19" t="s">
        <v>217</v>
      </c>
      <c r="D19" t="s">
        <v>309</v>
      </c>
      <c r="E19" t="s">
        <v>218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28</v>
      </c>
      <c r="B20" t="s">
        <v>310</v>
      </c>
      <c r="C20" t="s">
        <v>217</v>
      </c>
      <c r="D20" t="s">
        <v>311</v>
      </c>
      <c r="E20" t="s">
        <v>218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>
      <c r="A21" t="s">
        <v>28</v>
      </c>
      <c r="B21" t="s">
        <v>312</v>
      </c>
      <c r="C21" t="s">
        <v>217</v>
      </c>
      <c r="D21" t="s">
        <v>313</v>
      </c>
      <c r="E21" t="s">
        <v>218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>
      <c r="A22" t="s">
        <v>28</v>
      </c>
      <c r="B22" t="s">
        <v>314</v>
      </c>
      <c r="C22" t="s">
        <v>217</v>
      </c>
      <c r="D22" t="s">
        <v>315</v>
      </c>
      <c r="E22" t="s">
        <v>218</v>
      </c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</row>
    <row r="23">
      <c r="A23" t="s">
        <v>28</v>
      </c>
      <c r="B23" t="s">
        <v>316</v>
      </c>
      <c r="C23" t="s">
        <v>217</v>
      </c>
      <c r="D23" t="s">
        <v>317</v>
      </c>
      <c r="E23" t="s">
        <v>218</v>
      </c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</row>
    <row r="24">
      <c r="A24" t="s">
        <v>28</v>
      </c>
      <c r="B24" t="s">
        <v>318</v>
      </c>
      <c r="C24" t="s">
        <v>217</v>
      </c>
      <c r="D24" t="s">
        <v>319</v>
      </c>
      <c r="E24" t="s">
        <v>218</v>
      </c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</row>
    <row r="25">
      <c r="A25" t="s">
        <v>28</v>
      </c>
      <c r="B25" t="s">
        <v>320</v>
      </c>
      <c r="C25" t="s">
        <v>217</v>
      </c>
      <c r="D25" t="s">
        <v>321</v>
      </c>
      <c r="E25" t="s">
        <v>218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28</v>
      </c>
      <c r="B26" t="s">
        <v>322</v>
      </c>
      <c r="C26" t="s">
        <v>217</v>
      </c>
      <c r="D26" t="s">
        <v>323</v>
      </c>
      <c r="E26" t="s">
        <v>218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28</v>
      </c>
      <c r="B27" t="s">
        <v>324</v>
      </c>
      <c r="C27" t="s">
        <v>217</v>
      </c>
      <c r="D27" t="s">
        <v>325</v>
      </c>
      <c r="E27" t="s">
        <v>218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28</v>
      </c>
      <c r="B28" t="s">
        <v>326</v>
      </c>
      <c r="C28" t="s">
        <v>217</v>
      </c>
      <c r="D28" t="s">
        <v>327</v>
      </c>
      <c r="E28" t="s">
        <v>218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</row>
    <row r="29">
      <c r="A29" t="s">
        <v>28</v>
      </c>
      <c r="B29" t="s">
        <v>328</v>
      </c>
      <c r="C29" t="s">
        <v>217</v>
      </c>
      <c r="D29" t="s">
        <v>329</v>
      </c>
      <c r="E29" t="s">
        <v>218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28</v>
      </c>
      <c r="B30" t="s">
        <v>330</v>
      </c>
      <c r="C30" t="s">
        <v>217</v>
      </c>
      <c r="D30" t="s">
        <v>331</v>
      </c>
      <c r="E30" t="s">
        <v>218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28</v>
      </c>
      <c r="B31" t="s">
        <v>332</v>
      </c>
      <c r="C31" t="s">
        <v>217</v>
      </c>
      <c r="D31" t="s">
        <v>333</v>
      </c>
      <c r="E31" t="s">
        <v>218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28</v>
      </c>
      <c r="B32" t="s">
        <v>334</v>
      </c>
      <c r="C32" t="s">
        <v>217</v>
      </c>
      <c r="D32" t="s">
        <v>335</v>
      </c>
      <c r="E32" t="s">
        <v>218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28</v>
      </c>
      <c r="B33" t="s">
        <v>336</v>
      </c>
      <c r="C33" t="s">
        <v>217</v>
      </c>
      <c r="D33" t="s">
        <v>337</v>
      </c>
      <c r="E33" t="s">
        <v>218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28</v>
      </c>
      <c r="B34" t="s">
        <v>338</v>
      </c>
      <c r="C34" t="s">
        <v>217</v>
      </c>
      <c r="D34" t="s">
        <v>339</v>
      </c>
      <c r="E34" t="s">
        <v>218</v>
      </c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</row>
    <row r="35">
      <c r="A35" t="s">
        <v>28</v>
      </c>
      <c r="B35" t="s">
        <v>340</v>
      </c>
      <c r="C35" t="s">
        <v>217</v>
      </c>
      <c r="D35" t="s">
        <v>341</v>
      </c>
      <c r="E35" t="s">
        <v>218</v>
      </c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</row>
    <row r="36">
      <c r="A36" t="s">
        <v>28</v>
      </c>
      <c r="B36" t="s">
        <v>342</v>
      </c>
      <c r="C36" t="s">
        <v>217</v>
      </c>
      <c r="D36" t="s">
        <v>343</v>
      </c>
      <c r="E36" t="s">
        <v>218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28</v>
      </c>
      <c r="B37" t="s">
        <v>344</v>
      </c>
      <c r="C37" t="s">
        <v>217</v>
      </c>
      <c r="D37" t="s">
        <v>345</v>
      </c>
      <c r="E37" t="s">
        <v>218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28</v>
      </c>
      <c r="B38" t="s">
        <v>346</v>
      </c>
      <c r="C38" t="s">
        <v>217</v>
      </c>
      <c r="D38" t="s">
        <v>347</v>
      </c>
      <c r="E38" t="s">
        <v>218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28</v>
      </c>
      <c r="B39" t="s">
        <v>348</v>
      </c>
      <c r="C39" t="s">
        <v>217</v>
      </c>
      <c r="D39" t="s">
        <v>349</v>
      </c>
      <c r="E39" t="s">
        <v>218</v>
      </c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</row>
    <row r="40">
      <c r="A40" t="s">
        <v>28</v>
      </c>
      <c r="B40" t="s">
        <v>350</v>
      </c>
      <c r="C40" t="s">
        <v>217</v>
      </c>
      <c r="D40" t="s">
        <v>351</v>
      </c>
      <c r="E40" t="s">
        <v>218</v>
      </c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</row>
    <row r="41">
      <c r="A41" t="s">
        <v>28</v>
      </c>
      <c r="B41" t="s">
        <v>352</v>
      </c>
      <c r="C41" t="s">
        <v>217</v>
      </c>
      <c r="D41" t="s">
        <v>353</v>
      </c>
      <c r="E41" t="s">
        <v>218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28</v>
      </c>
      <c r="B42" t="s">
        <v>354</v>
      </c>
      <c r="C42" t="s">
        <v>217</v>
      </c>
      <c r="D42" t="s">
        <v>355</v>
      </c>
      <c r="E42" t="s">
        <v>218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</row>
    <row r="43">
      <c r="A43" t="s">
        <v>28</v>
      </c>
      <c r="B43" t="s">
        <v>356</v>
      </c>
      <c r="C43" t="s">
        <v>217</v>
      </c>
      <c r="D43" t="s">
        <v>357</v>
      </c>
      <c r="E43" t="s">
        <v>218</v>
      </c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</row>
    <row r="44">
      <c r="A44" t="s">
        <v>28</v>
      </c>
      <c r="B44" t="s">
        <v>358</v>
      </c>
      <c r="C44" t="s">
        <v>217</v>
      </c>
      <c r="D44" t="s">
        <v>359</v>
      </c>
      <c r="E44" t="s">
        <v>218</v>
      </c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</row>
    <row r="45">
      <c r="A45" t="s">
        <v>28</v>
      </c>
      <c r="B45" t="s">
        <v>360</v>
      </c>
      <c r="C45" t="s">
        <v>217</v>
      </c>
      <c r="D45" t="s">
        <v>361</v>
      </c>
      <c r="E45" t="s">
        <v>218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</row>
    <row r="46">
      <c r="A46" t="s">
        <v>28</v>
      </c>
      <c r="B46" t="s">
        <v>362</v>
      </c>
      <c r="C46" t="s">
        <v>217</v>
      </c>
      <c r="D46" t="s">
        <v>363</v>
      </c>
      <c r="E46" t="s">
        <v>218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</row>
    <row r="47">
      <c r="A47" t="s">
        <v>28</v>
      </c>
      <c r="B47" t="s">
        <v>364</v>
      </c>
      <c r="C47" t="s">
        <v>217</v>
      </c>
      <c r="D47" t="s">
        <v>365</v>
      </c>
      <c r="E47" t="s">
        <v>218</v>
      </c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</row>
    <row r="48">
      <c r="A48" t="s">
        <v>28</v>
      </c>
      <c r="B48" t="s">
        <v>366</v>
      </c>
      <c r="C48" t="s">
        <v>217</v>
      </c>
      <c r="D48" t="s">
        <v>367</v>
      </c>
      <c r="E48" t="s">
        <v>218</v>
      </c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</row>
    <row r="49">
      <c r="A49" t="s">
        <v>28</v>
      </c>
      <c r="B49" t="s">
        <v>368</v>
      </c>
      <c r="C49" t="s">
        <v>217</v>
      </c>
      <c r="D49" t="s">
        <v>369</v>
      </c>
      <c r="E49" t="s">
        <v>218</v>
      </c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</row>
    <row r="50">
      <c r="A50" t="s">
        <v>28</v>
      </c>
      <c r="B50" t="s">
        <v>370</v>
      </c>
      <c r="C50" t="s">
        <v>217</v>
      </c>
      <c r="D50" t="s">
        <v>371</v>
      </c>
      <c r="E50" t="s">
        <v>218</v>
      </c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</row>
    <row r="51">
      <c r="A51" t="s">
        <v>28</v>
      </c>
      <c r="B51" t="s">
        <v>372</v>
      </c>
      <c r="C51" t="s">
        <v>217</v>
      </c>
      <c r="D51" t="s">
        <v>373</v>
      </c>
      <c r="E51" t="s">
        <v>218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28</v>
      </c>
      <c r="B52" t="s">
        <v>374</v>
      </c>
      <c r="C52" t="s">
        <v>217</v>
      </c>
      <c r="D52" t="s">
        <v>375</v>
      </c>
      <c r="E52" t="s">
        <v>218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28</v>
      </c>
      <c r="B53" t="s">
        <v>376</v>
      </c>
      <c r="C53" t="s">
        <v>217</v>
      </c>
      <c r="D53" t="s">
        <v>377</v>
      </c>
      <c r="E53" t="s">
        <v>218</v>
      </c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</row>
    <row r="54">
      <c r="A54" t="s">
        <v>28</v>
      </c>
      <c r="B54" t="s">
        <v>378</v>
      </c>
      <c r="C54" t="s">
        <v>217</v>
      </c>
      <c r="D54" t="s">
        <v>379</v>
      </c>
      <c r="E54" t="s">
        <v>218</v>
      </c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</row>
    <row r="55">
      <c r="A55" t="s">
        <v>28</v>
      </c>
      <c r="B55" t="s">
        <v>380</v>
      </c>
      <c r="C55" t="s">
        <v>217</v>
      </c>
      <c r="D55" t="s">
        <v>381</v>
      </c>
      <c r="E55" t="s">
        <v>218</v>
      </c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</row>
    <row r="56">
      <c r="A56" t="s">
        <v>28</v>
      </c>
      <c r="B56" t="s">
        <v>382</v>
      </c>
      <c r="C56" t="s">
        <v>217</v>
      </c>
      <c r="D56" t="s">
        <v>383</v>
      </c>
      <c r="E56" t="s">
        <v>218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28</v>
      </c>
      <c r="B57" t="s">
        <v>384</v>
      </c>
      <c r="C57" t="s">
        <v>217</v>
      </c>
      <c r="D57" t="s">
        <v>385</v>
      </c>
      <c r="E57" t="s">
        <v>218</v>
      </c>
      <c r="F57"/>
      <c r="G57" t="n">
        <v>628.7</v>
      </c>
      <c r="H57" t="n">
        <v>723.9</v>
      </c>
      <c r="I57" t="n">
        <v>877.5</v>
      </c>
      <c r="J57" t="n">
        <v>910.1</v>
      </c>
      <c r="K57" t="n">
        <v>1424.4</v>
      </c>
      <c r="L57" t="n">
        <v>1096</v>
      </c>
      <c r="M57" t="n">
        <v>1216.7</v>
      </c>
      <c r="N57" t="n">
        <v>1398.8</v>
      </c>
      <c r="O57" t="n">
        <v>1459.5</v>
      </c>
      <c r="P57" t="n">
        <v>1465.8</v>
      </c>
      <c r="Q57" t="n">
        <v>1731.8</v>
      </c>
      <c r="R57" t="n">
        <v>1833.8</v>
      </c>
      <c r="S57" t="n">
        <v>1951.5</v>
      </c>
      <c r="T57" t="n">
        <v>1851.2</v>
      </c>
      <c r="U57" t="n">
        <v>1313</v>
      </c>
      <c r="V57" t="n">
        <v>855.9</v>
      </c>
      <c r="W57" t="n">
        <v>717.5</v>
      </c>
      <c r="X57" t="n">
        <v>649.3</v>
      </c>
      <c r="Y57" t="n">
        <v>751</v>
      </c>
      <c r="Z57" t="n">
        <v>864.4</v>
      </c>
      <c r="AA57" t="n">
        <v>911.3</v>
      </c>
      <c r="AB57" t="n">
        <v>1097.2</v>
      </c>
      <c r="AC57" t="n">
        <v>1306.1</v>
      </c>
      <c r="AD57" t="n">
        <v>1209.5</v>
      </c>
      <c r="AE57" t="n">
        <v>1296.1</v>
      </c>
      <c r="AF57" t="n">
        <v>1659.4</v>
      </c>
    </row>
    <row r="58">
      <c r="A58" t="s">
        <v>28</v>
      </c>
      <c r="B58" t="s">
        <v>386</v>
      </c>
      <c r="C58" t="s">
        <v>217</v>
      </c>
      <c r="D58" t="s">
        <v>387</v>
      </c>
      <c r="E58" t="s">
        <v>218</v>
      </c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</row>
    <row r="59">
      <c r="A59" t="s">
        <v>28</v>
      </c>
      <c r="B59" t="s">
        <v>388</v>
      </c>
      <c r="C59" t="s">
        <v>217</v>
      </c>
      <c r="D59" t="s">
        <v>389</v>
      </c>
      <c r="E59" t="s">
        <v>218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30</v>
      </c>
      <c r="B2" t="s">
        <v>197</v>
      </c>
      <c r="C2" t="s">
        <v>217</v>
      </c>
      <c r="D2" t="s">
        <v>199</v>
      </c>
      <c r="E2" t="s">
        <v>218</v>
      </c>
      <c r="F2" t="n">
        <v>0</v>
      </c>
      <c r="G2" t="n">
        <v>0</v>
      </c>
      <c r="H2" t="n">
        <v>0.1</v>
      </c>
      <c r="I2" t="n">
        <v>0.1</v>
      </c>
      <c r="J2" t="n">
        <v>0.1</v>
      </c>
      <c r="K2" t="n">
        <v>0.2</v>
      </c>
      <c r="L2" t="n">
        <v>0.1</v>
      </c>
      <c r="M2" t="n">
        <v>0.1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30</v>
      </c>
      <c r="B3" t="s">
        <v>276</v>
      </c>
      <c r="C3" t="s">
        <v>217</v>
      </c>
      <c r="D3" t="s">
        <v>277</v>
      </c>
      <c r="E3" t="s">
        <v>218</v>
      </c>
      <c r="F3"/>
      <c r="G3" t="n">
        <v>0.1</v>
      </c>
      <c r="H3" t="n">
        <v>0.1</v>
      </c>
      <c r="I3" t="n">
        <v>0.2</v>
      </c>
      <c r="J3" t="n">
        <v>0.2</v>
      </c>
      <c r="K3" t="n">
        <v>0.3</v>
      </c>
      <c r="L3" t="n">
        <v>0.3</v>
      </c>
      <c r="M3" t="n">
        <v>0.3</v>
      </c>
      <c r="N3" t="n">
        <v>0.3</v>
      </c>
      <c r="O3" t="n">
        <v>0.2</v>
      </c>
      <c r="P3" t="n">
        <v>0.3</v>
      </c>
      <c r="Q3" t="n">
        <v>0.7</v>
      </c>
      <c r="R3" t="n">
        <v>2.2</v>
      </c>
      <c r="S3" t="n">
        <v>1.1</v>
      </c>
      <c r="T3" t="n">
        <v>1.9</v>
      </c>
      <c r="U3" t="n">
        <v>2.8</v>
      </c>
      <c r="V3" t="n">
        <v>2</v>
      </c>
      <c r="W3" t="n">
        <v>5.3</v>
      </c>
      <c r="X3" t="n">
        <v>3.9</v>
      </c>
      <c r="Y3" t="n">
        <v>1.6</v>
      </c>
      <c r="Z3" t="n">
        <v>1.2</v>
      </c>
      <c r="AA3" t="n">
        <v>1.2</v>
      </c>
      <c r="AB3" t="n">
        <v>1.3</v>
      </c>
      <c r="AC3" t="n">
        <v>1.8</v>
      </c>
      <c r="AD3" t="n">
        <v>2.2</v>
      </c>
      <c r="AE3" t="n">
        <v>1.2</v>
      </c>
      <c r="AF3" t="n">
        <v>2.1</v>
      </c>
    </row>
    <row r="4">
      <c r="A4" t="s">
        <v>30</v>
      </c>
      <c r="B4" t="s">
        <v>278</v>
      </c>
      <c r="C4" t="s">
        <v>217</v>
      </c>
      <c r="D4" t="s">
        <v>279</v>
      </c>
      <c r="E4" t="s">
        <v>218</v>
      </c>
      <c r="F4"/>
      <c r="G4" t="n">
        <v>14.5</v>
      </c>
      <c r="H4" t="n">
        <v>18</v>
      </c>
      <c r="I4" t="n">
        <v>21.5</v>
      </c>
      <c r="J4" t="n">
        <v>24.6</v>
      </c>
      <c r="K4" t="n">
        <v>41.5</v>
      </c>
      <c r="L4" t="n">
        <v>29.3</v>
      </c>
      <c r="M4" t="n">
        <v>25.2</v>
      </c>
      <c r="N4" t="n">
        <v>23.8</v>
      </c>
      <c r="O4" t="n">
        <v>21.4</v>
      </c>
      <c r="P4" t="n">
        <v>37.7</v>
      </c>
      <c r="Q4" t="n">
        <v>43.4</v>
      </c>
      <c r="R4" t="n">
        <v>46.1</v>
      </c>
      <c r="S4" t="n">
        <v>37.3</v>
      </c>
      <c r="T4" t="n">
        <v>40.2</v>
      </c>
      <c r="U4" t="n">
        <v>83.9</v>
      </c>
      <c r="V4" t="n">
        <v>76.6</v>
      </c>
      <c r="W4" t="n">
        <v>79.4</v>
      </c>
      <c r="X4" t="n">
        <v>84.8</v>
      </c>
      <c r="Y4" t="n">
        <v>101.7</v>
      </c>
      <c r="Z4" t="n">
        <v>73.4</v>
      </c>
      <c r="AA4" t="n">
        <v>82.2</v>
      </c>
      <c r="AB4" t="n">
        <v>88.9</v>
      </c>
      <c r="AC4" t="n">
        <v>122.2</v>
      </c>
      <c r="AD4" t="n">
        <v>126.8</v>
      </c>
      <c r="AE4" t="n">
        <v>127.9</v>
      </c>
      <c r="AF4" t="n">
        <v>195</v>
      </c>
    </row>
    <row r="5">
      <c r="A5" t="s">
        <v>30</v>
      </c>
      <c r="B5" t="s">
        <v>280</v>
      </c>
      <c r="C5" t="s">
        <v>217</v>
      </c>
      <c r="D5" t="s">
        <v>281</v>
      </c>
      <c r="E5" t="s">
        <v>218</v>
      </c>
      <c r="F5"/>
      <c r="G5" t="n">
        <v>2.8</v>
      </c>
      <c r="H5" t="n">
        <v>3.2</v>
      </c>
      <c r="I5" t="n">
        <v>4</v>
      </c>
      <c r="J5" t="n">
        <v>4.6</v>
      </c>
      <c r="K5" t="n">
        <v>7</v>
      </c>
      <c r="L5" t="n">
        <v>6.3</v>
      </c>
      <c r="M5" t="n">
        <v>7</v>
      </c>
      <c r="N5" t="n">
        <v>6.5</v>
      </c>
      <c r="O5" t="n">
        <v>5.3</v>
      </c>
      <c r="P5" t="n">
        <v>4.5</v>
      </c>
      <c r="Q5" t="n">
        <v>6.1</v>
      </c>
      <c r="R5" t="n">
        <v>8</v>
      </c>
      <c r="S5" t="n">
        <v>7</v>
      </c>
      <c r="T5" t="n">
        <v>8.6</v>
      </c>
      <c r="U5" t="n">
        <v>21.8</v>
      </c>
      <c r="V5" t="n">
        <v>17.3</v>
      </c>
      <c r="W5" t="n">
        <v>18</v>
      </c>
      <c r="X5" t="n">
        <v>17.7</v>
      </c>
      <c r="Y5" t="n">
        <v>24.1</v>
      </c>
      <c r="Z5" t="n">
        <v>15.5</v>
      </c>
      <c r="AA5" t="n">
        <v>16.2</v>
      </c>
      <c r="AB5" t="n">
        <v>17.6</v>
      </c>
      <c r="AC5" t="n">
        <v>28.8</v>
      </c>
      <c r="AD5" t="n">
        <v>25.7</v>
      </c>
      <c r="AE5" t="n">
        <v>26.8</v>
      </c>
      <c r="AF5" t="n">
        <v>40.1</v>
      </c>
    </row>
    <row r="6">
      <c r="A6" t="s">
        <v>30</v>
      </c>
      <c r="B6" t="s">
        <v>282</v>
      </c>
      <c r="C6" t="s">
        <v>217</v>
      </c>
      <c r="D6" t="s">
        <v>283</v>
      </c>
      <c r="E6" t="s">
        <v>218</v>
      </c>
      <c r="F6"/>
      <c r="G6" t="n">
        <v>1.4</v>
      </c>
      <c r="H6" t="n">
        <v>2</v>
      </c>
      <c r="I6" t="n">
        <v>2.2</v>
      </c>
      <c r="J6" t="n">
        <v>2.5</v>
      </c>
      <c r="K6" t="n">
        <v>5.3</v>
      </c>
      <c r="L6" t="n">
        <v>1.9</v>
      </c>
      <c r="M6" t="n">
        <v>1.7</v>
      </c>
      <c r="N6" t="n">
        <v>1.4</v>
      </c>
      <c r="O6" t="n">
        <v>1.4</v>
      </c>
      <c r="P6" t="n">
        <v>2.2</v>
      </c>
      <c r="Q6" t="n">
        <v>4.1</v>
      </c>
      <c r="R6" t="n">
        <v>5.6</v>
      </c>
      <c r="S6" t="n">
        <v>2</v>
      </c>
      <c r="T6" t="n">
        <v>2.9</v>
      </c>
      <c r="U6" t="n">
        <v>5.3</v>
      </c>
      <c r="V6" t="n">
        <v>5.1</v>
      </c>
      <c r="W6" t="n">
        <v>5.1</v>
      </c>
      <c r="X6" t="n">
        <v>5.9</v>
      </c>
      <c r="Y6" t="n">
        <v>6.4</v>
      </c>
      <c r="Z6" t="n">
        <v>4.8</v>
      </c>
      <c r="AA6" t="n">
        <v>4.8</v>
      </c>
      <c r="AB6" t="n">
        <v>5.2</v>
      </c>
      <c r="AC6" t="n">
        <v>6.4</v>
      </c>
      <c r="AD6" t="n">
        <v>6</v>
      </c>
      <c r="AE6" t="n">
        <v>6.9</v>
      </c>
      <c r="AF6" t="n">
        <v>10.7</v>
      </c>
    </row>
    <row r="7">
      <c r="A7" t="s">
        <v>30</v>
      </c>
      <c r="B7" t="s">
        <v>284</v>
      </c>
      <c r="C7" t="s">
        <v>217</v>
      </c>
      <c r="D7" t="s">
        <v>285</v>
      </c>
      <c r="E7" t="s">
        <v>218</v>
      </c>
      <c r="F7"/>
      <c r="G7" t="n">
        <v>2.7</v>
      </c>
      <c r="H7" t="n">
        <v>2.8</v>
      </c>
      <c r="I7" t="n">
        <v>3.7</v>
      </c>
      <c r="J7" t="n">
        <v>4.3</v>
      </c>
      <c r="K7" t="n">
        <v>5.5</v>
      </c>
      <c r="L7" t="n">
        <v>6.3</v>
      </c>
      <c r="M7" t="n">
        <v>4.5</v>
      </c>
      <c r="N7" t="n">
        <v>4</v>
      </c>
      <c r="O7" t="n">
        <v>3.9</v>
      </c>
      <c r="P7" t="n">
        <v>4.2</v>
      </c>
      <c r="Q7" t="n">
        <v>6</v>
      </c>
      <c r="R7" t="n">
        <v>7.6</v>
      </c>
      <c r="S7" t="n">
        <v>8</v>
      </c>
      <c r="T7" t="n">
        <v>9.6</v>
      </c>
      <c r="U7" t="n">
        <v>14.9</v>
      </c>
      <c r="V7" t="n">
        <v>15.7</v>
      </c>
      <c r="W7" t="n">
        <v>17.2</v>
      </c>
      <c r="X7" t="n">
        <v>17.4</v>
      </c>
      <c r="Y7" t="n">
        <v>22.3</v>
      </c>
      <c r="Z7" t="n">
        <v>15.7</v>
      </c>
      <c r="AA7" t="n">
        <v>18</v>
      </c>
      <c r="AB7" t="n">
        <v>19.6</v>
      </c>
      <c r="AC7" t="n">
        <v>23.2</v>
      </c>
      <c r="AD7" t="n">
        <v>21.5</v>
      </c>
      <c r="AE7" t="n">
        <v>23.9</v>
      </c>
      <c r="AF7" t="n">
        <v>36.3</v>
      </c>
    </row>
    <row r="8">
      <c r="A8" t="s">
        <v>30</v>
      </c>
      <c r="B8" t="s">
        <v>286</v>
      </c>
      <c r="C8" t="s">
        <v>217</v>
      </c>
      <c r="D8" t="s">
        <v>287</v>
      </c>
      <c r="E8" t="s">
        <v>218</v>
      </c>
      <c r="F8"/>
      <c r="G8" t="n">
        <v>1.8</v>
      </c>
      <c r="H8" t="n">
        <v>3.2</v>
      </c>
      <c r="I8" t="n">
        <v>3.1</v>
      </c>
      <c r="J8" t="n">
        <v>3.5</v>
      </c>
      <c r="K8" t="n">
        <v>9.3</v>
      </c>
      <c r="L8" t="n">
        <v>0.8</v>
      </c>
      <c r="M8" t="n">
        <v>0.5</v>
      </c>
      <c r="N8" t="n">
        <v>0.5</v>
      </c>
      <c r="O8" t="n">
        <v>0.5</v>
      </c>
      <c r="P8" t="n">
        <v>0.4</v>
      </c>
      <c r="Q8" t="n">
        <v>0.6</v>
      </c>
      <c r="R8" t="n">
        <v>1.3</v>
      </c>
      <c r="S8" t="n">
        <v>0.7</v>
      </c>
      <c r="T8" t="n">
        <v>0.8</v>
      </c>
      <c r="U8" t="n">
        <v>1.7</v>
      </c>
      <c r="V8" t="n">
        <v>1.8</v>
      </c>
      <c r="W8" t="n">
        <v>2.2</v>
      </c>
      <c r="X8" t="n">
        <v>2.4</v>
      </c>
      <c r="Y8" t="n">
        <v>3.1</v>
      </c>
      <c r="Z8" t="n">
        <v>2.6</v>
      </c>
      <c r="AA8" t="n">
        <v>6.7</v>
      </c>
      <c r="AB8" t="n">
        <v>6.7</v>
      </c>
      <c r="AC8" t="n">
        <v>4.1</v>
      </c>
      <c r="AD8" t="n">
        <v>7.1</v>
      </c>
      <c r="AE8" t="n">
        <v>7.2</v>
      </c>
      <c r="AF8" t="n">
        <v>15.5</v>
      </c>
    </row>
    <row r="9">
      <c r="A9" t="s">
        <v>30</v>
      </c>
      <c r="B9" t="s">
        <v>288</v>
      </c>
      <c r="C9" t="s">
        <v>217</v>
      </c>
      <c r="D9" t="s">
        <v>289</v>
      </c>
      <c r="E9" t="s">
        <v>218</v>
      </c>
      <c r="F9"/>
      <c r="G9" t="n">
        <v>0.4</v>
      </c>
      <c r="H9" t="n">
        <v>0.5</v>
      </c>
      <c r="I9" t="n">
        <v>0.6</v>
      </c>
      <c r="J9" t="n">
        <v>0.7</v>
      </c>
      <c r="K9" t="n">
        <v>1</v>
      </c>
      <c r="L9" t="n">
        <v>1.1</v>
      </c>
      <c r="M9" t="n">
        <v>0.9</v>
      </c>
      <c r="N9" t="n">
        <v>0.8</v>
      </c>
      <c r="O9" t="n">
        <v>0.9</v>
      </c>
      <c r="P9" t="n">
        <v>0.7</v>
      </c>
      <c r="Q9" t="n">
        <v>1.2</v>
      </c>
      <c r="R9" t="n">
        <v>1.5</v>
      </c>
      <c r="S9" t="n">
        <v>2.7</v>
      </c>
      <c r="T9" t="n">
        <v>1.1</v>
      </c>
      <c r="U9" t="n">
        <v>2.6</v>
      </c>
      <c r="V9" t="n">
        <v>2.4</v>
      </c>
      <c r="W9" t="n">
        <v>2.9</v>
      </c>
      <c r="X9" t="n">
        <v>3.6</v>
      </c>
      <c r="Y9" t="n">
        <v>3.3</v>
      </c>
      <c r="Z9" t="n">
        <v>2.4</v>
      </c>
      <c r="AA9" t="n">
        <v>2.5</v>
      </c>
      <c r="AB9" t="n">
        <v>2.7</v>
      </c>
      <c r="AC9" t="n">
        <v>3.6</v>
      </c>
      <c r="AD9" t="n">
        <v>3.4</v>
      </c>
      <c r="AE9" t="n">
        <v>3.9</v>
      </c>
      <c r="AF9" t="n">
        <v>5.6</v>
      </c>
    </row>
    <row r="10">
      <c r="A10" t="s">
        <v>30</v>
      </c>
      <c r="B10" t="s">
        <v>290</v>
      </c>
      <c r="C10" t="s">
        <v>217</v>
      </c>
      <c r="D10" t="s">
        <v>291</v>
      </c>
      <c r="E10" t="s">
        <v>218</v>
      </c>
      <c r="F10"/>
      <c r="G10" t="n">
        <v>0.5</v>
      </c>
      <c r="H10" t="n">
        <v>0.7</v>
      </c>
      <c r="I10" t="n">
        <v>0.8</v>
      </c>
      <c r="J10" t="n">
        <v>0.9</v>
      </c>
      <c r="K10" t="n">
        <v>1.4</v>
      </c>
      <c r="L10" t="n">
        <v>1.5</v>
      </c>
      <c r="M10" t="n">
        <v>1.2</v>
      </c>
      <c r="N10" t="n">
        <v>1.1</v>
      </c>
      <c r="O10" t="n">
        <v>1.2</v>
      </c>
      <c r="P10" t="n">
        <v>1.3</v>
      </c>
      <c r="Q10" t="n">
        <v>1.7</v>
      </c>
      <c r="R10" t="n">
        <v>2.8</v>
      </c>
      <c r="S10" t="n">
        <v>3.3</v>
      </c>
      <c r="T10" t="n">
        <v>2.7</v>
      </c>
      <c r="U10" t="n">
        <v>4.8</v>
      </c>
      <c r="V10" t="n">
        <v>3.5</v>
      </c>
      <c r="W10" t="n">
        <v>4.3</v>
      </c>
      <c r="X10" t="n">
        <v>7.9</v>
      </c>
      <c r="Y10" t="n">
        <v>5.1</v>
      </c>
      <c r="Z10" t="n">
        <v>5.2</v>
      </c>
      <c r="AA10" t="n">
        <v>4.4</v>
      </c>
      <c r="AB10" t="n">
        <v>4.6</v>
      </c>
      <c r="AC10" t="n">
        <v>8.2</v>
      </c>
      <c r="AD10" t="n">
        <v>8.4</v>
      </c>
      <c r="AE10" t="n">
        <v>9.6</v>
      </c>
      <c r="AF10" t="n">
        <v>12.5</v>
      </c>
    </row>
    <row r="11">
      <c r="A11" t="s">
        <v>30</v>
      </c>
      <c r="B11" t="s">
        <v>292</v>
      </c>
      <c r="C11" t="s">
        <v>217</v>
      </c>
      <c r="D11" t="s">
        <v>293</v>
      </c>
      <c r="E11" t="s">
        <v>218</v>
      </c>
      <c r="F11"/>
      <c r="G11" t="n">
        <v>0.1</v>
      </c>
      <c r="H11" t="n">
        <v>0.2</v>
      </c>
      <c r="I11" t="n">
        <v>0.2</v>
      </c>
      <c r="J11" t="n">
        <v>0.2</v>
      </c>
      <c r="K11" t="n">
        <v>0.4</v>
      </c>
      <c r="L11" t="n">
        <v>0.4</v>
      </c>
      <c r="M11" t="n">
        <v>0.3</v>
      </c>
      <c r="N11" t="n">
        <v>0.3</v>
      </c>
      <c r="O11" t="n">
        <v>0.3</v>
      </c>
      <c r="P11" t="n">
        <v>0.6</v>
      </c>
      <c r="Q11" t="n">
        <v>0.5</v>
      </c>
      <c r="R11" t="n">
        <v>1.3</v>
      </c>
      <c r="S11" t="n">
        <v>0.6</v>
      </c>
      <c r="T11" t="n">
        <v>1.6</v>
      </c>
      <c r="U11" t="n">
        <v>2.2</v>
      </c>
      <c r="V11" t="n">
        <v>1.1</v>
      </c>
      <c r="W11" t="n">
        <v>1.4</v>
      </c>
      <c r="X11" t="n">
        <v>4.3</v>
      </c>
      <c r="Y11" t="n">
        <v>1.8</v>
      </c>
      <c r="Z11" t="n">
        <v>2.8</v>
      </c>
      <c r="AA11" t="n">
        <v>1.9</v>
      </c>
      <c r="AB11" t="n">
        <v>1.9</v>
      </c>
      <c r="AC11" t="n">
        <v>4.6</v>
      </c>
      <c r="AD11" t="n">
        <v>5</v>
      </c>
      <c r="AE11" t="n">
        <v>5.7</v>
      </c>
      <c r="AF11" t="n">
        <v>6.9</v>
      </c>
    </row>
    <row r="12">
      <c r="A12" t="s">
        <v>30</v>
      </c>
      <c r="B12" t="s">
        <v>294</v>
      </c>
      <c r="C12" t="s">
        <v>217</v>
      </c>
      <c r="D12" t="s">
        <v>295</v>
      </c>
      <c r="E12" t="s">
        <v>218</v>
      </c>
      <c r="F12"/>
      <c r="G12" t="n">
        <v>0.2</v>
      </c>
      <c r="H12" t="n">
        <v>0.3</v>
      </c>
      <c r="I12" t="n">
        <v>0.4</v>
      </c>
      <c r="J12" t="n">
        <v>0.4</v>
      </c>
      <c r="K12" t="n">
        <v>0.9</v>
      </c>
      <c r="L12" t="n">
        <v>0.6</v>
      </c>
      <c r="M12" t="n">
        <v>1.2</v>
      </c>
      <c r="N12" t="n">
        <v>1.2</v>
      </c>
      <c r="O12" t="n">
        <v>0.8</v>
      </c>
      <c r="P12" t="n">
        <v>0.8</v>
      </c>
      <c r="Q12" t="n">
        <v>0.9</v>
      </c>
      <c r="R12" t="n">
        <v>2</v>
      </c>
      <c r="S12" t="n">
        <v>2.8</v>
      </c>
      <c r="T12" t="n">
        <v>1.4</v>
      </c>
      <c r="U12" t="n">
        <v>2.5</v>
      </c>
      <c r="V12" t="n">
        <v>2.5</v>
      </c>
      <c r="W12" t="n">
        <v>2</v>
      </c>
      <c r="X12" t="n">
        <v>3.5</v>
      </c>
      <c r="Y12" t="n">
        <v>2.4</v>
      </c>
      <c r="Z12" t="n">
        <v>1.3</v>
      </c>
      <c r="AA12" t="n">
        <v>2.6</v>
      </c>
      <c r="AB12" t="n">
        <v>2.5</v>
      </c>
      <c r="AC12" t="n">
        <v>2.6</v>
      </c>
      <c r="AD12" t="n">
        <v>12.8</v>
      </c>
      <c r="AE12" t="n">
        <v>3</v>
      </c>
      <c r="AF12" t="n">
        <v>3.3</v>
      </c>
    </row>
    <row r="13">
      <c r="A13" t="s">
        <v>30</v>
      </c>
      <c r="B13" t="s">
        <v>296</v>
      </c>
      <c r="C13" t="s">
        <v>217</v>
      </c>
      <c r="D13" t="s">
        <v>297</v>
      </c>
      <c r="E13" t="s">
        <v>218</v>
      </c>
      <c r="F13"/>
      <c r="G13" t="n">
        <v>1.3</v>
      </c>
      <c r="H13" t="n">
        <v>1.7</v>
      </c>
      <c r="I13" t="n">
        <v>2</v>
      </c>
      <c r="J13" t="n">
        <v>2.3</v>
      </c>
      <c r="K13" t="n">
        <v>4</v>
      </c>
      <c r="L13" t="n">
        <v>2.6</v>
      </c>
      <c r="M13" t="n">
        <v>2.6</v>
      </c>
      <c r="N13" t="n">
        <v>2.5</v>
      </c>
      <c r="O13" t="n">
        <v>2.3</v>
      </c>
      <c r="P13" t="n">
        <v>7</v>
      </c>
      <c r="Q13" t="n">
        <v>6.2</v>
      </c>
      <c r="R13" t="n">
        <v>6.6</v>
      </c>
      <c r="S13" t="n">
        <v>3.7</v>
      </c>
      <c r="T13" t="n">
        <v>3.1</v>
      </c>
      <c r="U13" t="n">
        <v>11.9</v>
      </c>
      <c r="V13" t="n">
        <v>9.5</v>
      </c>
      <c r="W13" t="n">
        <v>7.8</v>
      </c>
      <c r="X13" t="n">
        <v>6.8</v>
      </c>
      <c r="Y13" t="n">
        <v>9.6</v>
      </c>
      <c r="Z13" t="n">
        <v>7.6</v>
      </c>
      <c r="AA13" t="n">
        <v>6.3</v>
      </c>
      <c r="AB13" t="n">
        <v>7.2</v>
      </c>
      <c r="AC13" t="n">
        <v>10.1</v>
      </c>
      <c r="AD13" t="n">
        <v>10.1</v>
      </c>
      <c r="AE13" t="n">
        <v>11.5</v>
      </c>
      <c r="AF13" t="n">
        <v>19.7</v>
      </c>
    </row>
    <row r="14">
      <c r="A14" t="s">
        <v>30</v>
      </c>
      <c r="B14" t="s">
        <v>298</v>
      </c>
      <c r="C14" t="s">
        <v>217</v>
      </c>
      <c r="D14" t="s">
        <v>299</v>
      </c>
      <c r="E14" t="s">
        <v>218</v>
      </c>
      <c r="F14"/>
      <c r="G14" t="n">
        <v>2.4</v>
      </c>
      <c r="H14" t="n">
        <v>2.5</v>
      </c>
      <c r="I14" t="n">
        <v>3.3</v>
      </c>
      <c r="J14" t="n">
        <v>3.8</v>
      </c>
      <c r="K14" t="n">
        <v>4.9</v>
      </c>
      <c r="L14" t="n">
        <v>6</v>
      </c>
      <c r="M14" t="n">
        <v>3.5</v>
      </c>
      <c r="N14" t="n">
        <v>3.9</v>
      </c>
      <c r="O14" t="n">
        <v>3.4</v>
      </c>
      <c r="P14" t="n">
        <v>13.6</v>
      </c>
      <c r="Q14" t="n">
        <v>9.3</v>
      </c>
      <c r="R14" t="n">
        <v>6.6</v>
      </c>
      <c r="S14" t="n">
        <v>4.9</v>
      </c>
      <c r="T14" t="n">
        <v>5.5</v>
      </c>
      <c r="U14" t="n">
        <v>12.1</v>
      </c>
      <c r="V14" t="n">
        <v>12.4</v>
      </c>
      <c r="W14" t="n">
        <v>13.5</v>
      </c>
      <c r="X14" t="n">
        <v>14.1</v>
      </c>
      <c r="Y14" t="n">
        <v>17.1</v>
      </c>
      <c r="Z14" t="n">
        <v>12</v>
      </c>
      <c r="AA14" t="n">
        <v>13</v>
      </c>
      <c r="AB14" t="n">
        <v>14.4</v>
      </c>
      <c r="AC14" t="n">
        <v>19.2</v>
      </c>
      <c r="AD14" t="n">
        <v>17.8</v>
      </c>
      <c r="AE14" t="n">
        <v>19.5</v>
      </c>
      <c r="AF14" t="n">
        <v>28.6</v>
      </c>
    </row>
    <row r="15">
      <c r="A15" t="s">
        <v>30</v>
      </c>
      <c r="B15" t="s">
        <v>300</v>
      </c>
      <c r="C15" t="s">
        <v>217</v>
      </c>
      <c r="D15" t="s">
        <v>301</v>
      </c>
      <c r="E15" t="s">
        <v>218</v>
      </c>
      <c r="F15"/>
      <c r="G15" t="n">
        <v>2.5</v>
      </c>
      <c r="H15" t="n">
        <v>2.7</v>
      </c>
      <c r="I15" t="n">
        <v>3.5</v>
      </c>
      <c r="J15" t="n">
        <v>4</v>
      </c>
      <c r="K15" t="n">
        <v>5.3</v>
      </c>
      <c r="L15" t="n">
        <v>6.2</v>
      </c>
      <c r="M15" t="n">
        <v>3.8</v>
      </c>
      <c r="N15" t="n">
        <v>4.2</v>
      </c>
      <c r="O15" t="n">
        <v>3.7</v>
      </c>
      <c r="P15" t="n">
        <v>14.3</v>
      </c>
      <c r="Q15" t="n">
        <v>12.1</v>
      </c>
      <c r="R15" t="n">
        <v>7.3</v>
      </c>
      <c r="S15" t="n">
        <v>5.2</v>
      </c>
      <c r="T15" t="n">
        <v>6</v>
      </c>
      <c r="U15" t="n">
        <v>13.4</v>
      </c>
      <c r="V15" t="n">
        <v>13.2</v>
      </c>
      <c r="W15" t="n">
        <v>14.3</v>
      </c>
      <c r="X15" t="n">
        <v>14.7</v>
      </c>
      <c r="Y15" t="n">
        <v>17.9</v>
      </c>
      <c r="Z15" t="n">
        <v>13.1</v>
      </c>
      <c r="AA15" t="n">
        <v>13.6</v>
      </c>
      <c r="AB15" t="n">
        <v>15</v>
      </c>
      <c r="AC15" t="n">
        <v>22.1</v>
      </c>
      <c r="AD15" t="n">
        <v>21.4</v>
      </c>
      <c r="AE15" t="n">
        <v>23.4</v>
      </c>
      <c r="AF15" t="n">
        <v>33</v>
      </c>
    </row>
    <row r="16">
      <c r="A16" t="s">
        <v>30</v>
      </c>
      <c r="B16" t="s">
        <v>302</v>
      </c>
      <c r="C16" t="s">
        <v>217</v>
      </c>
      <c r="D16" t="s">
        <v>303</v>
      </c>
      <c r="E16" t="s">
        <v>218</v>
      </c>
      <c r="F16"/>
      <c r="G16" t="n">
        <v>0.1</v>
      </c>
      <c r="H16" t="n">
        <v>0.2</v>
      </c>
      <c r="I16" t="n">
        <v>0.2</v>
      </c>
      <c r="J16" t="n">
        <v>0.2</v>
      </c>
      <c r="K16" t="n">
        <v>0.4</v>
      </c>
      <c r="L16" t="n">
        <v>0.2</v>
      </c>
      <c r="M16" t="n">
        <v>0.3</v>
      </c>
      <c r="N16" t="n">
        <v>0.3</v>
      </c>
      <c r="O16" t="n">
        <v>0.3</v>
      </c>
      <c r="P16" t="n">
        <v>0.7</v>
      </c>
      <c r="Q16" t="n">
        <v>2.8</v>
      </c>
      <c r="R16" t="n">
        <v>0.7</v>
      </c>
      <c r="S16" t="n">
        <v>0.3</v>
      </c>
      <c r="T16" t="n">
        <v>0.5</v>
      </c>
      <c r="U16" t="n">
        <v>1.3</v>
      </c>
      <c r="V16" t="n">
        <v>0.8</v>
      </c>
      <c r="W16" t="n">
        <v>0.8</v>
      </c>
      <c r="X16" t="n">
        <v>0.6</v>
      </c>
      <c r="Y16" t="n">
        <v>0.8</v>
      </c>
      <c r="Z16" t="n">
        <v>1.1</v>
      </c>
      <c r="AA16" t="n">
        <v>0.6</v>
      </c>
      <c r="AB16" t="n">
        <v>0.6</v>
      </c>
      <c r="AC16" t="n">
        <v>2.9</v>
      </c>
      <c r="AD16" t="n">
        <v>3.6</v>
      </c>
      <c r="AE16" t="n">
        <v>3.9</v>
      </c>
      <c r="AF16" t="n">
        <v>4.4</v>
      </c>
    </row>
    <row r="17">
      <c r="A17" t="s">
        <v>30</v>
      </c>
      <c r="B17" t="s">
        <v>304</v>
      </c>
      <c r="C17" t="s">
        <v>217</v>
      </c>
      <c r="D17" t="s">
        <v>305</v>
      </c>
      <c r="E17" t="s">
        <v>218</v>
      </c>
      <c r="F17"/>
      <c r="G17" t="n">
        <v>0.4</v>
      </c>
      <c r="H17" t="n">
        <v>0.4</v>
      </c>
      <c r="I17" t="n">
        <v>0.6</v>
      </c>
      <c r="J17" t="n">
        <v>0.6</v>
      </c>
      <c r="K17" t="n">
        <v>0.9</v>
      </c>
      <c r="L17" t="n">
        <v>0.9</v>
      </c>
      <c r="M17" t="n">
        <v>0.8</v>
      </c>
      <c r="N17" t="n">
        <v>0.7</v>
      </c>
      <c r="O17" t="n">
        <v>0.7</v>
      </c>
      <c r="P17" t="n">
        <v>1</v>
      </c>
      <c r="Q17" t="n">
        <v>1.7</v>
      </c>
      <c r="R17" t="n">
        <v>1.3</v>
      </c>
      <c r="S17" t="n">
        <v>1.4</v>
      </c>
      <c r="T17" t="n">
        <v>1</v>
      </c>
      <c r="U17" t="n">
        <v>2.1</v>
      </c>
      <c r="V17" t="n">
        <v>2.3</v>
      </c>
      <c r="W17" t="n">
        <v>2.4</v>
      </c>
      <c r="X17" t="n">
        <v>2.5</v>
      </c>
      <c r="Y17" t="n">
        <v>3</v>
      </c>
      <c r="Z17" t="n">
        <v>2</v>
      </c>
      <c r="AA17" t="n">
        <v>3.8</v>
      </c>
      <c r="AB17" t="n">
        <v>4</v>
      </c>
      <c r="AC17" t="n">
        <v>8.3</v>
      </c>
      <c r="AD17" t="n">
        <v>5.9</v>
      </c>
      <c r="AE17" t="n">
        <v>6.6</v>
      </c>
      <c r="AF17" t="n">
        <v>10.3</v>
      </c>
    </row>
    <row r="18">
      <c r="A18" t="s">
        <v>30</v>
      </c>
      <c r="B18" t="s">
        <v>306</v>
      </c>
      <c r="C18" t="s">
        <v>217</v>
      </c>
      <c r="D18" t="s">
        <v>307</v>
      </c>
      <c r="E18" t="s">
        <v>218</v>
      </c>
      <c r="F18"/>
      <c r="G18" t="n">
        <v>0.2</v>
      </c>
      <c r="H18" t="n">
        <v>0.3</v>
      </c>
      <c r="I18" t="n">
        <v>0.3</v>
      </c>
      <c r="J18" t="n">
        <v>0.4</v>
      </c>
      <c r="K18" t="n">
        <v>0.6</v>
      </c>
      <c r="L18" t="n">
        <v>0.5</v>
      </c>
      <c r="M18" t="n">
        <v>0.6</v>
      </c>
      <c r="N18" t="n">
        <v>0.4</v>
      </c>
      <c r="O18" t="n">
        <v>0.4</v>
      </c>
      <c r="P18" t="n">
        <v>0.5</v>
      </c>
      <c r="Q18" t="n">
        <v>1.1</v>
      </c>
      <c r="R18" t="n">
        <v>0.6</v>
      </c>
      <c r="S18" t="n">
        <v>1</v>
      </c>
      <c r="T18" t="n">
        <v>1.5</v>
      </c>
      <c r="U18" t="n">
        <v>1.4</v>
      </c>
      <c r="V18" t="n">
        <v>1.1</v>
      </c>
      <c r="W18" t="n">
        <v>1.2</v>
      </c>
      <c r="X18" t="n">
        <v>1.3</v>
      </c>
      <c r="Y18" t="n">
        <v>1.6</v>
      </c>
      <c r="Z18" t="n">
        <v>1.1</v>
      </c>
      <c r="AA18" t="n">
        <v>1.3</v>
      </c>
      <c r="AB18" t="n">
        <v>1.4</v>
      </c>
      <c r="AC18" t="n">
        <v>1.9</v>
      </c>
      <c r="AD18" t="n">
        <v>1.6</v>
      </c>
      <c r="AE18" t="n">
        <v>2</v>
      </c>
      <c r="AF18" t="n">
        <v>3.2</v>
      </c>
    </row>
    <row r="19">
      <c r="A19" t="s">
        <v>30</v>
      </c>
      <c r="B19" t="s">
        <v>308</v>
      </c>
      <c r="C19" t="s">
        <v>217</v>
      </c>
      <c r="D19" t="s">
        <v>309</v>
      </c>
      <c r="E19" t="s">
        <v>218</v>
      </c>
      <c r="F19"/>
      <c r="G19" t="n">
        <v>0.7</v>
      </c>
      <c r="H19" t="n">
        <v>0.7</v>
      </c>
      <c r="I19" t="n">
        <v>0.9</v>
      </c>
      <c r="J19" t="n">
        <v>1.1</v>
      </c>
      <c r="K19" t="n">
        <v>1.3</v>
      </c>
      <c r="L19" t="n">
        <v>1.7</v>
      </c>
      <c r="M19" t="n">
        <v>1.3</v>
      </c>
      <c r="N19" t="n">
        <v>1.3</v>
      </c>
      <c r="O19" t="n">
        <v>1.2</v>
      </c>
      <c r="P19" t="n">
        <v>1.5</v>
      </c>
      <c r="Q19" t="n">
        <v>2.9</v>
      </c>
      <c r="R19" t="n">
        <v>3</v>
      </c>
      <c r="S19" t="n">
        <v>2.2</v>
      </c>
      <c r="T19" t="n">
        <v>2.6</v>
      </c>
      <c r="U19" t="n">
        <v>4.1</v>
      </c>
      <c r="V19" t="n">
        <v>4.6</v>
      </c>
      <c r="W19" t="n">
        <v>4.9</v>
      </c>
      <c r="X19" t="n">
        <v>4.7</v>
      </c>
      <c r="Y19" t="n">
        <v>6.2</v>
      </c>
      <c r="Z19" t="n">
        <v>4.5</v>
      </c>
      <c r="AA19" t="n">
        <v>4.5</v>
      </c>
      <c r="AB19" t="n">
        <v>5.1</v>
      </c>
      <c r="AC19" t="n">
        <v>6.5</v>
      </c>
      <c r="AD19" t="n">
        <v>6.3</v>
      </c>
      <c r="AE19" t="n">
        <v>7</v>
      </c>
      <c r="AF19" t="n">
        <v>10.4</v>
      </c>
    </row>
    <row r="20">
      <c r="A20" t="s">
        <v>30</v>
      </c>
      <c r="B20" t="s">
        <v>310</v>
      </c>
      <c r="C20" t="s">
        <v>217</v>
      </c>
      <c r="D20" t="s">
        <v>311</v>
      </c>
      <c r="E20" t="s">
        <v>218</v>
      </c>
      <c r="F20"/>
      <c r="G20" t="n">
        <v>3</v>
      </c>
      <c r="H20" t="n">
        <v>3.4</v>
      </c>
      <c r="I20" t="n">
        <v>4.2</v>
      </c>
      <c r="J20" t="n">
        <v>4.8</v>
      </c>
      <c r="K20" t="n">
        <v>7.3</v>
      </c>
      <c r="L20" t="n">
        <v>6.3</v>
      </c>
      <c r="M20" t="n">
        <v>4</v>
      </c>
      <c r="N20" t="n">
        <v>4.1</v>
      </c>
      <c r="O20" t="n">
        <v>4</v>
      </c>
      <c r="P20" t="n">
        <v>4.6</v>
      </c>
      <c r="Q20" t="n">
        <v>5.6</v>
      </c>
      <c r="R20" t="n">
        <v>5.5</v>
      </c>
      <c r="S20" t="n">
        <v>3.9</v>
      </c>
      <c r="T20" t="n">
        <v>5.8</v>
      </c>
      <c r="U20" t="n">
        <v>11.3</v>
      </c>
      <c r="V20" t="n">
        <v>14</v>
      </c>
      <c r="W20" t="n">
        <v>17.5</v>
      </c>
      <c r="X20" t="n">
        <v>18.1</v>
      </c>
      <c r="Y20" t="n">
        <v>31.9</v>
      </c>
      <c r="Z20" t="n">
        <v>20.3</v>
      </c>
      <c r="AA20" t="n">
        <v>23.3</v>
      </c>
      <c r="AB20" t="n">
        <v>23</v>
      </c>
      <c r="AC20" t="n">
        <v>27.8</v>
      </c>
      <c r="AD20" t="n">
        <v>36.6</v>
      </c>
      <c r="AE20" t="n">
        <v>37.9</v>
      </c>
      <c r="AF20" t="n">
        <v>47.5</v>
      </c>
    </row>
    <row r="21">
      <c r="A21" t="s">
        <v>30</v>
      </c>
      <c r="B21" t="s">
        <v>312</v>
      </c>
      <c r="C21" t="s">
        <v>217</v>
      </c>
      <c r="D21" t="s">
        <v>313</v>
      </c>
      <c r="E21" t="s">
        <v>218</v>
      </c>
      <c r="F21"/>
      <c r="G21" t="n">
        <v>3.6</v>
      </c>
      <c r="H21" t="n">
        <v>4.1</v>
      </c>
      <c r="I21" t="n">
        <v>5.1</v>
      </c>
      <c r="J21" t="n">
        <v>5.8</v>
      </c>
      <c r="K21" t="n">
        <v>8.7</v>
      </c>
      <c r="L21" t="n">
        <v>8.8</v>
      </c>
      <c r="M21" t="n">
        <v>5.6</v>
      </c>
      <c r="N21" t="n">
        <v>5.2</v>
      </c>
      <c r="O21" t="n">
        <v>4.8</v>
      </c>
      <c r="P21" t="n">
        <v>6.4</v>
      </c>
      <c r="Q21" t="n">
        <v>79.9</v>
      </c>
      <c r="R21" t="n">
        <v>61.4</v>
      </c>
      <c r="S21" t="n">
        <v>6.3</v>
      </c>
      <c r="T21" t="n">
        <v>10.6</v>
      </c>
      <c r="U21" t="n">
        <v>17.2</v>
      </c>
      <c r="V21" t="n">
        <v>18.2</v>
      </c>
      <c r="W21" t="n">
        <v>22.2</v>
      </c>
      <c r="X21" t="n">
        <v>22.5</v>
      </c>
      <c r="Y21" t="n">
        <v>42.9</v>
      </c>
      <c r="Z21" t="n">
        <v>31.7</v>
      </c>
      <c r="AA21" t="n">
        <v>30.5</v>
      </c>
      <c r="AB21" t="n">
        <v>29.9</v>
      </c>
      <c r="AC21" t="n">
        <v>35.3</v>
      </c>
      <c r="AD21" t="n">
        <v>44.1</v>
      </c>
      <c r="AE21" t="n">
        <v>45.8</v>
      </c>
      <c r="AF21" t="n">
        <v>75.5</v>
      </c>
    </row>
    <row r="22">
      <c r="A22" t="s">
        <v>30</v>
      </c>
      <c r="B22" t="s">
        <v>314</v>
      </c>
      <c r="C22" t="s">
        <v>217</v>
      </c>
      <c r="D22" t="s">
        <v>315</v>
      </c>
      <c r="E22" t="s">
        <v>218</v>
      </c>
      <c r="F22"/>
      <c r="G22" t="n">
        <v>0.6</v>
      </c>
      <c r="H22" t="n">
        <v>0.7</v>
      </c>
      <c r="I22" t="n">
        <v>0.9</v>
      </c>
      <c r="J22" t="n">
        <v>1</v>
      </c>
      <c r="K22" t="n">
        <v>1.4</v>
      </c>
      <c r="L22" t="n">
        <v>2.5</v>
      </c>
      <c r="M22" t="n">
        <v>1.6</v>
      </c>
      <c r="N22" t="n">
        <v>1.1</v>
      </c>
      <c r="O22" t="n">
        <v>0.8</v>
      </c>
      <c r="P22" t="n">
        <v>1.8</v>
      </c>
      <c r="Q22" t="n">
        <v>74.3</v>
      </c>
      <c r="R22" t="n">
        <v>55.9</v>
      </c>
      <c r="S22" t="n">
        <v>2.4</v>
      </c>
      <c r="T22" t="n">
        <v>4.8</v>
      </c>
      <c r="U22" t="n">
        <v>5.9</v>
      </c>
      <c r="V22" t="n">
        <v>4.2</v>
      </c>
      <c r="W22" t="n">
        <v>4.7</v>
      </c>
      <c r="X22" t="n">
        <v>4.4</v>
      </c>
      <c r="Y22" t="n">
        <v>11</v>
      </c>
      <c r="Z22" t="n">
        <v>11.4</v>
      </c>
      <c r="AA22" t="n">
        <v>7.2</v>
      </c>
      <c r="AB22" t="n">
        <v>6.9</v>
      </c>
      <c r="AC22" t="n">
        <v>7.5</v>
      </c>
      <c r="AD22" t="n">
        <v>7.5</v>
      </c>
      <c r="AE22" t="n">
        <v>7.9</v>
      </c>
      <c r="AF22" t="n">
        <v>28</v>
      </c>
    </row>
    <row r="23">
      <c r="A23" t="s">
        <v>30</v>
      </c>
      <c r="B23" t="s">
        <v>316</v>
      </c>
      <c r="C23" t="s">
        <v>217</v>
      </c>
      <c r="D23" t="s">
        <v>317</v>
      </c>
      <c r="E23" t="s">
        <v>218</v>
      </c>
      <c r="F23"/>
      <c r="G23" t="n">
        <v>0.8</v>
      </c>
      <c r="H23" t="n">
        <v>0.9</v>
      </c>
      <c r="I23" t="n">
        <v>1.1</v>
      </c>
      <c r="J23" t="n">
        <v>1.3</v>
      </c>
      <c r="K23" t="n">
        <v>2.1</v>
      </c>
      <c r="L23" t="n">
        <v>2.7</v>
      </c>
      <c r="M23" t="n">
        <v>4.9</v>
      </c>
      <c r="N23" t="n">
        <v>4.1</v>
      </c>
      <c r="O23" t="n">
        <v>3.1</v>
      </c>
      <c r="P23" t="n">
        <v>5</v>
      </c>
      <c r="Q23" t="n">
        <v>10.4</v>
      </c>
      <c r="R23" t="n">
        <v>12.6</v>
      </c>
      <c r="S23" t="n">
        <v>5.3</v>
      </c>
      <c r="T23" t="n">
        <v>3.6</v>
      </c>
      <c r="U23" t="n">
        <v>7.6</v>
      </c>
      <c r="V23" t="n">
        <v>5.4</v>
      </c>
      <c r="W23" t="n">
        <v>12</v>
      </c>
      <c r="X23" t="n">
        <v>9.9</v>
      </c>
      <c r="Y23" t="n">
        <v>5.9</v>
      </c>
      <c r="Z23" t="n">
        <v>5.1</v>
      </c>
      <c r="AA23" t="n">
        <v>5.4</v>
      </c>
      <c r="AB23" t="n">
        <v>5.6</v>
      </c>
      <c r="AC23" t="n">
        <v>11.3</v>
      </c>
      <c r="AD23" t="n">
        <v>11.7</v>
      </c>
      <c r="AE23" t="n">
        <v>14.8</v>
      </c>
      <c r="AF23" t="n">
        <v>26.9</v>
      </c>
    </row>
    <row r="24">
      <c r="A24" t="s">
        <v>30</v>
      </c>
      <c r="B24" t="s">
        <v>318</v>
      </c>
      <c r="C24" t="s">
        <v>217</v>
      </c>
      <c r="D24" t="s">
        <v>319</v>
      </c>
      <c r="E24" t="s">
        <v>218</v>
      </c>
      <c r="F24"/>
      <c r="G24" t="n">
        <v>9.1</v>
      </c>
      <c r="H24" t="n">
        <v>9.1</v>
      </c>
      <c r="I24" t="n">
        <v>12.5</v>
      </c>
      <c r="J24" t="n">
        <v>14.3</v>
      </c>
      <c r="K24" t="n">
        <v>16.5</v>
      </c>
      <c r="L24" t="n">
        <v>37.5</v>
      </c>
      <c r="M24" t="n">
        <v>67.9</v>
      </c>
      <c r="N24" t="n">
        <v>51.4</v>
      </c>
      <c r="O24" t="n">
        <v>55.7</v>
      </c>
      <c r="P24" t="n">
        <v>83.6</v>
      </c>
      <c r="Q24" t="n">
        <v>121.4</v>
      </c>
      <c r="R24" t="n">
        <v>127.2</v>
      </c>
      <c r="S24" t="n">
        <v>83.4</v>
      </c>
      <c r="T24" t="n">
        <v>81.7</v>
      </c>
      <c r="U24" t="n">
        <v>256.9</v>
      </c>
      <c r="V24" t="n">
        <v>289.8</v>
      </c>
      <c r="W24" t="n">
        <v>213.1</v>
      </c>
      <c r="X24" t="n">
        <v>241.6</v>
      </c>
      <c r="Y24" t="n">
        <v>198.9</v>
      </c>
      <c r="Z24" t="n">
        <v>236.1</v>
      </c>
      <c r="AA24" t="n">
        <v>232.7</v>
      </c>
      <c r="AB24" t="n">
        <v>247.6</v>
      </c>
      <c r="AC24" t="n">
        <v>214.9</v>
      </c>
      <c r="AD24" t="n">
        <v>227.5</v>
      </c>
      <c r="AE24" t="n">
        <v>227.7</v>
      </c>
      <c r="AF24" t="n">
        <v>239.5</v>
      </c>
    </row>
    <row r="25">
      <c r="A25" t="s">
        <v>30</v>
      </c>
      <c r="B25" t="s">
        <v>320</v>
      </c>
      <c r="C25" t="s">
        <v>217</v>
      </c>
      <c r="D25" t="s">
        <v>321</v>
      </c>
      <c r="E25" t="s">
        <v>218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1.8</v>
      </c>
      <c r="M25" t="n">
        <v>2.6</v>
      </c>
      <c r="N25" t="n">
        <v>5</v>
      </c>
      <c r="O25" t="n">
        <v>2.4</v>
      </c>
      <c r="P25" t="n">
        <v>3.8</v>
      </c>
      <c r="Q25" t="n">
        <v>6.5</v>
      </c>
      <c r="R25" t="n">
        <v>7.7</v>
      </c>
      <c r="S25" t="n">
        <v>5.4</v>
      </c>
      <c r="T25" t="n">
        <v>4.1</v>
      </c>
      <c r="U25" t="n">
        <v>15.1</v>
      </c>
      <c r="V25" t="n">
        <v>12.3</v>
      </c>
      <c r="W25" t="n">
        <v>7.4</v>
      </c>
      <c r="X25" t="n">
        <v>7.4</v>
      </c>
      <c r="Y25" t="n">
        <v>6.7</v>
      </c>
      <c r="Z25" t="n">
        <v>8.3</v>
      </c>
      <c r="AA25" t="n">
        <v>18.5</v>
      </c>
      <c r="AB25" t="n">
        <v>19.5</v>
      </c>
      <c r="AC25" t="n">
        <v>9.9</v>
      </c>
      <c r="AD25" t="n">
        <v>6.1</v>
      </c>
      <c r="AE25" t="n">
        <v>9.4</v>
      </c>
      <c r="AF25" t="n">
        <v>4.4</v>
      </c>
    </row>
    <row r="26">
      <c r="A26" t="s">
        <v>30</v>
      </c>
      <c r="B26" t="s">
        <v>322</v>
      </c>
      <c r="C26" t="s">
        <v>217</v>
      </c>
      <c r="D26" t="s">
        <v>323</v>
      </c>
      <c r="E26" t="s">
        <v>218</v>
      </c>
      <c r="F26"/>
      <c r="G26" t="n">
        <v>3.5</v>
      </c>
      <c r="H26" t="n">
        <v>3.5</v>
      </c>
      <c r="I26" t="n">
        <v>4.8</v>
      </c>
      <c r="J26" t="n">
        <v>5.5</v>
      </c>
      <c r="K26" t="n">
        <v>6.3</v>
      </c>
      <c r="L26" t="n">
        <v>15.6</v>
      </c>
      <c r="M26" t="n">
        <v>27.8</v>
      </c>
      <c r="N26" t="n">
        <v>26.6</v>
      </c>
      <c r="O26" t="n">
        <v>35.8</v>
      </c>
      <c r="P26" t="n">
        <v>47.8</v>
      </c>
      <c r="Q26" t="n">
        <v>78.3</v>
      </c>
      <c r="R26" t="n">
        <v>79.5</v>
      </c>
      <c r="S26" t="n">
        <v>53.3</v>
      </c>
      <c r="T26" t="n">
        <v>50.6</v>
      </c>
      <c r="U26" t="n">
        <v>144.1</v>
      </c>
      <c r="V26" t="n">
        <v>140.8</v>
      </c>
      <c r="W26" t="n">
        <v>113.1</v>
      </c>
      <c r="X26" t="n">
        <v>132.4</v>
      </c>
      <c r="Y26" t="n">
        <v>102</v>
      </c>
      <c r="Z26" t="n">
        <v>143.7</v>
      </c>
      <c r="AA26" t="n">
        <v>111.6</v>
      </c>
      <c r="AB26" t="n">
        <v>118.4</v>
      </c>
      <c r="AC26" t="n">
        <v>111.7</v>
      </c>
      <c r="AD26" t="n">
        <v>114</v>
      </c>
      <c r="AE26" t="n">
        <v>128.6</v>
      </c>
      <c r="AF26" t="n">
        <v>121</v>
      </c>
    </row>
    <row r="27">
      <c r="A27" t="s">
        <v>30</v>
      </c>
      <c r="B27" t="s">
        <v>324</v>
      </c>
      <c r="C27" t="s">
        <v>217</v>
      </c>
      <c r="D27" t="s">
        <v>325</v>
      </c>
      <c r="E27" t="s">
        <v>218</v>
      </c>
      <c r="F27"/>
      <c r="G27" t="n">
        <v>5.6</v>
      </c>
      <c r="H27" t="n">
        <v>5.6</v>
      </c>
      <c r="I27" t="n">
        <v>7.7</v>
      </c>
      <c r="J27" t="n">
        <v>8.8</v>
      </c>
      <c r="K27" t="n">
        <v>10.2</v>
      </c>
      <c r="L27" t="n">
        <v>20.1</v>
      </c>
      <c r="M27" t="n">
        <v>37.5</v>
      </c>
      <c r="N27" t="n">
        <v>19.8</v>
      </c>
      <c r="O27" t="n">
        <v>17.5</v>
      </c>
      <c r="P27" t="n">
        <v>32</v>
      </c>
      <c r="Q27" t="n">
        <v>36.6</v>
      </c>
      <c r="R27" t="n">
        <v>40</v>
      </c>
      <c r="S27" t="n">
        <v>24.7</v>
      </c>
      <c r="T27" t="n">
        <v>27</v>
      </c>
      <c r="U27" t="n">
        <v>97.7</v>
      </c>
      <c r="V27" t="n">
        <v>136.7</v>
      </c>
      <c r="W27" t="n">
        <v>92.6</v>
      </c>
      <c r="X27" t="n">
        <v>101.8</v>
      </c>
      <c r="Y27" t="n">
        <v>90.2</v>
      </c>
      <c r="Z27" t="n">
        <v>84.1</v>
      </c>
      <c r="AA27" t="n">
        <v>102.6</v>
      </c>
      <c r="AB27" t="n">
        <v>109.7</v>
      </c>
      <c r="AC27" t="n">
        <v>93.3</v>
      </c>
      <c r="AD27" t="n">
        <v>107.4</v>
      </c>
      <c r="AE27" t="n">
        <v>89.7</v>
      </c>
      <c r="AF27" t="n">
        <v>114.1</v>
      </c>
    </row>
    <row r="28">
      <c r="A28" t="s">
        <v>30</v>
      </c>
      <c r="B28" t="s">
        <v>326</v>
      </c>
      <c r="C28" t="s">
        <v>217</v>
      </c>
      <c r="D28" t="s">
        <v>327</v>
      </c>
      <c r="E28" t="s">
        <v>218</v>
      </c>
      <c r="F28"/>
      <c r="G28" t="n">
        <v>5.7</v>
      </c>
      <c r="H28" t="n">
        <v>5.2</v>
      </c>
      <c r="I28" t="n">
        <v>8.5</v>
      </c>
      <c r="J28" t="n">
        <v>10.8</v>
      </c>
      <c r="K28" t="n">
        <v>10.9</v>
      </c>
      <c r="L28" t="n">
        <v>20.7</v>
      </c>
      <c r="M28" t="n">
        <v>39.6</v>
      </c>
      <c r="N28" t="n">
        <v>10.4</v>
      </c>
      <c r="O28" t="n">
        <v>8.7</v>
      </c>
      <c r="P28" t="n">
        <v>7.4</v>
      </c>
      <c r="Q28" t="n">
        <v>10.1</v>
      </c>
      <c r="R28" t="n">
        <v>15.2</v>
      </c>
      <c r="S28" t="n">
        <v>11.4</v>
      </c>
      <c r="T28" t="n">
        <v>14.6</v>
      </c>
      <c r="U28" t="n">
        <v>25.1</v>
      </c>
      <c r="V28" t="n">
        <v>25.8</v>
      </c>
      <c r="W28" t="n">
        <v>27</v>
      </c>
      <c r="X28" t="n">
        <v>28.4</v>
      </c>
      <c r="Y28" t="n">
        <v>34.5</v>
      </c>
      <c r="Z28" t="n">
        <v>30.1</v>
      </c>
      <c r="AA28" t="n">
        <v>34.5</v>
      </c>
      <c r="AB28" t="n">
        <v>36.7</v>
      </c>
      <c r="AC28" t="n">
        <v>47</v>
      </c>
      <c r="AD28" t="n">
        <v>36.9</v>
      </c>
      <c r="AE28" t="n">
        <v>36.9</v>
      </c>
      <c r="AF28" t="n">
        <v>64.9</v>
      </c>
    </row>
    <row r="29">
      <c r="A29" t="s">
        <v>30</v>
      </c>
      <c r="B29" t="s">
        <v>328</v>
      </c>
      <c r="C29" t="s">
        <v>217</v>
      </c>
      <c r="D29" t="s">
        <v>329</v>
      </c>
      <c r="E29" t="s">
        <v>218</v>
      </c>
      <c r="F29"/>
      <c r="G29" t="n">
        <v>0.7</v>
      </c>
      <c r="H29" t="n">
        <v>0.9</v>
      </c>
      <c r="I29" t="n">
        <v>1.1</v>
      </c>
      <c r="J29" t="n">
        <v>1.3</v>
      </c>
      <c r="K29" t="n">
        <v>2</v>
      </c>
      <c r="L29" t="n">
        <v>1.6</v>
      </c>
      <c r="M29" t="n">
        <v>1.4</v>
      </c>
      <c r="N29" t="n">
        <v>1.5</v>
      </c>
      <c r="O29" t="n">
        <v>1.9</v>
      </c>
      <c r="P29" t="n">
        <v>1.5</v>
      </c>
      <c r="Q29" t="n">
        <v>2</v>
      </c>
      <c r="R29" t="n">
        <v>2</v>
      </c>
      <c r="S29" t="n">
        <v>1.8</v>
      </c>
      <c r="T29" t="n">
        <v>2.4</v>
      </c>
      <c r="U29" t="n">
        <v>4.8</v>
      </c>
      <c r="V29" t="n">
        <v>4.4</v>
      </c>
      <c r="W29" t="n">
        <v>4.7</v>
      </c>
      <c r="X29" t="n">
        <v>5.2</v>
      </c>
      <c r="Y29" t="n">
        <v>6.8</v>
      </c>
      <c r="Z29" t="n">
        <v>4.5</v>
      </c>
      <c r="AA29" t="n">
        <v>4.8</v>
      </c>
      <c r="AB29" t="n">
        <v>6.8</v>
      </c>
      <c r="AC29" t="n">
        <v>7.8</v>
      </c>
      <c r="AD29" t="n">
        <v>7.2</v>
      </c>
      <c r="AE29" t="n">
        <v>7.5</v>
      </c>
      <c r="AF29" t="n">
        <v>12</v>
      </c>
    </row>
    <row r="30">
      <c r="A30" t="s">
        <v>30</v>
      </c>
      <c r="B30" t="s">
        <v>330</v>
      </c>
      <c r="C30" t="s">
        <v>217</v>
      </c>
      <c r="D30" t="s">
        <v>331</v>
      </c>
      <c r="E30" t="s">
        <v>218</v>
      </c>
      <c r="F30"/>
      <c r="G30" t="n">
        <v>2</v>
      </c>
      <c r="H30" t="n">
        <v>1.5</v>
      </c>
      <c r="I30" t="n">
        <v>2.9</v>
      </c>
      <c r="J30" t="n">
        <v>3.8</v>
      </c>
      <c r="K30" t="n">
        <v>2.8</v>
      </c>
      <c r="L30" t="n">
        <v>6.4</v>
      </c>
      <c r="M30" t="n">
        <v>2.2</v>
      </c>
      <c r="N30" t="n">
        <v>2.1</v>
      </c>
      <c r="O30" t="n">
        <v>2.1</v>
      </c>
      <c r="P30" t="n">
        <v>1.8</v>
      </c>
      <c r="Q30" t="n">
        <v>2.6</v>
      </c>
      <c r="R30" t="n">
        <v>3.1</v>
      </c>
      <c r="S30" t="n">
        <v>2.5</v>
      </c>
      <c r="T30" t="n">
        <v>3.3</v>
      </c>
      <c r="U30" t="n">
        <v>7.5</v>
      </c>
      <c r="V30" t="n">
        <v>8.3</v>
      </c>
      <c r="W30" t="n">
        <v>9.1</v>
      </c>
      <c r="X30" t="n">
        <v>9.7</v>
      </c>
      <c r="Y30" t="n">
        <v>11.6</v>
      </c>
      <c r="Z30" t="n">
        <v>8.2</v>
      </c>
      <c r="AA30" t="n">
        <v>8.8</v>
      </c>
      <c r="AB30" t="n">
        <v>9.8</v>
      </c>
      <c r="AC30" t="n">
        <v>12.2</v>
      </c>
      <c r="AD30" t="n">
        <v>11.5</v>
      </c>
      <c r="AE30" t="n">
        <v>12.5</v>
      </c>
      <c r="AF30" t="n">
        <v>18.9</v>
      </c>
    </row>
    <row r="31">
      <c r="A31" t="s">
        <v>30</v>
      </c>
      <c r="B31" t="s">
        <v>332</v>
      </c>
      <c r="C31" t="s">
        <v>217</v>
      </c>
      <c r="D31" t="s">
        <v>333</v>
      </c>
      <c r="E31" t="s">
        <v>218</v>
      </c>
      <c r="F31"/>
      <c r="G31" t="n">
        <v>0.5</v>
      </c>
      <c r="H31" t="n">
        <v>0.8</v>
      </c>
      <c r="I31" t="n">
        <v>0.9</v>
      </c>
      <c r="J31" t="n">
        <v>1.1</v>
      </c>
      <c r="K31" t="n">
        <v>2.4</v>
      </c>
      <c r="L31" t="n">
        <v>4.9</v>
      </c>
      <c r="M31" t="n">
        <v>30.8</v>
      </c>
      <c r="N31" t="n">
        <v>2.4</v>
      </c>
      <c r="O31" t="n">
        <v>0.4</v>
      </c>
      <c r="P31" t="n">
        <v>1</v>
      </c>
      <c r="Q31" t="n">
        <v>2</v>
      </c>
      <c r="R31" t="n">
        <v>4.8</v>
      </c>
      <c r="S31" t="n">
        <v>3.4</v>
      </c>
      <c r="T31" t="n">
        <v>3.8</v>
      </c>
      <c r="U31" t="n">
        <v>2.8</v>
      </c>
      <c r="V31" t="n">
        <v>2.3</v>
      </c>
      <c r="W31" t="n">
        <v>2.4</v>
      </c>
      <c r="X31" t="n">
        <v>1.9</v>
      </c>
      <c r="Y31" t="n">
        <v>1.1</v>
      </c>
      <c r="Z31" t="n">
        <v>6.2</v>
      </c>
      <c r="AA31" t="n">
        <v>7</v>
      </c>
      <c r="AB31" t="n">
        <v>5.8</v>
      </c>
      <c r="AC31" t="n">
        <v>9.7</v>
      </c>
      <c r="AD31" t="n">
        <v>3.4</v>
      </c>
      <c r="AE31" t="n">
        <v>1.2</v>
      </c>
      <c r="AF31" t="n">
        <v>2.9</v>
      </c>
    </row>
    <row r="32">
      <c r="A32" t="s">
        <v>30</v>
      </c>
      <c r="B32" t="s">
        <v>334</v>
      </c>
      <c r="C32" t="s">
        <v>217</v>
      </c>
      <c r="D32" t="s">
        <v>335</v>
      </c>
      <c r="E32" t="s">
        <v>218</v>
      </c>
      <c r="F32"/>
      <c r="G32" t="n">
        <v>2.2</v>
      </c>
      <c r="H32" t="n">
        <v>1.7</v>
      </c>
      <c r="I32" t="n">
        <v>3.3</v>
      </c>
      <c r="J32" t="n">
        <v>4.3</v>
      </c>
      <c r="K32" t="n">
        <v>3.1</v>
      </c>
      <c r="L32" t="n">
        <v>7.4</v>
      </c>
      <c r="M32" t="n">
        <v>2.5</v>
      </c>
      <c r="N32" t="n">
        <v>2.6</v>
      </c>
      <c r="O32" t="n">
        <v>2.9</v>
      </c>
      <c r="P32" t="n">
        <v>2.2</v>
      </c>
      <c r="Q32" t="n">
        <v>3.2</v>
      </c>
      <c r="R32" t="n">
        <v>3.9</v>
      </c>
      <c r="S32" t="n">
        <v>3</v>
      </c>
      <c r="T32" t="n">
        <v>4.5</v>
      </c>
      <c r="U32" t="n">
        <v>9.5</v>
      </c>
      <c r="V32" t="n">
        <v>10.4</v>
      </c>
      <c r="W32" t="n">
        <v>10.4</v>
      </c>
      <c r="X32" t="n">
        <v>11.2</v>
      </c>
      <c r="Y32" t="n">
        <v>14.6</v>
      </c>
      <c r="Z32" t="n">
        <v>10.8</v>
      </c>
      <c r="AA32" t="n">
        <v>13.4</v>
      </c>
      <c r="AB32" t="n">
        <v>13.8</v>
      </c>
      <c r="AC32" t="n">
        <v>16.8</v>
      </c>
      <c r="AD32" t="n">
        <v>14.2</v>
      </c>
      <c r="AE32" t="n">
        <v>15.2</v>
      </c>
      <c r="AF32" t="n">
        <v>28.8</v>
      </c>
    </row>
    <row r="33">
      <c r="A33" t="s">
        <v>30</v>
      </c>
      <c r="B33" t="s">
        <v>336</v>
      </c>
      <c r="C33" t="s">
        <v>217</v>
      </c>
      <c r="D33" t="s">
        <v>337</v>
      </c>
      <c r="E33" t="s">
        <v>218</v>
      </c>
      <c r="F33"/>
      <c r="G33" t="n">
        <v>0.1</v>
      </c>
      <c r="H33" t="n">
        <v>0.2</v>
      </c>
      <c r="I33" t="n">
        <v>0.2</v>
      </c>
      <c r="J33" t="n">
        <v>0.3</v>
      </c>
      <c r="K33" t="n">
        <v>0.6</v>
      </c>
      <c r="L33" t="n">
        <v>0.4</v>
      </c>
      <c r="M33" t="n">
        <v>2.7</v>
      </c>
      <c r="N33" t="n">
        <v>1.8</v>
      </c>
      <c r="O33" t="n">
        <v>1.3</v>
      </c>
      <c r="P33" t="n">
        <v>0.9</v>
      </c>
      <c r="Q33" t="n">
        <v>0.3</v>
      </c>
      <c r="R33" t="n">
        <v>1.4</v>
      </c>
      <c r="S33" t="n">
        <v>0.7</v>
      </c>
      <c r="T33" t="n">
        <v>0.6</v>
      </c>
      <c r="U33" t="n">
        <v>0.5</v>
      </c>
      <c r="V33" t="n">
        <v>0.4</v>
      </c>
      <c r="W33" t="n">
        <v>0.4</v>
      </c>
      <c r="X33" t="n">
        <v>0.4</v>
      </c>
      <c r="Y33" t="n">
        <v>0.4</v>
      </c>
      <c r="Z33" t="n">
        <v>0.4</v>
      </c>
      <c r="AA33" t="n">
        <v>0.5</v>
      </c>
      <c r="AB33" t="n">
        <v>0.5</v>
      </c>
      <c r="AC33" t="n">
        <v>0.5</v>
      </c>
      <c r="AD33" t="n">
        <v>0.6</v>
      </c>
      <c r="AE33" t="n">
        <v>0.5</v>
      </c>
      <c r="AF33" t="n">
        <v>2.3</v>
      </c>
    </row>
    <row r="34">
      <c r="A34" t="s">
        <v>30</v>
      </c>
      <c r="B34" t="s">
        <v>338</v>
      </c>
      <c r="C34" t="s">
        <v>217</v>
      </c>
      <c r="D34" t="s">
        <v>339</v>
      </c>
      <c r="E34" t="s">
        <v>218</v>
      </c>
      <c r="F34"/>
      <c r="G34" t="n">
        <v>3.7</v>
      </c>
      <c r="H34" t="n">
        <v>7.3</v>
      </c>
      <c r="I34" t="n">
        <v>6.6</v>
      </c>
      <c r="J34" t="n">
        <v>7.6</v>
      </c>
      <c r="K34" t="n">
        <v>22.1</v>
      </c>
      <c r="L34" t="n">
        <v>10.5</v>
      </c>
      <c r="M34" t="n">
        <v>27.1</v>
      </c>
      <c r="N34" t="n">
        <v>25.1</v>
      </c>
      <c r="O34" t="n">
        <v>23.9</v>
      </c>
      <c r="P34" t="n">
        <v>30.2</v>
      </c>
      <c r="Q34" t="n">
        <v>0</v>
      </c>
      <c r="R34" t="n">
        <v>0</v>
      </c>
      <c r="S34" t="n">
        <v>18.3</v>
      </c>
      <c r="T34" t="n">
        <v>14.1</v>
      </c>
      <c r="U34" t="n">
        <v>98.1</v>
      </c>
      <c r="V34" t="n">
        <v>106.2</v>
      </c>
      <c r="W34" t="n">
        <v>77</v>
      </c>
      <c r="X34" t="n">
        <v>82.4</v>
      </c>
      <c r="Y34" t="n">
        <v>32.1</v>
      </c>
      <c r="Z34" t="n">
        <v>107.2</v>
      </c>
      <c r="AA34" t="n">
        <v>87.1</v>
      </c>
      <c r="AB34" t="n">
        <v>93.3</v>
      </c>
      <c r="AC34" t="n">
        <v>53.3</v>
      </c>
      <c r="AD34" t="n">
        <v>62.4</v>
      </c>
      <c r="AE34" t="n">
        <v>54.8</v>
      </c>
      <c r="AF34" t="n">
        <v>59.1</v>
      </c>
    </row>
    <row r="35">
      <c r="A35" t="s">
        <v>30</v>
      </c>
      <c r="B35" t="s">
        <v>340</v>
      </c>
      <c r="C35" t="s">
        <v>217</v>
      </c>
      <c r="D35" t="s">
        <v>341</v>
      </c>
      <c r="E35" t="s">
        <v>218</v>
      </c>
      <c r="F35"/>
      <c r="G35" t="n">
        <v>37.7</v>
      </c>
      <c r="H35" t="n">
        <v>40</v>
      </c>
      <c r="I35" t="n">
        <v>59.1</v>
      </c>
      <c r="J35" t="n">
        <v>75</v>
      </c>
      <c r="K35" t="n">
        <v>84.4</v>
      </c>
      <c r="L35" t="n">
        <v>100.7</v>
      </c>
      <c r="M35" t="n">
        <v>96.3</v>
      </c>
      <c r="N35" t="n">
        <v>95.3</v>
      </c>
      <c r="O35" t="n">
        <v>86.1</v>
      </c>
      <c r="P35" t="n">
        <v>92.4</v>
      </c>
      <c r="Q35" t="n">
        <v>120.7</v>
      </c>
      <c r="R35" t="n">
        <v>126.3</v>
      </c>
      <c r="S35" t="n">
        <v>104.1</v>
      </c>
      <c r="T35" t="n">
        <v>112.9</v>
      </c>
      <c r="U35" t="n">
        <v>199.6</v>
      </c>
      <c r="V35" t="n">
        <v>177</v>
      </c>
      <c r="W35" t="n">
        <v>181.2</v>
      </c>
      <c r="X35" t="n">
        <v>177.6</v>
      </c>
      <c r="Y35" t="n">
        <v>219.4</v>
      </c>
      <c r="Z35" t="n">
        <v>173.2</v>
      </c>
      <c r="AA35" t="n">
        <v>210.3</v>
      </c>
      <c r="AB35" t="n">
        <v>219.7</v>
      </c>
      <c r="AC35" t="n">
        <v>249.9</v>
      </c>
      <c r="AD35" t="n">
        <v>235.2</v>
      </c>
      <c r="AE35" t="n">
        <v>280.3</v>
      </c>
      <c r="AF35" t="n">
        <v>421.4</v>
      </c>
    </row>
    <row r="36">
      <c r="A36" t="s">
        <v>30</v>
      </c>
      <c r="B36" t="s">
        <v>342</v>
      </c>
      <c r="C36" t="s">
        <v>217</v>
      </c>
      <c r="D36" t="s">
        <v>343</v>
      </c>
      <c r="E36" t="s">
        <v>218</v>
      </c>
      <c r="F36"/>
      <c r="G36" t="n">
        <v>8.7</v>
      </c>
      <c r="H36" t="n">
        <v>9.9</v>
      </c>
      <c r="I36" t="n">
        <v>13.7</v>
      </c>
      <c r="J36" t="n">
        <v>17</v>
      </c>
      <c r="K36" t="n">
        <v>24.5</v>
      </c>
      <c r="L36" t="n">
        <v>22.9</v>
      </c>
      <c r="M36" t="n">
        <v>23.6</v>
      </c>
      <c r="N36" t="n">
        <v>24.7</v>
      </c>
      <c r="O36" t="n">
        <v>24.6</v>
      </c>
      <c r="P36" t="n">
        <v>18.2</v>
      </c>
      <c r="Q36" t="n">
        <v>30</v>
      </c>
      <c r="R36" t="n">
        <v>37.1</v>
      </c>
      <c r="S36" t="n">
        <v>26</v>
      </c>
      <c r="T36" t="n">
        <v>30.7</v>
      </c>
      <c r="U36" t="n">
        <v>31.2</v>
      </c>
      <c r="V36" t="n">
        <v>31.8</v>
      </c>
      <c r="W36" t="n">
        <v>32</v>
      </c>
      <c r="X36" t="n">
        <v>32.2</v>
      </c>
      <c r="Y36" t="n">
        <v>37.8</v>
      </c>
      <c r="Z36" t="n">
        <v>29.2</v>
      </c>
      <c r="AA36" t="n">
        <v>31.5</v>
      </c>
      <c r="AB36" t="n">
        <v>35.1</v>
      </c>
      <c r="AC36" t="n">
        <v>42.6</v>
      </c>
      <c r="AD36" t="n">
        <v>42</v>
      </c>
      <c r="AE36" t="n">
        <v>68.7</v>
      </c>
      <c r="AF36" t="n">
        <v>65.4</v>
      </c>
    </row>
    <row r="37">
      <c r="A37" t="s">
        <v>30</v>
      </c>
      <c r="B37" t="s">
        <v>344</v>
      </c>
      <c r="C37" t="s">
        <v>217</v>
      </c>
      <c r="D37" t="s">
        <v>345</v>
      </c>
      <c r="E37" t="s">
        <v>218</v>
      </c>
      <c r="F37"/>
      <c r="G37" t="n">
        <v>13</v>
      </c>
      <c r="H37" t="n">
        <v>11</v>
      </c>
      <c r="I37" t="n">
        <v>19.3</v>
      </c>
      <c r="J37" t="n">
        <v>24.7</v>
      </c>
      <c r="K37" t="n">
        <v>21.8</v>
      </c>
      <c r="L37" t="n">
        <v>41.2</v>
      </c>
      <c r="M37" t="n">
        <v>39.4</v>
      </c>
      <c r="N37" t="n">
        <v>30.2</v>
      </c>
      <c r="O37" t="n">
        <v>25.1</v>
      </c>
      <c r="P37" t="n">
        <v>56.7</v>
      </c>
      <c r="Q37" t="n">
        <v>62</v>
      </c>
      <c r="R37" t="n">
        <v>56</v>
      </c>
      <c r="S37" t="n">
        <v>54.8</v>
      </c>
      <c r="T37" t="n">
        <v>48.7</v>
      </c>
      <c r="U37" t="n">
        <v>92.8</v>
      </c>
      <c r="V37" t="n">
        <v>77.9</v>
      </c>
      <c r="W37" t="n">
        <v>80.2</v>
      </c>
      <c r="X37" t="n">
        <v>71.8</v>
      </c>
      <c r="Y37" t="n">
        <v>89.2</v>
      </c>
      <c r="Z37" t="n">
        <v>72.4</v>
      </c>
      <c r="AA37" t="n">
        <v>81.3</v>
      </c>
      <c r="AB37" t="n">
        <v>81.1</v>
      </c>
      <c r="AC37" t="n">
        <v>94.9</v>
      </c>
      <c r="AD37" t="n">
        <v>85.8</v>
      </c>
      <c r="AE37" t="n">
        <v>94</v>
      </c>
      <c r="AF37" t="n">
        <v>204.3</v>
      </c>
    </row>
    <row r="38">
      <c r="A38" t="s">
        <v>30</v>
      </c>
      <c r="B38" t="s">
        <v>346</v>
      </c>
      <c r="C38" t="s">
        <v>217</v>
      </c>
      <c r="D38" t="s">
        <v>347</v>
      </c>
      <c r="E38" t="s">
        <v>218</v>
      </c>
      <c r="F38"/>
      <c r="G38" t="n">
        <v>16</v>
      </c>
      <c r="H38" t="n">
        <v>19.1</v>
      </c>
      <c r="I38" t="n">
        <v>26.1</v>
      </c>
      <c r="J38" t="n">
        <v>33.3</v>
      </c>
      <c r="K38" t="n">
        <v>38.1</v>
      </c>
      <c r="L38" t="n">
        <v>36.6</v>
      </c>
      <c r="M38" t="n">
        <v>33.3</v>
      </c>
      <c r="N38" t="n">
        <v>40.4</v>
      </c>
      <c r="O38" t="n">
        <v>36.4</v>
      </c>
      <c r="P38" t="n">
        <v>17.5</v>
      </c>
      <c r="Q38" t="n">
        <v>28.7</v>
      </c>
      <c r="R38" t="n">
        <v>33.2</v>
      </c>
      <c r="S38" t="n">
        <v>23.3</v>
      </c>
      <c r="T38" t="n">
        <v>33.5</v>
      </c>
      <c r="U38" t="n">
        <v>75.6</v>
      </c>
      <c r="V38" t="n">
        <v>67.3</v>
      </c>
      <c r="W38" t="n">
        <v>69</v>
      </c>
      <c r="X38" t="n">
        <v>73.6</v>
      </c>
      <c r="Y38" t="n">
        <v>92.4</v>
      </c>
      <c r="Z38" t="n">
        <v>71.6</v>
      </c>
      <c r="AA38" t="n">
        <v>97.5</v>
      </c>
      <c r="AB38" t="n">
        <v>103.5</v>
      </c>
      <c r="AC38" t="n">
        <v>112.4</v>
      </c>
      <c r="AD38" t="n">
        <v>107.4</v>
      </c>
      <c r="AE38" t="n">
        <v>117.6</v>
      </c>
      <c r="AF38" t="n">
        <v>151.7</v>
      </c>
    </row>
    <row r="39">
      <c r="A39" t="s">
        <v>30</v>
      </c>
      <c r="B39" t="s">
        <v>348</v>
      </c>
      <c r="C39" t="s">
        <v>217</v>
      </c>
      <c r="D39" t="s">
        <v>349</v>
      </c>
      <c r="E39" t="s">
        <v>218</v>
      </c>
      <c r="F39"/>
      <c r="G39" t="n">
        <v>29.6</v>
      </c>
      <c r="H39" t="n">
        <v>33.2</v>
      </c>
      <c r="I39" t="n">
        <v>42.1</v>
      </c>
      <c r="J39" t="n">
        <v>48.2</v>
      </c>
      <c r="K39" t="n">
        <v>67.1</v>
      </c>
      <c r="L39" t="n">
        <v>71.2</v>
      </c>
      <c r="M39" t="n">
        <v>117.1</v>
      </c>
      <c r="N39" t="n">
        <v>43.5</v>
      </c>
      <c r="O39" t="n">
        <v>110.6</v>
      </c>
      <c r="P39" t="n">
        <v>72.5</v>
      </c>
      <c r="Q39" t="n">
        <v>107.1</v>
      </c>
      <c r="R39" t="n">
        <v>155.1</v>
      </c>
      <c r="S39" t="n">
        <v>164.6</v>
      </c>
      <c r="T39" t="n">
        <v>168.7</v>
      </c>
      <c r="U39" t="n">
        <v>299.6</v>
      </c>
      <c r="V39" t="n">
        <v>258.2</v>
      </c>
      <c r="W39" t="n">
        <v>274.2</v>
      </c>
      <c r="X39" t="n">
        <v>269.9</v>
      </c>
      <c r="Y39" t="n">
        <v>277.8</v>
      </c>
      <c r="Z39" t="n">
        <v>251.2</v>
      </c>
      <c r="AA39" t="n">
        <v>311.4</v>
      </c>
      <c r="AB39" t="n">
        <v>290.7</v>
      </c>
      <c r="AC39" t="n">
        <v>372.7</v>
      </c>
      <c r="AD39" t="n">
        <v>434.6</v>
      </c>
      <c r="AE39" t="n">
        <v>448</v>
      </c>
      <c r="AF39" t="n">
        <v>446.4</v>
      </c>
    </row>
    <row r="40">
      <c r="A40" t="s">
        <v>30</v>
      </c>
      <c r="B40" t="s">
        <v>350</v>
      </c>
      <c r="C40" t="s">
        <v>217</v>
      </c>
      <c r="D40" t="s">
        <v>351</v>
      </c>
      <c r="E40" t="s">
        <v>218</v>
      </c>
      <c r="F40"/>
      <c r="G40" t="n">
        <v>0.4</v>
      </c>
      <c r="H40" t="n">
        <v>0.7</v>
      </c>
      <c r="I40" t="n">
        <v>0.7</v>
      </c>
      <c r="J40" t="n">
        <v>0.8</v>
      </c>
      <c r="K40" t="n">
        <v>1.9</v>
      </c>
      <c r="L40" t="n">
        <v>15.5</v>
      </c>
      <c r="M40" t="n">
        <v>42.2</v>
      </c>
      <c r="N40" t="n">
        <v>26</v>
      </c>
      <c r="O40" t="n">
        <v>24.7</v>
      </c>
      <c r="P40" t="n">
        <v>0.8</v>
      </c>
      <c r="Q40" t="n">
        <v>1.2</v>
      </c>
      <c r="R40" t="n">
        <v>5.4</v>
      </c>
      <c r="S40" t="n">
        <v>1.8</v>
      </c>
      <c r="T40" t="n">
        <v>1.8</v>
      </c>
      <c r="U40" t="n">
        <v>43.2</v>
      </c>
      <c r="V40" t="n">
        <v>8.9</v>
      </c>
      <c r="W40" t="n">
        <v>4.5</v>
      </c>
      <c r="X40" t="n">
        <v>5.1</v>
      </c>
      <c r="Y40" t="n">
        <v>4.8</v>
      </c>
      <c r="Z40" t="n">
        <v>26.8</v>
      </c>
      <c r="AA40" t="n">
        <v>26.9</v>
      </c>
      <c r="AB40" t="n">
        <v>28.6</v>
      </c>
      <c r="AC40" t="n">
        <v>18.4</v>
      </c>
      <c r="AD40" t="n">
        <v>26.8</v>
      </c>
      <c r="AE40" t="n">
        <v>35.8</v>
      </c>
      <c r="AF40" t="n">
        <v>31.4</v>
      </c>
    </row>
    <row r="41">
      <c r="A41" t="s">
        <v>30</v>
      </c>
      <c r="B41" t="s">
        <v>352</v>
      </c>
      <c r="C41" t="s">
        <v>217</v>
      </c>
      <c r="D41" t="s">
        <v>353</v>
      </c>
      <c r="E41" t="s">
        <v>218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30</v>
      </c>
      <c r="B42" t="s">
        <v>354</v>
      </c>
      <c r="C42" t="s">
        <v>217</v>
      </c>
      <c r="D42" t="s">
        <v>355</v>
      </c>
      <c r="E42" t="s">
        <v>218</v>
      </c>
      <c r="F42"/>
      <c r="G42" t="n">
        <v>21.7</v>
      </c>
      <c r="H42" t="n">
        <v>31.1</v>
      </c>
      <c r="I42" t="n">
        <v>35.8</v>
      </c>
      <c r="J42" t="n">
        <v>43.3</v>
      </c>
      <c r="K42" t="n">
        <v>86.2</v>
      </c>
      <c r="L42" t="n">
        <v>57.9</v>
      </c>
      <c r="M42" t="n">
        <v>38.4</v>
      </c>
      <c r="N42" t="n">
        <v>73.6</v>
      </c>
      <c r="O42" t="n">
        <v>69.7</v>
      </c>
      <c r="P42" t="n">
        <v>37.3</v>
      </c>
      <c r="Q42" t="n">
        <v>46.8</v>
      </c>
      <c r="R42" t="n">
        <v>91.3</v>
      </c>
      <c r="S42" t="n">
        <v>76.9</v>
      </c>
      <c r="T42" t="n">
        <v>71.5</v>
      </c>
      <c r="U42" t="n">
        <v>122.4</v>
      </c>
      <c r="V42" t="n">
        <v>143.3</v>
      </c>
      <c r="W42" t="n">
        <v>139.4</v>
      </c>
      <c r="X42" t="n">
        <v>108.9</v>
      </c>
      <c r="Y42" t="n">
        <v>86</v>
      </c>
      <c r="Z42" t="n">
        <v>129.7</v>
      </c>
      <c r="AA42" t="n">
        <v>120.5</v>
      </c>
      <c r="AB42" t="n">
        <v>123.3</v>
      </c>
      <c r="AC42" t="n">
        <v>121</v>
      </c>
      <c r="AD42" t="n">
        <v>134.4</v>
      </c>
      <c r="AE42" t="n">
        <v>163.3</v>
      </c>
      <c r="AF42" t="n">
        <v>189.1</v>
      </c>
    </row>
    <row r="43">
      <c r="A43" t="s">
        <v>30</v>
      </c>
      <c r="B43" t="s">
        <v>356</v>
      </c>
      <c r="C43" t="s">
        <v>217</v>
      </c>
      <c r="D43" t="s">
        <v>357</v>
      </c>
      <c r="E43" t="s">
        <v>218</v>
      </c>
      <c r="F43"/>
      <c r="G43" t="n">
        <v>24.6</v>
      </c>
      <c r="H43" t="n">
        <v>34</v>
      </c>
      <c r="I43" t="n">
        <v>40.2</v>
      </c>
      <c r="J43" t="n">
        <v>48.9</v>
      </c>
      <c r="K43" t="n">
        <v>92.9</v>
      </c>
      <c r="L43" t="n">
        <v>66.8</v>
      </c>
      <c r="M43" t="n">
        <v>78.1</v>
      </c>
      <c r="N43" t="n">
        <v>81.4</v>
      </c>
      <c r="O43" t="n">
        <v>78.1</v>
      </c>
      <c r="P43" t="n">
        <v>49.7</v>
      </c>
      <c r="Q43" t="n">
        <v>63.6</v>
      </c>
      <c r="R43" t="n">
        <v>109.4</v>
      </c>
      <c r="S43" t="n">
        <v>106.5</v>
      </c>
      <c r="T43" t="n">
        <v>96.2</v>
      </c>
      <c r="U43" t="n">
        <v>166.2</v>
      </c>
      <c r="V43" t="n">
        <v>188.1</v>
      </c>
      <c r="W43" t="n">
        <v>177.8</v>
      </c>
      <c r="X43" t="n">
        <v>129.5</v>
      </c>
      <c r="Y43" t="n">
        <v>114.8</v>
      </c>
      <c r="Z43" t="n">
        <v>156.1</v>
      </c>
      <c r="AA43" t="n">
        <v>143.9</v>
      </c>
      <c r="AB43" t="n">
        <v>145.4</v>
      </c>
      <c r="AC43" t="n">
        <v>146.5</v>
      </c>
      <c r="AD43" t="n">
        <v>163.6</v>
      </c>
      <c r="AE43" t="n">
        <v>190</v>
      </c>
      <c r="AF43" t="n">
        <v>224.5</v>
      </c>
    </row>
    <row r="44">
      <c r="A44" t="s">
        <v>30</v>
      </c>
      <c r="B44" t="s">
        <v>358</v>
      </c>
      <c r="C44" t="s">
        <v>217</v>
      </c>
      <c r="D44" t="s">
        <v>359</v>
      </c>
      <c r="E44" t="s">
        <v>218</v>
      </c>
      <c r="F44"/>
      <c r="G44" t="n">
        <v>140.7</v>
      </c>
      <c r="H44" t="n">
        <v>168</v>
      </c>
      <c r="I44" t="n">
        <v>214.6</v>
      </c>
      <c r="J44" t="n">
        <v>257.4</v>
      </c>
      <c r="K44" t="n">
        <v>388.2</v>
      </c>
      <c r="L44" t="n">
        <v>369.2</v>
      </c>
      <c r="M44" t="n">
        <v>485.9</v>
      </c>
      <c r="N44" t="n">
        <v>364.1</v>
      </c>
      <c r="O44" t="n">
        <v>416.7</v>
      </c>
      <c r="P44" t="n">
        <v>395.9</v>
      </c>
      <c r="Q44" t="n">
        <v>571.1</v>
      </c>
      <c r="R44" t="n">
        <v>671.4</v>
      </c>
      <c r="S44" t="n">
        <v>550.1</v>
      </c>
      <c r="T44" t="n">
        <v>559.4</v>
      </c>
      <c r="U44" t="n">
        <v>1183.5</v>
      </c>
      <c r="V44" t="n">
        <v>1172.2</v>
      </c>
      <c r="W44" t="n">
        <v>1088</v>
      </c>
      <c r="X44" t="n">
        <v>1075.9</v>
      </c>
      <c r="Y44" t="n">
        <v>1057.2</v>
      </c>
      <c r="Z44" t="n">
        <v>1086.8</v>
      </c>
      <c r="AA44" t="n">
        <v>1159.4</v>
      </c>
      <c r="AB44" t="n">
        <v>1180.7</v>
      </c>
      <c r="AC44" t="n">
        <v>1279.5</v>
      </c>
      <c r="AD44" t="n">
        <v>1369</v>
      </c>
      <c r="AE44" t="n">
        <v>1452.4</v>
      </c>
      <c r="AF44" t="n">
        <v>1789.1</v>
      </c>
    </row>
    <row r="45">
      <c r="A45" t="s">
        <v>30</v>
      </c>
      <c r="B45" t="s">
        <v>360</v>
      </c>
      <c r="C45" t="s">
        <v>217</v>
      </c>
      <c r="D45" t="s">
        <v>361</v>
      </c>
      <c r="E45" t="s">
        <v>218</v>
      </c>
      <c r="F45"/>
      <c r="G45" t="n">
        <v>140.7</v>
      </c>
      <c r="H45" t="n">
        <v>167.9</v>
      </c>
      <c r="I45" t="n">
        <v>214.5</v>
      </c>
      <c r="J45" t="n">
        <v>257.3</v>
      </c>
      <c r="K45" t="n">
        <v>388</v>
      </c>
      <c r="L45" t="n">
        <v>369.1</v>
      </c>
      <c r="M45" t="n">
        <v>485.8</v>
      </c>
      <c r="N45" t="n">
        <v>364.1</v>
      </c>
      <c r="O45" t="n">
        <v>416.7</v>
      </c>
      <c r="P45" t="n">
        <v>395.9</v>
      </c>
      <c r="Q45" t="n">
        <v>571.1</v>
      </c>
      <c r="R45" t="n">
        <v>671.4</v>
      </c>
      <c r="S45" t="n">
        <v>550.1</v>
      </c>
      <c r="T45" t="n">
        <v>559.4</v>
      </c>
      <c r="U45" t="n">
        <v>1183.5</v>
      </c>
      <c r="V45" t="n">
        <v>1172.2</v>
      </c>
      <c r="W45" t="n">
        <v>1088</v>
      </c>
      <c r="X45" t="n">
        <v>1075.9</v>
      </c>
      <c r="Y45" t="n">
        <v>1057.2</v>
      </c>
      <c r="Z45" t="n">
        <v>1086.8</v>
      </c>
      <c r="AA45" t="n">
        <v>1159.4</v>
      </c>
      <c r="AB45" t="n">
        <v>1180.7</v>
      </c>
      <c r="AC45" t="n">
        <v>1279.5</v>
      </c>
      <c r="AD45" t="n">
        <v>1369</v>
      </c>
      <c r="AE45" t="n">
        <v>1452.4</v>
      </c>
      <c r="AF45" t="n">
        <v>1789.1</v>
      </c>
    </row>
    <row r="46">
      <c r="A46" t="s">
        <v>30</v>
      </c>
      <c r="B46" t="s">
        <v>362</v>
      </c>
      <c r="C46" t="s">
        <v>217</v>
      </c>
      <c r="D46" t="s">
        <v>363</v>
      </c>
      <c r="E46" t="s">
        <v>218</v>
      </c>
      <c r="F46"/>
      <c r="G46" t="n">
        <v>2.9</v>
      </c>
      <c r="H46" t="n">
        <v>2.9</v>
      </c>
      <c r="I46" t="n">
        <v>4.4</v>
      </c>
      <c r="J46" t="n">
        <v>5.6</v>
      </c>
      <c r="K46" t="n">
        <v>6.7</v>
      </c>
      <c r="L46" t="n">
        <v>8.9</v>
      </c>
      <c r="M46" t="n">
        <v>39.7</v>
      </c>
      <c r="N46" t="n">
        <v>7.8</v>
      </c>
      <c r="O46" t="n">
        <v>8.4</v>
      </c>
      <c r="P46" t="n">
        <v>12.4</v>
      </c>
      <c r="Q46" t="n">
        <v>16.8</v>
      </c>
      <c r="R46" t="n">
        <v>18.1</v>
      </c>
      <c r="S46" t="n">
        <v>29.6</v>
      </c>
      <c r="T46" t="n">
        <v>24.7</v>
      </c>
      <c r="U46" t="n">
        <v>43.8</v>
      </c>
      <c r="V46" t="n">
        <v>44.8</v>
      </c>
      <c r="W46" t="n">
        <v>38.4</v>
      </c>
      <c r="X46" t="n">
        <v>20.6</v>
      </c>
      <c r="Y46" t="n">
        <v>28.8</v>
      </c>
      <c r="Z46" t="n">
        <v>26.4</v>
      </c>
      <c r="AA46" t="n">
        <v>23.4</v>
      </c>
      <c r="AB46" t="n">
        <v>22.1</v>
      </c>
      <c r="AC46" t="n">
        <v>25.5</v>
      </c>
      <c r="AD46" t="n">
        <v>29.2</v>
      </c>
      <c r="AE46" t="n">
        <v>26.7</v>
      </c>
      <c r="AF46" t="n">
        <v>35.4</v>
      </c>
    </row>
    <row r="47">
      <c r="A47" t="s">
        <v>30</v>
      </c>
      <c r="B47" t="s">
        <v>364</v>
      </c>
      <c r="C47" t="s">
        <v>217</v>
      </c>
      <c r="D47" t="s">
        <v>365</v>
      </c>
      <c r="E47" t="s">
        <v>218</v>
      </c>
      <c r="F47"/>
      <c r="G47" t="n">
        <v>17.3</v>
      </c>
      <c r="H47" t="n">
        <v>18.5</v>
      </c>
      <c r="I47" t="n">
        <v>24.1</v>
      </c>
      <c r="J47" t="n">
        <v>27.4</v>
      </c>
      <c r="K47" t="n">
        <v>36</v>
      </c>
      <c r="L47" t="n">
        <v>42.9</v>
      </c>
      <c r="M47" t="n">
        <v>66.9</v>
      </c>
      <c r="N47" t="n">
        <v>99.7</v>
      </c>
      <c r="O47" t="n">
        <v>93.5</v>
      </c>
      <c r="P47" t="n">
        <v>104</v>
      </c>
      <c r="Q47" t="n">
        <v>88.1</v>
      </c>
      <c r="R47" t="n">
        <v>104.3</v>
      </c>
      <c r="S47" t="n">
        <v>74.4</v>
      </c>
      <c r="T47" t="n">
        <v>104.7</v>
      </c>
      <c r="U47" t="n">
        <v>194.2</v>
      </c>
      <c r="V47" t="n">
        <v>138</v>
      </c>
      <c r="W47" t="n">
        <v>75.1</v>
      </c>
      <c r="X47" t="n">
        <v>93</v>
      </c>
      <c r="Y47" t="n">
        <v>66.3</v>
      </c>
      <c r="Z47" t="n">
        <v>75.8</v>
      </c>
      <c r="AA47" t="n">
        <v>66.2</v>
      </c>
      <c r="AB47" t="n">
        <v>106.4</v>
      </c>
      <c r="AC47" t="n">
        <v>85.2</v>
      </c>
      <c r="AD47" t="n">
        <v>89.3</v>
      </c>
      <c r="AE47" t="n">
        <v>98.1</v>
      </c>
      <c r="AF47" t="n">
        <v>108.2</v>
      </c>
    </row>
    <row r="48">
      <c r="A48" t="s">
        <v>30</v>
      </c>
      <c r="B48" t="s">
        <v>366</v>
      </c>
      <c r="C48" t="s">
        <v>217</v>
      </c>
      <c r="D48" t="s">
        <v>367</v>
      </c>
      <c r="E48" t="s">
        <v>218</v>
      </c>
      <c r="F48"/>
      <c r="G48" t="n">
        <v>36.5</v>
      </c>
      <c r="H48" t="n">
        <v>45</v>
      </c>
      <c r="I48" t="n">
        <v>55.5</v>
      </c>
      <c r="J48" t="n">
        <v>63.6</v>
      </c>
      <c r="K48" t="n">
        <v>94.4</v>
      </c>
      <c r="L48" t="n">
        <v>87</v>
      </c>
      <c r="M48" t="n">
        <v>105.1</v>
      </c>
      <c r="N48" t="n">
        <v>127.2</v>
      </c>
      <c r="O48" t="n">
        <v>138.3</v>
      </c>
      <c r="P48" t="n">
        <v>168.9</v>
      </c>
      <c r="Q48" t="n">
        <v>164.7</v>
      </c>
      <c r="R48" t="n">
        <v>178.2</v>
      </c>
      <c r="S48" t="n">
        <v>130.8</v>
      </c>
      <c r="T48" t="n">
        <v>174</v>
      </c>
      <c r="U48" t="n">
        <v>232.1</v>
      </c>
      <c r="V48" t="n">
        <v>180</v>
      </c>
      <c r="W48" t="n">
        <v>116.2</v>
      </c>
      <c r="X48" t="n">
        <v>133</v>
      </c>
      <c r="Y48" t="n">
        <v>118.4</v>
      </c>
      <c r="Z48" t="n">
        <v>128.1</v>
      </c>
      <c r="AA48" t="n">
        <v>120.9</v>
      </c>
      <c r="AB48" t="n">
        <v>165.9</v>
      </c>
      <c r="AC48" t="n">
        <v>165.5</v>
      </c>
      <c r="AD48" t="n">
        <v>164.5</v>
      </c>
      <c r="AE48" t="n">
        <v>180.3</v>
      </c>
      <c r="AF48" t="n">
        <v>196.4</v>
      </c>
    </row>
    <row r="49">
      <c r="A49" t="s">
        <v>30</v>
      </c>
      <c r="B49" t="s">
        <v>368</v>
      </c>
      <c r="C49" t="s">
        <v>217</v>
      </c>
      <c r="D49" t="s">
        <v>369</v>
      </c>
      <c r="E49" t="s">
        <v>218</v>
      </c>
      <c r="F49"/>
      <c r="G49" t="n">
        <v>16.6</v>
      </c>
      <c r="H49" t="n">
        <v>23.5</v>
      </c>
      <c r="I49" t="n">
        <v>27.7</v>
      </c>
      <c r="J49" t="n">
        <v>31.9</v>
      </c>
      <c r="K49" t="n">
        <v>52</v>
      </c>
      <c r="L49" t="n">
        <v>37.8</v>
      </c>
      <c r="M49" t="n">
        <v>33.3</v>
      </c>
      <c r="N49" t="n">
        <v>22.8</v>
      </c>
      <c r="O49" t="n">
        <v>39.5</v>
      </c>
      <c r="P49" t="n">
        <v>43.5</v>
      </c>
      <c r="Q49" t="n">
        <v>52.3</v>
      </c>
      <c r="R49" t="n">
        <v>49.3</v>
      </c>
      <c r="S49" t="n">
        <v>37.8</v>
      </c>
      <c r="T49" t="n">
        <v>50.2</v>
      </c>
      <c r="U49" t="n">
        <v>25.9</v>
      </c>
      <c r="V49" t="n">
        <v>27.6</v>
      </c>
      <c r="W49" t="n">
        <v>27.3</v>
      </c>
      <c r="X49" t="n">
        <v>26.6</v>
      </c>
      <c r="Y49" t="n">
        <v>37.7</v>
      </c>
      <c r="Z49" t="n">
        <v>25.9</v>
      </c>
      <c r="AA49" t="n">
        <v>26</v>
      </c>
      <c r="AB49" t="n">
        <v>28.7</v>
      </c>
      <c r="AC49" t="n">
        <v>37.8</v>
      </c>
      <c r="AD49" t="n">
        <v>36.7</v>
      </c>
      <c r="AE49" t="n">
        <v>39.8</v>
      </c>
      <c r="AF49" t="n">
        <v>50.4</v>
      </c>
    </row>
    <row r="50">
      <c r="A50" t="s">
        <v>30</v>
      </c>
      <c r="B50" t="s">
        <v>370</v>
      </c>
      <c r="C50" t="s">
        <v>217</v>
      </c>
      <c r="D50" t="s">
        <v>371</v>
      </c>
      <c r="E50" t="s">
        <v>218</v>
      </c>
      <c r="F50"/>
      <c r="G50" t="n">
        <v>2.6</v>
      </c>
      <c r="H50" t="n">
        <v>3</v>
      </c>
      <c r="I50" t="n">
        <v>3.7</v>
      </c>
      <c r="J50" t="n">
        <v>4.3</v>
      </c>
      <c r="K50" t="n">
        <v>6.4</v>
      </c>
      <c r="L50" t="n">
        <v>6.3</v>
      </c>
      <c r="M50" t="n">
        <v>4.8</v>
      </c>
      <c r="N50" t="n">
        <v>4.7</v>
      </c>
      <c r="O50" t="n">
        <v>5.2</v>
      </c>
      <c r="P50" t="n">
        <v>21.3</v>
      </c>
      <c r="Q50" t="n">
        <v>24.3</v>
      </c>
      <c r="R50" t="n">
        <v>24.6</v>
      </c>
      <c r="S50" t="n">
        <v>18.6</v>
      </c>
      <c r="T50" t="n">
        <v>19.1</v>
      </c>
      <c r="U50" t="n">
        <v>12</v>
      </c>
      <c r="V50" t="n">
        <v>14.5</v>
      </c>
      <c r="W50" t="n">
        <v>13.7</v>
      </c>
      <c r="X50" t="n">
        <v>13.5</v>
      </c>
      <c r="Y50" t="n">
        <v>14.4</v>
      </c>
      <c r="Z50" t="n">
        <v>26.4</v>
      </c>
      <c r="AA50" t="n">
        <v>28.7</v>
      </c>
      <c r="AB50" t="n">
        <v>30.8</v>
      </c>
      <c r="AC50" t="n">
        <v>42.5</v>
      </c>
      <c r="AD50" t="n">
        <v>38.5</v>
      </c>
      <c r="AE50" t="n">
        <v>42.4</v>
      </c>
      <c r="AF50" t="n">
        <v>37.8</v>
      </c>
    </row>
    <row r="51">
      <c r="A51" t="s">
        <v>30</v>
      </c>
      <c r="B51" t="s">
        <v>372</v>
      </c>
      <c r="C51" t="s">
        <v>217</v>
      </c>
      <c r="D51" t="s">
        <v>373</v>
      </c>
      <c r="E51" t="s">
        <v>218</v>
      </c>
      <c r="F51"/>
      <c r="G51" t="n">
        <v>2.5</v>
      </c>
      <c r="H51" t="n">
        <v>2.9</v>
      </c>
      <c r="I51" t="n">
        <v>3.7</v>
      </c>
      <c r="J51" t="n">
        <v>4.3</v>
      </c>
      <c r="K51" t="n">
        <v>6.3</v>
      </c>
      <c r="L51" t="n">
        <v>6.3</v>
      </c>
      <c r="M51" t="n">
        <v>4.7</v>
      </c>
      <c r="N51" t="n">
        <v>4.6</v>
      </c>
      <c r="O51" t="n">
        <v>5.1</v>
      </c>
      <c r="P51" t="n">
        <v>18.2</v>
      </c>
      <c r="Q51" t="n">
        <v>23.1</v>
      </c>
      <c r="R51" t="n">
        <v>23.7</v>
      </c>
      <c r="S51" t="n">
        <v>18.2</v>
      </c>
      <c r="T51" t="n">
        <v>18.8</v>
      </c>
      <c r="U51" t="n">
        <v>11.6</v>
      </c>
      <c r="V51" t="n">
        <v>13.1</v>
      </c>
      <c r="W51" t="n">
        <v>13.3</v>
      </c>
      <c r="X51" t="n">
        <v>13.1</v>
      </c>
      <c r="Y51" t="n">
        <v>14.1</v>
      </c>
      <c r="Z51" t="n">
        <v>26.3</v>
      </c>
      <c r="AA51" t="n">
        <v>28.6</v>
      </c>
      <c r="AB51" t="n">
        <v>30.7</v>
      </c>
      <c r="AC51" t="n">
        <v>42.4</v>
      </c>
      <c r="AD51" t="n">
        <v>38.4</v>
      </c>
      <c r="AE51" t="n">
        <v>42.2</v>
      </c>
      <c r="AF51" t="n">
        <v>37.4</v>
      </c>
    </row>
    <row r="52">
      <c r="A52" t="s">
        <v>30</v>
      </c>
      <c r="B52" t="s">
        <v>374</v>
      </c>
      <c r="C52" t="s">
        <v>217</v>
      </c>
      <c r="D52" t="s">
        <v>375</v>
      </c>
      <c r="E52" t="s">
        <v>218</v>
      </c>
      <c r="F52" t="n">
        <v>0</v>
      </c>
      <c r="G52" t="n">
        <v>0</v>
      </c>
      <c r="H52" t="n">
        <v>0.1</v>
      </c>
      <c r="I52" t="n">
        <v>0</v>
      </c>
      <c r="J52" t="n">
        <v>0.1</v>
      </c>
      <c r="K52" t="n">
        <v>0.2</v>
      </c>
      <c r="L52" t="n">
        <v>0</v>
      </c>
      <c r="M52" t="n">
        <v>0.1</v>
      </c>
      <c r="N52" t="n">
        <v>0.1</v>
      </c>
      <c r="O52" t="n">
        <v>0.1</v>
      </c>
      <c r="P52" t="n">
        <v>3.1</v>
      </c>
      <c r="Q52" t="n">
        <v>1.2</v>
      </c>
      <c r="R52" t="n">
        <v>0.9</v>
      </c>
      <c r="S52" t="n">
        <v>0.4</v>
      </c>
      <c r="T52" t="n">
        <v>0.3</v>
      </c>
      <c r="U52" t="n">
        <v>0.4</v>
      </c>
      <c r="V52" t="n">
        <v>1.4</v>
      </c>
      <c r="W52" t="n">
        <v>0.4</v>
      </c>
      <c r="X52" t="n">
        <v>0.4</v>
      </c>
      <c r="Y52" t="n">
        <v>0.3</v>
      </c>
      <c r="Z52" t="n">
        <v>0.1</v>
      </c>
      <c r="AA52" t="n">
        <v>0.1</v>
      </c>
      <c r="AB52" t="n">
        <v>0.1</v>
      </c>
      <c r="AC52" t="n">
        <v>0.1</v>
      </c>
      <c r="AD52" t="n">
        <v>0.1</v>
      </c>
      <c r="AE52" t="n">
        <v>0.2</v>
      </c>
      <c r="AF52" t="n">
        <v>0.4</v>
      </c>
    </row>
    <row r="53">
      <c r="A53" t="s">
        <v>30</v>
      </c>
      <c r="B53" t="s">
        <v>376</v>
      </c>
      <c r="C53" t="s">
        <v>217</v>
      </c>
      <c r="D53" t="s">
        <v>377</v>
      </c>
      <c r="E53" t="s">
        <v>218</v>
      </c>
      <c r="F53"/>
      <c r="G53" t="n">
        <v>2.3</v>
      </c>
      <c r="H53" t="n">
        <v>3</v>
      </c>
      <c r="I53" t="n">
        <v>3.1</v>
      </c>
      <c r="J53" t="n">
        <v>3.7</v>
      </c>
      <c r="K53" t="n">
        <v>8.6</v>
      </c>
      <c r="L53" t="n">
        <v>6.5</v>
      </c>
      <c r="M53" t="n">
        <v>11.3</v>
      </c>
      <c r="N53" t="n">
        <v>11</v>
      </c>
      <c r="O53" t="n">
        <v>10.9</v>
      </c>
      <c r="P53" t="n">
        <v>2.6</v>
      </c>
      <c r="Q53" t="n">
        <v>3</v>
      </c>
      <c r="R53" t="n">
        <v>3.4</v>
      </c>
      <c r="S53" t="n">
        <v>2.5</v>
      </c>
      <c r="T53" t="n">
        <v>3.2</v>
      </c>
      <c r="U53" t="n">
        <v>4.6</v>
      </c>
      <c r="V53" t="n">
        <v>6.4</v>
      </c>
      <c r="W53" t="n">
        <v>4.3</v>
      </c>
      <c r="X53" t="n">
        <v>4.7</v>
      </c>
      <c r="Y53" t="n">
        <v>5.8</v>
      </c>
      <c r="Z53" t="n">
        <v>4</v>
      </c>
      <c r="AA53" t="n">
        <v>4.3</v>
      </c>
      <c r="AB53" t="n">
        <v>4.8</v>
      </c>
      <c r="AC53" t="n">
        <v>6</v>
      </c>
      <c r="AD53" t="n">
        <v>5.6</v>
      </c>
      <c r="AE53" t="n">
        <v>6.2</v>
      </c>
      <c r="AF53" t="n">
        <v>10.8</v>
      </c>
    </row>
    <row r="54">
      <c r="A54" t="s">
        <v>30</v>
      </c>
      <c r="B54" t="s">
        <v>378</v>
      </c>
      <c r="C54" t="s">
        <v>217</v>
      </c>
      <c r="D54" t="s">
        <v>379</v>
      </c>
      <c r="E54" t="s">
        <v>218</v>
      </c>
      <c r="F54"/>
      <c r="G54" t="n">
        <v>11.3</v>
      </c>
      <c r="H54" t="n">
        <v>16</v>
      </c>
      <c r="I54" t="n">
        <v>17.6</v>
      </c>
      <c r="J54" t="n">
        <v>20.6</v>
      </c>
      <c r="K54" t="n">
        <v>41.5</v>
      </c>
      <c r="L54" t="n">
        <v>20.6</v>
      </c>
      <c r="M54" t="n">
        <v>23.7</v>
      </c>
      <c r="N54" t="n">
        <v>23.6</v>
      </c>
      <c r="O54" t="n">
        <v>24.1</v>
      </c>
      <c r="P54" t="n">
        <v>10.7</v>
      </c>
      <c r="Q54" t="n">
        <v>13.8</v>
      </c>
      <c r="R54" t="n">
        <v>15.9</v>
      </c>
      <c r="S54" t="n">
        <v>11.8</v>
      </c>
      <c r="T54" t="n">
        <v>14.9</v>
      </c>
      <c r="U54" t="n">
        <v>26.5</v>
      </c>
      <c r="V54" t="n">
        <v>24.9</v>
      </c>
      <c r="W54" t="n">
        <v>18.8</v>
      </c>
      <c r="X54" t="n">
        <v>25.4</v>
      </c>
      <c r="Y54" t="n">
        <v>27.6</v>
      </c>
      <c r="Z54" t="n">
        <v>21.5</v>
      </c>
      <c r="AA54" t="n">
        <v>20.2</v>
      </c>
      <c r="AB54" t="n">
        <v>21.6</v>
      </c>
      <c r="AC54" t="n">
        <v>24.6</v>
      </c>
      <c r="AD54" t="n">
        <v>24</v>
      </c>
      <c r="AE54" t="n">
        <v>25</v>
      </c>
      <c r="AF54" t="n">
        <v>33.8</v>
      </c>
    </row>
    <row r="55">
      <c r="A55" t="s">
        <v>30</v>
      </c>
      <c r="B55" t="s">
        <v>380</v>
      </c>
      <c r="C55" t="s">
        <v>217</v>
      </c>
      <c r="D55" t="s">
        <v>381</v>
      </c>
      <c r="E55" t="s">
        <v>218</v>
      </c>
      <c r="F55"/>
      <c r="G55" t="n">
        <v>9</v>
      </c>
      <c r="H55" t="n">
        <v>13</v>
      </c>
      <c r="I55" t="n">
        <v>14.5</v>
      </c>
      <c r="J55" t="n">
        <v>16.9</v>
      </c>
      <c r="K55" t="n">
        <v>32.9</v>
      </c>
      <c r="L55" t="n">
        <v>14.1</v>
      </c>
      <c r="M55" t="n">
        <v>12.4</v>
      </c>
      <c r="N55" t="n">
        <v>12.6</v>
      </c>
      <c r="O55" t="n">
        <v>13.2</v>
      </c>
      <c r="P55" t="n">
        <v>8.1</v>
      </c>
      <c r="Q55" t="n">
        <v>10.8</v>
      </c>
      <c r="R55" t="n">
        <v>12.5</v>
      </c>
      <c r="S55" t="n">
        <v>9.3</v>
      </c>
      <c r="T55" t="n">
        <v>11.7</v>
      </c>
      <c r="U55" t="n">
        <v>21.9</v>
      </c>
      <c r="V55" t="n">
        <v>18.5</v>
      </c>
      <c r="W55" t="n">
        <v>14.5</v>
      </c>
      <c r="X55" t="n">
        <v>20.7</v>
      </c>
      <c r="Y55" t="n">
        <v>21.8</v>
      </c>
      <c r="Z55" t="n">
        <v>17.5</v>
      </c>
      <c r="AA55" t="n">
        <v>15.9</v>
      </c>
      <c r="AB55" t="n">
        <v>16.8</v>
      </c>
      <c r="AC55" t="n">
        <v>18.6</v>
      </c>
      <c r="AD55" t="n">
        <v>18.4</v>
      </c>
      <c r="AE55" t="n">
        <v>18.8</v>
      </c>
      <c r="AF55" t="n">
        <v>23</v>
      </c>
    </row>
    <row r="56">
      <c r="A56" t="s">
        <v>30</v>
      </c>
      <c r="B56" t="s">
        <v>382</v>
      </c>
      <c r="C56" t="s">
        <v>217</v>
      </c>
      <c r="D56" t="s">
        <v>383</v>
      </c>
      <c r="E56" t="s">
        <v>218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30</v>
      </c>
      <c r="B57" t="s">
        <v>384</v>
      </c>
      <c r="C57" t="s">
        <v>217</v>
      </c>
      <c r="D57" t="s">
        <v>385</v>
      </c>
      <c r="E57" t="s">
        <v>218</v>
      </c>
      <c r="F57"/>
      <c r="G57" t="n">
        <v>177.6</v>
      </c>
      <c r="H57" t="n">
        <v>213.7</v>
      </c>
      <c r="I57" t="n">
        <v>270.8</v>
      </c>
      <c r="J57" t="n">
        <v>321.8</v>
      </c>
      <c r="K57" t="n">
        <v>484.5</v>
      </c>
      <c r="L57" t="n">
        <v>471.7</v>
      </c>
      <c r="M57" t="n">
        <v>633.1</v>
      </c>
      <c r="N57" t="n">
        <v>517.3</v>
      </c>
      <c r="O57" t="n">
        <v>579.6</v>
      </c>
      <c r="P57" t="n">
        <v>565.5</v>
      </c>
      <c r="Q57" t="n">
        <v>737</v>
      </c>
      <c r="R57" t="n">
        <v>855</v>
      </c>
      <c r="S57" t="n">
        <v>682.7</v>
      </c>
      <c r="T57" t="n">
        <v>735.2</v>
      </c>
      <c r="U57" t="n">
        <v>1458.8</v>
      </c>
      <c r="V57" t="n">
        <v>1361.2</v>
      </c>
      <c r="W57" t="n">
        <v>1208.6</v>
      </c>
      <c r="X57" t="n">
        <v>1214.1</v>
      </c>
      <c r="Y57" t="n">
        <v>1180.4</v>
      </c>
      <c r="Z57" t="n">
        <v>1241.7</v>
      </c>
      <c r="AA57" t="n">
        <v>1307.2</v>
      </c>
      <c r="AB57" t="n">
        <v>1375.2</v>
      </c>
      <c r="AC57" t="n">
        <v>1463.4</v>
      </c>
      <c r="AD57" t="n">
        <v>1560.3</v>
      </c>
      <c r="AE57" t="n">
        <v>1668.5</v>
      </c>
      <c r="AF57" t="n">
        <v>2016.9</v>
      </c>
    </row>
    <row r="58">
      <c r="A58" t="s">
        <v>30</v>
      </c>
      <c r="B58" t="s">
        <v>386</v>
      </c>
      <c r="C58" t="s">
        <v>217</v>
      </c>
      <c r="D58" t="s">
        <v>387</v>
      </c>
      <c r="E58" t="s">
        <v>218</v>
      </c>
      <c r="F58"/>
      <c r="G58" t="n">
        <v>177.6</v>
      </c>
      <c r="H58" t="n">
        <v>213.7</v>
      </c>
      <c r="I58" t="n">
        <v>270.8</v>
      </c>
      <c r="J58" t="n">
        <v>321.8</v>
      </c>
      <c r="K58" t="n">
        <v>484.5</v>
      </c>
      <c r="L58" t="n">
        <v>471.7</v>
      </c>
      <c r="M58" t="n">
        <v>633.1</v>
      </c>
      <c r="N58" t="n">
        <v>517.3</v>
      </c>
      <c r="O58" t="n">
        <v>579.6</v>
      </c>
      <c r="P58" t="n">
        <v>565.5</v>
      </c>
      <c r="Q58" t="n">
        <v>737</v>
      </c>
      <c r="R58" t="n">
        <v>855</v>
      </c>
      <c r="S58" t="n">
        <v>682.7</v>
      </c>
      <c r="T58" t="n">
        <v>735.2</v>
      </c>
      <c r="U58" t="n">
        <v>1458.8</v>
      </c>
      <c r="V58" t="n">
        <v>1361.2</v>
      </c>
      <c r="W58" t="n">
        <v>1208.6</v>
      </c>
      <c r="X58" t="n">
        <v>1214.1</v>
      </c>
      <c r="Y58" t="n">
        <v>1180.4</v>
      </c>
      <c r="Z58" t="n">
        <v>1241.7</v>
      </c>
      <c r="AA58" t="n">
        <v>1307.2</v>
      </c>
      <c r="AB58" t="n">
        <v>1375.2</v>
      </c>
      <c r="AC58" t="n">
        <v>1463.4</v>
      </c>
      <c r="AD58" t="n">
        <v>1560.3</v>
      </c>
      <c r="AE58" t="n">
        <v>1668.5</v>
      </c>
      <c r="AF58" t="n">
        <v>2016.9</v>
      </c>
    </row>
    <row r="59">
      <c r="A59" t="s">
        <v>30</v>
      </c>
      <c r="B59" t="s">
        <v>388</v>
      </c>
      <c r="C59" t="s">
        <v>217</v>
      </c>
      <c r="D59" t="s">
        <v>389</v>
      </c>
      <c r="E59" t="s">
        <v>218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32</v>
      </c>
      <c r="B2" t="s">
        <v>197</v>
      </c>
      <c r="C2" t="s">
        <v>217</v>
      </c>
      <c r="D2" t="s">
        <v>199</v>
      </c>
      <c r="E2" t="s">
        <v>218</v>
      </c>
      <c r="F2"/>
      <c r="G2" t="n">
        <v>119.8</v>
      </c>
      <c r="H2" t="n">
        <v>223</v>
      </c>
      <c r="I2" t="n">
        <v>172.8</v>
      </c>
      <c r="J2" t="n">
        <v>203.9</v>
      </c>
      <c r="K2" t="n">
        <v>220.2</v>
      </c>
      <c r="L2" t="n">
        <v>424.2</v>
      </c>
      <c r="M2" t="n">
        <v>416.9</v>
      </c>
      <c r="N2" t="n">
        <v>343.4</v>
      </c>
      <c r="O2" t="n">
        <v>356.5</v>
      </c>
      <c r="P2" t="n">
        <v>435.9</v>
      </c>
      <c r="Q2" t="n">
        <v>363.7</v>
      </c>
      <c r="R2" t="n">
        <v>527.5</v>
      </c>
      <c r="S2" t="n">
        <v>448.7</v>
      </c>
      <c r="T2" t="n">
        <v>331.5</v>
      </c>
      <c r="U2" t="n">
        <v>354.7</v>
      </c>
      <c r="V2" t="n">
        <v>251.7</v>
      </c>
      <c r="W2" t="n">
        <v>273</v>
      </c>
      <c r="X2" t="n">
        <v>406.4</v>
      </c>
      <c r="Y2" t="n">
        <v>241.2</v>
      </c>
      <c r="Z2" t="n">
        <v>414.6</v>
      </c>
      <c r="AA2" t="n">
        <v>423.1</v>
      </c>
      <c r="AB2" t="n">
        <v>439</v>
      </c>
      <c r="AC2" t="n">
        <v>535.8</v>
      </c>
      <c r="AD2" t="n">
        <v>637.9</v>
      </c>
      <c r="AE2" t="n">
        <v>506.1</v>
      </c>
      <c r="AF2" t="n">
        <v>347.3</v>
      </c>
    </row>
    <row r="3">
      <c r="A3" t="s">
        <v>32</v>
      </c>
      <c r="B3" t="s">
        <v>276</v>
      </c>
      <c r="C3" t="s">
        <v>217</v>
      </c>
      <c r="D3" t="s">
        <v>277</v>
      </c>
      <c r="E3" t="s">
        <v>218</v>
      </c>
      <c r="F3"/>
      <c r="G3" t="n">
        <v>1.9</v>
      </c>
      <c r="H3" t="n">
        <v>3.8</v>
      </c>
      <c r="I3" t="n">
        <v>2.6</v>
      </c>
      <c r="J3" t="n">
        <v>3.4</v>
      </c>
      <c r="K3" t="n">
        <v>3.5</v>
      </c>
      <c r="L3" t="n">
        <v>9</v>
      </c>
      <c r="M3" t="n">
        <v>3.9</v>
      </c>
      <c r="N3" t="n">
        <v>4.6</v>
      </c>
      <c r="O3" t="n">
        <v>5.3</v>
      </c>
      <c r="P3" t="n">
        <v>9.5</v>
      </c>
      <c r="Q3" t="n">
        <v>4.8</v>
      </c>
      <c r="R3" t="n">
        <v>2.7</v>
      </c>
      <c r="S3" t="n">
        <v>5.2</v>
      </c>
      <c r="T3" t="n">
        <v>4.1</v>
      </c>
      <c r="U3" t="n">
        <v>0</v>
      </c>
      <c r="V3" t="n">
        <v>-3.9</v>
      </c>
      <c r="W3" t="n">
        <v>1.2</v>
      </c>
      <c r="X3" t="n">
        <v>-1.3</v>
      </c>
      <c r="Y3" t="n">
        <v>7.1</v>
      </c>
      <c r="Z3" t="n">
        <v>4.8</v>
      </c>
      <c r="AA3" t="n">
        <v>-4.5</v>
      </c>
      <c r="AB3" t="n">
        <v>-4.7</v>
      </c>
      <c r="AC3" t="n">
        <v>3.7</v>
      </c>
      <c r="AD3" t="n">
        <v>2.4</v>
      </c>
      <c r="AE3" t="n">
        <v>1.9</v>
      </c>
      <c r="AF3" t="n">
        <v>3.1</v>
      </c>
    </row>
    <row r="4">
      <c r="A4" t="s">
        <v>32</v>
      </c>
      <c r="B4" t="s">
        <v>278</v>
      </c>
      <c r="C4" t="s">
        <v>217</v>
      </c>
      <c r="D4" t="s">
        <v>279</v>
      </c>
      <c r="E4" t="s">
        <v>218</v>
      </c>
      <c r="F4"/>
      <c r="G4" t="n">
        <v>120.9</v>
      </c>
      <c r="H4" t="n">
        <v>233.5</v>
      </c>
      <c r="I4" t="n">
        <v>158.4</v>
      </c>
      <c r="J4" t="n">
        <v>212.3</v>
      </c>
      <c r="K4" t="n">
        <v>220</v>
      </c>
      <c r="L4" t="n">
        <v>124.9</v>
      </c>
      <c r="M4" t="n">
        <v>83.6</v>
      </c>
      <c r="N4" t="n">
        <v>50.5</v>
      </c>
      <c r="O4" t="n">
        <v>70.9</v>
      </c>
      <c r="P4" t="n">
        <v>61.4</v>
      </c>
      <c r="Q4" t="n">
        <v>45.7</v>
      </c>
      <c r="R4" t="n">
        <v>74.6</v>
      </c>
      <c r="S4" t="n">
        <v>48.6</v>
      </c>
      <c r="T4" t="n">
        <v>39.5</v>
      </c>
      <c r="U4" t="n">
        <v>31.6</v>
      </c>
      <c r="V4" t="n">
        <v>-1.5</v>
      </c>
      <c r="W4" t="n">
        <v>-13.3</v>
      </c>
      <c r="X4" t="n">
        <v>-6.9</v>
      </c>
      <c r="Y4" t="n">
        <v>24.8</v>
      </c>
      <c r="Z4" t="n">
        <v>23.1</v>
      </c>
      <c r="AA4" t="n">
        <v>19.4</v>
      </c>
      <c r="AB4" t="n">
        <v>20.6</v>
      </c>
      <c r="AC4" t="n">
        <v>22.6</v>
      </c>
      <c r="AD4" t="n">
        <v>75.3</v>
      </c>
      <c r="AE4" t="n">
        <v>54.5</v>
      </c>
      <c r="AF4" t="n">
        <v>48.5</v>
      </c>
    </row>
    <row r="5">
      <c r="A5" t="s">
        <v>32</v>
      </c>
      <c r="B5" t="s">
        <v>280</v>
      </c>
      <c r="C5" t="s">
        <v>217</v>
      </c>
      <c r="D5" t="s">
        <v>281</v>
      </c>
      <c r="E5" t="s">
        <v>218</v>
      </c>
      <c r="F5"/>
      <c r="G5" t="n">
        <v>7.5</v>
      </c>
      <c r="H5" t="n">
        <v>14.4</v>
      </c>
      <c r="I5" t="n">
        <v>9.8</v>
      </c>
      <c r="J5" t="n">
        <v>13.1</v>
      </c>
      <c r="K5" t="n">
        <v>13.6</v>
      </c>
      <c r="L5" t="n">
        <v>27.4</v>
      </c>
      <c r="M5" t="n">
        <v>29.6</v>
      </c>
      <c r="N5" t="n">
        <v>11.8</v>
      </c>
      <c r="O5" t="n">
        <v>22.2</v>
      </c>
      <c r="P5" t="n">
        <v>19</v>
      </c>
      <c r="Q5" t="n">
        <v>17.7</v>
      </c>
      <c r="R5" t="n">
        <v>17.2</v>
      </c>
      <c r="S5" t="n">
        <v>16.6</v>
      </c>
      <c r="T5" t="n">
        <v>9.6</v>
      </c>
      <c r="U5" t="n">
        <v>21.4</v>
      </c>
      <c r="V5" t="n">
        <v>4.9</v>
      </c>
      <c r="W5" t="n">
        <v>3.9</v>
      </c>
      <c r="X5" t="n">
        <v>6.3</v>
      </c>
      <c r="Y5" t="n">
        <v>6.4</v>
      </c>
      <c r="Z5" t="n">
        <v>19.7</v>
      </c>
      <c r="AA5" t="n">
        <v>15.4</v>
      </c>
      <c r="AB5" t="n">
        <v>16.4</v>
      </c>
      <c r="AC5" t="n">
        <v>14.9</v>
      </c>
      <c r="AD5" t="n">
        <v>19.3</v>
      </c>
      <c r="AE5" t="n">
        <v>25.8</v>
      </c>
      <c r="AF5" t="n">
        <v>20.3</v>
      </c>
    </row>
    <row r="6">
      <c r="A6" t="s">
        <v>32</v>
      </c>
      <c r="B6" t="s">
        <v>282</v>
      </c>
      <c r="C6" t="s">
        <v>217</v>
      </c>
      <c r="D6" t="s">
        <v>283</v>
      </c>
      <c r="E6" t="s">
        <v>218</v>
      </c>
      <c r="F6"/>
      <c r="G6" t="n">
        <v>2.9</v>
      </c>
      <c r="H6" t="n">
        <v>5.7</v>
      </c>
      <c r="I6" t="n">
        <v>3.9</v>
      </c>
      <c r="J6" t="n">
        <v>5.2</v>
      </c>
      <c r="K6" t="n">
        <v>5.4</v>
      </c>
      <c r="L6" t="n">
        <v>8.6</v>
      </c>
      <c r="M6" t="n">
        <v>15.4</v>
      </c>
      <c r="N6" t="n">
        <v>6.1</v>
      </c>
      <c r="O6" t="n">
        <v>9.9</v>
      </c>
      <c r="P6" t="n">
        <v>5.6</v>
      </c>
      <c r="Q6" t="n">
        <v>-9.2</v>
      </c>
      <c r="R6" t="n">
        <v>1</v>
      </c>
      <c r="S6" t="n">
        <v>2</v>
      </c>
      <c r="T6" t="n">
        <v>1.8</v>
      </c>
      <c r="U6" t="n">
        <v>-2.8</v>
      </c>
      <c r="V6" t="n">
        <v>0.3</v>
      </c>
      <c r="W6" t="n">
        <v>0.4</v>
      </c>
      <c r="X6" t="n">
        <v>0.4</v>
      </c>
      <c r="Y6" t="n">
        <v>0.5</v>
      </c>
      <c r="Z6" t="n">
        <v>-1.1</v>
      </c>
      <c r="AA6" t="n">
        <v>0.9</v>
      </c>
      <c r="AB6" t="n">
        <v>1</v>
      </c>
      <c r="AC6" t="n">
        <v>-13.3</v>
      </c>
      <c r="AD6" t="n">
        <v>0.5</v>
      </c>
      <c r="AE6" t="n">
        <v>-4.4</v>
      </c>
      <c r="AF6" t="n">
        <v>2.1</v>
      </c>
    </row>
    <row r="7">
      <c r="A7" t="s">
        <v>32</v>
      </c>
      <c r="B7" t="s">
        <v>284</v>
      </c>
      <c r="C7" t="s">
        <v>217</v>
      </c>
      <c r="D7" t="s">
        <v>285</v>
      </c>
      <c r="E7" t="s">
        <v>218</v>
      </c>
      <c r="F7"/>
      <c r="G7" t="n">
        <v>2.4</v>
      </c>
      <c r="H7" t="n">
        <v>4.7</v>
      </c>
      <c r="I7" t="n">
        <v>3.2</v>
      </c>
      <c r="J7" t="n">
        <v>4.2</v>
      </c>
      <c r="K7" t="n">
        <v>4.4</v>
      </c>
      <c r="L7" t="n">
        <v>7.3</v>
      </c>
      <c r="M7" t="n">
        <v>-8.3</v>
      </c>
      <c r="N7" t="n">
        <v>2.9</v>
      </c>
      <c r="O7" t="n">
        <v>4.4</v>
      </c>
      <c r="P7" t="n">
        <v>4.6</v>
      </c>
      <c r="Q7" t="n">
        <v>3.2</v>
      </c>
      <c r="R7" t="n">
        <v>6.2</v>
      </c>
      <c r="S7" t="n">
        <v>3.8</v>
      </c>
      <c r="T7" t="n">
        <v>4.4</v>
      </c>
      <c r="U7" t="n">
        <v>1.8</v>
      </c>
      <c r="V7" t="n">
        <v>-1</v>
      </c>
      <c r="W7" t="n">
        <v>-1</v>
      </c>
      <c r="X7" t="n">
        <v>-1.4</v>
      </c>
      <c r="Y7" t="n">
        <v>2.6</v>
      </c>
      <c r="Z7" t="n">
        <v>0.6</v>
      </c>
      <c r="AA7" t="n">
        <v>1.7</v>
      </c>
      <c r="AB7" t="n">
        <v>1.8</v>
      </c>
      <c r="AC7" t="n">
        <v>0.4</v>
      </c>
      <c r="AD7" t="n">
        <v>1.3</v>
      </c>
      <c r="AE7" t="n">
        <v>3.4</v>
      </c>
      <c r="AF7" t="n">
        <v>-1.4</v>
      </c>
    </row>
    <row r="8">
      <c r="A8" t="s">
        <v>32</v>
      </c>
      <c r="B8" t="s">
        <v>286</v>
      </c>
      <c r="C8" t="s">
        <v>217</v>
      </c>
      <c r="D8" t="s">
        <v>287</v>
      </c>
      <c r="E8" t="s">
        <v>218</v>
      </c>
      <c r="F8"/>
      <c r="G8" t="n">
        <v>0.2</v>
      </c>
      <c r="H8" t="n">
        <v>0.3</v>
      </c>
      <c r="I8" t="n">
        <v>0.2</v>
      </c>
      <c r="J8" t="n">
        <v>0.3</v>
      </c>
      <c r="K8" t="n">
        <v>0.3</v>
      </c>
      <c r="L8" t="n">
        <v>0.3</v>
      </c>
      <c r="M8" t="n">
        <v>1.3</v>
      </c>
      <c r="N8" t="n">
        <v>0.3</v>
      </c>
      <c r="O8" t="n">
        <v>0.6</v>
      </c>
      <c r="P8" t="n">
        <v>0.9</v>
      </c>
      <c r="Q8" t="n">
        <v>0.5</v>
      </c>
      <c r="R8" t="n">
        <v>0.4</v>
      </c>
      <c r="S8" t="n">
        <v>1</v>
      </c>
      <c r="T8" t="n">
        <v>0.9</v>
      </c>
      <c r="U8" t="n">
        <v>0.6</v>
      </c>
      <c r="V8" t="n">
        <v>0.3</v>
      </c>
      <c r="W8" t="n">
        <v>-0.7</v>
      </c>
      <c r="X8" t="n">
        <v>0.4</v>
      </c>
      <c r="Y8" t="n">
        <v>0.8</v>
      </c>
      <c r="Z8" t="n">
        <v>1.6</v>
      </c>
      <c r="AA8" t="n">
        <v>1.4</v>
      </c>
      <c r="AB8" t="n">
        <v>1.5</v>
      </c>
      <c r="AC8" t="n">
        <v>0.2</v>
      </c>
      <c r="AD8" t="n">
        <v>28.1</v>
      </c>
      <c r="AE8" t="n">
        <v>0.4</v>
      </c>
      <c r="AF8" t="n">
        <v>5.2</v>
      </c>
    </row>
    <row r="9">
      <c r="A9" t="s">
        <v>32</v>
      </c>
      <c r="B9" t="s">
        <v>288</v>
      </c>
      <c r="C9" t="s">
        <v>217</v>
      </c>
      <c r="D9" t="s">
        <v>289</v>
      </c>
      <c r="E9" t="s">
        <v>218</v>
      </c>
      <c r="F9"/>
      <c r="G9" t="n">
        <v>0.9</v>
      </c>
      <c r="H9" t="n">
        <v>1.8</v>
      </c>
      <c r="I9" t="n">
        <v>1.2</v>
      </c>
      <c r="J9" t="n">
        <v>1.6</v>
      </c>
      <c r="K9" t="n">
        <v>1.7</v>
      </c>
      <c r="L9" t="n">
        <v>4.4</v>
      </c>
      <c r="M9" t="n">
        <v>3.8</v>
      </c>
      <c r="N9" t="n">
        <v>1.5</v>
      </c>
      <c r="O9" t="n">
        <v>4.6</v>
      </c>
      <c r="P9" t="n">
        <v>2.2</v>
      </c>
      <c r="Q9" t="n">
        <v>1.8</v>
      </c>
      <c r="R9" t="n">
        <v>3.8</v>
      </c>
      <c r="S9" t="n">
        <v>5.3</v>
      </c>
      <c r="T9" t="n">
        <v>2.4</v>
      </c>
      <c r="U9" t="n">
        <v>2.3</v>
      </c>
      <c r="V9" t="n">
        <v>2.5</v>
      </c>
      <c r="W9" t="n">
        <v>0.5</v>
      </c>
      <c r="X9" t="n">
        <v>1.9</v>
      </c>
      <c r="Y9" t="n">
        <v>1.2</v>
      </c>
      <c r="Z9" t="n">
        <v>-0.7</v>
      </c>
      <c r="AA9" t="n">
        <v>1.3</v>
      </c>
      <c r="AB9" t="n">
        <v>1.4</v>
      </c>
      <c r="AC9" t="n">
        <v>2.3</v>
      </c>
      <c r="AD9" t="n">
        <v>2.7</v>
      </c>
      <c r="AE9" t="n">
        <v>-0.2</v>
      </c>
      <c r="AF9" t="n">
        <v>3.6</v>
      </c>
    </row>
    <row r="10">
      <c r="A10" t="s">
        <v>32</v>
      </c>
      <c r="B10" t="s">
        <v>290</v>
      </c>
      <c r="C10" t="s">
        <v>217</v>
      </c>
      <c r="D10" t="s">
        <v>291</v>
      </c>
      <c r="E10" t="s">
        <v>218</v>
      </c>
      <c r="F10"/>
      <c r="G10" t="n">
        <v>1.2</v>
      </c>
      <c r="H10" t="n">
        <v>2.5</v>
      </c>
      <c r="I10" t="n">
        <v>1.6</v>
      </c>
      <c r="J10" t="n">
        <v>2.2</v>
      </c>
      <c r="K10" t="n">
        <v>2.3</v>
      </c>
      <c r="L10" t="n">
        <v>6</v>
      </c>
      <c r="M10" t="n">
        <v>5.2</v>
      </c>
      <c r="N10" t="n">
        <v>2.1</v>
      </c>
      <c r="O10" t="n">
        <v>6.3</v>
      </c>
      <c r="P10" t="n">
        <v>2.2</v>
      </c>
      <c r="Q10" t="n">
        <v>1.9</v>
      </c>
      <c r="R10" t="n">
        <v>4</v>
      </c>
      <c r="S10" t="n">
        <v>6.3</v>
      </c>
      <c r="T10" t="n">
        <v>2.5</v>
      </c>
      <c r="U10" t="n">
        <v>2.6</v>
      </c>
      <c r="V10" t="n">
        <v>3.7</v>
      </c>
      <c r="W10" t="n">
        <v>1.7</v>
      </c>
      <c r="X10" t="n">
        <v>3.2</v>
      </c>
      <c r="Y10" t="n">
        <v>1.7</v>
      </c>
      <c r="Z10" t="n">
        <v>0.4</v>
      </c>
      <c r="AA10" t="n">
        <v>1.9</v>
      </c>
      <c r="AB10" t="n">
        <v>2</v>
      </c>
      <c r="AC10" t="n">
        <v>1</v>
      </c>
      <c r="AD10" t="n">
        <v>3.4</v>
      </c>
      <c r="AE10" t="n">
        <v>-0.5</v>
      </c>
      <c r="AF10" t="n">
        <v>3.1</v>
      </c>
    </row>
    <row r="11">
      <c r="A11" t="s">
        <v>32</v>
      </c>
      <c r="B11" t="s">
        <v>292</v>
      </c>
      <c r="C11" t="s">
        <v>217</v>
      </c>
      <c r="D11" t="s">
        <v>293</v>
      </c>
      <c r="E11" t="s">
        <v>218</v>
      </c>
      <c r="F11"/>
      <c r="G11" t="n">
        <v>0.3</v>
      </c>
      <c r="H11" t="n">
        <v>0.7</v>
      </c>
      <c r="I11" t="n">
        <v>0.4</v>
      </c>
      <c r="J11" t="n">
        <v>0.6</v>
      </c>
      <c r="K11" t="n">
        <v>0.6</v>
      </c>
      <c r="L11" t="n">
        <v>1.6</v>
      </c>
      <c r="M11" t="n">
        <v>1.4</v>
      </c>
      <c r="N11" t="n">
        <v>0.6</v>
      </c>
      <c r="O11" t="n">
        <v>1.7</v>
      </c>
      <c r="P11" t="n">
        <v>0</v>
      </c>
      <c r="Q11" t="n">
        <v>0.1</v>
      </c>
      <c r="R11" t="n">
        <v>0.2</v>
      </c>
      <c r="S11" t="n">
        <v>1</v>
      </c>
      <c r="T11" t="n">
        <v>0.1</v>
      </c>
      <c r="U11" t="n">
        <v>0.3</v>
      </c>
      <c r="V11" t="n">
        <v>1.2</v>
      </c>
      <c r="W11" t="n">
        <v>1.2</v>
      </c>
      <c r="X11" t="n">
        <v>1.3</v>
      </c>
      <c r="Y11" t="n">
        <v>0.5</v>
      </c>
      <c r="Z11" t="n">
        <v>1.1</v>
      </c>
      <c r="AA11" t="n">
        <v>0.6</v>
      </c>
      <c r="AB11" t="n">
        <v>0.6</v>
      </c>
      <c r="AC11" t="n">
        <v>-1.3</v>
      </c>
      <c r="AD11" t="n">
        <v>0.7</v>
      </c>
      <c r="AE11" t="n">
        <v>-0.3</v>
      </c>
      <c r="AF11" t="n">
        <v>-0.5</v>
      </c>
    </row>
    <row r="12">
      <c r="A12" t="s">
        <v>32</v>
      </c>
      <c r="B12" t="s">
        <v>294</v>
      </c>
      <c r="C12" t="s">
        <v>217</v>
      </c>
      <c r="D12" t="s">
        <v>295</v>
      </c>
      <c r="E12" t="s">
        <v>218</v>
      </c>
      <c r="F12"/>
      <c r="G12" t="n">
        <v>99.8</v>
      </c>
      <c r="H12" t="n">
        <v>192.8</v>
      </c>
      <c r="I12" t="n">
        <v>130.8</v>
      </c>
      <c r="J12" t="n">
        <v>175.3</v>
      </c>
      <c r="K12" t="n">
        <v>181.7</v>
      </c>
      <c r="L12" t="n">
        <v>38.9</v>
      </c>
      <c r="M12" t="n">
        <v>18.6</v>
      </c>
      <c r="N12" t="n">
        <v>8.7</v>
      </c>
      <c r="O12" t="n">
        <v>10.4</v>
      </c>
      <c r="P12" t="n">
        <v>9.6</v>
      </c>
      <c r="Q12" t="n">
        <v>11.8</v>
      </c>
      <c r="R12" t="n">
        <v>26.9</v>
      </c>
      <c r="S12" t="n">
        <v>8.7</v>
      </c>
      <c r="T12" t="n">
        <v>5.6</v>
      </c>
      <c r="U12" t="n">
        <v>2.9</v>
      </c>
      <c r="V12" t="n">
        <v>2.2</v>
      </c>
      <c r="W12" t="n">
        <v>-13.5</v>
      </c>
      <c r="X12" t="n">
        <v>-11</v>
      </c>
      <c r="Y12" t="n">
        <v>4.3</v>
      </c>
      <c r="Z12" t="n">
        <v>2.9</v>
      </c>
      <c r="AA12" t="n">
        <v>-1.9</v>
      </c>
      <c r="AB12" t="n">
        <v>-2</v>
      </c>
      <c r="AC12" t="n">
        <v>9.4</v>
      </c>
      <c r="AD12" t="n">
        <v>9.5</v>
      </c>
      <c r="AE12" t="n">
        <v>8.3</v>
      </c>
      <c r="AF12" t="n">
        <v>2.3</v>
      </c>
    </row>
    <row r="13">
      <c r="A13" t="s">
        <v>32</v>
      </c>
      <c r="B13" t="s">
        <v>296</v>
      </c>
      <c r="C13" t="s">
        <v>217</v>
      </c>
      <c r="D13" t="s">
        <v>297</v>
      </c>
      <c r="E13" t="s">
        <v>218</v>
      </c>
      <c r="F13"/>
      <c r="G13" t="n">
        <v>3.4</v>
      </c>
      <c r="H13" t="n">
        <v>6.6</v>
      </c>
      <c r="I13" t="n">
        <v>4.5</v>
      </c>
      <c r="J13" t="n">
        <v>6</v>
      </c>
      <c r="K13" t="n">
        <v>6.2</v>
      </c>
      <c r="L13" t="n">
        <v>18.5</v>
      </c>
      <c r="M13" t="n">
        <v>15.7</v>
      </c>
      <c r="N13" t="n">
        <v>9.5</v>
      </c>
      <c r="O13" t="n">
        <v>6.3</v>
      </c>
      <c r="P13" t="n">
        <v>8.4</v>
      </c>
      <c r="Q13" t="n">
        <v>10.2</v>
      </c>
      <c r="R13" t="n">
        <v>11.6</v>
      </c>
      <c r="S13" t="n">
        <v>4.1</v>
      </c>
      <c r="T13" t="n">
        <v>7.4</v>
      </c>
      <c r="U13" t="n">
        <v>-0.5</v>
      </c>
      <c r="V13" t="n">
        <v>1.8</v>
      </c>
      <c r="W13" t="n">
        <v>-5.4</v>
      </c>
      <c r="X13" t="n">
        <v>-6</v>
      </c>
      <c r="Y13" t="n">
        <v>2.6</v>
      </c>
      <c r="Z13" t="n">
        <v>3.4</v>
      </c>
      <c r="AA13" t="n">
        <v>2.3</v>
      </c>
      <c r="AB13" t="n">
        <v>2.4</v>
      </c>
      <c r="AC13" t="n">
        <v>4.1</v>
      </c>
      <c r="AD13" t="n">
        <v>7.3</v>
      </c>
      <c r="AE13" t="n">
        <v>11.9</v>
      </c>
      <c r="AF13" t="n">
        <v>4.6</v>
      </c>
    </row>
    <row r="14">
      <c r="A14" t="s">
        <v>32</v>
      </c>
      <c r="B14" t="s">
        <v>298</v>
      </c>
      <c r="C14" t="s">
        <v>217</v>
      </c>
      <c r="D14" t="s">
        <v>299</v>
      </c>
      <c r="E14" t="s">
        <v>218</v>
      </c>
      <c r="F14"/>
      <c r="G14" t="n">
        <v>0.2</v>
      </c>
      <c r="H14" t="n">
        <v>0.3</v>
      </c>
      <c r="I14" t="n">
        <v>0.2</v>
      </c>
      <c r="J14" t="n">
        <v>0.3</v>
      </c>
      <c r="K14" t="n">
        <v>0.3</v>
      </c>
      <c r="L14" t="n">
        <v>0.9</v>
      </c>
      <c r="M14" t="n">
        <v>-0.1</v>
      </c>
      <c r="N14" t="n">
        <v>0.2</v>
      </c>
      <c r="O14" t="n">
        <v>0.3</v>
      </c>
      <c r="P14" t="n">
        <v>0</v>
      </c>
      <c r="Q14" t="n">
        <v>0</v>
      </c>
      <c r="R14" t="n">
        <v>0</v>
      </c>
      <c r="S14" t="n">
        <v>0.1</v>
      </c>
      <c r="T14" t="n">
        <v>-0.2</v>
      </c>
      <c r="U14" t="n">
        <v>1.4</v>
      </c>
      <c r="V14" t="n">
        <v>-0.2</v>
      </c>
      <c r="W14" t="n">
        <v>-1.7</v>
      </c>
      <c r="X14" t="n">
        <v>0.3</v>
      </c>
      <c r="Y14" t="n">
        <v>0.2</v>
      </c>
      <c r="Z14" t="n">
        <v>0</v>
      </c>
      <c r="AA14" t="n">
        <v>0.4</v>
      </c>
      <c r="AB14" t="n">
        <v>0.5</v>
      </c>
      <c r="AC14" t="n">
        <v>0</v>
      </c>
      <c r="AD14" t="n">
        <v>-2.8</v>
      </c>
      <c r="AE14" t="n">
        <v>-0.6</v>
      </c>
      <c r="AF14" t="n">
        <v>0</v>
      </c>
    </row>
    <row r="15">
      <c r="A15" t="s">
        <v>32</v>
      </c>
      <c r="B15" t="s">
        <v>300</v>
      </c>
      <c r="C15" t="s">
        <v>217</v>
      </c>
      <c r="D15" t="s">
        <v>301</v>
      </c>
      <c r="E15" t="s">
        <v>218</v>
      </c>
      <c r="F15"/>
      <c r="G15" t="n">
        <v>0.9</v>
      </c>
      <c r="H15" t="n">
        <v>1.6</v>
      </c>
      <c r="I15" t="n">
        <v>1.1</v>
      </c>
      <c r="J15" t="n">
        <v>1.5</v>
      </c>
      <c r="K15" t="n">
        <v>1.5</v>
      </c>
      <c r="L15" t="n">
        <v>4</v>
      </c>
      <c r="M15" t="n">
        <v>1.4</v>
      </c>
      <c r="N15" t="n">
        <v>0.7</v>
      </c>
      <c r="O15" t="n">
        <v>1</v>
      </c>
      <c r="P15" t="n">
        <v>0.4</v>
      </c>
      <c r="Q15" t="n">
        <v>1.5</v>
      </c>
      <c r="R15" t="n">
        <v>1.2</v>
      </c>
      <c r="S15" t="n">
        <v>1.6</v>
      </c>
      <c r="T15" t="n">
        <v>0.4</v>
      </c>
      <c r="U15" t="n">
        <v>2.8</v>
      </c>
      <c r="V15" t="n">
        <v>-0.9</v>
      </c>
      <c r="W15" t="n">
        <v>-1.5</v>
      </c>
      <c r="X15" t="n">
        <v>-1.7</v>
      </c>
      <c r="Y15" t="n">
        <v>1</v>
      </c>
      <c r="Z15" t="n">
        <v>-1.3</v>
      </c>
      <c r="AA15" t="n">
        <v>0.3</v>
      </c>
      <c r="AB15" t="n">
        <v>0.4</v>
      </c>
      <c r="AC15" t="n">
        <v>1.7</v>
      </c>
      <c r="AD15" t="n">
        <v>0.6</v>
      </c>
      <c r="AE15" t="n">
        <v>0.7</v>
      </c>
      <c r="AF15" t="n">
        <v>3.5</v>
      </c>
    </row>
    <row r="16">
      <c r="A16" t="s">
        <v>32</v>
      </c>
      <c r="B16" t="s">
        <v>302</v>
      </c>
      <c r="C16" t="s">
        <v>217</v>
      </c>
      <c r="D16" t="s">
        <v>303</v>
      </c>
      <c r="E16" t="s">
        <v>218</v>
      </c>
      <c r="F16"/>
      <c r="G16" t="n">
        <v>0.7</v>
      </c>
      <c r="H16" t="n">
        <v>1.3</v>
      </c>
      <c r="I16" t="n">
        <v>0.9</v>
      </c>
      <c r="J16" t="n">
        <v>1.2</v>
      </c>
      <c r="K16" t="n">
        <v>1.2</v>
      </c>
      <c r="L16" t="n">
        <v>3.1</v>
      </c>
      <c r="M16" t="n">
        <v>1.5</v>
      </c>
      <c r="N16" t="n">
        <v>0.5</v>
      </c>
      <c r="O16" t="n">
        <v>0.7</v>
      </c>
      <c r="P16" t="n">
        <v>0.4</v>
      </c>
      <c r="Q16" t="n">
        <v>1.5</v>
      </c>
      <c r="R16" t="n">
        <v>1.2</v>
      </c>
      <c r="S16" t="n">
        <v>1.5</v>
      </c>
      <c r="T16" t="n">
        <v>0.6</v>
      </c>
      <c r="U16" t="n">
        <v>1.4</v>
      </c>
      <c r="V16" t="n">
        <v>-0.7</v>
      </c>
      <c r="W16" t="n">
        <v>0.2</v>
      </c>
      <c r="X16" t="n">
        <v>-2</v>
      </c>
      <c r="Y16" t="n">
        <v>0.8</v>
      </c>
      <c r="Z16" t="n">
        <v>-1.3</v>
      </c>
      <c r="AA16" t="n">
        <v>-0.1</v>
      </c>
      <c r="AB16" t="n">
        <v>-0.1</v>
      </c>
      <c r="AC16" t="n">
        <v>1.7</v>
      </c>
      <c r="AD16" t="n">
        <v>3.4</v>
      </c>
      <c r="AE16" t="n">
        <v>1.3</v>
      </c>
      <c r="AF16" t="n">
        <v>3.5</v>
      </c>
    </row>
    <row r="17">
      <c r="A17" t="s">
        <v>32</v>
      </c>
      <c r="B17" t="s">
        <v>304</v>
      </c>
      <c r="C17" t="s">
        <v>217</v>
      </c>
      <c r="D17" t="s">
        <v>305</v>
      </c>
      <c r="E17" t="s">
        <v>218</v>
      </c>
      <c r="F17"/>
      <c r="G17" t="n">
        <v>0.7</v>
      </c>
      <c r="H17" t="n">
        <v>1.3</v>
      </c>
      <c r="I17" t="n">
        <v>0.9</v>
      </c>
      <c r="J17" t="n">
        <v>1.2</v>
      </c>
      <c r="K17" t="n">
        <v>1.2</v>
      </c>
      <c r="L17" t="n">
        <v>3.3</v>
      </c>
      <c r="M17" t="n">
        <v>1.5</v>
      </c>
      <c r="N17" t="n">
        <v>1</v>
      </c>
      <c r="O17" t="n">
        <v>1.5</v>
      </c>
      <c r="P17" t="n">
        <v>2.3</v>
      </c>
      <c r="Q17" t="n">
        <v>3.6</v>
      </c>
      <c r="R17" t="n">
        <v>1.5</v>
      </c>
      <c r="S17" t="n">
        <v>1</v>
      </c>
      <c r="T17" t="n">
        <v>3.3</v>
      </c>
      <c r="U17" t="n">
        <v>1.6</v>
      </c>
      <c r="V17" t="n">
        <v>0.5</v>
      </c>
      <c r="W17" t="n">
        <v>1.6</v>
      </c>
      <c r="X17" t="n">
        <v>9.2</v>
      </c>
      <c r="Y17" t="n">
        <v>2.4</v>
      </c>
      <c r="Z17" t="n">
        <v>2.2</v>
      </c>
      <c r="AA17" t="n">
        <v>1.3</v>
      </c>
      <c r="AB17" t="n">
        <v>1.4</v>
      </c>
      <c r="AC17" t="n">
        <v>1.5</v>
      </c>
      <c r="AD17" t="n">
        <v>1.3</v>
      </c>
      <c r="AE17" t="n">
        <v>0.5</v>
      </c>
      <c r="AF17" t="n">
        <v>1.1</v>
      </c>
    </row>
    <row r="18">
      <c r="A18" t="s">
        <v>32</v>
      </c>
      <c r="B18" t="s">
        <v>306</v>
      </c>
      <c r="C18" t="s">
        <v>217</v>
      </c>
      <c r="D18" t="s">
        <v>307</v>
      </c>
      <c r="E18" t="s">
        <v>218</v>
      </c>
      <c r="F18"/>
      <c r="G18" t="n">
        <v>0.5</v>
      </c>
      <c r="H18" t="n">
        <v>0.9</v>
      </c>
      <c r="I18" t="n">
        <v>0.6</v>
      </c>
      <c r="J18" t="n">
        <v>0.8</v>
      </c>
      <c r="K18" t="n">
        <v>0.9</v>
      </c>
      <c r="L18" t="n">
        <v>4.5</v>
      </c>
      <c r="M18" t="n">
        <v>1.3</v>
      </c>
      <c r="N18" t="n">
        <v>2.8</v>
      </c>
      <c r="O18" t="n">
        <v>3.9</v>
      </c>
      <c r="P18" t="n">
        <v>1.4</v>
      </c>
      <c r="Q18" t="n">
        <v>1.1</v>
      </c>
      <c r="R18" t="n">
        <v>1.3</v>
      </c>
      <c r="S18" t="n">
        <v>0.2</v>
      </c>
      <c r="T18" t="n">
        <v>-0.2</v>
      </c>
      <c r="U18" t="n">
        <v>-1.1</v>
      </c>
      <c r="V18" t="n">
        <v>-1.2</v>
      </c>
      <c r="W18" t="n">
        <v>0.2</v>
      </c>
      <c r="X18" t="n">
        <v>-0.9</v>
      </c>
      <c r="Y18" t="n">
        <v>0.1</v>
      </c>
      <c r="Z18" t="n">
        <v>0.2</v>
      </c>
      <c r="AA18" t="n">
        <v>0.2</v>
      </c>
      <c r="AB18" t="n">
        <v>0.2</v>
      </c>
      <c r="AC18" t="n">
        <v>-1</v>
      </c>
      <c r="AD18" t="n">
        <v>-1.7</v>
      </c>
      <c r="AE18" t="n">
        <v>1.3</v>
      </c>
      <c r="AF18" t="n">
        <v>0.7</v>
      </c>
    </row>
    <row r="19">
      <c r="A19" t="s">
        <v>32</v>
      </c>
      <c r="B19" t="s">
        <v>308</v>
      </c>
      <c r="C19" t="s">
        <v>217</v>
      </c>
      <c r="D19" t="s">
        <v>309</v>
      </c>
      <c r="E19" t="s">
        <v>218</v>
      </c>
      <c r="F19"/>
      <c r="G19" t="n">
        <v>1.4</v>
      </c>
      <c r="H19" t="n">
        <v>2.7</v>
      </c>
      <c r="I19" t="n">
        <v>1.8</v>
      </c>
      <c r="J19" t="n">
        <v>2.5</v>
      </c>
      <c r="K19" t="n">
        <v>2.5</v>
      </c>
      <c r="L19" t="n">
        <v>6.1</v>
      </c>
      <c r="M19" t="n">
        <v>1.9</v>
      </c>
      <c r="N19" t="n">
        <v>4.6</v>
      </c>
      <c r="O19" t="n">
        <v>4.4</v>
      </c>
      <c r="P19" t="n">
        <v>7</v>
      </c>
      <c r="Q19" t="n">
        <v>3.4</v>
      </c>
      <c r="R19" t="n">
        <v>3.3</v>
      </c>
      <c r="S19" t="n">
        <v>3.3</v>
      </c>
      <c r="T19" t="n">
        <v>3.8</v>
      </c>
      <c r="U19" t="n">
        <v>2.3</v>
      </c>
      <c r="V19" t="n">
        <v>-12.1</v>
      </c>
      <c r="W19" t="n">
        <v>1</v>
      </c>
      <c r="X19" t="n">
        <v>-5.4</v>
      </c>
      <c r="Y19" t="n">
        <v>2.4</v>
      </c>
      <c r="Z19" t="n">
        <v>-5.5</v>
      </c>
      <c r="AA19" t="n">
        <v>-4.3</v>
      </c>
      <c r="AB19" t="n">
        <v>-4.5</v>
      </c>
      <c r="AC19" t="n">
        <v>3.7</v>
      </c>
      <c r="AD19" t="n">
        <v>5.7</v>
      </c>
      <c r="AE19" t="n">
        <v>7.1</v>
      </c>
      <c r="AF19" t="n">
        <v>7</v>
      </c>
    </row>
    <row r="20">
      <c r="A20" t="s">
        <v>32</v>
      </c>
      <c r="B20" t="s">
        <v>310</v>
      </c>
      <c r="C20" t="s">
        <v>217</v>
      </c>
      <c r="D20" t="s">
        <v>311</v>
      </c>
      <c r="E20" t="s">
        <v>218</v>
      </c>
      <c r="F20"/>
      <c r="G20" t="n">
        <v>2.1</v>
      </c>
      <c r="H20" t="n">
        <v>4</v>
      </c>
      <c r="I20" t="n">
        <v>2.8</v>
      </c>
      <c r="J20" t="n">
        <v>3.7</v>
      </c>
      <c r="K20" t="n">
        <v>3.8</v>
      </c>
      <c r="L20" t="n">
        <v>2.2</v>
      </c>
      <c r="M20" t="n">
        <v>57.1</v>
      </c>
      <c r="N20" t="n">
        <v>1.8</v>
      </c>
      <c r="O20" t="n">
        <v>1.9</v>
      </c>
      <c r="P20" t="n">
        <v>9.9</v>
      </c>
      <c r="Q20" t="n">
        <v>3.4</v>
      </c>
      <c r="R20" t="n">
        <v>2.4</v>
      </c>
      <c r="S20" t="n">
        <v>7.3</v>
      </c>
      <c r="T20" t="n">
        <v>8.1</v>
      </c>
      <c r="U20" t="n">
        <v>3.2</v>
      </c>
      <c r="V20" t="n">
        <v>3.3</v>
      </c>
      <c r="W20" t="n">
        <v>4.2</v>
      </c>
      <c r="X20" t="n">
        <v>0.1</v>
      </c>
      <c r="Y20" t="n">
        <v>5.6</v>
      </c>
      <c r="Z20" t="n">
        <v>6.3</v>
      </c>
      <c r="AA20" t="n">
        <v>3.8</v>
      </c>
      <c r="AB20" t="n">
        <v>4</v>
      </c>
      <c r="AC20" t="n">
        <v>7.2</v>
      </c>
      <c r="AD20" t="n">
        <v>6.1</v>
      </c>
      <c r="AE20" t="n">
        <v>8.5</v>
      </c>
      <c r="AF20" t="n">
        <v>11.6</v>
      </c>
    </row>
    <row r="21">
      <c r="A21" t="s">
        <v>32</v>
      </c>
      <c r="B21" t="s">
        <v>312</v>
      </c>
      <c r="C21" t="s">
        <v>217</v>
      </c>
      <c r="D21" t="s">
        <v>313</v>
      </c>
      <c r="E21" t="s">
        <v>218</v>
      </c>
      <c r="F21"/>
      <c r="G21" t="n">
        <v>5.9</v>
      </c>
      <c r="H21" t="n">
        <v>11.3</v>
      </c>
      <c r="I21" t="n">
        <v>7.8</v>
      </c>
      <c r="J21" t="n">
        <v>10.3</v>
      </c>
      <c r="K21" t="n">
        <v>10.7</v>
      </c>
      <c r="L21" t="n">
        <v>27.5</v>
      </c>
      <c r="M21" t="n">
        <v>76.4</v>
      </c>
      <c r="N21" t="n">
        <v>20.9</v>
      </c>
      <c r="O21" t="n">
        <v>24.8</v>
      </c>
      <c r="P21" t="n">
        <v>28.1</v>
      </c>
      <c r="Q21" t="n">
        <v>17</v>
      </c>
      <c r="R21" t="n">
        <v>14.8</v>
      </c>
      <c r="S21" t="n">
        <v>26.6</v>
      </c>
      <c r="T21" t="n">
        <v>31.7</v>
      </c>
      <c r="U21" t="n">
        <v>17.6</v>
      </c>
      <c r="V21" t="n">
        <v>17.8</v>
      </c>
      <c r="W21" t="n">
        <v>26.2</v>
      </c>
      <c r="X21" t="n">
        <v>12</v>
      </c>
      <c r="Y21" t="n">
        <v>24.4</v>
      </c>
      <c r="Z21" t="n">
        <v>28.5</v>
      </c>
      <c r="AA21" t="n">
        <v>12.1</v>
      </c>
      <c r="AB21" t="n">
        <v>28.7</v>
      </c>
      <c r="AC21" t="n">
        <v>35</v>
      </c>
      <c r="AD21" t="n">
        <v>47.1</v>
      </c>
      <c r="AE21" t="n">
        <v>55.8</v>
      </c>
      <c r="AF21" t="n">
        <v>65.7</v>
      </c>
    </row>
    <row r="22">
      <c r="A22" t="s">
        <v>32</v>
      </c>
      <c r="B22" t="s">
        <v>314</v>
      </c>
      <c r="C22" t="s">
        <v>217</v>
      </c>
      <c r="D22" t="s">
        <v>315</v>
      </c>
      <c r="E22" t="s">
        <v>218</v>
      </c>
      <c r="F22"/>
      <c r="G22" t="n">
        <v>3.8</v>
      </c>
      <c r="H22" t="n">
        <v>7.3</v>
      </c>
      <c r="I22" t="n">
        <v>5</v>
      </c>
      <c r="J22" t="n">
        <v>6.6</v>
      </c>
      <c r="K22" t="n">
        <v>6.9</v>
      </c>
      <c r="L22" t="n">
        <v>25.3</v>
      </c>
      <c r="M22" t="n">
        <v>19.3</v>
      </c>
      <c r="N22" t="n">
        <v>19.1</v>
      </c>
      <c r="O22" t="n">
        <v>22.9</v>
      </c>
      <c r="P22" t="n">
        <v>18.2</v>
      </c>
      <c r="Q22" t="n">
        <v>13.6</v>
      </c>
      <c r="R22" t="n">
        <v>12.4</v>
      </c>
      <c r="S22" t="n">
        <v>19.3</v>
      </c>
      <c r="T22" t="n">
        <v>23.6</v>
      </c>
      <c r="U22" t="n">
        <v>14.4</v>
      </c>
      <c r="V22" t="n">
        <v>14.5</v>
      </c>
      <c r="W22" t="n">
        <v>22</v>
      </c>
      <c r="X22" t="n">
        <v>11.9</v>
      </c>
      <c r="Y22" t="n">
        <v>18.8</v>
      </c>
      <c r="Z22" t="n">
        <v>22.2</v>
      </c>
      <c r="AA22" t="n">
        <v>8.3</v>
      </c>
      <c r="AB22" t="n">
        <v>24.7</v>
      </c>
      <c r="AC22" t="n">
        <v>27.8</v>
      </c>
      <c r="AD22" t="n">
        <v>41</v>
      </c>
      <c r="AE22" t="n">
        <v>47.3</v>
      </c>
      <c r="AF22" t="n">
        <v>54.1</v>
      </c>
    </row>
    <row r="23">
      <c r="A23" t="s">
        <v>32</v>
      </c>
      <c r="B23" t="s">
        <v>316</v>
      </c>
      <c r="C23" t="s">
        <v>217</v>
      </c>
      <c r="D23" t="s">
        <v>317</v>
      </c>
      <c r="E23" t="s">
        <v>218</v>
      </c>
      <c r="F23"/>
      <c r="G23" t="n">
        <v>26.2</v>
      </c>
      <c r="H23" t="n">
        <v>50.2</v>
      </c>
      <c r="I23" t="n">
        <v>35</v>
      </c>
      <c r="J23" t="n">
        <v>45.6</v>
      </c>
      <c r="K23" t="n">
        <v>47.7</v>
      </c>
      <c r="L23" t="n">
        <v>231.2</v>
      </c>
      <c r="M23" t="n">
        <v>3.4</v>
      </c>
      <c r="N23" t="n">
        <v>125.5</v>
      </c>
      <c r="O23" t="n">
        <v>95.1</v>
      </c>
      <c r="P23" t="n">
        <v>121.2</v>
      </c>
      <c r="Q23" t="n">
        <v>123.4</v>
      </c>
      <c r="R23" t="n">
        <v>180.7</v>
      </c>
      <c r="S23" t="n">
        <v>123.8</v>
      </c>
      <c r="T23" t="n">
        <v>63.6</v>
      </c>
      <c r="U23" t="n">
        <v>8.8</v>
      </c>
      <c r="V23" t="n">
        <v>19.5</v>
      </c>
      <c r="W23" t="n">
        <v>30.1</v>
      </c>
      <c r="X23" t="n">
        <v>42.5</v>
      </c>
      <c r="Y23" t="n">
        <v>28.2</v>
      </c>
      <c r="Z23" t="n">
        <v>27.2</v>
      </c>
      <c r="AA23" t="n">
        <v>26.4</v>
      </c>
      <c r="AB23" t="n">
        <v>28</v>
      </c>
      <c r="AC23" t="n">
        <v>20.1</v>
      </c>
      <c r="AD23" t="n">
        <v>16.4</v>
      </c>
      <c r="AE23" t="n">
        <v>17.2</v>
      </c>
      <c r="AF23" t="n">
        <v>66.2</v>
      </c>
    </row>
    <row r="24">
      <c r="A24" t="s">
        <v>32</v>
      </c>
      <c r="B24" t="s">
        <v>318</v>
      </c>
      <c r="C24" t="s">
        <v>217</v>
      </c>
      <c r="D24" t="s">
        <v>319</v>
      </c>
      <c r="E24" t="s">
        <v>218</v>
      </c>
      <c r="F24"/>
      <c r="G24" t="n">
        <v>44.9</v>
      </c>
      <c r="H24" t="n">
        <v>86.7</v>
      </c>
      <c r="I24" t="n">
        <v>58.8</v>
      </c>
      <c r="J24" t="n">
        <v>78.8</v>
      </c>
      <c r="K24" t="n">
        <v>81.6</v>
      </c>
      <c r="L24" t="n">
        <v>461.1</v>
      </c>
      <c r="M24" t="n">
        <v>184.9</v>
      </c>
      <c r="N24" t="n">
        <v>291.5</v>
      </c>
      <c r="O24" t="n">
        <v>256.9</v>
      </c>
      <c r="P24" t="n">
        <v>378.6</v>
      </c>
      <c r="Q24" t="n">
        <v>347.5</v>
      </c>
      <c r="R24" t="n">
        <v>373.2</v>
      </c>
      <c r="S24" t="n">
        <v>331.4</v>
      </c>
      <c r="T24" t="n">
        <v>266.2</v>
      </c>
      <c r="U24" t="n">
        <v>121.9</v>
      </c>
      <c r="V24" t="n">
        <v>131</v>
      </c>
      <c r="W24" t="n">
        <v>72.2</v>
      </c>
      <c r="X24" t="n">
        <v>118.6</v>
      </c>
      <c r="Y24" t="n">
        <v>235</v>
      </c>
      <c r="Z24" t="n">
        <v>341.9</v>
      </c>
      <c r="AA24" t="n">
        <v>334.5</v>
      </c>
      <c r="AB24" t="n">
        <v>355.3</v>
      </c>
      <c r="AC24" t="n">
        <v>240.1</v>
      </c>
      <c r="AD24" t="n">
        <v>253.3</v>
      </c>
      <c r="AE24" t="n">
        <v>249.8</v>
      </c>
      <c r="AF24" t="n">
        <v>278.6</v>
      </c>
    </row>
    <row r="25">
      <c r="A25" t="s">
        <v>32</v>
      </c>
      <c r="B25" t="s">
        <v>320</v>
      </c>
      <c r="C25" t="s">
        <v>217</v>
      </c>
      <c r="D25" t="s">
        <v>321</v>
      </c>
      <c r="E25" t="s">
        <v>218</v>
      </c>
      <c r="F25"/>
      <c r="G25" t="n">
        <v>11.4</v>
      </c>
      <c r="H25" t="n">
        <v>22.1</v>
      </c>
      <c r="I25" t="n">
        <v>15</v>
      </c>
      <c r="J25" t="n">
        <v>20.1</v>
      </c>
      <c r="K25" t="n">
        <v>20.8</v>
      </c>
      <c r="L25" t="n">
        <v>250.8</v>
      </c>
      <c r="M25" t="n">
        <v>44.9</v>
      </c>
      <c r="N25" t="n">
        <v>71.2</v>
      </c>
      <c r="O25" t="n">
        <v>70.2</v>
      </c>
      <c r="P25" t="n">
        <v>98.1</v>
      </c>
      <c r="Q25" t="n">
        <v>102.6</v>
      </c>
      <c r="R25" t="n">
        <v>122.3</v>
      </c>
      <c r="S25" t="n">
        <v>115.7</v>
      </c>
      <c r="T25" t="n">
        <v>84.1</v>
      </c>
      <c r="U25" t="n">
        <v>41</v>
      </c>
      <c r="V25" t="n">
        <v>18.5</v>
      </c>
      <c r="W25" t="n">
        <v>5.8</v>
      </c>
      <c r="X25" t="n">
        <v>26.6</v>
      </c>
      <c r="Y25" t="n">
        <v>42.7</v>
      </c>
      <c r="Z25" t="n">
        <v>67</v>
      </c>
      <c r="AA25" t="n">
        <v>107.8</v>
      </c>
      <c r="AB25" t="n">
        <v>114.6</v>
      </c>
      <c r="AC25" t="n">
        <v>77.3</v>
      </c>
      <c r="AD25" t="n">
        <v>45.3</v>
      </c>
      <c r="AE25" t="n">
        <v>51.6</v>
      </c>
      <c r="AF25" t="n">
        <v>80.9</v>
      </c>
    </row>
    <row r="26">
      <c r="A26" t="s">
        <v>32</v>
      </c>
      <c r="B26" t="s">
        <v>322</v>
      </c>
      <c r="C26" t="s">
        <v>217</v>
      </c>
      <c r="D26" t="s">
        <v>323</v>
      </c>
      <c r="E26" t="s">
        <v>218</v>
      </c>
      <c r="F26"/>
      <c r="G26" t="n">
        <v>18.5</v>
      </c>
      <c r="H26" t="n">
        <v>35.7</v>
      </c>
      <c r="I26" t="n">
        <v>24.2</v>
      </c>
      <c r="J26" t="n">
        <v>32.4</v>
      </c>
      <c r="K26" t="n">
        <v>33.6</v>
      </c>
      <c r="L26" t="n">
        <v>118.4</v>
      </c>
      <c r="M26" t="n">
        <v>93</v>
      </c>
      <c r="N26" t="n">
        <v>169.7</v>
      </c>
      <c r="O26" t="n">
        <v>132</v>
      </c>
      <c r="P26" t="n">
        <v>165.6</v>
      </c>
      <c r="Q26" t="n">
        <v>169.9</v>
      </c>
      <c r="R26" t="n">
        <v>171</v>
      </c>
      <c r="S26" t="n">
        <v>154.3</v>
      </c>
      <c r="T26" t="n">
        <v>130.5</v>
      </c>
      <c r="U26" t="n">
        <v>65.2</v>
      </c>
      <c r="V26" t="n">
        <v>53.5</v>
      </c>
      <c r="W26" t="n">
        <v>35.9</v>
      </c>
      <c r="X26" t="n">
        <v>41.8</v>
      </c>
      <c r="Y26" t="n">
        <v>130.9</v>
      </c>
      <c r="Z26" t="n">
        <v>195.9</v>
      </c>
      <c r="AA26" t="n">
        <v>116.4</v>
      </c>
      <c r="AB26" t="n">
        <v>123.6</v>
      </c>
      <c r="AC26" t="n">
        <v>108.5</v>
      </c>
      <c r="AD26" t="n">
        <v>124.3</v>
      </c>
      <c r="AE26" t="n">
        <v>139.9</v>
      </c>
      <c r="AF26" t="n">
        <v>152</v>
      </c>
    </row>
    <row r="27">
      <c r="A27" t="s">
        <v>32</v>
      </c>
      <c r="B27" t="s">
        <v>324</v>
      </c>
      <c r="C27" t="s">
        <v>217</v>
      </c>
      <c r="D27" t="s">
        <v>325</v>
      </c>
      <c r="E27" t="s">
        <v>218</v>
      </c>
      <c r="F27"/>
      <c r="G27" t="n">
        <v>15</v>
      </c>
      <c r="H27" t="n">
        <v>28.9</v>
      </c>
      <c r="I27" t="n">
        <v>19.6</v>
      </c>
      <c r="J27" t="n">
        <v>26.3</v>
      </c>
      <c r="K27" t="n">
        <v>27.2</v>
      </c>
      <c r="L27" t="n">
        <v>91.9</v>
      </c>
      <c r="M27" t="n">
        <v>47</v>
      </c>
      <c r="N27" t="n">
        <v>50.6</v>
      </c>
      <c r="O27" t="n">
        <v>54.7</v>
      </c>
      <c r="P27" t="n">
        <v>114.9</v>
      </c>
      <c r="Q27" t="n">
        <v>75</v>
      </c>
      <c r="R27" t="n">
        <v>79.9</v>
      </c>
      <c r="S27" t="n">
        <v>61.4</v>
      </c>
      <c r="T27" t="n">
        <v>51.6</v>
      </c>
      <c r="U27" t="n">
        <v>15.7</v>
      </c>
      <c r="V27" t="n">
        <v>59</v>
      </c>
      <c r="W27" t="n">
        <v>30.5</v>
      </c>
      <c r="X27" t="n">
        <v>50.2</v>
      </c>
      <c r="Y27" t="n">
        <v>61.4</v>
      </c>
      <c r="Z27" t="n">
        <v>79</v>
      </c>
      <c r="AA27" t="n">
        <v>110.3</v>
      </c>
      <c r="AB27" t="n">
        <v>117.1</v>
      </c>
      <c r="AC27" t="n">
        <v>54.3</v>
      </c>
      <c r="AD27" t="n">
        <v>83.7</v>
      </c>
      <c r="AE27" t="n">
        <v>58.3</v>
      </c>
      <c r="AF27" t="n">
        <v>45.7</v>
      </c>
    </row>
    <row r="28">
      <c r="A28" t="s">
        <v>32</v>
      </c>
      <c r="B28" t="s">
        <v>326</v>
      </c>
      <c r="C28" t="s">
        <v>217</v>
      </c>
      <c r="D28" t="s">
        <v>327</v>
      </c>
      <c r="E28" t="s">
        <v>218</v>
      </c>
      <c r="F28"/>
      <c r="G28" t="n">
        <v>509</v>
      </c>
      <c r="H28" t="n">
        <v>662.2</v>
      </c>
      <c r="I28" t="n">
        <v>1265.5</v>
      </c>
      <c r="J28" t="n">
        <v>645.4</v>
      </c>
      <c r="K28" t="n">
        <v>1006.1</v>
      </c>
      <c r="L28" t="n">
        <v>1183.4</v>
      </c>
      <c r="M28" t="n">
        <v>2045.9</v>
      </c>
      <c r="N28" t="n">
        <v>1772.7</v>
      </c>
      <c r="O28" t="n">
        <v>1024.2</v>
      </c>
      <c r="P28" t="n">
        <v>1277.8</v>
      </c>
      <c r="Q28" t="n">
        <v>2344.9</v>
      </c>
      <c r="R28" t="n">
        <v>3142.4</v>
      </c>
      <c r="S28" t="n">
        <v>2058.5</v>
      </c>
      <c r="T28" t="n">
        <v>1010.9</v>
      </c>
      <c r="U28" t="n">
        <v>1327.3</v>
      </c>
      <c r="V28" t="n">
        <v>382.7</v>
      </c>
      <c r="W28" t="n">
        <v>192.5</v>
      </c>
      <c r="X28" t="n">
        <v>273.8</v>
      </c>
      <c r="Y28" t="n">
        <v>287.8</v>
      </c>
      <c r="Z28" t="n">
        <v>462.2</v>
      </c>
      <c r="AA28" t="n">
        <v>339</v>
      </c>
      <c r="AB28" t="n">
        <v>702.6</v>
      </c>
      <c r="AC28" t="n">
        <v>832.7</v>
      </c>
      <c r="AD28" t="n">
        <v>764.9</v>
      </c>
      <c r="AE28" t="n">
        <v>397.4</v>
      </c>
      <c r="AF28" t="n">
        <v>660.7</v>
      </c>
    </row>
    <row r="29">
      <c r="A29" t="s">
        <v>32</v>
      </c>
      <c r="B29" t="s">
        <v>328</v>
      </c>
      <c r="C29" t="s">
        <v>217</v>
      </c>
      <c r="D29" t="s">
        <v>329</v>
      </c>
      <c r="E29" t="s">
        <v>218</v>
      </c>
      <c r="F29"/>
      <c r="G29" t="n">
        <v>148</v>
      </c>
      <c r="H29" t="n">
        <v>281.7</v>
      </c>
      <c r="I29" t="n">
        <v>201.7</v>
      </c>
      <c r="J29" t="n">
        <v>256.7</v>
      </c>
      <c r="K29" t="n">
        <v>270.4</v>
      </c>
      <c r="L29" t="n">
        <v>518.6</v>
      </c>
      <c r="M29" t="n">
        <v>303.4</v>
      </c>
      <c r="N29" t="n">
        <v>312</v>
      </c>
      <c r="O29" t="n">
        <v>582.5</v>
      </c>
      <c r="P29" t="n">
        <v>322.9</v>
      </c>
      <c r="Q29" t="n">
        <v>340.9</v>
      </c>
      <c r="R29" t="n">
        <v>382</v>
      </c>
      <c r="S29" t="n">
        <v>252.2</v>
      </c>
      <c r="T29" t="n">
        <v>278.2</v>
      </c>
      <c r="U29" t="n">
        <v>439.1</v>
      </c>
      <c r="V29" t="n">
        <v>157.6</v>
      </c>
      <c r="W29" t="n">
        <v>99.8</v>
      </c>
      <c r="X29" t="n">
        <v>201.1</v>
      </c>
      <c r="Y29" t="n">
        <v>67.1</v>
      </c>
      <c r="Z29" t="n">
        <v>-35.5</v>
      </c>
      <c r="AA29" t="n">
        <v>-61.2</v>
      </c>
      <c r="AB29" t="n">
        <v>326.7</v>
      </c>
      <c r="AC29" t="n">
        <v>350.7</v>
      </c>
      <c r="AD29" t="n">
        <v>304.1</v>
      </c>
      <c r="AE29" t="n">
        <v>268.3</v>
      </c>
      <c r="AF29" t="n">
        <v>436.7</v>
      </c>
    </row>
    <row r="30">
      <c r="A30" t="s">
        <v>32</v>
      </c>
      <c r="B30" t="s">
        <v>330</v>
      </c>
      <c r="C30" t="s">
        <v>217</v>
      </c>
      <c r="D30" t="s">
        <v>331</v>
      </c>
      <c r="E30" t="s">
        <v>218</v>
      </c>
      <c r="F30"/>
      <c r="G30" t="n">
        <v>353.5</v>
      </c>
      <c r="H30" t="n">
        <v>366.9</v>
      </c>
      <c r="I30" t="n">
        <v>1052.6</v>
      </c>
      <c r="J30" t="n">
        <v>376.2</v>
      </c>
      <c r="K30" t="n">
        <v>722</v>
      </c>
      <c r="L30" t="n">
        <v>570.4</v>
      </c>
      <c r="M30" t="n">
        <v>1536.3</v>
      </c>
      <c r="N30" t="n">
        <v>1440.4</v>
      </c>
      <c r="O30" t="n">
        <v>419.3</v>
      </c>
      <c r="P30" t="n">
        <v>633.2</v>
      </c>
      <c r="Q30" t="n">
        <v>1981.9</v>
      </c>
      <c r="R30" t="n">
        <v>2713.7</v>
      </c>
      <c r="S30" t="n">
        <v>1756.2</v>
      </c>
      <c r="T30" t="n">
        <v>634.1</v>
      </c>
      <c r="U30" t="n">
        <v>860.8</v>
      </c>
      <c r="V30" t="n">
        <v>196.5</v>
      </c>
      <c r="W30" t="n">
        <v>75.1</v>
      </c>
      <c r="X30" t="n">
        <v>12.6</v>
      </c>
      <c r="Y30" t="n">
        <v>171.1</v>
      </c>
      <c r="Z30" t="n">
        <v>337.3</v>
      </c>
      <c r="AA30" t="n">
        <v>112.8</v>
      </c>
      <c r="AB30" t="n">
        <v>76.7</v>
      </c>
      <c r="AC30" t="n">
        <v>161.1</v>
      </c>
      <c r="AD30" t="n">
        <v>402.1</v>
      </c>
      <c r="AE30" t="n">
        <v>98.8</v>
      </c>
      <c r="AF30" t="n">
        <v>68.9</v>
      </c>
    </row>
    <row r="31">
      <c r="A31" t="s">
        <v>32</v>
      </c>
      <c r="B31" t="s">
        <v>332</v>
      </c>
      <c r="C31" t="s">
        <v>217</v>
      </c>
      <c r="D31" t="s">
        <v>333</v>
      </c>
      <c r="E31" t="s">
        <v>218</v>
      </c>
      <c r="F31"/>
      <c r="G31" t="n">
        <v>5.2</v>
      </c>
      <c r="H31" t="n">
        <v>9.2</v>
      </c>
      <c r="I31" t="n">
        <v>8.3</v>
      </c>
      <c r="J31" t="n">
        <v>8.5</v>
      </c>
      <c r="K31" t="n">
        <v>9.6</v>
      </c>
      <c r="L31" t="n">
        <v>79.1</v>
      </c>
      <c r="M31" t="n">
        <v>202.2</v>
      </c>
      <c r="N31" t="n">
        <v>11.3</v>
      </c>
      <c r="O31" t="n">
        <v>1.2</v>
      </c>
      <c r="P31" t="n">
        <v>296.9</v>
      </c>
      <c r="Q31" t="n">
        <v>4.6</v>
      </c>
      <c r="R31" t="n">
        <v>13.9</v>
      </c>
      <c r="S31" t="n">
        <v>11.6</v>
      </c>
      <c r="T31" t="n">
        <v>16</v>
      </c>
      <c r="U31" t="n">
        <v>-13.9</v>
      </c>
      <c r="V31" t="n">
        <v>-4.1</v>
      </c>
      <c r="W31" t="n">
        <v>4.5</v>
      </c>
      <c r="X31" t="n">
        <v>5.1</v>
      </c>
      <c r="Y31" t="n">
        <v>0.7</v>
      </c>
      <c r="Z31" t="n">
        <v>29.3</v>
      </c>
      <c r="AA31" t="n">
        <v>23.9</v>
      </c>
      <c r="AB31" t="n">
        <v>25.4</v>
      </c>
      <c r="AC31" t="n">
        <v>43.2</v>
      </c>
      <c r="AD31" t="n">
        <v>3.9</v>
      </c>
      <c r="AE31" t="n">
        <v>-0.1</v>
      </c>
      <c r="AF31" t="n">
        <v>2</v>
      </c>
    </row>
    <row r="32">
      <c r="A32" t="s">
        <v>32</v>
      </c>
      <c r="B32" t="s">
        <v>334</v>
      </c>
      <c r="C32" t="s">
        <v>217</v>
      </c>
      <c r="D32" t="s">
        <v>335</v>
      </c>
      <c r="E32" t="s">
        <v>218</v>
      </c>
      <c r="F32"/>
      <c r="G32" t="n">
        <v>2.2</v>
      </c>
      <c r="H32" t="n">
        <v>4.2</v>
      </c>
      <c r="I32" t="n">
        <v>2.8</v>
      </c>
      <c r="J32" t="n">
        <v>3.8</v>
      </c>
      <c r="K32" t="n">
        <v>3.9</v>
      </c>
      <c r="L32" t="n">
        <v>12.7</v>
      </c>
      <c r="M32" t="n">
        <v>2.6</v>
      </c>
      <c r="N32" t="n">
        <v>7.9</v>
      </c>
      <c r="O32" t="n">
        <v>19.7</v>
      </c>
      <c r="P32" t="n">
        <v>16.2</v>
      </c>
      <c r="Q32" t="n">
        <v>15.7</v>
      </c>
      <c r="R32" t="n">
        <v>22.6</v>
      </c>
      <c r="S32" t="n">
        <v>32.2</v>
      </c>
      <c r="T32" t="n">
        <v>76.7</v>
      </c>
      <c r="U32" t="n">
        <v>39.3</v>
      </c>
      <c r="V32" t="n">
        <v>31.9</v>
      </c>
      <c r="W32" t="n">
        <v>12.2</v>
      </c>
      <c r="X32" t="n">
        <v>54.2</v>
      </c>
      <c r="Y32" t="n">
        <v>48.3</v>
      </c>
      <c r="Z32" t="n">
        <v>127.9</v>
      </c>
      <c r="AA32" t="n">
        <v>261.1</v>
      </c>
      <c r="AB32" t="n">
        <v>271.2</v>
      </c>
      <c r="AC32" t="n">
        <v>276</v>
      </c>
      <c r="AD32" t="n">
        <v>52.2</v>
      </c>
      <c r="AE32" t="n">
        <v>29.2</v>
      </c>
      <c r="AF32" t="n">
        <v>150.4</v>
      </c>
    </row>
    <row r="33">
      <c r="A33" t="s">
        <v>32</v>
      </c>
      <c r="B33" t="s">
        <v>336</v>
      </c>
      <c r="C33" t="s">
        <v>217</v>
      </c>
      <c r="D33" t="s">
        <v>337</v>
      </c>
      <c r="E33" t="s">
        <v>218</v>
      </c>
      <c r="F33"/>
      <c r="G33" t="n">
        <v>0.1</v>
      </c>
      <c r="H33" t="n">
        <v>0.2</v>
      </c>
      <c r="I33" t="n">
        <v>0.1</v>
      </c>
      <c r="J33" t="n">
        <v>0.2</v>
      </c>
      <c r="K33" t="n">
        <v>0.2</v>
      </c>
      <c r="L33" t="n">
        <v>2.6</v>
      </c>
      <c r="M33" t="n">
        <v>1.4</v>
      </c>
      <c r="N33" t="n">
        <v>1.1</v>
      </c>
      <c r="O33" t="n">
        <v>1.5</v>
      </c>
      <c r="P33" t="n">
        <v>8.6</v>
      </c>
      <c r="Q33" t="n">
        <v>1.8</v>
      </c>
      <c r="R33" t="n">
        <v>10.2</v>
      </c>
      <c r="S33" t="n">
        <v>6.3</v>
      </c>
      <c r="T33" t="n">
        <v>5.9</v>
      </c>
      <c r="U33" t="n">
        <v>2</v>
      </c>
      <c r="V33" t="n">
        <v>0.8</v>
      </c>
      <c r="W33" t="n">
        <v>0.9</v>
      </c>
      <c r="X33" t="n">
        <v>0.8</v>
      </c>
      <c r="Y33" t="n">
        <v>0.6</v>
      </c>
      <c r="Z33" t="n">
        <v>3.2</v>
      </c>
      <c r="AA33" t="n">
        <v>2.4</v>
      </c>
      <c r="AB33" t="n">
        <v>2.6</v>
      </c>
      <c r="AC33" t="n">
        <v>1.7</v>
      </c>
      <c r="AD33" t="n">
        <v>2.6</v>
      </c>
      <c r="AE33" t="n">
        <v>1.2</v>
      </c>
      <c r="AF33" t="n">
        <v>2.7</v>
      </c>
    </row>
    <row r="34">
      <c r="A34" t="s">
        <v>32</v>
      </c>
      <c r="B34" t="s">
        <v>338</v>
      </c>
      <c r="C34" t="s">
        <v>217</v>
      </c>
      <c r="D34" t="s">
        <v>339</v>
      </c>
      <c r="E34" t="s">
        <v>218</v>
      </c>
      <c r="F34"/>
      <c r="G34" t="n">
        <v>10.7</v>
      </c>
      <c r="H34" t="n">
        <v>20.7</v>
      </c>
      <c r="I34" t="n">
        <v>14.1</v>
      </c>
      <c r="J34" t="n">
        <v>18.8</v>
      </c>
      <c r="K34" t="n">
        <v>19.5</v>
      </c>
      <c r="L34" t="n">
        <v>51.3</v>
      </c>
      <c r="M34" t="n">
        <v>16.5</v>
      </c>
      <c r="N34" t="n">
        <v>10.2</v>
      </c>
      <c r="O34" t="n">
        <v>19.6</v>
      </c>
      <c r="P34" t="n">
        <v>20.3</v>
      </c>
      <c r="Q34" t="n">
        <v>18.4</v>
      </c>
      <c r="R34" t="n">
        <v>23.8</v>
      </c>
      <c r="S34" t="n">
        <v>34.9</v>
      </c>
      <c r="T34" t="n">
        <v>48.6</v>
      </c>
      <c r="U34" t="n">
        <v>43.9</v>
      </c>
      <c r="V34" t="n">
        <v>43</v>
      </c>
      <c r="W34" t="n">
        <v>29.2</v>
      </c>
      <c r="X34" t="n">
        <v>47.4</v>
      </c>
      <c r="Y34" t="n">
        <v>92.4</v>
      </c>
      <c r="Z34" t="n">
        <v>31.2</v>
      </c>
      <c r="AA34" t="n">
        <v>25.7</v>
      </c>
      <c r="AB34" t="n">
        <v>27.3</v>
      </c>
      <c r="AC34" t="n">
        <v>11.7</v>
      </c>
      <c r="AD34" t="n">
        <v>12.1</v>
      </c>
      <c r="AE34" t="n">
        <v>12.1</v>
      </c>
      <c r="AF34" t="n">
        <v>14.3</v>
      </c>
    </row>
    <row r="35">
      <c r="A35" t="s">
        <v>32</v>
      </c>
      <c r="B35" t="s">
        <v>340</v>
      </c>
      <c r="C35" t="s">
        <v>217</v>
      </c>
      <c r="D35" t="s">
        <v>341</v>
      </c>
      <c r="E35" t="s">
        <v>218</v>
      </c>
      <c r="F35"/>
      <c r="G35" t="n">
        <v>7.4</v>
      </c>
      <c r="H35" t="n">
        <v>14.3</v>
      </c>
      <c r="I35" t="n">
        <v>9.9</v>
      </c>
      <c r="J35" t="n">
        <v>13.1</v>
      </c>
      <c r="K35" t="n">
        <v>13.5</v>
      </c>
      <c r="L35" t="n">
        <v>47.2</v>
      </c>
      <c r="M35" t="n">
        <v>81.7</v>
      </c>
      <c r="N35" t="n">
        <v>42</v>
      </c>
      <c r="O35" t="n">
        <v>38.8</v>
      </c>
      <c r="P35" t="n">
        <v>18.1</v>
      </c>
      <c r="Q35" t="n">
        <v>6.5</v>
      </c>
      <c r="R35" t="n">
        <v>8.6</v>
      </c>
      <c r="S35" t="n">
        <v>10.9</v>
      </c>
      <c r="T35" t="n">
        <v>10.3</v>
      </c>
      <c r="U35" t="n">
        <v>7.5</v>
      </c>
      <c r="V35" t="n">
        <v>4.5</v>
      </c>
      <c r="W35" t="n">
        <v>2.8</v>
      </c>
      <c r="X35" t="n">
        <v>3</v>
      </c>
      <c r="Y35" t="n">
        <v>9.3</v>
      </c>
      <c r="Z35" t="n">
        <v>13.5</v>
      </c>
      <c r="AA35" t="n">
        <v>10.7</v>
      </c>
      <c r="AB35" t="n">
        <v>11.3</v>
      </c>
      <c r="AC35" t="n">
        <v>7.6</v>
      </c>
      <c r="AD35" t="n">
        <v>7</v>
      </c>
      <c r="AE35" t="n">
        <v>10.7</v>
      </c>
      <c r="AF35" t="n">
        <v>28.3</v>
      </c>
    </row>
    <row r="36">
      <c r="A36" t="s">
        <v>32</v>
      </c>
      <c r="B36" t="s">
        <v>342</v>
      </c>
      <c r="C36" t="s">
        <v>217</v>
      </c>
      <c r="D36" t="s">
        <v>343</v>
      </c>
      <c r="E36" t="s">
        <v>218</v>
      </c>
      <c r="F36"/>
      <c r="G36" t="n">
        <v>4.8</v>
      </c>
      <c r="H36" t="n">
        <v>9.3</v>
      </c>
      <c r="I36" t="n">
        <v>6.4</v>
      </c>
      <c r="J36" t="n">
        <v>8.5</v>
      </c>
      <c r="K36" t="n">
        <v>8.8</v>
      </c>
      <c r="L36" t="n">
        <v>13.9</v>
      </c>
      <c r="M36" t="n">
        <v>31.8</v>
      </c>
      <c r="N36" t="n">
        <v>24.6</v>
      </c>
      <c r="O36" t="n">
        <v>16.9</v>
      </c>
      <c r="P36" t="n">
        <v>2.5</v>
      </c>
      <c r="Q36" t="n">
        <v>2.8</v>
      </c>
      <c r="R36" t="n">
        <v>4.8</v>
      </c>
      <c r="S36" t="n">
        <v>6.8</v>
      </c>
      <c r="T36" t="n">
        <v>5.7</v>
      </c>
      <c r="U36" t="n">
        <v>1.9</v>
      </c>
      <c r="V36" t="n">
        <v>1.2</v>
      </c>
      <c r="W36" t="n">
        <v>0.7</v>
      </c>
      <c r="X36" t="n">
        <v>0.9</v>
      </c>
      <c r="Y36" t="n">
        <v>3.3</v>
      </c>
      <c r="Z36" t="n">
        <v>1.5</v>
      </c>
      <c r="AA36" t="n">
        <v>1.1</v>
      </c>
      <c r="AB36" t="n">
        <v>1.1</v>
      </c>
      <c r="AC36" t="n">
        <v>1.5</v>
      </c>
      <c r="AD36" t="n">
        <v>2.6</v>
      </c>
      <c r="AE36" t="n">
        <v>4.2</v>
      </c>
      <c r="AF36" t="n">
        <v>5.1</v>
      </c>
    </row>
    <row r="37">
      <c r="A37" t="s">
        <v>32</v>
      </c>
      <c r="B37" t="s">
        <v>344</v>
      </c>
      <c r="C37" t="s">
        <v>217</v>
      </c>
      <c r="D37" t="s">
        <v>345</v>
      </c>
      <c r="E37" t="s">
        <v>218</v>
      </c>
      <c r="F37"/>
      <c r="G37" t="n">
        <v>0.9</v>
      </c>
      <c r="H37" t="n">
        <v>1.7</v>
      </c>
      <c r="I37" t="n">
        <v>1.2</v>
      </c>
      <c r="J37" t="n">
        <v>1.6</v>
      </c>
      <c r="K37" t="n">
        <v>1.6</v>
      </c>
      <c r="L37" t="n">
        <v>24.9</v>
      </c>
      <c r="M37" t="n">
        <v>14.1</v>
      </c>
      <c r="N37" t="n">
        <v>11</v>
      </c>
      <c r="O37" t="n">
        <v>14.8</v>
      </c>
      <c r="P37" t="n">
        <v>14.2</v>
      </c>
      <c r="Q37" t="n">
        <v>2.1</v>
      </c>
      <c r="R37" t="n">
        <v>1.9</v>
      </c>
      <c r="S37" t="n">
        <v>2.5</v>
      </c>
      <c r="T37" t="n">
        <v>2.2</v>
      </c>
      <c r="U37" t="n">
        <v>2.3</v>
      </c>
      <c r="V37" t="n">
        <v>1.2</v>
      </c>
      <c r="W37" t="n">
        <v>1</v>
      </c>
      <c r="X37" t="n">
        <v>1.1</v>
      </c>
      <c r="Y37" t="n">
        <v>1.4</v>
      </c>
      <c r="Z37" t="n">
        <v>7.3</v>
      </c>
      <c r="AA37" t="n">
        <v>3.1</v>
      </c>
      <c r="AB37" t="n">
        <v>3.3</v>
      </c>
      <c r="AC37" t="n">
        <v>3.3</v>
      </c>
      <c r="AD37" t="n">
        <v>1.5</v>
      </c>
      <c r="AE37" t="n">
        <v>1.5</v>
      </c>
      <c r="AF37" t="n">
        <v>12.7</v>
      </c>
    </row>
    <row r="38">
      <c r="A38" t="s">
        <v>32</v>
      </c>
      <c r="B38" t="s">
        <v>346</v>
      </c>
      <c r="C38" t="s">
        <v>217</v>
      </c>
      <c r="D38" t="s">
        <v>347</v>
      </c>
      <c r="E38" t="s">
        <v>218</v>
      </c>
      <c r="F38"/>
      <c r="G38" t="n">
        <v>1.7</v>
      </c>
      <c r="H38" t="n">
        <v>3.3</v>
      </c>
      <c r="I38" t="n">
        <v>2.2</v>
      </c>
      <c r="J38" t="n">
        <v>3</v>
      </c>
      <c r="K38" t="n">
        <v>3.1</v>
      </c>
      <c r="L38" t="n">
        <v>8.4</v>
      </c>
      <c r="M38" t="n">
        <v>35.8</v>
      </c>
      <c r="N38" t="n">
        <v>6.4</v>
      </c>
      <c r="O38" t="n">
        <v>7.1</v>
      </c>
      <c r="P38" t="n">
        <v>1.4</v>
      </c>
      <c r="Q38" t="n">
        <v>1.6</v>
      </c>
      <c r="R38" t="n">
        <v>1.9</v>
      </c>
      <c r="S38" t="n">
        <v>1.6</v>
      </c>
      <c r="T38" t="n">
        <v>2.4</v>
      </c>
      <c r="U38" t="n">
        <v>3.3</v>
      </c>
      <c r="V38" t="n">
        <v>2.1</v>
      </c>
      <c r="W38" t="n">
        <v>1.2</v>
      </c>
      <c r="X38" t="n">
        <v>1</v>
      </c>
      <c r="Y38" t="n">
        <v>4.6</v>
      </c>
      <c r="Z38" t="n">
        <v>4.7</v>
      </c>
      <c r="AA38" t="n">
        <v>6.5</v>
      </c>
      <c r="AB38" t="n">
        <v>6.9</v>
      </c>
      <c r="AC38" t="n">
        <v>2.9</v>
      </c>
      <c r="AD38" t="n">
        <v>2.9</v>
      </c>
      <c r="AE38" t="n">
        <v>5</v>
      </c>
      <c r="AF38" t="n">
        <v>10.5</v>
      </c>
    </row>
    <row r="39">
      <c r="A39" t="s">
        <v>32</v>
      </c>
      <c r="B39" t="s">
        <v>348</v>
      </c>
      <c r="C39" t="s">
        <v>217</v>
      </c>
      <c r="D39" t="s">
        <v>349</v>
      </c>
      <c r="E39" t="s">
        <v>218</v>
      </c>
      <c r="F39"/>
      <c r="G39" t="n">
        <v>2.3</v>
      </c>
      <c r="H39" t="n">
        <v>4.3</v>
      </c>
      <c r="I39" t="n">
        <v>3.3</v>
      </c>
      <c r="J39" t="n">
        <v>4.1</v>
      </c>
      <c r="K39" t="n">
        <v>4.3</v>
      </c>
      <c r="L39" t="n">
        <v>7.6</v>
      </c>
      <c r="M39" t="n">
        <v>12.6</v>
      </c>
      <c r="N39" t="n">
        <v>4.9</v>
      </c>
      <c r="O39" t="n">
        <v>2.6</v>
      </c>
      <c r="P39" t="n">
        <v>2.3</v>
      </c>
      <c r="Q39" t="n">
        <v>1.5</v>
      </c>
      <c r="R39" t="n">
        <v>1</v>
      </c>
      <c r="S39" t="n">
        <v>0.3</v>
      </c>
      <c r="T39" t="n">
        <v>-10.1</v>
      </c>
      <c r="U39" t="n">
        <v>-8.3</v>
      </c>
      <c r="V39" t="n">
        <v>-7.3</v>
      </c>
      <c r="W39" t="n">
        <v>-6.6</v>
      </c>
      <c r="X39" t="n">
        <v>2.3</v>
      </c>
      <c r="Y39" t="n">
        <v>2.3</v>
      </c>
      <c r="Z39" t="n">
        <v>1.7</v>
      </c>
      <c r="AA39" t="n">
        <v>1.3</v>
      </c>
      <c r="AB39" t="n">
        <v>1.1</v>
      </c>
      <c r="AC39" t="n">
        <v>1.3</v>
      </c>
      <c r="AD39" t="n">
        <v>0.7</v>
      </c>
      <c r="AE39" t="n">
        <v>1.3</v>
      </c>
      <c r="AF39" t="n">
        <v>-1.6</v>
      </c>
    </row>
    <row r="40">
      <c r="A40" t="s">
        <v>32</v>
      </c>
      <c r="B40" t="s">
        <v>350</v>
      </c>
      <c r="C40" t="s">
        <v>217</v>
      </c>
      <c r="D40" t="s">
        <v>351</v>
      </c>
      <c r="E40" t="s">
        <v>218</v>
      </c>
      <c r="F40"/>
      <c r="G40" t="n">
        <v>0.4</v>
      </c>
      <c r="H40" t="n">
        <v>0.8</v>
      </c>
      <c r="I40" t="n">
        <v>0.5</v>
      </c>
      <c r="J40" t="n">
        <v>0.7</v>
      </c>
      <c r="K40" t="n">
        <v>0.8</v>
      </c>
      <c r="L40" t="n">
        <v>38.9</v>
      </c>
      <c r="M40" t="n">
        <v>16</v>
      </c>
      <c r="N40" t="n">
        <v>12.4</v>
      </c>
      <c r="O40" t="n">
        <v>14.1</v>
      </c>
      <c r="P40" t="n">
        <v>0.5</v>
      </c>
      <c r="Q40" t="n">
        <v>0.3</v>
      </c>
      <c r="R40" t="n">
        <v>1.6</v>
      </c>
      <c r="S40" t="n">
        <v>0.2</v>
      </c>
      <c r="T40" t="n">
        <v>0.1</v>
      </c>
      <c r="U40" t="n">
        <v>1.3</v>
      </c>
      <c r="V40" t="n">
        <v>0.3</v>
      </c>
      <c r="W40" t="n">
        <v>0.1</v>
      </c>
      <c r="X40" t="n">
        <v>0.2</v>
      </c>
      <c r="Y40" t="n">
        <v>2</v>
      </c>
      <c r="Z40" t="n">
        <v>1.7</v>
      </c>
      <c r="AA40" t="n">
        <v>0.5</v>
      </c>
      <c r="AB40" t="n">
        <v>0.5</v>
      </c>
      <c r="AC40" t="n">
        <v>-0.2</v>
      </c>
      <c r="AD40" t="n">
        <v>-1.4</v>
      </c>
      <c r="AE40" t="n">
        <v>-13.3</v>
      </c>
      <c r="AF40" t="n">
        <v>2.3</v>
      </c>
    </row>
    <row r="41">
      <c r="A41" t="s">
        <v>32</v>
      </c>
      <c r="B41" t="s">
        <v>352</v>
      </c>
      <c r="C41" t="s">
        <v>217</v>
      </c>
      <c r="D41" t="s">
        <v>353</v>
      </c>
      <c r="E41" t="s">
        <v>218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32</v>
      </c>
      <c r="B42" t="s">
        <v>354</v>
      </c>
      <c r="C42" t="s">
        <v>217</v>
      </c>
      <c r="D42" t="s">
        <v>355</v>
      </c>
      <c r="E42" t="s">
        <v>218</v>
      </c>
      <c r="F42"/>
      <c r="G42" t="n">
        <v>23.1</v>
      </c>
      <c r="H42" t="n">
        <v>44.9</v>
      </c>
      <c r="I42" t="n">
        <v>29.8</v>
      </c>
      <c r="J42" t="n">
        <v>40.8</v>
      </c>
      <c r="K42" t="n">
        <v>42</v>
      </c>
      <c r="L42" t="n">
        <v>101.9</v>
      </c>
      <c r="M42" t="n">
        <v>78.3</v>
      </c>
      <c r="N42" t="n">
        <v>77.3</v>
      </c>
      <c r="O42" t="n">
        <v>70.4</v>
      </c>
      <c r="P42" t="n">
        <v>40.4</v>
      </c>
      <c r="Q42" t="n">
        <v>36.2</v>
      </c>
      <c r="R42" t="n">
        <v>38.7</v>
      </c>
      <c r="S42" t="n">
        <v>18.1</v>
      </c>
      <c r="T42" t="n">
        <v>32.1</v>
      </c>
      <c r="U42" t="n">
        <v>17</v>
      </c>
      <c r="V42" t="n">
        <v>16.1</v>
      </c>
      <c r="W42" t="n">
        <v>15</v>
      </c>
      <c r="X42" t="n">
        <v>11</v>
      </c>
      <c r="Y42" t="n">
        <v>14</v>
      </c>
      <c r="Z42" t="n">
        <v>16.7</v>
      </c>
      <c r="AA42" t="n">
        <v>11.8</v>
      </c>
      <c r="AB42" t="n">
        <v>12.4</v>
      </c>
      <c r="AC42" t="n">
        <v>9.4</v>
      </c>
      <c r="AD42" t="n">
        <v>67</v>
      </c>
      <c r="AE42" t="n">
        <v>55.9</v>
      </c>
      <c r="AF42" t="n">
        <v>14.5</v>
      </c>
    </row>
    <row r="43">
      <c r="A43" t="s">
        <v>32</v>
      </c>
      <c r="B43" t="s">
        <v>356</v>
      </c>
      <c r="C43" t="s">
        <v>217</v>
      </c>
      <c r="D43" t="s">
        <v>357</v>
      </c>
      <c r="E43" t="s">
        <v>218</v>
      </c>
      <c r="F43"/>
      <c r="G43" t="n">
        <v>63.4</v>
      </c>
      <c r="H43" t="n">
        <v>109.1</v>
      </c>
      <c r="I43" t="n">
        <v>107.9</v>
      </c>
      <c r="J43" t="n">
        <v>101</v>
      </c>
      <c r="K43" t="n">
        <v>118.7</v>
      </c>
      <c r="L43" t="n">
        <v>246.4</v>
      </c>
      <c r="M43" t="n">
        <v>138.8</v>
      </c>
      <c r="N43" t="n">
        <v>198</v>
      </c>
      <c r="O43" t="n">
        <v>250.4</v>
      </c>
      <c r="P43" t="n">
        <v>575.5</v>
      </c>
      <c r="Q43" t="n">
        <v>542.9</v>
      </c>
      <c r="R43" t="n">
        <v>769.9</v>
      </c>
      <c r="S43" t="n">
        <v>670</v>
      </c>
      <c r="T43" t="n">
        <v>443.7</v>
      </c>
      <c r="U43" t="n">
        <v>316.8</v>
      </c>
      <c r="V43" t="n">
        <v>366.6</v>
      </c>
      <c r="W43" t="n">
        <v>87.1</v>
      </c>
      <c r="X43" t="n">
        <v>13.8</v>
      </c>
      <c r="Y43" t="n">
        <v>145.5</v>
      </c>
      <c r="Z43" t="n">
        <v>13.5</v>
      </c>
      <c r="AA43" t="n">
        <v>9</v>
      </c>
      <c r="AB43" t="n">
        <v>8.2</v>
      </c>
      <c r="AC43" t="n">
        <v>41.1</v>
      </c>
      <c r="AD43" t="n">
        <v>118.7</v>
      </c>
      <c r="AE43" t="n">
        <v>93.5</v>
      </c>
      <c r="AF43" t="n">
        <v>215.4</v>
      </c>
    </row>
    <row r="44">
      <c r="A44" t="s">
        <v>32</v>
      </c>
      <c r="B44" t="s">
        <v>358</v>
      </c>
      <c r="C44" t="s">
        <v>217</v>
      </c>
      <c r="D44" t="s">
        <v>359</v>
      </c>
      <c r="E44" t="s">
        <v>218</v>
      </c>
      <c r="F44"/>
      <c r="G44" t="n">
        <v>971.7</v>
      </c>
      <c r="H44" t="n">
        <v>1533.5</v>
      </c>
      <c r="I44" t="n">
        <v>1913.8</v>
      </c>
      <c r="J44" t="n">
        <v>1440.6</v>
      </c>
      <c r="K44" t="n">
        <v>1853.7</v>
      </c>
      <c r="L44" t="n">
        <v>2881</v>
      </c>
      <c r="M44" t="n">
        <v>3109.7</v>
      </c>
      <c r="N44" t="n">
        <v>2916</v>
      </c>
      <c r="O44" t="n">
        <v>2191.5</v>
      </c>
      <c r="P44" t="n">
        <v>2994.3</v>
      </c>
      <c r="Q44" t="n">
        <v>3855.5</v>
      </c>
      <c r="R44" t="n">
        <v>5162.3</v>
      </c>
      <c r="S44" t="n">
        <v>3799.2</v>
      </c>
      <c r="T44" t="n">
        <v>2270.6</v>
      </c>
      <c r="U44" t="n">
        <v>2243.7</v>
      </c>
      <c r="V44" t="n">
        <v>1231.6</v>
      </c>
      <c r="W44" t="n">
        <v>721.2</v>
      </c>
      <c r="X44" t="n">
        <v>961.4</v>
      </c>
      <c r="Y44" t="n">
        <v>1118</v>
      </c>
      <c r="Z44" t="n">
        <v>1384.4</v>
      </c>
      <c r="AA44" t="n">
        <v>1213.4</v>
      </c>
      <c r="AB44" t="n">
        <v>1635</v>
      </c>
      <c r="AC44" t="n">
        <v>1773.5</v>
      </c>
      <c r="AD44" t="n">
        <v>1960.6</v>
      </c>
      <c r="AE44" t="n">
        <v>1420.2</v>
      </c>
      <c r="AF44" t="n">
        <v>1732.1</v>
      </c>
    </row>
    <row r="45">
      <c r="A45" t="s">
        <v>32</v>
      </c>
      <c r="B45" t="s">
        <v>360</v>
      </c>
      <c r="C45" t="s">
        <v>217</v>
      </c>
      <c r="D45" t="s">
        <v>361</v>
      </c>
      <c r="E45" t="s">
        <v>218</v>
      </c>
      <c r="F45"/>
      <c r="G45" t="n">
        <v>851.9</v>
      </c>
      <c r="H45" t="n">
        <v>1310.5</v>
      </c>
      <c r="I45" t="n">
        <v>1741</v>
      </c>
      <c r="J45" t="n">
        <v>1236.7</v>
      </c>
      <c r="K45" t="n">
        <v>1633.5</v>
      </c>
      <c r="L45" t="n">
        <v>2456.8</v>
      </c>
      <c r="M45" t="n">
        <v>2692.8</v>
      </c>
      <c r="N45" t="n">
        <v>2572.6</v>
      </c>
      <c r="O45" t="n">
        <v>1835</v>
      </c>
      <c r="P45" t="n">
        <v>2558.4</v>
      </c>
      <c r="Q45" t="n">
        <v>3491.8</v>
      </c>
      <c r="R45" t="n">
        <v>4634.8</v>
      </c>
      <c r="S45" t="n">
        <v>3350.5</v>
      </c>
      <c r="T45" t="n">
        <v>1939.1</v>
      </c>
      <c r="U45" t="n">
        <v>1889</v>
      </c>
      <c r="V45" t="n">
        <v>979.9</v>
      </c>
      <c r="W45" t="n">
        <v>448.2</v>
      </c>
      <c r="X45" t="n">
        <v>555</v>
      </c>
      <c r="Y45" t="n">
        <v>876.8</v>
      </c>
      <c r="Z45" t="n">
        <v>969.8</v>
      </c>
      <c r="AA45" t="n">
        <v>790.3</v>
      </c>
      <c r="AB45" t="n">
        <v>1196</v>
      </c>
      <c r="AC45" t="n">
        <v>1237.7</v>
      </c>
      <c r="AD45" t="n">
        <v>1322.7</v>
      </c>
      <c r="AE45" t="n">
        <v>914.1</v>
      </c>
      <c r="AF45" t="n">
        <v>1384.8</v>
      </c>
    </row>
    <row r="46">
      <c r="A46" t="s">
        <v>32</v>
      </c>
      <c r="B46" t="s">
        <v>362</v>
      </c>
      <c r="C46" t="s">
        <v>217</v>
      </c>
      <c r="D46" t="s">
        <v>363</v>
      </c>
      <c r="E46" t="s">
        <v>218</v>
      </c>
      <c r="F46"/>
      <c r="G46" t="n">
        <v>40.3</v>
      </c>
      <c r="H46" t="n">
        <v>64.2</v>
      </c>
      <c r="I46" t="n">
        <v>78.1</v>
      </c>
      <c r="J46" t="n">
        <v>60.2</v>
      </c>
      <c r="K46" t="n">
        <v>76.7</v>
      </c>
      <c r="L46" t="n">
        <v>144.5</v>
      </c>
      <c r="M46" t="n">
        <v>60.5</v>
      </c>
      <c r="N46" t="n">
        <v>120.7</v>
      </c>
      <c r="O46" t="n">
        <v>180</v>
      </c>
      <c r="P46" t="n">
        <v>535.1</v>
      </c>
      <c r="Q46" t="n">
        <v>506.7</v>
      </c>
      <c r="R46" t="n">
        <v>731.2</v>
      </c>
      <c r="S46" t="n">
        <v>651.9</v>
      </c>
      <c r="T46" t="n">
        <v>411.6</v>
      </c>
      <c r="U46" t="n">
        <v>299.8</v>
      </c>
      <c r="V46" t="n">
        <v>350.5</v>
      </c>
      <c r="W46" t="n">
        <v>72.1</v>
      </c>
      <c r="X46" t="n">
        <v>2.8</v>
      </c>
      <c r="Y46" t="n">
        <v>131.5</v>
      </c>
      <c r="Z46" t="n">
        <v>-3.2</v>
      </c>
      <c r="AA46" t="n">
        <v>-2.8</v>
      </c>
      <c r="AB46" t="n">
        <v>-4.3</v>
      </c>
      <c r="AC46" t="n">
        <v>31.7</v>
      </c>
      <c r="AD46" t="n">
        <v>51.7</v>
      </c>
      <c r="AE46" t="n">
        <v>37.6</v>
      </c>
      <c r="AF46" t="n">
        <v>200.9</v>
      </c>
    </row>
    <row r="47">
      <c r="A47" t="s">
        <v>32</v>
      </c>
      <c r="B47" t="s">
        <v>364</v>
      </c>
      <c r="C47" t="s">
        <v>217</v>
      </c>
      <c r="D47" t="s">
        <v>365</v>
      </c>
      <c r="E47" t="s">
        <v>218</v>
      </c>
      <c r="F47"/>
      <c r="G47" t="n">
        <v>-15.1</v>
      </c>
      <c r="H47" t="n">
        <v>23.4</v>
      </c>
      <c r="I47" t="n">
        <v>-523.1</v>
      </c>
      <c r="J47" t="n">
        <v>53.1</v>
      </c>
      <c r="K47" t="n">
        <v>35.8</v>
      </c>
      <c r="L47" t="n">
        <v>-3</v>
      </c>
      <c r="M47" t="n">
        <v>-4.3</v>
      </c>
      <c r="N47" t="n">
        <v>-534.3</v>
      </c>
      <c r="O47" t="n">
        <v>677.1</v>
      </c>
      <c r="P47" t="n">
        <v>61.6</v>
      </c>
      <c r="Q47" t="n">
        <v>29.5</v>
      </c>
      <c r="R47" t="n">
        <v>115.1</v>
      </c>
      <c r="S47" t="n">
        <v>-142.2</v>
      </c>
      <c r="T47" t="n">
        <v>-105.4</v>
      </c>
      <c r="U47" t="n">
        <v>125.1</v>
      </c>
      <c r="V47" t="n">
        <v>83.8</v>
      </c>
      <c r="W47" t="n">
        <v>76.4</v>
      </c>
      <c r="X47" t="n">
        <v>90.6</v>
      </c>
      <c r="Y47" t="n">
        <v>461</v>
      </c>
      <c r="Z47" t="n">
        <v>346.5</v>
      </c>
      <c r="AA47" t="n">
        <v>340.3</v>
      </c>
      <c r="AB47" t="n">
        <v>273.6</v>
      </c>
      <c r="AC47" t="n">
        <v>137.8</v>
      </c>
      <c r="AD47" t="n">
        <v>112.6</v>
      </c>
      <c r="AE47" t="n">
        <v>116</v>
      </c>
      <c r="AF47" t="n">
        <v>105.7</v>
      </c>
    </row>
    <row r="48">
      <c r="A48" t="s">
        <v>32</v>
      </c>
      <c r="B48" t="s">
        <v>366</v>
      </c>
      <c r="C48" t="s">
        <v>217</v>
      </c>
      <c r="D48" t="s">
        <v>367</v>
      </c>
      <c r="E48" t="s">
        <v>218</v>
      </c>
      <c r="F48"/>
      <c r="G48" t="n">
        <v>7.2</v>
      </c>
      <c r="H48" t="n">
        <v>66.6</v>
      </c>
      <c r="I48" t="n">
        <v>-493.8</v>
      </c>
      <c r="J48" t="n">
        <v>92.3</v>
      </c>
      <c r="K48" t="n">
        <v>76.5</v>
      </c>
      <c r="L48" t="n">
        <v>52.7</v>
      </c>
      <c r="M48" t="n">
        <v>32.2</v>
      </c>
      <c r="N48" t="n">
        <v>-501.7</v>
      </c>
      <c r="O48" t="n">
        <v>725.2</v>
      </c>
      <c r="P48" t="n">
        <v>288.8</v>
      </c>
      <c r="Q48" t="n">
        <v>118.7</v>
      </c>
      <c r="R48" t="n">
        <v>151.3</v>
      </c>
      <c r="S48" t="n">
        <v>-107.1</v>
      </c>
      <c r="T48" t="n">
        <v>-78.9</v>
      </c>
      <c r="U48" t="n">
        <v>130.9</v>
      </c>
      <c r="V48" t="n">
        <v>89.6</v>
      </c>
      <c r="W48" t="n">
        <v>81.9</v>
      </c>
      <c r="X48" t="n">
        <v>98.4</v>
      </c>
      <c r="Y48" t="n">
        <v>463.4</v>
      </c>
      <c r="Z48" t="n">
        <v>357.6</v>
      </c>
      <c r="AA48" t="n">
        <v>350.8</v>
      </c>
      <c r="AB48" t="n">
        <v>277</v>
      </c>
      <c r="AC48" t="n">
        <v>145.1</v>
      </c>
      <c r="AD48" t="n">
        <v>121.1</v>
      </c>
      <c r="AE48" t="n">
        <v>122.7</v>
      </c>
      <c r="AF48" t="n">
        <v>127.8</v>
      </c>
    </row>
    <row r="49">
      <c r="A49" t="s">
        <v>32</v>
      </c>
      <c r="B49" t="s">
        <v>368</v>
      </c>
      <c r="C49" t="s">
        <v>217</v>
      </c>
      <c r="D49" t="s">
        <v>369</v>
      </c>
      <c r="E49" t="s">
        <v>218</v>
      </c>
      <c r="F49"/>
      <c r="G49" t="n">
        <v>14.6</v>
      </c>
      <c r="H49" t="n">
        <v>28.1</v>
      </c>
      <c r="I49" t="n">
        <v>19.1</v>
      </c>
      <c r="J49" t="n">
        <v>25.6</v>
      </c>
      <c r="K49" t="n">
        <v>26.5</v>
      </c>
      <c r="L49" t="n">
        <v>39.7</v>
      </c>
      <c r="M49" t="n">
        <v>24.1</v>
      </c>
      <c r="N49" t="n">
        <v>11</v>
      </c>
      <c r="O49" t="n">
        <v>31.5</v>
      </c>
      <c r="P49" t="n">
        <v>175</v>
      </c>
      <c r="Q49" t="n">
        <v>70.8</v>
      </c>
      <c r="R49" t="n">
        <v>28</v>
      </c>
      <c r="S49" t="n">
        <v>25.9</v>
      </c>
      <c r="T49" t="n">
        <v>19.5</v>
      </c>
      <c r="U49" t="n">
        <v>2.5</v>
      </c>
      <c r="V49" t="n">
        <v>2.5</v>
      </c>
      <c r="W49" t="n">
        <v>2.6</v>
      </c>
      <c r="X49" t="n">
        <v>2.7</v>
      </c>
      <c r="Y49" t="n">
        <v>1.8</v>
      </c>
      <c r="Z49" t="n">
        <v>2.2</v>
      </c>
      <c r="AA49" t="n">
        <v>1.3</v>
      </c>
      <c r="AB49" t="n">
        <v>1.4</v>
      </c>
      <c r="AC49" t="n">
        <v>2.1</v>
      </c>
      <c r="AD49" t="n">
        <v>3.5</v>
      </c>
      <c r="AE49" t="n">
        <v>2.6</v>
      </c>
      <c r="AF49" t="n">
        <v>2.7</v>
      </c>
    </row>
    <row r="50">
      <c r="A50" t="s">
        <v>32</v>
      </c>
      <c r="B50" t="s">
        <v>370</v>
      </c>
      <c r="C50" t="s">
        <v>217</v>
      </c>
      <c r="D50" t="s">
        <v>371</v>
      </c>
      <c r="E50" t="s">
        <v>218</v>
      </c>
      <c r="F50"/>
      <c r="G50" t="n">
        <v>7.8</v>
      </c>
      <c r="H50" t="n">
        <v>15</v>
      </c>
      <c r="I50" t="n">
        <v>10.2</v>
      </c>
      <c r="J50" t="n">
        <v>13.6</v>
      </c>
      <c r="K50" t="n">
        <v>14.1</v>
      </c>
      <c r="L50" t="n">
        <v>15.9</v>
      </c>
      <c r="M50" t="n">
        <v>12.4</v>
      </c>
      <c r="N50" t="n">
        <v>21.6</v>
      </c>
      <c r="O50" t="n">
        <v>16.6</v>
      </c>
      <c r="P50" t="n">
        <v>52.2</v>
      </c>
      <c r="Q50" t="n">
        <v>18.5</v>
      </c>
      <c r="R50" t="n">
        <v>8.3</v>
      </c>
      <c r="S50" t="n">
        <v>9.2</v>
      </c>
      <c r="T50" t="n">
        <v>6.9</v>
      </c>
      <c r="U50" t="n">
        <v>3.4</v>
      </c>
      <c r="V50" t="n">
        <v>3.3</v>
      </c>
      <c r="W50" t="n">
        <v>2.9</v>
      </c>
      <c r="X50" t="n">
        <v>5.1</v>
      </c>
      <c r="Y50" t="n">
        <v>2.4</v>
      </c>
      <c r="Z50" t="n">
        <v>8.9</v>
      </c>
      <c r="AA50" t="n">
        <v>10.5</v>
      </c>
      <c r="AB50" t="n">
        <v>3.4</v>
      </c>
      <c r="AC50" t="n">
        <v>5.3</v>
      </c>
      <c r="AD50" t="n">
        <v>4.9</v>
      </c>
      <c r="AE50" t="n">
        <v>4.1</v>
      </c>
      <c r="AF50" t="n">
        <v>19.4</v>
      </c>
    </row>
    <row r="51">
      <c r="A51" t="s">
        <v>32</v>
      </c>
      <c r="B51" t="s">
        <v>372</v>
      </c>
      <c r="C51" t="s">
        <v>217</v>
      </c>
      <c r="D51" t="s">
        <v>373</v>
      </c>
      <c r="E51" t="s">
        <v>218</v>
      </c>
      <c r="F51"/>
      <c r="G51" t="n">
        <v>7.3</v>
      </c>
      <c r="H51" t="n">
        <v>14</v>
      </c>
      <c r="I51" t="n">
        <v>9.5</v>
      </c>
      <c r="J51" t="n">
        <v>12.7</v>
      </c>
      <c r="K51" t="n">
        <v>13.2</v>
      </c>
      <c r="L51" t="n">
        <v>14.9</v>
      </c>
      <c r="M51" t="n">
        <v>11.6</v>
      </c>
      <c r="N51" t="n">
        <v>20.2</v>
      </c>
      <c r="O51" t="n">
        <v>15.5</v>
      </c>
      <c r="P51" t="n">
        <v>40.6</v>
      </c>
      <c r="Q51" t="n">
        <v>17.1</v>
      </c>
      <c r="R51" t="n">
        <v>7</v>
      </c>
      <c r="S51" t="n">
        <v>7.8</v>
      </c>
      <c r="T51" t="n">
        <v>5.6</v>
      </c>
      <c r="U51" t="n">
        <v>2.7</v>
      </c>
      <c r="V51" t="n">
        <v>2.3</v>
      </c>
      <c r="W51" t="n">
        <v>2.2</v>
      </c>
      <c r="X51" t="n">
        <v>4.2</v>
      </c>
      <c r="Y51" t="n">
        <v>2</v>
      </c>
      <c r="Z51" t="n">
        <v>8.2</v>
      </c>
      <c r="AA51" t="n">
        <v>9.8</v>
      </c>
      <c r="AB51" t="n">
        <v>2.7</v>
      </c>
      <c r="AC51" t="n">
        <v>4.3</v>
      </c>
      <c r="AD51" t="n">
        <v>3.9</v>
      </c>
      <c r="AE51" t="n">
        <v>3.2</v>
      </c>
      <c r="AF51" t="n">
        <v>18.5</v>
      </c>
    </row>
    <row r="52">
      <c r="A52" t="s">
        <v>32</v>
      </c>
      <c r="B52" t="s">
        <v>374</v>
      </c>
      <c r="C52" t="s">
        <v>217</v>
      </c>
      <c r="D52" t="s">
        <v>375</v>
      </c>
      <c r="E52" t="s">
        <v>218</v>
      </c>
      <c r="F52"/>
      <c r="G52" t="n">
        <v>0.5</v>
      </c>
      <c r="H52" t="n">
        <v>1</v>
      </c>
      <c r="I52" t="n">
        <v>0.7</v>
      </c>
      <c r="J52" t="n">
        <v>0.9</v>
      </c>
      <c r="K52" t="n">
        <v>0.9</v>
      </c>
      <c r="L52" t="n">
        <v>1</v>
      </c>
      <c r="M52" t="n">
        <v>0.8</v>
      </c>
      <c r="N52" t="n">
        <v>1.4</v>
      </c>
      <c r="O52" t="n">
        <v>1.1</v>
      </c>
      <c r="P52" t="n">
        <v>11.6</v>
      </c>
      <c r="Q52" t="n">
        <v>1.4</v>
      </c>
      <c r="R52" t="n">
        <v>1.3</v>
      </c>
      <c r="S52" t="n">
        <v>1.4</v>
      </c>
      <c r="T52" t="n">
        <v>1.3</v>
      </c>
      <c r="U52" t="n">
        <v>0.7</v>
      </c>
      <c r="V52" t="n">
        <v>1</v>
      </c>
      <c r="W52" t="n">
        <v>0.7</v>
      </c>
      <c r="X52" t="n">
        <v>0.9</v>
      </c>
      <c r="Y52" t="n">
        <v>0.4</v>
      </c>
      <c r="Z52" t="n">
        <v>0.7</v>
      </c>
      <c r="AA52" t="n">
        <v>0.7</v>
      </c>
      <c r="AB52" t="n">
        <v>0.7</v>
      </c>
      <c r="AC52" t="n">
        <v>0.9</v>
      </c>
      <c r="AD52" t="n">
        <v>1</v>
      </c>
      <c r="AE52" t="n">
        <v>0.9</v>
      </c>
      <c r="AF52" t="n">
        <v>0.9</v>
      </c>
    </row>
    <row r="53">
      <c r="A53" t="s">
        <v>32</v>
      </c>
      <c r="B53" t="s">
        <v>376</v>
      </c>
      <c r="C53" t="s">
        <v>217</v>
      </c>
      <c r="D53" t="s">
        <v>377</v>
      </c>
      <c r="E53" t="s">
        <v>218</v>
      </c>
      <c r="F53"/>
      <c r="G53" t="n">
        <v>6.4</v>
      </c>
      <c r="H53" t="n">
        <v>12.3</v>
      </c>
      <c r="I53" t="n">
        <v>8.5</v>
      </c>
      <c r="J53" t="n">
        <v>11.2</v>
      </c>
      <c r="K53" t="n">
        <v>11.7</v>
      </c>
      <c r="L53" t="n">
        <v>15.5</v>
      </c>
      <c r="M53" t="n">
        <v>27</v>
      </c>
      <c r="N53" t="n">
        <v>41.1</v>
      </c>
      <c r="O53" t="n">
        <v>22.6</v>
      </c>
      <c r="P53" t="n">
        <v>55.9</v>
      </c>
      <c r="Q53" t="n">
        <v>33</v>
      </c>
      <c r="R53" t="n">
        <v>21.5</v>
      </c>
      <c r="S53" t="n">
        <v>24.5</v>
      </c>
      <c r="T53" t="n">
        <v>22</v>
      </c>
      <c r="U53" t="n">
        <v>18.8</v>
      </c>
      <c r="V53" t="n">
        <v>25</v>
      </c>
      <c r="W53" t="n">
        <v>24.5</v>
      </c>
      <c r="X53" t="n">
        <v>47.3</v>
      </c>
      <c r="Y53" t="n">
        <v>17.8</v>
      </c>
      <c r="Z53" t="n">
        <v>20.8</v>
      </c>
      <c r="AA53" t="n">
        <v>15.7</v>
      </c>
      <c r="AB53" t="n">
        <v>16.7</v>
      </c>
      <c r="AC53" t="n">
        <v>20.7</v>
      </c>
      <c r="AD53" t="n">
        <v>23.5</v>
      </c>
      <c r="AE53" t="n">
        <v>18.8</v>
      </c>
      <c r="AF53" t="n">
        <v>4</v>
      </c>
    </row>
    <row r="54">
      <c r="A54" t="s">
        <v>32</v>
      </c>
      <c r="B54" t="s">
        <v>378</v>
      </c>
      <c r="C54" t="s">
        <v>217</v>
      </c>
      <c r="D54" t="s">
        <v>379</v>
      </c>
      <c r="E54" t="s">
        <v>218</v>
      </c>
      <c r="F54"/>
      <c r="G54" t="n">
        <v>59.3</v>
      </c>
      <c r="H54" t="n">
        <v>114.4</v>
      </c>
      <c r="I54" t="n">
        <v>77.7</v>
      </c>
      <c r="J54" t="n">
        <v>103.9</v>
      </c>
      <c r="K54" t="n">
        <v>107.9</v>
      </c>
      <c r="L54" t="n">
        <v>67.2</v>
      </c>
      <c r="M54" t="n">
        <v>45.1</v>
      </c>
      <c r="N54" t="n">
        <v>51.8</v>
      </c>
      <c r="O54" t="n">
        <v>46.4</v>
      </c>
      <c r="P54" t="n">
        <v>65.6</v>
      </c>
      <c r="Q54" t="n">
        <v>39.2</v>
      </c>
      <c r="R54" t="n">
        <v>43.1</v>
      </c>
      <c r="S54" t="n">
        <v>40.3</v>
      </c>
      <c r="T54" t="n">
        <v>30.6</v>
      </c>
      <c r="U54" t="n">
        <v>21.9</v>
      </c>
      <c r="V54" t="n">
        <v>27.5</v>
      </c>
      <c r="W54" t="n">
        <v>26.8</v>
      </c>
      <c r="X54" t="n">
        <v>49.8</v>
      </c>
      <c r="Y54" t="n">
        <v>20</v>
      </c>
      <c r="Z54" t="n">
        <v>22.2</v>
      </c>
      <c r="AA54" t="n">
        <v>16.7</v>
      </c>
      <c r="AB54" t="n">
        <v>17.7</v>
      </c>
      <c r="AC54" t="n">
        <v>21.8</v>
      </c>
      <c r="AD54" t="n">
        <v>24.8</v>
      </c>
      <c r="AE54" t="n">
        <v>19.9</v>
      </c>
      <c r="AF54" t="n">
        <v>5.6</v>
      </c>
    </row>
    <row r="55">
      <c r="A55" t="s">
        <v>32</v>
      </c>
      <c r="B55" t="s">
        <v>380</v>
      </c>
      <c r="C55" t="s">
        <v>217</v>
      </c>
      <c r="D55" t="s">
        <v>381</v>
      </c>
      <c r="E55" t="s">
        <v>218</v>
      </c>
      <c r="F55"/>
      <c r="G55" t="n">
        <v>52.9</v>
      </c>
      <c r="H55" t="n">
        <v>102.1</v>
      </c>
      <c r="I55" t="n">
        <v>69.2</v>
      </c>
      <c r="J55" t="n">
        <v>92.7</v>
      </c>
      <c r="K55" t="n">
        <v>96.2</v>
      </c>
      <c r="L55" t="n">
        <v>51.7</v>
      </c>
      <c r="M55" t="n">
        <v>18.1</v>
      </c>
      <c r="N55" t="n">
        <v>10.7</v>
      </c>
      <c r="O55" t="n">
        <v>23.8</v>
      </c>
      <c r="P55" t="n">
        <v>9.7</v>
      </c>
      <c r="Q55" t="n">
        <v>6.2</v>
      </c>
      <c r="R55" t="n">
        <v>21.6</v>
      </c>
      <c r="S55" t="n">
        <v>15.8</v>
      </c>
      <c r="T55" t="n">
        <v>8.6</v>
      </c>
      <c r="U55" t="n">
        <v>3.1</v>
      </c>
      <c r="V55" t="n">
        <v>2.5</v>
      </c>
      <c r="W55" t="n">
        <v>2.3</v>
      </c>
      <c r="X55" t="n">
        <v>2.5</v>
      </c>
      <c r="Y55" t="n">
        <v>2.2</v>
      </c>
      <c r="Z55" t="n">
        <v>1.4</v>
      </c>
      <c r="AA55" t="n">
        <v>1</v>
      </c>
      <c r="AB55" t="n">
        <v>1</v>
      </c>
      <c r="AC55" t="n">
        <v>1.1</v>
      </c>
      <c r="AD55" t="n">
        <v>1.3</v>
      </c>
      <c r="AE55" t="n">
        <v>1.1</v>
      </c>
      <c r="AF55" t="n">
        <v>1.6</v>
      </c>
    </row>
    <row r="56">
      <c r="A56" t="s">
        <v>32</v>
      </c>
      <c r="B56" t="s">
        <v>382</v>
      </c>
      <c r="C56" t="s">
        <v>217</v>
      </c>
      <c r="D56" t="s">
        <v>383</v>
      </c>
      <c r="E56" t="s">
        <v>218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32</v>
      </c>
      <c r="B57" t="s">
        <v>384</v>
      </c>
      <c r="C57" t="s">
        <v>217</v>
      </c>
      <c r="D57" t="s">
        <v>385</v>
      </c>
      <c r="E57" t="s">
        <v>218</v>
      </c>
      <c r="F57"/>
      <c r="G57" t="n">
        <v>979.4</v>
      </c>
      <c r="H57" t="n">
        <v>1600.8</v>
      </c>
      <c r="I57" t="n">
        <v>1420.5</v>
      </c>
      <c r="J57" t="n">
        <v>1533.6</v>
      </c>
      <c r="K57" t="n">
        <v>1930.9</v>
      </c>
      <c r="L57" t="n">
        <v>2972.5</v>
      </c>
      <c r="M57" t="n">
        <v>3157.9</v>
      </c>
      <c r="N57" t="n">
        <v>2426.7</v>
      </c>
      <c r="O57" t="n">
        <v>2930.8</v>
      </c>
      <c r="P57" t="n">
        <v>3283.6</v>
      </c>
      <c r="Q57" t="n">
        <v>3974.6</v>
      </c>
      <c r="R57" t="n">
        <v>5315.3</v>
      </c>
      <c r="S57" t="n">
        <v>3692.3</v>
      </c>
      <c r="T57" t="n">
        <v>2191.7</v>
      </c>
      <c r="U57" t="n">
        <v>2376</v>
      </c>
      <c r="V57" t="n">
        <v>1321.5</v>
      </c>
      <c r="W57" t="n">
        <v>803.2</v>
      </c>
      <c r="X57" t="n">
        <v>1060</v>
      </c>
      <c r="Y57" t="n">
        <v>1585.2</v>
      </c>
      <c r="Z57" t="n">
        <v>1743.7</v>
      </c>
      <c r="AA57" t="n">
        <v>1566</v>
      </c>
      <c r="AB57" t="n">
        <v>1913.9</v>
      </c>
      <c r="AC57" t="n">
        <v>1918.5</v>
      </c>
      <c r="AD57" t="n">
        <v>2080.2</v>
      </c>
      <c r="AE57" t="n">
        <v>1529.6</v>
      </c>
      <c r="AF57" t="n">
        <v>1862.2</v>
      </c>
    </row>
    <row r="58">
      <c r="A58" t="s">
        <v>32</v>
      </c>
      <c r="B58" t="s">
        <v>386</v>
      </c>
      <c r="C58" t="s">
        <v>217</v>
      </c>
      <c r="D58" t="s">
        <v>387</v>
      </c>
      <c r="E58" t="s">
        <v>218</v>
      </c>
      <c r="F58"/>
      <c r="G58" t="n">
        <v>979.4</v>
      </c>
      <c r="H58" t="n">
        <v>1600.8</v>
      </c>
      <c r="I58" t="n">
        <v>1420.5</v>
      </c>
      <c r="J58" t="n">
        <v>1533.6</v>
      </c>
      <c r="K58" t="n">
        <v>1930.9</v>
      </c>
      <c r="L58" t="n">
        <v>2972.5</v>
      </c>
      <c r="M58" t="n">
        <v>3157.9</v>
      </c>
      <c r="N58" t="n">
        <v>2426.7</v>
      </c>
      <c r="O58" t="n">
        <v>2930.8</v>
      </c>
      <c r="P58" t="n">
        <v>3283.6</v>
      </c>
      <c r="Q58" t="n">
        <v>3974.6</v>
      </c>
      <c r="R58" t="n">
        <v>5315.3</v>
      </c>
      <c r="S58" t="n">
        <v>3692.3</v>
      </c>
      <c r="T58" t="n">
        <v>2191.7</v>
      </c>
      <c r="U58" t="n">
        <v>2376</v>
      </c>
      <c r="V58" t="n">
        <v>1321.5</v>
      </c>
      <c r="W58" t="n">
        <v>803.2</v>
      </c>
      <c r="X58" t="n">
        <v>1060</v>
      </c>
      <c r="Y58" t="n">
        <v>1585.2</v>
      </c>
      <c r="Z58" t="n">
        <v>1743.7</v>
      </c>
      <c r="AA58" t="n">
        <v>1566</v>
      </c>
      <c r="AB58" t="n">
        <v>1913.9</v>
      </c>
      <c r="AC58" t="n">
        <v>1918.5</v>
      </c>
      <c r="AD58" t="n">
        <v>2080.2</v>
      </c>
      <c r="AE58" t="n">
        <v>1529.6</v>
      </c>
      <c r="AF58" t="n">
        <v>1862.2</v>
      </c>
    </row>
    <row r="59">
      <c r="A59" t="s">
        <v>32</v>
      </c>
      <c r="B59" t="s">
        <v>388</v>
      </c>
      <c r="C59" t="s">
        <v>217</v>
      </c>
      <c r="D59" t="s">
        <v>389</v>
      </c>
      <c r="E59" t="s">
        <v>218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34</v>
      </c>
      <c r="B2" t="s">
        <v>197</v>
      </c>
      <c r="C2" t="s">
        <v>217</v>
      </c>
      <c r="D2" t="s">
        <v>199</v>
      </c>
      <c r="E2" t="s">
        <v>218</v>
      </c>
      <c r="F2"/>
      <c r="G2" t="n">
        <v>254</v>
      </c>
      <c r="H2" t="n">
        <v>284.5</v>
      </c>
      <c r="I2" t="n">
        <v>371.2</v>
      </c>
      <c r="J2" t="n">
        <v>440.4</v>
      </c>
      <c r="K2" t="n">
        <v>503</v>
      </c>
      <c r="L2" t="n">
        <v>430.2</v>
      </c>
      <c r="M2" t="n">
        <v>316.1</v>
      </c>
      <c r="N2" t="n">
        <v>558.2</v>
      </c>
      <c r="O2" t="n">
        <v>643.7</v>
      </c>
      <c r="P2" t="n">
        <v>637.6</v>
      </c>
      <c r="Q2" t="n">
        <v>515.4</v>
      </c>
      <c r="R2" t="n">
        <v>811.9</v>
      </c>
      <c r="S2" t="n">
        <v>1117.5</v>
      </c>
      <c r="T2" t="n">
        <v>913.3</v>
      </c>
      <c r="U2" t="n">
        <v>1237.9</v>
      </c>
      <c r="V2" t="n">
        <v>852.2</v>
      </c>
      <c r="W2" t="n">
        <v>638</v>
      </c>
      <c r="X2" t="n">
        <v>988.3</v>
      </c>
      <c r="Y2" t="n">
        <v>697.9</v>
      </c>
      <c r="Z2" t="n">
        <v>779</v>
      </c>
      <c r="AA2" t="n">
        <v>928.7</v>
      </c>
      <c r="AB2" t="n">
        <v>957.4</v>
      </c>
      <c r="AC2" t="n">
        <v>1066.4</v>
      </c>
      <c r="AD2" t="n">
        <v>1161.1</v>
      </c>
      <c r="AE2" t="n">
        <v>1184.2</v>
      </c>
      <c r="AF2" t="n">
        <v>1633.7</v>
      </c>
    </row>
    <row r="3">
      <c r="A3" t="s">
        <v>34</v>
      </c>
      <c r="B3" t="s">
        <v>276</v>
      </c>
      <c r="C3" t="s">
        <v>217</v>
      </c>
      <c r="D3" t="s">
        <v>277</v>
      </c>
      <c r="E3" t="s">
        <v>218</v>
      </c>
      <c r="F3"/>
      <c r="G3" t="n">
        <v>23.2</v>
      </c>
      <c r="H3" t="n">
        <v>25.9</v>
      </c>
      <c r="I3" t="n">
        <v>33.9</v>
      </c>
      <c r="J3" t="n">
        <v>39.4</v>
      </c>
      <c r="K3" t="n">
        <v>45.9</v>
      </c>
      <c r="L3" t="n">
        <v>52.8</v>
      </c>
      <c r="M3" t="n">
        <v>51.6</v>
      </c>
      <c r="N3" t="n">
        <v>64.5</v>
      </c>
      <c r="O3" t="n">
        <v>73.4</v>
      </c>
      <c r="P3" t="n">
        <v>69.5</v>
      </c>
      <c r="Q3" t="n">
        <v>100.5</v>
      </c>
      <c r="R3" t="n">
        <v>143.3</v>
      </c>
      <c r="S3" t="n">
        <v>52.5</v>
      </c>
      <c r="T3" t="n">
        <v>36.5</v>
      </c>
      <c r="U3" t="n">
        <v>35.5</v>
      </c>
      <c r="V3" t="n">
        <v>17.6</v>
      </c>
      <c r="W3" t="n">
        <v>21.7</v>
      </c>
      <c r="X3" t="n">
        <v>20.3</v>
      </c>
      <c r="Y3" t="n">
        <v>36.3</v>
      </c>
      <c r="Z3" t="n">
        <v>52.2</v>
      </c>
      <c r="AA3" t="n">
        <v>34.9</v>
      </c>
      <c r="AB3" t="n">
        <v>35.2</v>
      </c>
      <c r="AC3" t="n">
        <v>79</v>
      </c>
      <c r="AD3" t="n">
        <v>151.6</v>
      </c>
      <c r="AE3" t="n">
        <v>61.1</v>
      </c>
      <c r="AF3" t="n">
        <v>122.9</v>
      </c>
    </row>
    <row r="4">
      <c r="A4" t="s">
        <v>34</v>
      </c>
      <c r="B4" t="s">
        <v>278</v>
      </c>
      <c r="C4" t="s">
        <v>217</v>
      </c>
      <c r="D4" t="s">
        <v>279</v>
      </c>
      <c r="E4" t="s">
        <v>218</v>
      </c>
      <c r="F4"/>
      <c r="G4" t="n">
        <v>912.4</v>
      </c>
      <c r="H4" t="n">
        <v>1018.8</v>
      </c>
      <c r="I4" t="n">
        <v>1295.6</v>
      </c>
      <c r="J4" t="n">
        <v>1474.7</v>
      </c>
      <c r="K4" t="n">
        <v>1801.6</v>
      </c>
      <c r="L4" t="n">
        <v>1881.3</v>
      </c>
      <c r="M4" t="n">
        <v>1413.8</v>
      </c>
      <c r="N4" t="n">
        <v>1143.2</v>
      </c>
      <c r="O4" t="n">
        <v>1446.5</v>
      </c>
      <c r="P4" t="n">
        <v>1148.5</v>
      </c>
      <c r="Q4" t="n">
        <v>1238.7</v>
      </c>
      <c r="R4" t="n">
        <v>1523.8</v>
      </c>
      <c r="S4" t="n">
        <v>2144.4</v>
      </c>
      <c r="T4" t="n">
        <v>1292.8</v>
      </c>
      <c r="U4" t="n">
        <v>1742.6</v>
      </c>
      <c r="V4" t="n">
        <v>1370.6</v>
      </c>
      <c r="W4" t="n">
        <v>2134.7</v>
      </c>
      <c r="X4" t="n">
        <v>667.3</v>
      </c>
      <c r="Y4" t="n">
        <v>1121.5</v>
      </c>
      <c r="Z4" t="n">
        <v>1148.1</v>
      </c>
      <c r="AA4" t="n">
        <v>1199.4</v>
      </c>
      <c r="AB4" t="n">
        <v>1205.5</v>
      </c>
      <c r="AC4" t="n">
        <v>1579.9</v>
      </c>
      <c r="AD4" t="n">
        <v>1575.6</v>
      </c>
      <c r="AE4" t="n">
        <v>1597.2</v>
      </c>
      <c r="AF4" t="n">
        <v>1075.6</v>
      </c>
    </row>
    <row r="5">
      <c r="A5" t="s">
        <v>34</v>
      </c>
      <c r="B5" t="s">
        <v>280</v>
      </c>
      <c r="C5" t="s">
        <v>217</v>
      </c>
      <c r="D5" t="s">
        <v>281</v>
      </c>
      <c r="E5" t="s">
        <v>218</v>
      </c>
      <c r="F5"/>
      <c r="G5" t="n">
        <v>198</v>
      </c>
      <c r="H5" t="n">
        <v>221.4</v>
      </c>
      <c r="I5" t="n">
        <v>285.8</v>
      </c>
      <c r="J5" t="n">
        <v>342.2</v>
      </c>
      <c r="K5" t="n">
        <v>392.8</v>
      </c>
      <c r="L5" t="n">
        <v>384.8</v>
      </c>
      <c r="M5" t="n">
        <v>331.8</v>
      </c>
      <c r="N5" t="n">
        <v>311.6</v>
      </c>
      <c r="O5" t="n">
        <v>420.1</v>
      </c>
      <c r="P5" t="n">
        <v>283.1</v>
      </c>
      <c r="Q5" t="n">
        <v>322.5</v>
      </c>
      <c r="R5" t="n">
        <v>544.4</v>
      </c>
      <c r="S5" t="n">
        <v>602.1</v>
      </c>
      <c r="T5" t="n">
        <v>341.4</v>
      </c>
      <c r="U5" t="n">
        <v>429.2</v>
      </c>
      <c r="V5" t="n">
        <v>279.7</v>
      </c>
      <c r="W5" t="n">
        <v>153.4</v>
      </c>
      <c r="X5" t="n">
        <v>310</v>
      </c>
      <c r="Y5" t="n">
        <v>352.9</v>
      </c>
      <c r="Z5" t="n">
        <v>411.7</v>
      </c>
      <c r="AA5" t="n">
        <v>419.1</v>
      </c>
      <c r="AB5" t="n">
        <v>422.6</v>
      </c>
      <c r="AC5" t="n">
        <v>687.1</v>
      </c>
      <c r="AD5" t="n">
        <v>477.2</v>
      </c>
      <c r="AE5" t="n">
        <v>467.1</v>
      </c>
      <c r="AF5" t="n">
        <v>475.8</v>
      </c>
    </row>
    <row r="6">
      <c r="A6" t="s">
        <v>34</v>
      </c>
      <c r="B6" t="s">
        <v>282</v>
      </c>
      <c r="C6" t="s">
        <v>217</v>
      </c>
      <c r="D6" t="s">
        <v>283</v>
      </c>
      <c r="E6" t="s">
        <v>218</v>
      </c>
      <c r="F6"/>
      <c r="G6" t="n">
        <v>108</v>
      </c>
      <c r="H6" t="n">
        <v>120.6</v>
      </c>
      <c r="I6" t="n">
        <v>152.3</v>
      </c>
      <c r="J6" t="n">
        <v>180.1</v>
      </c>
      <c r="K6" t="n">
        <v>213</v>
      </c>
      <c r="L6" t="n">
        <v>229.2</v>
      </c>
      <c r="M6" t="n">
        <v>95.1</v>
      </c>
      <c r="N6" t="n">
        <v>88.8</v>
      </c>
      <c r="O6" t="n">
        <v>122.6</v>
      </c>
      <c r="P6" t="n">
        <v>64.4</v>
      </c>
      <c r="Q6" t="n">
        <v>-28.5</v>
      </c>
      <c r="R6" t="n">
        <v>42.4</v>
      </c>
      <c r="S6" t="n">
        <v>39.2</v>
      </c>
      <c r="T6" t="n">
        <v>23.8</v>
      </c>
      <c r="U6" t="n">
        <v>-29.8</v>
      </c>
      <c r="V6" t="n">
        <v>31</v>
      </c>
      <c r="W6" t="n">
        <v>-13.6</v>
      </c>
      <c r="X6" t="n">
        <v>13.1</v>
      </c>
      <c r="Y6" t="n">
        <v>22.1</v>
      </c>
      <c r="Z6" t="n">
        <v>30.4</v>
      </c>
      <c r="AA6" t="n">
        <v>74.8</v>
      </c>
      <c r="AB6" t="n">
        <v>74.8</v>
      </c>
      <c r="AC6" t="n">
        <v>17.7</v>
      </c>
      <c r="AD6" t="n">
        <v>19.4</v>
      </c>
      <c r="AE6" t="n">
        <v>15.9</v>
      </c>
      <c r="AF6" t="n">
        <v>14.3</v>
      </c>
    </row>
    <row r="7">
      <c r="A7" t="s">
        <v>34</v>
      </c>
      <c r="B7" t="s">
        <v>284</v>
      </c>
      <c r="C7" t="s">
        <v>217</v>
      </c>
      <c r="D7" t="s">
        <v>285</v>
      </c>
      <c r="E7" t="s">
        <v>218</v>
      </c>
      <c r="F7"/>
      <c r="G7" t="n">
        <v>105.3</v>
      </c>
      <c r="H7" t="n">
        <v>117.7</v>
      </c>
      <c r="I7" t="n">
        <v>153.7</v>
      </c>
      <c r="J7" t="n">
        <v>175.3</v>
      </c>
      <c r="K7" t="n">
        <v>209.2</v>
      </c>
      <c r="L7" t="n">
        <v>131.5</v>
      </c>
      <c r="M7" t="n">
        <v>159.8</v>
      </c>
      <c r="N7" t="n">
        <v>68.4</v>
      </c>
      <c r="O7" t="n">
        <v>89.4</v>
      </c>
      <c r="P7" t="n">
        <v>3.4</v>
      </c>
      <c r="Q7" t="n">
        <v>157.6</v>
      </c>
      <c r="R7" t="n">
        <v>177.7</v>
      </c>
      <c r="S7" t="n">
        <v>109</v>
      </c>
      <c r="T7" t="n">
        <v>55.6</v>
      </c>
      <c r="U7" t="n">
        <v>83.6</v>
      </c>
      <c r="V7" t="n">
        <v>56</v>
      </c>
      <c r="W7" t="n">
        <v>17.3</v>
      </c>
      <c r="X7" t="n">
        <v>34.6</v>
      </c>
      <c r="Y7" t="n">
        <v>72.4</v>
      </c>
      <c r="Z7" t="n">
        <v>73.1</v>
      </c>
      <c r="AA7" t="n">
        <v>117.9</v>
      </c>
      <c r="AB7" t="n">
        <v>118.1</v>
      </c>
      <c r="AC7" t="n">
        <v>92.3</v>
      </c>
      <c r="AD7" t="n">
        <v>68.7</v>
      </c>
      <c r="AE7" t="n">
        <v>90.1</v>
      </c>
      <c r="AF7" t="n">
        <v>69.4</v>
      </c>
    </row>
    <row r="8">
      <c r="A8" t="s">
        <v>34</v>
      </c>
      <c r="B8" t="s">
        <v>286</v>
      </c>
      <c r="C8" t="s">
        <v>217</v>
      </c>
      <c r="D8" t="s">
        <v>287</v>
      </c>
      <c r="E8" t="s">
        <v>218</v>
      </c>
      <c r="F8"/>
      <c r="G8" t="n">
        <v>70</v>
      </c>
      <c r="H8" t="n">
        <v>78</v>
      </c>
      <c r="I8" t="n">
        <v>85</v>
      </c>
      <c r="J8" t="n">
        <v>96.3</v>
      </c>
      <c r="K8" t="n">
        <v>134.4</v>
      </c>
      <c r="L8" t="n">
        <v>75</v>
      </c>
      <c r="M8" t="n">
        <v>60.8</v>
      </c>
      <c r="N8" t="n">
        <v>61.7</v>
      </c>
      <c r="O8" t="n">
        <v>31.1</v>
      </c>
      <c r="P8" t="n">
        <v>355.6</v>
      </c>
      <c r="Q8" t="n">
        <v>26.3</v>
      </c>
      <c r="R8" t="n">
        <v>38.4</v>
      </c>
      <c r="S8" t="n">
        <v>473.9</v>
      </c>
      <c r="T8" t="n">
        <v>177.3</v>
      </c>
      <c r="U8" t="n">
        <v>463.9</v>
      </c>
      <c r="V8" t="n">
        <v>510.2</v>
      </c>
      <c r="W8" t="n">
        <v>1748.6</v>
      </c>
      <c r="X8" t="n">
        <v>178.9</v>
      </c>
      <c r="Y8" t="n">
        <v>200</v>
      </c>
      <c r="Z8" t="n">
        <v>258.8</v>
      </c>
      <c r="AA8" t="n">
        <v>163.5</v>
      </c>
      <c r="AB8" t="n">
        <v>162.9</v>
      </c>
      <c r="AC8" t="n">
        <v>143.6</v>
      </c>
      <c r="AD8" t="n">
        <v>319.5</v>
      </c>
      <c r="AE8" t="n">
        <v>319.8</v>
      </c>
      <c r="AF8" t="n">
        <v>-33.6</v>
      </c>
    </row>
    <row r="9">
      <c r="A9" t="s">
        <v>34</v>
      </c>
      <c r="B9" t="s">
        <v>288</v>
      </c>
      <c r="C9" t="s">
        <v>217</v>
      </c>
      <c r="D9" t="s">
        <v>289</v>
      </c>
      <c r="E9" t="s">
        <v>218</v>
      </c>
      <c r="F9"/>
      <c r="G9" t="n">
        <v>39</v>
      </c>
      <c r="H9" t="n">
        <v>43.5</v>
      </c>
      <c r="I9" t="n">
        <v>56.1</v>
      </c>
      <c r="J9" t="n">
        <v>64.2</v>
      </c>
      <c r="K9" t="n">
        <v>76.6</v>
      </c>
      <c r="L9" t="n">
        <v>137.5</v>
      </c>
      <c r="M9" t="n">
        <v>47.5</v>
      </c>
      <c r="N9" t="n">
        <v>34.1</v>
      </c>
      <c r="O9" t="n">
        <v>84.6</v>
      </c>
      <c r="P9" t="n">
        <v>42.2</v>
      </c>
      <c r="Q9" t="n">
        <v>42.7</v>
      </c>
      <c r="R9" t="n">
        <v>81.2</v>
      </c>
      <c r="S9" t="n">
        <v>77</v>
      </c>
      <c r="T9" t="n">
        <v>98</v>
      </c>
      <c r="U9" t="n">
        <v>5.6</v>
      </c>
      <c r="V9" t="n">
        <v>39.4</v>
      </c>
      <c r="W9" t="n">
        <v>34</v>
      </c>
      <c r="X9" t="n">
        <v>60.8</v>
      </c>
      <c r="Y9" t="n">
        <v>41.6</v>
      </c>
      <c r="Z9" t="n">
        <v>-13.9</v>
      </c>
      <c r="AA9" t="n">
        <v>44.2</v>
      </c>
      <c r="AB9" t="n">
        <v>44.6</v>
      </c>
      <c r="AC9" t="n">
        <v>59.8</v>
      </c>
      <c r="AD9" t="n">
        <v>70.6</v>
      </c>
      <c r="AE9" t="n">
        <v>47.6</v>
      </c>
      <c r="AF9" t="n">
        <v>74.7</v>
      </c>
    </row>
    <row r="10">
      <c r="A10" t="s">
        <v>34</v>
      </c>
      <c r="B10" t="s">
        <v>290</v>
      </c>
      <c r="C10" t="s">
        <v>217</v>
      </c>
      <c r="D10" t="s">
        <v>291</v>
      </c>
      <c r="E10" t="s">
        <v>218</v>
      </c>
      <c r="F10"/>
      <c r="G10" t="n">
        <v>53.4</v>
      </c>
      <c r="H10" t="n">
        <v>59.6</v>
      </c>
      <c r="I10" t="n">
        <v>76.9</v>
      </c>
      <c r="J10" t="n">
        <v>88</v>
      </c>
      <c r="K10" t="n">
        <v>105</v>
      </c>
      <c r="L10" t="n">
        <v>188.7</v>
      </c>
      <c r="M10" t="n">
        <v>65.2</v>
      </c>
      <c r="N10" t="n">
        <v>46.8</v>
      </c>
      <c r="O10" t="n">
        <v>116.1</v>
      </c>
      <c r="P10" t="n">
        <v>54.4</v>
      </c>
      <c r="Q10" t="n">
        <v>71.2</v>
      </c>
      <c r="R10" t="n">
        <v>128.8</v>
      </c>
      <c r="S10" t="n">
        <v>159.9</v>
      </c>
      <c r="T10" t="n">
        <v>240.2</v>
      </c>
      <c r="U10" t="n">
        <v>-37.1</v>
      </c>
      <c r="V10" t="n">
        <v>58.3</v>
      </c>
      <c r="W10" t="n">
        <v>40.4</v>
      </c>
      <c r="X10" t="n">
        <v>118.8</v>
      </c>
      <c r="Y10" t="n">
        <v>68</v>
      </c>
      <c r="Z10" t="n">
        <v>22.1</v>
      </c>
      <c r="AA10" t="n">
        <v>88</v>
      </c>
      <c r="AB10" t="n">
        <v>89.6</v>
      </c>
      <c r="AC10" t="n">
        <v>156.1</v>
      </c>
      <c r="AD10" t="n">
        <v>171.3</v>
      </c>
      <c r="AE10" t="n">
        <v>126.1</v>
      </c>
      <c r="AF10" t="n">
        <v>157.5</v>
      </c>
    </row>
    <row r="11">
      <c r="A11" t="s">
        <v>34</v>
      </c>
      <c r="B11" t="s">
        <v>292</v>
      </c>
      <c r="C11" t="s">
        <v>217</v>
      </c>
      <c r="D11" t="s">
        <v>293</v>
      </c>
      <c r="E11" t="s">
        <v>218</v>
      </c>
      <c r="F11"/>
      <c r="G11" t="n">
        <v>14.4</v>
      </c>
      <c r="H11" t="n">
        <v>16.1</v>
      </c>
      <c r="I11" t="n">
        <v>20.8</v>
      </c>
      <c r="J11" t="n">
        <v>23.8</v>
      </c>
      <c r="K11" t="n">
        <v>28.4</v>
      </c>
      <c r="L11" t="n">
        <v>51.2</v>
      </c>
      <c r="M11" t="n">
        <v>17.7</v>
      </c>
      <c r="N11" t="n">
        <v>12.7</v>
      </c>
      <c r="O11" t="n">
        <v>31.5</v>
      </c>
      <c r="P11" t="n">
        <v>12.2</v>
      </c>
      <c r="Q11" t="n">
        <v>28.5</v>
      </c>
      <c r="R11" t="n">
        <v>47.6</v>
      </c>
      <c r="S11" t="n">
        <v>82.9</v>
      </c>
      <c r="T11" t="n">
        <v>142.2</v>
      </c>
      <c r="U11" t="n">
        <v>-42.7</v>
      </c>
      <c r="V11" t="n">
        <v>18.9</v>
      </c>
      <c r="W11" t="n">
        <v>6.4</v>
      </c>
      <c r="X11" t="n">
        <v>58</v>
      </c>
      <c r="Y11" t="n">
        <v>26.4</v>
      </c>
      <c r="Z11" t="n">
        <v>36</v>
      </c>
      <c r="AA11" t="n">
        <v>43.8</v>
      </c>
      <c r="AB11" t="n">
        <v>45</v>
      </c>
      <c r="AC11" t="n">
        <v>96.3</v>
      </c>
      <c r="AD11" t="n">
        <v>100.7</v>
      </c>
      <c r="AE11" t="n">
        <v>78.5</v>
      </c>
      <c r="AF11" t="n">
        <v>82.8</v>
      </c>
    </row>
    <row r="12">
      <c r="A12" t="s">
        <v>34</v>
      </c>
      <c r="B12" t="s">
        <v>294</v>
      </c>
      <c r="C12" t="s">
        <v>217</v>
      </c>
      <c r="D12" t="s">
        <v>295</v>
      </c>
      <c r="E12" t="s">
        <v>218</v>
      </c>
      <c r="F12"/>
      <c r="G12" t="n">
        <v>112.1</v>
      </c>
      <c r="H12" t="n">
        <v>125.3</v>
      </c>
      <c r="I12" t="n">
        <v>163.2</v>
      </c>
      <c r="J12" t="n">
        <v>180.6</v>
      </c>
      <c r="K12" t="n">
        <v>222.7</v>
      </c>
      <c r="L12" t="n">
        <v>225</v>
      </c>
      <c r="M12" t="n">
        <v>193.2</v>
      </c>
      <c r="N12" t="n">
        <v>175.1</v>
      </c>
      <c r="O12" t="n">
        <v>177.3</v>
      </c>
      <c r="P12" t="n">
        <v>118.3</v>
      </c>
      <c r="Q12" t="n">
        <v>170.9</v>
      </c>
      <c r="R12" t="n">
        <v>244.3</v>
      </c>
      <c r="S12" t="n">
        <v>208.4</v>
      </c>
      <c r="T12" t="n">
        <v>154.9</v>
      </c>
      <c r="U12" t="n">
        <v>200.3</v>
      </c>
      <c r="V12" t="n">
        <v>178.1</v>
      </c>
      <c r="W12" t="n">
        <v>45.4</v>
      </c>
      <c r="X12" t="n">
        <v>96.1</v>
      </c>
      <c r="Y12" t="n">
        <v>129.6</v>
      </c>
      <c r="Z12" t="n">
        <v>118.6</v>
      </c>
      <c r="AA12" t="n">
        <v>124.6</v>
      </c>
      <c r="AB12" t="n">
        <v>124</v>
      </c>
      <c r="AC12" t="n">
        <v>143.4</v>
      </c>
      <c r="AD12" t="n">
        <v>156.6</v>
      </c>
      <c r="AE12" t="n">
        <v>107.1</v>
      </c>
      <c r="AF12" t="n">
        <v>83.2</v>
      </c>
    </row>
    <row r="13">
      <c r="A13" t="s">
        <v>34</v>
      </c>
      <c r="B13" t="s">
        <v>296</v>
      </c>
      <c r="C13" t="s">
        <v>217</v>
      </c>
      <c r="D13" t="s">
        <v>297</v>
      </c>
      <c r="E13" t="s">
        <v>218</v>
      </c>
      <c r="F13"/>
      <c r="G13" t="n">
        <v>183.3</v>
      </c>
      <c r="H13" t="n">
        <v>204.5</v>
      </c>
      <c r="I13" t="n">
        <v>262.9</v>
      </c>
      <c r="J13" t="n">
        <v>284.8</v>
      </c>
      <c r="K13" t="n">
        <v>362.6</v>
      </c>
      <c r="L13" t="n">
        <v>371.8</v>
      </c>
      <c r="M13" t="n">
        <v>281.7</v>
      </c>
      <c r="N13" t="n">
        <v>278.4</v>
      </c>
      <c r="O13" t="n">
        <v>323.8</v>
      </c>
      <c r="P13" t="n">
        <v>165</v>
      </c>
      <c r="Q13" t="n">
        <v>347.3</v>
      </c>
      <c r="R13" t="n">
        <v>239.8</v>
      </c>
      <c r="S13" t="n">
        <v>334.1</v>
      </c>
      <c r="T13" t="n">
        <v>189</v>
      </c>
      <c r="U13" t="n">
        <v>528.3</v>
      </c>
      <c r="V13" t="n">
        <v>153.4</v>
      </c>
      <c r="W13" t="n">
        <v>125.9</v>
      </c>
      <c r="X13" t="n">
        <v>-140.1</v>
      </c>
      <c r="Y13" t="n">
        <v>152.1</v>
      </c>
      <c r="Z13" t="n">
        <v>177.7</v>
      </c>
      <c r="AA13" t="n">
        <v>157.8</v>
      </c>
      <c r="AB13" t="n">
        <v>158.5</v>
      </c>
      <c r="AC13" t="n">
        <v>252.2</v>
      </c>
      <c r="AD13" t="n">
        <v>243.6</v>
      </c>
      <c r="AE13" t="n">
        <v>369.4</v>
      </c>
      <c r="AF13" t="n">
        <v>208.7</v>
      </c>
    </row>
    <row r="14">
      <c r="A14" t="s">
        <v>34</v>
      </c>
      <c r="B14" t="s">
        <v>298</v>
      </c>
      <c r="C14" t="s">
        <v>217</v>
      </c>
      <c r="D14" t="s">
        <v>299</v>
      </c>
      <c r="E14" t="s">
        <v>218</v>
      </c>
      <c r="F14"/>
      <c r="G14" t="n">
        <v>10</v>
      </c>
      <c r="H14" t="n">
        <v>11.1</v>
      </c>
      <c r="I14" t="n">
        <v>13</v>
      </c>
      <c r="J14" t="n">
        <v>14.9</v>
      </c>
      <c r="K14" t="n">
        <v>19</v>
      </c>
      <c r="L14" t="n">
        <v>149</v>
      </c>
      <c r="M14" t="n">
        <v>20.9</v>
      </c>
      <c r="N14" t="n">
        <v>25.5</v>
      </c>
      <c r="O14" t="n">
        <v>16.5</v>
      </c>
      <c r="P14" t="n">
        <v>8.8</v>
      </c>
      <c r="Q14" t="n">
        <v>18</v>
      </c>
      <c r="R14" t="n">
        <v>5.5</v>
      </c>
      <c r="S14" t="n">
        <v>11.6</v>
      </c>
      <c r="T14" t="n">
        <v>4.6</v>
      </c>
      <c r="U14" t="n">
        <v>15</v>
      </c>
      <c r="V14" t="n">
        <v>9.7</v>
      </c>
      <c r="W14" t="n">
        <v>-18</v>
      </c>
      <c r="X14" t="n">
        <v>11.5</v>
      </c>
      <c r="Y14" t="n">
        <v>25.7</v>
      </c>
      <c r="Z14" t="n">
        <v>6.2</v>
      </c>
      <c r="AA14" t="n">
        <v>7.5</v>
      </c>
      <c r="AB14" t="n">
        <v>7.6</v>
      </c>
      <c r="AC14" t="n">
        <v>7.7</v>
      </c>
      <c r="AD14" t="n">
        <v>6.9</v>
      </c>
      <c r="AE14" t="n">
        <v>6.3</v>
      </c>
      <c r="AF14" t="n">
        <v>6</v>
      </c>
    </row>
    <row r="15">
      <c r="A15" t="s">
        <v>34</v>
      </c>
      <c r="B15" t="s">
        <v>300</v>
      </c>
      <c r="C15" t="s">
        <v>217</v>
      </c>
      <c r="D15" t="s">
        <v>301</v>
      </c>
      <c r="E15" t="s">
        <v>218</v>
      </c>
      <c r="F15"/>
      <c r="G15" t="n">
        <v>36.7</v>
      </c>
      <c r="H15" t="n">
        <v>41</v>
      </c>
      <c r="I15" t="n">
        <v>51.5</v>
      </c>
      <c r="J15" t="n">
        <v>58.6</v>
      </c>
      <c r="K15" t="n">
        <v>72.1</v>
      </c>
      <c r="L15" t="n">
        <v>180.9</v>
      </c>
      <c r="M15" t="n">
        <v>116</v>
      </c>
      <c r="N15" t="n">
        <v>51.7</v>
      </c>
      <c r="O15" t="n">
        <v>50.8</v>
      </c>
      <c r="P15" t="n">
        <v>29.8</v>
      </c>
      <c r="Q15" t="n">
        <v>62.4</v>
      </c>
      <c r="R15" t="n">
        <v>25.3</v>
      </c>
      <c r="S15" t="n">
        <v>66.8</v>
      </c>
      <c r="T15" t="n">
        <v>21.6</v>
      </c>
      <c r="U15" t="n">
        <v>29.7</v>
      </c>
      <c r="V15" t="n">
        <v>43.1</v>
      </c>
      <c r="W15" t="n">
        <v>-20.5</v>
      </c>
      <c r="X15" t="n">
        <v>23.9</v>
      </c>
      <c r="Y15" t="n">
        <v>87.2</v>
      </c>
      <c r="Z15" t="n">
        <v>24.1</v>
      </c>
      <c r="AA15" t="n">
        <v>30.6</v>
      </c>
      <c r="AB15" t="n">
        <v>31.3</v>
      </c>
      <c r="AC15" t="n">
        <v>46.6</v>
      </c>
      <c r="AD15" t="n">
        <v>69.7</v>
      </c>
      <c r="AE15" t="n">
        <v>57.5</v>
      </c>
      <c r="AF15" t="n">
        <v>44.5</v>
      </c>
    </row>
    <row r="16">
      <c r="A16" t="s">
        <v>34</v>
      </c>
      <c r="B16" t="s">
        <v>302</v>
      </c>
      <c r="C16" t="s">
        <v>217</v>
      </c>
      <c r="D16" t="s">
        <v>303</v>
      </c>
      <c r="E16" t="s">
        <v>218</v>
      </c>
      <c r="F16"/>
      <c r="G16" t="n">
        <v>26.7</v>
      </c>
      <c r="H16" t="n">
        <v>29.9</v>
      </c>
      <c r="I16" t="n">
        <v>38.5</v>
      </c>
      <c r="J16" t="n">
        <v>43.7</v>
      </c>
      <c r="K16" t="n">
        <v>53.1</v>
      </c>
      <c r="L16" t="n">
        <v>31.9</v>
      </c>
      <c r="M16" t="n">
        <v>95.1</v>
      </c>
      <c r="N16" t="n">
        <v>26.2</v>
      </c>
      <c r="O16" t="n">
        <v>34.3</v>
      </c>
      <c r="P16" t="n">
        <v>21</v>
      </c>
      <c r="Q16" t="n">
        <v>44.4</v>
      </c>
      <c r="R16" t="n">
        <v>19.8</v>
      </c>
      <c r="S16" t="n">
        <v>55.2</v>
      </c>
      <c r="T16" t="n">
        <v>17</v>
      </c>
      <c r="U16" t="n">
        <v>14.7</v>
      </c>
      <c r="V16" t="n">
        <v>33.4</v>
      </c>
      <c r="W16" t="n">
        <v>-2.5</v>
      </c>
      <c r="X16" t="n">
        <v>12.4</v>
      </c>
      <c r="Y16" t="n">
        <v>61.5</v>
      </c>
      <c r="Z16" t="n">
        <v>17.9</v>
      </c>
      <c r="AA16" t="n">
        <v>23.1</v>
      </c>
      <c r="AB16" t="n">
        <v>23.7</v>
      </c>
      <c r="AC16" t="n">
        <v>38.9</v>
      </c>
      <c r="AD16" t="n">
        <v>62.8</v>
      </c>
      <c r="AE16" t="n">
        <v>51.2</v>
      </c>
      <c r="AF16" t="n">
        <v>38.5</v>
      </c>
    </row>
    <row r="17">
      <c r="A17" t="s">
        <v>34</v>
      </c>
      <c r="B17" t="s">
        <v>304</v>
      </c>
      <c r="C17" t="s">
        <v>217</v>
      </c>
      <c r="D17" t="s">
        <v>305</v>
      </c>
      <c r="E17" t="s">
        <v>218</v>
      </c>
      <c r="F17"/>
      <c r="G17" t="n">
        <v>9.9</v>
      </c>
      <c r="H17" t="n">
        <v>11</v>
      </c>
      <c r="I17" t="n">
        <v>13.8</v>
      </c>
      <c r="J17" t="n">
        <v>14.1</v>
      </c>
      <c r="K17" t="n">
        <v>19.4</v>
      </c>
      <c r="L17" t="n">
        <v>15.7</v>
      </c>
      <c r="M17" t="n">
        <v>17.5</v>
      </c>
      <c r="N17" t="n">
        <v>11.4</v>
      </c>
      <c r="O17" t="n">
        <v>20.6</v>
      </c>
      <c r="P17" t="n">
        <v>19.7</v>
      </c>
      <c r="Q17" t="n">
        <v>32</v>
      </c>
      <c r="R17" t="n">
        <v>27.9</v>
      </c>
      <c r="S17" t="n">
        <v>42.7</v>
      </c>
      <c r="T17" t="n">
        <v>38.2</v>
      </c>
      <c r="U17" t="n">
        <v>22.2</v>
      </c>
      <c r="V17" t="n">
        <v>32.9</v>
      </c>
      <c r="W17" t="n">
        <v>9.9</v>
      </c>
      <c r="X17" t="n">
        <v>16.3</v>
      </c>
      <c r="Y17" t="n">
        <v>9.8</v>
      </c>
      <c r="Z17" t="n">
        <v>11.9</v>
      </c>
      <c r="AA17" t="n">
        <v>11.8</v>
      </c>
      <c r="AB17" t="n">
        <v>11.8</v>
      </c>
      <c r="AC17" t="n">
        <v>12.6</v>
      </c>
      <c r="AD17" t="n">
        <v>11.7</v>
      </c>
      <c r="AE17" t="n">
        <v>11.8</v>
      </c>
      <c r="AF17" t="n">
        <v>17.7</v>
      </c>
    </row>
    <row r="18">
      <c r="A18" t="s">
        <v>34</v>
      </c>
      <c r="B18" t="s">
        <v>306</v>
      </c>
      <c r="C18" t="s">
        <v>217</v>
      </c>
      <c r="D18" t="s">
        <v>307</v>
      </c>
      <c r="E18" t="s">
        <v>218</v>
      </c>
      <c r="F18"/>
      <c r="G18" t="n">
        <v>12.5</v>
      </c>
      <c r="H18" t="n">
        <v>13.9</v>
      </c>
      <c r="I18" t="n">
        <v>17.3</v>
      </c>
      <c r="J18" t="n">
        <v>18.9</v>
      </c>
      <c r="K18" t="n">
        <v>24.4</v>
      </c>
      <c r="L18" t="n">
        <v>23</v>
      </c>
      <c r="M18" t="n">
        <v>25.4</v>
      </c>
      <c r="N18" t="n">
        <v>13.8</v>
      </c>
      <c r="O18" t="n">
        <v>25.9</v>
      </c>
      <c r="P18" t="n">
        <v>14.7</v>
      </c>
      <c r="Q18" t="n">
        <v>15.1</v>
      </c>
      <c r="R18" t="n">
        <v>17.1</v>
      </c>
      <c r="S18" t="n">
        <v>26</v>
      </c>
      <c r="T18" t="n">
        <v>20.8</v>
      </c>
      <c r="U18" t="n">
        <v>34.2</v>
      </c>
      <c r="V18" t="n">
        <v>9.3</v>
      </c>
      <c r="W18" t="n">
        <v>25</v>
      </c>
      <c r="X18" t="n">
        <v>2.7</v>
      </c>
      <c r="Y18" t="n">
        <v>2.7</v>
      </c>
      <c r="Z18" t="n">
        <v>2.5</v>
      </c>
      <c r="AA18" t="n">
        <v>3.8</v>
      </c>
      <c r="AB18" t="n">
        <v>3.8</v>
      </c>
      <c r="AC18" t="n">
        <v>2.4</v>
      </c>
      <c r="AD18" t="n">
        <v>1.6</v>
      </c>
      <c r="AE18" t="n">
        <v>1.9</v>
      </c>
      <c r="AF18" t="n">
        <v>3.3</v>
      </c>
    </row>
    <row r="19">
      <c r="A19" t="s">
        <v>34</v>
      </c>
      <c r="B19" t="s">
        <v>308</v>
      </c>
      <c r="C19" t="s">
        <v>217</v>
      </c>
      <c r="D19" t="s">
        <v>309</v>
      </c>
      <c r="E19" t="s">
        <v>218</v>
      </c>
      <c r="F19"/>
      <c r="G19" t="n">
        <v>23.2</v>
      </c>
      <c r="H19" t="n">
        <v>25.8</v>
      </c>
      <c r="I19" t="n">
        <v>33.2</v>
      </c>
      <c r="J19" t="n">
        <v>35.8</v>
      </c>
      <c r="K19" t="n">
        <v>46</v>
      </c>
      <c r="L19" t="n">
        <v>55.7</v>
      </c>
      <c r="M19" t="n">
        <v>67.3</v>
      </c>
      <c r="N19" t="n">
        <v>35.5</v>
      </c>
      <c r="O19" t="n">
        <v>68.8</v>
      </c>
      <c r="P19" t="n">
        <v>40.1</v>
      </c>
      <c r="Q19" t="n">
        <v>61.9</v>
      </c>
      <c r="R19" t="n">
        <v>37.7</v>
      </c>
      <c r="S19" t="n">
        <v>82.3</v>
      </c>
      <c r="T19" t="n">
        <v>30</v>
      </c>
      <c r="U19" t="n">
        <v>18.1</v>
      </c>
      <c r="V19" t="n">
        <v>18.6</v>
      </c>
      <c r="W19" t="n">
        <v>2.9</v>
      </c>
      <c r="X19" t="n">
        <v>13</v>
      </c>
      <c r="Y19" t="n">
        <v>24.7</v>
      </c>
      <c r="Z19" t="n">
        <v>17.2</v>
      </c>
      <c r="AA19" t="n">
        <v>7.5</v>
      </c>
      <c r="AB19" t="n">
        <v>8.1</v>
      </c>
      <c r="AC19" t="n">
        <v>25.9</v>
      </c>
      <c r="AD19" t="n">
        <v>36.3</v>
      </c>
      <c r="AE19" t="n">
        <v>30.5</v>
      </c>
      <c r="AF19" t="n">
        <v>34.8</v>
      </c>
    </row>
    <row r="20">
      <c r="A20" t="s">
        <v>34</v>
      </c>
      <c r="B20" t="s">
        <v>310</v>
      </c>
      <c r="C20" t="s">
        <v>217</v>
      </c>
      <c r="D20" t="s">
        <v>311</v>
      </c>
      <c r="E20" t="s">
        <v>218</v>
      </c>
      <c r="F20"/>
      <c r="G20" t="n">
        <v>7</v>
      </c>
      <c r="H20" t="n">
        <v>7.7</v>
      </c>
      <c r="I20" t="n">
        <v>8.8</v>
      </c>
      <c r="J20" t="n">
        <v>9.4</v>
      </c>
      <c r="K20" t="n">
        <v>13.1</v>
      </c>
      <c r="L20" t="n">
        <v>13.6</v>
      </c>
      <c r="M20" t="n">
        <v>68.5</v>
      </c>
      <c r="N20" t="n">
        <v>10.2</v>
      </c>
      <c r="O20" t="n">
        <v>8.9</v>
      </c>
      <c r="P20" t="n">
        <v>5.5</v>
      </c>
      <c r="Q20" t="n">
        <v>8.8</v>
      </c>
      <c r="R20" t="n">
        <v>8.2</v>
      </c>
      <c r="S20" t="n">
        <v>10.2</v>
      </c>
      <c r="T20" t="n">
        <v>10.4</v>
      </c>
      <c r="U20" t="n">
        <v>0</v>
      </c>
      <c r="V20" t="n">
        <v>14.6</v>
      </c>
      <c r="W20" t="n">
        <v>2.4</v>
      </c>
      <c r="X20" t="n">
        <v>-2.8</v>
      </c>
      <c r="Y20" t="n">
        <v>6.5</v>
      </c>
      <c r="Z20" t="n">
        <v>394.5</v>
      </c>
      <c r="AA20" t="n">
        <v>45.6</v>
      </c>
      <c r="AB20" t="n">
        <v>46</v>
      </c>
      <c r="AC20" t="n">
        <v>502.4</v>
      </c>
      <c r="AD20" t="n">
        <v>597</v>
      </c>
      <c r="AE20" t="n">
        <v>1070.1</v>
      </c>
      <c r="AF20" t="n">
        <v>878</v>
      </c>
    </row>
    <row r="21">
      <c r="A21" t="s">
        <v>34</v>
      </c>
      <c r="B21" t="s">
        <v>312</v>
      </c>
      <c r="C21" t="s">
        <v>217</v>
      </c>
      <c r="D21" t="s">
        <v>313</v>
      </c>
      <c r="E21" t="s">
        <v>218</v>
      </c>
      <c r="F21"/>
      <c r="G21" t="n">
        <v>15.2</v>
      </c>
      <c r="H21" t="n">
        <v>16.8</v>
      </c>
      <c r="I21" t="n">
        <v>19.6</v>
      </c>
      <c r="J21" t="n">
        <v>22.3</v>
      </c>
      <c r="K21" t="n">
        <v>29.3</v>
      </c>
      <c r="L21" t="n">
        <v>55.7</v>
      </c>
      <c r="M21" t="n">
        <v>85.3</v>
      </c>
      <c r="N21" t="n">
        <v>18.4</v>
      </c>
      <c r="O21" t="n">
        <v>26.2</v>
      </c>
      <c r="P21" t="n">
        <v>11.4</v>
      </c>
      <c r="Q21" t="n">
        <v>56.9</v>
      </c>
      <c r="R21" t="n">
        <v>34.9</v>
      </c>
      <c r="S21" t="n">
        <v>29.7</v>
      </c>
      <c r="T21" t="n">
        <v>38.1</v>
      </c>
      <c r="U21" t="n">
        <v>117</v>
      </c>
      <c r="V21" t="n">
        <v>145.1</v>
      </c>
      <c r="W21" t="n">
        <v>131.7</v>
      </c>
      <c r="X21" t="n">
        <v>96.2</v>
      </c>
      <c r="Y21" t="n">
        <v>160.3</v>
      </c>
      <c r="Z21" t="n">
        <v>479.6</v>
      </c>
      <c r="AA21" t="n">
        <v>142</v>
      </c>
      <c r="AB21" t="n">
        <v>137.6</v>
      </c>
      <c r="AC21" t="n">
        <v>613.2</v>
      </c>
      <c r="AD21" t="n">
        <v>712.6</v>
      </c>
      <c r="AE21" t="n">
        <v>1157.8</v>
      </c>
      <c r="AF21" t="n">
        <v>1033.1</v>
      </c>
    </row>
    <row r="22">
      <c r="A22" t="s">
        <v>34</v>
      </c>
      <c r="B22" t="s">
        <v>314</v>
      </c>
      <c r="C22" t="s">
        <v>217</v>
      </c>
      <c r="D22" t="s">
        <v>315</v>
      </c>
      <c r="E22" t="s">
        <v>218</v>
      </c>
      <c r="F22"/>
      <c r="G22" t="n">
        <v>8.2</v>
      </c>
      <c r="H22" t="n">
        <v>9.1</v>
      </c>
      <c r="I22" t="n">
        <v>10.8</v>
      </c>
      <c r="J22" t="n">
        <v>12.9</v>
      </c>
      <c r="K22" t="n">
        <v>16.2</v>
      </c>
      <c r="L22" t="n">
        <v>42.1</v>
      </c>
      <c r="M22" t="n">
        <v>16.8</v>
      </c>
      <c r="N22" t="n">
        <v>8.2</v>
      </c>
      <c r="O22" t="n">
        <v>17.3</v>
      </c>
      <c r="P22" t="n">
        <v>5.9</v>
      </c>
      <c r="Q22" t="n">
        <v>48.1</v>
      </c>
      <c r="R22" t="n">
        <v>26.7</v>
      </c>
      <c r="S22" t="n">
        <v>19.5</v>
      </c>
      <c r="T22" t="n">
        <v>27.7</v>
      </c>
      <c r="U22" t="n">
        <v>117.1</v>
      </c>
      <c r="V22" t="n">
        <v>130.5</v>
      </c>
      <c r="W22" t="n">
        <v>129.3</v>
      </c>
      <c r="X22" t="n">
        <v>99</v>
      </c>
      <c r="Y22" t="n">
        <v>153.8</v>
      </c>
      <c r="Z22" t="n">
        <v>85.1</v>
      </c>
      <c r="AA22" t="n">
        <v>96.4</v>
      </c>
      <c r="AB22" t="n">
        <v>91.6</v>
      </c>
      <c r="AC22" t="n">
        <v>110.8</v>
      </c>
      <c r="AD22" t="n">
        <v>115.6</v>
      </c>
      <c r="AE22" t="n">
        <v>87.7</v>
      </c>
      <c r="AF22" t="n">
        <v>155.1</v>
      </c>
    </row>
    <row r="23">
      <c r="A23" t="s">
        <v>34</v>
      </c>
      <c r="B23" t="s">
        <v>316</v>
      </c>
      <c r="C23" t="s">
        <v>217</v>
      </c>
      <c r="D23" t="s">
        <v>317</v>
      </c>
      <c r="E23" t="s">
        <v>218</v>
      </c>
      <c r="F23"/>
      <c r="G23" t="n">
        <v>168.9</v>
      </c>
      <c r="H23" t="n">
        <v>189</v>
      </c>
      <c r="I23" t="n">
        <v>248.3</v>
      </c>
      <c r="J23" t="n">
        <v>306.5</v>
      </c>
      <c r="K23" t="n">
        <v>335.2</v>
      </c>
      <c r="L23" t="n">
        <v>659.1</v>
      </c>
      <c r="M23" t="n">
        <v>579.5</v>
      </c>
      <c r="N23" t="n">
        <v>458.3</v>
      </c>
      <c r="O23" t="n">
        <v>559.9</v>
      </c>
      <c r="P23" t="n">
        <v>368.7</v>
      </c>
      <c r="Q23" t="n">
        <v>690.5</v>
      </c>
      <c r="R23" t="n">
        <v>961.3</v>
      </c>
      <c r="S23" t="n">
        <v>1249.9</v>
      </c>
      <c r="T23" t="n">
        <v>622.1</v>
      </c>
      <c r="U23" t="n">
        <v>47</v>
      </c>
      <c r="V23" t="n">
        <v>13.3</v>
      </c>
      <c r="W23" t="n">
        <v>63.1</v>
      </c>
      <c r="X23" t="n">
        <v>159.2</v>
      </c>
      <c r="Y23" t="n">
        <v>94.9</v>
      </c>
      <c r="Z23" t="n">
        <v>70</v>
      </c>
      <c r="AA23" t="n">
        <v>100.9</v>
      </c>
      <c r="AB23" t="n">
        <v>101.6</v>
      </c>
      <c r="AC23" t="n">
        <v>14.9</v>
      </c>
      <c r="AD23" t="n">
        <v>0.8</v>
      </c>
      <c r="AE23" t="n">
        <v>-7.2</v>
      </c>
      <c r="AF23" t="n">
        <v>93.7</v>
      </c>
    </row>
    <row r="24">
      <c r="A24" t="s">
        <v>34</v>
      </c>
      <c r="B24" t="s">
        <v>318</v>
      </c>
      <c r="C24" t="s">
        <v>217</v>
      </c>
      <c r="D24" t="s">
        <v>319</v>
      </c>
      <c r="E24" t="s">
        <v>218</v>
      </c>
      <c r="F24"/>
      <c r="G24" t="n">
        <v>163</v>
      </c>
      <c r="H24" t="n">
        <v>179.9</v>
      </c>
      <c r="I24" t="n">
        <v>212.6</v>
      </c>
      <c r="J24" t="n">
        <v>269.4</v>
      </c>
      <c r="K24" t="n">
        <v>300</v>
      </c>
      <c r="L24" t="n">
        <v>350.1</v>
      </c>
      <c r="M24" t="n">
        <v>581.2</v>
      </c>
      <c r="N24" t="n">
        <v>548</v>
      </c>
      <c r="O24" t="n">
        <v>769.5</v>
      </c>
      <c r="P24" t="n">
        <v>976.1</v>
      </c>
      <c r="Q24" t="n">
        <v>1646.6</v>
      </c>
      <c r="R24" t="n">
        <v>1604.2</v>
      </c>
      <c r="S24" t="n">
        <v>1043.7</v>
      </c>
      <c r="T24" t="n">
        <v>758</v>
      </c>
      <c r="U24" t="n">
        <v>468.2</v>
      </c>
      <c r="V24" t="n">
        <v>596</v>
      </c>
      <c r="W24" t="n">
        <v>162.3</v>
      </c>
      <c r="X24" t="n">
        <v>276.1</v>
      </c>
      <c r="Y24" t="n">
        <v>593</v>
      </c>
      <c r="Z24" t="n">
        <v>472.6</v>
      </c>
      <c r="AA24" t="n">
        <v>579.4</v>
      </c>
      <c r="AB24" t="n">
        <v>600.4</v>
      </c>
      <c r="AC24" t="n">
        <v>442.7</v>
      </c>
      <c r="AD24" t="n">
        <v>518.4</v>
      </c>
      <c r="AE24" t="n">
        <v>422</v>
      </c>
      <c r="AF24" t="n">
        <v>668.7</v>
      </c>
    </row>
    <row r="25">
      <c r="A25" t="s">
        <v>34</v>
      </c>
      <c r="B25" t="s">
        <v>320</v>
      </c>
      <c r="C25" t="s">
        <v>217</v>
      </c>
      <c r="D25" t="s">
        <v>321</v>
      </c>
      <c r="E25" t="s">
        <v>218</v>
      </c>
      <c r="F25"/>
      <c r="G25" t="n">
        <v>11</v>
      </c>
      <c r="H25" t="n">
        <v>12.1</v>
      </c>
      <c r="I25" t="n">
        <v>14.5</v>
      </c>
      <c r="J25" t="n">
        <v>18.3</v>
      </c>
      <c r="K25" t="n">
        <v>20.6</v>
      </c>
      <c r="L25" t="n">
        <v>45.2</v>
      </c>
      <c r="M25" t="n">
        <v>43.5</v>
      </c>
      <c r="N25" t="n">
        <v>42.3</v>
      </c>
      <c r="O25" t="n">
        <v>69.1</v>
      </c>
      <c r="P25" t="n">
        <v>70.6</v>
      </c>
      <c r="Q25" t="n">
        <v>146.4</v>
      </c>
      <c r="R25" t="n">
        <v>162.5</v>
      </c>
      <c r="S25" t="n">
        <v>117.6</v>
      </c>
      <c r="T25" t="n">
        <v>73.9</v>
      </c>
      <c r="U25" t="n">
        <v>52.1</v>
      </c>
      <c r="V25" t="n">
        <v>21.2</v>
      </c>
      <c r="W25" t="n">
        <v>3.4</v>
      </c>
      <c r="X25" t="n">
        <v>17</v>
      </c>
      <c r="Y25" t="n">
        <v>31.5</v>
      </c>
      <c r="Z25" t="n">
        <v>25.8</v>
      </c>
      <c r="AA25" t="n">
        <v>67.2</v>
      </c>
      <c r="AB25" t="n">
        <v>70.1</v>
      </c>
      <c r="AC25" t="n">
        <v>40.9</v>
      </c>
      <c r="AD25" t="n">
        <v>22.6</v>
      </c>
      <c r="AE25" t="n">
        <v>21.2</v>
      </c>
      <c r="AF25" t="n">
        <v>14.1</v>
      </c>
    </row>
    <row r="26">
      <c r="A26" t="s">
        <v>34</v>
      </c>
      <c r="B26" t="s">
        <v>322</v>
      </c>
      <c r="C26" t="s">
        <v>217</v>
      </c>
      <c r="D26" t="s">
        <v>323</v>
      </c>
      <c r="E26" t="s">
        <v>218</v>
      </c>
      <c r="F26"/>
      <c r="G26" t="n">
        <v>59.4</v>
      </c>
      <c r="H26" t="n">
        <v>65.8</v>
      </c>
      <c r="I26" t="n">
        <v>79.4</v>
      </c>
      <c r="J26" t="n">
        <v>99.7</v>
      </c>
      <c r="K26" t="n">
        <v>109.9</v>
      </c>
      <c r="L26" t="n">
        <v>205.5</v>
      </c>
      <c r="M26" t="n">
        <v>274.4</v>
      </c>
      <c r="N26" t="n">
        <v>206.2</v>
      </c>
      <c r="O26" t="n">
        <v>438</v>
      </c>
      <c r="P26" t="n">
        <v>453.3</v>
      </c>
      <c r="Q26" t="n">
        <v>903.3</v>
      </c>
      <c r="R26" t="n">
        <v>909</v>
      </c>
      <c r="S26" t="n">
        <v>580.8</v>
      </c>
      <c r="T26" t="n">
        <v>441.1</v>
      </c>
      <c r="U26" t="n">
        <v>313.6</v>
      </c>
      <c r="V26" t="n">
        <v>243.7</v>
      </c>
      <c r="W26" t="n">
        <v>79.3</v>
      </c>
      <c r="X26" t="n">
        <v>114.8</v>
      </c>
      <c r="Y26" t="n">
        <v>348.1</v>
      </c>
      <c r="Z26" t="n">
        <v>292.8</v>
      </c>
      <c r="AA26" t="n">
        <v>257.2</v>
      </c>
      <c r="AB26" t="n">
        <v>260.3</v>
      </c>
      <c r="AC26" t="n">
        <v>241.6</v>
      </c>
      <c r="AD26" t="n">
        <v>265.2</v>
      </c>
      <c r="AE26" t="n">
        <v>263.1</v>
      </c>
      <c r="AF26" t="n">
        <v>507.5</v>
      </c>
    </row>
    <row r="27">
      <c r="A27" t="s">
        <v>34</v>
      </c>
      <c r="B27" t="s">
        <v>324</v>
      </c>
      <c r="C27" t="s">
        <v>217</v>
      </c>
      <c r="D27" t="s">
        <v>325</v>
      </c>
      <c r="E27" t="s">
        <v>218</v>
      </c>
      <c r="F27"/>
      <c r="G27" t="n">
        <v>92.6</v>
      </c>
      <c r="H27" t="n">
        <v>102</v>
      </c>
      <c r="I27" t="n">
        <v>118.7</v>
      </c>
      <c r="J27" t="n">
        <v>151.4</v>
      </c>
      <c r="K27" t="n">
        <v>169.5</v>
      </c>
      <c r="L27" t="n">
        <v>99.4</v>
      </c>
      <c r="M27" t="n">
        <v>263.3</v>
      </c>
      <c r="N27" t="n">
        <v>299.5</v>
      </c>
      <c r="O27" t="n">
        <v>262.4</v>
      </c>
      <c r="P27" t="n">
        <v>452.2</v>
      </c>
      <c r="Q27" t="n">
        <v>596.9</v>
      </c>
      <c r="R27" t="n">
        <v>532.7</v>
      </c>
      <c r="S27" t="n">
        <v>345.3</v>
      </c>
      <c r="T27" t="n">
        <v>243</v>
      </c>
      <c r="U27" t="n">
        <v>102.5</v>
      </c>
      <c r="V27" t="n">
        <v>331.1</v>
      </c>
      <c r="W27" t="n">
        <v>79.6</v>
      </c>
      <c r="X27" t="n">
        <v>144.3</v>
      </c>
      <c r="Y27" t="n">
        <v>213.4</v>
      </c>
      <c r="Z27" t="n">
        <v>154</v>
      </c>
      <c r="AA27" t="n">
        <v>255</v>
      </c>
      <c r="AB27" t="n">
        <v>270</v>
      </c>
      <c r="AC27" t="n">
        <v>160.2</v>
      </c>
      <c r="AD27" t="n">
        <v>230.6</v>
      </c>
      <c r="AE27" t="n">
        <v>137.7</v>
      </c>
      <c r="AF27" t="n">
        <v>147.1</v>
      </c>
    </row>
    <row r="28">
      <c r="A28" t="s">
        <v>34</v>
      </c>
      <c r="B28" t="s">
        <v>326</v>
      </c>
      <c r="C28" t="s">
        <v>217</v>
      </c>
      <c r="D28" t="s">
        <v>327</v>
      </c>
      <c r="E28" t="s">
        <v>218</v>
      </c>
      <c r="F28"/>
      <c r="G28" t="n">
        <v>77.8</v>
      </c>
      <c r="H28" t="n">
        <v>83.4</v>
      </c>
      <c r="I28" t="n">
        <v>102.8</v>
      </c>
      <c r="J28" t="n">
        <v>133.3</v>
      </c>
      <c r="K28" t="n">
        <v>167.6</v>
      </c>
      <c r="L28" t="n">
        <v>194</v>
      </c>
      <c r="M28" t="n">
        <v>366.2</v>
      </c>
      <c r="N28" t="n">
        <v>363</v>
      </c>
      <c r="O28" t="n">
        <v>383.4</v>
      </c>
      <c r="P28" t="n">
        <v>66</v>
      </c>
      <c r="Q28" t="n">
        <v>54</v>
      </c>
      <c r="R28" t="n">
        <v>105.5</v>
      </c>
      <c r="S28" t="n">
        <v>187.3</v>
      </c>
      <c r="T28" t="n">
        <v>371.7</v>
      </c>
      <c r="U28" t="n">
        <v>64.6</v>
      </c>
      <c r="V28" t="n">
        <v>46.3</v>
      </c>
      <c r="W28" t="n">
        <v>7.1</v>
      </c>
      <c r="X28" t="n">
        <v>57.2</v>
      </c>
      <c r="Y28" t="n">
        <v>50.7</v>
      </c>
      <c r="Z28" t="n">
        <v>68.4</v>
      </c>
      <c r="AA28" t="n">
        <v>168.8</v>
      </c>
      <c r="AB28" t="n">
        <v>180</v>
      </c>
      <c r="AC28" t="n">
        <v>191.7</v>
      </c>
      <c r="AD28" t="n">
        <v>41.5</v>
      </c>
      <c r="AE28" t="n">
        <v>21.6</v>
      </c>
      <c r="AF28" t="n">
        <v>187.7</v>
      </c>
    </row>
    <row r="29">
      <c r="A29" t="s">
        <v>34</v>
      </c>
      <c r="B29" t="s">
        <v>328</v>
      </c>
      <c r="C29" t="s">
        <v>217</v>
      </c>
      <c r="D29" t="s">
        <v>329</v>
      </c>
      <c r="E29" t="s">
        <v>218</v>
      </c>
      <c r="F29"/>
      <c r="G29" t="n">
        <v>8.3</v>
      </c>
      <c r="H29" t="n">
        <v>9.1</v>
      </c>
      <c r="I29" t="n">
        <v>9.8</v>
      </c>
      <c r="J29" t="n">
        <v>12.5</v>
      </c>
      <c r="K29" t="n">
        <v>15.3</v>
      </c>
      <c r="L29" t="n">
        <v>15.1</v>
      </c>
      <c r="M29" t="n">
        <v>53.6</v>
      </c>
      <c r="N29" t="n">
        <v>31.9</v>
      </c>
      <c r="O29" t="n">
        <v>76.9</v>
      </c>
      <c r="P29" t="n">
        <v>19.7</v>
      </c>
      <c r="Q29" t="n">
        <v>21.8</v>
      </c>
      <c r="R29" t="n">
        <v>31.9</v>
      </c>
      <c r="S29" t="n">
        <v>43</v>
      </c>
      <c r="T29" t="n">
        <v>73</v>
      </c>
      <c r="U29" t="n">
        <v>2.2</v>
      </c>
      <c r="V29" t="n">
        <v>0.6</v>
      </c>
      <c r="W29" t="n">
        <v>-0.2</v>
      </c>
      <c r="X29" t="n">
        <v>0.9</v>
      </c>
      <c r="Y29" t="n">
        <v>3.7</v>
      </c>
      <c r="Z29" t="n">
        <v>2.4</v>
      </c>
      <c r="AA29" t="n">
        <v>2.4</v>
      </c>
      <c r="AB29" t="n">
        <v>8.9</v>
      </c>
      <c r="AC29" t="n">
        <v>6.6</v>
      </c>
      <c r="AD29" t="n">
        <v>5.7</v>
      </c>
      <c r="AE29" t="n">
        <v>4.1</v>
      </c>
      <c r="AF29" t="n">
        <v>1.7</v>
      </c>
    </row>
    <row r="30">
      <c r="A30" t="s">
        <v>34</v>
      </c>
      <c r="B30" t="s">
        <v>330</v>
      </c>
      <c r="C30" t="s">
        <v>217</v>
      </c>
      <c r="D30" t="s">
        <v>331</v>
      </c>
      <c r="E30" t="s">
        <v>218</v>
      </c>
      <c r="F30"/>
      <c r="G30" t="n">
        <v>51.6</v>
      </c>
      <c r="H30" t="n">
        <v>54.8</v>
      </c>
      <c r="I30" t="n">
        <v>71.6</v>
      </c>
      <c r="J30" t="n">
        <v>93.9</v>
      </c>
      <c r="K30" t="n">
        <v>121.1</v>
      </c>
      <c r="L30" t="n">
        <v>137.8</v>
      </c>
      <c r="M30" t="n">
        <v>276.1</v>
      </c>
      <c r="N30" t="n">
        <v>300.2</v>
      </c>
      <c r="O30" t="n">
        <v>226.5</v>
      </c>
      <c r="P30" t="n">
        <v>4.4</v>
      </c>
      <c r="Q30" t="n">
        <v>3.6</v>
      </c>
      <c r="R30" t="n">
        <v>3.3</v>
      </c>
      <c r="S30" t="n">
        <v>20.1</v>
      </c>
      <c r="T30" t="n">
        <v>7.7</v>
      </c>
      <c r="U30" t="n">
        <v>1</v>
      </c>
      <c r="V30" t="n">
        <v>0</v>
      </c>
      <c r="W30" t="n">
        <v>-2.2</v>
      </c>
      <c r="X30" t="n">
        <v>9</v>
      </c>
      <c r="Y30" t="n">
        <v>1.1</v>
      </c>
      <c r="Z30" t="n">
        <v>1.3</v>
      </c>
      <c r="AA30" t="n">
        <v>0.4</v>
      </c>
      <c r="AB30" t="n">
        <v>0.4</v>
      </c>
      <c r="AC30" t="n">
        <v>0</v>
      </c>
      <c r="AD30" t="n">
        <v>-0.3</v>
      </c>
      <c r="AE30" t="n">
        <v>-0.1</v>
      </c>
      <c r="AF30" t="n">
        <v>-0.4</v>
      </c>
    </row>
    <row r="31">
      <c r="A31" t="s">
        <v>34</v>
      </c>
      <c r="B31" t="s">
        <v>332</v>
      </c>
      <c r="C31" t="s">
        <v>217</v>
      </c>
      <c r="D31" t="s">
        <v>333</v>
      </c>
      <c r="E31" t="s">
        <v>218</v>
      </c>
      <c r="F31"/>
      <c r="G31" t="n">
        <v>0.7</v>
      </c>
      <c r="H31" t="n">
        <v>0.7</v>
      </c>
      <c r="I31" t="n">
        <v>0.8</v>
      </c>
      <c r="J31" t="n">
        <v>0.9</v>
      </c>
      <c r="K31" t="n">
        <v>1.1</v>
      </c>
      <c r="L31" t="n">
        <v>24.5</v>
      </c>
      <c r="M31" t="n">
        <v>12.1</v>
      </c>
      <c r="N31" t="n">
        <v>0.6</v>
      </c>
      <c r="O31" t="n">
        <v>0.1</v>
      </c>
      <c r="P31" t="n">
        <v>0.3</v>
      </c>
      <c r="Q31" t="n">
        <v>0.7</v>
      </c>
      <c r="R31" t="n">
        <v>2.3</v>
      </c>
      <c r="S31" t="n">
        <v>2.3</v>
      </c>
      <c r="T31" t="n">
        <v>4</v>
      </c>
      <c r="U31" t="n">
        <v>0</v>
      </c>
      <c r="V31" t="n">
        <v>-0.1</v>
      </c>
      <c r="W31" t="n">
        <v>-0.4</v>
      </c>
      <c r="X31" t="n">
        <v>0</v>
      </c>
      <c r="Y31" t="n">
        <v>0.7</v>
      </c>
      <c r="Z31" t="n">
        <v>0.6</v>
      </c>
      <c r="AA31" t="n">
        <v>1.7</v>
      </c>
      <c r="AB31" t="n">
        <v>1.6</v>
      </c>
      <c r="AC31" t="n">
        <v>2</v>
      </c>
      <c r="AD31" t="n">
        <v>0.2</v>
      </c>
      <c r="AE31" t="n">
        <v>0</v>
      </c>
      <c r="AF31" t="n">
        <v>96.6</v>
      </c>
    </row>
    <row r="32">
      <c r="A32" t="s">
        <v>34</v>
      </c>
      <c r="B32" t="s">
        <v>334</v>
      </c>
      <c r="C32" t="s">
        <v>217</v>
      </c>
      <c r="D32" t="s">
        <v>335</v>
      </c>
      <c r="E32" t="s">
        <v>218</v>
      </c>
      <c r="F32"/>
      <c r="G32" t="n">
        <v>5.1</v>
      </c>
      <c r="H32" t="n">
        <v>5.6</v>
      </c>
      <c r="I32" t="n">
        <v>6.1</v>
      </c>
      <c r="J32" t="n">
        <v>8.3</v>
      </c>
      <c r="K32" t="n">
        <v>10</v>
      </c>
      <c r="L32" t="n">
        <v>12.9</v>
      </c>
      <c r="M32" t="n">
        <v>16.7</v>
      </c>
      <c r="N32" t="n">
        <v>23.4</v>
      </c>
      <c r="O32" t="n">
        <v>70.6</v>
      </c>
      <c r="P32" t="n">
        <v>18.8</v>
      </c>
      <c r="Q32" t="n">
        <v>21.9</v>
      </c>
      <c r="R32" t="n">
        <v>33.5</v>
      </c>
      <c r="S32" t="n">
        <v>86.8</v>
      </c>
      <c r="T32" t="n">
        <v>249.3</v>
      </c>
      <c r="U32" t="n">
        <v>56.8</v>
      </c>
      <c r="V32" t="n">
        <v>44</v>
      </c>
      <c r="W32" t="n">
        <v>9.5</v>
      </c>
      <c r="X32" t="n">
        <v>46.2</v>
      </c>
      <c r="Y32" t="n">
        <v>44</v>
      </c>
      <c r="Z32" t="n">
        <v>60.8</v>
      </c>
      <c r="AA32" t="n">
        <v>160.5</v>
      </c>
      <c r="AB32" t="n">
        <v>165.3</v>
      </c>
      <c r="AC32" t="n">
        <v>180.7</v>
      </c>
      <c r="AD32" t="n">
        <v>32.6</v>
      </c>
      <c r="AE32" t="n">
        <v>16.3</v>
      </c>
      <c r="AF32" t="n">
        <v>86.4</v>
      </c>
    </row>
    <row r="33">
      <c r="A33" t="s">
        <v>34</v>
      </c>
      <c r="B33" t="s">
        <v>336</v>
      </c>
      <c r="C33" t="s">
        <v>217</v>
      </c>
      <c r="D33" t="s">
        <v>337</v>
      </c>
      <c r="E33" t="s">
        <v>218</v>
      </c>
      <c r="F33"/>
      <c r="G33" t="n">
        <v>12.1</v>
      </c>
      <c r="H33" t="n">
        <v>13.2</v>
      </c>
      <c r="I33" t="n">
        <v>14.5</v>
      </c>
      <c r="J33" t="n">
        <v>17.7</v>
      </c>
      <c r="K33" t="n">
        <v>20.1</v>
      </c>
      <c r="L33" t="n">
        <v>3.7</v>
      </c>
      <c r="M33" t="n">
        <v>7.7</v>
      </c>
      <c r="N33" t="n">
        <v>6.9</v>
      </c>
      <c r="O33" t="n">
        <v>9.3</v>
      </c>
      <c r="P33" t="n">
        <v>22.8</v>
      </c>
      <c r="Q33" t="n">
        <v>6</v>
      </c>
      <c r="R33" t="n">
        <v>34.5</v>
      </c>
      <c r="S33" t="n">
        <v>35.1</v>
      </c>
      <c r="T33" t="n">
        <v>37.7</v>
      </c>
      <c r="U33" t="n">
        <v>4.6</v>
      </c>
      <c r="V33" t="n">
        <v>1.8</v>
      </c>
      <c r="W33" t="n">
        <v>0.4</v>
      </c>
      <c r="X33" t="n">
        <v>1.1</v>
      </c>
      <c r="Y33" t="n">
        <v>1.2</v>
      </c>
      <c r="Z33" t="n">
        <v>3.3</v>
      </c>
      <c r="AA33" t="n">
        <v>3.8</v>
      </c>
      <c r="AB33" t="n">
        <v>3.8</v>
      </c>
      <c r="AC33" t="n">
        <v>2.4</v>
      </c>
      <c r="AD33" t="n">
        <v>3.3</v>
      </c>
      <c r="AE33" t="n">
        <v>1.3</v>
      </c>
      <c r="AF33" t="n">
        <v>3.4</v>
      </c>
    </row>
    <row r="34">
      <c r="A34" t="s">
        <v>34</v>
      </c>
      <c r="B34" t="s">
        <v>338</v>
      </c>
      <c r="C34" t="s">
        <v>217</v>
      </c>
      <c r="D34" t="s">
        <v>339</v>
      </c>
      <c r="E34" t="s">
        <v>218</v>
      </c>
      <c r="F34"/>
      <c r="G34" t="n">
        <v>121.1</v>
      </c>
      <c r="H34" t="n">
        <v>133.4</v>
      </c>
      <c r="I34" t="n">
        <v>139.9</v>
      </c>
      <c r="J34" t="n">
        <v>172.2</v>
      </c>
      <c r="K34" t="n">
        <v>236.5</v>
      </c>
      <c r="L34" t="n">
        <v>201.1</v>
      </c>
      <c r="M34" t="n">
        <v>165.6</v>
      </c>
      <c r="N34" t="n">
        <v>153.5</v>
      </c>
      <c r="O34" t="n">
        <v>238.6</v>
      </c>
      <c r="P34" t="n">
        <v>305.7</v>
      </c>
      <c r="Q34" t="n">
        <v>525.3</v>
      </c>
      <c r="R34" t="n">
        <v>535.6</v>
      </c>
      <c r="S34" t="n">
        <v>820.3</v>
      </c>
      <c r="T34" t="n">
        <v>518.2</v>
      </c>
      <c r="U34" t="n">
        <v>439.5</v>
      </c>
      <c r="V34" t="n">
        <v>328.2</v>
      </c>
      <c r="W34" t="n">
        <v>150.2</v>
      </c>
      <c r="X34" t="n">
        <v>183.9</v>
      </c>
      <c r="Y34" t="n">
        <v>450.1</v>
      </c>
      <c r="Z34" t="n">
        <v>386.1</v>
      </c>
      <c r="AA34" t="n">
        <v>340.1</v>
      </c>
      <c r="AB34" t="n">
        <v>368.7</v>
      </c>
      <c r="AC34" t="n">
        <v>185.6</v>
      </c>
      <c r="AD34" t="n">
        <v>245</v>
      </c>
      <c r="AE34" t="n">
        <v>182.8</v>
      </c>
      <c r="AF34" t="n">
        <v>155.3</v>
      </c>
    </row>
    <row r="35">
      <c r="A35" t="s">
        <v>34</v>
      </c>
      <c r="B35" t="s">
        <v>340</v>
      </c>
      <c r="C35" t="s">
        <v>217</v>
      </c>
      <c r="D35" t="s">
        <v>341</v>
      </c>
      <c r="E35" t="s">
        <v>218</v>
      </c>
      <c r="F35"/>
      <c r="G35" t="n">
        <v>197.7</v>
      </c>
      <c r="H35" t="n">
        <v>217</v>
      </c>
      <c r="I35" t="n">
        <v>246.3</v>
      </c>
      <c r="J35" t="n">
        <v>294.9</v>
      </c>
      <c r="K35" t="n">
        <v>339.7</v>
      </c>
      <c r="L35" t="n">
        <v>274.4</v>
      </c>
      <c r="M35" t="n">
        <v>381.3</v>
      </c>
      <c r="N35" t="n">
        <v>250.3</v>
      </c>
      <c r="O35" t="n">
        <v>293.9</v>
      </c>
      <c r="P35" t="n">
        <v>241.1</v>
      </c>
      <c r="Q35" t="n">
        <v>392.7</v>
      </c>
      <c r="R35" t="n">
        <v>358.1</v>
      </c>
      <c r="S35" t="n">
        <v>565.3</v>
      </c>
      <c r="T35" t="n">
        <v>579.9</v>
      </c>
      <c r="U35" t="n">
        <v>447.9</v>
      </c>
      <c r="V35" t="n">
        <v>252.8</v>
      </c>
      <c r="W35" t="n">
        <v>164.4</v>
      </c>
      <c r="X35" t="n">
        <v>130.9</v>
      </c>
      <c r="Y35" t="n">
        <v>180.3</v>
      </c>
      <c r="Z35" t="n">
        <v>148.2</v>
      </c>
      <c r="AA35" t="n">
        <v>142.4</v>
      </c>
      <c r="AB35" t="n">
        <v>151.3</v>
      </c>
      <c r="AC35" t="n">
        <v>81</v>
      </c>
      <c r="AD35" t="n">
        <v>88.9</v>
      </c>
      <c r="AE35" t="n">
        <v>132.9</v>
      </c>
      <c r="AF35" t="n">
        <v>617.6</v>
      </c>
    </row>
    <row r="36">
      <c r="A36" t="s">
        <v>34</v>
      </c>
      <c r="B36" t="s">
        <v>342</v>
      </c>
      <c r="C36" t="s">
        <v>217</v>
      </c>
      <c r="D36" t="s">
        <v>343</v>
      </c>
      <c r="E36" t="s">
        <v>218</v>
      </c>
      <c r="F36"/>
      <c r="G36" t="n">
        <v>61.4</v>
      </c>
      <c r="H36" t="n">
        <v>68.1</v>
      </c>
      <c r="I36" t="n">
        <v>81.2</v>
      </c>
      <c r="J36" t="n">
        <v>97.1</v>
      </c>
      <c r="K36" t="n">
        <v>115.7</v>
      </c>
      <c r="L36" t="n">
        <v>208.3</v>
      </c>
      <c r="M36" t="n">
        <v>240</v>
      </c>
      <c r="N36" t="n">
        <v>144.3</v>
      </c>
      <c r="O36" t="n">
        <v>148.1</v>
      </c>
      <c r="P36" t="n">
        <v>64.1</v>
      </c>
      <c r="Q36" t="n">
        <v>142.4</v>
      </c>
      <c r="R36" t="n">
        <v>148</v>
      </c>
      <c r="S36" t="n">
        <v>362.9</v>
      </c>
      <c r="T36" t="n">
        <v>354</v>
      </c>
      <c r="U36" t="n">
        <v>113.8</v>
      </c>
      <c r="V36" t="n">
        <v>77.8</v>
      </c>
      <c r="W36" t="n">
        <v>35.3</v>
      </c>
      <c r="X36" t="n">
        <v>39.4</v>
      </c>
      <c r="Y36" t="n">
        <v>59</v>
      </c>
      <c r="Z36" t="n">
        <v>24.9</v>
      </c>
      <c r="AA36" t="n">
        <v>29.4</v>
      </c>
      <c r="AB36" t="n">
        <v>36</v>
      </c>
      <c r="AC36" t="n">
        <v>52.7</v>
      </c>
      <c r="AD36" t="n">
        <v>66.5</v>
      </c>
      <c r="AE36" t="n">
        <v>89.5</v>
      </c>
      <c r="AF36" t="n">
        <v>71.6</v>
      </c>
    </row>
    <row r="37">
      <c r="A37" t="s">
        <v>34</v>
      </c>
      <c r="B37" t="s">
        <v>344</v>
      </c>
      <c r="C37" t="s">
        <v>217</v>
      </c>
      <c r="D37" t="s">
        <v>345</v>
      </c>
      <c r="E37" t="s">
        <v>218</v>
      </c>
      <c r="F37"/>
      <c r="G37" t="n">
        <v>119.4</v>
      </c>
      <c r="H37" t="n">
        <v>130.4</v>
      </c>
      <c r="I37" t="n">
        <v>143.7</v>
      </c>
      <c r="J37" t="n">
        <v>174.7</v>
      </c>
      <c r="K37" t="n">
        <v>198.9</v>
      </c>
      <c r="L37" t="n">
        <v>37.5</v>
      </c>
      <c r="M37" t="n">
        <v>78.2</v>
      </c>
      <c r="N37" t="n">
        <v>70.7</v>
      </c>
      <c r="O37" t="n">
        <v>94.2</v>
      </c>
      <c r="P37" t="n">
        <v>163.6</v>
      </c>
      <c r="Q37" t="n">
        <v>225.7</v>
      </c>
      <c r="R37" t="n">
        <v>175.1</v>
      </c>
      <c r="S37" t="n">
        <v>181.1</v>
      </c>
      <c r="T37" t="n">
        <v>180.1</v>
      </c>
      <c r="U37" t="n">
        <v>365.3</v>
      </c>
      <c r="V37" t="n">
        <v>189.8</v>
      </c>
      <c r="W37" t="n">
        <v>153.1</v>
      </c>
      <c r="X37" t="n">
        <v>95.8</v>
      </c>
      <c r="Y37" t="n">
        <v>103.4</v>
      </c>
      <c r="Z37" t="n">
        <v>108.4</v>
      </c>
      <c r="AA37" t="n">
        <v>75.7</v>
      </c>
      <c r="AB37" t="n">
        <v>84</v>
      </c>
      <c r="AC37" t="n">
        <v>18.6</v>
      </c>
      <c r="AD37" t="n">
        <v>13.2</v>
      </c>
      <c r="AE37" t="n">
        <v>30.7</v>
      </c>
      <c r="AF37" t="n">
        <v>517.2</v>
      </c>
    </row>
    <row r="38">
      <c r="A38" t="s">
        <v>34</v>
      </c>
      <c r="B38" t="s">
        <v>346</v>
      </c>
      <c r="C38" t="s">
        <v>217</v>
      </c>
      <c r="D38" t="s">
        <v>347</v>
      </c>
      <c r="E38" t="s">
        <v>218</v>
      </c>
      <c r="F38"/>
      <c r="G38" t="n">
        <v>16.9</v>
      </c>
      <c r="H38" t="n">
        <v>18.5</v>
      </c>
      <c r="I38" t="n">
        <v>21.4</v>
      </c>
      <c r="J38" t="n">
        <v>23.1</v>
      </c>
      <c r="K38" t="n">
        <v>25.1</v>
      </c>
      <c r="L38" t="n">
        <v>28.6</v>
      </c>
      <c r="M38" t="n">
        <v>63.1</v>
      </c>
      <c r="N38" t="n">
        <v>35.3</v>
      </c>
      <c r="O38" t="n">
        <v>51.6</v>
      </c>
      <c r="P38" t="n">
        <v>13.4</v>
      </c>
      <c r="Q38" t="n">
        <v>24.6</v>
      </c>
      <c r="R38" t="n">
        <v>35</v>
      </c>
      <c r="S38" t="n">
        <v>21.3</v>
      </c>
      <c r="T38" t="n">
        <v>45.8</v>
      </c>
      <c r="U38" t="n">
        <v>-31.2</v>
      </c>
      <c r="V38" t="n">
        <v>-14.8</v>
      </c>
      <c r="W38" t="n">
        <v>-24</v>
      </c>
      <c r="X38" t="n">
        <v>-4.3</v>
      </c>
      <c r="Y38" t="n">
        <v>17.9</v>
      </c>
      <c r="Z38" t="n">
        <v>14.9</v>
      </c>
      <c r="AA38" t="n">
        <v>37.3</v>
      </c>
      <c r="AB38" t="n">
        <v>31.3</v>
      </c>
      <c r="AC38" t="n">
        <v>9.7</v>
      </c>
      <c r="AD38" t="n">
        <v>9.2</v>
      </c>
      <c r="AE38" t="n">
        <v>12.7</v>
      </c>
      <c r="AF38" t="n">
        <v>28.8</v>
      </c>
    </row>
    <row r="39">
      <c r="A39" t="s">
        <v>34</v>
      </c>
      <c r="B39" t="s">
        <v>348</v>
      </c>
      <c r="C39" t="s">
        <v>217</v>
      </c>
      <c r="D39" t="s">
        <v>349</v>
      </c>
      <c r="E39" t="s">
        <v>218</v>
      </c>
      <c r="F39"/>
      <c r="G39" t="n">
        <v>73.9</v>
      </c>
      <c r="H39" t="n">
        <v>80.3</v>
      </c>
      <c r="I39" t="n">
        <v>78.7</v>
      </c>
      <c r="J39" t="n">
        <v>121.8</v>
      </c>
      <c r="K39" t="n">
        <v>148.4</v>
      </c>
      <c r="L39" t="n">
        <v>145.4</v>
      </c>
      <c r="M39" t="n">
        <v>41.6</v>
      </c>
      <c r="N39" t="n">
        <v>29.8</v>
      </c>
      <c r="O39" t="n">
        <v>24.9</v>
      </c>
      <c r="P39" t="n">
        <v>44.7</v>
      </c>
      <c r="Q39" t="n">
        <v>71.8</v>
      </c>
      <c r="R39" t="n">
        <v>67.1</v>
      </c>
      <c r="S39" t="n">
        <v>102.9</v>
      </c>
      <c r="T39" t="n">
        <v>49.8</v>
      </c>
      <c r="U39" t="n">
        <v>61.8</v>
      </c>
      <c r="V39" t="n">
        <v>61.8</v>
      </c>
      <c r="W39" t="n">
        <v>60.9</v>
      </c>
      <c r="X39" t="n">
        <v>54.3</v>
      </c>
      <c r="Y39" t="n">
        <v>60.2</v>
      </c>
      <c r="Z39" t="n">
        <v>31.1</v>
      </c>
      <c r="AA39" t="n">
        <v>16.6</v>
      </c>
      <c r="AB39" t="n">
        <v>16.9</v>
      </c>
      <c r="AC39" t="n">
        <v>13.2</v>
      </c>
      <c r="AD39" t="n">
        <v>14.5</v>
      </c>
      <c r="AE39" t="n">
        <v>53.9</v>
      </c>
      <c r="AF39" t="n">
        <v>24.1</v>
      </c>
    </row>
    <row r="40">
      <c r="A40" t="s">
        <v>34</v>
      </c>
      <c r="B40" t="s">
        <v>350</v>
      </c>
      <c r="C40" t="s">
        <v>217</v>
      </c>
      <c r="D40" t="s">
        <v>351</v>
      </c>
      <c r="E40" t="s">
        <v>218</v>
      </c>
      <c r="F40"/>
      <c r="G40" t="n">
        <v>2.7</v>
      </c>
      <c r="H40" t="n">
        <v>2.9</v>
      </c>
      <c r="I40" t="n">
        <v>3</v>
      </c>
      <c r="J40" t="n">
        <v>3.7</v>
      </c>
      <c r="K40" t="n">
        <v>4.6</v>
      </c>
      <c r="L40" t="n">
        <v>108.9</v>
      </c>
      <c r="M40" t="n">
        <v>89</v>
      </c>
      <c r="N40" t="n">
        <v>30.8</v>
      </c>
      <c r="O40" t="n">
        <v>37.5</v>
      </c>
      <c r="P40" t="n">
        <v>1</v>
      </c>
      <c r="Q40" t="n">
        <v>1.3</v>
      </c>
      <c r="R40" t="n">
        <v>6</v>
      </c>
      <c r="S40" t="n">
        <v>3.5</v>
      </c>
      <c r="T40" t="n">
        <v>11.6</v>
      </c>
      <c r="U40" t="n">
        <v>18.3</v>
      </c>
      <c r="V40" t="n">
        <v>43</v>
      </c>
      <c r="W40" t="n">
        <v>12.4</v>
      </c>
      <c r="X40" t="n">
        <v>7.7</v>
      </c>
      <c r="Y40" t="n">
        <v>12.4</v>
      </c>
      <c r="Z40" t="n">
        <v>5.6</v>
      </c>
      <c r="AA40" t="n">
        <v>3.9</v>
      </c>
      <c r="AB40" t="n">
        <v>4.3</v>
      </c>
      <c r="AC40" t="n">
        <v>-2.3</v>
      </c>
      <c r="AD40" t="n">
        <v>2.7</v>
      </c>
      <c r="AE40" t="n">
        <v>17.7</v>
      </c>
      <c r="AF40" t="n">
        <v>58.6</v>
      </c>
    </row>
    <row r="41">
      <c r="A41" t="s">
        <v>34</v>
      </c>
      <c r="B41" t="s">
        <v>352</v>
      </c>
      <c r="C41" t="s">
        <v>217</v>
      </c>
      <c r="D41" t="s">
        <v>353</v>
      </c>
      <c r="E41" t="s">
        <v>218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34</v>
      </c>
      <c r="B42" t="s">
        <v>354</v>
      </c>
      <c r="C42" t="s">
        <v>217</v>
      </c>
      <c r="D42" t="s">
        <v>355</v>
      </c>
      <c r="E42" t="s">
        <v>218</v>
      </c>
      <c r="F42"/>
      <c r="G42" t="n">
        <v>132.5</v>
      </c>
      <c r="H42" t="n">
        <v>145.2</v>
      </c>
      <c r="I42" t="n">
        <v>154.9</v>
      </c>
      <c r="J42" t="n">
        <v>185.4</v>
      </c>
      <c r="K42" t="n">
        <v>228.9</v>
      </c>
      <c r="L42" t="n">
        <v>190.3</v>
      </c>
      <c r="M42" t="n">
        <v>173.8</v>
      </c>
      <c r="N42" t="n">
        <v>220.9</v>
      </c>
      <c r="O42" t="n">
        <v>275.8</v>
      </c>
      <c r="P42" t="n">
        <v>135.1</v>
      </c>
      <c r="Q42" t="n">
        <v>162.6</v>
      </c>
      <c r="R42" t="n">
        <v>198.6</v>
      </c>
      <c r="S42" t="n">
        <v>148.1</v>
      </c>
      <c r="T42" t="n">
        <v>235.2</v>
      </c>
      <c r="U42" t="n">
        <v>57.6</v>
      </c>
      <c r="V42" t="n">
        <v>59.6</v>
      </c>
      <c r="W42" t="n">
        <v>18.2</v>
      </c>
      <c r="X42" t="n">
        <v>20.2</v>
      </c>
      <c r="Y42" t="n">
        <v>59.1</v>
      </c>
      <c r="Z42" t="n">
        <v>56.5</v>
      </c>
      <c r="AA42" t="n">
        <v>48.3</v>
      </c>
      <c r="AB42" t="n">
        <v>42.9</v>
      </c>
      <c r="AC42" t="n">
        <v>29.3</v>
      </c>
      <c r="AD42" t="n">
        <v>89</v>
      </c>
      <c r="AE42" t="n">
        <v>71</v>
      </c>
      <c r="AF42" t="n">
        <v>27</v>
      </c>
    </row>
    <row r="43">
      <c r="A43" t="s">
        <v>34</v>
      </c>
      <c r="B43" t="s">
        <v>356</v>
      </c>
      <c r="C43" t="s">
        <v>217</v>
      </c>
      <c r="D43" t="s">
        <v>357</v>
      </c>
      <c r="E43" t="s">
        <v>218</v>
      </c>
      <c r="F43"/>
      <c r="G43" t="n">
        <v>157.5</v>
      </c>
      <c r="H43" t="n">
        <v>172.4</v>
      </c>
      <c r="I43" t="n">
        <v>183.7</v>
      </c>
      <c r="J43" t="n">
        <v>221.1</v>
      </c>
      <c r="K43" t="n">
        <v>272.4</v>
      </c>
      <c r="L43" t="n">
        <v>238.1</v>
      </c>
      <c r="M43" t="n">
        <v>236.9</v>
      </c>
      <c r="N43" t="n">
        <v>278.9</v>
      </c>
      <c r="O43" t="n">
        <v>395.3</v>
      </c>
      <c r="P43" t="n">
        <v>346.2</v>
      </c>
      <c r="Q43" t="n">
        <v>402.8</v>
      </c>
      <c r="R43" t="n">
        <v>486.4</v>
      </c>
      <c r="S43" t="n">
        <v>1266.2</v>
      </c>
      <c r="T43" t="n">
        <v>1505.4</v>
      </c>
      <c r="U43" t="n">
        <v>234.9</v>
      </c>
      <c r="V43" t="n">
        <v>180.9</v>
      </c>
      <c r="W43" t="n">
        <v>64.4</v>
      </c>
      <c r="X43" t="n">
        <v>42.6</v>
      </c>
      <c r="Y43" t="n">
        <v>116.8</v>
      </c>
      <c r="Z43" t="n">
        <v>225.6</v>
      </c>
      <c r="AA43" t="n">
        <v>150.4</v>
      </c>
      <c r="AB43" t="n">
        <v>145.2</v>
      </c>
      <c r="AC43" t="n">
        <v>131</v>
      </c>
      <c r="AD43" t="n">
        <v>296</v>
      </c>
      <c r="AE43" t="n">
        <v>204</v>
      </c>
      <c r="AF43" t="n">
        <v>53.9</v>
      </c>
    </row>
    <row r="44">
      <c r="A44" t="s">
        <v>34</v>
      </c>
      <c r="B44" t="s">
        <v>358</v>
      </c>
      <c r="C44" t="s">
        <v>217</v>
      </c>
      <c r="D44" t="s">
        <v>359</v>
      </c>
      <c r="E44" t="s">
        <v>218</v>
      </c>
      <c r="F44"/>
      <c r="G44" t="n">
        <v>2582.7</v>
      </c>
      <c r="H44" t="n">
        <v>2857.9</v>
      </c>
      <c r="I44" t="n">
        <v>3402.2</v>
      </c>
      <c r="J44" t="n">
        <v>4173.3</v>
      </c>
      <c r="K44" t="n">
        <v>4999.5</v>
      </c>
      <c r="L44" t="n">
        <v>4971.7</v>
      </c>
      <c r="M44" t="n">
        <v>4674.8</v>
      </c>
      <c r="N44" t="n">
        <v>4199.9</v>
      </c>
      <c r="O44" t="n">
        <v>5283</v>
      </c>
      <c r="P44" t="n">
        <v>4613.6</v>
      </c>
      <c r="Q44" t="n">
        <v>6135</v>
      </c>
      <c r="R44" t="n">
        <v>7041.7</v>
      </c>
      <c r="S44" t="n">
        <v>9092.1</v>
      </c>
      <c r="T44" t="n">
        <v>7024.7</v>
      </c>
      <c r="U44" t="n">
        <v>5076.9</v>
      </c>
      <c r="V44" t="n">
        <v>3999.2</v>
      </c>
      <c r="W44" t="n">
        <v>3678.1</v>
      </c>
      <c r="X44" t="n">
        <v>2773.9</v>
      </c>
      <c r="Y44" t="n">
        <v>3668.8</v>
      </c>
      <c r="Z44" t="n">
        <v>3968</v>
      </c>
      <c r="AA44" t="n">
        <v>3898.9</v>
      </c>
      <c r="AB44" t="n">
        <v>4003.4</v>
      </c>
      <c r="AC44" t="n">
        <v>4531.4</v>
      </c>
      <c r="AD44" t="n">
        <v>4941.1</v>
      </c>
      <c r="AE44" t="n">
        <v>5128.6</v>
      </c>
      <c r="AF44" t="n">
        <v>5735.8</v>
      </c>
    </row>
    <row r="45">
      <c r="A45" t="s">
        <v>34</v>
      </c>
      <c r="B45" t="s">
        <v>360</v>
      </c>
      <c r="C45" t="s">
        <v>217</v>
      </c>
      <c r="D45" t="s">
        <v>361</v>
      </c>
      <c r="E45" t="s">
        <v>218</v>
      </c>
      <c r="F45"/>
      <c r="G45" t="n">
        <v>2328.7</v>
      </c>
      <c r="H45" t="n">
        <v>2573.4</v>
      </c>
      <c r="I45" t="n">
        <v>3031</v>
      </c>
      <c r="J45" t="n">
        <v>3732.9</v>
      </c>
      <c r="K45" t="n">
        <v>4496.5</v>
      </c>
      <c r="L45" t="n">
        <v>4541.5</v>
      </c>
      <c r="M45" t="n">
        <v>4358.7</v>
      </c>
      <c r="N45" t="n">
        <v>3641.7</v>
      </c>
      <c r="O45" t="n">
        <v>4639.3</v>
      </c>
      <c r="P45" t="n">
        <v>3976</v>
      </c>
      <c r="Q45" t="n">
        <v>5619.6</v>
      </c>
      <c r="R45" t="n">
        <v>6229.8</v>
      </c>
      <c r="S45" t="n">
        <v>7974.6</v>
      </c>
      <c r="T45" t="n">
        <v>6111.4</v>
      </c>
      <c r="U45" t="n">
        <v>3839</v>
      </c>
      <c r="V45" t="n">
        <v>3147</v>
      </c>
      <c r="W45" t="n">
        <v>3040.1</v>
      </c>
      <c r="X45" t="n">
        <v>1785.6</v>
      </c>
      <c r="Y45" t="n">
        <v>2970.9</v>
      </c>
      <c r="Z45" t="n">
        <v>3189</v>
      </c>
      <c r="AA45" t="n">
        <v>2970.2</v>
      </c>
      <c r="AB45" t="n">
        <v>3046</v>
      </c>
      <c r="AC45" t="n">
        <v>3465</v>
      </c>
      <c r="AD45" t="n">
        <v>3780</v>
      </c>
      <c r="AE45" t="n">
        <v>3944.4</v>
      </c>
      <c r="AF45" t="n">
        <v>4102.1</v>
      </c>
    </row>
    <row r="46">
      <c r="A46" t="s">
        <v>34</v>
      </c>
      <c r="B46" t="s">
        <v>362</v>
      </c>
      <c r="C46" t="s">
        <v>217</v>
      </c>
      <c r="D46" t="s">
        <v>363</v>
      </c>
      <c r="E46" t="s">
        <v>218</v>
      </c>
      <c r="F46"/>
      <c r="G46" t="n">
        <v>25</v>
      </c>
      <c r="H46" t="n">
        <v>27.2</v>
      </c>
      <c r="I46" t="n">
        <v>28.8</v>
      </c>
      <c r="J46" t="n">
        <v>35.7</v>
      </c>
      <c r="K46" t="n">
        <v>43.5</v>
      </c>
      <c r="L46" t="n">
        <v>47.8</v>
      </c>
      <c r="M46" t="n">
        <v>63.1</v>
      </c>
      <c r="N46" t="n">
        <v>58</v>
      </c>
      <c r="O46" t="n">
        <v>119.5</v>
      </c>
      <c r="P46" t="n">
        <v>211.1</v>
      </c>
      <c r="Q46" t="n">
        <v>240.2</v>
      </c>
      <c r="R46" t="n">
        <v>287.8</v>
      </c>
      <c r="S46" t="n">
        <v>1118.1</v>
      </c>
      <c r="T46" t="n">
        <v>1270.2</v>
      </c>
      <c r="U46" t="n">
        <v>177.3</v>
      </c>
      <c r="V46" t="n">
        <v>121.3</v>
      </c>
      <c r="W46" t="n">
        <v>46.2</v>
      </c>
      <c r="X46" t="n">
        <v>22.4</v>
      </c>
      <c r="Y46" t="n">
        <v>57.7</v>
      </c>
      <c r="Z46" t="n">
        <v>169.1</v>
      </c>
      <c r="AA46" t="n">
        <v>102.1</v>
      </c>
      <c r="AB46" t="n">
        <v>102.3</v>
      </c>
      <c r="AC46" t="n">
        <v>101.7</v>
      </c>
      <c r="AD46" t="n">
        <v>207</v>
      </c>
      <c r="AE46" t="n">
        <v>133</v>
      </c>
      <c r="AF46" t="n">
        <v>26.9</v>
      </c>
    </row>
    <row r="47">
      <c r="A47" t="s">
        <v>34</v>
      </c>
      <c r="B47" t="s">
        <v>364</v>
      </c>
      <c r="C47" t="s">
        <v>217</v>
      </c>
      <c r="D47" t="s">
        <v>365</v>
      </c>
      <c r="E47" t="s">
        <v>218</v>
      </c>
      <c r="F47"/>
      <c r="G47" t="n">
        <v>410.4</v>
      </c>
      <c r="H47" t="n">
        <v>233.1</v>
      </c>
      <c r="I47" t="n">
        <v>1250.7</v>
      </c>
      <c r="J47" t="n">
        <v>1625.8</v>
      </c>
      <c r="K47" t="n">
        <v>341.7</v>
      </c>
      <c r="L47" t="n">
        <v>592.4</v>
      </c>
      <c r="M47" t="n">
        <v>1203.2</v>
      </c>
      <c r="N47" t="n">
        <v>2492.7</v>
      </c>
      <c r="O47" t="n">
        <v>1378.1</v>
      </c>
      <c r="P47" t="n">
        <v>803.7</v>
      </c>
      <c r="Q47" t="n">
        <v>1144.2</v>
      </c>
      <c r="R47" t="n">
        <v>1778</v>
      </c>
      <c r="S47" t="n">
        <v>2320.6</v>
      </c>
      <c r="T47" t="n">
        <v>2662.9</v>
      </c>
      <c r="U47" t="n">
        <v>2136.9</v>
      </c>
      <c r="V47" t="n">
        <v>723</v>
      </c>
      <c r="W47" t="n">
        <v>292.3</v>
      </c>
      <c r="X47" t="n">
        <v>332.5</v>
      </c>
      <c r="Y47" t="n">
        <v>1161.6</v>
      </c>
      <c r="Z47" t="n">
        <v>906</v>
      </c>
      <c r="AA47" t="n">
        <v>162.9</v>
      </c>
      <c r="AB47" t="n">
        <v>1128.3</v>
      </c>
      <c r="AC47" t="n">
        <v>242</v>
      </c>
      <c r="AD47" t="n">
        <v>197.1</v>
      </c>
      <c r="AE47" t="n">
        <v>414.8</v>
      </c>
      <c r="AF47" t="n">
        <v>1061.1</v>
      </c>
    </row>
    <row r="48">
      <c r="A48" t="s">
        <v>34</v>
      </c>
      <c r="B48" t="s">
        <v>366</v>
      </c>
      <c r="C48" t="s">
        <v>217</v>
      </c>
      <c r="D48" t="s">
        <v>367</v>
      </c>
      <c r="E48" t="s">
        <v>218</v>
      </c>
      <c r="F48"/>
      <c r="G48" t="n">
        <v>838.5</v>
      </c>
      <c r="H48" t="n">
        <v>705.6</v>
      </c>
      <c r="I48" t="n">
        <v>1764.2</v>
      </c>
      <c r="J48" t="n">
        <v>2282.1</v>
      </c>
      <c r="K48" t="n">
        <v>1167.5</v>
      </c>
      <c r="L48" t="n">
        <v>1531.5</v>
      </c>
      <c r="M48" t="n">
        <v>2110.8</v>
      </c>
      <c r="N48" t="n">
        <v>3235</v>
      </c>
      <c r="O48" t="n">
        <v>2259.2</v>
      </c>
      <c r="P48" t="n">
        <v>1456.9</v>
      </c>
      <c r="Q48" t="n">
        <v>1808</v>
      </c>
      <c r="R48" t="n">
        <v>2336.5</v>
      </c>
      <c r="S48" t="n">
        <v>2860.9</v>
      </c>
      <c r="T48" t="n">
        <v>3147</v>
      </c>
      <c r="U48" t="n">
        <v>2419</v>
      </c>
      <c r="V48" t="n">
        <v>985.2</v>
      </c>
      <c r="W48" t="n">
        <v>473.6</v>
      </c>
      <c r="X48" t="n">
        <v>586.4</v>
      </c>
      <c r="Y48" t="n">
        <v>1360.7</v>
      </c>
      <c r="Z48" t="n">
        <v>1129.5</v>
      </c>
      <c r="AA48" t="n">
        <v>354</v>
      </c>
      <c r="AB48" t="n">
        <v>1368.2</v>
      </c>
      <c r="AC48" t="n">
        <v>600.3</v>
      </c>
      <c r="AD48" t="n">
        <v>586.1</v>
      </c>
      <c r="AE48" t="n">
        <v>726.9</v>
      </c>
      <c r="AF48" t="n">
        <v>1363.1</v>
      </c>
    </row>
    <row r="49">
      <c r="A49" t="s">
        <v>34</v>
      </c>
      <c r="B49" t="s">
        <v>368</v>
      </c>
      <c r="C49" t="s">
        <v>217</v>
      </c>
      <c r="D49" t="s">
        <v>369</v>
      </c>
      <c r="E49" t="s">
        <v>218</v>
      </c>
      <c r="F49"/>
      <c r="G49" t="n">
        <v>173.1</v>
      </c>
      <c r="H49" t="n">
        <v>189.2</v>
      </c>
      <c r="I49" t="n">
        <v>192.1</v>
      </c>
      <c r="J49" t="n">
        <v>256.8</v>
      </c>
      <c r="K49" t="n">
        <v>322.2</v>
      </c>
      <c r="L49" t="n">
        <v>219.4</v>
      </c>
      <c r="M49" t="n">
        <v>205.5</v>
      </c>
      <c r="N49" t="n">
        <v>281</v>
      </c>
      <c r="O49" t="n">
        <v>290.1</v>
      </c>
      <c r="P49" t="n">
        <v>175.9</v>
      </c>
      <c r="Q49" t="n">
        <v>298.8</v>
      </c>
      <c r="R49" t="n">
        <v>190.5</v>
      </c>
      <c r="S49" t="n">
        <v>191.1</v>
      </c>
      <c r="T49" t="n">
        <v>127.9</v>
      </c>
      <c r="U49" t="n">
        <v>38.3</v>
      </c>
      <c r="V49" t="n">
        <v>33.8</v>
      </c>
      <c r="W49" t="n">
        <v>14.9</v>
      </c>
      <c r="X49" t="n">
        <v>38.1</v>
      </c>
      <c r="Y49" t="n">
        <v>42.7</v>
      </c>
      <c r="Z49" t="n">
        <v>40.5</v>
      </c>
      <c r="AA49" t="n">
        <v>27</v>
      </c>
      <c r="AB49" t="n">
        <v>25.1</v>
      </c>
      <c r="AC49" t="n">
        <v>47.7</v>
      </c>
      <c r="AD49" t="n">
        <v>65.6</v>
      </c>
      <c r="AE49" t="n">
        <v>55.1</v>
      </c>
      <c r="AF49" t="n">
        <v>37.9</v>
      </c>
    </row>
    <row r="50">
      <c r="A50" t="s">
        <v>34</v>
      </c>
      <c r="B50" t="s">
        <v>370</v>
      </c>
      <c r="C50" t="s">
        <v>217</v>
      </c>
      <c r="D50" t="s">
        <v>371</v>
      </c>
      <c r="E50" t="s">
        <v>218</v>
      </c>
      <c r="F50"/>
      <c r="G50" t="n">
        <v>255</v>
      </c>
      <c r="H50" t="n">
        <v>283.3</v>
      </c>
      <c r="I50" t="n">
        <v>321.4</v>
      </c>
      <c r="J50" t="n">
        <v>399.5</v>
      </c>
      <c r="K50" t="n">
        <v>503.6</v>
      </c>
      <c r="L50" t="n">
        <v>719.6</v>
      </c>
      <c r="M50" t="n">
        <v>702.1</v>
      </c>
      <c r="N50" t="n">
        <v>461.4</v>
      </c>
      <c r="O50" t="n">
        <v>591.1</v>
      </c>
      <c r="P50" t="n">
        <v>477.2</v>
      </c>
      <c r="Q50" t="n">
        <v>365.1</v>
      </c>
      <c r="R50" t="n">
        <v>368.1</v>
      </c>
      <c r="S50" t="n">
        <v>349.2</v>
      </c>
      <c r="T50" t="n">
        <v>356.2</v>
      </c>
      <c r="U50" t="n">
        <v>243.9</v>
      </c>
      <c r="V50" t="n">
        <v>228.4</v>
      </c>
      <c r="W50" t="n">
        <v>166.5</v>
      </c>
      <c r="X50" t="n">
        <v>215.8</v>
      </c>
      <c r="Y50" t="n">
        <v>156.5</v>
      </c>
      <c r="Z50" t="n">
        <v>183</v>
      </c>
      <c r="AA50" t="n">
        <v>164.1</v>
      </c>
      <c r="AB50" t="n">
        <v>214.9</v>
      </c>
      <c r="AC50" t="n">
        <v>310.6</v>
      </c>
      <c r="AD50" t="n">
        <v>323.3</v>
      </c>
      <c r="AE50" t="n">
        <v>257</v>
      </c>
      <c r="AF50" t="n">
        <v>264.1</v>
      </c>
    </row>
    <row r="51">
      <c r="A51" t="s">
        <v>34</v>
      </c>
      <c r="B51" t="s">
        <v>372</v>
      </c>
      <c r="C51" t="s">
        <v>217</v>
      </c>
      <c r="D51" t="s">
        <v>373</v>
      </c>
      <c r="E51" t="s">
        <v>218</v>
      </c>
      <c r="F51"/>
      <c r="G51" t="n">
        <v>240.8</v>
      </c>
      <c r="H51" t="n">
        <v>267.6</v>
      </c>
      <c r="I51" t="n">
        <v>303.8</v>
      </c>
      <c r="J51" t="n">
        <v>376.9</v>
      </c>
      <c r="K51" t="n">
        <v>476.2</v>
      </c>
      <c r="L51" t="n">
        <v>682.1</v>
      </c>
      <c r="M51" t="n">
        <v>664.1</v>
      </c>
      <c r="N51" t="n">
        <v>437.2</v>
      </c>
      <c r="O51" t="n">
        <v>559</v>
      </c>
      <c r="P51" t="n">
        <v>464.1</v>
      </c>
      <c r="Q51" t="n">
        <v>350</v>
      </c>
      <c r="R51" t="n">
        <v>355.5</v>
      </c>
      <c r="S51" t="n">
        <v>329.9</v>
      </c>
      <c r="T51" t="n">
        <v>335</v>
      </c>
      <c r="U51" t="n">
        <v>232</v>
      </c>
      <c r="V51" t="n">
        <v>212.5</v>
      </c>
      <c r="W51" t="n">
        <v>159.5</v>
      </c>
      <c r="X51" t="n">
        <v>203.9</v>
      </c>
      <c r="Y51" t="n">
        <v>150.5</v>
      </c>
      <c r="Z51" t="n">
        <v>174.4</v>
      </c>
      <c r="AA51" t="n">
        <v>152.7</v>
      </c>
      <c r="AB51" t="n">
        <v>206.6</v>
      </c>
      <c r="AC51" t="n">
        <v>300.4</v>
      </c>
      <c r="AD51" t="n">
        <v>314.4</v>
      </c>
      <c r="AE51" t="n">
        <v>249.2</v>
      </c>
      <c r="AF51" t="n">
        <v>259.8</v>
      </c>
    </row>
    <row r="52">
      <c r="A52" t="s">
        <v>34</v>
      </c>
      <c r="B52" t="s">
        <v>374</v>
      </c>
      <c r="C52" t="s">
        <v>217</v>
      </c>
      <c r="D52" t="s">
        <v>375</v>
      </c>
      <c r="E52" t="s">
        <v>218</v>
      </c>
      <c r="F52"/>
      <c r="G52" t="n">
        <v>14.2</v>
      </c>
      <c r="H52" t="n">
        <v>15.7</v>
      </c>
      <c r="I52" t="n">
        <v>17.6</v>
      </c>
      <c r="J52" t="n">
        <v>22.6</v>
      </c>
      <c r="K52" t="n">
        <v>27.4</v>
      </c>
      <c r="L52" t="n">
        <v>37.5</v>
      </c>
      <c r="M52" t="n">
        <v>38</v>
      </c>
      <c r="N52" t="n">
        <v>24.2</v>
      </c>
      <c r="O52" t="n">
        <v>32.1</v>
      </c>
      <c r="P52" t="n">
        <v>13.1</v>
      </c>
      <c r="Q52" t="n">
        <v>15.1</v>
      </c>
      <c r="R52" t="n">
        <v>12.6</v>
      </c>
      <c r="S52" t="n">
        <v>19.3</v>
      </c>
      <c r="T52" t="n">
        <v>21.2</v>
      </c>
      <c r="U52" t="n">
        <v>11.9</v>
      </c>
      <c r="V52" t="n">
        <v>15.9</v>
      </c>
      <c r="W52" t="n">
        <v>7</v>
      </c>
      <c r="X52" t="n">
        <v>11.9</v>
      </c>
      <c r="Y52" t="n">
        <v>6</v>
      </c>
      <c r="Z52" t="n">
        <v>8.6</v>
      </c>
      <c r="AA52" t="n">
        <v>11.4</v>
      </c>
      <c r="AB52" t="n">
        <v>8.3</v>
      </c>
      <c r="AC52" t="n">
        <v>10.2</v>
      </c>
      <c r="AD52" t="n">
        <v>8.9</v>
      </c>
      <c r="AE52" t="n">
        <v>7.8</v>
      </c>
      <c r="AF52" t="n">
        <v>4.3</v>
      </c>
    </row>
    <row r="53">
      <c r="A53" t="s">
        <v>34</v>
      </c>
      <c r="B53" t="s">
        <v>376</v>
      </c>
      <c r="C53" t="s">
        <v>217</v>
      </c>
      <c r="D53" t="s">
        <v>377</v>
      </c>
      <c r="E53" t="s">
        <v>218</v>
      </c>
      <c r="F53"/>
      <c r="G53" t="n">
        <v>36.3</v>
      </c>
      <c r="H53" t="n">
        <v>39.6</v>
      </c>
      <c r="I53" t="n">
        <v>40.7</v>
      </c>
      <c r="J53" t="n">
        <v>54.8</v>
      </c>
      <c r="K53" t="n">
        <v>67.5</v>
      </c>
      <c r="L53" t="n">
        <v>253.2</v>
      </c>
      <c r="M53" t="n">
        <v>242.9</v>
      </c>
      <c r="N53" t="n">
        <v>159.3</v>
      </c>
      <c r="O53" t="n">
        <v>148.3</v>
      </c>
      <c r="P53" t="n">
        <v>142.2</v>
      </c>
      <c r="Q53" t="n">
        <v>176.9</v>
      </c>
      <c r="R53" t="n">
        <v>164.2</v>
      </c>
      <c r="S53" t="n">
        <v>226.7</v>
      </c>
      <c r="T53" t="n">
        <v>138.8</v>
      </c>
      <c r="U53" t="n">
        <v>125.6</v>
      </c>
      <c r="V53" t="n">
        <v>87.5</v>
      </c>
      <c r="W53" t="n">
        <v>42.5</v>
      </c>
      <c r="X53" t="n">
        <v>51.2</v>
      </c>
      <c r="Y53" t="n">
        <v>66.4</v>
      </c>
      <c r="Z53" t="n">
        <v>47.5</v>
      </c>
      <c r="AA53" t="n">
        <v>54.2</v>
      </c>
      <c r="AB53" t="n">
        <v>60.9</v>
      </c>
      <c r="AC53" t="n">
        <v>84.7</v>
      </c>
      <c r="AD53" t="n">
        <v>85.1</v>
      </c>
      <c r="AE53" t="n">
        <v>74.2</v>
      </c>
      <c r="AF53" t="n">
        <v>28.3</v>
      </c>
    </row>
    <row r="54">
      <c r="A54" t="s">
        <v>34</v>
      </c>
      <c r="B54" t="s">
        <v>378</v>
      </c>
      <c r="C54" t="s">
        <v>217</v>
      </c>
      <c r="D54" t="s">
        <v>379</v>
      </c>
      <c r="E54" t="s">
        <v>218</v>
      </c>
      <c r="F54"/>
      <c r="G54" t="n">
        <v>418</v>
      </c>
      <c r="H54" t="n">
        <v>456.5</v>
      </c>
      <c r="I54" t="n">
        <v>469.6</v>
      </c>
      <c r="J54" t="n">
        <v>677.3</v>
      </c>
      <c r="K54" t="n">
        <v>819.9</v>
      </c>
      <c r="L54" t="n">
        <v>489.5</v>
      </c>
      <c r="M54" t="n">
        <v>455.7</v>
      </c>
      <c r="N54" t="n">
        <v>333.8</v>
      </c>
      <c r="O54" t="n">
        <v>427.7</v>
      </c>
      <c r="P54" t="n">
        <v>398.1</v>
      </c>
      <c r="Q54" t="n">
        <v>439.8</v>
      </c>
      <c r="R54" t="n">
        <v>409.6</v>
      </c>
      <c r="S54" t="n">
        <v>512.4</v>
      </c>
      <c r="T54" t="n">
        <v>338.9</v>
      </c>
      <c r="U54" t="n">
        <v>180</v>
      </c>
      <c r="V54" t="n">
        <v>134.4</v>
      </c>
      <c r="W54" t="n">
        <v>79.6</v>
      </c>
      <c r="X54" t="n">
        <v>97.6</v>
      </c>
      <c r="Y54" t="n">
        <v>106.8</v>
      </c>
      <c r="Z54" t="n">
        <v>107.1</v>
      </c>
      <c r="AA54" t="n">
        <v>95.3</v>
      </c>
      <c r="AB54" t="n">
        <v>103.6</v>
      </c>
      <c r="AC54" t="n">
        <v>132.8</v>
      </c>
      <c r="AD54" t="n">
        <v>135.1</v>
      </c>
      <c r="AE54" t="n">
        <v>118.3</v>
      </c>
      <c r="AF54" t="n">
        <v>69.5</v>
      </c>
    </row>
    <row r="55">
      <c r="A55" t="s">
        <v>34</v>
      </c>
      <c r="B55" t="s">
        <v>380</v>
      </c>
      <c r="C55" t="s">
        <v>217</v>
      </c>
      <c r="D55" t="s">
        <v>381</v>
      </c>
      <c r="E55" t="s">
        <v>218</v>
      </c>
      <c r="F55"/>
      <c r="G55" t="n">
        <v>381.7</v>
      </c>
      <c r="H55" t="n">
        <v>416.9</v>
      </c>
      <c r="I55" t="n">
        <v>428.9</v>
      </c>
      <c r="J55" t="n">
        <v>622.5</v>
      </c>
      <c r="K55" t="n">
        <v>752.4</v>
      </c>
      <c r="L55" t="n">
        <v>236.3</v>
      </c>
      <c r="M55" t="n">
        <v>212.8</v>
      </c>
      <c r="N55" t="n">
        <v>174.5</v>
      </c>
      <c r="O55" t="n">
        <v>279.4</v>
      </c>
      <c r="P55" t="n">
        <v>255.9</v>
      </c>
      <c r="Q55" t="n">
        <v>262.9</v>
      </c>
      <c r="R55" t="n">
        <v>245.4</v>
      </c>
      <c r="S55" t="n">
        <v>285.7</v>
      </c>
      <c r="T55" t="n">
        <v>200.1</v>
      </c>
      <c r="U55" t="n">
        <v>54.4</v>
      </c>
      <c r="V55" t="n">
        <v>46.9</v>
      </c>
      <c r="W55" t="n">
        <v>37.1</v>
      </c>
      <c r="X55" t="n">
        <v>46.4</v>
      </c>
      <c r="Y55" t="n">
        <v>40.4</v>
      </c>
      <c r="Z55" t="n">
        <v>59.6</v>
      </c>
      <c r="AA55" t="n">
        <v>41.1</v>
      </c>
      <c r="AB55" t="n">
        <v>42.7</v>
      </c>
      <c r="AC55" t="n">
        <v>48.1</v>
      </c>
      <c r="AD55" t="n">
        <v>50</v>
      </c>
      <c r="AE55" t="n">
        <v>44.1</v>
      </c>
      <c r="AF55" t="n">
        <v>41.2</v>
      </c>
    </row>
    <row r="56">
      <c r="A56" t="s">
        <v>34</v>
      </c>
      <c r="B56" t="s">
        <v>382</v>
      </c>
      <c r="C56" t="s">
        <v>217</v>
      </c>
      <c r="D56" t="s">
        <v>383</v>
      </c>
      <c r="E56" t="s">
        <v>218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34</v>
      </c>
      <c r="B57" t="s">
        <v>384</v>
      </c>
      <c r="C57" t="s">
        <v>217</v>
      </c>
      <c r="D57" t="s">
        <v>385</v>
      </c>
      <c r="E57" t="s">
        <v>218</v>
      </c>
      <c r="F57"/>
      <c r="G57" t="n">
        <v>3423.9</v>
      </c>
      <c r="H57" t="n">
        <v>3566.4</v>
      </c>
      <c r="I57" t="n">
        <v>5169.4</v>
      </c>
      <c r="J57" t="n">
        <v>6459.1</v>
      </c>
      <c r="K57" t="n">
        <v>6171.6</v>
      </c>
      <c r="L57" t="n">
        <v>6612</v>
      </c>
      <c r="M57" t="n">
        <v>6874.6</v>
      </c>
      <c r="N57" t="n">
        <v>7465.8</v>
      </c>
      <c r="O57" t="n">
        <v>7579.8</v>
      </c>
      <c r="P57" t="n">
        <v>6071.4</v>
      </c>
      <c r="Q57" t="n">
        <v>7944.4</v>
      </c>
      <c r="R57" t="n">
        <v>9384.3</v>
      </c>
      <c r="S57" t="n">
        <v>11956.5</v>
      </c>
      <c r="T57" t="n">
        <v>10183.3</v>
      </c>
      <c r="U57" t="n">
        <v>7514.3</v>
      </c>
      <c r="V57" t="n">
        <v>5027.4</v>
      </c>
      <c r="W57" t="n">
        <v>4164.2</v>
      </c>
      <c r="X57" t="n">
        <v>3368</v>
      </c>
      <c r="Y57" t="n">
        <v>5042</v>
      </c>
      <c r="Z57" t="n">
        <v>5103.1</v>
      </c>
      <c r="AA57" t="n">
        <v>4256.8</v>
      </c>
      <c r="AB57" t="n">
        <v>5376</v>
      </c>
      <c r="AC57" t="n">
        <v>5129.4</v>
      </c>
      <c r="AD57" t="n">
        <v>5529.8</v>
      </c>
      <c r="AE57" t="n">
        <v>5873.2</v>
      </c>
      <c r="AF57" t="n">
        <v>7157.5</v>
      </c>
    </row>
    <row r="58">
      <c r="A58" t="s">
        <v>34</v>
      </c>
      <c r="B58" t="s">
        <v>386</v>
      </c>
      <c r="C58" t="s">
        <v>217</v>
      </c>
      <c r="D58" t="s">
        <v>387</v>
      </c>
      <c r="E58" t="s">
        <v>218</v>
      </c>
      <c r="F58"/>
      <c r="G58" t="n">
        <v>3423.9</v>
      </c>
      <c r="H58" t="n">
        <v>3566.4</v>
      </c>
      <c r="I58" t="n">
        <v>5169.4</v>
      </c>
      <c r="J58" t="n">
        <v>6459.1</v>
      </c>
      <c r="K58" t="n">
        <v>6171.6</v>
      </c>
      <c r="L58" t="n">
        <v>6612</v>
      </c>
      <c r="M58" t="n">
        <v>6874.6</v>
      </c>
      <c r="N58" t="n">
        <v>7465.8</v>
      </c>
      <c r="O58" t="n">
        <v>7579.8</v>
      </c>
      <c r="P58" t="n">
        <v>6071.4</v>
      </c>
      <c r="Q58" t="n">
        <v>7944.4</v>
      </c>
      <c r="R58" t="n">
        <v>9384.3</v>
      </c>
      <c r="S58" t="n">
        <v>11956.5</v>
      </c>
      <c r="T58" t="n">
        <v>10183.3</v>
      </c>
      <c r="U58" t="n">
        <v>7514.3</v>
      </c>
      <c r="V58" t="n">
        <v>5027.4</v>
      </c>
      <c r="W58" t="n">
        <v>4164.2</v>
      </c>
      <c r="X58" t="n">
        <v>3368</v>
      </c>
      <c r="Y58" t="n">
        <v>5042</v>
      </c>
      <c r="Z58" t="n">
        <v>5103.1</v>
      </c>
      <c r="AA58" t="n">
        <v>4256.8</v>
      </c>
      <c r="AB58" t="n">
        <v>5376</v>
      </c>
      <c r="AC58" t="n">
        <v>5129.4</v>
      </c>
      <c r="AD58" t="n">
        <v>5529.8</v>
      </c>
      <c r="AE58" t="n">
        <v>5873.2</v>
      </c>
      <c r="AF58" t="n">
        <v>7157.5</v>
      </c>
    </row>
    <row r="59">
      <c r="A59" t="s">
        <v>34</v>
      </c>
      <c r="B59" t="s">
        <v>388</v>
      </c>
      <c r="C59" t="s">
        <v>217</v>
      </c>
      <c r="D59" t="s">
        <v>389</v>
      </c>
      <c r="E59" t="s">
        <v>218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36</v>
      </c>
      <c r="B2" t="s">
        <v>197</v>
      </c>
      <c r="C2" t="s">
        <v>217</v>
      </c>
      <c r="D2" t="s">
        <v>199</v>
      </c>
      <c r="E2" t="s">
        <v>218</v>
      </c>
      <c r="F2"/>
      <c r="G2" t="n">
        <v>208.1</v>
      </c>
      <c r="H2" t="n">
        <v>251.7</v>
      </c>
      <c r="I2" t="n">
        <v>263</v>
      </c>
      <c r="J2" t="n">
        <v>300.4</v>
      </c>
      <c r="K2" t="n">
        <v>277.6</v>
      </c>
      <c r="L2" t="n">
        <v>284.4</v>
      </c>
      <c r="M2" t="n">
        <v>189.5</v>
      </c>
      <c r="N2" t="n">
        <v>229.5</v>
      </c>
      <c r="O2" t="n">
        <v>289</v>
      </c>
      <c r="P2" t="n">
        <v>336.4</v>
      </c>
      <c r="Q2" t="n">
        <v>428.7</v>
      </c>
      <c r="R2" t="n">
        <v>431</v>
      </c>
      <c r="S2" t="n">
        <v>533.7</v>
      </c>
      <c r="T2" t="n">
        <v>427.4</v>
      </c>
      <c r="U2" t="n">
        <v>260.8</v>
      </c>
      <c r="V2" t="n">
        <v>166.8</v>
      </c>
      <c r="W2" t="n">
        <v>164.5</v>
      </c>
      <c r="X2" t="n">
        <v>152.3</v>
      </c>
      <c r="Y2" t="n">
        <v>171</v>
      </c>
      <c r="Z2" t="n">
        <v>184.7</v>
      </c>
      <c r="AA2" t="n">
        <v>216.6</v>
      </c>
      <c r="AB2" t="n">
        <v>171.4</v>
      </c>
      <c r="AC2" t="n">
        <v>154.3</v>
      </c>
      <c r="AD2" t="n">
        <v>146.8</v>
      </c>
      <c r="AE2" t="n">
        <v>131.8</v>
      </c>
      <c r="AF2" t="n">
        <v>119</v>
      </c>
    </row>
    <row r="3">
      <c r="A3" t="s">
        <v>36</v>
      </c>
      <c r="B3" t="s">
        <v>276</v>
      </c>
      <c r="C3" t="s">
        <v>217</v>
      </c>
      <c r="D3" t="s">
        <v>277</v>
      </c>
      <c r="E3" t="s">
        <v>218</v>
      </c>
      <c r="F3"/>
      <c r="G3" t="n">
        <v>45</v>
      </c>
      <c r="H3" t="n">
        <v>52.1</v>
      </c>
      <c r="I3" t="n">
        <v>58.8</v>
      </c>
      <c r="J3" t="n">
        <v>64.7</v>
      </c>
      <c r="K3" t="n">
        <v>66.3</v>
      </c>
      <c r="L3" t="n">
        <v>28.3</v>
      </c>
      <c r="M3" t="n">
        <v>1.3</v>
      </c>
      <c r="N3" t="n">
        <v>2.8</v>
      </c>
      <c r="O3" t="n">
        <v>0.8</v>
      </c>
      <c r="P3" t="n">
        <v>23</v>
      </c>
      <c r="Q3" t="n">
        <v>24.9</v>
      </c>
      <c r="R3" t="n">
        <v>35.9</v>
      </c>
      <c r="S3" t="n">
        <v>136.3</v>
      </c>
      <c r="T3" t="n">
        <v>159.6</v>
      </c>
      <c r="U3" t="n">
        <v>132</v>
      </c>
      <c r="V3" t="n">
        <v>190.5</v>
      </c>
      <c r="W3" t="n">
        <v>121.9</v>
      </c>
      <c r="X3" t="n">
        <v>107.3</v>
      </c>
      <c r="Y3" t="n">
        <v>72.4</v>
      </c>
      <c r="Z3" t="n">
        <v>113.1</v>
      </c>
      <c r="AA3" t="n">
        <v>319.6</v>
      </c>
      <c r="AB3" t="n">
        <v>251.1</v>
      </c>
      <c r="AC3" t="n">
        <v>98.2</v>
      </c>
      <c r="AD3" t="n">
        <v>82.8</v>
      </c>
      <c r="AE3" t="n">
        <v>20.5</v>
      </c>
      <c r="AF3" t="n">
        <v>14.8</v>
      </c>
    </row>
    <row r="4">
      <c r="A4" t="s">
        <v>36</v>
      </c>
      <c r="B4" t="s">
        <v>278</v>
      </c>
      <c r="C4" t="s">
        <v>217</v>
      </c>
      <c r="D4" t="s">
        <v>279</v>
      </c>
      <c r="E4" t="s">
        <v>218</v>
      </c>
      <c r="F4"/>
      <c r="G4" t="n">
        <v>265.4</v>
      </c>
      <c r="H4" t="n">
        <v>307.4</v>
      </c>
      <c r="I4" t="n">
        <v>347</v>
      </c>
      <c r="J4" t="n">
        <v>381.8</v>
      </c>
      <c r="K4" t="n">
        <v>391.3</v>
      </c>
      <c r="L4" t="n">
        <v>521.4</v>
      </c>
      <c r="M4" t="n">
        <v>125.2</v>
      </c>
      <c r="N4" t="n">
        <v>381.1</v>
      </c>
      <c r="O4" t="n">
        <v>446.1</v>
      </c>
      <c r="P4" t="n">
        <v>336.7</v>
      </c>
      <c r="Q4" t="n">
        <v>855.8</v>
      </c>
      <c r="R4" t="n">
        <v>495.6</v>
      </c>
      <c r="S4" t="n">
        <v>521.1</v>
      </c>
      <c r="T4" t="n">
        <v>1376.7</v>
      </c>
      <c r="U4" t="n">
        <v>459.8</v>
      </c>
      <c r="V4" t="n">
        <v>364.8</v>
      </c>
      <c r="W4" t="n">
        <v>454.3</v>
      </c>
      <c r="X4" t="n">
        <v>221.5</v>
      </c>
      <c r="Y4" t="n">
        <v>311.7</v>
      </c>
      <c r="Z4" t="n">
        <v>291</v>
      </c>
      <c r="AA4" t="n">
        <v>289.7</v>
      </c>
      <c r="AB4" t="n">
        <v>228.6</v>
      </c>
      <c r="AC4" t="n">
        <v>357.3</v>
      </c>
      <c r="AD4" t="n">
        <v>275.2</v>
      </c>
      <c r="AE4" t="n">
        <v>297.5</v>
      </c>
      <c r="AF4" t="n">
        <v>558.7</v>
      </c>
    </row>
    <row r="5">
      <c r="A5" t="s">
        <v>36</v>
      </c>
      <c r="B5" t="s">
        <v>280</v>
      </c>
      <c r="C5" t="s">
        <v>217</v>
      </c>
      <c r="D5" t="s">
        <v>281</v>
      </c>
      <c r="E5" t="s">
        <v>218</v>
      </c>
      <c r="F5"/>
      <c r="G5" t="n">
        <v>64.3</v>
      </c>
      <c r="H5" t="n">
        <v>74.5</v>
      </c>
      <c r="I5" t="n">
        <v>84.1</v>
      </c>
      <c r="J5" t="n">
        <v>92.6</v>
      </c>
      <c r="K5" t="n">
        <v>94.8</v>
      </c>
      <c r="L5" t="n">
        <v>119.3</v>
      </c>
      <c r="M5" t="n">
        <v>32.7</v>
      </c>
      <c r="N5" t="n">
        <v>120.7</v>
      </c>
      <c r="O5" t="n">
        <v>160.1</v>
      </c>
      <c r="P5" t="n">
        <v>70.9</v>
      </c>
      <c r="Q5" t="n">
        <v>146.9</v>
      </c>
      <c r="R5" t="n">
        <v>114.5</v>
      </c>
      <c r="S5" t="n">
        <v>156.5</v>
      </c>
      <c r="T5" t="n">
        <v>274</v>
      </c>
      <c r="U5" t="n">
        <v>145.9</v>
      </c>
      <c r="V5" t="n">
        <v>76.5</v>
      </c>
      <c r="W5" t="n">
        <v>63.7</v>
      </c>
      <c r="X5" t="n">
        <v>71.2</v>
      </c>
      <c r="Y5" t="n">
        <v>120.1</v>
      </c>
      <c r="Z5" t="n">
        <v>140.6</v>
      </c>
      <c r="AA5" t="n">
        <v>123.9</v>
      </c>
      <c r="AB5" t="n">
        <v>97.8</v>
      </c>
      <c r="AC5" t="n">
        <v>142.9</v>
      </c>
      <c r="AD5" t="n">
        <v>100.3</v>
      </c>
      <c r="AE5" t="n">
        <v>108.9</v>
      </c>
      <c r="AF5" t="n">
        <v>156.7</v>
      </c>
    </row>
    <row r="6">
      <c r="A6" t="s">
        <v>36</v>
      </c>
      <c r="B6" t="s">
        <v>282</v>
      </c>
      <c r="C6" t="s">
        <v>217</v>
      </c>
      <c r="D6" t="s">
        <v>283</v>
      </c>
      <c r="E6" t="s">
        <v>218</v>
      </c>
      <c r="F6"/>
      <c r="G6" t="n">
        <v>26.9</v>
      </c>
      <c r="H6" t="n">
        <v>31.1</v>
      </c>
      <c r="I6" t="n">
        <v>35.1</v>
      </c>
      <c r="J6" t="n">
        <v>38.6</v>
      </c>
      <c r="K6" t="n">
        <v>39.6</v>
      </c>
      <c r="L6" t="n">
        <v>63.3</v>
      </c>
      <c r="M6" t="n">
        <v>12.3</v>
      </c>
      <c r="N6" t="n">
        <v>32.7</v>
      </c>
      <c r="O6" t="n">
        <v>33.2</v>
      </c>
      <c r="P6" t="n">
        <v>26.2</v>
      </c>
      <c r="Q6" t="n">
        <v>43.7</v>
      </c>
      <c r="R6" t="n">
        <v>70.3</v>
      </c>
      <c r="S6" t="n">
        <v>20.7</v>
      </c>
      <c r="T6" t="n">
        <v>69.2</v>
      </c>
      <c r="U6" t="n">
        <v>17.7</v>
      </c>
      <c r="V6" t="n">
        <v>30</v>
      </c>
      <c r="W6" t="n">
        <v>0.2</v>
      </c>
      <c r="X6" t="n">
        <v>5.9</v>
      </c>
      <c r="Y6" t="n">
        <v>15.9</v>
      </c>
      <c r="Z6" t="n">
        <v>6.9</v>
      </c>
      <c r="AA6" t="n">
        <v>9.7</v>
      </c>
      <c r="AB6" t="n">
        <v>7.7</v>
      </c>
      <c r="AC6" t="n">
        <v>8.5</v>
      </c>
      <c r="AD6" t="n">
        <v>6.3</v>
      </c>
      <c r="AE6" t="n">
        <v>16.1</v>
      </c>
      <c r="AF6" t="n">
        <v>11.6</v>
      </c>
    </row>
    <row r="7">
      <c r="A7" t="s">
        <v>36</v>
      </c>
      <c r="B7" t="s">
        <v>284</v>
      </c>
      <c r="C7" t="s">
        <v>217</v>
      </c>
      <c r="D7" t="s">
        <v>285</v>
      </c>
      <c r="E7" t="s">
        <v>218</v>
      </c>
      <c r="F7"/>
      <c r="G7" t="n">
        <v>28.8</v>
      </c>
      <c r="H7" t="n">
        <v>33.4</v>
      </c>
      <c r="I7" t="n">
        <v>37.7</v>
      </c>
      <c r="J7" t="n">
        <v>41.5</v>
      </c>
      <c r="K7" t="n">
        <v>42.5</v>
      </c>
      <c r="L7" t="n">
        <v>23.6</v>
      </c>
      <c r="M7" t="n">
        <v>9.8</v>
      </c>
      <c r="N7" t="n">
        <v>4.9</v>
      </c>
      <c r="O7" t="n">
        <v>78.2</v>
      </c>
      <c r="P7" t="n">
        <v>14.2</v>
      </c>
      <c r="Q7" t="n">
        <v>81.6</v>
      </c>
      <c r="R7" t="n">
        <v>56.4</v>
      </c>
      <c r="S7" t="n">
        <v>25.7</v>
      </c>
      <c r="T7" t="n">
        <v>39</v>
      </c>
      <c r="U7" t="n">
        <v>14.3</v>
      </c>
      <c r="V7" t="n">
        <v>18.7</v>
      </c>
      <c r="W7" t="n">
        <v>13.8</v>
      </c>
      <c r="X7" t="n">
        <v>8.5</v>
      </c>
      <c r="Y7" t="n">
        <v>25</v>
      </c>
      <c r="Z7" t="n">
        <v>16.6</v>
      </c>
      <c r="AA7" t="n">
        <v>22.8</v>
      </c>
      <c r="AB7" t="n">
        <v>18</v>
      </c>
      <c r="AC7" t="n">
        <v>11.2</v>
      </c>
      <c r="AD7" t="n">
        <v>10.3</v>
      </c>
      <c r="AE7" t="n">
        <v>13.3</v>
      </c>
      <c r="AF7" t="n">
        <v>15.8</v>
      </c>
    </row>
    <row r="8">
      <c r="A8" t="s">
        <v>36</v>
      </c>
      <c r="B8" t="s">
        <v>286</v>
      </c>
      <c r="C8" t="s">
        <v>217</v>
      </c>
      <c r="D8" t="s">
        <v>287</v>
      </c>
      <c r="E8" t="s">
        <v>218</v>
      </c>
      <c r="F8"/>
      <c r="G8" t="n">
        <v>5</v>
      </c>
      <c r="H8" t="n">
        <v>5.8</v>
      </c>
      <c r="I8" t="n">
        <v>6.5</v>
      </c>
      <c r="J8" t="n">
        <v>7.2</v>
      </c>
      <c r="K8" t="n">
        <v>7.3</v>
      </c>
      <c r="L8" t="n">
        <v>3.2</v>
      </c>
      <c r="M8" t="n">
        <v>1.2</v>
      </c>
      <c r="N8" t="n">
        <v>6.7</v>
      </c>
      <c r="O8" t="n">
        <v>9.2</v>
      </c>
      <c r="P8" t="n">
        <v>49.9</v>
      </c>
      <c r="Q8" t="n">
        <v>9</v>
      </c>
      <c r="R8" t="n">
        <v>8.1</v>
      </c>
      <c r="S8" t="n">
        <v>16.8</v>
      </c>
      <c r="T8" t="n">
        <v>412.9</v>
      </c>
      <c r="U8" t="n">
        <v>40.6</v>
      </c>
      <c r="V8" t="n">
        <v>39.5</v>
      </c>
      <c r="W8" t="n">
        <v>295</v>
      </c>
      <c r="X8" t="n">
        <v>24.2</v>
      </c>
      <c r="Y8" t="n">
        <v>9.1</v>
      </c>
      <c r="Z8" t="n">
        <v>14.7</v>
      </c>
      <c r="AA8" t="n">
        <v>4.4</v>
      </c>
      <c r="AB8" t="n">
        <v>3.4</v>
      </c>
      <c r="AC8" t="n">
        <v>20.1</v>
      </c>
      <c r="AD8" t="n">
        <v>12.6</v>
      </c>
      <c r="AE8" t="n">
        <v>9</v>
      </c>
      <c r="AF8" t="n">
        <v>129.3</v>
      </c>
    </row>
    <row r="9">
      <c r="A9" t="s">
        <v>36</v>
      </c>
      <c r="B9" t="s">
        <v>288</v>
      </c>
      <c r="C9" t="s">
        <v>217</v>
      </c>
      <c r="D9" t="s">
        <v>289</v>
      </c>
      <c r="E9" t="s">
        <v>218</v>
      </c>
      <c r="F9"/>
      <c r="G9" t="n">
        <v>26.1</v>
      </c>
      <c r="H9" t="n">
        <v>30.2</v>
      </c>
      <c r="I9" t="n">
        <v>34.1</v>
      </c>
      <c r="J9" t="n">
        <v>37.5</v>
      </c>
      <c r="K9" t="n">
        <v>38.5</v>
      </c>
      <c r="L9" t="n">
        <v>33.7</v>
      </c>
      <c r="M9" t="n">
        <v>8.4</v>
      </c>
      <c r="N9" t="n">
        <v>21.7</v>
      </c>
      <c r="O9" t="n">
        <v>17.1</v>
      </c>
      <c r="P9" t="n">
        <v>28.4</v>
      </c>
      <c r="Q9" t="n">
        <v>20.8</v>
      </c>
      <c r="R9" t="n">
        <v>23</v>
      </c>
      <c r="S9" t="n">
        <v>30.7</v>
      </c>
      <c r="T9" t="n">
        <v>30.3</v>
      </c>
      <c r="U9" t="n">
        <v>14.3</v>
      </c>
      <c r="V9" t="n">
        <v>22.2</v>
      </c>
      <c r="W9" t="n">
        <v>7.6</v>
      </c>
      <c r="X9" t="n">
        <v>29.1</v>
      </c>
      <c r="Y9" t="n">
        <v>13.6</v>
      </c>
      <c r="Z9" t="n">
        <v>-5.8</v>
      </c>
      <c r="AA9" t="n">
        <v>16.1</v>
      </c>
      <c r="AB9" t="n">
        <v>12.8</v>
      </c>
      <c r="AC9" t="n">
        <v>18</v>
      </c>
      <c r="AD9" t="n">
        <v>23.1</v>
      </c>
      <c r="AE9" t="n">
        <v>14.4</v>
      </c>
      <c r="AF9" t="n">
        <v>24.2</v>
      </c>
    </row>
    <row r="10">
      <c r="A10" t="s">
        <v>36</v>
      </c>
      <c r="B10" t="s">
        <v>290</v>
      </c>
      <c r="C10" t="s">
        <v>217</v>
      </c>
      <c r="D10" t="s">
        <v>291</v>
      </c>
      <c r="E10" t="s">
        <v>218</v>
      </c>
      <c r="F10"/>
      <c r="G10" t="n">
        <v>35.7</v>
      </c>
      <c r="H10" t="n">
        <v>41.3</v>
      </c>
      <c r="I10" t="n">
        <v>46.7</v>
      </c>
      <c r="J10" t="n">
        <v>51.3</v>
      </c>
      <c r="K10" t="n">
        <v>52.7</v>
      </c>
      <c r="L10" t="n">
        <v>46.1</v>
      </c>
      <c r="M10" t="n">
        <v>11.5</v>
      </c>
      <c r="N10" t="n">
        <v>29.7</v>
      </c>
      <c r="O10" t="n">
        <v>23.4</v>
      </c>
      <c r="P10" t="n">
        <v>37.1</v>
      </c>
      <c r="Q10" t="n">
        <v>30</v>
      </c>
      <c r="R10" t="n">
        <v>35.3</v>
      </c>
      <c r="S10" t="n">
        <v>48.9</v>
      </c>
      <c r="T10" t="n">
        <v>99.3</v>
      </c>
      <c r="U10" t="n">
        <v>-1.5</v>
      </c>
      <c r="V10" t="n">
        <v>31</v>
      </c>
      <c r="W10" t="n">
        <v>10.5</v>
      </c>
      <c r="X10" t="n">
        <v>38.3</v>
      </c>
      <c r="Y10" t="n">
        <v>38.8</v>
      </c>
      <c r="Z10" t="n">
        <v>6</v>
      </c>
      <c r="AA10" t="n">
        <v>30.4</v>
      </c>
      <c r="AB10" t="n">
        <v>24.1</v>
      </c>
      <c r="AC10" t="n">
        <v>66</v>
      </c>
      <c r="AD10" t="n">
        <v>54.8</v>
      </c>
      <c r="AE10" t="n">
        <v>50.3</v>
      </c>
      <c r="AF10" t="n">
        <v>65.2</v>
      </c>
    </row>
    <row r="11">
      <c r="A11" t="s">
        <v>36</v>
      </c>
      <c r="B11" t="s">
        <v>292</v>
      </c>
      <c r="C11" t="s">
        <v>217</v>
      </c>
      <c r="D11" t="s">
        <v>293</v>
      </c>
      <c r="E11" t="s">
        <v>218</v>
      </c>
      <c r="F11"/>
      <c r="G11" t="n">
        <v>9.6</v>
      </c>
      <c r="H11" t="n">
        <v>11.1</v>
      </c>
      <c r="I11" t="n">
        <v>12.6</v>
      </c>
      <c r="J11" t="n">
        <v>13.8</v>
      </c>
      <c r="K11" t="n">
        <v>14.2</v>
      </c>
      <c r="L11" t="n">
        <v>12.4</v>
      </c>
      <c r="M11" t="n">
        <v>3.1</v>
      </c>
      <c r="N11" t="n">
        <v>8</v>
      </c>
      <c r="O11" t="n">
        <v>6.3</v>
      </c>
      <c r="P11" t="n">
        <v>8.7</v>
      </c>
      <c r="Q11" t="n">
        <v>9.2</v>
      </c>
      <c r="R11" t="n">
        <v>12.3</v>
      </c>
      <c r="S11" t="n">
        <v>18.2</v>
      </c>
      <c r="T11" t="n">
        <v>69</v>
      </c>
      <c r="U11" t="n">
        <v>-15.8</v>
      </c>
      <c r="V11" t="n">
        <v>8.8</v>
      </c>
      <c r="W11" t="n">
        <v>2.9</v>
      </c>
      <c r="X11" t="n">
        <v>9.2</v>
      </c>
      <c r="Y11" t="n">
        <v>25.2</v>
      </c>
      <c r="Z11" t="n">
        <v>11.8</v>
      </c>
      <c r="AA11" t="n">
        <v>14.3</v>
      </c>
      <c r="AB11" t="n">
        <v>11.3</v>
      </c>
      <c r="AC11" t="n">
        <v>48</v>
      </c>
      <c r="AD11" t="n">
        <v>31.7</v>
      </c>
      <c r="AE11" t="n">
        <v>35.9</v>
      </c>
      <c r="AF11" t="n">
        <v>41</v>
      </c>
    </row>
    <row r="12">
      <c r="A12" t="s">
        <v>36</v>
      </c>
      <c r="B12" t="s">
        <v>294</v>
      </c>
      <c r="C12" t="s">
        <v>217</v>
      </c>
      <c r="D12" t="s">
        <v>295</v>
      </c>
      <c r="E12" t="s">
        <v>218</v>
      </c>
      <c r="F12"/>
      <c r="G12" t="n">
        <v>26.2</v>
      </c>
      <c r="H12" t="n">
        <v>30.4</v>
      </c>
      <c r="I12" t="n">
        <v>34.3</v>
      </c>
      <c r="J12" t="n">
        <v>37.7</v>
      </c>
      <c r="K12" t="n">
        <v>38.7</v>
      </c>
      <c r="L12" t="n">
        <v>56.5</v>
      </c>
      <c r="M12" t="n">
        <v>14.4</v>
      </c>
      <c r="N12" t="n">
        <v>89.6</v>
      </c>
      <c r="O12" t="n">
        <v>38.7</v>
      </c>
      <c r="P12" t="n">
        <v>41.4</v>
      </c>
      <c r="Q12" t="n">
        <v>58.3</v>
      </c>
      <c r="R12" t="n">
        <v>69.9</v>
      </c>
      <c r="S12" t="n">
        <v>94.7</v>
      </c>
      <c r="T12" t="n">
        <v>210.1</v>
      </c>
      <c r="U12" t="n">
        <v>59.4</v>
      </c>
      <c r="V12" t="n">
        <v>40.9</v>
      </c>
      <c r="W12" t="n">
        <v>25.1</v>
      </c>
      <c r="X12" t="n">
        <v>40.2</v>
      </c>
      <c r="Y12" t="n">
        <v>26.3</v>
      </c>
      <c r="Z12" t="n">
        <v>26.6</v>
      </c>
      <c r="AA12" t="n">
        <v>27.5</v>
      </c>
      <c r="AB12" t="n">
        <v>21.8</v>
      </c>
      <c r="AC12" t="n">
        <v>26.1</v>
      </c>
      <c r="AD12" t="n">
        <v>26.2</v>
      </c>
      <c r="AE12" t="n">
        <v>25.6</v>
      </c>
      <c r="AF12" t="n">
        <v>31.2</v>
      </c>
    </row>
    <row r="13">
      <c r="A13" t="s">
        <v>36</v>
      </c>
      <c r="B13" t="s">
        <v>296</v>
      </c>
      <c r="C13" t="s">
        <v>217</v>
      </c>
      <c r="D13" t="s">
        <v>297</v>
      </c>
      <c r="E13" t="s">
        <v>218</v>
      </c>
      <c r="F13"/>
      <c r="G13" t="n">
        <v>50.6</v>
      </c>
      <c r="H13" t="n">
        <v>58.7</v>
      </c>
      <c r="I13" t="n">
        <v>66.2</v>
      </c>
      <c r="J13" t="n">
        <v>72.9</v>
      </c>
      <c r="K13" t="n">
        <v>74.7</v>
      </c>
      <c r="L13" t="n">
        <v>111.6</v>
      </c>
      <c r="M13" t="n">
        <v>20.9</v>
      </c>
      <c r="N13" t="n">
        <v>35.8</v>
      </c>
      <c r="O13" t="n">
        <v>55.2</v>
      </c>
      <c r="P13" t="n">
        <v>33.5</v>
      </c>
      <c r="Q13" t="n">
        <v>267.5</v>
      </c>
      <c r="R13" t="n">
        <v>61.2</v>
      </c>
      <c r="S13" t="n">
        <v>76.8</v>
      </c>
      <c r="T13" t="n">
        <v>136.4</v>
      </c>
      <c r="U13" t="n">
        <v>98.8</v>
      </c>
      <c r="V13" t="n">
        <v>84.9</v>
      </c>
      <c r="W13" t="n">
        <v>18.8</v>
      </c>
      <c r="X13" t="n">
        <v>33.7</v>
      </c>
      <c r="Y13" t="n">
        <v>21.4</v>
      </c>
      <c r="Z13" t="n">
        <v>29.2</v>
      </c>
      <c r="AA13" t="n">
        <v>22.8</v>
      </c>
      <c r="AB13" t="n">
        <v>17.8</v>
      </c>
      <c r="AC13" t="n">
        <v>51.9</v>
      </c>
      <c r="AD13" t="n">
        <v>17.7</v>
      </c>
      <c r="AE13" t="n">
        <v>39.7</v>
      </c>
      <c r="AF13" t="n">
        <v>105.1</v>
      </c>
    </row>
    <row r="14">
      <c r="A14" t="s">
        <v>36</v>
      </c>
      <c r="B14" t="s">
        <v>298</v>
      </c>
      <c r="C14" t="s">
        <v>217</v>
      </c>
      <c r="D14" t="s">
        <v>299</v>
      </c>
      <c r="E14" t="s">
        <v>218</v>
      </c>
      <c r="F14"/>
      <c r="G14" t="n">
        <v>1.7</v>
      </c>
      <c r="H14" t="n">
        <v>2</v>
      </c>
      <c r="I14" t="n">
        <v>2.2</v>
      </c>
      <c r="J14" t="n">
        <v>2.5</v>
      </c>
      <c r="K14" t="n">
        <v>2.5</v>
      </c>
      <c r="L14" t="n">
        <v>26.9</v>
      </c>
      <c r="M14" t="n">
        <v>2.2</v>
      </c>
      <c r="N14" t="n">
        <v>4.5</v>
      </c>
      <c r="O14" t="n">
        <v>16.4</v>
      </c>
      <c r="P14" t="n">
        <v>3.5</v>
      </c>
      <c r="Q14" t="n">
        <v>1.1</v>
      </c>
      <c r="R14" t="n">
        <v>3.6</v>
      </c>
      <c r="S14" t="n">
        <v>1.5</v>
      </c>
      <c r="T14" t="n">
        <v>1.4</v>
      </c>
      <c r="U14" t="n">
        <v>0.3</v>
      </c>
      <c r="V14" t="n">
        <v>7.9</v>
      </c>
      <c r="W14" t="n">
        <v>2.6</v>
      </c>
      <c r="X14" t="n">
        <v>2.8</v>
      </c>
      <c r="Y14" t="n">
        <v>2.2</v>
      </c>
      <c r="Z14" t="n">
        <v>0</v>
      </c>
      <c r="AA14" t="n">
        <v>1.5</v>
      </c>
      <c r="AB14" t="n">
        <v>1.2</v>
      </c>
      <c r="AC14" t="n">
        <v>1.5</v>
      </c>
      <c r="AD14" t="n">
        <v>2.2</v>
      </c>
      <c r="AE14" t="n">
        <v>1.4</v>
      </c>
      <c r="AF14" t="n">
        <v>1.5</v>
      </c>
    </row>
    <row r="15">
      <c r="A15" t="s">
        <v>36</v>
      </c>
      <c r="B15" t="s">
        <v>300</v>
      </c>
      <c r="C15" t="s">
        <v>217</v>
      </c>
      <c r="D15" t="s">
        <v>301</v>
      </c>
      <c r="E15" t="s">
        <v>218</v>
      </c>
      <c r="F15"/>
      <c r="G15" t="n">
        <v>15.4</v>
      </c>
      <c r="H15" t="n">
        <v>17.8</v>
      </c>
      <c r="I15" t="n">
        <v>20</v>
      </c>
      <c r="J15" t="n">
        <v>22.1</v>
      </c>
      <c r="K15" t="n">
        <v>22.6</v>
      </c>
      <c r="L15" t="n">
        <v>34.4</v>
      </c>
      <c r="M15" t="n">
        <v>7.8</v>
      </c>
      <c r="N15" t="n">
        <v>18.8</v>
      </c>
      <c r="O15" t="n">
        <v>30.6</v>
      </c>
      <c r="P15" t="n">
        <v>15.5</v>
      </c>
      <c r="Q15" t="n">
        <v>39.3</v>
      </c>
      <c r="R15" t="n">
        <v>21.1</v>
      </c>
      <c r="S15" t="n">
        <v>7.7</v>
      </c>
      <c r="T15" t="n">
        <v>25.7</v>
      </c>
      <c r="U15" t="n">
        <v>10.7</v>
      </c>
      <c r="V15" t="n">
        <v>10.7</v>
      </c>
      <c r="W15" t="n">
        <v>3.7</v>
      </c>
      <c r="X15" t="n">
        <v>1.6</v>
      </c>
      <c r="Y15" t="n">
        <v>24</v>
      </c>
      <c r="Z15" t="n">
        <v>7.5</v>
      </c>
      <c r="AA15" t="n">
        <v>8.1</v>
      </c>
      <c r="AB15" t="n">
        <v>6.4</v>
      </c>
      <c r="AC15" t="n">
        <v>17.6</v>
      </c>
      <c r="AD15" t="n">
        <v>33</v>
      </c>
      <c r="AE15" t="n">
        <v>14.4</v>
      </c>
      <c r="AF15" t="n">
        <v>15.9</v>
      </c>
    </row>
    <row r="16">
      <c r="A16" t="s">
        <v>36</v>
      </c>
      <c r="B16" t="s">
        <v>302</v>
      </c>
      <c r="C16" t="s">
        <v>217</v>
      </c>
      <c r="D16" t="s">
        <v>303</v>
      </c>
      <c r="E16" t="s">
        <v>218</v>
      </c>
      <c r="F16"/>
      <c r="G16" t="n">
        <v>13.7</v>
      </c>
      <c r="H16" t="n">
        <v>15.8</v>
      </c>
      <c r="I16" t="n">
        <v>17.8</v>
      </c>
      <c r="J16" t="n">
        <v>19.6</v>
      </c>
      <c r="K16" t="n">
        <v>20.1</v>
      </c>
      <c r="L16" t="n">
        <v>7.5</v>
      </c>
      <c r="M16" t="n">
        <v>5.6</v>
      </c>
      <c r="N16" t="n">
        <v>14.3</v>
      </c>
      <c r="O16" t="n">
        <v>14.2</v>
      </c>
      <c r="P16" t="n">
        <v>12</v>
      </c>
      <c r="Q16" t="n">
        <v>38.2</v>
      </c>
      <c r="R16" t="n">
        <v>17.5</v>
      </c>
      <c r="S16" t="n">
        <v>6.2</v>
      </c>
      <c r="T16" t="n">
        <v>24.3</v>
      </c>
      <c r="U16" t="n">
        <v>10.4</v>
      </c>
      <c r="V16" t="n">
        <v>2.8</v>
      </c>
      <c r="W16" t="n">
        <v>1.1</v>
      </c>
      <c r="X16" t="n">
        <v>-1.2</v>
      </c>
      <c r="Y16" t="n">
        <v>21.8</v>
      </c>
      <c r="Z16" t="n">
        <v>7.5</v>
      </c>
      <c r="AA16" t="n">
        <v>6.6</v>
      </c>
      <c r="AB16" t="n">
        <v>5.2</v>
      </c>
      <c r="AC16" t="n">
        <v>16.1</v>
      </c>
      <c r="AD16" t="n">
        <v>30.8</v>
      </c>
      <c r="AE16" t="n">
        <v>13</v>
      </c>
      <c r="AF16" t="n">
        <v>14.4</v>
      </c>
    </row>
    <row r="17">
      <c r="A17" t="s">
        <v>36</v>
      </c>
      <c r="B17" t="s">
        <v>304</v>
      </c>
      <c r="C17" t="s">
        <v>217</v>
      </c>
      <c r="D17" t="s">
        <v>305</v>
      </c>
      <c r="E17" t="s">
        <v>218</v>
      </c>
      <c r="F17"/>
      <c r="G17" t="n">
        <v>2.5</v>
      </c>
      <c r="H17" t="n">
        <v>2.9</v>
      </c>
      <c r="I17" t="n">
        <v>3.3</v>
      </c>
      <c r="J17" t="n">
        <v>3.6</v>
      </c>
      <c r="K17" t="n">
        <v>3.7</v>
      </c>
      <c r="L17" t="n">
        <v>5.4</v>
      </c>
      <c r="M17" t="n">
        <v>2.2</v>
      </c>
      <c r="N17" t="n">
        <v>5.8</v>
      </c>
      <c r="O17" t="n">
        <v>1.8</v>
      </c>
      <c r="P17" t="n">
        <v>5.7</v>
      </c>
      <c r="Q17" t="n">
        <v>85</v>
      </c>
      <c r="R17" t="n">
        <v>25.4</v>
      </c>
      <c r="S17" t="n">
        <v>31.1</v>
      </c>
      <c r="T17" t="n">
        <v>40.6</v>
      </c>
      <c r="U17" t="n">
        <v>13.2</v>
      </c>
      <c r="V17" t="n">
        <v>14.3</v>
      </c>
      <c r="W17" t="n">
        <v>12.5</v>
      </c>
      <c r="X17" t="n">
        <v>10.4</v>
      </c>
      <c r="Y17" t="n">
        <v>3.3</v>
      </c>
      <c r="Z17" t="n">
        <v>8.8</v>
      </c>
      <c r="AA17" t="n">
        <v>5.9</v>
      </c>
      <c r="AB17" t="n">
        <v>4.7</v>
      </c>
      <c r="AC17" t="n">
        <v>4.9</v>
      </c>
      <c r="AD17" t="n">
        <v>3.6</v>
      </c>
      <c r="AE17" t="n">
        <v>3.2</v>
      </c>
      <c r="AF17" t="n">
        <v>8.7</v>
      </c>
    </row>
    <row r="18">
      <c r="A18" t="s">
        <v>36</v>
      </c>
      <c r="B18" t="s">
        <v>306</v>
      </c>
      <c r="C18" t="s">
        <v>217</v>
      </c>
      <c r="D18" t="s">
        <v>307</v>
      </c>
      <c r="E18" t="s">
        <v>218</v>
      </c>
      <c r="F18"/>
      <c r="G18" t="n">
        <v>2.2</v>
      </c>
      <c r="H18" t="n">
        <v>2.5</v>
      </c>
      <c r="I18" t="n">
        <v>2.9</v>
      </c>
      <c r="J18" t="n">
        <v>3.1</v>
      </c>
      <c r="K18" t="n">
        <v>3.2</v>
      </c>
      <c r="L18" t="n">
        <v>20.8</v>
      </c>
      <c r="M18" t="n">
        <v>3</v>
      </c>
      <c r="N18" t="n">
        <v>4.6</v>
      </c>
      <c r="O18" t="n">
        <v>6.3</v>
      </c>
      <c r="P18" t="n">
        <v>23.4</v>
      </c>
      <c r="Q18" t="n">
        <v>28.2</v>
      </c>
      <c r="R18" t="n">
        <v>16</v>
      </c>
      <c r="S18" t="n">
        <v>11.8</v>
      </c>
      <c r="T18" t="n">
        <v>8.3</v>
      </c>
      <c r="U18" t="n">
        <v>-10.9</v>
      </c>
      <c r="V18" t="n">
        <v>0.8</v>
      </c>
      <c r="W18" t="n">
        <v>8</v>
      </c>
      <c r="X18" t="n">
        <v>0.2</v>
      </c>
      <c r="Y18" t="n">
        <v>4.9</v>
      </c>
      <c r="Z18" t="n">
        <v>3.2</v>
      </c>
      <c r="AA18" t="n">
        <v>6.8</v>
      </c>
      <c r="AB18" t="n">
        <v>5.4</v>
      </c>
      <c r="AC18" t="n">
        <v>4.1</v>
      </c>
      <c r="AD18" t="n">
        <v>1.9</v>
      </c>
      <c r="AE18" t="n">
        <v>9.6</v>
      </c>
      <c r="AF18" t="n">
        <v>8.5</v>
      </c>
    </row>
    <row r="19">
      <c r="A19" t="s">
        <v>36</v>
      </c>
      <c r="B19" t="s">
        <v>308</v>
      </c>
      <c r="C19" t="s">
        <v>217</v>
      </c>
      <c r="D19" t="s">
        <v>309</v>
      </c>
      <c r="E19" t="s">
        <v>218</v>
      </c>
      <c r="F19"/>
      <c r="G19" t="n">
        <v>7.8</v>
      </c>
      <c r="H19" t="n">
        <v>9</v>
      </c>
      <c r="I19" t="n">
        <v>10.2</v>
      </c>
      <c r="J19" t="n">
        <v>11.2</v>
      </c>
      <c r="K19" t="n">
        <v>11.5</v>
      </c>
      <c r="L19" t="n">
        <v>37.2</v>
      </c>
      <c r="M19" t="n">
        <v>9.4</v>
      </c>
      <c r="N19" t="n">
        <v>31.8</v>
      </c>
      <c r="O19" t="n">
        <v>9.4</v>
      </c>
      <c r="P19" t="n">
        <v>18.9</v>
      </c>
      <c r="Q19" t="n">
        <v>66.3</v>
      </c>
      <c r="R19" t="n">
        <v>17.4</v>
      </c>
      <c r="S19" t="n">
        <v>30.4</v>
      </c>
      <c r="T19" t="n">
        <v>61.2</v>
      </c>
      <c r="U19" t="n">
        <v>71.6</v>
      </c>
      <c r="V19" t="n">
        <v>17.5</v>
      </c>
      <c r="W19" t="n">
        <v>3</v>
      </c>
      <c r="X19" t="n">
        <v>-12.7</v>
      </c>
      <c r="Y19" t="n">
        <v>22.9</v>
      </c>
      <c r="Z19" t="n">
        <v>30.9</v>
      </c>
      <c r="AA19" t="n">
        <v>27.4</v>
      </c>
      <c r="AB19" t="n">
        <v>21.5</v>
      </c>
      <c r="AC19" t="n">
        <v>4</v>
      </c>
      <c r="AD19" t="n">
        <v>8.5</v>
      </c>
      <c r="AE19" t="n">
        <v>7.4</v>
      </c>
      <c r="AF19" t="n">
        <v>10.7</v>
      </c>
    </row>
    <row r="20">
      <c r="A20" t="s">
        <v>36</v>
      </c>
      <c r="B20" t="s">
        <v>310</v>
      </c>
      <c r="C20" t="s">
        <v>217</v>
      </c>
      <c r="D20" t="s">
        <v>311</v>
      </c>
      <c r="E20" t="s">
        <v>218</v>
      </c>
      <c r="F20"/>
      <c r="G20" t="n">
        <v>655.7</v>
      </c>
      <c r="H20" t="n">
        <v>759.8</v>
      </c>
      <c r="I20" t="n">
        <v>857.1</v>
      </c>
      <c r="J20" t="n">
        <v>943.5</v>
      </c>
      <c r="K20" t="n">
        <v>966.7</v>
      </c>
      <c r="L20" t="n">
        <v>822.9</v>
      </c>
      <c r="M20" t="n">
        <v>555.1</v>
      </c>
      <c r="N20" t="n">
        <v>667.2</v>
      </c>
      <c r="O20" t="n">
        <v>706.9</v>
      </c>
      <c r="P20" t="n">
        <v>715.7</v>
      </c>
      <c r="Q20" t="n">
        <v>689.6</v>
      </c>
      <c r="R20" t="n">
        <v>700.3</v>
      </c>
      <c r="S20" t="n">
        <v>935.2</v>
      </c>
      <c r="T20" t="n">
        <v>1045.6</v>
      </c>
      <c r="U20" t="n">
        <v>916.9</v>
      </c>
      <c r="V20" t="n">
        <v>67</v>
      </c>
      <c r="W20" t="n">
        <v>625.5</v>
      </c>
      <c r="X20" t="n">
        <v>337.8</v>
      </c>
      <c r="Y20" t="n">
        <v>624.4</v>
      </c>
      <c r="Z20" t="n">
        <v>276.3</v>
      </c>
      <c r="AA20" t="n">
        <v>798.6</v>
      </c>
      <c r="AB20" t="n">
        <v>629.3</v>
      </c>
      <c r="AC20" t="n">
        <v>32.9</v>
      </c>
      <c r="AD20" t="n">
        <v>35.4</v>
      </c>
      <c r="AE20" t="n">
        <v>42.3</v>
      </c>
      <c r="AF20" t="n">
        <v>147.8</v>
      </c>
    </row>
    <row r="21">
      <c r="A21" t="s">
        <v>36</v>
      </c>
      <c r="B21" t="s">
        <v>312</v>
      </c>
      <c r="C21" t="s">
        <v>217</v>
      </c>
      <c r="D21" t="s">
        <v>313</v>
      </c>
      <c r="E21" t="s">
        <v>218</v>
      </c>
      <c r="F21"/>
      <c r="G21" t="n">
        <v>678.5</v>
      </c>
      <c r="H21" t="n">
        <v>785.5</v>
      </c>
      <c r="I21" t="n">
        <v>886.8</v>
      </c>
      <c r="J21" t="n">
        <v>976</v>
      </c>
      <c r="K21" t="n">
        <v>1000.3</v>
      </c>
      <c r="L21" t="n">
        <v>876.9</v>
      </c>
      <c r="M21" t="n">
        <v>564.7</v>
      </c>
      <c r="N21" t="n">
        <v>747.9</v>
      </c>
      <c r="O21" t="n">
        <v>755.1</v>
      </c>
      <c r="P21" t="n">
        <v>876.2</v>
      </c>
      <c r="Q21" t="n">
        <v>841.7</v>
      </c>
      <c r="R21" t="n">
        <v>899.4</v>
      </c>
      <c r="S21" t="n">
        <v>1200.7</v>
      </c>
      <c r="T21" t="n">
        <v>1339.6</v>
      </c>
      <c r="U21" t="n">
        <v>1285.2</v>
      </c>
      <c r="V21" t="n">
        <v>230.6</v>
      </c>
      <c r="W21" t="n">
        <v>800.3</v>
      </c>
      <c r="X21" t="n">
        <v>573.8</v>
      </c>
      <c r="Y21" t="n">
        <v>983.5</v>
      </c>
      <c r="Z21" t="n">
        <v>596.7</v>
      </c>
      <c r="AA21" t="n">
        <v>1020.2</v>
      </c>
      <c r="AB21" t="n">
        <v>805.9</v>
      </c>
      <c r="AC21" t="n">
        <v>213.2</v>
      </c>
      <c r="AD21" t="n">
        <v>168.9</v>
      </c>
      <c r="AE21" t="n">
        <v>172.5</v>
      </c>
      <c r="AF21" t="n">
        <v>385.1</v>
      </c>
    </row>
    <row r="22">
      <c r="A22" t="s">
        <v>36</v>
      </c>
      <c r="B22" t="s">
        <v>314</v>
      </c>
      <c r="C22" t="s">
        <v>217</v>
      </c>
      <c r="D22" t="s">
        <v>315</v>
      </c>
      <c r="E22" t="s">
        <v>218</v>
      </c>
      <c r="F22"/>
      <c r="G22" t="n">
        <v>22.8</v>
      </c>
      <c r="H22" t="n">
        <v>25.7</v>
      </c>
      <c r="I22" t="n">
        <v>29.7</v>
      </c>
      <c r="J22" t="n">
        <v>32.5</v>
      </c>
      <c r="K22" t="n">
        <v>33.6</v>
      </c>
      <c r="L22" t="n">
        <v>54</v>
      </c>
      <c r="M22" t="n">
        <v>9.6</v>
      </c>
      <c r="N22" t="n">
        <v>80.7</v>
      </c>
      <c r="O22" t="n">
        <v>48.2</v>
      </c>
      <c r="P22" t="n">
        <v>160.5</v>
      </c>
      <c r="Q22" t="n">
        <v>152.1</v>
      </c>
      <c r="R22" t="n">
        <v>199.1</v>
      </c>
      <c r="S22" t="n">
        <v>265.5</v>
      </c>
      <c r="T22" t="n">
        <v>294</v>
      </c>
      <c r="U22" t="n">
        <v>368.3</v>
      </c>
      <c r="V22" t="n">
        <v>163.6</v>
      </c>
      <c r="W22" t="n">
        <v>174.8</v>
      </c>
      <c r="X22" t="n">
        <v>236</v>
      </c>
      <c r="Y22" t="n">
        <v>359.1</v>
      </c>
      <c r="Z22" t="n">
        <v>320.4</v>
      </c>
      <c r="AA22" t="n">
        <v>221.6</v>
      </c>
      <c r="AB22" t="n">
        <v>176.6</v>
      </c>
      <c r="AC22" t="n">
        <v>180.3</v>
      </c>
      <c r="AD22" t="n">
        <v>133.5</v>
      </c>
      <c r="AE22" t="n">
        <v>130.2</v>
      </c>
      <c r="AF22" t="n">
        <v>237.3</v>
      </c>
    </row>
    <row r="23">
      <c r="A23" t="s">
        <v>36</v>
      </c>
      <c r="B23" t="s">
        <v>316</v>
      </c>
      <c r="C23" t="s">
        <v>217</v>
      </c>
      <c r="D23" t="s">
        <v>317</v>
      </c>
      <c r="E23" t="s">
        <v>218</v>
      </c>
      <c r="F23"/>
      <c r="G23" t="n">
        <v>22.4</v>
      </c>
      <c r="H23" t="n">
        <v>26.1</v>
      </c>
      <c r="I23" t="n">
        <v>29.2</v>
      </c>
      <c r="J23" t="n">
        <v>32.2</v>
      </c>
      <c r="K23" t="n">
        <v>32.5</v>
      </c>
      <c r="L23" t="n">
        <v>133.2</v>
      </c>
      <c r="M23" t="n">
        <v>55</v>
      </c>
      <c r="N23" t="n">
        <v>296</v>
      </c>
      <c r="O23" t="n">
        <v>121.9</v>
      </c>
      <c r="P23" t="n">
        <v>243.1</v>
      </c>
      <c r="Q23" t="n">
        <v>109.9</v>
      </c>
      <c r="R23" t="n">
        <v>178.1</v>
      </c>
      <c r="S23" t="n">
        <v>71.3</v>
      </c>
      <c r="T23" t="n">
        <v>32.3</v>
      </c>
      <c r="U23" t="n">
        <v>21.5</v>
      </c>
      <c r="V23" t="n">
        <v>4.9</v>
      </c>
      <c r="W23" t="n">
        <v>324.6</v>
      </c>
      <c r="X23" t="n">
        <v>718.6</v>
      </c>
      <c r="Y23" t="n">
        <v>152.4</v>
      </c>
      <c r="Z23" t="n">
        <v>158</v>
      </c>
      <c r="AA23" t="n">
        <v>133.1</v>
      </c>
      <c r="AB23" t="n">
        <v>105.5</v>
      </c>
      <c r="AC23" t="n">
        <v>104.6</v>
      </c>
      <c r="AD23" t="n">
        <v>125.5</v>
      </c>
      <c r="AE23" t="n">
        <v>145.7</v>
      </c>
      <c r="AF23" t="n">
        <v>268.8</v>
      </c>
    </row>
    <row r="24">
      <c r="A24" t="s">
        <v>36</v>
      </c>
      <c r="B24" t="s">
        <v>318</v>
      </c>
      <c r="C24" t="s">
        <v>217</v>
      </c>
      <c r="D24" t="s">
        <v>319</v>
      </c>
      <c r="E24" t="s">
        <v>218</v>
      </c>
      <c r="F24"/>
      <c r="G24" t="n">
        <v>331.1</v>
      </c>
      <c r="H24" t="n">
        <v>383.5</v>
      </c>
      <c r="I24" t="n">
        <v>432.7</v>
      </c>
      <c r="J24" t="n">
        <v>476.4</v>
      </c>
      <c r="K24" t="n">
        <v>488.1</v>
      </c>
      <c r="L24" t="n">
        <v>112</v>
      </c>
      <c r="M24" t="n">
        <v>970.3</v>
      </c>
      <c r="N24" t="n">
        <v>237.8</v>
      </c>
      <c r="O24" t="n">
        <v>412</v>
      </c>
      <c r="P24" t="n">
        <v>676.2</v>
      </c>
      <c r="Q24" t="n">
        <v>469.2</v>
      </c>
      <c r="R24" t="n">
        <v>648</v>
      </c>
      <c r="S24" t="n">
        <v>1100.4</v>
      </c>
      <c r="T24" t="n">
        <v>723.8</v>
      </c>
      <c r="U24" t="n">
        <v>1051.5</v>
      </c>
      <c r="V24" t="n">
        <v>862.1</v>
      </c>
      <c r="W24" t="n">
        <v>713.2</v>
      </c>
      <c r="X24" t="n">
        <v>538.9</v>
      </c>
      <c r="Y24" t="n">
        <v>506.4</v>
      </c>
      <c r="Z24" t="n">
        <v>330.2</v>
      </c>
      <c r="AA24" t="n">
        <v>378.9</v>
      </c>
      <c r="AB24" t="n">
        <v>299.3</v>
      </c>
      <c r="AC24" t="n">
        <v>608.6</v>
      </c>
      <c r="AD24" t="n">
        <v>569.9</v>
      </c>
      <c r="AE24" t="n">
        <v>556.8</v>
      </c>
      <c r="AF24" t="n">
        <v>453.6</v>
      </c>
    </row>
    <row r="25">
      <c r="A25" t="s">
        <v>36</v>
      </c>
      <c r="B25" t="s">
        <v>320</v>
      </c>
      <c r="C25" t="s">
        <v>217</v>
      </c>
      <c r="D25" t="s">
        <v>321</v>
      </c>
      <c r="E25" t="s">
        <v>218</v>
      </c>
      <c r="F25"/>
      <c r="G25" t="n">
        <v>24.8</v>
      </c>
      <c r="H25" t="n">
        <v>28.7</v>
      </c>
      <c r="I25" t="n">
        <v>32.4</v>
      </c>
      <c r="J25" t="n">
        <v>35.7</v>
      </c>
      <c r="K25" t="n">
        <v>36.6</v>
      </c>
      <c r="L25" t="n">
        <v>9</v>
      </c>
      <c r="M25" t="n">
        <v>100.9</v>
      </c>
      <c r="N25" t="n">
        <v>29.4</v>
      </c>
      <c r="O25" t="n">
        <v>57.7</v>
      </c>
      <c r="P25" t="n">
        <v>157.4</v>
      </c>
      <c r="Q25" t="n">
        <v>60.6</v>
      </c>
      <c r="R25" t="n">
        <v>88.9</v>
      </c>
      <c r="S25" t="n">
        <v>99.8</v>
      </c>
      <c r="T25" t="n">
        <v>144.2</v>
      </c>
      <c r="U25" t="n">
        <v>214.9</v>
      </c>
      <c r="V25" t="n">
        <v>101.4</v>
      </c>
      <c r="W25" t="n">
        <v>62.8</v>
      </c>
      <c r="X25" t="n">
        <v>63</v>
      </c>
      <c r="Y25" t="n">
        <v>67.9</v>
      </c>
      <c r="Z25" t="n">
        <v>20.2</v>
      </c>
      <c r="AA25" t="n">
        <v>54.2</v>
      </c>
      <c r="AB25" t="n">
        <v>42.7</v>
      </c>
      <c r="AC25" t="n">
        <v>123.5</v>
      </c>
      <c r="AD25" t="n">
        <v>71.3</v>
      </c>
      <c r="AE25" t="n">
        <v>75.2</v>
      </c>
      <c r="AF25" t="n">
        <v>30.2</v>
      </c>
    </row>
    <row r="26">
      <c r="A26" t="s">
        <v>36</v>
      </c>
      <c r="B26" t="s">
        <v>322</v>
      </c>
      <c r="C26" t="s">
        <v>217</v>
      </c>
      <c r="D26" t="s">
        <v>323</v>
      </c>
      <c r="E26" t="s">
        <v>218</v>
      </c>
      <c r="F26"/>
      <c r="G26" t="n">
        <v>138.7</v>
      </c>
      <c r="H26" t="n">
        <v>160.7</v>
      </c>
      <c r="I26" t="n">
        <v>181.3</v>
      </c>
      <c r="J26" t="n">
        <v>199.6</v>
      </c>
      <c r="K26" t="n">
        <v>204.5</v>
      </c>
      <c r="L26" t="n">
        <v>67.1</v>
      </c>
      <c r="M26" t="n">
        <v>493.1</v>
      </c>
      <c r="N26" t="n">
        <v>99.8</v>
      </c>
      <c r="O26" t="n">
        <v>233.2</v>
      </c>
      <c r="P26" t="n">
        <v>243.9</v>
      </c>
      <c r="Q26" t="n">
        <v>259.7</v>
      </c>
      <c r="R26" t="n">
        <v>268</v>
      </c>
      <c r="S26" t="n">
        <v>635.9</v>
      </c>
      <c r="T26" t="n">
        <v>412.8</v>
      </c>
      <c r="U26" t="n">
        <v>682</v>
      </c>
      <c r="V26" t="n">
        <v>441.8</v>
      </c>
      <c r="W26" t="n">
        <v>421.2</v>
      </c>
      <c r="X26" t="n">
        <v>252.1</v>
      </c>
      <c r="Y26" t="n">
        <v>162.4</v>
      </c>
      <c r="Z26" t="n">
        <v>144.2</v>
      </c>
      <c r="AA26" t="n">
        <v>133.1</v>
      </c>
      <c r="AB26" t="n">
        <v>104.9</v>
      </c>
      <c r="AC26" t="n">
        <v>206.2</v>
      </c>
      <c r="AD26" t="n">
        <v>205.9</v>
      </c>
      <c r="AE26" t="n">
        <v>256.5</v>
      </c>
      <c r="AF26" t="n">
        <v>200.6</v>
      </c>
    </row>
    <row r="27">
      <c r="A27" t="s">
        <v>36</v>
      </c>
      <c r="B27" t="s">
        <v>324</v>
      </c>
      <c r="C27" t="s">
        <v>217</v>
      </c>
      <c r="D27" t="s">
        <v>325</v>
      </c>
      <c r="E27" t="s">
        <v>218</v>
      </c>
      <c r="F27"/>
      <c r="G27" t="n">
        <v>167.6</v>
      </c>
      <c r="H27" t="n">
        <v>194.1</v>
      </c>
      <c r="I27" t="n">
        <v>219</v>
      </c>
      <c r="J27" t="n">
        <v>241.1</v>
      </c>
      <c r="K27" t="n">
        <v>247</v>
      </c>
      <c r="L27" t="n">
        <v>35.9</v>
      </c>
      <c r="M27" t="n">
        <v>376.3</v>
      </c>
      <c r="N27" t="n">
        <v>108.6</v>
      </c>
      <c r="O27" t="n">
        <v>121.1</v>
      </c>
      <c r="P27" t="n">
        <v>274.9</v>
      </c>
      <c r="Q27" t="n">
        <v>148.9</v>
      </c>
      <c r="R27" t="n">
        <v>291.1</v>
      </c>
      <c r="S27" t="n">
        <v>364.7</v>
      </c>
      <c r="T27" t="n">
        <v>166.8</v>
      </c>
      <c r="U27" t="n">
        <v>154.6</v>
      </c>
      <c r="V27" t="n">
        <v>318.9</v>
      </c>
      <c r="W27" t="n">
        <v>229.2</v>
      </c>
      <c r="X27" t="n">
        <v>223.8</v>
      </c>
      <c r="Y27" t="n">
        <v>276.1</v>
      </c>
      <c r="Z27" t="n">
        <v>165.8</v>
      </c>
      <c r="AA27" t="n">
        <v>191.6</v>
      </c>
      <c r="AB27" t="n">
        <v>151.7</v>
      </c>
      <c r="AC27" t="n">
        <v>278.9</v>
      </c>
      <c r="AD27" t="n">
        <v>292.7</v>
      </c>
      <c r="AE27" t="n">
        <v>225.1</v>
      </c>
      <c r="AF27" t="n">
        <v>222.8</v>
      </c>
    </row>
    <row r="28">
      <c r="A28" t="s">
        <v>36</v>
      </c>
      <c r="B28" t="s">
        <v>326</v>
      </c>
      <c r="C28" t="s">
        <v>217</v>
      </c>
      <c r="D28" t="s">
        <v>327</v>
      </c>
      <c r="E28" t="s">
        <v>218</v>
      </c>
      <c r="F28"/>
      <c r="G28" t="n">
        <v>487</v>
      </c>
      <c r="H28" t="n">
        <v>564.1</v>
      </c>
      <c r="I28" t="n">
        <v>636.3</v>
      </c>
      <c r="J28" t="n">
        <v>700.7</v>
      </c>
      <c r="K28" t="n">
        <v>717.9</v>
      </c>
      <c r="L28" t="n">
        <v>656.2</v>
      </c>
      <c r="M28" t="n">
        <v>1340.1</v>
      </c>
      <c r="N28" t="n">
        <v>1985.7</v>
      </c>
      <c r="O28" t="n">
        <v>2096.6</v>
      </c>
      <c r="P28" t="n">
        <v>548.6</v>
      </c>
      <c r="Q28" t="n">
        <v>531.8</v>
      </c>
      <c r="R28" t="n">
        <v>685.5</v>
      </c>
      <c r="S28" t="n">
        <v>805.4</v>
      </c>
      <c r="T28" t="n">
        <v>674.1</v>
      </c>
      <c r="U28" t="n">
        <v>830.2</v>
      </c>
      <c r="V28" t="n">
        <v>443.7</v>
      </c>
      <c r="W28" t="n">
        <v>427</v>
      </c>
      <c r="X28" t="n">
        <v>275.4</v>
      </c>
      <c r="Y28" t="n">
        <v>307.7</v>
      </c>
      <c r="Z28" t="n">
        <v>579.8</v>
      </c>
      <c r="AA28" t="n">
        <v>722.3</v>
      </c>
      <c r="AB28" t="n">
        <v>398.6</v>
      </c>
      <c r="AC28" t="n">
        <v>393.4</v>
      </c>
      <c r="AD28" t="n">
        <v>351.7</v>
      </c>
      <c r="AE28" t="n">
        <v>129.2</v>
      </c>
      <c r="AF28" t="n">
        <v>272.9</v>
      </c>
    </row>
    <row r="29">
      <c r="A29" t="s">
        <v>36</v>
      </c>
      <c r="B29" t="s">
        <v>328</v>
      </c>
      <c r="C29" t="s">
        <v>217</v>
      </c>
      <c r="D29" t="s">
        <v>329</v>
      </c>
      <c r="E29" t="s">
        <v>218</v>
      </c>
      <c r="F29"/>
      <c r="G29" t="n">
        <v>420.8</v>
      </c>
      <c r="H29" t="n">
        <v>487.5</v>
      </c>
      <c r="I29" t="n">
        <v>549.9</v>
      </c>
      <c r="J29" t="n">
        <v>605.4</v>
      </c>
      <c r="K29" t="n">
        <v>620.3</v>
      </c>
      <c r="L29" t="n">
        <v>394.1</v>
      </c>
      <c r="M29" t="n">
        <v>1165.7</v>
      </c>
      <c r="N29" t="n">
        <v>1860.6</v>
      </c>
      <c r="O29" t="n">
        <v>1915.6</v>
      </c>
      <c r="P29" t="n">
        <v>466.3</v>
      </c>
      <c r="Q29" t="n">
        <v>445</v>
      </c>
      <c r="R29" t="n">
        <v>651.8</v>
      </c>
      <c r="S29" t="n">
        <v>751.1</v>
      </c>
      <c r="T29" t="n">
        <v>634.6</v>
      </c>
      <c r="U29" t="n">
        <v>641.9</v>
      </c>
      <c r="V29" t="n">
        <v>329.9</v>
      </c>
      <c r="W29" t="n">
        <v>410.5</v>
      </c>
      <c r="X29" t="n">
        <v>225.1</v>
      </c>
      <c r="Y29" t="n">
        <v>251</v>
      </c>
      <c r="Z29" t="n">
        <v>495.5</v>
      </c>
      <c r="AA29" t="n">
        <v>661.2</v>
      </c>
      <c r="AB29" t="n">
        <v>350</v>
      </c>
      <c r="AC29" t="n">
        <v>212.3</v>
      </c>
      <c r="AD29" t="n">
        <v>154</v>
      </c>
      <c r="AE29" t="n">
        <v>116.9</v>
      </c>
      <c r="AF29" t="n">
        <v>202.5</v>
      </c>
    </row>
    <row r="30">
      <c r="A30" t="s">
        <v>36</v>
      </c>
      <c r="B30" t="s">
        <v>330</v>
      </c>
      <c r="C30" t="s">
        <v>217</v>
      </c>
      <c r="D30" t="s">
        <v>331</v>
      </c>
      <c r="E30" t="s">
        <v>218</v>
      </c>
      <c r="F30"/>
      <c r="G30" t="n">
        <v>0.2</v>
      </c>
      <c r="H30" t="n">
        <v>0.2</v>
      </c>
      <c r="I30" t="n">
        <v>0.2</v>
      </c>
      <c r="J30" t="n">
        <v>0.3</v>
      </c>
      <c r="K30" t="n">
        <v>0.3</v>
      </c>
      <c r="L30" t="n">
        <v>1</v>
      </c>
      <c r="M30" t="n">
        <v>0</v>
      </c>
      <c r="N30" t="n">
        <v>0</v>
      </c>
      <c r="O30" t="n">
        <v>0.2</v>
      </c>
      <c r="P30" t="n">
        <v>0.9</v>
      </c>
      <c r="Q30" t="n">
        <v>0</v>
      </c>
      <c r="R30" t="n">
        <v>0</v>
      </c>
      <c r="S30" t="n">
        <v>0</v>
      </c>
      <c r="T30" t="n">
        <v>0</v>
      </c>
      <c r="U30" t="n">
        <v>2.6</v>
      </c>
      <c r="V30" t="n">
        <v>11.2</v>
      </c>
      <c r="W30" t="n">
        <v>-1.1</v>
      </c>
      <c r="X30" t="n">
        <v>4.9</v>
      </c>
      <c r="Y30" t="n">
        <v>2.4</v>
      </c>
      <c r="Z30" t="n">
        <v>1.7</v>
      </c>
      <c r="AA30" t="n">
        <v>3.1</v>
      </c>
      <c r="AB30" t="n">
        <v>2.4</v>
      </c>
      <c r="AC30" t="n">
        <v>-0.3</v>
      </c>
      <c r="AD30" t="n">
        <v>-1.7</v>
      </c>
      <c r="AE30" t="n">
        <v>-2</v>
      </c>
      <c r="AF30" t="n">
        <v>-9</v>
      </c>
    </row>
    <row r="31">
      <c r="A31" t="s">
        <v>36</v>
      </c>
      <c r="B31" t="s">
        <v>332</v>
      </c>
      <c r="C31" t="s">
        <v>217</v>
      </c>
      <c r="D31" t="s">
        <v>333</v>
      </c>
      <c r="E31" t="s">
        <v>218</v>
      </c>
      <c r="F31"/>
      <c r="G31" t="n">
        <v>0.5</v>
      </c>
      <c r="H31" t="n">
        <v>0.6</v>
      </c>
      <c r="I31" t="n">
        <v>0.7</v>
      </c>
      <c r="J31" t="n">
        <v>0.8</v>
      </c>
      <c r="K31" t="n">
        <v>0.8</v>
      </c>
      <c r="L31" t="n">
        <v>9.9</v>
      </c>
      <c r="M31" t="n">
        <v>109.9</v>
      </c>
      <c r="N31" t="n">
        <v>1.9</v>
      </c>
      <c r="O31" t="n">
        <v>0.1</v>
      </c>
      <c r="P31" t="n">
        <v>0</v>
      </c>
      <c r="Q31" t="n">
        <v>0</v>
      </c>
      <c r="R31" t="n">
        <v>0.8</v>
      </c>
      <c r="S31" t="n">
        <v>0</v>
      </c>
      <c r="T31" t="n">
        <v>0</v>
      </c>
      <c r="U31" t="n">
        <v>0.7</v>
      </c>
      <c r="V31" t="n">
        <v>-0.7</v>
      </c>
      <c r="W31" t="n">
        <v>2.2</v>
      </c>
      <c r="X31" t="n">
        <v>2</v>
      </c>
      <c r="Y31" t="n">
        <v>5</v>
      </c>
      <c r="Z31" t="n">
        <v>-0.4</v>
      </c>
      <c r="AA31" t="n">
        <v>-0.5</v>
      </c>
      <c r="AB31" t="n">
        <v>-0.4</v>
      </c>
      <c r="AC31" t="n">
        <v>0.7</v>
      </c>
      <c r="AD31" t="n">
        <v>0.3</v>
      </c>
      <c r="AE31" t="n">
        <v>0.6</v>
      </c>
      <c r="AF31" t="n">
        <v>2</v>
      </c>
    </row>
    <row r="32">
      <c r="A32" t="s">
        <v>36</v>
      </c>
      <c r="B32" t="s">
        <v>334</v>
      </c>
      <c r="C32" t="s">
        <v>217</v>
      </c>
      <c r="D32" t="s">
        <v>335</v>
      </c>
      <c r="E32" t="s">
        <v>218</v>
      </c>
      <c r="F32"/>
      <c r="G32" t="n">
        <v>17.3</v>
      </c>
      <c r="H32" t="n">
        <v>20</v>
      </c>
      <c r="I32" t="n">
        <v>22.6</v>
      </c>
      <c r="J32" t="n">
        <v>24.9</v>
      </c>
      <c r="K32" t="n">
        <v>25.5</v>
      </c>
      <c r="L32" t="n">
        <v>50.5</v>
      </c>
      <c r="M32" t="n">
        <v>23.3</v>
      </c>
      <c r="N32" t="n">
        <v>78.9</v>
      </c>
      <c r="O32" t="n">
        <v>146.9</v>
      </c>
      <c r="P32" t="n">
        <v>81.1</v>
      </c>
      <c r="Q32" t="n">
        <v>76.9</v>
      </c>
      <c r="R32" t="n">
        <v>28</v>
      </c>
      <c r="S32" t="n">
        <v>53.5</v>
      </c>
      <c r="T32" t="n">
        <v>38.6</v>
      </c>
      <c r="U32" t="n">
        <v>182.8</v>
      </c>
      <c r="V32" t="n">
        <v>102</v>
      </c>
      <c r="W32" t="n">
        <v>14.2</v>
      </c>
      <c r="X32" t="n">
        <v>43.2</v>
      </c>
      <c r="Y32" t="n">
        <v>44.6</v>
      </c>
      <c r="Z32" t="n">
        <v>71.2</v>
      </c>
      <c r="AA32" t="n">
        <v>55.2</v>
      </c>
      <c r="AB32" t="n">
        <v>44</v>
      </c>
      <c r="AC32" t="n">
        <v>178.9</v>
      </c>
      <c r="AD32" t="n">
        <v>195.1</v>
      </c>
      <c r="AE32" t="n">
        <v>12.4</v>
      </c>
      <c r="AF32" t="n">
        <v>70.5</v>
      </c>
    </row>
    <row r="33">
      <c r="A33" t="s">
        <v>36</v>
      </c>
      <c r="B33" t="s">
        <v>336</v>
      </c>
      <c r="C33" t="s">
        <v>217</v>
      </c>
      <c r="D33" t="s">
        <v>337</v>
      </c>
      <c r="E33" t="s">
        <v>218</v>
      </c>
      <c r="F33"/>
      <c r="G33" t="n">
        <v>48.2</v>
      </c>
      <c r="H33" t="n">
        <v>55.8</v>
      </c>
      <c r="I33" t="n">
        <v>62.9</v>
      </c>
      <c r="J33" t="n">
        <v>69.3</v>
      </c>
      <c r="K33" t="n">
        <v>71</v>
      </c>
      <c r="L33" t="n">
        <v>200.7</v>
      </c>
      <c r="M33" t="n">
        <v>41.2</v>
      </c>
      <c r="N33" t="n">
        <v>44.3</v>
      </c>
      <c r="O33" t="n">
        <v>33.8</v>
      </c>
      <c r="P33" t="n">
        <v>0.3</v>
      </c>
      <c r="Q33" t="n">
        <v>9.9</v>
      </c>
      <c r="R33" t="n">
        <v>4.9</v>
      </c>
      <c r="S33" t="n">
        <v>0.8</v>
      </c>
      <c r="T33" t="n">
        <v>0.9</v>
      </c>
      <c r="U33" t="n">
        <v>2.2</v>
      </c>
      <c r="V33" t="n">
        <v>1.3</v>
      </c>
      <c r="W33" t="n">
        <v>1.2</v>
      </c>
      <c r="X33" t="n">
        <v>0.2</v>
      </c>
      <c r="Y33" t="n">
        <v>4.7</v>
      </c>
      <c r="Z33" t="n">
        <v>11.8</v>
      </c>
      <c r="AA33" t="n">
        <v>3.3</v>
      </c>
      <c r="AB33" t="n">
        <v>2.6</v>
      </c>
      <c r="AC33" t="n">
        <v>1.8</v>
      </c>
      <c r="AD33" t="n">
        <v>4</v>
      </c>
      <c r="AE33" t="n">
        <v>1.3</v>
      </c>
      <c r="AF33" t="n">
        <v>6.9</v>
      </c>
    </row>
    <row r="34">
      <c r="A34" t="s">
        <v>36</v>
      </c>
      <c r="B34" t="s">
        <v>338</v>
      </c>
      <c r="C34" t="s">
        <v>217</v>
      </c>
      <c r="D34" t="s">
        <v>339</v>
      </c>
      <c r="E34" t="s">
        <v>218</v>
      </c>
      <c r="F34"/>
      <c r="G34" t="n">
        <v>181.9</v>
      </c>
      <c r="H34" t="n">
        <v>211</v>
      </c>
      <c r="I34" t="n">
        <v>237.5</v>
      </c>
      <c r="J34" t="n">
        <v>261.8</v>
      </c>
      <c r="K34" t="n">
        <v>267.5</v>
      </c>
      <c r="L34" t="n">
        <v>242.4</v>
      </c>
      <c r="M34" t="n">
        <v>63.2</v>
      </c>
      <c r="N34" t="n">
        <v>356.7</v>
      </c>
      <c r="O34" t="n">
        <v>415.2</v>
      </c>
      <c r="P34" t="n">
        <v>143.1</v>
      </c>
      <c r="Q34" t="n">
        <v>214.2</v>
      </c>
      <c r="R34" t="n">
        <v>440.5</v>
      </c>
      <c r="S34" t="n">
        <v>564.1</v>
      </c>
      <c r="T34" t="n">
        <v>366.1</v>
      </c>
      <c r="U34" t="n">
        <v>434.4</v>
      </c>
      <c r="V34" t="n">
        <v>174.9</v>
      </c>
      <c r="W34" t="n">
        <v>101.9</v>
      </c>
      <c r="X34" t="n">
        <v>130.6</v>
      </c>
      <c r="Y34" t="n">
        <v>283.3</v>
      </c>
      <c r="Z34" t="n">
        <v>330.2</v>
      </c>
      <c r="AA34" t="n">
        <v>282.4</v>
      </c>
      <c r="AB34" t="n">
        <v>223.2</v>
      </c>
      <c r="AC34" t="n">
        <v>321.7</v>
      </c>
      <c r="AD34" t="n">
        <v>441.5</v>
      </c>
      <c r="AE34" t="n">
        <v>356.9</v>
      </c>
      <c r="AF34" t="n">
        <v>285.8</v>
      </c>
    </row>
    <row r="35">
      <c r="A35" t="s">
        <v>36</v>
      </c>
      <c r="B35" t="s">
        <v>340</v>
      </c>
      <c r="C35" t="s">
        <v>217</v>
      </c>
      <c r="D35" t="s">
        <v>341</v>
      </c>
      <c r="E35" t="s">
        <v>218</v>
      </c>
      <c r="F35"/>
      <c r="G35" t="n">
        <v>526.3</v>
      </c>
      <c r="H35" t="n">
        <v>609.7</v>
      </c>
      <c r="I35" t="n">
        <v>687.8</v>
      </c>
      <c r="J35" t="n">
        <v>757.2</v>
      </c>
      <c r="K35" t="n">
        <v>775.8</v>
      </c>
      <c r="L35" t="n">
        <v>2035</v>
      </c>
      <c r="M35" t="n">
        <v>533.8</v>
      </c>
      <c r="N35" t="n">
        <v>614.8</v>
      </c>
      <c r="O35" t="n">
        <v>548.8</v>
      </c>
      <c r="P35" t="n">
        <v>732.6</v>
      </c>
      <c r="Q35" t="n">
        <v>57.8</v>
      </c>
      <c r="R35" t="n">
        <v>65.3</v>
      </c>
      <c r="S35" t="n">
        <v>42</v>
      </c>
      <c r="T35" t="n">
        <v>24.1</v>
      </c>
      <c r="U35" t="n">
        <v>337.8</v>
      </c>
      <c r="V35" t="n">
        <v>313.5</v>
      </c>
      <c r="W35" t="n">
        <v>241.8</v>
      </c>
      <c r="X35" t="n">
        <v>103.1</v>
      </c>
      <c r="Y35" t="n">
        <v>172.1</v>
      </c>
      <c r="Z35" t="n">
        <v>222.7</v>
      </c>
      <c r="AA35" t="n">
        <v>263</v>
      </c>
      <c r="AB35" t="n">
        <v>207</v>
      </c>
      <c r="AC35" t="n">
        <v>318.5</v>
      </c>
      <c r="AD35" t="n">
        <v>257.1</v>
      </c>
      <c r="AE35" t="n">
        <v>259.8</v>
      </c>
      <c r="AF35" t="n">
        <v>29.8</v>
      </c>
    </row>
    <row r="36">
      <c r="A36" t="s">
        <v>36</v>
      </c>
      <c r="B36" t="s">
        <v>342</v>
      </c>
      <c r="C36" t="s">
        <v>217</v>
      </c>
      <c r="D36" t="s">
        <v>343</v>
      </c>
      <c r="E36" t="s">
        <v>218</v>
      </c>
      <c r="F36"/>
      <c r="G36" t="n">
        <v>52.6</v>
      </c>
      <c r="H36" t="n">
        <v>60.9</v>
      </c>
      <c r="I36" t="n">
        <v>68.7</v>
      </c>
      <c r="J36" t="n">
        <v>75.6</v>
      </c>
      <c r="K36" t="n">
        <v>77.5</v>
      </c>
      <c r="L36" t="n">
        <v>66.8</v>
      </c>
      <c r="M36" t="n">
        <v>122</v>
      </c>
      <c r="N36" t="n">
        <v>170.8</v>
      </c>
      <c r="O36" t="n">
        <v>207.6</v>
      </c>
      <c r="P36" t="n">
        <v>19.5</v>
      </c>
      <c r="Q36" t="n">
        <v>36.7</v>
      </c>
      <c r="R36" t="n">
        <v>36.8</v>
      </c>
      <c r="S36" t="n">
        <v>29.8</v>
      </c>
      <c r="T36" t="n">
        <v>20.7</v>
      </c>
      <c r="U36" t="n">
        <v>83.3</v>
      </c>
      <c r="V36" t="n">
        <v>97</v>
      </c>
      <c r="W36" t="n">
        <v>106.1</v>
      </c>
      <c r="X36" t="n">
        <v>26.6</v>
      </c>
      <c r="Y36" t="n">
        <v>36.5</v>
      </c>
      <c r="Z36" t="n">
        <v>57</v>
      </c>
      <c r="AA36" t="n">
        <v>24.7</v>
      </c>
      <c r="AB36" t="n">
        <v>19.8</v>
      </c>
      <c r="AC36" t="n">
        <v>6.4</v>
      </c>
      <c r="AD36" t="n">
        <v>6.1</v>
      </c>
      <c r="AE36" t="n">
        <v>31.3</v>
      </c>
      <c r="AF36" t="n">
        <v>5.5</v>
      </c>
    </row>
    <row r="37">
      <c r="A37" t="s">
        <v>36</v>
      </c>
      <c r="B37" t="s">
        <v>344</v>
      </c>
      <c r="C37" t="s">
        <v>217</v>
      </c>
      <c r="D37" t="s">
        <v>345</v>
      </c>
      <c r="E37" t="s">
        <v>218</v>
      </c>
      <c r="F37"/>
      <c r="G37" t="n">
        <v>470.8</v>
      </c>
      <c r="H37" t="n">
        <v>545.4</v>
      </c>
      <c r="I37" t="n">
        <v>615.3</v>
      </c>
      <c r="J37" t="n">
        <v>677.4</v>
      </c>
      <c r="K37" t="n">
        <v>694</v>
      </c>
      <c r="L37" t="n">
        <v>1962.7</v>
      </c>
      <c r="M37" t="n">
        <v>402.9</v>
      </c>
      <c r="N37" t="n">
        <v>433.2</v>
      </c>
      <c r="O37" t="n">
        <v>330.8</v>
      </c>
      <c r="P37" t="n">
        <v>701.3</v>
      </c>
      <c r="Q37" t="n">
        <v>6.6</v>
      </c>
      <c r="R37" t="n">
        <v>23.9</v>
      </c>
      <c r="S37" t="n">
        <v>3</v>
      </c>
      <c r="T37" t="n">
        <v>1.6</v>
      </c>
      <c r="U37" t="n">
        <v>196</v>
      </c>
      <c r="V37" t="n">
        <v>175</v>
      </c>
      <c r="W37" t="n">
        <v>117.7</v>
      </c>
      <c r="X37" t="n">
        <v>66.9</v>
      </c>
      <c r="Y37" t="n">
        <v>127.8</v>
      </c>
      <c r="Z37" t="n">
        <v>142</v>
      </c>
      <c r="AA37" t="n">
        <v>220.1</v>
      </c>
      <c r="AB37" t="n">
        <v>172.9</v>
      </c>
      <c r="AC37" t="n">
        <v>283.1</v>
      </c>
      <c r="AD37" t="n">
        <v>218</v>
      </c>
      <c r="AE37" t="n">
        <v>194.8</v>
      </c>
      <c r="AF37" t="n">
        <v>16.7</v>
      </c>
    </row>
    <row r="38">
      <c r="A38" t="s">
        <v>36</v>
      </c>
      <c r="B38" t="s">
        <v>346</v>
      </c>
      <c r="C38" t="s">
        <v>217</v>
      </c>
      <c r="D38" t="s">
        <v>347</v>
      </c>
      <c r="E38" t="s">
        <v>218</v>
      </c>
      <c r="F38"/>
      <c r="G38" t="n">
        <v>2.9</v>
      </c>
      <c r="H38" t="n">
        <v>3.4</v>
      </c>
      <c r="I38" t="n">
        <v>3.8</v>
      </c>
      <c r="J38" t="n">
        <v>4.2</v>
      </c>
      <c r="K38" t="n">
        <v>4.3</v>
      </c>
      <c r="L38" t="n">
        <v>5.5</v>
      </c>
      <c r="M38" t="n">
        <v>8.9</v>
      </c>
      <c r="N38" t="n">
        <v>10.8</v>
      </c>
      <c r="O38" t="n">
        <v>10.4</v>
      </c>
      <c r="P38" t="n">
        <v>11.8</v>
      </c>
      <c r="Q38" t="n">
        <v>14.5</v>
      </c>
      <c r="R38" t="n">
        <v>4.6</v>
      </c>
      <c r="S38" t="n">
        <v>9.2</v>
      </c>
      <c r="T38" t="n">
        <v>1.8</v>
      </c>
      <c r="U38" t="n">
        <v>58.5</v>
      </c>
      <c r="V38" t="n">
        <v>41.5</v>
      </c>
      <c r="W38" t="n">
        <v>18</v>
      </c>
      <c r="X38" t="n">
        <v>9.6</v>
      </c>
      <c r="Y38" t="n">
        <v>7.8</v>
      </c>
      <c r="Z38" t="n">
        <v>23.7</v>
      </c>
      <c r="AA38" t="n">
        <v>18.2</v>
      </c>
      <c r="AB38" t="n">
        <v>14.3</v>
      </c>
      <c r="AC38" t="n">
        <v>29</v>
      </c>
      <c r="AD38" t="n">
        <v>33</v>
      </c>
      <c r="AE38" t="n">
        <v>33.7</v>
      </c>
      <c r="AF38" t="n">
        <v>7.6</v>
      </c>
    </row>
    <row r="39">
      <c r="A39" t="s">
        <v>36</v>
      </c>
      <c r="B39" t="s">
        <v>348</v>
      </c>
      <c r="C39" t="s">
        <v>217</v>
      </c>
      <c r="D39" t="s">
        <v>349</v>
      </c>
      <c r="E39" t="s">
        <v>218</v>
      </c>
      <c r="F39"/>
      <c r="G39" t="n">
        <v>36.2</v>
      </c>
      <c r="H39" t="n">
        <v>41.8</v>
      </c>
      <c r="I39" t="n">
        <v>47.3</v>
      </c>
      <c r="J39" t="n">
        <v>52</v>
      </c>
      <c r="K39" t="n">
        <v>53.3</v>
      </c>
      <c r="L39" t="n">
        <v>53.5</v>
      </c>
      <c r="M39" t="n">
        <v>87.8</v>
      </c>
      <c r="N39" t="n">
        <v>29.3</v>
      </c>
      <c r="O39" t="n">
        <v>20</v>
      </c>
      <c r="P39" t="n">
        <v>73.2</v>
      </c>
      <c r="Q39" t="n">
        <v>118.5</v>
      </c>
      <c r="R39" t="n">
        <v>127.8</v>
      </c>
      <c r="S39" t="n">
        <v>97.2</v>
      </c>
      <c r="T39" t="n">
        <v>91.6</v>
      </c>
      <c r="U39" t="n">
        <v>451.7</v>
      </c>
      <c r="V39" t="n">
        <v>138.7</v>
      </c>
      <c r="W39" t="n">
        <v>38.6</v>
      </c>
      <c r="X39" t="n">
        <v>345.9</v>
      </c>
      <c r="Y39" t="n">
        <v>191</v>
      </c>
      <c r="Z39" t="n">
        <v>209.8</v>
      </c>
      <c r="AA39" t="n">
        <v>191.1</v>
      </c>
      <c r="AB39" t="n">
        <v>150</v>
      </c>
      <c r="AC39" t="n">
        <v>320.8</v>
      </c>
      <c r="AD39" t="n">
        <v>296.6</v>
      </c>
      <c r="AE39" t="n">
        <v>232</v>
      </c>
      <c r="AF39" t="n">
        <v>129.8</v>
      </c>
    </row>
    <row r="40">
      <c r="A40" t="s">
        <v>36</v>
      </c>
      <c r="B40" t="s">
        <v>350</v>
      </c>
      <c r="C40" t="s">
        <v>217</v>
      </c>
      <c r="D40" t="s">
        <v>351</v>
      </c>
      <c r="E40" t="s">
        <v>218</v>
      </c>
      <c r="F40"/>
      <c r="G40" t="n">
        <v>915.3</v>
      </c>
      <c r="H40" t="n">
        <v>1016.1</v>
      </c>
      <c r="I40" t="n">
        <v>1164.5</v>
      </c>
      <c r="J40" t="n">
        <v>1295.4</v>
      </c>
      <c r="K40" t="n">
        <v>1209.4</v>
      </c>
      <c r="L40" t="n">
        <v>1471.4</v>
      </c>
      <c r="M40" t="n">
        <v>1458.3</v>
      </c>
      <c r="N40" t="n">
        <v>1864.3</v>
      </c>
      <c r="O40" t="n">
        <v>2045.5</v>
      </c>
      <c r="P40" t="n">
        <v>2324.1</v>
      </c>
      <c r="Q40" t="n">
        <v>3007.4</v>
      </c>
      <c r="R40" t="n">
        <v>2920.1</v>
      </c>
      <c r="S40" t="n">
        <v>2456.4</v>
      </c>
      <c r="T40" t="n">
        <v>2288</v>
      </c>
      <c r="U40" t="n">
        <v>1034.8</v>
      </c>
      <c r="V40" t="n">
        <v>1512.6</v>
      </c>
      <c r="W40" t="n">
        <v>1093.7</v>
      </c>
      <c r="X40" t="n">
        <v>413.2</v>
      </c>
      <c r="Y40" t="n">
        <v>500.7</v>
      </c>
      <c r="Z40" t="n">
        <v>213.9</v>
      </c>
      <c r="AA40" t="n">
        <v>365.6</v>
      </c>
      <c r="AB40" t="n">
        <v>304.3</v>
      </c>
      <c r="AC40" t="n">
        <v>179</v>
      </c>
      <c r="AD40" t="n">
        <v>277.2</v>
      </c>
      <c r="AE40" t="n">
        <v>168.2</v>
      </c>
      <c r="AF40" t="n">
        <v>177.6</v>
      </c>
    </row>
    <row r="41">
      <c r="A41" t="s">
        <v>36</v>
      </c>
      <c r="B41" t="s">
        <v>352</v>
      </c>
      <c r="C41" t="s">
        <v>217</v>
      </c>
      <c r="D41" t="s">
        <v>353</v>
      </c>
      <c r="E41" t="s">
        <v>218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36</v>
      </c>
      <c r="B42" t="s">
        <v>354</v>
      </c>
      <c r="C42" t="s">
        <v>217</v>
      </c>
      <c r="D42" t="s">
        <v>355</v>
      </c>
      <c r="E42" t="s">
        <v>218</v>
      </c>
      <c r="F42"/>
      <c r="G42" t="n">
        <v>29.8</v>
      </c>
      <c r="H42" t="n">
        <v>34.6</v>
      </c>
      <c r="I42" t="n">
        <v>39</v>
      </c>
      <c r="J42" t="n">
        <v>42.9</v>
      </c>
      <c r="K42" t="n">
        <v>44</v>
      </c>
      <c r="L42" t="n">
        <v>58.1</v>
      </c>
      <c r="M42" t="n">
        <v>54.5</v>
      </c>
      <c r="N42" t="n">
        <v>86.4</v>
      </c>
      <c r="O42" t="n">
        <v>86.3</v>
      </c>
      <c r="P42" t="n">
        <v>94.8</v>
      </c>
      <c r="Q42" t="n">
        <v>96.4</v>
      </c>
      <c r="R42" t="n">
        <v>132.8</v>
      </c>
      <c r="S42" t="n">
        <v>224.8</v>
      </c>
      <c r="T42" t="n">
        <v>76.1</v>
      </c>
      <c r="U42" t="n">
        <v>86.3</v>
      </c>
      <c r="V42" t="n">
        <v>209.8</v>
      </c>
      <c r="W42" t="n">
        <v>114.9</v>
      </c>
      <c r="X42" t="n">
        <v>44.2</v>
      </c>
      <c r="Y42" t="n">
        <v>24.9</v>
      </c>
      <c r="Z42" t="n">
        <v>38.8</v>
      </c>
      <c r="AA42" t="n">
        <v>31.2</v>
      </c>
      <c r="AB42" t="n">
        <v>27.3</v>
      </c>
      <c r="AC42" t="n">
        <v>17.3</v>
      </c>
      <c r="AD42" t="n">
        <v>50.3</v>
      </c>
      <c r="AE42" t="n">
        <v>42</v>
      </c>
      <c r="AF42" t="n">
        <v>39.9</v>
      </c>
    </row>
    <row r="43">
      <c r="A43" t="s">
        <v>36</v>
      </c>
      <c r="B43" t="s">
        <v>356</v>
      </c>
      <c r="C43" t="s">
        <v>217</v>
      </c>
      <c r="D43" t="s">
        <v>357</v>
      </c>
      <c r="E43" t="s">
        <v>218</v>
      </c>
      <c r="F43"/>
      <c r="G43" t="n">
        <v>60.3</v>
      </c>
      <c r="H43" t="n">
        <v>70</v>
      </c>
      <c r="I43" t="n">
        <v>78.8</v>
      </c>
      <c r="J43" t="n">
        <v>86.7</v>
      </c>
      <c r="K43" t="n">
        <v>88.7</v>
      </c>
      <c r="L43" t="n">
        <v>127.5</v>
      </c>
      <c r="M43" t="n">
        <v>106.8</v>
      </c>
      <c r="N43" t="n">
        <v>203.4</v>
      </c>
      <c r="O43" t="n">
        <v>258.6</v>
      </c>
      <c r="P43" t="n">
        <v>102.9</v>
      </c>
      <c r="Q43" t="n">
        <v>115.6</v>
      </c>
      <c r="R43" t="n">
        <v>157</v>
      </c>
      <c r="S43" t="n">
        <v>237.4</v>
      </c>
      <c r="T43" t="n">
        <v>82</v>
      </c>
      <c r="U43" t="n">
        <v>566.3</v>
      </c>
      <c r="V43" t="n">
        <v>268.5</v>
      </c>
      <c r="W43" t="n">
        <v>143</v>
      </c>
      <c r="X43" t="n">
        <v>59.2</v>
      </c>
      <c r="Y43" t="n">
        <v>37.4</v>
      </c>
      <c r="Z43" t="n">
        <v>39.4</v>
      </c>
      <c r="AA43" t="n">
        <v>35</v>
      </c>
      <c r="AB43" t="n">
        <v>30.3</v>
      </c>
      <c r="AC43" t="n">
        <v>35.9</v>
      </c>
      <c r="AD43" t="n">
        <v>81.7</v>
      </c>
      <c r="AE43" t="n">
        <v>55.5</v>
      </c>
      <c r="AF43" t="n">
        <v>53.3</v>
      </c>
    </row>
    <row r="44">
      <c r="A44" t="s">
        <v>36</v>
      </c>
      <c r="B44" t="s">
        <v>358</v>
      </c>
      <c r="C44" t="s">
        <v>217</v>
      </c>
      <c r="D44" t="s">
        <v>359</v>
      </c>
      <c r="E44" t="s">
        <v>218</v>
      </c>
      <c r="F44"/>
      <c r="G44" t="n">
        <v>3000.8</v>
      </c>
      <c r="H44" t="n">
        <v>3486.6</v>
      </c>
      <c r="I44" t="n">
        <v>3912.4</v>
      </c>
      <c r="J44" t="n">
        <v>4318.1</v>
      </c>
      <c r="K44" t="n">
        <v>4392.7</v>
      </c>
      <c r="L44" t="n">
        <v>5199.9</v>
      </c>
      <c r="M44" t="n">
        <v>4344.9</v>
      </c>
      <c r="N44" t="n">
        <v>5484.5</v>
      </c>
      <c r="O44" t="n">
        <v>5693</v>
      </c>
      <c r="P44" t="n">
        <v>4373.5</v>
      </c>
      <c r="Q44" t="n">
        <v>4119</v>
      </c>
      <c r="R44" t="n">
        <v>4496.5</v>
      </c>
      <c r="S44" t="n">
        <v>5741.5</v>
      </c>
      <c r="T44" t="n">
        <v>6678.9</v>
      </c>
      <c r="U44" t="n">
        <v>5925.3</v>
      </c>
      <c r="V44" t="n">
        <v>3328.3</v>
      </c>
      <c r="W44" t="n">
        <v>3665.2</v>
      </c>
      <c r="X44" t="n">
        <v>3438.3</v>
      </c>
      <c r="Y44" t="n">
        <v>3441.1</v>
      </c>
      <c r="Z44" t="n">
        <v>3318.2</v>
      </c>
      <c r="AA44" t="n">
        <v>4066.2</v>
      </c>
      <c r="AB44" t="n">
        <v>3004</v>
      </c>
      <c r="AC44" t="n">
        <v>3007.7</v>
      </c>
      <c r="AD44" t="n">
        <v>2859.6</v>
      </c>
      <c r="AE44" t="n">
        <v>2420.7</v>
      </c>
      <c r="AF44" t="n">
        <v>2686.6</v>
      </c>
    </row>
    <row r="45">
      <c r="A45" t="s">
        <v>36</v>
      </c>
      <c r="B45" t="s">
        <v>360</v>
      </c>
      <c r="C45" t="s">
        <v>217</v>
      </c>
      <c r="D45" t="s">
        <v>361</v>
      </c>
      <c r="E45" t="s">
        <v>218</v>
      </c>
      <c r="F45"/>
      <c r="G45" t="n">
        <v>2792.7</v>
      </c>
      <c r="H45" t="n">
        <v>3234.9</v>
      </c>
      <c r="I45" t="n">
        <v>3649.4</v>
      </c>
      <c r="J45" t="n">
        <v>4017.7</v>
      </c>
      <c r="K45" t="n">
        <v>4115.1</v>
      </c>
      <c r="L45" t="n">
        <v>4915.5</v>
      </c>
      <c r="M45" t="n">
        <v>4155.4</v>
      </c>
      <c r="N45" t="n">
        <v>5255</v>
      </c>
      <c r="O45" t="n">
        <v>5404</v>
      </c>
      <c r="P45" t="n">
        <v>4037.1</v>
      </c>
      <c r="Q45" t="n">
        <v>3690.3</v>
      </c>
      <c r="R45" t="n">
        <v>4065.5</v>
      </c>
      <c r="S45" t="n">
        <v>5207.8</v>
      </c>
      <c r="T45" t="n">
        <v>6251.5</v>
      </c>
      <c r="U45" t="n">
        <v>5664.5</v>
      </c>
      <c r="V45" t="n">
        <v>3161.5</v>
      </c>
      <c r="W45" t="n">
        <v>3500.7</v>
      </c>
      <c r="X45" t="n">
        <v>3286</v>
      </c>
      <c r="Y45" t="n">
        <v>3270.1</v>
      </c>
      <c r="Z45" t="n">
        <v>3133.5</v>
      </c>
      <c r="AA45" t="n">
        <v>3849.6</v>
      </c>
      <c r="AB45" t="n">
        <v>2832.6</v>
      </c>
      <c r="AC45" t="n">
        <v>2853.4</v>
      </c>
      <c r="AD45" t="n">
        <v>2712.8</v>
      </c>
      <c r="AE45" t="n">
        <v>2288.9</v>
      </c>
      <c r="AF45" t="n">
        <v>2567.6</v>
      </c>
    </row>
    <row r="46">
      <c r="A46" t="s">
        <v>36</v>
      </c>
      <c r="B46" t="s">
        <v>362</v>
      </c>
      <c r="C46" t="s">
        <v>217</v>
      </c>
      <c r="D46" t="s">
        <v>363</v>
      </c>
      <c r="E46" t="s">
        <v>218</v>
      </c>
      <c r="F46"/>
      <c r="G46" t="n">
        <v>30.5</v>
      </c>
      <c r="H46" t="n">
        <v>35.4</v>
      </c>
      <c r="I46" t="n">
        <v>39.8</v>
      </c>
      <c r="J46" t="n">
        <v>43.8</v>
      </c>
      <c r="K46" t="n">
        <v>44.7</v>
      </c>
      <c r="L46" t="n">
        <v>69.4</v>
      </c>
      <c r="M46" t="n">
        <v>52.3</v>
      </c>
      <c r="N46" t="n">
        <v>117</v>
      </c>
      <c r="O46" t="n">
        <v>172.3</v>
      </c>
      <c r="P46" t="n">
        <v>8.1</v>
      </c>
      <c r="Q46" t="n">
        <v>19.2</v>
      </c>
      <c r="R46" t="n">
        <v>24.2</v>
      </c>
      <c r="S46" t="n">
        <v>12.6</v>
      </c>
      <c r="T46" t="n">
        <v>5.9</v>
      </c>
      <c r="U46" t="n">
        <v>480</v>
      </c>
      <c r="V46" t="n">
        <v>58.7</v>
      </c>
      <c r="W46" t="n">
        <v>28.1</v>
      </c>
      <c r="X46" t="n">
        <v>15</v>
      </c>
      <c r="Y46" t="n">
        <v>12.5</v>
      </c>
      <c r="Z46" t="n">
        <v>0.6</v>
      </c>
      <c r="AA46" t="n">
        <v>3.8</v>
      </c>
      <c r="AB46" t="n">
        <v>3</v>
      </c>
      <c r="AC46" t="n">
        <v>18.6</v>
      </c>
      <c r="AD46" t="n">
        <v>31.4</v>
      </c>
      <c r="AE46" t="n">
        <v>13.5</v>
      </c>
      <c r="AF46" t="n">
        <v>13.4</v>
      </c>
    </row>
    <row r="47">
      <c r="A47" t="s">
        <v>36</v>
      </c>
      <c r="B47" t="s">
        <v>364</v>
      </c>
      <c r="C47" t="s">
        <v>217</v>
      </c>
      <c r="D47" t="s">
        <v>365</v>
      </c>
      <c r="E47" t="s">
        <v>218</v>
      </c>
      <c r="F47"/>
      <c r="G47" t="n">
        <v>2118.7</v>
      </c>
      <c r="H47" t="n">
        <v>2462.6</v>
      </c>
      <c r="I47" t="n">
        <v>2802.5</v>
      </c>
      <c r="J47" t="n">
        <v>3070.1</v>
      </c>
      <c r="K47" t="n">
        <v>3423.7</v>
      </c>
      <c r="L47" t="n">
        <v>4337.4</v>
      </c>
      <c r="M47" t="n">
        <v>3860.5</v>
      </c>
      <c r="N47" t="n">
        <v>4111.4</v>
      </c>
      <c r="O47" t="n">
        <v>4233.9</v>
      </c>
      <c r="P47" t="n">
        <v>2742.6</v>
      </c>
      <c r="Q47" t="n">
        <v>3652.5</v>
      </c>
      <c r="R47" t="n">
        <v>4008.2</v>
      </c>
      <c r="S47" t="n">
        <v>4664.5</v>
      </c>
      <c r="T47" t="n">
        <v>4745.4</v>
      </c>
      <c r="U47" t="n">
        <v>3069.2</v>
      </c>
      <c r="V47" t="n">
        <v>2131.2</v>
      </c>
      <c r="W47" t="n">
        <v>2425.8</v>
      </c>
      <c r="X47" t="n">
        <v>3553.6</v>
      </c>
      <c r="Y47" t="n">
        <v>3167.8</v>
      </c>
      <c r="Z47" t="n">
        <v>3210.4</v>
      </c>
      <c r="AA47" t="n">
        <v>3656.5</v>
      </c>
      <c r="AB47" t="n">
        <v>4329.9</v>
      </c>
      <c r="AC47" t="n">
        <v>3118</v>
      </c>
      <c r="AD47" t="n">
        <v>1922.7</v>
      </c>
      <c r="AE47" t="n">
        <v>2188.5</v>
      </c>
      <c r="AF47" t="n">
        <v>2592.7</v>
      </c>
    </row>
    <row r="48">
      <c r="A48" t="s">
        <v>36</v>
      </c>
      <c r="B48" t="s">
        <v>366</v>
      </c>
      <c r="C48" t="s">
        <v>217</v>
      </c>
      <c r="D48" t="s">
        <v>367</v>
      </c>
      <c r="E48" t="s">
        <v>218</v>
      </c>
      <c r="F48"/>
      <c r="G48" t="n">
        <v>2530.3</v>
      </c>
      <c r="H48" t="n">
        <v>2939.6</v>
      </c>
      <c r="I48" t="n">
        <v>3340.2</v>
      </c>
      <c r="J48" t="n">
        <v>3662.3</v>
      </c>
      <c r="K48" t="n">
        <v>4029.8</v>
      </c>
      <c r="L48" t="n">
        <v>4881.9</v>
      </c>
      <c r="M48" t="n">
        <v>4206.2</v>
      </c>
      <c r="N48" t="n">
        <v>4939.3</v>
      </c>
      <c r="O48" t="n">
        <v>4672.2</v>
      </c>
      <c r="P48" t="n">
        <v>3251.1</v>
      </c>
      <c r="Q48" t="n">
        <v>4084.8</v>
      </c>
      <c r="R48" t="n">
        <v>4498</v>
      </c>
      <c r="S48" t="n">
        <v>5207.2</v>
      </c>
      <c r="T48" t="n">
        <v>5217.2</v>
      </c>
      <c r="U48" t="n">
        <v>3253</v>
      </c>
      <c r="V48" t="n">
        <v>2309.5</v>
      </c>
      <c r="W48" t="n">
        <v>2633.4</v>
      </c>
      <c r="X48" t="n">
        <v>3856.5</v>
      </c>
      <c r="Y48" t="n">
        <v>3368.1</v>
      </c>
      <c r="Z48" t="n">
        <v>3386.5</v>
      </c>
      <c r="AA48" t="n">
        <v>3814</v>
      </c>
      <c r="AB48" t="n">
        <v>4417.2</v>
      </c>
      <c r="AC48" t="n">
        <v>3211.6</v>
      </c>
      <c r="AD48" t="n">
        <v>2012.1</v>
      </c>
      <c r="AE48" t="n">
        <v>2293.8</v>
      </c>
      <c r="AF48" t="n">
        <v>2914.9</v>
      </c>
    </row>
    <row r="49">
      <c r="A49" t="s">
        <v>36</v>
      </c>
      <c r="B49" t="s">
        <v>368</v>
      </c>
      <c r="C49" t="s">
        <v>217</v>
      </c>
      <c r="D49" t="s">
        <v>369</v>
      </c>
      <c r="E49" t="s">
        <v>218</v>
      </c>
      <c r="F49"/>
      <c r="G49" t="n">
        <v>347.8</v>
      </c>
      <c r="H49" t="n">
        <v>403.1</v>
      </c>
      <c r="I49" t="n">
        <v>454.4</v>
      </c>
      <c r="J49" t="n">
        <v>500.4</v>
      </c>
      <c r="K49" t="n">
        <v>512.2</v>
      </c>
      <c r="L49" t="n">
        <v>452.8</v>
      </c>
      <c r="M49" t="n">
        <v>253</v>
      </c>
      <c r="N49" t="n">
        <v>542.7</v>
      </c>
      <c r="O49" t="n">
        <v>289</v>
      </c>
      <c r="P49" t="n">
        <v>362.6</v>
      </c>
      <c r="Q49" t="n">
        <v>344.8</v>
      </c>
      <c r="R49" t="n">
        <v>382.2</v>
      </c>
      <c r="S49" t="n">
        <v>409.2</v>
      </c>
      <c r="T49" t="n">
        <v>312.8</v>
      </c>
      <c r="U49" t="n">
        <v>149.5</v>
      </c>
      <c r="V49" t="n">
        <v>140.1</v>
      </c>
      <c r="W49" t="n">
        <v>175.5</v>
      </c>
      <c r="X49" t="n">
        <v>265.6</v>
      </c>
      <c r="Y49" t="n">
        <v>170.7</v>
      </c>
      <c r="Z49" t="n">
        <v>152.9</v>
      </c>
      <c r="AA49" t="n">
        <v>137.4</v>
      </c>
      <c r="AB49" t="n">
        <v>69.7</v>
      </c>
      <c r="AC49" t="n">
        <v>78</v>
      </c>
      <c r="AD49" t="n">
        <v>73.7</v>
      </c>
      <c r="AE49" t="n">
        <v>88.1</v>
      </c>
      <c r="AF49" t="n">
        <v>113.8</v>
      </c>
    </row>
    <row r="50">
      <c r="A50" t="s">
        <v>36</v>
      </c>
      <c r="B50" t="s">
        <v>370</v>
      </c>
      <c r="C50" t="s">
        <v>217</v>
      </c>
      <c r="D50" t="s">
        <v>371</v>
      </c>
      <c r="E50" t="s">
        <v>218</v>
      </c>
      <c r="F50"/>
      <c r="G50" t="n">
        <v>63.8</v>
      </c>
      <c r="H50" t="n">
        <v>73.9</v>
      </c>
      <c r="I50" t="n">
        <v>83.3</v>
      </c>
      <c r="J50" t="n">
        <v>91.8</v>
      </c>
      <c r="K50" t="n">
        <v>93.9</v>
      </c>
      <c r="L50" t="n">
        <v>91.8</v>
      </c>
      <c r="M50" t="n">
        <v>92.6</v>
      </c>
      <c r="N50" t="n">
        <v>285.3</v>
      </c>
      <c r="O50" t="n">
        <v>149.4</v>
      </c>
      <c r="P50" t="n">
        <v>145.9</v>
      </c>
      <c r="Q50" t="n">
        <v>87.4</v>
      </c>
      <c r="R50" t="n">
        <v>107.5</v>
      </c>
      <c r="S50" t="n">
        <v>133.6</v>
      </c>
      <c r="T50" t="n">
        <v>158.9</v>
      </c>
      <c r="U50" t="n">
        <v>34.4</v>
      </c>
      <c r="V50" t="n">
        <v>38.1</v>
      </c>
      <c r="W50" t="n">
        <v>32</v>
      </c>
      <c r="X50" t="n">
        <v>37.3</v>
      </c>
      <c r="Y50" t="n">
        <v>29.6</v>
      </c>
      <c r="Z50" t="n">
        <v>23.1</v>
      </c>
      <c r="AA50" t="n">
        <v>20.1</v>
      </c>
      <c r="AB50" t="n">
        <v>17.6</v>
      </c>
      <c r="AC50" t="n">
        <v>15.6</v>
      </c>
      <c r="AD50" t="n">
        <v>15.7</v>
      </c>
      <c r="AE50" t="n">
        <v>17.2</v>
      </c>
      <c r="AF50" t="n">
        <v>208.3</v>
      </c>
    </row>
    <row r="51">
      <c r="A51" t="s">
        <v>36</v>
      </c>
      <c r="B51" t="s">
        <v>372</v>
      </c>
      <c r="C51" t="s">
        <v>217</v>
      </c>
      <c r="D51" t="s">
        <v>373</v>
      </c>
      <c r="E51" t="s">
        <v>218</v>
      </c>
      <c r="F51"/>
      <c r="G51" t="n">
        <v>59.6</v>
      </c>
      <c r="H51" t="n">
        <v>69.1</v>
      </c>
      <c r="I51" t="n">
        <v>77.9</v>
      </c>
      <c r="J51" t="n">
        <v>85.8</v>
      </c>
      <c r="K51" t="n">
        <v>87.8</v>
      </c>
      <c r="L51" t="n">
        <v>85.8</v>
      </c>
      <c r="M51" t="n">
        <v>86.6</v>
      </c>
      <c r="N51" t="n">
        <v>266.7</v>
      </c>
      <c r="O51" t="n">
        <v>139.7</v>
      </c>
      <c r="P51" t="n">
        <v>53.9</v>
      </c>
      <c r="Q51" t="n">
        <v>33</v>
      </c>
      <c r="R51" t="n">
        <v>46.6</v>
      </c>
      <c r="S51" t="n">
        <v>57.3</v>
      </c>
      <c r="T51" t="n">
        <v>120</v>
      </c>
      <c r="U51" t="n">
        <v>21.5</v>
      </c>
      <c r="V51" t="n">
        <v>19.7</v>
      </c>
      <c r="W51" t="n">
        <v>16.6</v>
      </c>
      <c r="X51" t="n">
        <v>14.4</v>
      </c>
      <c r="Y51" t="n">
        <v>17.4</v>
      </c>
      <c r="Z51" t="n">
        <v>17</v>
      </c>
      <c r="AA51" t="n">
        <v>13.5</v>
      </c>
      <c r="AB51" t="n">
        <v>13.3</v>
      </c>
      <c r="AC51" t="n">
        <v>11</v>
      </c>
      <c r="AD51" t="n">
        <v>14.4</v>
      </c>
      <c r="AE51" t="n">
        <v>13.6</v>
      </c>
      <c r="AF51" t="n">
        <v>195.4</v>
      </c>
    </row>
    <row r="52">
      <c r="A52" t="s">
        <v>36</v>
      </c>
      <c r="B52" t="s">
        <v>374</v>
      </c>
      <c r="C52" t="s">
        <v>217</v>
      </c>
      <c r="D52" t="s">
        <v>375</v>
      </c>
      <c r="E52" t="s">
        <v>218</v>
      </c>
      <c r="F52"/>
      <c r="G52" t="n">
        <v>4.2</v>
      </c>
      <c r="H52" t="n">
        <v>4.8</v>
      </c>
      <c r="I52" t="n">
        <v>5.4</v>
      </c>
      <c r="J52" t="n">
        <v>6</v>
      </c>
      <c r="K52" t="n">
        <v>6.1</v>
      </c>
      <c r="L52" t="n">
        <v>6</v>
      </c>
      <c r="M52" t="n">
        <v>6</v>
      </c>
      <c r="N52" t="n">
        <v>18.6</v>
      </c>
      <c r="O52" t="n">
        <v>9.7</v>
      </c>
      <c r="P52" t="n">
        <v>92</v>
      </c>
      <c r="Q52" t="n">
        <v>54.4</v>
      </c>
      <c r="R52" t="n">
        <v>60.9</v>
      </c>
      <c r="S52" t="n">
        <v>76.3</v>
      </c>
      <c r="T52" t="n">
        <v>38.9</v>
      </c>
      <c r="U52" t="n">
        <v>12.9</v>
      </c>
      <c r="V52" t="n">
        <v>18.4</v>
      </c>
      <c r="W52" t="n">
        <v>15.4</v>
      </c>
      <c r="X52" t="n">
        <v>22.9</v>
      </c>
      <c r="Y52" t="n">
        <v>12.2</v>
      </c>
      <c r="Z52" t="n">
        <v>6.1</v>
      </c>
      <c r="AA52" t="n">
        <v>6.6</v>
      </c>
      <c r="AB52" t="n">
        <v>4.3</v>
      </c>
      <c r="AC52" t="n">
        <v>4.6</v>
      </c>
      <c r="AD52" t="n">
        <v>1.3</v>
      </c>
      <c r="AE52" t="n">
        <v>3.6</v>
      </c>
      <c r="AF52" t="n">
        <v>12.9</v>
      </c>
    </row>
    <row r="53">
      <c r="A53" t="s">
        <v>36</v>
      </c>
      <c r="B53" t="s">
        <v>376</v>
      </c>
      <c r="C53" t="s">
        <v>217</v>
      </c>
      <c r="D53" t="s">
        <v>377</v>
      </c>
      <c r="E53" t="s">
        <v>218</v>
      </c>
      <c r="F53"/>
      <c r="G53" t="n">
        <v>56.5</v>
      </c>
      <c r="H53" t="n">
        <v>65.5</v>
      </c>
      <c r="I53" t="n">
        <v>73.8</v>
      </c>
      <c r="J53" t="n">
        <v>81.3</v>
      </c>
      <c r="K53" t="n">
        <v>83.2</v>
      </c>
      <c r="L53" t="n">
        <v>96.9</v>
      </c>
      <c r="M53" t="n">
        <v>216.3</v>
      </c>
      <c r="N53" t="n">
        <v>322.1</v>
      </c>
      <c r="O53" t="n">
        <v>302.7</v>
      </c>
      <c r="P53" t="n">
        <v>228.4</v>
      </c>
      <c r="Q53" t="n">
        <v>255.6</v>
      </c>
      <c r="R53" t="n">
        <v>206.2</v>
      </c>
      <c r="S53" t="n">
        <v>253.1</v>
      </c>
      <c r="T53" t="n">
        <v>186.1</v>
      </c>
      <c r="U53" t="n">
        <v>82.2</v>
      </c>
      <c r="V53" t="n">
        <v>94.1</v>
      </c>
      <c r="W53" t="n">
        <v>87.3</v>
      </c>
      <c r="X53" t="n">
        <v>152.3</v>
      </c>
      <c r="Y53" t="n">
        <v>124.9</v>
      </c>
      <c r="Z53" t="n">
        <v>132</v>
      </c>
      <c r="AA53" t="n">
        <v>123.1</v>
      </c>
      <c r="AB53" t="n">
        <v>61.4</v>
      </c>
      <c r="AC53" t="n">
        <v>71.3</v>
      </c>
      <c r="AD53" t="n">
        <v>51.5</v>
      </c>
      <c r="AE53" t="n">
        <v>52.7</v>
      </c>
      <c r="AF53" t="n">
        <v>84.7</v>
      </c>
    </row>
    <row r="54">
      <c r="A54" t="s">
        <v>36</v>
      </c>
      <c r="B54" t="s">
        <v>378</v>
      </c>
      <c r="C54" t="s">
        <v>217</v>
      </c>
      <c r="D54" t="s">
        <v>379</v>
      </c>
      <c r="E54" t="s">
        <v>218</v>
      </c>
      <c r="F54"/>
      <c r="G54" t="n">
        <v>158.6</v>
      </c>
      <c r="H54" t="n">
        <v>183.7</v>
      </c>
      <c r="I54" t="n">
        <v>207.2</v>
      </c>
      <c r="J54" t="n">
        <v>228.2</v>
      </c>
      <c r="K54" t="n">
        <v>233.4</v>
      </c>
      <c r="L54" t="n">
        <v>129.1</v>
      </c>
      <c r="M54" t="n">
        <v>307.2</v>
      </c>
      <c r="N54" t="n">
        <v>399.5</v>
      </c>
      <c r="O54" t="n">
        <v>328.9</v>
      </c>
      <c r="P54" t="n">
        <v>281.5</v>
      </c>
      <c r="Q54" t="n">
        <v>350.9</v>
      </c>
      <c r="R54" t="n">
        <v>332.4</v>
      </c>
      <c r="S54" t="n">
        <v>431.9</v>
      </c>
      <c r="T54" t="n">
        <v>1381.6</v>
      </c>
      <c r="U54" t="n">
        <v>94.1</v>
      </c>
      <c r="V54" t="n">
        <v>169.3</v>
      </c>
      <c r="W54" t="n">
        <v>134.1</v>
      </c>
      <c r="X54" t="n">
        <v>211.7</v>
      </c>
      <c r="Y54" t="n">
        <v>252.2</v>
      </c>
      <c r="Z54" t="n">
        <v>262.6</v>
      </c>
      <c r="AA54" t="n">
        <v>214.3</v>
      </c>
      <c r="AB54" t="n">
        <v>133.1</v>
      </c>
      <c r="AC54" t="n">
        <v>81.2</v>
      </c>
      <c r="AD54" t="n">
        <v>61.9</v>
      </c>
      <c r="AE54" t="n">
        <v>62.5</v>
      </c>
      <c r="AF54" t="n">
        <v>115</v>
      </c>
    </row>
    <row r="55">
      <c r="A55" t="s">
        <v>36</v>
      </c>
      <c r="B55" t="s">
        <v>380</v>
      </c>
      <c r="C55" t="s">
        <v>217</v>
      </c>
      <c r="D55" t="s">
        <v>381</v>
      </c>
      <c r="E55" t="s">
        <v>218</v>
      </c>
      <c r="F55"/>
      <c r="G55" t="n">
        <v>102.1</v>
      </c>
      <c r="H55" t="n">
        <v>118.2</v>
      </c>
      <c r="I55" t="n">
        <v>133.4</v>
      </c>
      <c r="J55" t="n">
        <v>146.9</v>
      </c>
      <c r="K55" t="n">
        <v>150.2</v>
      </c>
      <c r="L55" t="n">
        <v>32.2</v>
      </c>
      <c r="M55" t="n">
        <v>90.9</v>
      </c>
      <c r="N55" t="n">
        <v>77.4</v>
      </c>
      <c r="O55" t="n">
        <v>26.2</v>
      </c>
      <c r="P55" t="n">
        <v>53.1</v>
      </c>
      <c r="Q55" t="n">
        <v>95.3</v>
      </c>
      <c r="R55" t="n">
        <v>126.2</v>
      </c>
      <c r="S55" t="n">
        <v>178.8</v>
      </c>
      <c r="T55" t="n">
        <v>1195.5</v>
      </c>
      <c r="U55" t="n">
        <v>11.9</v>
      </c>
      <c r="V55" t="n">
        <v>75.2</v>
      </c>
      <c r="W55" t="n">
        <v>46.8</v>
      </c>
      <c r="X55" t="n">
        <v>59.4</v>
      </c>
      <c r="Y55" t="n">
        <v>127.3</v>
      </c>
      <c r="Z55" t="n">
        <v>130.6</v>
      </c>
      <c r="AA55" t="n">
        <v>91.2</v>
      </c>
      <c r="AB55" t="n">
        <v>71.7</v>
      </c>
      <c r="AC55" t="n">
        <v>9.9</v>
      </c>
      <c r="AD55" t="n">
        <v>10.4</v>
      </c>
      <c r="AE55" t="n">
        <v>9.8</v>
      </c>
      <c r="AF55" t="n">
        <v>30.3</v>
      </c>
    </row>
    <row r="56">
      <c r="A56" t="s">
        <v>36</v>
      </c>
      <c r="B56" t="s">
        <v>382</v>
      </c>
      <c r="C56" t="s">
        <v>217</v>
      </c>
      <c r="D56" t="s">
        <v>383</v>
      </c>
      <c r="E56" t="s">
        <v>218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36</v>
      </c>
      <c r="B57" t="s">
        <v>384</v>
      </c>
      <c r="C57" t="s">
        <v>217</v>
      </c>
      <c r="D57" t="s">
        <v>385</v>
      </c>
      <c r="E57" t="s">
        <v>218</v>
      </c>
      <c r="F57"/>
      <c r="G57" t="n">
        <v>6446.4</v>
      </c>
      <c r="H57" t="n">
        <v>7442.3</v>
      </c>
      <c r="I57" t="n">
        <v>8417.1</v>
      </c>
      <c r="J57" t="n">
        <v>9275.8</v>
      </c>
      <c r="K57" t="n">
        <v>9631.9</v>
      </c>
      <c r="L57" t="n">
        <v>11553.3</v>
      </c>
      <c r="M57" t="n">
        <v>10009.3</v>
      </c>
      <c r="N57" t="n">
        <v>12288.2</v>
      </c>
      <c r="O57" t="n">
        <v>12410.8</v>
      </c>
      <c r="P57" t="n">
        <v>9948.7</v>
      </c>
      <c r="Q57" t="n">
        <v>11211.1</v>
      </c>
      <c r="R57" t="n">
        <v>11914.5</v>
      </c>
      <c r="S57" t="n">
        <v>13405.2</v>
      </c>
      <c r="T57" t="n">
        <v>14184</v>
      </c>
      <c r="U57" t="n">
        <v>10213.2</v>
      </c>
      <c r="V57" t="n">
        <v>7150.3</v>
      </c>
      <c r="W57" t="n">
        <v>7392.2</v>
      </c>
      <c r="X57" t="n">
        <v>7708</v>
      </c>
      <c r="Y57" t="n">
        <v>7309.9</v>
      </c>
      <c r="Z57" t="n">
        <v>6918.5</v>
      </c>
      <c r="AA57" t="n">
        <v>8245.8</v>
      </c>
      <c r="AB57" t="n">
        <v>7725.5</v>
      </c>
      <c r="AC57" t="n">
        <v>6398.3</v>
      </c>
      <c r="AD57" t="n">
        <v>5148.9</v>
      </c>
      <c r="AE57" t="n">
        <v>4882.7</v>
      </c>
      <c r="AF57" t="n">
        <v>5779</v>
      </c>
    </row>
    <row r="58">
      <c r="A58" t="s">
        <v>36</v>
      </c>
      <c r="B58" t="s">
        <v>386</v>
      </c>
      <c r="C58" t="s">
        <v>217</v>
      </c>
      <c r="D58" t="s">
        <v>387</v>
      </c>
      <c r="E58" t="s">
        <v>218</v>
      </c>
      <c r="F58"/>
      <c r="G58" t="n">
        <v>6446.4</v>
      </c>
      <c r="H58" t="n">
        <v>7442.3</v>
      </c>
      <c r="I58" t="n">
        <v>8417.1</v>
      </c>
      <c r="J58" t="n">
        <v>9275.8</v>
      </c>
      <c r="K58" t="n">
        <v>9631.9</v>
      </c>
      <c r="L58" t="n">
        <v>11553.3</v>
      </c>
      <c r="M58" t="n">
        <v>10009.3</v>
      </c>
      <c r="N58" t="n">
        <v>12288.2</v>
      </c>
      <c r="O58" t="n">
        <v>12410.8</v>
      </c>
      <c r="P58" t="n">
        <v>9948.7</v>
      </c>
      <c r="Q58" t="n">
        <v>11211.1</v>
      </c>
      <c r="R58" t="n">
        <v>11914.5</v>
      </c>
      <c r="S58" t="n">
        <v>13405.2</v>
      </c>
      <c r="T58" t="n">
        <v>14184</v>
      </c>
      <c r="U58" t="n">
        <v>10213.2</v>
      </c>
      <c r="V58" t="n">
        <v>7150.3</v>
      </c>
      <c r="W58" t="n">
        <v>7392.2</v>
      </c>
      <c r="X58" t="n">
        <v>7708</v>
      </c>
      <c r="Y58" t="n">
        <v>7309.9</v>
      </c>
      <c r="Z58" t="n">
        <v>6918.5</v>
      </c>
      <c r="AA58" t="n">
        <v>8245.8</v>
      </c>
      <c r="AB58" t="n">
        <v>7725.5</v>
      </c>
      <c r="AC58" t="n">
        <v>6398.3</v>
      </c>
      <c r="AD58" t="n">
        <v>5148.9</v>
      </c>
      <c r="AE58" t="n">
        <v>4882.7</v>
      </c>
      <c r="AF58" t="n">
        <v>5779</v>
      </c>
    </row>
    <row r="59">
      <c r="A59" t="s">
        <v>36</v>
      </c>
      <c r="B59" t="s">
        <v>388</v>
      </c>
      <c r="C59" t="s">
        <v>217</v>
      </c>
      <c r="D59" t="s">
        <v>389</v>
      </c>
      <c r="E59" t="s">
        <v>218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38</v>
      </c>
      <c r="B2" t="s">
        <v>197</v>
      </c>
      <c r="C2" t="s">
        <v>217</v>
      </c>
      <c r="D2" t="s">
        <v>199</v>
      </c>
      <c r="E2" t="s">
        <v>218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38</v>
      </c>
      <c r="B3" t="s">
        <v>276</v>
      </c>
      <c r="C3" t="s">
        <v>217</v>
      </c>
      <c r="D3" t="s">
        <v>277</v>
      </c>
      <c r="E3" t="s">
        <v>218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38</v>
      </c>
      <c r="B4" t="s">
        <v>278</v>
      </c>
      <c r="C4" t="s">
        <v>217</v>
      </c>
      <c r="D4" t="s">
        <v>279</v>
      </c>
      <c r="E4" t="s">
        <v>218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38</v>
      </c>
      <c r="B5" t="s">
        <v>280</v>
      </c>
      <c r="C5" t="s">
        <v>217</v>
      </c>
      <c r="D5" t="s">
        <v>281</v>
      </c>
      <c r="E5" t="s">
        <v>218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38</v>
      </c>
      <c r="B6" t="s">
        <v>282</v>
      </c>
      <c r="C6" t="s">
        <v>217</v>
      </c>
      <c r="D6" t="s">
        <v>283</v>
      </c>
      <c r="E6" t="s">
        <v>218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38</v>
      </c>
      <c r="B7" t="s">
        <v>284</v>
      </c>
      <c r="C7" t="s">
        <v>217</v>
      </c>
      <c r="D7" t="s">
        <v>285</v>
      </c>
      <c r="E7" t="s">
        <v>218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38</v>
      </c>
      <c r="B8" t="s">
        <v>286</v>
      </c>
      <c r="C8" t="s">
        <v>217</v>
      </c>
      <c r="D8" t="s">
        <v>287</v>
      </c>
      <c r="E8" t="s">
        <v>218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38</v>
      </c>
      <c r="B9" t="s">
        <v>288</v>
      </c>
      <c r="C9" t="s">
        <v>217</v>
      </c>
      <c r="D9" t="s">
        <v>289</v>
      </c>
      <c r="E9" t="s">
        <v>218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38</v>
      </c>
      <c r="B10" t="s">
        <v>290</v>
      </c>
      <c r="C10" t="s">
        <v>217</v>
      </c>
      <c r="D10" t="s">
        <v>291</v>
      </c>
      <c r="E10" t="s">
        <v>218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38</v>
      </c>
      <c r="B11" t="s">
        <v>292</v>
      </c>
      <c r="C11" t="s">
        <v>217</v>
      </c>
      <c r="D11" t="s">
        <v>293</v>
      </c>
      <c r="E11" t="s">
        <v>218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38</v>
      </c>
      <c r="B12" t="s">
        <v>294</v>
      </c>
      <c r="C12" t="s">
        <v>217</v>
      </c>
      <c r="D12" t="s">
        <v>295</v>
      </c>
      <c r="E12" t="s">
        <v>218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38</v>
      </c>
      <c r="B13" t="s">
        <v>296</v>
      </c>
      <c r="C13" t="s">
        <v>217</v>
      </c>
      <c r="D13" t="s">
        <v>297</v>
      </c>
      <c r="E13" t="s">
        <v>218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38</v>
      </c>
      <c r="B14" t="s">
        <v>298</v>
      </c>
      <c r="C14" t="s">
        <v>217</v>
      </c>
      <c r="D14" t="s">
        <v>299</v>
      </c>
      <c r="E14" t="s">
        <v>218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38</v>
      </c>
      <c r="B15" t="s">
        <v>300</v>
      </c>
      <c r="C15" t="s">
        <v>217</v>
      </c>
      <c r="D15" t="s">
        <v>301</v>
      </c>
      <c r="E15" t="s">
        <v>218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38</v>
      </c>
      <c r="B16" t="s">
        <v>302</v>
      </c>
      <c r="C16" t="s">
        <v>217</v>
      </c>
      <c r="D16" t="s">
        <v>303</v>
      </c>
      <c r="E16" t="s">
        <v>218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38</v>
      </c>
      <c r="B17" t="s">
        <v>304</v>
      </c>
      <c r="C17" t="s">
        <v>217</v>
      </c>
      <c r="D17" t="s">
        <v>305</v>
      </c>
      <c r="E17" t="s">
        <v>218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38</v>
      </c>
      <c r="B18" t="s">
        <v>306</v>
      </c>
      <c r="C18" t="s">
        <v>217</v>
      </c>
      <c r="D18" t="s">
        <v>307</v>
      </c>
      <c r="E18" t="s">
        <v>218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38</v>
      </c>
      <c r="B19" t="s">
        <v>308</v>
      </c>
      <c r="C19" t="s">
        <v>217</v>
      </c>
      <c r="D19" t="s">
        <v>309</v>
      </c>
      <c r="E19" t="s">
        <v>218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38</v>
      </c>
      <c r="B20" t="s">
        <v>310</v>
      </c>
      <c r="C20" t="s">
        <v>217</v>
      </c>
      <c r="D20" t="s">
        <v>311</v>
      </c>
      <c r="E20" t="s">
        <v>218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38</v>
      </c>
      <c r="B21" t="s">
        <v>312</v>
      </c>
      <c r="C21" t="s">
        <v>217</v>
      </c>
      <c r="D21" t="s">
        <v>313</v>
      </c>
      <c r="E21" t="s">
        <v>218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38</v>
      </c>
      <c r="B22" t="s">
        <v>314</v>
      </c>
      <c r="C22" t="s">
        <v>217</v>
      </c>
      <c r="D22" t="s">
        <v>315</v>
      </c>
      <c r="E22" t="s">
        <v>218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38</v>
      </c>
      <c r="B23" t="s">
        <v>316</v>
      </c>
      <c r="C23" t="s">
        <v>217</v>
      </c>
      <c r="D23" t="s">
        <v>317</v>
      </c>
      <c r="E23" t="s">
        <v>218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38</v>
      </c>
      <c r="B24" t="s">
        <v>318</v>
      </c>
      <c r="C24" t="s">
        <v>217</v>
      </c>
      <c r="D24" t="s">
        <v>319</v>
      </c>
      <c r="E24" t="s">
        <v>218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38</v>
      </c>
      <c r="B25" t="s">
        <v>320</v>
      </c>
      <c r="C25" t="s">
        <v>217</v>
      </c>
      <c r="D25" t="s">
        <v>321</v>
      </c>
      <c r="E25" t="s">
        <v>218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38</v>
      </c>
      <c r="B26" t="s">
        <v>322</v>
      </c>
      <c r="C26" t="s">
        <v>217</v>
      </c>
      <c r="D26" t="s">
        <v>323</v>
      </c>
      <c r="E26" t="s">
        <v>218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38</v>
      </c>
      <c r="B27" t="s">
        <v>324</v>
      </c>
      <c r="C27" t="s">
        <v>217</v>
      </c>
      <c r="D27" t="s">
        <v>325</v>
      </c>
      <c r="E27" t="s">
        <v>218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38</v>
      </c>
      <c r="B28" t="s">
        <v>326</v>
      </c>
      <c r="C28" t="s">
        <v>217</v>
      </c>
      <c r="D28" t="s">
        <v>327</v>
      </c>
      <c r="E28" t="s">
        <v>218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38</v>
      </c>
      <c r="B29" t="s">
        <v>328</v>
      </c>
      <c r="C29" t="s">
        <v>217</v>
      </c>
      <c r="D29" t="s">
        <v>329</v>
      </c>
      <c r="E29" t="s">
        <v>218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38</v>
      </c>
      <c r="B30" t="s">
        <v>330</v>
      </c>
      <c r="C30" t="s">
        <v>217</v>
      </c>
      <c r="D30" t="s">
        <v>331</v>
      </c>
      <c r="E30" t="s">
        <v>218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38</v>
      </c>
      <c r="B31" t="s">
        <v>332</v>
      </c>
      <c r="C31" t="s">
        <v>217</v>
      </c>
      <c r="D31" t="s">
        <v>333</v>
      </c>
      <c r="E31" t="s">
        <v>218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38</v>
      </c>
      <c r="B32" t="s">
        <v>334</v>
      </c>
      <c r="C32" t="s">
        <v>217</v>
      </c>
      <c r="D32" t="s">
        <v>335</v>
      </c>
      <c r="E32" t="s">
        <v>218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38</v>
      </c>
      <c r="B33" t="s">
        <v>336</v>
      </c>
      <c r="C33" t="s">
        <v>217</v>
      </c>
      <c r="D33" t="s">
        <v>337</v>
      </c>
      <c r="E33" t="s">
        <v>218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38</v>
      </c>
      <c r="B34" t="s">
        <v>338</v>
      </c>
      <c r="C34" t="s">
        <v>217</v>
      </c>
      <c r="D34" t="s">
        <v>339</v>
      </c>
      <c r="E34" t="s">
        <v>218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38</v>
      </c>
      <c r="B35" t="s">
        <v>340</v>
      </c>
      <c r="C35" t="s">
        <v>217</v>
      </c>
      <c r="D35" t="s">
        <v>341</v>
      </c>
      <c r="E35" t="s">
        <v>218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s">
        <v>38</v>
      </c>
      <c r="B36" t="s">
        <v>342</v>
      </c>
      <c r="C36" t="s">
        <v>217</v>
      </c>
      <c r="D36" t="s">
        <v>343</v>
      </c>
      <c r="E36" t="s">
        <v>218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38</v>
      </c>
      <c r="B37" t="s">
        <v>344</v>
      </c>
      <c r="C37" t="s">
        <v>217</v>
      </c>
      <c r="D37" t="s">
        <v>345</v>
      </c>
      <c r="E37" t="s">
        <v>218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38</v>
      </c>
      <c r="B38" t="s">
        <v>346</v>
      </c>
      <c r="C38" t="s">
        <v>217</v>
      </c>
      <c r="D38" t="s">
        <v>347</v>
      </c>
      <c r="E38" t="s">
        <v>218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38</v>
      </c>
      <c r="B39" t="s">
        <v>348</v>
      </c>
      <c r="C39" t="s">
        <v>217</v>
      </c>
      <c r="D39" t="s">
        <v>349</v>
      </c>
      <c r="E39" t="s">
        <v>218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38</v>
      </c>
      <c r="B40" t="s">
        <v>350</v>
      </c>
      <c r="C40" t="s">
        <v>217</v>
      </c>
      <c r="D40" t="s">
        <v>351</v>
      </c>
      <c r="E40" t="s">
        <v>218</v>
      </c>
      <c r="F40" t="n">
        <v>0</v>
      </c>
      <c r="G40" t="n">
        <v>8012.1</v>
      </c>
      <c r="H40" t="n">
        <v>7852</v>
      </c>
      <c r="I40" t="n">
        <v>10384.6</v>
      </c>
      <c r="J40" t="n">
        <v>11356.1</v>
      </c>
      <c r="K40" t="n">
        <v>12173.2</v>
      </c>
      <c r="L40" t="n">
        <v>11586.4</v>
      </c>
      <c r="M40" t="n">
        <v>12540.3</v>
      </c>
      <c r="N40" t="n">
        <v>15576.9</v>
      </c>
      <c r="O40" t="n">
        <v>18757.3</v>
      </c>
      <c r="P40" t="n">
        <v>17430.2</v>
      </c>
      <c r="Q40" t="n">
        <v>20605.7</v>
      </c>
      <c r="R40" t="n">
        <v>24837.7</v>
      </c>
      <c r="S40" t="n">
        <v>19168.8</v>
      </c>
      <c r="T40" t="n">
        <v>15775.7</v>
      </c>
      <c r="U40" t="n">
        <v>11628.7</v>
      </c>
      <c r="V40" t="n">
        <v>9966.1</v>
      </c>
      <c r="W40" t="n">
        <v>6182.3</v>
      </c>
      <c r="X40" t="n">
        <v>4233.3</v>
      </c>
      <c r="Y40" t="n">
        <v>1954</v>
      </c>
      <c r="Z40" t="n">
        <v>1403.1</v>
      </c>
      <c r="AA40" t="n">
        <v>1207.2</v>
      </c>
      <c r="AB40" t="n">
        <v>1092</v>
      </c>
      <c r="AC40" t="n">
        <v>1334.6</v>
      </c>
      <c r="AD40" t="n">
        <v>1508.1</v>
      </c>
      <c r="AE40" t="n">
        <v>1787.7</v>
      </c>
      <c r="AF40" t="n">
        <v>2354.4</v>
      </c>
    </row>
    <row r="41">
      <c r="A41" t="s">
        <v>38</v>
      </c>
      <c r="B41" t="s">
        <v>352</v>
      </c>
      <c r="C41" t="s">
        <v>217</v>
      </c>
      <c r="D41" t="s">
        <v>353</v>
      </c>
      <c r="E41" t="s">
        <v>218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38</v>
      </c>
      <c r="B42" t="s">
        <v>354</v>
      </c>
      <c r="C42" t="s">
        <v>217</v>
      </c>
      <c r="D42" t="s">
        <v>355</v>
      </c>
      <c r="E42" t="s">
        <v>218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38</v>
      </c>
      <c r="B43" t="s">
        <v>356</v>
      </c>
      <c r="C43" t="s">
        <v>217</v>
      </c>
      <c r="D43" t="s">
        <v>357</v>
      </c>
      <c r="E43" t="s">
        <v>218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38</v>
      </c>
      <c r="B44" t="s">
        <v>358</v>
      </c>
      <c r="C44" t="s">
        <v>217</v>
      </c>
      <c r="D44" t="s">
        <v>359</v>
      </c>
      <c r="E44" t="s">
        <v>218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</row>
    <row r="45">
      <c r="A45" t="s">
        <v>38</v>
      </c>
      <c r="B45" t="s">
        <v>360</v>
      </c>
      <c r="C45" t="s">
        <v>217</v>
      </c>
      <c r="D45" t="s">
        <v>361</v>
      </c>
      <c r="E45" t="s">
        <v>218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</row>
    <row r="46">
      <c r="A46" t="s">
        <v>38</v>
      </c>
      <c r="B46" t="s">
        <v>362</v>
      </c>
      <c r="C46" t="s">
        <v>217</v>
      </c>
      <c r="D46" t="s">
        <v>363</v>
      </c>
      <c r="E46" t="s">
        <v>218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38</v>
      </c>
      <c r="B47" t="s">
        <v>364</v>
      </c>
      <c r="C47" t="s">
        <v>217</v>
      </c>
      <c r="D47" t="s">
        <v>365</v>
      </c>
      <c r="E47" t="s">
        <v>218</v>
      </c>
      <c r="F47" t="n">
        <v>0</v>
      </c>
      <c r="G47" t="n">
        <v>68.7</v>
      </c>
      <c r="H47" t="n">
        <v>69.6</v>
      </c>
      <c r="I47" t="n">
        <v>59.6</v>
      </c>
      <c r="J47" t="n">
        <v>80.4</v>
      </c>
      <c r="K47" t="n">
        <v>80</v>
      </c>
      <c r="L47" t="n">
        <v>90.2</v>
      </c>
      <c r="M47" t="n">
        <v>96.6</v>
      </c>
      <c r="N47" t="n">
        <v>91.5</v>
      </c>
      <c r="O47" t="n">
        <v>76</v>
      </c>
      <c r="P47" t="n">
        <v>113.6</v>
      </c>
      <c r="Q47" t="n">
        <v>2.9</v>
      </c>
      <c r="R47" t="n">
        <v>3.1</v>
      </c>
      <c r="S47" t="n">
        <v>5.4</v>
      </c>
      <c r="T47" t="n">
        <v>6.1</v>
      </c>
      <c r="U47" t="n">
        <v>0</v>
      </c>
      <c r="V47" t="n">
        <v>0.3</v>
      </c>
      <c r="W47" t="n">
        <v>0.7</v>
      </c>
      <c r="X47" t="n">
        <v>1.2</v>
      </c>
      <c r="Y47" t="n">
        <v>0.3</v>
      </c>
      <c r="Z47" t="n">
        <v>0.3</v>
      </c>
      <c r="AA47" t="n">
        <v>0.2</v>
      </c>
      <c r="AB47" t="n">
        <v>0.1</v>
      </c>
      <c r="AC47" t="n">
        <v>0.1</v>
      </c>
      <c r="AD47" t="n">
        <v>0.1</v>
      </c>
      <c r="AE47" t="n">
        <v>0.1</v>
      </c>
      <c r="AF47" t="n">
        <v>0</v>
      </c>
    </row>
    <row r="48">
      <c r="A48" t="s">
        <v>38</v>
      </c>
      <c r="B48" t="s">
        <v>366</v>
      </c>
      <c r="C48" t="s">
        <v>217</v>
      </c>
      <c r="D48" t="s">
        <v>367</v>
      </c>
      <c r="E48" t="s">
        <v>218</v>
      </c>
      <c r="F48" t="n">
        <v>0</v>
      </c>
      <c r="G48" t="n">
        <v>68.7</v>
      </c>
      <c r="H48" t="n">
        <v>69.6</v>
      </c>
      <c r="I48" t="n">
        <v>59.6</v>
      </c>
      <c r="J48" t="n">
        <v>80.4</v>
      </c>
      <c r="K48" t="n">
        <v>80</v>
      </c>
      <c r="L48" t="n">
        <v>90.2</v>
      </c>
      <c r="M48" t="n">
        <v>96.6</v>
      </c>
      <c r="N48" t="n">
        <v>91.5</v>
      </c>
      <c r="O48" t="n">
        <v>76</v>
      </c>
      <c r="P48" t="n">
        <v>113.6</v>
      </c>
      <c r="Q48" t="n">
        <v>2.9</v>
      </c>
      <c r="R48" t="n">
        <v>3.1</v>
      </c>
      <c r="S48" t="n">
        <v>5.4</v>
      </c>
      <c r="T48" t="n">
        <v>6.1</v>
      </c>
      <c r="U48" t="n">
        <v>0</v>
      </c>
      <c r="V48" t="n">
        <v>0.3</v>
      </c>
      <c r="W48" t="n">
        <v>0.7</v>
      </c>
      <c r="X48" t="n">
        <v>1.2</v>
      </c>
      <c r="Y48" t="n">
        <v>0.3</v>
      </c>
      <c r="Z48" t="n">
        <v>0.3</v>
      </c>
      <c r="AA48" t="n">
        <v>0.2</v>
      </c>
      <c r="AB48" t="n">
        <v>0.1</v>
      </c>
      <c r="AC48" t="n">
        <v>0.1</v>
      </c>
      <c r="AD48" t="n">
        <v>0.1</v>
      </c>
      <c r="AE48" t="n">
        <v>0.1</v>
      </c>
      <c r="AF48" t="n">
        <v>0</v>
      </c>
    </row>
    <row r="49">
      <c r="A49" t="s">
        <v>38</v>
      </c>
      <c r="B49" t="s">
        <v>368</v>
      </c>
      <c r="C49" t="s">
        <v>217</v>
      </c>
      <c r="D49" t="s">
        <v>369</v>
      </c>
      <c r="E49" t="s">
        <v>218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38</v>
      </c>
      <c r="B50" t="s">
        <v>370</v>
      </c>
      <c r="C50" t="s">
        <v>217</v>
      </c>
      <c r="D50" t="s">
        <v>371</v>
      </c>
      <c r="E50" t="s">
        <v>218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38</v>
      </c>
      <c r="B51" t="s">
        <v>372</v>
      </c>
      <c r="C51" t="s">
        <v>217</v>
      </c>
      <c r="D51" t="s">
        <v>373</v>
      </c>
      <c r="E51" t="s">
        <v>218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38</v>
      </c>
      <c r="B52" t="s">
        <v>374</v>
      </c>
      <c r="C52" t="s">
        <v>217</v>
      </c>
      <c r="D52" t="s">
        <v>375</v>
      </c>
      <c r="E52" t="s">
        <v>218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38</v>
      </c>
      <c r="B53" t="s">
        <v>376</v>
      </c>
      <c r="C53" t="s">
        <v>217</v>
      </c>
      <c r="D53" t="s">
        <v>377</v>
      </c>
      <c r="E53" t="s">
        <v>218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38</v>
      </c>
      <c r="B54" t="s">
        <v>378</v>
      </c>
      <c r="C54" t="s">
        <v>217</v>
      </c>
      <c r="D54" t="s">
        <v>379</v>
      </c>
      <c r="E54" t="s">
        <v>218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s">
        <v>38</v>
      </c>
      <c r="B55" t="s">
        <v>380</v>
      </c>
      <c r="C55" t="s">
        <v>217</v>
      </c>
      <c r="D55" t="s">
        <v>381</v>
      </c>
      <c r="E55" t="s">
        <v>218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38</v>
      </c>
      <c r="B56" t="s">
        <v>382</v>
      </c>
      <c r="C56" t="s">
        <v>217</v>
      </c>
      <c r="D56" t="s">
        <v>383</v>
      </c>
      <c r="E56" t="s">
        <v>218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38</v>
      </c>
      <c r="B57" t="s">
        <v>384</v>
      </c>
      <c r="C57" t="s">
        <v>217</v>
      </c>
      <c r="D57" t="s">
        <v>385</v>
      </c>
      <c r="E57" t="s">
        <v>218</v>
      </c>
      <c r="F57" t="n">
        <v>0</v>
      </c>
      <c r="G57" t="n">
        <v>8080.8</v>
      </c>
      <c r="H57" t="n">
        <v>7921.6</v>
      </c>
      <c r="I57" t="n">
        <v>10444.2</v>
      </c>
      <c r="J57" t="n">
        <v>11436.5</v>
      </c>
      <c r="K57" t="n">
        <v>12253.2</v>
      </c>
      <c r="L57" t="n">
        <v>11676.6</v>
      </c>
      <c r="M57" t="n">
        <v>12636.9</v>
      </c>
      <c r="N57" t="n">
        <v>15668.4</v>
      </c>
      <c r="O57" t="n">
        <v>18833.3</v>
      </c>
      <c r="P57" t="n">
        <v>17543.8</v>
      </c>
      <c r="Q57" t="n">
        <v>20608.6</v>
      </c>
      <c r="R57" t="n">
        <v>24840.8</v>
      </c>
      <c r="S57" t="n">
        <v>19174.2</v>
      </c>
      <c r="T57" t="n">
        <v>15781.8</v>
      </c>
      <c r="U57" t="n">
        <v>11628.7</v>
      </c>
      <c r="V57" t="n">
        <v>9966.4</v>
      </c>
      <c r="W57" t="n">
        <v>6183</v>
      </c>
      <c r="X57" t="n">
        <v>4234.5</v>
      </c>
      <c r="Y57" t="n">
        <v>1954.3</v>
      </c>
      <c r="Z57" t="n">
        <v>1403.4</v>
      </c>
      <c r="AA57" t="n">
        <v>1207.4</v>
      </c>
      <c r="AB57" t="n">
        <v>1092.1</v>
      </c>
      <c r="AC57" t="n">
        <v>1334.7</v>
      </c>
      <c r="AD57" t="n">
        <v>1508.2</v>
      </c>
      <c r="AE57" t="n">
        <v>1787.8</v>
      </c>
      <c r="AF57" t="n">
        <v>2354.5</v>
      </c>
    </row>
    <row r="58">
      <c r="A58" t="s">
        <v>38</v>
      </c>
      <c r="B58" t="s">
        <v>386</v>
      </c>
      <c r="C58" t="s">
        <v>217</v>
      </c>
      <c r="D58" t="s">
        <v>387</v>
      </c>
      <c r="E58" t="s">
        <v>218</v>
      </c>
      <c r="F58" t="n">
        <v>0</v>
      </c>
      <c r="G58" t="n">
        <v>8080.8</v>
      </c>
      <c r="H58" t="n">
        <v>7921.6</v>
      </c>
      <c r="I58" t="n">
        <v>10444.2</v>
      </c>
      <c r="J58" t="n">
        <v>11436.5</v>
      </c>
      <c r="K58" t="n">
        <v>12253.2</v>
      </c>
      <c r="L58" t="n">
        <v>11676.6</v>
      </c>
      <c r="M58" t="n">
        <v>12636.9</v>
      </c>
      <c r="N58" t="n">
        <v>15668.4</v>
      </c>
      <c r="O58" t="n">
        <v>18833.3</v>
      </c>
      <c r="P58" t="n">
        <v>17543.8</v>
      </c>
      <c r="Q58" t="n">
        <v>20608.6</v>
      </c>
      <c r="R58" t="n">
        <v>24840.8</v>
      </c>
      <c r="S58" t="n">
        <v>19174.2</v>
      </c>
      <c r="T58" t="n">
        <v>15781.8</v>
      </c>
      <c r="U58" t="n">
        <v>11628.7</v>
      </c>
      <c r="V58" t="n">
        <v>9966.4</v>
      </c>
      <c r="W58" t="n">
        <v>6183</v>
      </c>
      <c r="X58" t="n">
        <v>4234.5</v>
      </c>
      <c r="Y58" t="n">
        <v>1954.3</v>
      </c>
      <c r="Z58" t="n">
        <v>1403.4</v>
      </c>
      <c r="AA58" t="n">
        <v>1207.4</v>
      </c>
      <c r="AB58" t="n">
        <v>1092.1</v>
      </c>
      <c r="AC58" t="n">
        <v>1334.7</v>
      </c>
      <c r="AD58" t="n">
        <v>1508.2</v>
      </c>
      <c r="AE58" t="n">
        <v>1787.8</v>
      </c>
      <c r="AF58" t="n">
        <v>2354.5</v>
      </c>
    </row>
    <row r="59">
      <c r="A59" t="s">
        <v>38</v>
      </c>
      <c r="B59" t="s">
        <v>388</v>
      </c>
      <c r="C59" t="s">
        <v>217</v>
      </c>
      <c r="D59" t="s">
        <v>389</v>
      </c>
      <c r="E59" t="s">
        <v>218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40</v>
      </c>
      <c r="B2" t="s">
        <v>197</v>
      </c>
      <c r="C2" t="s">
        <v>217</v>
      </c>
      <c r="D2" t="s">
        <v>199</v>
      </c>
      <c r="E2" t="s">
        <v>218</v>
      </c>
      <c r="F2"/>
      <c r="G2" t="n">
        <v>53.2</v>
      </c>
      <c r="H2" t="n">
        <v>47.7</v>
      </c>
      <c r="I2" t="n">
        <v>57.2</v>
      </c>
      <c r="J2" t="n">
        <v>68.6</v>
      </c>
      <c r="K2" t="n">
        <v>85.9</v>
      </c>
      <c r="L2" t="n">
        <v>88.1</v>
      </c>
      <c r="M2" t="n">
        <v>81.2</v>
      </c>
      <c r="N2" t="n">
        <v>111.4</v>
      </c>
      <c r="O2" t="n">
        <v>77.4</v>
      </c>
      <c r="P2" t="n">
        <v>104.9</v>
      </c>
      <c r="Q2" t="n">
        <v>119.6</v>
      </c>
      <c r="R2" t="n">
        <v>119.7</v>
      </c>
      <c r="S2" t="n">
        <v>148</v>
      </c>
      <c r="T2" t="n">
        <v>154</v>
      </c>
      <c r="U2" t="n">
        <v>92.5</v>
      </c>
      <c r="V2" t="n">
        <v>114.5</v>
      </c>
      <c r="W2" t="n">
        <v>89.5</v>
      </c>
      <c r="X2" t="n">
        <v>111.6</v>
      </c>
      <c r="Y2" t="n">
        <v>105.6</v>
      </c>
      <c r="Z2" t="n">
        <v>68.6</v>
      </c>
      <c r="AA2" t="n">
        <v>109.7</v>
      </c>
      <c r="AB2" t="n">
        <v>75.6</v>
      </c>
      <c r="AC2" t="n">
        <v>70.7</v>
      </c>
      <c r="AD2" t="n">
        <v>85.6</v>
      </c>
      <c r="AE2" t="n">
        <v>69.8</v>
      </c>
      <c r="AF2" t="n">
        <v>33</v>
      </c>
    </row>
    <row r="3">
      <c r="A3" t="s">
        <v>40</v>
      </c>
      <c r="B3" t="s">
        <v>276</v>
      </c>
      <c r="C3" t="s">
        <v>217</v>
      </c>
      <c r="D3" t="s">
        <v>277</v>
      </c>
      <c r="E3" t="s">
        <v>218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40</v>
      </c>
      <c r="B4" t="s">
        <v>278</v>
      </c>
      <c r="C4" t="s">
        <v>217</v>
      </c>
      <c r="D4" t="s">
        <v>279</v>
      </c>
      <c r="E4" t="s">
        <v>218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40</v>
      </c>
      <c r="B5" t="s">
        <v>280</v>
      </c>
      <c r="C5" t="s">
        <v>217</v>
      </c>
      <c r="D5" t="s">
        <v>281</v>
      </c>
      <c r="E5" t="s">
        <v>218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40</v>
      </c>
      <c r="B6" t="s">
        <v>282</v>
      </c>
      <c r="C6" t="s">
        <v>217</v>
      </c>
      <c r="D6" t="s">
        <v>283</v>
      </c>
      <c r="E6" t="s">
        <v>218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40</v>
      </c>
      <c r="B7" t="s">
        <v>284</v>
      </c>
      <c r="C7" t="s">
        <v>217</v>
      </c>
      <c r="D7" t="s">
        <v>285</v>
      </c>
      <c r="E7" t="s">
        <v>218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40</v>
      </c>
      <c r="B8" t="s">
        <v>286</v>
      </c>
      <c r="C8" t="s">
        <v>217</v>
      </c>
      <c r="D8" t="s">
        <v>287</v>
      </c>
      <c r="E8" t="s">
        <v>218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40</v>
      </c>
      <c r="B9" t="s">
        <v>288</v>
      </c>
      <c r="C9" t="s">
        <v>217</v>
      </c>
      <c r="D9" t="s">
        <v>289</v>
      </c>
      <c r="E9" t="s">
        <v>218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40</v>
      </c>
      <c r="B10" t="s">
        <v>290</v>
      </c>
      <c r="C10" t="s">
        <v>217</v>
      </c>
      <c r="D10" t="s">
        <v>291</v>
      </c>
      <c r="E10" t="s">
        <v>218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40</v>
      </c>
      <c r="B11" t="s">
        <v>292</v>
      </c>
      <c r="C11" t="s">
        <v>217</v>
      </c>
      <c r="D11" t="s">
        <v>293</v>
      </c>
      <c r="E11" t="s">
        <v>218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40</v>
      </c>
      <c r="B12" t="s">
        <v>294</v>
      </c>
      <c r="C12" t="s">
        <v>217</v>
      </c>
      <c r="D12" t="s">
        <v>295</v>
      </c>
      <c r="E12" t="s">
        <v>218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40</v>
      </c>
      <c r="B13" t="s">
        <v>296</v>
      </c>
      <c r="C13" t="s">
        <v>217</v>
      </c>
      <c r="D13" t="s">
        <v>297</v>
      </c>
      <c r="E13" t="s">
        <v>218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40</v>
      </c>
      <c r="B14" t="s">
        <v>298</v>
      </c>
      <c r="C14" t="s">
        <v>217</v>
      </c>
      <c r="D14" t="s">
        <v>299</v>
      </c>
      <c r="E14" t="s">
        <v>218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40</v>
      </c>
      <c r="B15" t="s">
        <v>300</v>
      </c>
      <c r="C15" t="s">
        <v>217</v>
      </c>
      <c r="D15" t="s">
        <v>301</v>
      </c>
      <c r="E15" t="s">
        <v>218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40</v>
      </c>
      <c r="B16" t="s">
        <v>302</v>
      </c>
      <c r="C16" t="s">
        <v>217</v>
      </c>
      <c r="D16" t="s">
        <v>303</v>
      </c>
      <c r="E16" t="s">
        <v>218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40</v>
      </c>
      <c r="B17" t="s">
        <v>304</v>
      </c>
      <c r="C17" t="s">
        <v>217</v>
      </c>
      <c r="D17" t="s">
        <v>305</v>
      </c>
      <c r="E17" t="s">
        <v>218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40</v>
      </c>
      <c r="B18" t="s">
        <v>306</v>
      </c>
      <c r="C18" t="s">
        <v>217</v>
      </c>
      <c r="D18" t="s">
        <v>307</v>
      </c>
      <c r="E18" t="s">
        <v>218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40</v>
      </c>
      <c r="B19" t="s">
        <v>308</v>
      </c>
      <c r="C19" t="s">
        <v>217</v>
      </c>
      <c r="D19" t="s">
        <v>309</v>
      </c>
      <c r="E19" t="s">
        <v>218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40</v>
      </c>
      <c r="B20" t="s">
        <v>310</v>
      </c>
      <c r="C20" t="s">
        <v>217</v>
      </c>
      <c r="D20" t="s">
        <v>311</v>
      </c>
      <c r="E20" t="s">
        <v>218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40</v>
      </c>
      <c r="B21" t="s">
        <v>312</v>
      </c>
      <c r="C21" t="s">
        <v>217</v>
      </c>
      <c r="D21" t="s">
        <v>313</v>
      </c>
      <c r="E21" t="s">
        <v>218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40</v>
      </c>
      <c r="B22" t="s">
        <v>314</v>
      </c>
      <c r="C22" t="s">
        <v>217</v>
      </c>
      <c r="D22" t="s">
        <v>315</v>
      </c>
      <c r="E22" t="s">
        <v>218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40</v>
      </c>
      <c r="B23" t="s">
        <v>316</v>
      </c>
      <c r="C23" t="s">
        <v>217</v>
      </c>
      <c r="D23" t="s">
        <v>317</v>
      </c>
      <c r="E23" t="s">
        <v>218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40</v>
      </c>
      <c r="B24" t="s">
        <v>318</v>
      </c>
      <c r="C24" t="s">
        <v>217</v>
      </c>
      <c r="D24" t="s">
        <v>319</v>
      </c>
      <c r="E24" t="s">
        <v>218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40</v>
      </c>
      <c r="B25" t="s">
        <v>320</v>
      </c>
      <c r="C25" t="s">
        <v>217</v>
      </c>
      <c r="D25" t="s">
        <v>321</v>
      </c>
      <c r="E25" t="s">
        <v>218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40</v>
      </c>
      <c r="B26" t="s">
        <v>322</v>
      </c>
      <c r="C26" t="s">
        <v>217</v>
      </c>
      <c r="D26" t="s">
        <v>323</v>
      </c>
      <c r="E26" t="s">
        <v>218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40</v>
      </c>
      <c r="B27" t="s">
        <v>324</v>
      </c>
      <c r="C27" t="s">
        <v>217</v>
      </c>
      <c r="D27" t="s">
        <v>325</v>
      </c>
      <c r="E27" t="s">
        <v>218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40</v>
      </c>
      <c r="B28" t="s">
        <v>326</v>
      </c>
      <c r="C28" t="s">
        <v>217</v>
      </c>
      <c r="D28" t="s">
        <v>327</v>
      </c>
      <c r="E28" t="s">
        <v>218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40</v>
      </c>
      <c r="B29" t="s">
        <v>328</v>
      </c>
      <c r="C29" t="s">
        <v>217</v>
      </c>
      <c r="D29" t="s">
        <v>329</v>
      </c>
      <c r="E29" t="s">
        <v>218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40</v>
      </c>
      <c r="B30" t="s">
        <v>330</v>
      </c>
      <c r="C30" t="s">
        <v>217</v>
      </c>
      <c r="D30" t="s">
        <v>331</v>
      </c>
      <c r="E30" t="s">
        <v>218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40</v>
      </c>
      <c r="B31" t="s">
        <v>332</v>
      </c>
      <c r="C31" t="s">
        <v>217</v>
      </c>
      <c r="D31" t="s">
        <v>333</v>
      </c>
      <c r="E31" t="s">
        <v>218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40</v>
      </c>
      <c r="B32" t="s">
        <v>334</v>
      </c>
      <c r="C32" t="s">
        <v>217</v>
      </c>
      <c r="D32" t="s">
        <v>335</v>
      </c>
      <c r="E32" t="s">
        <v>218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40</v>
      </c>
      <c r="B33" t="s">
        <v>336</v>
      </c>
      <c r="C33" t="s">
        <v>217</v>
      </c>
      <c r="D33" t="s">
        <v>337</v>
      </c>
      <c r="E33" t="s">
        <v>218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40</v>
      </c>
      <c r="B34" t="s">
        <v>338</v>
      </c>
      <c r="C34" t="s">
        <v>217</v>
      </c>
      <c r="D34" t="s">
        <v>339</v>
      </c>
      <c r="E34" t="s">
        <v>218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40</v>
      </c>
      <c r="B35" t="s">
        <v>340</v>
      </c>
      <c r="C35" t="s">
        <v>217</v>
      </c>
      <c r="D35" t="s">
        <v>341</v>
      </c>
      <c r="E35" t="s">
        <v>218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s">
        <v>40</v>
      </c>
      <c r="B36" t="s">
        <v>342</v>
      </c>
      <c r="C36" t="s">
        <v>217</v>
      </c>
      <c r="D36" t="s">
        <v>343</v>
      </c>
      <c r="E36" t="s">
        <v>218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40</v>
      </c>
      <c r="B37" t="s">
        <v>344</v>
      </c>
      <c r="C37" t="s">
        <v>217</v>
      </c>
      <c r="D37" t="s">
        <v>345</v>
      </c>
      <c r="E37" t="s">
        <v>218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40</v>
      </c>
      <c r="B38" t="s">
        <v>346</v>
      </c>
      <c r="C38" t="s">
        <v>217</v>
      </c>
      <c r="D38" t="s">
        <v>347</v>
      </c>
      <c r="E38" t="s">
        <v>218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40</v>
      </c>
      <c r="B39" t="s">
        <v>348</v>
      </c>
      <c r="C39" t="s">
        <v>217</v>
      </c>
      <c r="D39" t="s">
        <v>349</v>
      </c>
      <c r="E39" t="s">
        <v>218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40</v>
      </c>
      <c r="B40" t="s">
        <v>350</v>
      </c>
      <c r="C40" t="s">
        <v>217</v>
      </c>
      <c r="D40" t="s">
        <v>351</v>
      </c>
      <c r="E40" t="s">
        <v>218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s">
        <v>40</v>
      </c>
      <c r="B41" t="s">
        <v>352</v>
      </c>
      <c r="C41" t="s">
        <v>217</v>
      </c>
      <c r="D41" t="s">
        <v>353</v>
      </c>
      <c r="E41" t="s">
        <v>218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40</v>
      </c>
      <c r="B42" t="s">
        <v>354</v>
      </c>
      <c r="C42" t="s">
        <v>217</v>
      </c>
      <c r="D42" t="s">
        <v>355</v>
      </c>
      <c r="E42" t="s">
        <v>218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40</v>
      </c>
      <c r="B43" t="s">
        <v>356</v>
      </c>
      <c r="C43" t="s">
        <v>217</v>
      </c>
      <c r="D43" t="s">
        <v>357</v>
      </c>
      <c r="E43" t="s">
        <v>218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40</v>
      </c>
      <c r="B44" t="s">
        <v>358</v>
      </c>
      <c r="C44" t="s">
        <v>217</v>
      </c>
      <c r="D44" t="s">
        <v>359</v>
      </c>
      <c r="E44" t="s">
        <v>218</v>
      </c>
      <c r="F44"/>
      <c r="G44" t="n">
        <v>53.2</v>
      </c>
      <c r="H44" t="n">
        <v>47.7</v>
      </c>
      <c r="I44" t="n">
        <v>57.2</v>
      </c>
      <c r="J44" t="n">
        <v>68.6</v>
      </c>
      <c r="K44" t="n">
        <v>85.9</v>
      </c>
      <c r="L44" t="n">
        <v>88.1</v>
      </c>
      <c r="M44" t="n">
        <v>81.2</v>
      </c>
      <c r="N44" t="n">
        <v>111.4</v>
      </c>
      <c r="O44" t="n">
        <v>77.4</v>
      </c>
      <c r="P44" t="n">
        <v>104.9</v>
      </c>
      <c r="Q44" t="n">
        <v>119.6</v>
      </c>
      <c r="R44" t="n">
        <v>119.7</v>
      </c>
      <c r="S44" t="n">
        <v>148</v>
      </c>
      <c r="T44" t="n">
        <v>154</v>
      </c>
      <c r="U44" t="n">
        <v>92.5</v>
      </c>
      <c r="V44" t="n">
        <v>114.5</v>
      </c>
      <c r="W44" t="n">
        <v>89.5</v>
      </c>
      <c r="X44" t="n">
        <v>111.6</v>
      </c>
      <c r="Y44" t="n">
        <v>105.6</v>
      </c>
      <c r="Z44" t="n">
        <v>68.6</v>
      </c>
      <c r="AA44" t="n">
        <v>109.7</v>
      </c>
      <c r="AB44" t="n">
        <v>75.6</v>
      </c>
      <c r="AC44" t="n">
        <v>70.7</v>
      </c>
      <c r="AD44" t="n">
        <v>85.6</v>
      </c>
      <c r="AE44" t="n">
        <v>69.8</v>
      </c>
      <c r="AF44" t="n">
        <v>33</v>
      </c>
    </row>
    <row r="45">
      <c r="A45" t="s">
        <v>40</v>
      </c>
      <c r="B45" t="s">
        <v>360</v>
      </c>
      <c r="C45" t="s">
        <v>217</v>
      </c>
      <c r="D45" t="s">
        <v>361</v>
      </c>
      <c r="E45" t="s">
        <v>218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</row>
    <row r="46">
      <c r="A46" t="s">
        <v>40</v>
      </c>
      <c r="B46" t="s">
        <v>362</v>
      </c>
      <c r="C46" t="s">
        <v>217</v>
      </c>
      <c r="D46" t="s">
        <v>363</v>
      </c>
      <c r="E46" t="s">
        <v>218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40</v>
      </c>
      <c r="B47" t="s">
        <v>364</v>
      </c>
      <c r="C47" t="s">
        <v>217</v>
      </c>
      <c r="D47" t="s">
        <v>365</v>
      </c>
      <c r="E47" t="s">
        <v>218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s">
        <v>40</v>
      </c>
      <c r="B48" t="s">
        <v>366</v>
      </c>
      <c r="C48" t="s">
        <v>217</v>
      </c>
      <c r="D48" t="s">
        <v>367</v>
      </c>
      <c r="E48" t="s">
        <v>218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s">
        <v>40</v>
      </c>
      <c r="B49" t="s">
        <v>368</v>
      </c>
      <c r="C49" t="s">
        <v>217</v>
      </c>
      <c r="D49" t="s">
        <v>369</v>
      </c>
      <c r="E49" t="s">
        <v>218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40</v>
      </c>
      <c r="B50" t="s">
        <v>370</v>
      </c>
      <c r="C50" t="s">
        <v>217</v>
      </c>
      <c r="D50" t="s">
        <v>371</v>
      </c>
      <c r="E50" t="s">
        <v>218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40</v>
      </c>
      <c r="B51" t="s">
        <v>372</v>
      </c>
      <c r="C51" t="s">
        <v>217</v>
      </c>
      <c r="D51" t="s">
        <v>373</v>
      </c>
      <c r="E51" t="s">
        <v>218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40</v>
      </c>
      <c r="B52" t="s">
        <v>374</v>
      </c>
      <c r="C52" t="s">
        <v>217</v>
      </c>
      <c r="D52" t="s">
        <v>375</v>
      </c>
      <c r="E52" t="s">
        <v>218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40</v>
      </c>
      <c r="B53" t="s">
        <v>376</v>
      </c>
      <c r="C53" t="s">
        <v>217</v>
      </c>
      <c r="D53" t="s">
        <v>377</v>
      </c>
      <c r="E53" t="s">
        <v>218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40</v>
      </c>
      <c r="B54" t="s">
        <v>378</v>
      </c>
      <c r="C54" t="s">
        <v>217</v>
      </c>
      <c r="D54" t="s">
        <v>379</v>
      </c>
      <c r="E54" t="s">
        <v>218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s">
        <v>40</v>
      </c>
      <c r="B55" t="s">
        <v>380</v>
      </c>
      <c r="C55" t="s">
        <v>217</v>
      </c>
      <c r="D55" t="s">
        <v>381</v>
      </c>
      <c r="E55" t="s">
        <v>218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40</v>
      </c>
      <c r="B56" t="s">
        <v>382</v>
      </c>
      <c r="C56" t="s">
        <v>217</v>
      </c>
      <c r="D56" t="s">
        <v>383</v>
      </c>
      <c r="E56" t="s">
        <v>218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40</v>
      </c>
      <c r="B57" t="s">
        <v>384</v>
      </c>
      <c r="C57" t="s">
        <v>217</v>
      </c>
      <c r="D57" t="s">
        <v>385</v>
      </c>
      <c r="E57" t="s">
        <v>218</v>
      </c>
      <c r="F57"/>
      <c r="G57" t="n">
        <v>53.2</v>
      </c>
      <c r="H57" t="n">
        <v>47.7</v>
      </c>
      <c r="I57" t="n">
        <v>57.2</v>
      </c>
      <c r="J57" t="n">
        <v>68.6</v>
      </c>
      <c r="K57" t="n">
        <v>85.9</v>
      </c>
      <c r="L57" t="n">
        <v>88.1</v>
      </c>
      <c r="M57" t="n">
        <v>81.2</v>
      </c>
      <c r="N57" t="n">
        <v>111.4</v>
      </c>
      <c r="O57" t="n">
        <v>77.4</v>
      </c>
      <c r="P57" t="n">
        <v>104.9</v>
      </c>
      <c r="Q57" t="n">
        <v>119.6</v>
      </c>
      <c r="R57" t="n">
        <v>119.7</v>
      </c>
      <c r="S57" t="n">
        <v>148</v>
      </c>
      <c r="T57" t="n">
        <v>154</v>
      </c>
      <c r="U57" t="n">
        <v>92.5</v>
      </c>
      <c r="V57" t="n">
        <v>114.5</v>
      </c>
      <c r="W57" t="n">
        <v>89.5</v>
      </c>
      <c r="X57" t="n">
        <v>111.6</v>
      </c>
      <c r="Y57" t="n">
        <v>107.3</v>
      </c>
      <c r="Z57" t="n">
        <v>70.3</v>
      </c>
      <c r="AA57" t="n">
        <v>112.8</v>
      </c>
      <c r="AB57" t="n">
        <v>77.6</v>
      </c>
      <c r="AC57" t="n">
        <v>70.8</v>
      </c>
      <c r="AD57" t="n">
        <v>85.8</v>
      </c>
      <c r="AE57" t="n">
        <v>69.9</v>
      </c>
      <c r="AF57" t="n">
        <v>33</v>
      </c>
    </row>
    <row r="58">
      <c r="A58" t="s">
        <v>40</v>
      </c>
      <c r="B58" t="s">
        <v>386</v>
      </c>
      <c r="C58" t="s">
        <v>217</v>
      </c>
      <c r="D58" t="s">
        <v>387</v>
      </c>
      <c r="E58" t="s">
        <v>218</v>
      </c>
      <c r="F58"/>
      <c r="G58" t="n">
        <v>53.2</v>
      </c>
      <c r="H58" t="n">
        <v>47.7</v>
      </c>
      <c r="I58" t="n">
        <v>57.2</v>
      </c>
      <c r="J58" t="n">
        <v>68.6</v>
      </c>
      <c r="K58" t="n">
        <v>85.9</v>
      </c>
      <c r="L58" t="n">
        <v>88.1</v>
      </c>
      <c r="M58" t="n">
        <v>81.2</v>
      </c>
      <c r="N58" t="n">
        <v>111.4</v>
      </c>
      <c r="O58" t="n">
        <v>77.4</v>
      </c>
      <c r="P58" t="n">
        <v>104.9</v>
      </c>
      <c r="Q58" t="n">
        <v>119.6</v>
      </c>
      <c r="R58" t="n">
        <v>119.7</v>
      </c>
      <c r="S58" t="n">
        <v>148</v>
      </c>
      <c r="T58" t="n">
        <v>154</v>
      </c>
      <c r="U58" t="n">
        <v>92.5</v>
      </c>
      <c r="V58" t="n">
        <v>114.5</v>
      </c>
      <c r="W58" t="n">
        <v>89.5</v>
      </c>
      <c r="X58" t="n">
        <v>111.6</v>
      </c>
      <c r="Y58" t="n">
        <v>107.3</v>
      </c>
      <c r="Z58" t="n">
        <v>70.3</v>
      </c>
      <c r="AA58" t="n">
        <v>112.8</v>
      </c>
      <c r="AB58" t="n">
        <v>77.6</v>
      </c>
      <c r="AC58" t="n">
        <v>70.8</v>
      </c>
      <c r="AD58" t="n">
        <v>85.8</v>
      </c>
      <c r="AE58" t="n">
        <v>69.9</v>
      </c>
      <c r="AF58" t="n">
        <v>33</v>
      </c>
    </row>
    <row r="59">
      <c r="A59" t="s">
        <v>40</v>
      </c>
      <c r="B59" t="s">
        <v>388</v>
      </c>
      <c r="C59" t="s">
        <v>217</v>
      </c>
      <c r="D59" t="s">
        <v>389</v>
      </c>
      <c r="E59" t="s">
        <v>218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42</v>
      </c>
      <c r="B2" t="s">
        <v>197</v>
      </c>
      <c r="C2" t="s">
        <v>217</v>
      </c>
      <c r="D2" t="s">
        <v>199</v>
      </c>
      <c r="E2" t="s">
        <v>218</v>
      </c>
      <c r="F2"/>
      <c r="G2" t="n">
        <v>0.7</v>
      </c>
      <c r="H2" t="n">
        <v>0.7</v>
      </c>
      <c r="I2" t="n">
        <v>0.8</v>
      </c>
      <c r="J2" t="n">
        <v>0.9</v>
      </c>
      <c r="K2" t="n">
        <v>1.1</v>
      </c>
      <c r="L2" t="n">
        <v>1.6</v>
      </c>
      <c r="M2" t="n">
        <v>1.5</v>
      </c>
      <c r="N2" t="n">
        <v>1.6</v>
      </c>
      <c r="O2" t="n">
        <v>1.7</v>
      </c>
      <c r="P2" t="n">
        <v>1.8</v>
      </c>
      <c r="Q2" t="n">
        <v>2.1</v>
      </c>
      <c r="R2" t="n">
        <v>2.6</v>
      </c>
      <c r="S2" t="n">
        <v>1.9</v>
      </c>
      <c r="T2" t="n">
        <v>2</v>
      </c>
      <c r="U2" t="n">
        <v>1.9</v>
      </c>
      <c r="V2" t="n">
        <v>1.6</v>
      </c>
      <c r="W2" t="n">
        <v>1.4</v>
      </c>
      <c r="X2" t="n">
        <v>1.6</v>
      </c>
      <c r="Y2" t="n">
        <v>1.4</v>
      </c>
      <c r="Z2" t="n">
        <v>1.2</v>
      </c>
      <c r="AA2" t="n">
        <v>1.7</v>
      </c>
      <c r="AB2" t="n">
        <v>2.6</v>
      </c>
      <c r="AC2" t="n">
        <v>1.8</v>
      </c>
      <c r="AD2" t="n">
        <v>6.3</v>
      </c>
      <c r="AE2" t="n">
        <v>7.9</v>
      </c>
      <c r="AF2" t="n">
        <v>15.5</v>
      </c>
    </row>
    <row r="3">
      <c r="A3" t="s">
        <v>42</v>
      </c>
      <c r="B3" t="s">
        <v>276</v>
      </c>
      <c r="C3" t="s">
        <v>217</v>
      </c>
      <c r="D3" t="s">
        <v>277</v>
      </c>
      <c r="E3" t="s">
        <v>218</v>
      </c>
      <c r="F3"/>
      <c r="G3" t="n">
        <v>0.1</v>
      </c>
      <c r="H3" t="n">
        <v>0.1</v>
      </c>
      <c r="I3" t="n">
        <v>0.2</v>
      </c>
      <c r="J3" t="n">
        <v>0.2</v>
      </c>
      <c r="K3" t="n">
        <v>0.2</v>
      </c>
      <c r="L3" t="n">
        <v>0.3</v>
      </c>
      <c r="M3" t="n">
        <v>0.3</v>
      </c>
      <c r="N3" t="n">
        <v>0.3</v>
      </c>
      <c r="O3" t="n">
        <v>0.3</v>
      </c>
      <c r="P3" t="n">
        <v>0.3</v>
      </c>
      <c r="Q3" t="n">
        <v>0.4</v>
      </c>
      <c r="R3" t="n">
        <v>0.5</v>
      </c>
      <c r="S3" t="n">
        <v>0.4</v>
      </c>
      <c r="T3" t="n">
        <v>0.4</v>
      </c>
      <c r="U3" t="n">
        <v>0.4</v>
      </c>
      <c r="V3" t="n">
        <v>0.3</v>
      </c>
      <c r="W3" t="n">
        <v>0.3</v>
      </c>
      <c r="X3" t="n">
        <v>0.3</v>
      </c>
      <c r="Y3" t="n">
        <v>0.3</v>
      </c>
      <c r="Z3" t="n">
        <v>0.2</v>
      </c>
      <c r="AA3" t="n">
        <v>0.2</v>
      </c>
      <c r="AB3" t="n">
        <v>8.3</v>
      </c>
      <c r="AC3" t="n">
        <v>7.7</v>
      </c>
      <c r="AD3" t="n">
        <v>13.9</v>
      </c>
      <c r="AE3" t="n">
        <v>8.9</v>
      </c>
      <c r="AF3" t="n">
        <v>7.9</v>
      </c>
    </row>
    <row r="4">
      <c r="A4" t="s">
        <v>42</v>
      </c>
      <c r="B4" t="s">
        <v>278</v>
      </c>
      <c r="C4" t="s">
        <v>217</v>
      </c>
      <c r="D4" t="s">
        <v>279</v>
      </c>
      <c r="E4" t="s">
        <v>218</v>
      </c>
      <c r="F4"/>
      <c r="G4" t="n">
        <v>75.2</v>
      </c>
      <c r="H4" t="n">
        <v>77.4</v>
      </c>
      <c r="I4" t="n">
        <v>97.1</v>
      </c>
      <c r="J4" t="n">
        <v>111.8</v>
      </c>
      <c r="K4" t="n">
        <v>125.5</v>
      </c>
      <c r="L4" t="n">
        <v>164.7</v>
      </c>
      <c r="M4" t="n">
        <v>156.8</v>
      </c>
      <c r="N4" t="n">
        <v>172.4</v>
      </c>
      <c r="O4" t="n">
        <v>193.7</v>
      </c>
      <c r="P4" t="n">
        <v>209.3</v>
      </c>
      <c r="Q4" t="n">
        <v>241.9</v>
      </c>
      <c r="R4" t="n">
        <v>319.3</v>
      </c>
      <c r="S4" t="n">
        <v>229.5</v>
      </c>
      <c r="T4" t="n">
        <v>246.4</v>
      </c>
      <c r="U4" t="n">
        <v>228.8</v>
      </c>
      <c r="V4" t="n">
        <v>194.4</v>
      </c>
      <c r="W4" t="n">
        <v>177.1</v>
      </c>
      <c r="X4" t="n">
        <v>194.3</v>
      </c>
      <c r="Y4" t="n">
        <v>173.6</v>
      </c>
      <c r="Z4" t="n">
        <v>115.3</v>
      </c>
      <c r="AA4" t="n">
        <v>157</v>
      </c>
      <c r="AB4" t="n">
        <v>224.5</v>
      </c>
      <c r="AC4" t="n">
        <v>197.6</v>
      </c>
      <c r="AD4" t="n">
        <v>261.8</v>
      </c>
      <c r="AE4" t="n">
        <v>324.4</v>
      </c>
      <c r="AF4" t="n">
        <v>393</v>
      </c>
    </row>
    <row r="5">
      <c r="A5" t="s">
        <v>42</v>
      </c>
      <c r="B5" t="s">
        <v>280</v>
      </c>
      <c r="C5" t="s">
        <v>217</v>
      </c>
      <c r="D5" t="s">
        <v>281</v>
      </c>
      <c r="E5" t="s">
        <v>218</v>
      </c>
      <c r="F5"/>
      <c r="G5" t="n">
        <v>6.8</v>
      </c>
      <c r="H5" t="n">
        <v>7</v>
      </c>
      <c r="I5" t="n">
        <v>8.5</v>
      </c>
      <c r="J5" t="n">
        <v>9.6</v>
      </c>
      <c r="K5" t="n">
        <v>11.4</v>
      </c>
      <c r="L5" t="n">
        <v>15.6</v>
      </c>
      <c r="M5" t="n">
        <v>14.6</v>
      </c>
      <c r="N5" t="n">
        <v>15.8</v>
      </c>
      <c r="O5" t="n">
        <v>17.5</v>
      </c>
      <c r="P5" t="n">
        <v>18.9</v>
      </c>
      <c r="Q5" t="n">
        <v>21.8</v>
      </c>
      <c r="R5" t="n">
        <v>27.9</v>
      </c>
      <c r="S5" t="n">
        <v>20</v>
      </c>
      <c r="T5" t="n">
        <v>21.5</v>
      </c>
      <c r="U5" t="n">
        <v>20</v>
      </c>
      <c r="V5" t="n">
        <v>17</v>
      </c>
      <c r="W5" t="n">
        <v>15.4</v>
      </c>
      <c r="X5" t="n">
        <v>16.9</v>
      </c>
      <c r="Y5" t="n">
        <v>15.1</v>
      </c>
      <c r="Z5" t="n">
        <v>14.1</v>
      </c>
      <c r="AA5" t="n">
        <v>19.6</v>
      </c>
      <c r="AB5" t="n">
        <v>19.2</v>
      </c>
      <c r="AC5" t="n">
        <v>12.1</v>
      </c>
      <c r="AD5" t="n">
        <v>26.4</v>
      </c>
      <c r="AE5" t="n">
        <v>31.2</v>
      </c>
      <c r="AF5" t="n">
        <v>36.8</v>
      </c>
    </row>
    <row r="6">
      <c r="A6" t="s">
        <v>42</v>
      </c>
      <c r="B6" t="s">
        <v>282</v>
      </c>
      <c r="C6" t="s">
        <v>217</v>
      </c>
      <c r="D6" t="s">
        <v>283</v>
      </c>
      <c r="E6" t="s">
        <v>218</v>
      </c>
      <c r="F6"/>
      <c r="G6" t="n">
        <v>0.6</v>
      </c>
      <c r="H6" t="n">
        <v>0.6</v>
      </c>
      <c r="I6" t="n">
        <v>0.7</v>
      </c>
      <c r="J6" t="n">
        <v>0.7</v>
      </c>
      <c r="K6" t="n">
        <v>1</v>
      </c>
      <c r="L6" t="n">
        <v>1.4</v>
      </c>
      <c r="M6" t="n">
        <v>1.3</v>
      </c>
      <c r="N6" t="n">
        <v>1.4</v>
      </c>
      <c r="O6" t="n">
        <v>1.4</v>
      </c>
      <c r="P6" t="n">
        <v>1.6</v>
      </c>
      <c r="Q6" t="n">
        <v>1.8</v>
      </c>
      <c r="R6" t="n">
        <v>2.2</v>
      </c>
      <c r="S6" t="n">
        <v>1.6</v>
      </c>
      <c r="T6" t="n">
        <v>1.7</v>
      </c>
      <c r="U6" t="n">
        <v>1.6</v>
      </c>
      <c r="V6" t="n">
        <v>1.3</v>
      </c>
      <c r="W6" t="n">
        <v>1.2</v>
      </c>
      <c r="X6" t="n">
        <v>1.3</v>
      </c>
      <c r="Y6" t="n">
        <v>1.2</v>
      </c>
      <c r="Z6" t="n">
        <v>2.2</v>
      </c>
      <c r="AA6" t="n">
        <v>3.1</v>
      </c>
      <c r="AB6" t="n">
        <v>2.4</v>
      </c>
      <c r="AC6" t="n">
        <v>1.1</v>
      </c>
      <c r="AD6" t="n">
        <v>2.8</v>
      </c>
      <c r="AE6" t="n">
        <v>2.2</v>
      </c>
      <c r="AF6" t="n">
        <v>0.8</v>
      </c>
    </row>
    <row r="7">
      <c r="A7" t="s">
        <v>42</v>
      </c>
      <c r="B7" t="s">
        <v>284</v>
      </c>
      <c r="C7" t="s">
        <v>217</v>
      </c>
      <c r="D7" t="s">
        <v>285</v>
      </c>
      <c r="E7" t="s">
        <v>218</v>
      </c>
      <c r="F7"/>
      <c r="G7" t="n">
        <v>4.3</v>
      </c>
      <c r="H7" t="n">
        <v>4.4</v>
      </c>
      <c r="I7" t="n">
        <v>5.6</v>
      </c>
      <c r="J7" t="n">
        <v>6.5</v>
      </c>
      <c r="K7" t="n">
        <v>7.2</v>
      </c>
      <c r="L7" t="n">
        <v>9.3</v>
      </c>
      <c r="M7" t="n">
        <v>8.9</v>
      </c>
      <c r="N7" t="n">
        <v>9.8</v>
      </c>
      <c r="O7" t="n">
        <v>11.1</v>
      </c>
      <c r="P7" t="n">
        <v>12</v>
      </c>
      <c r="Q7" t="n">
        <v>13.9</v>
      </c>
      <c r="R7" t="n">
        <v>18.4</v>
      </c>
      <c r="S7" t="n">
        <v>13.2</v>
      </c>
      <c r="T7" t="n">
        <v>14.2</v>
      </c>
      <c r="U7" t="n">
        <v>13.2</v>
      </c>
      <c r="V7" t="n">
        <v>11.2</v>
      </c>
      <c r="W7" t="n">
        <v>10.2</v>
      </c>
      <c r="X7" t="n">
        <v>11.2</v>
      </c>
      <c r="Y7" t="n">
        <v>10</v>
      </c>
      <c r="Z7" t="n">
        <v>3.2</v>
      </c>
      <c r="AA7" t="n">
        <v>4.5</v>
      </c>
      <c r="AB7" t="n">
        <v>5.5</v>
      </c>
      <c r="AC7" t="n">
        <v>4.1</v>
      </c>
      <c r="AD7" t="n">
        <v>2.5</v>
      </c>
      <c r="AE7" t="n">
        <v>3.8</v>
      </c>
      <c r="AF7" t="n">
        <v>5.4</v>
      </c>
    </row>
    <row r="8">
      <c r="A8" t="s">
        <v>42</v>
      </c>
      <c r="B8" t="s">
        <v>286</v>
      </c>
      <c r="C8" t="s">
        <v>217</v>
      </c>
      <c r="D8" t="s">
        <v>287</v>
      </c>
      <c r="E8" t="s">
        <v>218</v>
      </c>
      <c r="F8"/>
      <c r="G8" t="n">
        <v>0.2</v>
      </c>
      <c r="H8" t="n">
        <v>0.2</v>
      </c>
      <c r="I8" t="n">
        <v>0.3</v>
      </c>
      <c r="J8" t="n">
        <v>0.3</v>
      </c>
      <c r="K8" t="n">
        <v>0.4</v>
      </c>
      <c r="L8" t="n">
        <v>0.5</v>
      </c>
      <c r="M8" t="n">
        <v>0.5</v>
      </c>
      <c r="N8" t="n">
        <v>0.5</v>
      </c>
      <c r="O8" t="n">
        <v>0.6</v>
      </c>
      <c r="P8" t="n">
        <v>0.6</v>
      </c>
      <c r="Q8" t="n">
        <v>0.7</v>
      </c>
      <c r="R8" t="n">
        <v>0.9</v>
      </c>
      <c r="S8" t="n">
        <v>0.7</v>
      </c>
      <c r="T8" t="n">
        <v>0.7</v>
      </c>
      <c r="U8" t="n">
        <v>0.7</v>
      </c>
      <c r="V8" t="n">
        <v>0.6</v>
      </c>
      <c r="W8" t="n">
        <v>0.5</v>
      </c>
      <c r="X8" t="n">
        <v>0.6</v>
      </c>
      <c r="Y8" t="n">
        <v>0.5</v>
      </c>
      <c r="Z8" t="n">
        <v>3.2</v>
      </c>
      <c r="AA8" t="n">
        <v>4.4</v>
      </c>
      <c r="AB8" t="n">
        <v>38.3</v>
      </c>
      <c r="AC8" t="n">
        <v>43</v>
      </c>
      <c r="AD8" t="n">
        <v>42.4</v>
      </c>
      <c r="AE8" t="n">
        <v>59</v>
      </c>
      <c r="AF8" t="n">
        <v>74</v>
      </c>
    </row>
    <row r="9">
      <c r="A9" t="s">
        <v>42</v>
      </c>
      <c r="B9" t="s">
        <v>288</v>
      </c>
      <c r="C9" t="s">
        <v>217</v>
      </c>
      <c r="D9" t="s">
        <v>289</v>
      </c>
      <c r="E9" t="s">
        <v>218</v>
      </c>
      <c r="F9"/>
      <c r="G9" t="n">
        <v>6.4</v>
      </c>
      <c r="H9" t="n">
        <v>6.5</v>
      </c>
      <c r="I9" t="n">
        <v>8</v>
      </c>
      <c r="J9" t="n">
        <v>9.1</v>
      </c>
      <c r="K9" t="n">
        <v>10.6</v>
      </c>
      <c r="L9" t="n">
        <v>14.5</v>
      </c>
      <c r="M9" t="n">
        <v>13.6</v>
      </c>
      <c r="N9" t="n">
        <v>14.8</v>
      </c>
      <c r="O9" t="n">
        <v>16.3</v>
      </c>
      <c r="P9" t="n">
        <v>17.6</v>
      </c>
      <c r="Q9" t="n">
        <v>20.4</v>
      </c>
      <c r="R9" t="n">
        <v>26.2</v>
      </c>
      <c r="S9" t="n">
        <v>18.8</v>
      </c>
      <c r="T9" t="n">
        <v>20.2</v>
      </c>
      <c r="U9" t="n">
        <v>18.8</v>
      </c>
      <c r="V9" t="n">
        <v>16</v>
      </c>
      <c r="W9" t="n">
        <v>14.5</v>
      </c>
      <c r="X9" t="n">
        <v>15.9</v>
      </c>
      <c r="Y9" t="n">
        <v>14.2</v>
      </c>
      <c r="Z9" t="n">
        <v>7.1</v>
      </c>
      <c r="AA9" t="n">
        <v>9.8</v>
      </c>
      <c r="AB9" t="n">
        <v>20.4</v>
      </c>
      <c r="AC9" t="n">
        <v>12.4</v>
      </c>
      <c r="AD9" t="n">
        <v>25.7</v>
      </c>
      <c r="AE9" t="n">
        <v>33.7</v>
      </c>
      <c r="AF9" t="n">
        <v>36.5</v>
      </c>
    </row>
    <row r="10">
      <c r="A10" t="s">
        <v>42</v>
      </c>
      <c r="B10" t="s">
        <v>290</v>
      </c>
      <c r="C10" t="s">
        <v>217</v>
      </c>
      <c r="D10" t="s">
        <v>291</v>
      </c>
      <c r="E10" t="s">
        <v>218</v>
      </c>
      <c r="F10"/>
      <c r="G10" t="n">
        <v>30.1</v>
      </c>
      <c r="H10" t="n">
        <v>31</v>
      </c>
      <c r="I10" t="n">
        <v>39.9</v>
      </c>
      <c r="J10" t="n">
        <v>46.5</v>
      </c>
      <c r="K10" t="n">
        <v>50.2</v>
      </c>
      <c r="L10" t="n">
        <v>64.2</v>
      </c>
      <c r="M10" t="n">
        <v>61.7</v>
      </c>
      <c r="N10" t="n">
        <v>68.6</v>
      </c>
      <c r="O10" t="n">
        <v>78.2</v>
      </c>
      <c r="P10" t="n">
        <v>84.5</v>
      </c>
      <c r="Q10" t="n">
        <v>97.8</v>
      </c>
      <c r="R10" t="n">
        <v>131.9</v>
      </c>
      <c r="S10" t="n">
        <v>94.6</v>
      </c>
      <c r="T10" t="n">
        <v>101.7</v>
      </c>
      <c r="U10" t="n">
        <v>94.6</v>
      </c>
      <c r="V10" t="n">
        <v>80.3</v>
      </c>
      <c r="W10" t="n">
        <v>72.9</v>
      </c>
      <c r="X10" t="n">
        <v>79.9</v>
      </c>
      <c r="Y10" t="n">
        <v>71.4</v>
      </c>
      <c r="Z10" t="n">
        <v>41</v>
      </c>
      <c r="AA10" t="n">
        <v>56.9</v>
      </c>
      <c r="AB10" t="n">
        <v>68</v>
      </c>
      <c r="AC10" t="n">
        <v>68.7</v>
      </c>
      <c r="AD10" t="n">
        <v>91.4</v>
      </c>
      <c r="AE10" t="n">
        <v>119.4</v>
      </c>
      <c r="AF10" t="n">
        <v>124</v>
      </c>
    </row>
    <row r="11">
      <c r="A11" t="s">
        <v>42</v>
      </c>
      <c r="B11" t="s">
        <v>292</v>
      </c>
      <c r="C11" t="s">
        <v>217</v>
      </c>
      <c r="D11" t="s">
        <v>293</v>
      </c>
      <c r="E11" t="s">
        <v>218</v>
      </c>
      <c r="F11"/>
      <c r="G11" t="n">
        <v>23.7</v>
      </c>
      <c r="H11" t="n">
        <v>24.5</v>
      </c>
      <c r="I11" t="n">
        <v>31.9</v>
      </c>
      <c r="J11" t="n">
        <v>37.4</v>
      </c>
      <c r="K11" t="n">
        <v>39.6</v>
      </c>
      <c r="L11" t="n">
        <v>49.7</v>
      </c>
      <c r="M11" t="n">
        <v>48.1</v>
      </c>
      <c r="N11" t="n">
        <v>53.8</v>
      </c>
      <c r="O11" t="n">
        <v>61.9</v>
      </c>
      <c r="P11" t="n">
        <v>66.9</v>
      </c>
      <c r="Q11" t="n">
        <v>77.4</v>
      </c>
      <c r="R11" t="n">
        <v>105.7</v>
      </c>
      <c r="S11" t="n">
        <v>75.8</v>
      </c>
      <c r="T11" t="n">
        <v>81.5</v>
      </c>
      <c r="U11" t="n">
        <v>75.8</v>
      </c>
      <c r="V11" t="n">
        <v>64.3</v>
      </c>
      <c r="W11" t="n">
        <v>58.4</v>
      </c>
      <c r="X11" t="n">
        <v>64</v>
      </c>
      <c r="Y11" t="n">
        <v>57.2</v>
      </c>
      <c r="Z11" t="n">
        <v>33.9</v>
      </c>
      <c r="AA11" t="n">
        <v>47.1</v>
      </c>
      <c r="AB11" t="n">
        <v>47.6</v>
      </c>
      <c r="AC11" t="n">
        <v>56.3</v>
      </c>
      <c r="AD11" t="n">
        <v>65.7</v>
      </c>
      <c r="AE11" t="n">
        <v>85.7</v>
      </c>
      <c r="AF11" t="n">
        <v>87.5</v>
      </c>
    </row>
    <row r="12">
      <c r="A12" t="s">
        <v>42</v>
      </c>
      <c r="B12" t="s">
        <v>294</v>
      </c>
      <c r="C12" t="s">
        <v>217</v>
      </c>
      <c r="D12" t="s">
        <v>295</v>
      </c>
      <c r="E12" t="s">
        <v>218</v>
      </c>
      <c r="F12"/>
      <c r="G12" t="n">
        <v>2.6</v>
      </c>
      <c r="H12" t="n">
        <v>2.6</v>
      </c>
      <c r="I12" t="n">
        <v>3.1</v>
      </c>
      <c r="J12" t="n">
        <v>3.5</v>
      </c>
      <c r="K12" t="n">
        <v>4.3</v>
      </c>
      <c r="L12" t="n">
        <v>6</v>
      </c>
      <c r="M12" t="n">
        <v>5.6</v>
      </c>
      <c r="N12" t="n">
        <v>6</v>
      </c>
      <c r="O12" t="n">
        <v>6.5</v>
      </c>
      <c r="P12" t="n">
        <v>7</v>
      </c>
      <c r="Q12" t="n">
        <v>8.1</v>
      </c>
      <c r="R12" t="n">
        <v>10.2</v>
      </c>
      <c r="S12" t="n">
        <v>7.3</v>
      </c>
      <c r="T12" t="n">
        <v>7.9</v>
      </c>
      <c r="U12" t="n">
        <v>7.3</v>
      </c>
      <c r="V12" t="n">
        <v>6.2</v>
      </c>
      <c r="W12" t="n">
        <v>5.7</v>
      </c>
      <c r="X12" t="n">
        <v>6.2</v>
      </c>
      <c r="Y12" t="n">
        <v>5.5</v>
      </c>
      <c r="Z12" t="n">
        <v>3.1</v>
      </c>
      <c r="AA12" t="n">
        <v>4.3</v>
      </c>
      <c r="AB12" t="n">
        <v>8.5</v>
      </c>
      <c r="AC12" t="n">
        <v>7.8</v>
      </c>
      <c r="AD12" t="n">
        <v>17.8</v>
      </c>
      <c r="AE12" t="n">
        <v>23.9</v>
      </c>
      <c r="AF12" t="n">
        <v>33.2</v>
      </c>
    </row>
    <row r="13">
      <c r="A13" t="s">
        <v>42</v>
      </c>
      <c r="B13" t="s">
        <v>296</v>
      </c>
      <c r="C13" t="s">
        <v>217</v>
      </c>
      <c r="D13" t="s">
        <v>297</v>
      </c>
      <c r="E13" t="s">
        <v>218</v>
      </c>
      <c r="F13"/>
      <c r="G13" t="n">
        <v>9.7</v>
      </c>
      <c r="H13" t="n">
        <v>10.1</v>
      </c>
      <c r="I13" t="n">
        <v>12.5</v>
      </c>
      <c r="J13" t="n">
        <v>14.3</v>
      </c>
      <c r="K13" t="n">
        <v>15.9</v>
      </c>
      <c r="L13" t="n">
        <v>20.7</v>
      </c>
      <c r="M13" t="n">
        <v>19.9</v>
      </c>
      <c r="N13" t="n">
        <v>21.9</v>
      </c>
      <c r="O13" t="n">
        <v>24.6</v>
      </c>
      <c r="P13" t="n">
        <v>26.5</v>
      </c>
      <c r="Q13" t="n">
        <v>30.5</v>
      </c>
      <c r="R13" t="n">
        <v>40.2</v>
      </c>
      <c r="S13" t="n">
        <v>29.3</v>
      </c>
      <c r="T13" t="n">
        <v>31.2</v>
      </c>
      <c r="U13" t="n">
        <v>28.6</v>
      </c>
      <c r="V13" t="n">
        <v>24.6</v>
      </c>
      <c r="W13" t="n">
        <v>22.8</v>
      </c>
      <c r="X13" t="n">
        <v>25.1</v>
      </c>
      <c r="Y13" t="n">
        <v>22.5</v>
      </c>
      <c r="Z13" t="n">
        <v>25.6</v>
      </c>
      <c r="AA13" t="n">
        <v>32.5</v>
      </c>
      <c r="AB13" t="n">
        <v>41.9</v>
      </c>
      <c r="AC13" t="n">
        <v>37.5</v>
      </c>
      <c r="AD13" t="n">
        <v>37.5</v>
      </c>
      <c r="AE13" t="n">
        <v>41.4</v>
      </c>
      <c r="AF13" t="n">
        <v>53.2</v>
      </c>
    </row>
    <row r="14">
      <c r="A14" t="s">
        <v>42</v>
      </c>
      <c r="B14" t="s">
        <v>298</v>
      </c>
      <c r="C14" t="s">
        <v>217</v>
      </c>
      <c r="D14" t="s">
        <v>299</v>
      </c>
      <c r="E14" t="s">
        <v>218</v>
      </c>
      <c r="F14"/>
      <c r="G14" t="n">
        <v>9</v>
      </c>
      <c r="H14" t="n">
        <v>9.2</v>
      </c>
      <c r="I14" t="n">
        <v>11</v>
      </c>
      <c r="J14" t="n">
        <v>12.4</v>
      </c>
      <c r="K14" t="n">
        <v>15.1</v>
      </c>
      <c r="L14" t="n">
        <v>21</v>
      </c>
      <c r="M14" t="n">
        <v>19.5</v>
      </c>
      <c r="N14" t="n">
        <v>21.1</v>
      </c>
      <c r="O14" t="n">
        <v>23</v>
      </c>
      <c r="P14" t="n">
        <v>24.8</v>
      </c>
      <c r="Q14" t="n">
        <v>28.7</v>
      </c>
      <c r="R14" t="n">
        <v>36.2</v>
      </c>
      <c r="S14" t="n">
        <v>26</v>
      </c>
      <c r="T14" t="n">
        <v>27.9</v>
      </c>
      <c r="U14" t="n">
        <v>26</v>
      </c>
      <c r="V14" t="n">
        <v>22</v>
      </c>
      <c r="W14" t="n">
        <v>20</v>
      </c>
      <c r="X14" t="n">
        <v>21.9</v>
      </c>
      <c r="Y14" t="n">
        <v>19.6</v>
      </c>
      <c r="Z14" t="n">
        <v>9.3</v>
      </c>
      <c r="AA14" t="n">
        <v>13</v>
      </c>
      <c r="AB14" t="n">
        <v>18</v>
      </c>
      <c r="AC14" t="n">
        <v>6</v>
      </c>
      <c r="AD14" t="n">
        <v>16.1</v>
      </c>
      <c r="AE14" t="n">
        <v>12.5</v>
      </c>
      <c r="AF14" t="n">
        <v>15.7</v>
      </c>
    </row>
    <row r="15">
      <c r="A15" t="s">
        <v>42</v>
      </c>
      <c r="B15" t="s">
        <v>300</v>
      </c>
      <c r="C15" t="s">
        <v>217</v>
      </c>
      <c r="D15" t="s">
        <v>301</v>
      </c>
      <c r="E15" t="s">
        <v>218</v>
      </c>
      <c r="F15"/>
      <c r="G15" t="n">
        <v>13.1</v>
      </c>
      <c r="H15" t="n">
        <v>13.4</v>
      </c>
      <c r="I15" t="n">
        <v>16.5</v>
      </c>
      <c r="J15" t="n">
        <v>18.9</v>
      </c>
      <c r="K15" t="n">
        <v>22</v>
      </c>
      <c r="L15" t="n">
        <v>29.6</v>
      </c>
      <c r="M15" t="n">
        <v>27.8</v>
      </c>
      <c r="N15" t="n">
        <v>30.4</v>
      </c>
      <c r="O15" t="n">
        <v>33.7</v>
      </c>
      <c r="P15" t="n">
        <v>36.4</v>
      </c>
      <c r="Q15" t="n">
        <v>42.1</v>
      </c>
      <c r="R15" t="n">
        <v>54.5</v>
      </c>
      <c r="S15" t="n">
        <v>39.1</v>
      </c>
      <c r="T15" t="n">
        <v>42</v>
      </c>
      <c r="U15" t="n">
        <v>39.1</v>
      </c>
      <c r="V15" t="n">
        <v>33.1</v>
      </c>
      <c r="W15" t="n">
        <v>30.1</v>
      </c>
      <c r="X15" t="n">
        <v>33</v>
      </c>
      <c r="Y15" t="n">
        <v>29.5</v>
      </c>
      <c r="Z15" t="n">
        <v>15</v>
      </c>
      <c r="AA15" t="n">
        <v>20.8</v>
      </c>
      <c r="AB15" t="n">
        <v>28.4</v>
      </c>
      <c r="AC15" t="n">
        <v>16.1</v>
      </c>
      <c r="AD15" t="n">
        <v>29.8</v>
      </c>
      <c r="AE15" t="n">
        <v>29.7</v>
      </c>
      <c r="AF15" t="n">
        <v>44.4</v>
      </c>
    </row>
    <row r="16">
      <c r="A16" t="s">
        <v>42</v>
      </c>
      <c r="B16" t="s">
        <v>302</v>
      </c>
      <c r="C16" t="s">
        <v>217</v>
      </c>
      <c r="D16" t="s">
        <v>303</v>
      </c>
      <c r="E16" t="s">
        <v>218</v>
      </c>
      <c r="F16"/>
      <c r="G16" t="n">
        <v>4.1</v>
      </c>
      <c r="H16" t="n">
        <v>4.2</v>
      </c>
      <c r="I16" t="n">
        <v>5.5</v>
      </c>
      <c r="J16" t="n">
        <v>6.5</v>
      </c>
      <c r="K16" t="n">
        <v>6.9</v>
      </c>
      <c r="L16" t="n">
        <v>8.6</v>
      </c>
      <c r="M16" t="n">
        <v>8.3</v>
      </c>
      <c r="N16" t="n">
        <v>9.3</v>
      </c>
      <c r="O16" t="n">
        <v>10.7</v>
      </c>
      <c r="P16" t="n">
        <v>11.6</v>
      </c>
      <c r="Q16" t="n">
        <v>13.4</v>
      </c>
      <c r="R16" t="n">
        <v>18.3</v>
      </c>
      <c r="S16" t="n">
        <v>13.1</v>
      </c>
      <c r="T16" t="n">
        <v>14.1</v>
      </c>
      <c r="U16" t="n">
        <v>13.1</v>
      </c>
      <c r="V16" t="n">
        <v>11.1</v>
      </c>
      <c r="W16" t="n">
        <v>10.1</v>
      </c>
      <c r="X16" t="n">
        <v>11.1</v>
      </c>
      <c r="Y16" t="n">
        <v>9.9</v>
      </c>
      <c r="Z16" t="n">
        <v>5.7</v>
      </c>
      <c r="AA16" t="n">
        <v>7.8</v>
      </c>
      <c r="AB16" t="n">
        <v>10.4</v>
      </c>
      <c r="AC16" t="n">
        <v>10.1</v>
      </c>
      <c r="AD16" t="n">
        <v>13.7</v>
      </c>
      <c r="AE16" t="n">
        <v>17.2</v>
      </c>
      <c r="AF16" t="n">
        <v>28.7</v>
      </c>
    </row>
    <row r="17">
      <c r="A17" t="s">
        <v>42</v>
      </c>
      <c r="B17" t="s">
        <v>304</v>
      </c>
      <c r="C17" t="s">
        <v>217</v>
      </c>
      <c r="D17" t="s">
        <v>305</v>
      </c>
      <c r="E17" t="s">
        <v>218</v>
      </c>
      <c r="F17"/>
      <c r="G17" t="n">
        <v>2.7</v>
      </c>
      <c r="H17" t="n">
        <v>2.8</v>
      </c>
      <c r="I17" t="n">
        <v>3.5</v>
      </c>
      <c r="J17" t="n">
        <v>4</v>
      </c>
      <c r="K17" t="n">
        <v>4.5</v>
      </c>
      <c r="L17" t="n">
        <v>5.8</v>
      </c>
      <c r="M17" t="n">
        <v>5.6</v>
      </c>
      <c r="N17" t="n">
        <v>6.1</v>
      </c>
      <c r="O17" t="n">
        <v>6.9</v>
      </c>
      <c r="P17" t="n">
        <v>7.5</v>
      </c>
      <c r="Q17" t="n">
        <v>8.7</v>
      </c>
      <c r="R17" t="n">
        <v>11.6</v>
      </c>
      <c r="S17" t="n">
        <v>8.3</v>
      </c>
      <c r="T17" t="n">
        <v>8.9</v>
      </c>
      <c r="U17" t="n">
        <v>8.3</v>
      </c>
      <c r="V17" t="n">
        <v>7</v>
      </c>
      <c r="W17" t="n">
        <v>6.4</v>
      </c>
      <c r="X17" t="n">
        <v>7</v>
      </c>
      <c r="Y17" t="n">
        <v>6.2</v>
      </c>
      <c r="Z17" t="n">
        <v>5.6</v>
      </c>
      <c r="AA17" t="n">
        <v>7.7</v>
      </c>
      <c r="AB17" t="n">
        <v>9.2</v>
      </c>
      <c r="AC17" t="n">
        <v>4.7</v>
      </c>
      <c r="AD17" t="n">
        <v>8.1</v>
      </c>
      <c r="AE17" t="n">
        <v>9.7</v>
      </c>
      <c r="AF17" t="n">
        <v>10.1</v>
      </c>
    </row>
    <row r="18">
      <c r="A18" t="s">
        <v>42</v>
      </c>
      <c r="B18" t="s">
        <v>306</v>
      </c>
      <c r="C18" t="s">
        <v>217</v>
      </c>
      <c r="D18" t="s">
        <v>307</v>
      </c>
      <c r="E18" t="s">
        <v>218</v>
      </c>
      <c r="F18"/>
      <c r="G18" t="n">
        <v>2.9</v>
      </c>
      <c r="H18" t="n">
        <v>3</v>
      </c>
      <c r="I18" t="n">
        <v>3.7</v>
      </c>
      <c r="J18" t="n">
        <v>4.3</v>
      </c>
      <c r="K18" t="n">
        <v>4.9</v>
      </c>
      <c r="L18" t="n">
        <v>6.5</v>
      </c>
      <c r="M18" t="n">
        <v>6.1</v>
      </c>
      <c r="N18" t="n">
        <v>6.7</v>
      </c>
      <c r="O18" t="n">
        <v>7.5</v>
      </c>
      <c r="P18" t="n">
        <v>8.1</v>
      </c>
      <c r="Q18" t="n">
        <v>9.4</v>
      </c>
      <c r="R18" t="n">
        <v>12.3</v>
      </c>
      <c r="S18" t="n">
        <v>8.8</v>
      </c>
      <c r="T18" t="n">
        <v>9.5</v>
      </c>
      <c r="U18" t="n">
        <v>8.8</v>
      </c>
      <c r="V18" t="n">
        <v>7.5</v>
      </c>
      <c r="W18" t="n">
        <v>6.8</v>
      </c>
      <c r="X18" t="n">
        <v>7.5</v>
      </c>
      <c r="Y18" t="n">
        <v>6.7</v>
      </c>
      <c r="Z18" t="n">
        <v>0.5</v>
      </c>
      <c r="AA18" t="n">
        <v>0.7</v>
      </c>
      <c r="AB18" t="n">
        <v>0.7</v>
      </c>
      <c r="AC18" t="n">
        <v>0.3</v>
      </c>
      <c r="AD18" t="n">
        <v>0.5</v>
      </c>
      <c r="AE18" t="n">
        <v>1.8</v>
      </c>
      <c r="AF18" t="n">
        <v>4.8</v>
      </c>
    </row>
    <row r="19">
      <c r="A19" t="s">
        <v>42</v>
      </c>
      <c r="B19" t="s">
        <v>308</v>
      </c>
      <c r="C19" t="s">
        <v>217</v>
      </c>
      <c r="D19" t="s">
        <v>309</v>
      </c>
      <c r="E19" t="s">
        <v>218</v>
      </c>
      <c r="F19"/>
      <c r="G19" t="n">
        <v>2.2</v>
      </c>
      <c r="H19" t="n">
        <v>2.3</v>
      </c>
      <c r="I19" t="n">
        <v>2.8</v>
      </c>
      <c r="J19" t="n">
        <v>3.2</v>
      </c>
      <c r="K19" t="n">
        <v>3.7</v>
      </c>
      <c r="L19" t="n">
        <v>5.1</v>
      </c>
      <c r="M19" t="n">
        <v>4.8</v>
      </c>
      <c r="N19" t="n">
        <v>5.2</v>
      </c>
      <c r="O19" t="n">
        <v>5.7</v>
      </c>
      <c r="P19" t="n">
        <v>6.2</v>
      </c>
      <c r="Q19" t="n">
        <v>7.1</v>
      </c>
      <c r="R19" t="n">
        <v>9.2</v>
      </c>
      <c r="S19" t="n">
        <v>6.6</v>
      </c>
      <c r="T19" t="n">
        <v>7.1</v>
      </c>
      <c r="U19" t="n">
        <v>6.6</v>
      </c>
      <c r="V19" t="n">
        <v>5.6</v>
      </c>
      <c r="W19" t="n">
        <v>5.1</v>
      </c>
      <c r="X19" t="n">
        <v>5.6</v>
      </c>
      <c r="Y19" t="n">
        <v>5</v>
      </c>
      <c r="Z19" t="n">
        <v>1.8</v>
      </c>
      <c r="AA19" t="n">
        <v>2.5</v>
      </c>
      <c r="AB19" t="n">
        <v>2.4</v>
      </c>
      <c r="AC19" t="n">
        <v>2.2</v>
      </c>
      <c r="AD19" t="n">
        <v>2.6</v>
      </c>
      <c r="AE19" t="n">
        <v>2.3</v>
      </c>
      <c r="AF19" t="n">
        <v>6.3</v>
      </c>
    </row>
    <row r="20">
      <c r="A20" t="s">
        <v>42</v>
      </c>
      <c r="B20" t="s">
        <v>310</v>
      </c>
      <c r="C20" t="s">
        <v>217</v>
      </c>
      <c r="D20" t="s">
        <v>311</v>
      </c>
      <c r="E20" t="s">
        <v>218</v>
      </c>
      <c r="F20"/>
      <c r="G20" t="n">
        <v>1.7</v>
      </c>
      <c r="H20" t="n">
        <v>1.8</v>
      </c>
      <c r="I20" t="n">
        <v>2.1</v>
      </c>
      <c r="J20" t="n">
        <v>2.4</v>
      </c>
      <c r="K20" t="n">
        <v>2.9</v>
      </c>
      <c r="L20" t="n">
        <v>4</v>
      </c>
      <c r="M20" t="n">
        <v>3.7</v>
      </c>
      <c r="N20" t="n">
        <v>4</v>
      </c>
      <c r="O20" t="n">
        <v>4.4</v>
      </c>
      <c r="P20" t="n">
        <v>4.8</v>
      </c>
      <c r="Q20" t="n">
        <v>5.5</v>
      </c>
      <c r="R20" t="n">
        <v>7.1</v>
      </c>
      <c r="S20" t="n">
        <v>5.1</v>
      </c>
      <c r="T20" t="n">
        <v>5.4</v>
      </c>
      <c r="U20" t="n">
        <v>5.1</v>
      </c>
      <c r="V20" t="n">
        <v>4.3</v>
      </c>
      <c r="W20" t="n">
        <v>3.9</v>
      </c>
      <c r="X20" t="n">
        <v>4.3</v>
      </c>
      <c r="Y20" t="n">
        <v>3.8</v>
      </c>
      <c r="Z20" t="n">
        <v>6.3</v>
      </c>
      <c r="AA20" t="n">
        <v>8.7</v>
      </c>
      <c r="AB20" t="n">
        <v>14.4</v>
      </c>
      <c r="AC20" t="n">
        <v>13.9</v>
      </c>
      <c r="AD20" t="n">
        <v>11.2</v>
      </c>
      <c r="AE20" t="n">
        <v>16.7</v>
      </c>
      <c r="AF20" t="n">
        <v>12.8</v>
      </c>
    </row>
    <row r="21">
      <c r="A21" t="s">
        <v>42</v>
      </c>
      <c r="B21" t="s">
        <v>312</v>
      </c>
      <c r="C21" t="s">
        <v>217</v>
      </c>
      <c r="D21" t="s">
        <v>313</v>
      </c>
      <c r="E21" t="s">
        <v>218</v>
      </c>
      <c r="F21"/>
      <c r="G21" t="n">
        <v>2.7</v>
      </c>
      <c r="H21" t="n">
        <v>2.8</v>
      </c>
      <c r="I21" t="n">
        <v>3.4</v>
      </c>
      <c r="J21" t="n">
        <v>3.8</v>
      </c>
      <c r="K21" t="n">
        <v>4.6</v>
      </c>
      <c r="L21" t="n">
        <v>6.3</v>
      </c>
      <c r="M21" t="n">
        <v>5.9</v>
      </c>
      <c r="N21" t="n">
        <v>6.4</v>
      </c>
      <c r="O21" t="n">
        <v>7</v>
      </c>
      <c r="P21" t="n">
        <v>7.6</v>
      </c>
      <c r="Q21" t="n">
        <v>8.7</v>
      </c>
      <c r="R21" t="n">
        <v>11.2</v>
      </c>
      <c r="S21" t="n">
        <v>8.1</v>
      </c>
      <c r="T21" t="n">
        <v>8.6</v>
      </c>
      <c r="U21" t="n">
        <v>8.1</v>
      </c>
      <c r="V21" t="n">
        <v>6.8</v>
      </c>
      <c r="W21" t="n">
        <v>6.2</v>
      </c>
      <c r="X21" t="n">
        <v>6.8</v>
      </c>
      <c r="Y21" t="n">
        <v>6</v>
      </c>
      <c r="Z21" t="n">
        <v>8.3</v>
      </c>
      <c r="AA21" t="n">
        <v>11.5</v>
      </c>
      <c r="AB21" t="n">
        <v>16.7</v>
      </c>
      <c r="AC21" t="n">
        <v>15.5</v>
      </c>
      <c r="AD21" t="n">
        <v>15.6</v>
      </c>
      <c r="AE21" t="n">
        <v>22</v>
      </c>
      <c r="AF21" t="n">
        <v>20.6</v>
      </c>
    </row>
    <row r="22">
      <c r="A22" t="s">
        <v>42</v>
      </c>
      <c r="B22" t="s">
        <v>314</v>
      </c>
      <c r="C22" t="s">
        <v>217</v>
      </c>
      <c r="D22" t="s">
        <v>315</v>
      </c>
      <c r="E22" t="s">
        <v>218</v>
      </c>
      <c r="F22"/>
      <c r="G22" t="n">
        <v>1</v>
      </c>
      <c r="H22" t="n">
        <v>1</v>
      </c>
      <c r="I22" t="n">
        <v>1.3</v>
      </c>
      <c r="J22" t="n">
        <v>1.4</v>
      </c>
      <c r="K22" t="n">
        <v>1.7</v>
      </c>
      <c r="L22" t="n">
        <v>2.3</v>
      </c>
      <c r="M22" t="n">
        <v>2.2</v>
      </c>
      <c r="N22" t="n">
        <v>2.4</v>
      </c>
      <c r="O22" t="n">
        <v>2.6</v>
      </c>
      <c r="P22" t="n">
        <v>2.8</v>
      </c>
      <c r="Q22" t="n">
        <v>3.2</v>
      </c>
      <c r="R22" t="n">
        <v>4.1</v>
      </c>
      <c r="S22" t="n">
        <v>3</v>
      </c>
      <c r="T22" t="n">
        <v>3.2</v>
      </c>
      <c r="U22" t="n">
        <v>3</v>
      </c>
      <c r="V22" t="n">
        <v>2.5</v>
      </c>
      <c r="W22" t="n">
        <v>2.3</v>
      </c>
      <c r="X22" t="n">
        <v>2.5</v>
      </c>
      <c r="Y22" t="n">
        <v>2.2</v>
      </c>
      <c r="Z22" t="n">
        <v>2</v>
      </c>
      <c r="AA22" t="n">
        <v>2.8</v>
      </c>
      <c r="AB22" t="n">
        <v>2.3</v>
      </c>
      <c r="AC22" t="n">
        <v>1.6</v>
      </c>
      <c r="AD22" t="n">
        <v>4.4</v>
      </c>
      <c r="AE22" t="n">
        <v>5.3</v>
      </c>
      <c r="AF22" t="n">
        <v>7.8</v>
      </c>
    </row>
    <row r="23">
      <c r="A23" t="s">
        <v>42</v>
      </c>
      <c r="B23" t="s">
        <v>316</v>
      </c>
      <c r="C23" t="s">
        <v>217</v>
      </c>
      <c r="D23" t="s">
        <v>317</v>
      </c>
      <c r="E23" t="s">
        <v>218</v>
      </c>
      <c r="F23"/>
      <c r="G23" t="n">
        <v>2</v>
      </c>
      <c r="H23" t="n">
        <v>2.1</v>
      </c>
      <c r="I23" t="n">
        <v>3</v>
      </c>
      <c r="J23" t="n">
        <v>3.6</v>
      </c>
      <c r="K23" t="n">
        <v>3.4</v>
      </c>
      <c r="L23" t="n">
        <v>3.8</v>
      </c>
      <c r="M23" t="n">
        <v>3.8</v>
      </c>
      <c r="N23" t="n">
        <v>4.5</v>
      </c>
      <c r="O23" t="n">
        <v>5.4</v>
      </c>
      <c r="P23" t="n">
        <v>5.9</v>
      </c>
      <c r="Q23" t="n">
        <v>6.8</v>
      </c>
      <c r="R23" t="n">
        <v>10</v>
      </c>
      <c r="S23" t="n">
        <v>7.1</v>
      </c>
      <c r="T23" t="n">
        <v>7.7</v>
      </c>
      <c r="U23" t="n">
        <v>7.1</v>
      </c>
      <c r="V23" t="n">
        <v>6.1</v>
      </c>
      <c r="W23" t="n">
        <v>5.5</v>
      </c>
      <c r="X23" t="n">
        <v>6</v>
      </c>
      <c r="Y23" t="n">
        <v>5.4</v>
      </c>
      <c r="Z23" t="n">
        <v>2.6</v>
      </c>
      <c r="AA23" t="n">
        <v>3.6</v>
      </c>
      <c r="AB23" t="n">
        <v>10.3</v>
      </c>
      <c r="AC23" t="n">
        <v>12.3</v>
      </c>
      <c r="AD23" t="n">
        <v>18.7</v>
      </c>
      <c r="AE23" t="n">
        <v>10.5</v>
      </c>
      <c r="AF23" t="n">
        <v>11.8</v>
      </c>
    </row>
    <row r="24">
      <c r="A24" t="s">
        <v>42</v>
      </c>
      <c r="B24" t="s">
        <v>318</v>
      </c>
      <c r="C24" t="s">
        <v>217</v>
      </c>
      <c r="D24" t="s">
        <v>319</v>
      </c>
      <c r="E24" t="s">
        <v>218</v>
      </c>
      <c r="F24"/>
      <c r="G24" t="n">
        <v>11.5</v>
      </c>
      <c r="H24" t="n">
        <v>11.8</v>
      </c>
      <c r="I24" t="n">
        <v>15</v>
      </c>
      <c r="J24" t="n">
        <v>17.3</v>
      </c>
      <c r="K24" t="n">
        <v>19.2</v>
      </c>
      <c r="L24" t="n">
        <v>24.9</v>
      </c>
      <c r="M24" t="n">
        <v>23.8</v>
      </c>
      <c r="N24" t="n">
        <v>26.3</v>
      </c>
      <c r="O24" t="n">
        <v>29.7</v>
      </c>
      <c r="P24" t="n">
        <v>32.1</v>
      </c>
      <c r="Q24" t="n">
        <v>37.1</v>
      </c>
      <c r="R24" t="n">
        <v>49.5</v>
      </c>
      <c r="S24" t="n">
        <v>35.5</v>
      </c>
      <c r="T24" t="n">
        <v>38.1</v>
      </c>
      <c r="U24" t="n">
        <v>35.5</v>
      </c>
      <c r="V24" t="n">
        <v>30.1</v>
      </c>
      <c r="W24" t="n">
        <v>27.3</v>
      </c>
      <c r="X24" t="n">
        <v>30</v>
      </c>
      <c r="Y24" t="n">
        <v>26.8</v>
      </c>
      <c r="Z24" t="n">
        <v>70.6</v>
      </c>
      <c r="AA24" t="n">
        <v>98</v>
      </c>
      <c r="AB24" t="n">
        <v>83.9</v>
      </c>
      <c r="AC24" t="n">
        <v>70.3</v>
      </c>
      <c r="AD24" t="n">
        <v>83.8</v>
      </c>
      <c r="AE24" t="n">
        <v>100.1</v>
      </c>
      <c r="AF24" t="n">
        <v>130.6</v>
      </c>
    </row>
    <row r="25">
      <c r="A25" t="s">
        <v>42</v>
      </c>
      <c r="B25" t="s">
        <v>320</v>
      </c>
      <c r="C25" t="s">
        <v>217</v>
      </c>
      <c r="D25" t="s">
        <v>321</v>
      </c>
      <c r="E25" t="s">
        <v>218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42</v>
      </c>
      <c r="B26" t="s">
        <v>322</v>
      </c>
      <c r="C26" t="s">
        <v>217</v>
      </c>
      <c r="D26" t="s">
        <v>323</v>
      </c>
      <c r="E26" t="s">
        <v>218</v>
      </c>
      <c r="F26"/>
      <c r="G26" t="n">
        <v>11.5</v>
      </c>
      <c r="H26" t="n">
        <v>11.8</v>
      </c>
      <c r="I26" t="n">
        <v>15</v>
      </c>
      <c r="J26" t="n">
        <v>17.3</v>
      </c>
      <c r="K26" t="n">
        <v>19.2</v>
      </c>
      <c r="L26" t="n">
        <v>24.9</v>
      </c>
      <c r="M26" t="n">
        <v>23.8</v>
      </c>
      <c r="N26" t="n">
        <v>26.3</v>
      </c>
      <c r="O26" t="n">
        <v>29.7</v>
      </c>
      <c r="P26" t="n">
        <v>32.1</v>
      </c>
      <c r="Q26" t="n">
        <v>37.1</v>
      </c>
      <c r="R26" t="n">
        <v>49.5</v>
      </c>
      <c r="S26" t="n">
        <v>35.5</v>
      </c>
      <c r="T26" t="n">
        <v>38.1</v>
      </c>
      <c r="U26" t="n">
        <v>35.5</v>
      </c>
      <c r="V26" t="n">
        <v>30.1</v>
      </c>
      <c r="W26" t="n">
        <v>27.3</v>
      </c>
      <c r="X26" t="n">
        <v>30</v>
      </c>
      <c r="Y26" t="n">
        <v>26.8</v>
      </c>
      <c r="Z26" t="n">
        <v>70.6</v>
      </c>
      <c r="AA26" t="n">
        <v>98</v>
      </c>
      <c r="AB26" t="n">
        <v>83.9</v>
      </c>
      <c r="AC26" t="n">
        <v>70.2</v>
      </c>
      <c r="AD26" t="n">
        <v>80.6</v>
      </c>
      <c r="AE26" t="n">
        <v>95.1</v>
      </c>
      <c r="AF26" t="n">
        <v>127</v>
      </c>
    </row>
    <row r="27">
      <c r="A27" t="s">
        <v>42</v>
      </c>
      <c r="B27" t="s">
        <v>324</v>
      </c>
      <c r="C27" t="s">
        <v>217</v>
      </c>
      <c r="D27" t="s">
        <v>325</v>
      </c>
      <c r="E27" t="s">
        <v>218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3.2</v>
      </c>
      <c r="AE27" t="n">
        <v>5</v>
      </c>
      <c r="AF27" t="n">
        <v>3.6</v>
      </c>
    </row>
    <row r="28">
      <c r="A28" t="s">
        <v>42</v>
      </c>
      <c r="B28" t="s">
        <v>326</v>
      </c>
      <c r="C28" t="s">
        <v>217</v>
      </c>
      <c r="D28" t="s">
        <v>327</v>
      </c>
      <c r="E28" t="s">
        <v>218</v>
      </c>
      <c r="F28"/>
      <c r="G28" t="n">
        <v>0.1</v>
      </c>
      <c r="H28" t="n">
        <v>0.1</v>
      </c>
      <c r="I28" t="n">
        <v>0.1</v>
      </c>
      <c r="J28" t="n">
        <v>0.1</v>
      </c>
      <c r="K28" t="n">
        <v>0.1</v>
      </c>
      <c r="L28" t="n">
        <v>0.2</v>
      </c>
      <c r="M28" t="n">
        <v>0.2</v>
      </c>
      <c r="N28" t="n">
        <v>0.2</v>
      </c>
      <c r="O28" t="n">
        <v>0.2</v>
      </c>
      <c r="P28" t="n">
        <v>0.2</v>
      </c>
      <c r="Q28" t="n">
        <v>0.3</v>
      </c>
      <c r="R28" t="n">
        <v>0.3</v>
      </c>
      <c r="S28" t="n">
        <v>0.2</v>
      </c>
      <c r="T28" t="n">
        <v>0.3</v>
      </c>
      <c r="U28" t="n">
        <v>0.2</v>
      </c>
      <c r="V28" t="n">
        <v>0.2</v>
      </c>
      <c r="W28" t="n">
        <v>0.2</v>
      </c>
      <c r="X28" t="n">
        <v>0.2</v>
      </c>
      <c r="Y28" t="n">
        <v>0.2</v>
      </c>
      <c r="Z28" t="n">
        <v>1.3</v>
      </c>
      <c r="AA28" t="n">
        <v>1.8</v>
      </c>
      <c r="AB28" t="n">
        <v>22.4</v>
      </c>
      <c r="AC28" t="n">
        <v>28.7</v>
      </c>
      <c r="AD28" t="n">
        <v>34.5</v>
      </c>
      <c r="AE28" t="n">
        <v>33.7</v>
      </c>
      <c r="AF28" t="n">
        <v>41.6</v>
      </c>
    </row>
    <row r="29">
      <c r="A29" t="s">
        <v>42</v>
      </c>
      <c r="B29" t="s">
        <v>328</v>
      </c>
      <c r="C29" t="s">
        <v>217</v>
      </c>
      <c r="D29" t="s">
        <v>329</v>
      </c>
      <c r="E29" t="s">
        <v>218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0.1</v>
      </c>
      <c r="R29" t="n">
        <v>0.1</v>
      </c>
      <c r="S29" t="n">
        <v>0.1</v>
      </c>
      <c r="T29" t="n">
        <v>0.1</v>
      </c>
      <c r="U29" t="n">
        <v>0</v>
      </c>
      <c r="V29" t="n">
        <v>0</v>
      </c>
      <c r="W29" t="n">
        <v>0.1</v>
      </c>
      <c r="X29" t="n">
        <v>0.1</v>
      </c>
      <c r="Y29" t="n">
        <v>0.1</v>
      </c>
      <c r="Z29" t="n">
        <v>0.3</v>
      </c>
      <c r="AA29" t="n">
        <v>0.4</v>
      </c>
      <c r="AB29" t="n">
        <v>11.9</v>
      </c>
      <c r="AC29" t="n">
        <v>18.2</v>
      </c>
      <c r="AD29" t="n">
        <v>19</v>
      </c>
      <c r="AE29" t="n">
        <v>19.7</v>
      </c>
      <c r="AF29" t="n">
        <v>16.2</v>
      </c>
    </row>
    <row r="30">
      <c r="A30" t="s">
        <v>42</v>
      </c>
      <c r="B30" t="s">
        <v>330</v>
      </c>
      <c r="C30" t="s">
        <v>217</v>
      </c>
      <c r="D30" t="s">
        <v>331</v>
      </c>
      <c r="E30" t="s">
        <v>218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42</v>
      </c>
      <c r="B31" t="s">
        <v>332</v>
      </c>
      <c r="C31" t="s">
        <v>217</v>
      </c>
      <c r="D31" t="s">
        <v>333</v>
      </c>
      <c r="E31" t="s">
        <v>218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0.3</v>
      </c>
      <c r="AA31" t="n">
        <v>0.4</v>
      </c>
      <c r="AB31" t="n">
        <v>0</v>
      </c>
      <c r="AC31" t="n">
        <v>0</v>
      </c>
      <c r="AD31" t="n">
        <v>0.3</v>
      </c>
      <c r="AE31" t="n">
        <v>0.3</v>
      </c>
      <c r="AF31" t="n">
        <v>6.5</v>
      </c>
    </row>
    <row r="32">
      <c r="A32" t="s">
        <v>42</v>
      </c>
      <c r="B32" t="s">
        <v>334</v>
      </c>
      <c r="C32" t="s">
        <v>217</v>
      </c>
      <c r="D32" t="s">
        <v>335</v>
      </c>
      <c r="E32" t="s">
        <v>218</v>
      </c>
      <c r="F32"/>
      <c r="G32" t="n">
        <v>0.1</v>
      </c>
      <c r="H32" t="n">
        <v>0.1</v>
      </c>
      <c r="I32" t="n">
        <v>0.1</v>
      </c>
      <c r="J32" t="n">
        <v>0.1</v>
      </c>
      <c r="K32" t="n">
        <v>0.1</v>
      </c>
      <c r="L32" t="n">
        <v>0.1</v>
      </c>
      <c r="M32" t="n">
        <v>0.1</v>
      </c>
      <c r="N32" t="n">
        <v>0.1</v>
      </c>
      <c r="O32" t="n">
        <v>0.1</v>
      </c>
      <c r="P32" t="n">
        <v>0.1</v>
      </c>
      <c r="Q32" t="n">
        <v>0.2</v>
      </c>
      <c r="R32" t="n">
        <v>0.2</v>
      </c>
      <c r="S32" t="n">
        <v>0.1</v>
      </c>
      <c r="T32" t="n">
        <v>0.2</v>
      </c>
      <c r="U32" t="n">
        <v>0.1</v>
      </c>
      <c r="V32" t="n">
        <v>0.1</v>
      </c>
      <c r="W32" t="n">
        <v>0.1</v>
      </c>
      <c r="X32" t="n">
        <v>0.1</v>
      </c>
      <c r="Y32" t="n">
        <v>0.1</v>
      </c>
      <c r="Z32" t="n">
        <v>0.6</v>
      </c>
      <c r="AA32" t="n">
        <v>0.8</v>
      </c>
      <c r="AB32" t="n">
        <v>10</v>
      </c>
      <c r="AC32" t="n">
        <v>9.7</v>
      </c>
      <c r="AD32" t="n">
        <v>14</v>
      </c>
      <c r="AE32" t="n">
        <v>12.2</v>
      </c>
      <c r="AF32" t="n">
        <v>15.8</v>
      </c>
    </row>
    <row r="33">
      <c r="A33" t="s">
        <v>42</v>
      </c>
      <c r="B33" t="s">
        <v>336</v>
      </c>
      <c r="C33" t="s">
        <v>217</v>
      </c>
      <c r="D33" t="s">
        <v>337</v>
      </c>
      <c r="E33" t="s">
        <v>218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0.1</v>
      </c>
      <c r="AA33" t="n">
        <v>0.2</v>
      </c>
      <c r="AB33" t="n">
        <v>0.5</v>
      </c>
      <c r="AC33" t="n">
        <v>0.8</v>
      </c>
      <c r="AD33" t="n">
        <v>1.2</v>
      </c>
      <c r="AE33" t="n">
        <v>1.5</v>
      </c>
      <c r="AF33" t="n">
        <v>3.1</v>
      </c>
    </row>
    <row r="34">
      <c r="A34" t="s">
        <v>42</v>
      </c>
      <c r="B34" t="s">
        <v>338</v>
      </c>
      <c r="C34" t="s">
        <v>217</v>
      </c>
      <c r="D34" t="s">
        <v>339</v>
      </c>
      <c r="E34" t="s">
        <v>218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0.1</v>
      </c>
      <c r="M34" t="n">
        <v>0.1</v>
      </c>
      <c r="N34" t="n">
        <v>0.1</v>
      </c>
      <c r="O34" t="n">
        <v>0.1</v>
      </c>
      <c r="P34" t="n">
        <v>0.1</v>
      </c>
      <c r="Q34" t="n">
        <v>0.1</v>
      </c>
      <c r="R34" t="n">
        <v>0.1</v>
      </c>
      <c r="S34" t="n">
        <v>0.1</v>
      </c>
      <c r="T34" t="n">
        <v>0.1</v>
      </c>
      <c r="U34" t="n">
        <v>0.1</v>
      </c>
      <c r="V34" t="n">
        <v>0.1</v>
      </c>
      <c r="W34" t="n">
        <v>0.1</v>
      </c>
      <c r="X34" t="n">
        <v>0.1</v>
      </c>
      <c r="Y34" t="n">
        <v>0.1</v>
      </c>
      <c r="Z34" t="n">
        <v>0.4</v>
      </c>
      <c r="AA34" t="n">
        <v>0.6</v>
      </c>
      <c r="AB34" t="n">
        <v>0</v>
      </c>
      <c r="AC34" t="n">
        <v>0.2</v>
      </c>
      <c r="AD34" t="n">
        <v>0.1</v>
      </c>
      <c r="AE34" t="n">
        <v>0.4</v>
      </c>
      <c r="AF34" t="n">
        <v>0</v>
      </c>
    </row>
    <row r="35">
      <c r="A35" t="s">
        <v>42</v>
      </c>
      <c r="B35" t="s">
        <v>340</v>
      </c>
      <c r="C35" t="s">
        <v>217</v>
      </c>
      <c r="D35" t="s">
        <v>341</v>
      </c>
      <c r="E35" t="s">
        <v>218</v>
      </c>
      <c r="F35"/>
      <c r="G35" t="n">
        <v>27.7</v>
      </c>
      <c r="H35" t="n">
        <v>28.5</v>
      </c>
      <c r="I35" t="n">
        <v>35.9</v>
      </c>
      <c r="J35" t="n">
        <v>41.6</v>
      </c>
      <c r="K35" t="n">
        <v>46.5</v>
      </c>
      <c r="L35" t="n">
        <v>60.8</v>
      </c>
      <c r="M35" t="n">
        <v>57.9</v>
      </c>
      <c r="N35" t="n">
        <v>63.8</v>
      </c>
      <c r="O35" t="n">
        <v>71.8</v>
      </c>
      <c r="P35" t="n">
        <v>77.6</v>
      </c>
      <c r="Q35" t="n">
        <v>89.7</v>
      </c>
      <c r="R35" t="n">
        <v>118.9</v>
      </c>
      <c r="S35" t="n">
        <v>85.2</v>
      </c>
      <c r="T35" t="n">
        <v>91.5</v>
      </c>
      <c r="U35" t="n">
        <v>85.2</v>
      </c>
      <c r="V35" t="n">
        <v>72.2</v>
      </c>
      <c r="W35" t="n">
        <v>65.6</v>
      </c>
      <c r="X35" t="n">
        <v>72</v>
      </c>
      <c r="Y35" t="n">
        <v>64.3</v>
      </c>
      <c r="Z35" t="n">
        <v>61.8</v>
      </c>
      <c r="AA35" t="n">
        <v>85.7</v>
      </c>
      <c r="AB35" t="n">
        <v>127.6</v>
      </c>
      <c r="AC35" t="n">
        <v>99</v>
      </c>
      <c r="AD35" t="n">
        <v>149.8</v>
      </c>
      <c r="AE35" t="n">
        <v>188.3</v>
      </c>
      <c r="AF35" t="n">
        <v>229.5</v>
      </c>
    </row>
    <row r="36">
      <c r="A36" t="s">
        <v>42</v>
      </c>
      <c r="B36" t="s">
        <v>342</v>
      </c>
      <c r="C36" t="s">
        <v>217</v>
      </c>
      <c r="D36" t="s">
        <v>343</v>
      </c>
      <c r="E36" t="s">
        <v>218</v>
      </c>
      <c r="F36" t="n">
        <v>0</v>
      </c>
      <c r="G36" t="n">
        <v>0</v>
      </c>
      <c r="H36" t="n">
        <v>0</v>
      </c>
      <c r="I36" t="n">
        <v>0</v>
      </c>
      <c r="J36" t="n">
        <v>0.1</v>
      </c>
      <c r="K36" t="n">
        <v>0.1</v>
      </c>
      <c r="L36" t="n">
        <v>0.1</v>
      </c>
      <c r="M36" t="n">
        <v>0.1</v>
      </c>
      <c r="N36" t="n">
        <v>0.1</v>
      </c>
      <c r="O36" t="n">
        <v>0.1</v>
      </c>
      <c r="P36" t="n">
        <v>0.1</v>
      </c>
      <c r="Q36" t="n">
        <v>0.1</v>
      </c>
      <c r="R36" t="n">
        <v>0.2</v>
      </c>
      <c r="S36" t="n">
        <v>0.1</v>
      </c>
      <c r="T36" t="n">
        <v>0.1</v>
      </c>
      <c r="U36" t="n">
        <v>0.1</v>
      </c>
      <c r="V36" t="n">
        <v>0.1</v>
      </c>
      <c r="W36" t="n">
        <v>0.1</v>
      </c>
      <c r="X36" t="n">
        <v>0.1</v>
      </c>
      <c r="Y36" t="n">
        <v>0.1</v>
      </c>
      <c r="Z36" t="n">
        <v>2.5</v>
      </c>
      <c r="AA36" t="n">
        <v>3.4</v>
      </c>
      <c r="AB36" t="n">
        <v>2.6</v>
      </c>
      <c r="AC36" t="n">
        <v>4.1</v>
      </c>
      <c r="AD36" t="n">
        <v>20.2</v>
      </c>
      <c r="AE36" t="n">
        <v>24.7</v>
      </c>
      <c r="AF36" t="n">
        <v>34.9</v>
      </c>
    </row>
    <row r="37">
      <c r="A37" t="s">
        <v>42</v>
      </c>
      <c r="B37" t="s">
        <v>344</v>
      </c>
      <c r="C37" t="s">
        <v>217</v>
      </c>
      <c r="D37" t="s">
        <v>345</v>
      </c>
      <c r="E37" t="s">
        <v>218</v>
      </c>
      <c r="F37"/>
      <c r="G37" t="n">
        <v>10.2</v>
      </c>
      <c r="H37" t="n">
        <v>10.7</v>
      </c>
      <c r="I37" t="n">
        <v>14.5</v>
      </c>
      <c r="J37" t="n">
        <v>17.4</v>
      </c>
      <c r="K37" t="n">
        <v>17.2</v>
      </c>
      <c r="L37" t="n">
        <v>20.1</v>
      </c>
      <c r="M37" t="n">
        <v>20</v>
      </c>
      <c r="N37" t="n">
        <v>22.9</v>
      </c>
      <c r="O37" t="n">
        <v>27.2</v>
      </c>
      <c r="P37" t="n">
        <v>29.4</v>
      </c>
      <c r="Q37" t="n">
        <v>34</v>
      </c>
      <c r="R37" t="n">
        <v>48.4</v>
      </c>
      <c r="S37" t="n">
        <v>34.7</v>
      </c>
      <c r="T37" t="n">
        <v>37.3</v>
      </c>
      <c r="U37" t="n">
        <v>34.7</v>
      </c>
      <c r="V37" t="n">
        <v>29.4</v>
      </c>
      <c r="W37" t="n">
        <v>26.7</v>
      </c>
      <c r="X37" t="n">
        <v>29.3</v>
      </c>
      <c r="Y37" t="n">
        <v>26.2</v>
      </c>
      <c r="Z37" t="n">
        <v>7.1</v>
      </c>
      <c r="AA37" t="n">
        <v>9.9</v>
      </c>
      <c r="AB37" t="n">
        <v>37.1</v>
      </c>
      <c r="AC37" t="n">
        <v>33.5</v>
      </c>
      <c r="AD37" t="n">
        <v>31.7</v>
      </c>
      <c r="AE37" t="n">
        <v>33.7</v>
      </c>
      <c r="AF37" t="n">
        <v>29.4</v>
      </c>
    </row>
    <row r="38">
      <c r="A38" t="s">
        <v>42</v>
      </c>
      <c r="B38" t="s">
        <v>346</v>
      </c>
      <c r="C38" t="s">
        <v>217</v>
      </c>
      <c r="D38" t="s">
        <v>347</v>
      </c>
      <c r="E38" t="s">
        <v>218</v>
      </c>
      <c r="F38"/>
      <c r="G38" t="n">
        <v>17.5</v>
      </c>
      <c r="H38" t="n">
        <v>17.8</v>
      </c>
      <c r="I38" t="n">
        <v>21.4</v>
      </c>
      <c r="J38" t="n">
        <v>24.1</v>
      </c>
      <c r="K38" t="n">
        <v>29.2</v>
      </c>
      <c r="L38" t="n">
        <v>40.6</v>
      </c>
      <c r="M38" t="n">
        <v>37.8</v>
      </c>
      <c r="N38" t="n">
        <v>40.8</v>
      </c>
      <c r="O38" t="n">
        <v>44.5</v>
      </c>
      <c r="P38" t="n">
        <v>48.1</v>
      </c>
      <c r="Q38" t="n">
        <v>55.6</v>
      </c>
      <c r="R38" t="n">
        <v>70.3</v>
      </c>
      <c r="S38" t="n">
        <v>50.4</v>
      </c>
      <c r="T38" t="n">
        <v>54.1</v>
      </c>
      <c r="U38" t="n">
        <v>50.4</v>
      </c>
      <c r="V38" t="n">
        <v>42.7</v>
      </c>
      <c r="W38" t="n">
        <v>38.8</v>
      </c>
      <c r="X38" t="n">
        <v>42.6</v>
      </c>
      <c r="Y38" t="n">
        <v>38</v>
      </c>
      <c r="Z38" t="n">
        <v>52.2</v>
      </c>
      <c r="AA38" t="n">
        <v>72.4</v>
      </c>
      <c r="AB38" t="n">
        <v>87.9</v>
      </c>
      <c r="AC38" t="n">
        <v>61.4</v>
      </c>
      <c r="AD38" t="n">
        <v>97.9</v>
      </c>
      <c r="AE38" t="n">
        <v>129.9</v>
      </c>
      <c r="AF38" t="n">
        <v>165.2</v>
      </c>
    </row>
    <row r="39">
      <c r="A39" t="s">
        <v>42</v>
      </c>
      <c r="B39" t="s">
        <v>348</v>
      </c>
      <c r="C39" t="s">
        <v>217</v>
      </c>
      <c r="D39" t="s">
        <v>349</v>
      </c>
      <c r="E39" t="s">
        <v>218</v>
      </c>
      <c r="F39"/>
      <c r="G39" t="n">
        <v>11.7</v>
      </c>
      <c r="H39" t="n">
        <v>12.4</v>
      </c>
      <c r="I39" t="n">
        <v>15.7</v>
      </c>
      <c r="J39" t="n">
        <v>20.5</v>
      </c>
      <c r="K39" t="n">
        <v>26.5</v>
      </c>
      <c r="L39" t="n">
        <v>33.1</v>
      </c>
      <c r="M39" t="n">
        <v>33.8</v>
      </c>
      <c r="N39" t="n">
        <v>33.7</v>
      </c>
      <c r="O39" t="n">
        <v>35.9</v>
      </c>
      <c r="P39" t="n">
        <v>40.6</v>
      </c>
      <c r="Q39" t="n">
        <v>43.6</v>
      </c>
      <c r="R39" t="n">
        <v>47</v>
      </c>
      <c r="S39" t="n">
        <v>46.5</v>
      </c>
      <c r="T39" t="n">
        <v>52.2</v>
      </c>
      <c r="U39" t="n">
        <v>37</v>
      </c>
      <c r="V39" t="n">
        <v>34.8</v>
      </c>
      <c r="W39" t="n">
        <v>32.5</v>
      </c>
      <c r="X39" t="n">
        <v>35.6</v>
      </c>
      <c r="Y39" t="n">
        <v>36</v>
      </c>
      <c r="Z39" t="n">
        <v>88.6</v>
      </c>
      <c r="AA39" t="n">
        <v>122.2</v>
      </c>
      <c r="AB39" t="n">
        <v>100</v>
      </c>
      <c r="AC39" t="n">
        <v>109.9</v>
      </c>
      <c r="AD39" t="n">
        <v>102.8</v>
      </c>
      <c r="AE39" t="n">
        <v>105.2</v>
      </c>
      <c r="AF39" t="n">
        <v>102</v>
      </c>
    </row>
    <row r="40">
      <c r="A40" t="s">
        <v>42</v>
      </c>
      <c r="B40" t="s">
        <v>350</v>
      </c>
      <c r="C40" t="s">
        <v>217</v>
      </c>
      <c r="D40" t="s">
        <v>351</v>
      </c>
      <c r="E40" t="s">
        <v>218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0.1</v>
      </c>
      <c r="AB40" t="n">
        <v>0</v>
      </c>
      <c r="AC40" t="n">
        <v>0</v>
      </c>
      <c r="AD40" t="n">
        <v>0.2</v>
      </c>
      <c r="AE40" t="n">
        <v>0</v>
      </c>
      <c r="AF40" t="n">
        <v>0</v>
      </c>
    </row>
    <row r="41">
      <c r="A41" t="s">
        <v>42</v>
      </c>
      <c r="B41" t="s">
        <v>352</v>
      </c>
      <c r="C41" t="s">
        <v>217</v>
      </c>
      <c r="D41" t="s">
        <v>353</v>
      </c>
      <c r="E41" t="s">
        <v>218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42</v>
      </c>
      <c r="B42" t="s">
        <v>354</v>
      </c>
      <c r="C42" t="s">
        <v>217</v>
      </c>
      <c r="D42" t="s">
        <v>355</v>
      </c>
      <c r="E42" t="s">
        <v>218</v>
      </c>
      <c r="F42"/>
      <c r="G42" t="n">
        <v>143.9</v>
      </c>
      <c r="H42" t="n">
        <v>161.7</v>
      </c>
      <c r="I42" t="n">
        <v>179.2</v>
      </c>
      <c r="J42" t="n">
        <v>191.3</v>
      </c>
      <c r="K42" t="n">
        <v>205.9</v>
      </c>
      <c r="L42" t="n">
        <v>247.5</v>
      </c>
      <c r="M42" t="n">
        <v>254.5</v>
      </c>
      <c r="N42" t="n">
        <v>277.5</v>
      </c>
      <c r="O42" t="n">
        <v>302.3</v>
      </c>
      <c r="P42" t="n">
        <v>318</v>
      </c>
      <c r="Q42" t="n">
        <v>356.4</v>
      </c>
      <c r="R42" t="n">
        <v>427</v>
      </c>
      <c r="S42" t="n">
        <v>350.9</v>
      </c>
      <c r="T42" t="n">
        <v>345.5</v>
      </c>
      <c r="U42" t="n">
        <v>278.9</v>
      </c>
      <c r="V42" t="n">
        <v>271.8</v>
      </c>
      <c r="W42" t="n">
        <v>297.4</v>
      </c>
      <c r="X42" t="n">
        <v>331.9</v>
      </c>
      <c r="Y42" t="n">
        <v>298</v>
      </c>
      <c r="Z42" t="n">
        <v>312.8</v>
      </c>
      <c r="AA42" t="n">
        <v>291</v>
      </c>
      <c r="AB42" t="n">
        <v>317.2</v>
      </c>
      <c r="AC42" t="n">
        <v>298.9</v>
      </c>
      <c r="AD42" t="n">
        <v>350.8</v>
      </c>
      <c r="AE42" t="n">
        <v>397</v>
      </c>
      <c r="AF42" t="n">
        <v>438.1</v>
      </c>
    </row>
    <row r="43">
      <c r="A43" t="s">
        <v>42</v>
      </c>
      <c r="B43" t="s">
        <v>356</v>
      </c>
      <c r="C43" t="s">
        <v>217</v>
      </c>
      <c r="D43" t="s">
        <v>357</v>
      </c>
      <c r="E43" t="s">
        <v>218</v>
      </c>
      <c r="F43"/>
      <c r="G43" t="n">
        <v>144.1</v>
      </c>
      <c r="H43" t="n">
        <v>161.9</v>
      </c>
      <c r="I43" t="n">
        <v>179.5</v>
      </c>
      <c r="J43" t="n">
        <v>191.6</v>
      </c>
      <c r="K43" t="n">
        <v>206.2</v>
      </c>
      <c r="L43" t="n">
        <v>247.9</v>
      </c>
      <c r="M43" t="n">
        <v>254.9</v>
      </c>
      <c r="N43" t="n">
        <v>277.9</v>
      </c>
      <c r="O43" t="n">
        <v>302.8</v>
      </c>
      <c r="P43" t="n">
        <v>318.5</v>
      </c>
      <c r="Q43" t="n">
        <v>357</v>
      </c>
      <c r="R43" t="n">
        <v>427.9</v>
      </c>
      <c r="S43" t="n">
        <v>351.5</v>
      </c>
      <c r="T43" t="n">
        <v>346.2</v>
      </c>
      <c r="U43" t="n">
        <v>279.5</v>
      </c>
      <c r="V43" t="n">
        <v>272.3</v>
      </c>
      <c r="W43" t="n">
        <v>297.9</v>
      </c>
      <c r="X43" t="n">
        <v>332.4</v>
      </c>
      <c r="Y43" t="n">
        <v>298.5</v>
      </c>
      <c r="Z43" t="n">
        <v>312.8</v>
      </c>
      <c r="AA43" t="n">
        <v>291</v>
      </c>
      <c r="AB43" t="n">
        <v>319.3</v>
      </c>
      <c r="AC43" t="n">
        <v>299.3</v>
      </c>
      <c r="AD43" t="n">
        <v>351.1</v>
      </c>
      <c r="AE43" t="n">
        <v>399.5</v>
      </c>
      <c r="AF43" t="n">
        <v>442.7</v>
      </c>
    </row>
    <row r="44">
      <c r="A44" t="s">
        <v>42</v>
      </c>
      <c r="B44" t="s">
        <v>358</v>
      </c>
      <c r="C44" t="s">
        <v>217</v>
      </c>
      <c r="D44" t="s">
        <v>359</v>
      </c>
      <c r="E44" t="s">
        <v>218</v>
      </c>
      <c r="F44"/>
      <c r="G44" t="n">
        <v>279.9</v>
      </c>
      <c r="H44" t="n">
        <v>302.1</v>
      </c>
      <c r="I44" t="n">
        <v>355.7</v>
      </c>
      <c r="J44" t="n">
        <v>396.8</v>
      </c>
      <c r="K44" t="n">
        <v>439.6</v>
      </c>
      <c r="L44" t="n">
        <v>552</v>
      </c>
      <c r="M44" t="n">
        <v>547</v>
      </c>
      <c r="N44" t="n">
        <v>595.7</v>
      </c>
      <c r="O44" t="n">
        <v>657.7</v>
      </c>
      <c r="P44" t="n">
        <v>703.6</v>
      </c>
      <c r="Q44" t="n">
        <v>798.6</v>
      </c>
      <c r="R44" t="n">
        <v>1001.6</v>
      </c>
      <c r="S44" t="n">
        <v>776.6</v>
      </c>
      <c r="T44" t="n">
        <v>804.7</v>
      </c>
      <c r="U44" t="n">
        <v>693.7</v>
      </c>
      <c r="V44" t="n">
        <v>627.6</v>
      </c>
      <c r="W44" t="n">
        <v>622.7</v>
      </c>
      <c r="X44" t="n">
        <v>688.6</v>
      </c>
      <c r="Y44" t="n">
        <v>620.7</v>
      </c>
      <c r="Z44" t="n">
        <v>680.4</v>
      </c>
      <c r="AA44" t="n">
        <v>792.6</v>
      </c>
      <c r="AB44" t="n">
        <v>930.6</v>
      </c>
      <c r="AC44" t="n">
        <v>847.8</v>
      </c>
      <c r="AD44" t="n">
        <v>1045.5</v>
      </c>
      <c r="AE44" t="n">
        <v>1206.5</v>
      </c>
      <c r="AF44" t="n">
        <v>1400.3</v>
      </c>
    </row>
    <row r="45">
      <c r="A45" t="s">
        <v>42</v>
      </c>
      <c r="B45" t="s">
        <v>360</v>
      </c>
      <c r="C45" t="s">
        <v>217</v>
      </c>
      <c r="D45" t="s">
        <v>361</v>
      </c>
      <c r="E45" t="s">
        <v>218</v>
      </c>
      <c r="F45"/>
      <c r="G45" t="n">
        <v>279.2</v>
      </c>
      <c r="H45" t="n">
        <v>301.4</v>
      </c>
      <c r="I45" t="n">
        <v>354.9</v>
      </c>
      <c r="J45" t="n">
        <v>395.9</v>
      </c>
      <c r="K45" t="n">
        <v>438.5</v>
      </c>
      <c r="L45" t="n">
        <v>550.4</v>
      </c>
      <c r="M45" t="n">
        <v>545.5</v>
      </c>
      <c r="N45" t="n">
        <v>594.1</v>
      </c>
      <c r="O45" t="n">
        <v>656</v>
      </c>
      <c r="P45" t="n">
        <v>701.8</v>
      </c>
      <c r="Q45" t="n">
        <v>796.5</v>
      </c>
      <c r="R45" t="n">
        <v>999</v>
      </c>
      <c r="S45" t="n">
        <v>774.7</v>
      </c>
      <c r="T45" t="n">
        <v>802.7</v>
      </c>
      <c r="U45" t="n">
        <v>691.8</v>
      </c>
      <c r="V45" t="n">
        <v>626</v>
      </c>
      <c r="W45" t="n">
        <v>621.3</v>
      </c>
      <c r="X45" t="n">
        <v>687</v>
      </c>
      <c r="Y45" t="n">
        <v>619.3</v>
      </c>
      <c r="Z45" t="n">
        <v>679.2</v>
      </c>
      <c r="AA45" t="n">
        <v>790.9</v>
      </c>
      <c r="AB45" t="n">
        <v>928</v>
      </c>
      <c r="AC45" t="n">
        <v>846</v>
      </c>
      <c r="AD45" t="n">
        <v>1039.2</v>
      </c>
      <c r="AE45" t="n">
        <v>1198.6</v>
      </c>
      <c r="AF45" t="n">
        <v>1384.8</v>
      </c>
    </row>
    <row r="46">
      <c r="A46" t="s">
        <v>42</v>
      </c>
      <c r="B46" t="s">
        <v>362</v>
      </c>
      <c r="C46" t="s">
        <v>217</v>
      </c>
      <c r="D46" t="s">
        <v>363</v>
      </c>
      <c r="E46" t="s">
        <v>218</v>
      </c>
      <c r="F46"/>
      <c r="G46" t="n">
        <v>0.2</v>
      </c>
      <c r="H46" t="n">
        <v>0.2</v>
      </c>
      <c r="I46" t="n">
        <v>0.3</v>
      </c>
      <c r="J46" t="n">
        <v>0.3</v>
      </c>
      <c r="K46" t="n">
        <v>0.3</v>
      </c>
      <c r="L46" t="n">
        <v>0.4</v>
      </c>
      <c r="M46" t="n">
        <v>0.4</v>
      </c>
      <c r="N46" t="n">
        <v>0.4</v>
      </c>
      <c r="O46" t="n">
        <v>0.5</v>
      </c>
      <c r="P46" t="n">
        <v>0.5</v>
      </c>
      <c r="Q46" t="n">
        <v>0.6</v>
      </c>
      <c r="R46" t="n">
        <v>0.9</v>
      </c>
      <c r="S46" t="n">
        <v>0.6</v>
      </c>
      <c r="T46" t="n">
        <v>0.7</v>
      </c>
      <c r="U46" t="n">
        <v>0.6</v>
      </c>
      <c r="V46" t="n">
        <v>0.5</v>
      </c>
      <c r="W46" t="n">
        <v>0.5</v>
      </c>
      <c r="X46" t="n">
        <v>0.5</v>
      </c>
      <c r="Y46" t="n">
        <v>0.5</v>
      </c>
      <c r="Z46" t="n">
        <v>0</v>
      </c>
      <c r="AA46" t="n">
        <v>0</v>
      </c>
      <c r="AB46" t="n">
        <v>2.1</v>
      </c>
      <c r="AC46" t="n">
        <v>0.4</v>
      </c>
      <c r="AD46" t="n">
        <v>0.3</v>
      </c>
      <c r="AE46" t="n">
        <v>2.5</v>
      </c>
      <c r="AF46" t="n">
        <v>4.6</v>
      </c>
    </row>
    <row r="47">
      <c r="A47" t="s">
        <v>42</v>
      </c>
      <c r="B47" t="s">
        <v>364</v>
      </c>
      <c r="C47" t="s">
        <v>217</v>
      </c>
      <c r="D47" t="s">
        <v>365</v>
      </c>
      <c r="E47" t="s">
        <v>218</v>
      </c>
      <c r="F47"/>
      <c r="G47" t="n">
        <v>48.3</v>
      </c>
      <c r="H47" t="n">
        <v>58.6</v>
      </c>
      <c r="I47" t="n">
        <v>69.8</v>
      </c>
      <c r="J47" t="n">
        <v>87.6</v>
      </c>
      <c r="K47" t="n">
        <v>90.7</v>
      </c>
      <c r="L47" t="n">
        <v>95.8</v>
      </c>
      <c r="M47" t="n">
        <v>105.7</v>
      </c>
      <c r="N47" t="n">
        <v>112.4</v>
      </c>
      <c r="O47" t="n">
        <v>116.4</v>
      </c>
      <c r="P47" t="n">
        <v>131.2</v>
      </c>
      <c r="Q47" t="n">
        <v>140.7</v>
      </c>
      <c r="R47" t="n">
        <v>157</v>
      </c>
      <c r="S47" t="n">
        <v>185.7</v>
      </c>
      <c r="T47" t="n">
        <v>171.8</v>
      </c>
      <c r="U47" t="n">
        <v>106.5</v>
      </c>
      <c r="V47" t="n">
        <v>115.1</v>
      </c>
      <c r="W47" t="n">
        <v>117.6</v>
      </c>
      <c r="X47" t="n">
        <v>131.8</v>
      </c>
      <c r="Y47" t="n">
        <v>134.9</v>
      </c>
      <c r="Z47" t="n">
        <v>204</v>
      </c>
      <c r="AA47" t="n">
        <v>178.1</v>
      </c>
      <c r="AB47" t="n">
        <v>153.7</v>
      </c>
      <c r="AC47" t="n">
        <v>181.6</v>
      </c>
      <c r="AD47" t="n">
        <v>159</v>
      </c>
      <c r="AE47" t="n">
        <v>167.5</v>
      </c>
      <c r="AF47" t="n">
        <v>177.9</v>
      </c>
    </row>
    <row r="48">
      <c r="A48" t="s">
        <v>42</v>
      </c>
      <c r="B48" t="s">
        <v>366</v>
      </c>
      <c r="C48" t="s">
        <v>217</v>
      </c>
      <c r="D48" t="s">
        <v>367</v>
      </c>
      <c r="E48" t="s">
        <v>218</v>
      </c>
      <c r="F48"/>
      <c r="G48" t="n">
        <v>408.4</v>
      </c>
      <c r="H48" t="n">
        <v>473.4</v>
      </c>
      <c r="I48" t="n">
        <v>523.5</v>
      </c>
      <c r="J48" t="n">
        <v>567.4</v>
      </c>
      <c r="K48" t="n">
        <v>587.2</v>
      </c>
      <c r="L48" t="n">
        <v>662.7</v>
      </c>
      <c r="M48" t="n">
        <v>710.2</v>
      </c>
      <c r="N48" t="n">
        <v>777.8</v>
      </c>
      <c r="O48" t="n">
        <v>842.5</v>
      </c>
      <c r="P48" t="n">
        <v>891.8</v>
      </c>
      <c r="Q48" t="n">
        <v>985.1</v>
      </c>
      <c r="R48" t="n">
        <v>1169.9</v>
      </c>
      <c r="S48" t="n">
        <v>1062.1</v>
      </c>
      <c r="T48" t="n">
        <v>1010</v>
      </c>
      <c r="U48" t="n">
        <v>748.5</v>
      </c>
      <c r="V48" t="n">
        <v>773.8</v>
      </c>
      <c r="W48" t="n">
        <v>872.7</v>
      </c>
      <c r="X48" t="n">
        <v>981.9</v>
      </c>
      <c r="Y48" t="n">
        <v>904.7</v>
      </c>
      <c r="Z48" t="n">
        <v>1033.4</v>
      </c>
      <c r="AA48" t="n">
        <v>893.3</v>
      </c>
      <c r="AB48" t="n">
        <v>973.5</v>
      </c>
      <c r="AC48" t="n">
        <v>1049.4</v>
      </c>
      <c r="AD48" t="n">
        <v>1183.8</v>
      </c>
      <c r="AE48" t="n">
        <v>1314.2</v>
      </c>
      <c r="AF48" t="n">
        <v>1385.2</v>
      </c>
    </row>
    <row r="49">
      <c r="A49" t="s">
        <v>42</v>
      </c>
      <c r="B49" t="s">
        <v>368</v>
      </c>
      <c r="C49" t="s">
        <v>217</v>
      </c>
      <c r="D49" t="s">
        <v>369</v>
      </c>
      <c r="E49" t="s">
        <v>218</v>
      </c>
      <c r="F49"/>
      <c r="G49" t="n">
        <v>339.3</v>
      </c>
      <c r="H49" t="n">
        <v>391.3</v>
      </c>
      <c r="I49" t="n">
        <v>428.1</v>
      </c>
      <c r="J49" t="n">
        <v>452.7</v>
      </c>
      <c r="K49" t="n">
        <v>467.8</v>
      </c>
      <c r="L49" t="n">
        <v>533.1</v>
      </c>
      <c r="M49" t="n">
        <v>569.1</v>
      </c>
      <c r="N49" t="n">
        <v>626.8</v>
      </c>
      <c r="O49" t="n">
        <v>684.1</v>
      </c>
      <c r="P49" t="n">
        <v>716.8</v>
      </c>
      <c r="Q49" t="n">
        <v>795.6</v>
      </c>
      <c r="R49" t="n">
        <v>952.3</v>
      </c>
      <c r="S49" t="n">
        <v>826.1</v>
      </c>
      <c r="T49" t="n">
        <v>789.2</v>
      </c>
      <c r="U49" t="n">
        <v>603.2</v>
      </c>
      <c r="V49" t="n">
        <v>620</v>
      </c>
      <c r="W49" t="n">
        <v>711.6</v>
      </c>
      <c r="X49" t="n">
        <v>801.6</v>
      </c>
      <c r="Y49" t="n">
        <v>726.5</v>
      </c>
      <c r="Z49" t="n">
        <v>721.4</v>
      </c>
      <c r="AA49" t="n">
        <v>624.6</v>
      </c>
      <c r="AB49" t="n">
        <v>574.6</v>
      </c>
      <c r="AC49" t="n">
        <v>629.5</v>
      </c>
      <c r="AD49" t="n">
        <v>733.5</v>
      </c>
      <c r="AE49" t="n">
        <v>839.8</v>
      </c>
      <c r="AF49" t="n">
        <v>880.9</v>
      </c>
    </row>
    <row r="50">
      <c r="A50" t="s">
        <v>42</v>
      </c>
      <c r="B50" t="s">
        <v>370</v>
      </c>
      <c r="C50" t="s">
        <v>217</v>
      </c>
      <c r="D50" t="s">
        <v>371</v>
      </c>
      <c r="E50" t="s">
        <v>218</v>
      </c>
      <c r="F50"/>
      <c r="G50" t="n">
        <v>20.8</v>
      </c>
      <c r="H50" t="n">
        <v>23.6</v>
      </c>
      <c r="I50" t="n">
        <v>25.7</v>
      </c>
      <c r="J50" t="n">
        <v>27.1</v>
      </c>
      <c r="K50" t="n">
        <v>28.8</v>
      </c>
      <c r="L50" t="n">
        <v>33.8</v>
      </c>
      <c r="M50" t="n">
        <v>35.4</v>
      </c>
      <c r="N50" t="n">
        <v>38.6</v>
      </c>
      <c r="O50" t="n">
        <v>42</v>
      </c>
      <c r="P50" t="n">
        <v>43.8</v>
      </c>
      <c r="Q50" t="n">
        <v>48.8</v>
      </c>
      <c r="R50" t="n">
        <v>60.6</v>
      </c>
      <c r="S50" t="n">
        <v>50.3</v>
      </c>
      <c r="T50" t="n">
        <v>49.1</v>
      </c>
      <c r="U50" t="n">
        <v>38.8</v>
      </c>
      <c r="V50" t="n">
        <v>38.6</v>
      </c>
      <c r="W50" t="n">
        <v>43.5</v>
      </c>
      <c r="X50" t="n">
        <v>48.5</v>
      </c>
      <c r="Y50" t="n">
        <v>43.3</v>
      </c>
      <c r="Z50" t="n">
        <v>108</v>
      </c>
      <c r="AA50" t="n">
        <v>90.5</v>
      </c>
      <c r="AB50" t="n">
        <v>245.2</v>
      </c>
      <c r="AC50" t="n">
        <v>238.2</v>
      </c>
      <c r="AD50" t="n">
        <v>291.3</v>
      </c>
      <c r="AE50" t="n">
        <v>306.9</v>
      </c>
      <c r="AF50" t="n">
        <v>326.5</v>
      </c>
    </row>
    <row r="51">
      <c r="A51" t="s">
        <v>42</v>
      </c>
      <c r="B51" t="s">
        <v>372</v>
      </c>
      <c r="C51" t="s">
        <v>217</v>
      </c>
      <c r="D51" t="s">
        <v>373</v>
      </c>
      <c r="E51" t="s">
        <v>218</v>
      </c>
      <c r="F51"/>
      <c r="G51" t="n">
        <v>20.8</v>
      </c>
      <c r="H51" t="n">
        <v>23.6</v>
      </c>
      <c r="I51" t="n">
        <v>25.7</v>
      </c>
      <c r="J51" t="n">
        <v>27.1</v>
      </c>
      <c r="K51" t="n">
        <v>28.8</v>
      </c>
      <c r="L51" t="n">
        <v>33.8</v>
      </c>
      <c r="M51" t="n">
        <v>35.4</v>
      </c>
      <c r="N51" t="n">
        <v>38.6</v>
      </c>
      <c r="O51" t="n">
        <v>42</v>
      </c>
      <c r="P51" t="n">
        <v>43.8</v>
      </c>
      <c r="Q51" t="n">
        <v>48.8</v>
      </c>
      <c r="R51" t="n">
        <v>60.6</v>
      </c>
      <c r="S51" t="n">
        <v>50.3</v>
      </c>
      <c r="T51" t="n">
        <v>49.1</v>
      </c>
      <c r="U51" t="n">
        <v>38.8</v>
      </c>
      <c r="V51" t="n">
        <v>38.6</v>
      </c>
      <c r="W51" t="n">
        <v>43.5</v>
      </c>
      <c r="X51" t="n">
        <v>48.5</v>
      </c>
      <c r="Y51" t="n">
        <v>43.3</v>
      </c>
      <c r="Z51" t="n">
        <v>107.9</v>
      </c>
      <c r="AA51" t="n">
        <v>90.2</v>
      </c>
      <c r="AB51" t="n">
        <v>244.3</v>
      </c>
      <c r="AC51" t="n">
        <v>238</v>
      </c>
      <c r="AD51" t="n">
        <v>291.1</v>
      </c>
      <c r="AE51" t="n">
        <v>306.4</v>
      </c>
      <c r="AF51" t="n">
        <v>326.1</v>
      </c>
    </row>
    <row r="52">
      <c r="A52" t="s">
        <v>42</v>
      </c>
      <c r="B52" t="s">
        <v>374</v>
      </c>
      <c r="C52" t="s">
        <v>217</v>
      </c>
      <c r="D52" t="s">
        <v>375</v>
      </c>
      <c r="E52" t="s">
        <v>218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0.1</v>
      </c>
      <c r="AA52" t="n">
        <v>0.3</v>
      </c>
      <c r="AB52" t="n">
        <v>0.9</v>
      </c>
      <c r="AC52" t="n">
        <v>0.2</v>
      </c>
      <c r="AD52" t="n">
        <v>0.2</v>
      </c>
      <c r="AE52" t="n">
        <v>0.5</v>
      </c>
      <c r="AF52" t="n">
        <v>0.4</v>
      </c>
    </row>
    <row r="53">
      <c r="A53" t="s">
        <v>42</v>
      </c>
      <c r="B53" t="s">
        <v>376</v>
      </c>
      <c r="C53" t="s">
        <v>217</v>
      </c>
      <c r="D53" t="s">
        <v>377</v>
      </c>
      <c r="E53" t="s">
        <v>218</v>
      </c>
      <c r="F53"/>
      <c r="G53" t="n">
        <v>4.1</v>
      </c>
      <c r="H53" t="n">
        <v>4.3</v>
      </c>
      <c r="I53" t="n">
        <v>4.9</v>
      </c>
      <c r="J53" t="n">
        <v>5.3</v>
      </c>
      <c r="K53" t="n">
        <v>6.2</v>
      </c>
      <c r="L53" t="n">
        <v>8.2</v>
      </c>
      <c r="M53" t="n">
        <v>7.9</v>
      </c>
      <c r="N53" t="n">
        <v>8.4</v>
      </c>
      <c r="O53" t="n">
        <v>9</v>
      </c>
      <c r="P53" t="n">
        <v>9.5</v>
      </c>
      <c r="Q53" t="n">
        <v>10.8</v>
      </c>
      <c r="R53" t="n">
        <v>13.1</v>
      </c>
      <c r="S53" t="n">
        <v>9.3</v>
      </c>
      <c r="T53" t="n">
        <v>9.9</v>
      </c>
      <c r="U53" t="n">
        <v>9</v>
      </c>
      <c r="V53" t="n">
        <v>7.8</v>
      </c>
      <c r="W53" t="n">
        <v>7.7</v>
      </c>
      <c r="X53" t="n">
        <v>8.3</v>
      </c>
      <c r="Y53" t="n">
        <v>7.1</v>
      </c>
      <c r="Z53" t="n">
        <v>0.8</v>
      </c>
      <c r="AA53" t="n">
        <v>1.8</v>
      </c>
      <c r="AB53" t="n">
        <v>1.5</v>
      </c>
      <c r="AC53" t="n">
        <v>3.1</v>
      </c>
      <c r="AD53" t="n">
        <v>3.9</v>
      </c>
      <c r="AE53" t="n">
        <v>4.3</v>
      </c>
      <c r="AF53" t="n">
        <v>4.1</v>
      </c>
    </row>
    <row r="54">
      <c r="A54" t="s">
        <v>42</v>
      </c>
      <c r="B54" t="s">
        <v>378</v>
      </c>
      <c r="C54" t="s">
        <v>217</v>
      </c>
      <c r="D54" t="s">
        <v>379</v>
      </c>
      <c r="E54" t="s">
        <v>218</v>
      </c>
      <c r="F54"/>
      <c r="G54" t="n">
        <v>4.1</v>
      </c>
      <c r="H54" t="n">
        <v>4.3</v>
      </c>
      <c r="I54" t="n">
        <v>5</v>
      </c>
      <c r="J54" t="n">
        <v>5.4</v>
      </c>
      <c r="K54" t="n">
        <v>6.3</v>
      </c>
      <c r="L54" t="n">
        <v>8.3</v>
      </c>
      <c r="M54" t="n">
        <v>8</v>
      </c>
      <c r="N54" t="n">
        <v>8.5</v>
      </c>
      <c r="O54" t="n">
        <v>9.1</v>
      </c>
      <c r="P54" t="n">
        <v>9.6</v>
      </c>
      <c r="Q54" t="n">
        <v>10.9</v>
      </c>
      <c r="R54" t="n">
        <v>14.3</v>
      </c>
      <c r="S54" t="n">
        <v>10.6</v>
      </c>
      <c r="T54" t="n">
        <v>11.2</v>
      </c>
      <c r="U54" t="n">
        <v>9.9</v>
      </c>
      <c r="V54" t="n">
        <v>8.7</v>
      </c>
      <c r="W54" t="n">
        <v>8.6</v>
      </c>
      <c r="X54" t="n">
        <v>9.3</v>
      </c>
      <c r="Y54" t="n">
        <v>8.1</v>
      </c>
      <c r="Z54" t="n">
        <v>17.3</v>
      </c>
      <c r="AA54" t="n">
        <v>19.3</v>
      </c>
      <c r="AB54" t="n">
        <v>15</v>
      </c>
      <c r="AC54" t="n">
        <v>5.5</v>
      </c>
      <c r="AD54" t="n">
        <v>7.1</v>
      </c>
      <c r="AE54" t="n">
        <v>5.6</v>
      </c>
      <c r="AF54" t="n">
        <v>5.1</v>
      </c>
    </row>
    <row r="55">
      <c r="A55" t="s">
        <v>42</v>
      </c>
      <c r="B55" t="s">
        <v>380</v>
      </c>
      <c r="C55" t="s">
        <v>217</v>
      </c>
      <c r="D55" t="s">
        <v>381</v>
      </c>
      <c r="E55" t="s">
        <v>218</v>
      </c>
      <c r="F55" t="n">
        <v>0</v>
      </c>
      <c r="G55" t="n">
        <v>0</v>
      </c>
      <c r="H55" t="n">
        <v>0</v>
      </c>
      <c r="I55" t="n">
        <v>0.1</v>
      </c>
      <c r="J55" t="n">
        <v>0.1</v>
      </c>
      <c r="K55" t="n">
        <v>0.1</v>
      </c>
      <c r="L55" t="n">
        <v>0.1</v>
      </c>
      <c r="M55" t="n">
        <v>0.1</v>
      </c>
      <c r="N55" t="n">
        <v>0.1</v>
      </c>
      <c r="O55" t="n">
        <v>0.1</v>
      </c>
      <c r="P55" t="n">
        <v>0.1</v>
      </c>
      <c r="Q55" t="n">
        <v>0.1</v>
      </c>
      <c r="R55" t="n">
        <v>1.2</v>
      </c>
      <c r="S55" t="n">
        <v>1.3</v>
      </c>
      <c r="T55" t="n">
        <v>1.3</v>
      </c>
      <c r="U55" t="n">
        <v>0.9</v>
      </c>
      <c r="V55" t="n">
        <v>0.9</v>
      </c>
      <c r="W55" t="n">
        <v>0.9</v>
      </c>
      <c r="X55" t="n">
        <v>1</v>
      </c>
      <c r="Y55" t="n">
        <v>1</v>
      </c>
      <c r="Z55" t="n">
        <v>16.5</v>
      </c>
      <c r="AA55" t="n">
        <v>17.5</v>
      </c>
      <c r="AB55" t="n">
        <v>13.5</v>
      </c>
      <c r="AC55" t="n">
        <v>2.4</v>
      </c>
      <c r="AD55" t="n">
        <v>3.2</v>
      </c>
      <c r="AE55" t="n">
        <v>1.3</v>
      </c>
      <c r="AF55" t="n">
        <v>1</v>
      </c>
    </row>
    <row r="56">
      <c r="A56" t="s">
        <v>42</v>
      </c>
      <c r="B56" t="s">
        <v>382</v>
      </c>
      <c r="C56" t="s">
        <v>217</v>
      </c>
      <c r="D56" t="s">
        <v>383</v>
      </c>
      <c r="E56" t="s">
        <v>218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42</v>
      </c>
      <c r="B57" t="s">
        <v>384</v>
      </c>
      <c r="C57" t="s">
        <v>217</v>
      </c>
      <c r="D57" t="s">
        <v>385</v>
      </c>
      <c r="E57" t="s">
        <v>218</v>
      </c>
      <c r="F57"/>
      <c r="G57" t="n">
        <v>688.3</v>
      </c>
      <c r="H57" t="n">
        <v>775.6</v>
      </c>
      <c r="I57" t="n">
        <v>879.3</v>
      </c>
      <c r="J57" t="n">
        <v>964.2</v>
      </c>
      <c r="K57" t="n">
        <v>1026.9</v>
      </c>
      <c r="L57" t="n">
        <v>1214.7</v>
      </c>
      <c r="M57" t="n">
        <v>1257.2</v>
      </c>
      <c r="N57" t="n">
        <v>1373.5</v>
      </c>
      <c r="O57" t="n">
        <v>1500.2</v>
      </c>
      <c r="P57" t="n">
        <v>1595.4</v>
      </c>
      <c r="Q57" t="n">
        <v>1783.7</v>
      </c>
      <c r="R57" t="n">
        <v>2171.5</v>
      </c>
      <c r="S57" t="n">
        <v>1838.7</v>
      </c>
      <c r="T57" t="n">
        <v>1814.8</v>
      </c>
      <c r="U57" t="n">
        <v>1442.2</v>
      </c>
      <c r="V57" t="n">
        <v>1401.3</v>
      </c>
      <c r="W57" t="n">
        <v>1495.4</v>
      </c>
      <c r="X57" t="n">
        <v>1670.5</v>
      </c>
      <c r="Y57" t="n">
        <v>1525.4</v>
      </c>
      <c r="Z57" t="n">
        <v>1713.8</v>
      </c>
      <c r="AA57" t="n">
        <v>1685.9</v>
      </c>
      <c r="AB57" t="n">
        <v>1904.1</v>
      </c>
      <c r="AC57" t="n">
        <v>1897.1</v>
      </c>
      <c r="AD57" t="n">
        <v>2229.5</v>
      </c>
      <c r="AE57" t="n">
        <v>2520.7</v>
      </c>
      <c r="AF57" t="n">
        <v>2785.6</v>
      </c>
    </row>
    <row r="58">
      <c r="A58" t="s">
        <v>42</v>
      </c>
      <c r="B58" t="s">
        <v>386</v>
      </c>
      <c r="C58" t="s">
        <v>217</v>
      </c>
      <c r="D58" t="s">
        <v>387</v>
      </c>
      <c r="E58" t="s">
        <v>218</v>
      </c>
      <c r="F58"/>
      <c r="G58" t="n">
        <v>688.3</v>
      </c>
      <c r="H58" t="n">
        <v>775.6</v>
      </c>
      <c r="I58" t="n">
        <v>879.3</v>
      </c>
      <c r="J58" t="n">
        <v>964.2</v>
      </c>
      <c r="K58" t="n">
        <v>1026.9</v>
      </c>
      <c r="L58" t="n">
        <v>1214.7</v>
      </c>
      <c r="M58" t="n">
        <v>1257.2</v>
      </c>
      <c r="N58" t="n">
        <v>1373.5</v>
      </c>
      <c r="O58" t="n">
        <v>1500.2</v>
      </c>
      <c r="P58" t="n">
        <v>1595.4</v>
      </c>
      <c r="Q58" t="n">
        <v>1783.7</v>
      </c>
      <c r="R58" t="n">
        <v>2171.5</v>
      </c>
      <c r="S58" t="n">
        <v>1838.7</v>
      </c>
      <c r="T58" t="n">
        <v>1814.8</v>
      </c>
      <c r="U58" t="n">
        <v>1442.2</v>
      </c>
      <c r="V58" t="n">
        <v>1401.3</v>
      </c>
      <c r="W58" t="n">
        <v>1495.4</v>
      </c>
      <c r="X58" t="n">
        <v>1670.5</v>
      </c>
      <c r="Y58" t="n">
        <v>1525.4</v>
      </c>
      <c r="Z58" t="n">
        <v>1713.8</v>
      </c>
      <c r="AA58" t="n">
        <v>1685.9</v>
      </c>
      <c r="AB58" t="n">
        <v>1904.1</v>
      </c>
      <c r="AC58" t="n">
        <v>1897.1</v>
      </c>
      <c r="AD58" t="n">
        <v>2229.5</v>
      </c>
      <c r="AE58" t="n">
        <v>2520.7</v>
      </c>
      <c r="AF58" t="n">
        <v>2785.6</v>
      </c>
    </row>
    <row r="59">
      <c r="A59" t="s">
        <v>42</v>
      </c>
      <c r="B59" t="s">
        <v>388</v>
      </c>
      <c r="C59" t="s">
        <v>217</v>
      </c>
      <c r="D59" t="s">
        <v>389</v>
      </c>
      <c r="E59" t="s">
        <v>218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44</v>
      </c>
      <c r="B2" t="s">
        <v>197</v>
      </c>
      <c r="C2" t="s">
        <v>217</v>
      </c>
      <c r="D2" t="s">
        <v>199</v>
      </c>
      <c r="E2" t="s">
        <v>218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44</v>
      </c>
      <c r="B3" t="s">
        <v>276</v>
      </c>
      <c r="C3" t="s">
        <v>217</v>
      </c>
      <c r="D3" t="s">
        <v>277</v>
      </c>
      <c r="E3" t="s">
        <v>218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44</v>
      </c>
      <c r="B4" t="s">
        <v>278</v>
      </c>
      <c r="C4" t="s">
        <v>217</v>
      </c>
      <c r="D4" t="s">
        <v>279</v>
      </c>
      <c r="E4" t="s">
        <v>218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44</v>
      </c>
      <c r="B5" t="s">
        <v>280</v>
      </c>
      <c r="C5" t="s">
        <v>217</v>
      </c>
      <c r="D5" t="s">
        <v>281</v>
      </c>
      <c r="E5" t="s">
        <v>218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44</v>
      </c>
      <c r="B6" t="s">
        <v>282</v>
      </c>
      <c r="C6" t="s">
        <v>217</v>
      </c>
      <c r="D6" t="s">
        <v>283</v>
      </c>
      <c r="E6" t="s">
        <v>218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44</v>
      </c>
      <c r="B7" t="s">
        <v>284</v>
      </c>
      <c r="C7" t="s">
        <v>217</v>
      </c>
      <c r="D7" t="s">
        <v>285</v>
      </c>
      <c r="E7" t="s">
        <v>218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44</v>
      </c>
      <c r="B8" t="s">
        <v>286</v>
      </c>
      <c r="C8" t="s">
        <v>217</v>
      </c>
      <c r="D8" t="s">
        <v>287</v>
      </c>
      <c r="E8" t="s">
        <v>218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44</v>
      </c>
      <c r="B9" t="s">
        <v>288</v>
      </c>
      <c r="C9" t="s">
        <v>217</v>
      </c>
      <c r="D9" t="s">
        <v>289</v>
      </c>
      <c r="E9" t="s">
        <v>218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44</v>
      </c>
      <c r="B10" t="s">
        <v>290</v>
      </c>
      <c r="C10" t="s">
        <v>217</v>
      </c>
      <c r="D10" t="s">
        <v>291</v>
      </c>
      <c r="E10" t="s">
        <v>218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44</v>
      </c>
      <c r="B11" t="s">
        <v>292</v>
      </c>
      <c r="C11" t="s">
        <v>217</v>
      </c>
      <c r="D11" t="s">
        <v>293</v>
      </c>
      <c r="E11" t="s">
        <v>218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44</v>
      </c>
      <c r="B12" t="s">
        <v>294</v>
      </c>
      <c r="C12" t="s">
        <v>217</v>
      </c>
      <c r="D12" t="s">
        <v>295</v>
      </c>
      <c r="E12" t="s">
        <v>218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44</v>
      </c>
      <c r="B13" t="s">
        <v>296</v>
      </c>
      <c r="C13" t="s">
        <v>217</v>
      </c>
      <c r="D13" t="s">
        <v>297</v>
      </c>
      <c r="E13" t="s">
        <v>218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44</v>
      </c>
      <c r="B14" t="s">
        <v>298</v>
      </c>
      <c r="C14" t="s">
        <v>217</v>
      </c>
      <c r="D14" t="s">
        <v>299</v>
      </c>
      <c r="E14" t="s">
        <v>218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44</v>
      </c>
      <c r="B15" t="s">
        <v>300</v>
      </c>
      <c r="C15" t="s">
        <v>217</v>
      </c>
      <c r="D15" t="s">
        <v>301</v>
      </c>
      <c r="E15" t="s">
        <v>218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44</v>
      </c>
      <c r="B16" t="s">
        <v>302</v>
      </c>
      <c r="C16" t="s">
        <v>217</v>
      </c>
      <c r="D16" t="s">
        <v>303</v>
      </c>
      <c r="E16" t="s">
        <v>218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44</v>
      </c>
      <c r="B17" t="s">
        <v>304</v>
      </c>
      <c r="C17" t="s">
        <v>217</v>
      </c>
      <c r="D17" t="s">
        <v>305</v>
      </c>
      <c r="E17" t="s">
        <v>218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44</v>
      </c>
      <c r="B18" t="s">
        <v>306</v>
      </c>
      <c r="C18" t="s">
        <v>217</v>
      </c>
      <c r="D18" t="s">
        <v>307</v>
      </c>
      <c r="E18" t="s">
        <v>218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44</v>
      </c>
      <c r="B19" t="s">
        <v>308</v>
      </c>
      <c r="C19" t="s">
        <v>217</v>
      </c>
      <c r="D19" t="s">
        <v>309</v>
      </c>
      <c r="E19" t="s">
        <v>218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44</v>
      </c>
      <c r="B20" t="s">
        <v>310</v>
      </c>
      <c r="C20" t="s">
        <v>217</v>
      </c>
      <c r="D20" t="s">
        <v>311</v>
      </c>
      <c r="E20" t="s">
        <v>218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44</v>
      </c>
      <c r="B21" t="s">
        <v>312</v>
      </c>
      <c r="C21" t="s">
        <v>217</v>
      </c>
      <c r="D21" t="s">
        <v>313</v>
      </c>
      <c r="E21" t="s">
        <v>218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44</v>
      </c>
      <c r="B22" t="s">
        <v>314</v>
      </c>
      <c r="C22" t="s">
        <v>217</v>
      </c>
      <c r="D22" t="s">
        <v>315</v>
      </c>
      <c r="E22" t="s">
        <v>218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44</v>
      </c>
      <c r="B23" t="s">
        <v>316</v>
      </c>
      <c r="C23" t="s">
        <v>217</v>
      </c>
      <c r="D23" t="s">
        <v>317</v>
      </c>
      <c r="E23" t="s">
        <v>218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44</v>
      </c>
      <c r="B24" t="s">
        <v>318</v>
      </c>
      <c r="C24" t="s">
        <v>217</v>
      </c>
      <c r="D24" t="s">
        <v>319</v>
      </c>
      <c r="E24" t="s">
        <v>218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44</v>
      </c>
      <c r="B25" t="s">
        <v>320</v>
      </c>
      <c r="C25" t="s">
        <v>217</v>
      </c>
      <c r="D25" t="s">
        <v>321</v>
      </c>
      <c r="E25" t="s">
        <v>218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44</v>
      </c>
      <c r="B26" t="s">
        <v>322</v>
      </c>
      <c r="C26" t="s">
        <v>217</v>
      </c>
      <c r="D26" t="s">
        <v>323</v>
      </c>
      <c r="E26" t="s">
        <v>218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44</v>
      </c>
      <c r="B27" t="s">
        <v>324</v>
      </c>
      <c r="C27" t="s">
        <v>217</v>
      </c>
      <c r="D27" t="s">
        <v>325</v>
      </c>
      <c r="E27" t="s">
        <v>218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44</v>
      </c>
      <c r="B28" t="s">
        <v>326</v>
      </c>
      <c r="C28" t="s">
        <v>217</v>
      </c>
      <c r="D28" t="s">
        <v>327</v>
      </c>
      <c r="E28" t="s">
        <v>218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44</v>
      </c>
      <c r="B29" t="s">
        <v>328</v>
      </c>
      <c r="C29" t="s">
        <v>217</v>
      </c>
      <c r="D29" t="s">
        <v>329</v>
      </c>
      <c r="E29" t="s">
        <v>218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44</v>
      </c>
      <c r="B30" t="s">
        <v>330</v>
      </c>
      <c r="C30" t="s">
        <v>217</v>
      </c>
      <c r="D30" t="s">
        <v>331</v>
      </c>
      <c r="E30" t="s">
        <v>218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44</v>
      </c>
      <c r="B31" t="s">
        <v>332</v>
      </c>
      <c r="C31" t="s">
        <v>217</v>
      </c>
      <c r="D31" t="s">
        <v>333</v>
      </c>
      <c r="E31" t="s">
        <v>218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44</v>
      </c>
      <c r="B32" t="s">
        <v>334</v>
      </c>
      <c r="C32" t="s">
        <v>217</v>
      </c>
      <c r="D32" t="s">
        <v>335</v>
      </c>
      <c r="E32" t="s">
        <v>218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44</v>
      </c>
      <c r="B33" t="s">
        <v>336</v>
      </c>
      <c r="C33" t="s">
        <v>217</v>
      </c>
      <c r="D33" t="s">
        <v>337</v>
      </c>
      <c r="E33" t="s">
        <v>218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44</v>
      </c>
      <c r="B34" t="s">
        <v>338</v>
      </c>
      <c r="C34" t="s">
        <v>217</v>
      </c>
      <c r="D34" t="s">
        <v>339</v>
      </c>
      <c r="E34" t="s">
        <v>218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44</v>
      </c>
      <c r="B35" t="s">
        <v>340</v>
      </c>
      <c r="C35" t="s">
        <v>217</v>
      </c>
      <c r="D35" t="s">
        <v>341</v>
      </c>
      <c r="E35" t="s">
        <v>218</v>
      </c>
      <c r="F35" t="n">
        <v>0</v>
      </c>
      <c r="G35" t="n">
        <v>21.6</v>
      </c>
      <c r="H35" t="n">
        <v>21.8</v>
      </c>
      <c r="I35" t="n">
        <v>20.9</v>
      </c>
      <c r="J35" t="n">
        <v>21.1</v>
      </c>
      <c r="K35" t="n">
        <v>24.3</v>
      </c>
      <c r="L35" t="n">
        <v>35.1</v>
      </c>
      <c r="M35" t="n">
        <v>34.5</v>
      </c>
      <c r="N35" t="n">
        <v>35.7</v>
      </c>
      <c r="O35" t="n">
        <v>38.2</v>
      </c>
      <c r="P35" t="n">
        <v>120</v>
      </c>
      <c r="Q35" t="n">
        <v>156.6</v>
      </c>
      <c r="R35" t="n">
        <v>146.5</v>
      </c>
      <c r="S35" t="n">
        <v>144.4</v>
      </c>
      <c r="T35" t="n">
        <v>159.2</v>
      </c>
      <c r="U35" t="n">
        <v>138</v>
      </c>
      <c r="V35" t="n">
        <v>63.9</v>
      </c>
      <c r="W35" t="n">
        <v>61.9</v>
      </c>
      <c r="X35" t="n">
        <v>51.1</v>
      </c>
      <c r="Y35" t="n">
        <v>78</v>
      </c>
      <c r="Z35" t="n">
        <v>58.7</v>
      </c>
      <c r="AA35" t="n">
        <v>199.6</v>
      </c>
      <c r="AB35" t="n">
        <v>123.2</v>
      </c>
      <c r="AC35" t="n">
        <v>133.9</v>
      </c>
      <c r="AD35" t="n">
        <v>203.5</v>
      </c>
      <c r="AE35" t="n">
        <v>146.9</v>
      </c>
      <c r="AF35" t="n">
        <v>257.2</v>
      </c>
    </row>
    <row r="36">
      <c r="A36" t="s">
        <v>44</v>
      </c>
      <c r="B36" t="s">
        <v>342</v>
      </c>
      <c r="C36" t="s">
        <v>217</v>
      </c>
      <c r="D36" t="s">
        <v>343</v>
      </c>
      <c r="E36" t="s">
        <v>218</v>
      </c>
      <c r="F36" t="n">
        <v>0</v>
      </c>
      <c r="G36" t="n">
        <v>21</v>
      </c>
      <c r="H36" t="n">
        <v>21.2</v>
      </c>
      <c r="I36" t="n">
        <v>20.2</v>
      </c>
      <c r="J36" t="n">
        <v>20.6</v>
      </c>
      <c r="K36" t="n">
        <v>23.8</v>
      </c>
      <c r="L36" t="n">
        <v>34.1</v>
      </c>
      <c r="M36" t="n">
        <v>33.5</v>
      </c>
      <c r="N36" t="n">
        <v>34.8</v>
      </c>
      <c r="O36" t="n">
        <v>37.1</v>
      </c>
      <c r="P36" t="n">
        <v>120.1</v>
      </c>
      <c r="Q36" t="n">
        <v>156.8</v>
      </c>
      <c r="R36" t="n">
        <v>146.7</v>
      </c>
      <c r="S36" t="n">
        <v>144.5</v>
      </c>
      <c r="T36" t="n">
        <v>159.3</v>
      </c>
      <c r="U36" t="n">
        <v>138.1</v>
      </c>
      <c r="V36" t="n">
        <v>64</v>
      </c>
      <c r="W36" t="n">
        <v>62</v>
      </c>
      <c r="X36" t="n">
        <v>51.3</v>
      </c>
      <c r="Y36" t="n">
        <v>78.2</v>
      </c>
      <c r="Z36" t="n">
        <v>58.6</v>
      </c>
      <c r="AA36" t="n">
        <v>199.6</v>
      </c>
      <c r="AB36" t="n">
        <v>123.3</v>
      </c>
      <c r="AC36" t="n">
        <v>59.4</v>
      </c>
      <c r="AD36" t="n">
        <v>203.4</v>
      </c>
      <c r="AE36" t="n">
        <v>146.8</v>
      </c>
      <c r="AF36" t="n">
        <v>67</v>
      </c>
    </row>
    <row r="37">
      <c r="A37" t="s">
        <v>44</v>
      </c>
      <c r="B37" t="s">
        <v>344</v>
      </c>
      <c r="C37" t="s">
        <v>217</v>
      </c>
      <c r="D37" t="s">
        <v>345</v>
      </c>
      <c r="E37" t="s">
        <v>218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44</v>
      </c>
      <c r="B38" t="s">
        <v>346</v>
      </c>
      <c r="C38" t="s">
        <v>217</v>
      </c>
      <c r="D38" t="s">
        <v>347</v>
      </c>
      <c r="E38" t="s">
        <v>218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44</v>
      </c>
      <c r="B39" t="s">
        <v>348</v>
      </c>
      <c r="C39" t="s">
        <v>217</v>
      </c>
      <c r="D39" t="s">
        <v>349</v>
      </c>
      <c r="E39" t="s">
        <v>218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44</v>
      </c>
      <c r="B40" t="s">
        <v>350</v>
      </c>
      <c r="C40" t="s">
        <v>217</v>
      </c>
      <c r="D40" t="s">
        <v>351</v>
      </c>
      <c r="E40" t="s">
        <v>218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s">
        <v>44</v>
      </c>
      <c r="B41" t="s">
        <v>352</v>
      </c>
      <c r="C41" t="s">
        <v>217</v>
      </c>
      <c r="D41" t="s">
        <v>353</v>
      </c>
      <c r="E41" t="s">
        <v>218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44</v>
      </c>
      <c r="B42" t="s">
        <v>354</v>
      </c>
      <c r="C42" t="s">
        <v>217</v>
      </c>
      <c r="D42" t="s">
        <v>355</v>
      </c>
      <c r="E42" t="s">
        <v>218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44</v>
      </c>
      <c r="B43" t="s">
        <v>356</v>
      </c>
      <c r="C43" t="s">
        <v>217</v>
      </c>
      <c r="D43" t="s">
        <v>357</v>
      </c>
      <c r="E43" t="s">
        <v>218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44</v>
      </c>
      <c r="B44" t="s">
        <v>358</v>
      </c>
      <c r="C44" t="s">
        <v>217</v>
      </c>
      <c r="D44" t="s">
        <v>359</v>
      </c>
      <c r="E44" t="s">
        <v>218</v>
      </c>
      <c r="F44" t="n">
        <v>0</v>
      </c>
      <c r="G44" t="n">
        <v>64</v>
      </c>
      <c r="H44" t="n">
        <v>64.5</v>
      </c>
      <c r="I44" t="n">
        <v>61.4</v>
      </c>
      <c r="J44" t="n">
        <v>62.3</v>
      </c>
      <c r="K44" t="n">
        <v>71.8</v>
      </c>
      <c r="L44" t="n">
        <v>103.5</v>
      </c>
      <c r="M44" t="n">
        <v>101.8</v>
      </c>
      <c r="N44" t="n">
        <v>105.4</v>
      </c>
      <c r="O44" t="n">
        <v>113.4</v>
      </c>
      <c r="P44" t="n">
        <v>123.6</v>
      </c>
      <c r="Q44" t="n">
        <v>156.2</v>
      </c>
      <c r="R44" t="n">
        <v>146.5</v>
      </c>
      <c r="S44" t="n">
        <v>144.3</v>
      </c>
      <c r="T44" t="n">
        <v>159</v>
      </c>
      <c r="U44" t="n">
        <v>137.7</v>
      </c>
      <c r="V44" t="n">
        <v>63.9</v>
      </c>
      <c r="W44" t="n">
        <v>61.7</v>
      </c>
      <c r="X44" t="n">
        <v>51</v>
      </c>
      <c r="Y44" t="n">
        <v>77.5</v>
      </c>
      <c r="Z44" t="n">
        <v>58.7</v>
      </c>
      <c r="AA44" t="n">
        <v>199.8</v>
      </c>
      <c r="AB44" t="n">
        <v>123.1</v>
      </c>
      <c r="AC44" t="n">
        <v>133.4</v>
      </c>
      <c r="AD44" t="n">
        <v>204</v>
      </c>
      <c r="AE44" t="n">
        <v>147.1</v>
      </c>
      <c r="AF44" t="n">
        <v>257.5</v>
      </c>
    </row>
    <row r="45">
      <c r="A45" t="s">
        <v>44</v>
      </c>
      <c r="B45" t="s">
        <v>360</v>
      </c>
      <c r="C45" t="s">
        <v>217</v>
      </c>
      <c r="D45" t="s">
        <v>361</v>
      </c>
      <c r="E45" t="s">
        <v>218</v>
      </c>
      <c r="F45" t="n">
        <v>0</v>
      </c>
      <c r="G45" t="n">
        <v>64</v>
      </c>
      <c r="H45" t="n">
        <v>64.6</v>
      </c>
      <c r="I45" t="n">
        <v>61.4</v>
      </c>
      <c r="J45" t="n">
        <v>62.4</v>
      </c>
      <c r="K45" t="n">
        <v>71.8</v>
      </c>
      <c r="L45" t="n">
        <v>103.5</v>
      </c>
      <c r="M45" t="n">
        <v>101.8</v>
      </c>
      <c r="N45" t="n">
        <v>105.4</v>
      </c>
      <c r="O45" t="n">
        <v>113.4</v>
      </c>
      <c r="P45" t="n">
        <v>123.6</v>
      </c>
      <c r="Q45" t="n">
        <v>156.2</v>
      </c>
      <c r="R45" t="n">
        <v>146.5</v>
      </c>
      <c r="S45" t="n">
        <v>144.3</v>
      </c>
      <c r="T45" t="n">
        <v>159</v>
      </c>
      <c r="U45" t="n">
        <v>137.7</v>
      </c>
      <c r="V45" t="n">
        <v>63.9</v>
      </c>
      <c r="W45" t="n">
        <v>61.7</v>
      </c>
      <c r="X45" t="n">
        <v>51</v>
      </c>
      <c r="Y45" t="n">
        <v>77.5</v>
      </c>
      <c r="Z45" t="n">
        <v>58.7</v>
      </c>
      <c r="AA45" t="n">
        <v>199.8</v>
      </c>
      <c r="AB45" t="n">
        <v>123.1</v>
      </c>
      <c r="AC45" t="n">
        <v>133.4</v>
      </c>
      <c r="AD45" t="n">
        <v>204</v>
      </c>
      <c r="AE45" t="n">
        <v>147.1</v>
      </c>
      <c r="AF45" t="n">
        <v>257.5</v>
      </c>
    </row>
    <row r="46">
      <c r="A46" t="s">
        <v>44</v>
      </c>
      <c r="B46" t="s">
        <v>362</v>
      </c>
      <c r="C46" t="s">
        <v>217</v>
      </c>
      <c r="D46" t="s">
        <v>363</v>
      </c>
      <c r="E46" t="s">
        <v>218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44</v>
      </c>
      <c r="B47" t="s">
        <v>364</v>
      </c>
      <c r="C47" t="s">
        <v>217</v>
      </c>
      <c r="D47" t="s">
        <v>365</v>
      </c>
      <c r="E47" t="s">
        <v>218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s">
        <v>44</v>
      </c>
      <c r="B48" t="s">
        <v>366</v>
      </c>
      <c r="C48" t="s">
        <v>217</v>
      </c>
      <c r="D48" t="s">
        <v>367</v>
      </c>
      <c r="E48" t="s">
        <v>218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s">
        <v>44</v>
      </c>
      <c r="B49" t="s">
        <v>368</v>
      </c>
      <c r="C49" t="s">
        <v>217</v>
      </c>
      <c r="D49" t="s">
        <v>369</v>
      </c>
      <c r="E49" t="s">
        <v>218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44</v>
      </c>
      <c r="B50" t="s">
        <v>370</v>
      </c>
      <c r="C50" t="s">
        <v>217</v>
      </c>
      <c r="D50" t="s">
        <v>371</v>
      </c>
      <c r="E50" t="s">
        <v>218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44</v>
      </c>
      <c r="B51" t="s">
        <v>372</v>
      </c>
      <c r="C51" t="s">
        <v>217</v>
      </c>
      <c r="D51" t="s">
        <v>373</v>
      </c>
      <c r="E51" t="s">
        <v>218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44</v>
      </c>
      <c r="B52" t="s">
        <v>374</v>
      </c>
      <c r="C52" t="s">
        <v>217</v>
      </c>
      <c r="D52" t="s">
        <v>375</v>
      </c>
      <c r="E52" t="s">
        <v>218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44</v>
      </c>
      <c r="B53" t="s">
        <v>376</v>
      </c>
      <c r="C53" t="s">
        <v>217</v>
      </c>
      <c r="D53" t="s">
        <v>377</v>
      </c>
      <c r="E53" t="s">
        <v>218</v>
      </c>
      <c r="F53" t="n">
        <v>0</v>
      </c>
      <c r="G53" t="n">
        <v>40</v>
      </c>
      <c r="H53" t="n">
        <v>40.4</v>
      </c>
      <c r="I53" t="n">
        <v>38.5</v>
      </c>
      <c r="J53" t="n">
        <v>39.2</v>
      </c>
      <c r="K53" t="n">
        <v>45.3</v>
      </c>
      <c r="L53" t="n">
        <v>65.1</v>
      </c>
      <c r="M53" t="n">
        <v>64</v>
      </c>
      <c r="N53" t="n">
        <v>66.4</v>
      </c>
      <c r="O53" t="n">
        <v>71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44</v>
      </c>
      <c r="B54" t="s">
        <v>378</v>
      </c>
      <c r="C54" t="s">
        <v>217</v>
      </c>
      <c r="D54" t="s">
        <v>379</v>
      </c>
      <c r="E54" t="s">
        <v>218</v>
      </c>
      <c r="F54" t="n">
        <v>0</v>
      </c>
      <c r="G54" t="n">
        <v>40.1</v>
      </c>
      <c r="H54" t="n">
        <v>40.4</v>
      </c>
      <c r="I54" t="n">
        <v>38.5</v>
      </c>
      <c r="J54" t="n">
        <v>39.1</v>
      </c>
      <c r="K54" t="n">
        <v>45.2</v>
      </c>
      <c r="L54" t="n">
        <v>65</v>
      </c>
      <c r="M54" t="n">
        <v>64</v>
      </c>
      <c r="N54" t="n">
        <v>66.4</v>
      </c>
      <c r="O54" t="n">
        <v>71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s">
        <v>44</v>
      </c>
      <c r="B55" t="s">
        <v>380</v>
      </c>
      <c r="C55" t="s">
        <v>217</v>
      </c>
      <c r="D55" t="s">
        <v>381</v>
      </c>
      <c r="E55" t="s">
        <v>218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44</v>
      </c>
      <c r="B56" t="s">
        <v>382</v>
      </c>
      <c r="C56" t="s">
        <v>217</v>
      </c>
      <c r="D56" t="s">
        <v>383</v>
      </c>
      <c r="E56" t="s">
        <v>218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44</v>
      </c>
      <c r="B57" t="s">
        <v>384</v>
      </c>
      <c r="C57" t="s">
        <v>217</v>
      </c>
      <c r="D57" t="s">
        <v>385</v>
      </c>
      <c r="E57" t="s">
        <v>218</v>
      </c>
      <c r="F57" t="n">
        <v>0</v>
      </c>
      <c r="G57" t="n">
        <v>65</v>
      </c>
      <c r="H57" t="n">
        <v>65.5</v>
      </c>
      <c r="I57" t="n">
        <v>62.3</v>
      </c>
      <c r="J57" t="n">
        <v>63.4</v>
      </c>
      <c r="K57" t="n">
        <v>73</v>
      </c>
      <c r="L57" t="n">
        <v>105.2</v>
      </c>
      <c r="M57" t="n">
        <v>103.6</v>
      </c>
      <c r="N57" t="n">
        <v>107.1</v>
      </c>
      <c r="O57" t="n">
        <v>115.5</v>
      </c>
      <c r="P57" t="n">
        <v>123.6</v>
      </c>
      <c r="Q57" t="n">
        <v>156.1</v>
      </c>
      <c r="R57" t="n">
        <v>146.5</v>
      </c>
      <c r="S57" t="n">
        <v>150.5</v>
      </c>
      <c r="T57" t="n">
        <v>159.6</v>
      </c>
      <c r="U57" t="n">
        <v>137.7</v>
      </c>
      <c r="V57" t="n">
        <v>63.9</v>
      </c>
      <c r="W57" t="n">
        <v>61.7</v>
      </c>
      <c r="X57" t="n">
        <v>50.9</v>
      </c>
      <c r="Y57" t="n">
        <v>77.6</v>
      </c>
      <c r="Z57" t="n">
        <v>58.8</v>
      </c>
      <c r="AA57" t="n">
        <v>199.9</v>
      </c>
      <c r="AB57" t="n">
        <v>123</v>
      </c>
      <c r="AC57" t="n">
        <v>133.5</v>
      </c>
      <c r="AD57" t="n">
        <v>204</v>
      </c>
      <c r="AE57" t="n">
        <v>147.1</v>
      </c>
      <c r="AF57" t="n">
        <v>257.5</v>
      </c>
    </row>
    <row r="58">
      <c r="A58" t="s">
        <v>44</v>
      </c>
      <c r="B58" t="s">
        <v>386</v>
      </c>
      <c r="C58" t="s">
        <v>217</v>
      </c>
      <c r="D58" t="s">
        <v>387</v>
      </c>
      <c r="E58" t="s">
        <v>218</v>
      </c>
      <c r="F58" t="n">
        <v>0</v>
      </c>
      <c r="G58" t="n">
        <v>65</v>
      </c>
      <c r="H58" t="n">
        <v>65.5</v>
      </c>
      <c r="I58" t="n">
        <v>62.3</v>
      </c>
      <c r="J58" t="n">
        <v>63.4</v>
      </c>
      <c r="K58" t="n">
        <v>73</v>
      </c>
      <c r="L58" t="n">
        <v>105.2</v>
      </c>
      <c r="M58" t="n">
        <v>103.6</v>
      </c>
      <c r="N58" t="n">
        <v>107.1</v>
      </c>
      <c r="O58" t="n">
        <v>115.5</v>
      </c>
      <c r="P58" t="n">
        <v>123.6</v>
      </c>
      <c r="Q58" t="n">
        <v>156.1</v>
      </c>
      <c r="R58" t="n">
        <v>146.5</v>
      </c>
      <c r="S58" t="n">
        <v>150.5</v>
      </c>
      <c r="T58" t="n">
        <v>159.6</v>
      </c>
      <c r="U58" t="n">
        <v>137.7</v>
      </c>
      <c r="V58" t="n">
        <v>63.9</v>
      </c>
      <c r="W58" t="n">
        <v>61.7</v>
      </c>
      <c r="X58" t="n">
        <v>50.9</v>
      </c>
      <c r="Y58" t="n">
        <v>77.6</v>
      </c>
      <c r="Z58" t="n">
        <v>58.8</v>
      </c>
      <c r="AA58" t="n">
        <v>199.9</v>
      </c>
      <c r="AB58" t="n">
        <v>123</v>
      </c>
      <c r="AC58" t="n">
        <v>133.5</v>
      </c>
      <c r="AD58" t="n">
        <v>204</v>
      </c>
      <c r="AE58" t="n">
        <v>147.1</v>
      </c>
      <c r="AF58" t="n">
        <v>257.5</v>
      </c>
    </row>
    <row r="59">
      <c r="A59" t="s">
        <v>44</v>
      </c>
      <c r="B59" t="s">
        <v>388</v>
      </c>
      <c r="C59" t="s">
        <v>217</v>
      </c>
      <c r="D59" t="s">
        <v>389</v>
      </c>
      <c r="E59" t="s">
        <v>218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46</v>
      </c>
      <c r="B2" t="s">
        <v>197</v>
      </c>
      <c r="C2" t="s">
        <v>217</v>
      </c>
      <c r="D2" t="s">
        <v>199</v>
      </c>
      <c r="E2" t="s">
        <v>218</v>
      </c>
      <c r="F2"/>
      <c r="G2" t="n">
        <v>656.2</v>
      </c>
      <c r="H2" t="n">
        <v>831</v>
      </c>
      <c r="I2" t="n">
        <v>893.3</v>
      </c>
      <c r="J2" t="n">
        <v>1043.6</v>
      </c>
      <c r="K2" t="n">
        <v>1134</v>
      </c>
      <c r="L2" t="n">
        <v>1259.5</v>
      </c>
      <c r="M2" t="n">
        <v>1026.7</v>
      </c>
      <c r="N2" t="n">
        <v>1268.8</v>
      </c>
      <c r="O2" t="n">
        <v>1388.3</v>
      </c>
      <c r="P2" t="n">
        <v>1577.2</v>
      </c>
      <c r="Q2" t="n">
        <v>1446.7</v>
      </c>
      <c r="R2" t="n">
        <v>2025.4</v>
      </c>
      <c r="S2" t="n">
        <v>2452.3</v>
      </c>
      <c r="T2" t="n">
        <v>2015.6</v>
      </c>
      <c r="U2" t="n">
        <v>2080.4</v>
      </c>
      <c r="V2" t="n">
        <v>1468.7</v>
      </c>
      <c r="W2" t="n">
        <v>1265.8</v>
      </c>
      <c r="X2" t="n">
        <v>1785.7</v>
      </c>
      <c r="Y2" t="n">
        <v>1327.3</v>
      </c>
      <c r="Z2" t="n">
        <v>1581.9</v>
      </c>
      <c r="AA2" t="n">
        <v>1798.9</v>
      </c>
      <c r="AB2" t="n">
        <v>1787.3</v>
      </c>
      <c r="AC2" t="n">
        <v>2046.9</v>
      </c>
      <c r="AD2" t="n">
        <v>2244.5</v>
      </c>
      <c r="AE2" t="n">
        <v>2075.7</v>
      </c>
      <c r="AF2" t="n">
        <v>2526.3</v>
      </c>
    </row>
    <row r="3">
      <c r="A3" t="s">
        <v>46</v>
      </c>
      <c r="B3" t="s">
        <v>276</v>
      </c>
      <c r="C3" t="s">
        <v>217</v>
      </c>
      <c r="D3" t="s">
        <v>277</v>
      </c>
      <c r="E3" t="s">
        <v>218</v>
      </c>
      <c r="F3"/>
      <c r="G3" t="n">
        <v>70.7</v>
      </c>
      <c r="H3" t="n">
        <v>82.5</v>
      </c>
      <c r="I3" t="n">
        <v>96.2</v>
      </c>
      <c r="J3" t="n">
        <v>108.5</v>
      </c>
      <c r="K3" t="n">
        <v>117.2</v>
      </c>
      <c r="L3" t="n">
        <v>91.6</v>
      </c>
      <c r="M3" t="n">
        <v>58</v>
      </c>
      <c r="N3" t="n">
        <v>73.4</v>
      </c>
      <c r="O3" t="n">
        <v>81</v>
      </c>
      <c r="P3" t="n">
        <v>104.6</v>
      </c>
      <c r="Q3" t="n">
        <v>133.5</v>
      </c>
      <c r="R3" t="n">
        <v>187.1</v>
      </c>
      <c r="S3" t="n">
        <v>199.9</v>
      </c>
      <c r="T3" t="n">
        <v>205.8</v>
      </c>
      <c r="U3" t="n">
        <v>174.6</v>
      </c>
      <c r="V3" t="n">
        <v>208.4</v>
      </c>
      <c r="W3" t="n">
        <v>154.8</v>
      </c>
      <c r="X3" t="n">
        <v>131.9</v>
      </c>
      <c r="Y3" t="n">
        <v>119.7</v>
      </c>
      <c r="Z3" t="n">
        <v>172.8</v>
      </c>
      <c r="AA3" t="n">
        <v>352.7</v>
      </c>
      <c r="AB3" t="n">
        <v>292.7</v>
      </c>
      <c r="AC3" t="n">
        <v>194</v>
      </c>
      <c r="AD3" t="n">
        <v>257.1</v>
      </c>
      <c r="AE3" t="n">
        <v>95.9</v>
      </c>
      <c r="AF3" t="n">
        <v>156.9</v>
      </c>
    </row>
    <row r="4">
      <c r="A4" t="s">
        <v>46</v>
      </c>
      <c r="B4" t="s">
        <v>278</v>
      </c>
      <c r="C4" t="s">
        <v>217</v>
      </c>
      <c r="D4" t="s">
        <v>279</v>
      </c>
      <c r="E4" t="s">
        <v>218</v>
      </c>
      <c r="F4"/>
      <c r="G4" t="n">
        <v>1468.2</v>
      </c>
      <c r="H4" t="n">
        <v>1747</v>
      </c>
      <c r="I4" t="n">
        <v>2030.6</v>
      </c>
      <c r="J4" t="n">
        <v>2320.3</v>
      </c>
      <c r="K4" t="n">
        <v>2759.9</v>
      </c>
      <c r="L4" t="n">
        <v>2870</v>
      </c>
      <c r="M4" t="n">
        <v>1877.2</v>
      </c>
      <c r="N4" t="n">
        <v>1853.8</v>
      </c>
      <c r="O4" t="n">
        <v>2259.5</v>
      </c>
      <c r="P4" t="n">
        <v>1877.7</v>
      </c>
      <c r="Q4" t="n">
        <v>2550.5</v>
      </c>
      <c r="R4" t="n">
        <v>2579.7</v>
      </c>
      <c r="S4" t="n">
        <v>3133.7</v>
      </c>
      <c r="T4" t="n">
        <v>3110.9</v>
      </c>
      <c r="U4" t="n">
        <v>2651.8</v>
      </c>
      <c r="V4" t="n">
        <v>2076.7</v>
      </c>
      <c r="W4" t="n">
        <v>2931.5</v>
      </c>
      <c r="X4" t="n">
        <v>1218.3</v>
      </c>
      <c r="Y4" t="n">
        <v>1804.8</v>
      </c>
      <c r="Z4" t="n">
        <v>1678.2</v>
      </c>
      <c r="AA4" t="n">
        <v>1775.3</v>
      </c>
      <c r="AB4" t="n">
        <v>1802.1</v>
      </c>
      <c r="AC4" t="n">
        <v>2342.5</v>
      </c>
      <c r="AD4" t="n">
        <v>2365.5</v>
      </c>
      <c r="AE4" t="n">
        <v>2454.3</v>
      </c>
      <c r="AF4" t="n">
        <v>2424.4</v>
      </c>
    </row>
    <row r="5">
      <c r="A5" t="s">
        <v>46</v>
      </c>
      <c r="B5" t="s">
        <v>280</v>
      </c>
      <c r="C5" t="s">
        <v>217</v>
      </c>
      <c r="D5" t="s">
        <v>281</v>
      </c>
      <c r="E5" t="s">
        <v>218</v>
      </c>
      <c r="F5"/>
      <c r="G5" t="n">
        <v>289.4</v>
      </c>
      <c r="H5" t="n">
        <v>332.1</v>
      </c>
      <c r="I5" t="n">
        <v>406.2</v>
      </c>
      <c r="J5" t="n">
        <v>476.6</v>
      </c>
      <c r="K5" t="n">
        <v>542.3</v>
      </c>
      <c r="L5" t="n">
        <v>584.7</v>
      </c>
      <c r="M5" t="n">
        <v>438.2</v>
      </c>
      <c r="N5" t="n">
        <v>492</v>
      </c>
      <c r="O5" t="n">
        <v>644.5</v>
      </c>
      <c r="P5" t="n">
        <v>423.8</v>
      </c>
      <c r="Q5" t="n">
        <v>538.5</v>
      </c>
      <c r="R5" t="n">
        <v>742.2</v>
      </c>
      <c r="S5" t="n">
        <v>855.1</v>
      </c>
      <c r="T5" t="n">
        <v>685.3</v>
      </c>
      <c r="U5" t="n">
        <v>692</v>
      </c>
      <c r="V5" t="n">
        <v>427.3</v>
      </c>
      <c r="W5" t="n">
        <v>293.5</v>
      </c>
      <c r="X5" t="n">
        <v>453.7</v>
      </c>
      <c r="Y5" t="n">
        <v>547.6</v>
      </c>
      <c r="Z5" t="n">
        <v>611.9</v>
      </c>
      <c r="AA5" t="n">
        <v>600.8</v>
      </c>
      <c r="AB5" t="n">
        <v>581.7</v>
      </c>
      <c r="AC5" t="n">
        <v>912.7</v>
      </c>
      <c r="AD5" t="n">
        <v>665.1</v>
      </c>
      <c r="AE5" t="n">
        <v>675.1</v>
      </c>
      <c r="AF5" t="n">
        <v>807.5</v>
      </c>
    </row>
    <row r="6">
      <c r="A6" t="s">
        <v>46</v>
      </c>
      <c r="B6" t="s">
        <v>282</v>
      </c>
      <c r="C6" t="s">
        <v>217</v>
      </c>
      <c r="D6" t="s">
        <v>283</v>
      </c>
      <c r="E6" t="s">
        <v>218</v>
      </c>
      <c r="F6"/>
      <c r="G6" t="n">
        <v>151.2</v>
      </c>
      <c r="H6" t="n">
        <v>173.1</v>
      </c>
      <c r="I6" t="n">
        <v>210</v>
      </c>
      <c r="J6" t="n">
        <v>243.7</v>
      </c>
      <c r="K6" t="n">
        <v>290</v>
      </c>
      <c r="L6" t="n">
        <v>309.3</v>
      </c>
      <c r="M6" t="n">
        <v>129</v>
      </c>
      <c r="N6" t="n">
        <v>133.1</v>
      </c>
      <c r="O6" t="n">
        <v>172</v>
      </c>
      <c r="P6" t="n">
        <v>106.7</v>
      </c>
      <c r="Q6" t="n">
        <v>13.7</v>
      </c>
      <c r="R6" t="n">
        <v>126.5</v>
      </c>
      <c r="S6" t="n">
        <v>72.3</v>
      </c>
      <c r="T6" t="n">
        <v>100.7</v>
      </c>
      <c r="U6" t="n">
        <v>-14.8</v>
      </c>
      <c r="V6" t="n">
        <v>67.2</v>
      </c>
      <c r="W6" t="n">
        <v>-1.9</v>
      </c>
      <c r="X6" t="n">
        <v>29.9</v>
      </c>
      <c r="Y6" t="n">
        <v>49.1</v>
      </c>
      <c r="Z6" t="n">
        <v>43.3</v>
      </c>
      <c r="AA6" t="n">
        <v>94</v>
      </c>
      <c r="AB6" t="n">
        <v>92</v>
      </c>
      <c r="AC6" t="n">
        <v>20.8</v>
      </c>
      <c r="AD6" t="n">
        <v>35.4</v>
      </c>
      <c r="AE6" t="n">
        <v>36.7</v>
      </c>
      <c r="AF6" t="n">
        <v>41.3</v>
      </c>
    </row>
    <row r="7">
      <c r="A7" t="s">
        <v>46</v>
      </c>
      <c r="B7" t="s">
        <v>284</v>
      </c>
      <c r="C7" t="s">
        <v>217</v>
      </c>
      <c r="D7" t="s">
        <v>285</v>
      </c>
      <c r="E7" t="s">
        <v>218</v>
      </c>
      <c r="F7"/>
      <c r="G7" t="n">
        <v>146.8</v>
      </c>
      <c r="H7" t="n">
        <v>166.8</v>
      </c>
      <c r="I7" t="n">
        <v>208.5</v>
      </c>
      <c r="J7" t="n">
        <v>236.6</v>
      </c>
      <c r="K7" t="n">
        <v>276.3</v>
      </c>
      <c r="L7" t="n">
        <v>184.4</v>
      </c>
      <c r="M7" t="n">
        <v>182</v>
      </c>
      <c r="N7" t="n">
        <v>94.2</v>
      </c>
      <c r="O7" t="n">
        <v>191</v>
      </c>
      <c r="P7" t="n">
        <v>43.1</v>
      </c>
      <c r="Q7" t="n">
        <v>299.3</v>
      </c>
      <c r="R7" t="n">
        <v>293.6</v>
      </c>
      <c r="S7" t="n">
        <v>177.5</v>
      </c>
      <c r="T7" t="n">
        <v>126.3</v>
      </c>
      <c r="U7" t="n">
        <v>136.4</v>
      </c>
      <c r="V7" t="n">
        <v>103.5</v>
      </c>
      <c r="W7" t="n">
        <v>54</v>
      </c>
      <c r="X7" t="n">
        <v>75.8</v>
      </c>
      <c r="Y7" t="n">
        <v>141.9</v>
      </c>
      <c r="Z7" t="n">
        <v>113</v>
      </c>
      <c r="AA7" t="n">
        <v>171.3</v>
      </c>
      <c r="AB7" t="n">
        <v>170.9</v>
      </c>
      <c r="AC7" t="n">
        <v>134.4</v>
      </c>
      <c r="AD7" t="n">
        <v>106.4</v>
      </c>
      <c r="AE7" t="n">
        <v>138.6</v>
      </c>
      <c r="AF7" t="n">
        <v>138.8</v>
      </c>
    </row>
    <row r="8">
      <c r="A8" t="s">
        <v>46</v>
      </c>
      <c r="B8" t="s">
        <v>286</v>
      </c>
      <c r="C8" t="s">
        <v>217</v>
      </c>
      <c r="D8" t="s">
        <v>287</v>
      </c>
      <c r="E8" t="s">
        <v>218</v>
      </c>
      <c r="F8"/>
      <c r="G8" t="n">
        <v>103.8</v>
      </c>
      <c r="H8" t="n">
        <v>118.2</v>
      </c>
      <c r="I8" t="n">
        <v>132.2</v>
      </c>
      <c r="J8" t="n">
        <v>146.2</v>
      </c>
      <c r="K8" t="n">
        <v>212.1</v>
      </c>
      <c r="L8" t="n">
        <v>80.5</v>
      </c>
      <c r="M8" t="n">
        <v>64.6</v>
      </c>
      <c r="N8" t="n">
        <v>70</v>
      </c>
      <c r="O8" t="n">
        <v>42.2</v>
      </c>
      <c r="P8" t="n">
        <v>409.6</v>
      </c>
      <c r="Q8" t="n">
        <v>37.2</v>
      </c>
      <c r="R8" t="n">
        <v>49.5</v>
      </c>
      <c r="S8" t="n">
        <v>497.5</v>
      </c>
      <c r="T8" t="n">
        <v>593.7</v>
      </c>
      <c r="U8" t="n">
        <v>510.3</v>
      </c>
      <c r="V8" t="n">
        <v>554.9</v>
      </c>
      <c r="W8" t="n">
        <v>2066</v>
      </c>
      <c r="X8" t="n">
        <v>207.4</v>
      </c>
      <c r="Y8" t="n">
        <v>214.5</v>
      </c>
      <c r="Z8" t="n">
        <v>281.7</v>
      </c>
      <c r="AA8" t="n">
        <v>180.8</v>
      </c>
      <c r="AB8" t="n">
        <v>213.4</v>
      </c>
      <c r="AC8" t="n">
        <v>211.7</v>
      </c>
      <c r="AD8" t="n">
        <v>410.9</v>
      </c>
      <c r="AE8" t="n">
        <v>396.8</v>
      </c>
      <c r="AF8" t="n">
        <v>190</v>
      </c>
    </row>
    <row r="9">
      <c r="A9" t="s">
        <v>46</v>
      </c>
      <c r="B9" t="s">
        <v>288</v>
      </c>
      <c r="C9" t="s">
        <v>217</v>
      </c>
      <c r="D9" t="s">
        <v>289</v>
      </c>
      <c r="E9" t="s">
        <v>218</v>
      </c>
      <c r="F9"/>
      <c r="G9" t="n">
        <v>75.8</v>
      </c>
      <c r="H9" t="n">
        <v>86.1</v>
      </c>
      <c r="I9" t="n">
        <v>104.2</v>
      </c>
      <c r="J9" t="n">
        <v>117.5</v>
      </c>
      <c r="K9" t="n">
        <v>135.4</v>
      </c>
      <c r="L9" t="n">
        <v>211.8</v>
      </c>
      <c r="M9" t="n">
        <v>79.5</v>
      </c>
      <c r="N9" t="n">
        <v>79.2</v>
      </c>
      <c r="O9" t="n">
        <v>134.6</v>
      </c>
      <c r="P9" t="n">
        <v>95.7</v>
      </c>
      <c r="Q9" t="n">
        <v>90.8</v>
      </c>
      <c r="R9" t="n">
        <v>140.4</v>
      </c>
      <c r="S9" t="n">
        <v>141.1</v>
      </c>
      <c r="T9" t="n">
        <v>160.7</v>
      </c>
      <c r="U9" t="n">
        <v>44.1</v>
      </c>
      <c r="V9" t="n">
        <v>84.9</v>
      </c>
      <c r="W9" t="n">
        <v>63.9</v>
      </c>
      <c r="X9" t="n">
        <v>115.3</v>
      </c>
      <c r="Y9" t="n">
        <v>76.1</v>
      </c>
      <c r="Z9" t="n">
        <v>-11.8</v>
      </c>
      <c r="AA9" t="n">
        <v>75.6</v>
      </c>
      <c r="AB9" t="n">
        <v>84</v>
      </c>
      <c r="AC9" t="n">
        <v>99.7</v>
      </c>
      <c r="AD9" t="n">
        <v>129.3</v>
      </c>
      <c r="AE9" t="n">
        <v>102.3</v>
      </c>
      <c r="AF9" t="n">
        <v>154.5</v>
      </c>
    </row>
    <row r="10">
      <c r="A10" t="s">
        <v>46</v>
      </c>
      <c r="B10" t="s">
        <v>290</v>
      </c>
      <c r="C10" t="s">
        <v>217</v>
      </c>
      <c r="D10" t="s">
        <v>291</v>
      </c>
      <c r="E10" t="s">
        <v>218</v>
      </c>
      <c r="F10"/>
      <c r="G10" t="n">
        <v>125.1</v>
      </c>
      <c r="H10" t="n">
        <v>140</v>
      </c>
      <c r="I10" t="n">
        <v>171.6</v>
      </c>
      <c r="J10" t="n">
        <v>194.9</v>
      </c>
      <c r="K10" t="n">
        <v>221</v>
      </c>
      <c r="L10" t="n">
        <v>334.2</v>
      </c>
      <c r="M10" t="n">
        <v>151.9</v>
      </c>
      <c r="N10" t="n">
        <v>156.7</v>
      </c>
      <c r="O10" t="n">
        <v>240.1</v>
      </c>
      <c r="P10" t="n">
        <v>187.7</v>
      </c>
      <c r="Q10" t="n">
        <v>213.1</v>
      </c>
      <c r="R10" t="n">
        <v>315.2</v>
      </c>
      <c r="S10" t="n">
        <v>327.1</v>
      </c>
      <c r="T10" t="n">
        <v>489.5</v>
      </c>
      <c r="U10" t="n">
        <v>54.4</v>
      </c>
      <c r="V10" t="n">
        <v>183</v>
      </c>
      <c r="W10" t="n">
        <v>136.9</v>
      </c>
      <c r="X10" t="n">
        <v>264.5</v>
      </c>
      <c r="Y10" t="n">
        <v>191.6</v>
      </c>
      <c r="Z10" t="n">
        <v>78</v>
      </c>
      <c r="AA10" t="n">
        <v>188.1</v>
      </c>
      <c r="AB10" t="n">
        <v>196</v>
      </c>
      <c r="AC10" t="n">
        <v>317.5</v>
      </c>
      <c r="AD10" t="n">
        <v>346.4</v>
      </c>
      <c r="AE10" t="n">
        <v>318.7</v>
      </c>
      <c r="AF10" t="n">
        <v>386.7</v>
      </c>
    </row>
    <row r="11">
      <c r="A11" t="s">
        <v>46</v>
      </c>
      <c r="B11" t="s">
        <v>292</v>
      </c>
      <c r="C11" t="s">
        <v>217</v>
      </c>
      <c r="D11" t="s">
        <v>293</v>
      </c>
      <c r="E11" t="s">
        <v>218</v>
      </c>
      <c r="F11"/>
      <c r="G11" t="n">
        <v>49.3</v>
      </c>
      <c r="H11" t="n">
        <v>53.9</v>
      </c>
      <c r="I11" t="n">
        <v>67.4</v>
      </c>
      <c r="J11" t="n">
        <v>77.4</v>
      </c>
      <c r="K11" t="n">
        <v>85.6</v>
      </c>
      <c r="L11" t="n">
        <v>122.4</v>
      </c>
      <c r="M11" t="n">
        <v>72.4</v>
      </c>
      <c r="N11" t="n">
        <v>77.5</v>
      </c>
      <c r="O11" t="n">
        <v>105.5</v>
      </c>
      <c r="P11" t="n">
        <v>92</v>
      </c>
      <c r="Q11" t="n">
        <v>122.3</v>
      </c>
      <c r="R11" t="n">
        <v>174.8</v>
      </c>
      <c r="S11" t="n">
        <v>186</v>
      </c>
      <c r="T11" t="n">
        <v>328.8</v>
      </c>
      <c r="U11" t="n">
        <v>10.3</v>
      </c>
      <c r="V11" t="n">
        <v>98.1</v>
      </c>
      <c r="W11" t="n">
        <v>73</v>
      </c>
      <c r="X11" t="n">
        <v>149.2</v>
      </c>
      <c r="Y11" t="n">
        <v>115.5</v>
      </c>
      <c r="Z11" t="n">
        <v>89.8</v>
      </c>
      <c r="AA11" t="n">
        <v>112.5</v>
      </c>
      <c r="AB11" t="n">
        <v>112</v>
      </c>
      <c r="AC11" t="n">
        <v>217.8</v>
      </c>
      <c r="AD11" t="n">
        <v>217.1</v>
      </c>
      <c r="AE11" t="n">
        <v>216.4</v>
      </c>
      <c r="AF11" t="n">
        <v>232.2</v>
      </c>
    </row>
    <row r="12">
      <c r="A12" t="s">
        <v>46</v>
      </c>
      <c r="B12" t="s">
        <v>294</v>
      </c>
      <c r="C12" t="s">
        <v>217</v>
      </c>
      <c r="D12" t="s">
        <v>295</v>
      </c>
      <c r="E12" t="s">
        <v>218</v>
      </c>
      <c r="F12"/>
      <c r="G12" t="n">
        <v>243.8</v>
      </c>
      <c r="H12" t="n">
        <v>354.7</v>
      </c>
      <c r="I12" t="n">
        <v>335.7</v>
      </c>
      <c r="J12" t="n">
        <v>401.6</v>
      </c>
      <c r="K12" t="n">
        <v>454.6</v>
      </c>
      <c r="L12" t="n">
        <v>340.9</v>
      </c>
      <c r="M12" t="n">
        <v>241.1</v>
      </c>
      <c r="N12" t="n">
        <v>291.8</v>
      </c>
      <c r="O12" t="n">
        <v>243.2</v>
      </c>
      <c r="P12" t="n">
        <v>186.5</v>
      </c>
      <c r="Q12" t="n">
        <v>261.3</v>
      </c>
      <c r="R12" t="n">
        <v>365.8</v>
      </c>
      <c r="S12" t="n">
        <v>334.9</v>
      </c>
      <c r="T12" t="n">
        <v>388.3</v>
      </c>
      <c r="U12" t="n">
        <v>284.2</v>
      </c>
      <c r="V12" t="n">
        <v>242.2</v>
      </c>
      <c r="W12" t="n">
        <v>69.7</v>
      </c>
      <c r="X12" t="n">
        <v>140.3</v>
      </c>
      <c r="Y12" t="n">
        <v>173.7</v>
      </c>
      <c r="Z12" t="n">
        <v>154.8</v>
      </c>
      <c r="AA12" t="n">
        <v>159.1</v>
      </c>
      <c r="AB12" t="n">
        <v>157.4</v>
      </c>
      <c r="AC12" t="n">
        <v>192.4</v>
      </c>
      <c r="AD12" t="n">
        <v>226.2</v>
      </c>
      <c r="AE12" t="n">
        <v>170.2</v>
      </c>
      <c r="AF12" t="n">
        <v>160.2</v>
      </c>
    </row>
    <row r="13">
      <c r="A13" t="s">
        <v>46</v>
      </c>
      <c r="B13" t="s">
        <v>296</v>
      </c>
      <c r="C13" t="s">
        <v>217</v>
      </c>
      <c r="D13" t="s">
        <v>297</v>
      </c>
      <c r="E13" t="s">
        <v>218</v>
      </c>
      <c r="F13"/>
      <c r="G13" t="n">
        <v>260.2</v>
      </c>
      <c r="H13" t="n">
        <v>295.1</v>
      </c>
      <c r="I13" t="n">
        <v>364.5</v>
      </c>
      <c r="J13" t="n">
        <v>397.2</v>
      </c>
      <c r="K13" t="n">
        <v>490</v>
      </c>
      <c r="L13" t="n">
        <v>541.3</v>
      </c>
      <c r="M13" t="n">
        <v>352.2</v>
      </c>
      <c r="N13" t="n">
        <v>360.3</v>
      </c>
      <c r="O13" t="n">
        <v>427.6</v>
      </c>
      <c r="P13" t="n">
        <v>255.5</v>
      </c>
      <c r="Q13" t="n">
        <v>688.9</v>
      </c>
      <c r="R13" t="n">
        <v>381.4</v>
      </c>
      <c r="S13" t="n">
        <v>473.8</v>
      </c>
      <c r="T13" t="n">
        <v>383.8</v>
      </c>
      <c r="U13" t="n">
        <v>700</v>
      </c>
      <c r="V13" t="n">
        <v>282.9</v>
      </c>
      <c r="W13" t="n">
        <v>189.4</v>
      </c>
      <c r="X13" t="n">
        <v>-90.5</v>
      </c>
      <c r="Y13" t="n">
        <v>215.9</v>
      </c>
      <c r="Z13" t="n">
        <v>247.8</v>
      </c>
      <c r="AA13" t="n">
        <v>224</v>
      </c>
      <c r="AB13" t="n">
        <v>230.8</v>
      </c>
      <c r="AC13" t="n">
        <v>364.4</v>
      </c>
      <c r="AD13" t="n">
        <v>323.5</v>
      </c>
      <c r="AE13" t="n">
        <v>485.9</v>
      </c>
      <c r="AF13" t="n">
        <v>402</v>
      </c>
    </row>
    <row r="14">
      <c r="A14" t="s">
        <v>46</v>
      </c>
      <c r="B14" t="s">
        <v>298</v>
      </c>
      <c r="C14" t="s">
        <v>217</v>
      </c>
      <c r="D14" t="s">
        <v>299</v>
      </c>
      <c r="E14" t="s">
        <v>218</v>
      </c>
      <c r="F14"/>
      <c r="G14" t="n">
        <v>27.6</v>
      </c>
      <c r="H14" t="n">
        <v>30</v>
      </c>
      <c r="I14" t="n">
        <v>35.7</v>
      </c>
      <c r="J14" t="n">
        <v>40</v>
      </c>
      <c r="K14" t="n">
        <v>51.4</v>
      </c>
      <c r="L14" t="n">
        <v>240.7</v>
      </c>
      <c r="M14" t="n">
        <v>48.8</v>
      </c>
      <c r="N14" t="n">
        <v>64.2</v>
      </c>
      <c r="O14" t="n">
        <v>63.7</v>
      </c>
      <c r="P14" t="n">
        <v>51.5</v>
      </c>
      <c r="Q14" t="n">
        <v>58.6</v>
      </c>
      <c r="R14" t="n">
        <v>52.5</v>
      </c>
      <c r="S14" t="n">
        <v>45</v>
      </c>
      <c r="T14" t="n">
        <v>39.5</v>
      </c>
      <c r="U14" t="n">
        <v>56.1</v>
      </c>
      <c r="V14" t="n">
        <v>52.6</v>
      </c>
      <c r="W14" t="n">
        <v>13.2</v>
      </c>
      <c r="X14" t="n">
        <v>51.6</v>
      </c>
      <c r="Y14" t="n">
        <v>67.1</v>
      </c>
      <c r="Z14" t="n">
        <v>28.2</v>
      </c>
      <c r="AA14" t="n">
        <v>36.5</v>
      </c>
      <c r="AB14" t="n">
        <v>42.9</v>
      </c>
      <c r="AC14" t="n">
        <v>34.6</v>
      </c>
      <c r="AD14" t="n">
        <v>40.4</v>
      </c>
      <c r="AE14" t="n">
        <v>39.2</v>
      </c>
      <c r="AF14" t="n">
        <v>59</v>
      </c>
    </row>
    <row r="15">
      <c r="A15" t="s">
        <v>46</v>
      </c>
      <c r="B15" t="s">
        <v>300</v>
      </c>
      <c r="C15" t="s">
        <v>217</v>
      </c>
      <c r="D15" t="s">
        <v>301</v>
      </c>
      <c r="E15" t="s">
        <v>218</v>
      </c>
      <c r="F15"/>
      <c r="G15" t="n">
        <v>73.6</v>
      </c>
      <c r="H15" t="n">
        <v>82.2</v>
      </c>
      <c r="I15" t="n">
        <v>99.7</v>
      </c>
      <c r="J15" t="n">
        <v>112.3</v>
      </c>
      <c r="K15" t="n">
        <v>134.8</v>
      </c>
      <c r="L15" t="n">
        <v>292.8</v>
      </c>
      <c r="M15" t="n">
        <v>160.5</v>
      </c>
      <c r="N15" t="n">
        <v>115.7</v>
      </c>
      <c r="O15" t="n">
        <v>125</v>
      </c>
      <c r="P15" t="n">
        <v>99</v>
      </c>
      <c r="Q15" t="n">
        <v>162.3</v>
      </c>
      <c r="R15" t="n">
        <v>111.7</v>
      </c>
      <c r="S15" t="n">
        <v>125.7</v>
      </c>
      <c r="T15" t="n">
        <v>97.5</v>
      </c>
      <c r="U15" t="n">
        <v>98.5</v>
      </c>
      <c r="V15" t="n">
        <v>102.9</v>
      </c>
      <c r="W15" t="n">
        <v>22.3</v>
      </c>
      <c r="X15" t="n">
        <v>73.5</v>
      </c>
      <c r="Y15" t="n">
        <v>166.5</v>
      </c>
      <c r="Z15" t="n">
        <v>59.5</v>
      </c>
      <c r="AA15" t="n">
        <v>75.1</v>
      </c>
      <c r="AB15" t="n">
        <v>83.4</v>
      </c>
      <c r="AC15" t="n">
        <v>105.7</v>
      </c>
      <c r="AD15" t="n">
        <v>156.6</v>
      </c>
      <c r="AE15" t="n">
        <v>127.7</v>
      </c>
      <c r="AF15" t="n">
        <v>151.7</v>
      </c>
    </row>
    <row r="16">
      <c r="A16" t="s">
        <v>46</v>
      </c>
      <c r="B16" t="s">
        <v>302</v>
      </c>
      <c r="C16" t="s">
        <v>217</v>
      </c>
      <c r="D16" t="s">
        <v>303</v>
      </c>
      <c r="E16" t="s">
        <v>218</v>
      </c>
      <c r="F16"/>
      <c r="G16" t="n">
        <v>46</v>
      </c>
      <c r="H16" t="n">
        <v>52.2</v>
      </c>
      <c r="I16" t="n">
        <v>64</v>
      </c>
      <c r="J16" t="n">
        <v>72.3</v>
      </c>
      <c r="K16" t="n">
        <v>83.4</v>
      </c>
      <c r="L16" t="n">
        <v>52.1</v>
      </c>
      <c r="M16" t="n">
        <v>111.7</v>
      </c>
      <c r="N16" t="n">
        <v>51.5</v>
      </c>
      <c r="O16" t="n">
        <v>61.3</v>
      </c>
      <c r="P16" t="n">
        <v>47.5</v>
      </c>
      <c r="Q16" t="n">
        <v>103.7</v>
      </c>
      <c r="R16" t="n">
        <v>59.2</v>
      </c>
      <c r="S16" t="n">
        <v>80.7</v>
      </c>
      <c r="T16" t="n">
        <v>58</v>
      </c>
      <c r="U16" t="n">
        <v>42.4</v>
      </c>
      <c r="V16" t="n">
        <v>50.3</v>
      </c>
      <c r="W16" t="n">
        <v>9.1</v>
      </c>
      <c r="X16" t="n">
        <v>21.9</v>
      </c>
      <c r="Y16" t="n">
        <v>99.4</v>
      </c>
      <c r="Z16" t="n">
        <v>31.3</v>
      </c>
      <c r="AA16" t="n">
        <v>38.6</v>
      </c>
      <c r="AB16" t="n">
        <v>40.5</v>
      </c>
      <c r="AC16" t="n">
        <v>71.1</v>
      </c>
      <c r="AD16" t="n">
        <v>116.2</v>
      </c>
      <c r="AE16" t="n">
        <v>88.5</v>
      </c>
      <c r="AF16" t="n">
        <v>92.7</v>
      </c>
    </row>
    <row r="17">
      <c r="A17" t="s">
        <v>46</v>
      </c>
      <c r="B17" t="s">
        <v>304</v>
      </c>
      <c r="C17" t="s">
        <v>217</v>
      </c>
      <c r="D17" t="s">
        <v>305</v>
      </c>
      <c r="E17" t="s">
        <v>218</v>
      </c>
      <c r="F17"/>
      <c r="G17" t="n">
        <v>17.8</v>
      </c>
      <c r="H17" t="n">
        <v>20.3</v>
      </c>
      <c r="I17" t="n">
        <v>24.3</v>
      </c>
      <c r="J17" t="n">
        <v>25.9</v>
      </c>
      <c r="K17" t="n">
        <v>33.3</v>
      </c>
      <c r="L17" t="n">
        <v>33.9</v>
      </c>
      <c r="M17" t="n">
        <v>30.3</v>
      </c>
      <c r="N17" t="n">
        <v>27.6</v>
      </c>
      <c r="O17" t="n">
        <v>34.9</v>
      </c>
      <c r="P17" t="n">
        <v>38</v>
      </c>
      <c r="Q17" t="n">
        <v>133.3</v>
      </c>
      <c r="R17" t="n">
        <v>70.2</v>
      </c>
      <c r="S17" t="n">
        <v>87.6</v>
      </c>
      <c r="T17" t="n">
        <v>95.2</v>
      </c>
      <c r="U17" t="n">
        <v>49.1</v>
      </c>
      <c r="V17" t="n">
        <v>59.2</v>
      </c>
      <c r="W17" t="n">
        <v>34.3</v>
      </c>
      <c r="X17" t="n">
        <v>46.5</v>
      </c>
      <c r="Y17" t="n">
        <v>25.1</v>
      </c>
      <c r="Z17" t="n">
        <v>30.7</v>
      </c>
      <c r="AA17" t="n">
        <v>30.9</v>
      </c>
      <c r="AB17" t="n">
        <v>31.4</v>
      </c>
      <c r="AC17" t="n">
        <v>32.3</v>
      </c>
      <c r="AD17" t="n">
        <v>30.9</v>
      </c>
      <c r="AE17" t="n">
        <v>32.2</v>
      </c>
      <c r="AF17" t="n">
        <v>51.9</v>
      </c>
    </row>
    <row r="18">
      <c r="A18" t="s">
        <v>46</v>
      </c>
      <c r="B18" t="s">
        <v>306</v>
      </c>
      <c r="C18" t="s">
        <v>217</v>
      </c>
      <c r="D18" t="s">
        <v>307</v>
      </c>
      <c r="E18" t="s">
        <v>218</v>
      </c>
      <c r="F18"/>
      <c r="G18" t="n">
        <v>20.4</v>
      </c>
      <c r="H18" t="n">
        <v>23</v>
      </c>
      <c r="I18" t="n">
        <v>27.8</v>
      </c>
      <c r="J18" t="n">
        <v>30.5</v>
      </c>
      <c r="K18" t="n">
        <v>38.6</v>
      </c>
      <c r="L18" t="n">
        <v>59.4</v>
      </c>
      <c r="M18" t="n">
        <v>40.2</v>
      </c>
      <c r="N18" t="n">
        <v>30.7</v>
      </c>
      <c r="O18" t="n">
        <v>46.3</v>
      </c>
      <c r="P18" t="n">
        <v>51.1</v>
      </c>
      <c r="Q18" t="n">
        <v>57.2</v>
      </c>
      <c r="R18" t="n">
        <v>50.3</v>
      </c>
      <c r="S18" t="n">
        <v>52</v>
      </c>
      <c r="T18" t="n">
        <v>43.9</v>
      </c>
      <c r="U18" t="n">
        <v>38.2</v>
      </c>
      <c r="V18" t="n">
        <v>18.8</v>
      </c>
      <c r="W18" t="n">
        <v>50.1</v>
      </c>
      <c r="X18" t="n">
        <v>11.2</v>
      </c>
      <c r="Y18" t="n">
        <v>16.3</v>
      </c>
      <c r="Z18" t="n">
        <v>7.5</v>
      </c>
      <c r="AA18" t="n">
        <v>12.8</v>
      </c>
      <c r="AB18" t="n">
        <v>11.5</v>
      </c>
      <c r="AC18" t="n">
        <v>7.7</v>
      </c>
      <c r="AD18" t="n">
        <v>3.9</v>
      </c>
      <c r="AE18" t="n">
        <v>16.8</v>
      </c>
      <c r="AF18" t="n">
        <v>21</v>
      </c>
    </row>
    <row r="19">
      <c r="A19" t="s">
        <v>46</v>
      </c>
      <c r="B19" t="s">
        <v>308</v>
      </c>
      <c r="C19" t="s">
        <v>217</v>
      </c>
      <c r="D19" t="s">
        <v>309</v>
      </c>
      <c r="E19" t="s">
        <v>218</v>
      </c>
      <c r="F19"/>
      <c r="G19" t="n">
        <v>36.1</v>
      </c>
      <c r="H19" t="n">
        <v>41.5</v>
      </c>
      <c r="I19" t="n">
        <v>50.1</v>
      </c>
      <c r="J19" t="n">
        <v>54.8</v>
      </c>
      <c r="K19" t="n">
        <v>66.9</v>
      </c>
      <c r="L19" t="n">
        <v>108.6</v>
      </c>
      <c r="M19" t="n">
        <v>87.2</v>
      </c>
      <c r="N19" t="n">
        <v>81.7</v>
      </c>
      <c r="O19" t="n">
        <v>92.7</v>
      </c>
      <c r="P19" t="n">
        <v>76.7</v>
      </c>
      <c r="Q19" t="n">
        <v>145.7</v>
      </c>
      <c r="R19" t="n">
        <v>73.3</v>
      </c>
      <c r="S19" t="n">
        <v>130.2</v>
      </c>
      <c r="T19" t="n">
        <v>106.7</v>
      </c>
      <c r="U19" t="n">
        <v>103.5</v>
      </c>
      <c r="V19" t="n">
        <v>34.8</v>
      </c>
      <c r="W19" t="n">
        <v>17.2</v>
      </c>
      <c r="X19" t="n">
        <v>6</v>
      </c>
      <c r="Y19" t="n">
        <v>62.6</v>
      </c>
      <c r="Z19" t="n">
        <v>50</v>
      </c>
      <c r="AA19" t="n">
        <v>38.4</v>
      </c>
      <c r="AB19" t="n">
        <v>33.6</v>
      </c>
      <c r="AC19" t="n">
        <v>42.9</v>
      </c>
      <c r="AD19" t="n">
        <v>60.2</v>
      </c>
      <c r="AE19" t="n">
        <v>55.6</v>
      </c>
      <c r="AF19" t="n">
        <v>73.3</v>
      </c>
    </row>
    <row r="20">
      <c r="A20" t="s">
        <v>46</v>
      </c>
      <c r="B20" t="s">
        <v>310</v>
      </c>
      <c r="C20" t="s">
        <v>217</v>
      </c>
      <c r="D20" t="s">
        <v>311</v>
      </c>
      <c r="E20" t="s">
        <v>218</v>
      </c>
      <c r="F20"/>
      <c r="G20" t="n">
        <v>671.4</v>
      </c>
      <c r="H20" t="n">
        <v>778.9</v>
      </c>
      <c r="I20" t="n">
        <v>877.7</v>
      </c>
      <c r="J20" t="n">
        <v>966.6</v>
      </c>
      <c r="K20" t="n">
        <v>998.1</v>
      </c>
      <c r="L20" t="n">
        <v>853.8</v>
      </c>
      <c r="M20" t="n">
        <v>712.9</v>
      </c>
      <c r="N20" t="n">
        <v>692</v>
      </c>
      <c r="O20" t="n">
        <v>728.8</v>
      </c>
      <c r="P20" t="n">
        <v>743.5</v>
      </c>
      <c r="Q20" t="n">
        <v>717</v>
      </c>
      <c r="R20" t="n">
        <v>725.2</v>
      </c>
      <c r="S20" t="n">
        <v>964.5</v>
      </c>
      <c r="T20" t="n">
        <v>1078.3</v>
      </c>
      <c r="U20" t="n">
        <v>937.3</v>
      </c>
      <c r="V20" t="n">
        <v>108.9</v>
      </c>
      <c r="W20" t="n">
        <v>657.3</v>
      </c>
      <c r="X20" t="n">
        <v>357.8</v>
      </c>
      <c r="Y20" t="n">
        <v>674.7</v>
      </c>
      <c r="Z20" t="n">
        <v>820.7</v>
      </c>
      <c r="AA20" t="n">
        <v>890.6</v>
      </c>
      <c r="AB20" t="n">
        <v>730.8</v>
      </c>
      <c r="AC20" t="n">
        <v>780.4</v>
      </c>
      <c r="AD20" t="n">
        <v>908.7</v>
      </c>
      <c r="AE20" t="n">
        <v>1650.8</v>
      </c>
      <c r="AF20" t="n">
        <v>1471.6</v>
      </c>
    </row>
    <row r="21">
      <c r="A21" t="s">
        <v>46</v>
      </c>
      <c r="B21" t="s">
        <v>312</v>
      </c>
      <c r="C21" t="s">
        <v>217</v>
      </c>
      <c r="D21" t="s">
        <v>313</v>
      </c>
      <c r="E21" t="s">
        <v>218</v>
      </c>
      <c r="F21"/>
      <c r="G21" t="n">
        <v>708.3</v>
      </c>
      <c r="H21" t="n">
        <v>823.4</v>
      </c>
      <c r="I21" t="n">
        <v>926.1</v>
      </c>
      <c r="J21" t="n">
        <v>1021.9</v>
      </c>
      <c r="K21" t="n">
        <v>1059.3</v>
      </c>
      <c r="L21" t="n">
        <v>983.9</v>
      </c>
      <c r="M21" t="n">
        <v>763.6</v>
      </c>
      <c r="N21" t="n">
        <v>804.1</v>
      </c>
      <c r="O21" t="n">
        <v>821.6</v>
      </c>
      <c r="P21" t="n">
        <v>933.5</v>
      </c>
      <c r="Q21" t="n">
        <v>1011.9</v>
      </c>
      <c r="R21" t="n">
        <v>1025.7</v>
      </c>
      <c r="S21" t="n">
        <v>1275.8</v>
      </c>
      <c r="T21" t="n">
        <v>1434</v>
      </c>
      <c r="U21" t="n">
        <v>1471.7</v>
      </c>
      <c r="V21" t="n">
        <v>449.6</v>
      </c>
      <c r="W21" t="n">
        <v>1037.2</v>
      </c>
      <c r="X21" t="n">
        <v>730.9</v>
      </c>
      <c r="Y21" t="n">
        <v>1241</v>
      </c>
      <c r="Z21" t="n">
        <v>1273.9</v>
      </c>
      <c r="AA21" t="n">
        <v>1237.6</v>
      </c>
      <c r="AB21" t="n">
        <v>1047.5</v>
      </c>
      <c r="AC21" t="n">
        <v>1130.4</v>
      </c>
      <c r="AD21" t="n">
        <v>1233.2</v>
      </c>
      <c r="AE21" t="n">
        <v>1948.2</v>
      </c>
      <c r="AF21" t="n">
        <v>1997.2</v>
      </c>
    </row>
    <row r="22">
      <c r="A22" t="s">
        <v>46</v>
      </c>
      <c r="B22" t="s">
        <v>314</v>
      </c>
      <c r="C22" t="s">
        <v>217</v>
      </c>
      <c r="D22" t="s">
        <v>315</v>
      </c>
      <c r="E22" t="s">
        <v>218</v>
      </c>
      <c r="F22"/>
      <c r="G22" t="n">
        <v>36.9</v>
      </c>
      <c r="H22" t="n">
        <v>44.5</v>
      </c>
      <c r="I22" t="n">
        <v>48.4</v>
      </c>
      <c r="J22" t="n">
        <v>55.3</v>
      </c>
      <c r="K22" t="n">
        <v>61.2</v>
      </c>
      <c r="L22" t="n">
        <v>130.1</v>
      </c>
      <c r="M22" t="n">
        <v>50.7</v>
      </c>
      <c r="N22" t="n">
        <v>112.1</v>
      </c>
      <c r="O22" t="n">
        <v>92.8</v>
      </c>
      <c r="P22" t="n">
        <v>190</v>
      </c>
      <c r="Q22" t="n">
        <v>294.9</v>
      </c>
      <c r="R22" t="n">
        <v>300.5</v>
      </c>
      <c r="S22" t="n">
        <v>311.3</v>
      </c>
      <c r="T22" t="n">
        <v>355.7</v>
      </c>
      <c r="U22" t="n">
        <v>534.4</v>
      </c>
      <c r="V22" t="n">
        <v>340.7</v>
      </c>
      <c r="W22" t="n">
        <v>379.9</v>
      </c>
      <c r="X22" t="n">
        <v>373.1</v>
      </c>
      <c r="Y22" t="n">
        <v>566.3</v>
      </c>
      <c r="Z22" t="n">
        <v>453.2</v>
      </c>
      <c r="AA22" t="n">
        <v>347</v>
      </c>
      <c r="AB22" t="n">
        <v>316.7</v>
      </c>
      <c r="AC22" t="n">
        <v>350</v>
      </c>
      <c r="AD22" t="n">
        <v>324.5</v>
      </c>
      <c r="AE22" t="n">
        <v>297.4</v>
      </c>
      <c r="AF22" t="n">
        <v>525.6</v>
      </c>
    </row>
    <row r="23">
      <c r="A23" t="s">
        <v>46</v>
      </c>
      <c r="B23" t="s">
        <v>316</v>
      </c>
      <c r="C23" t="s">
        <v>217</v>
      </c>
      <c r="D23" t="s">
        <v>317</v>
      </c>
      <c r="E23" t="s">
        <v>218</v>
      </c>
      <c r="F23"/>
      <c r="G23" t="n">
        <v>225.9</v>
      </c>
      <c r="H23" t="n">
        <v>274.9</v>
      </c>
      <c r="I23" t="n">
        <v>324.5</v>
      </c>
      <c r="J23" t="n">
        <v>397.5</v>
      </c>
      <c r="K23" t="n">
        <v>433.7</v>
      </c>
      <c r="L23" t="n">
        <v>1085.2</v>
      </c>
      <c r="M23" t="n">
        <v>752.8</v>
      </c>
      <c r="N23" t="n">
        <v>921.8</v>
      </c>
      <c r="O23" t="n">
        <v>823.3</v>
      </c>
      <c r="P23" t="n">
        <v>773.7</v>
      </c>
      <c r="Q23" t="n">
        <v>989</v>
      </c>
      <c r="R23" t="n">
        <v>1399.4</v>
      </c>
      <c r="S23" t="n">
        <v>1555.6</v>
      </c>
      <c r="T23" t="n">
        <v>760.9</v>
      </c>
      <c r="U23" t="n">
        <v>96.5</v>
      </c>
      <c r="V23" t="n">
        <v>50.2</v>
      </c>
      <c r="W23" t="n">
        <v>447.2</v>
      </c>
      <c r="X23" t="n">
        <v>950.6</v>
      </c>
      <c r="Y23" t="n">
        <v>293.5</v>
      </c>
      <c r="Z23" t="n">
        <v>265.4</v>
      </c>
      <c r="AA23" t="n">
        <v>272.9</v>
      </c>
      <c r="AB23" t="n">
        <v>255.5</v>
      </c>
      <c r="AC23" t="n">
        <v>163.6</v>
      </c>
      <c r="AD23" t="n">
        <v>172.5</v>
      </c>
      <c r="AE23" t="n">
        <v>180.4</v>
      </c>
      <c r="AF23" t="n">
        <v>480.9</v>
      </c>
    </row>
    <row r="24">
      <c r="A24" t="s">
        <v>46</v>
      </c>
      <c r="B24" t="s">
        <v>318</v>
      </c>
      <c r="C24" t="s">
        <v>217</v>
      </c>
      <c r="D24" t="s">
        <v>319</v>
      </c>
      <c r="E24" t="s">
        <v>218</v>
      </c>
      <c r="F24"/>
      <c r="G24" t="n">
        <v>651.9</v>
      </c>
      <c r="H24" t="n">
        <v>777.6</v>
      </c>
      <c r="I24" t="n">
        <v>860.4</v>
      </c>
      <c r="J24" t="n">
        <v>990</v>
      </c>
      <c r="K24" t="n">
        <v>1114.9</v>
      </c>
      <c r="L24" t="n">
        <v>1155.2</v>
      </c>
      <c r="M24" t="n">
        <v>2058.1</v>
      </c>
      <c r="N24" t="n">
        <v>1463.9</v>
      </c>
      <c r="O24" t="n">
        <v>1803.5</v>
      </c>
      <c r="P24" t="n">
        <v>2561.2</v>
      </c>
      <c r="Q24" t="n">
        <v>3175.5</v>
      </c>
      <c r="R24" t="n">
        <v>3256.1</v>
      </c>
      <c r="S24" t="n">
        <v>2984.2</v>
      </c>
      <c r="T24" t="n">
        <v>2213.6</v>
      </c>
      <c r="U24" t="n">
        <v>2140.8</v>
      </c>
      <c r="V24" t="n">
        <v>2144.7</v>
      </c>
      <c r="W24" t="n">
        <v>1375.3</v>
      </c>
      <c r="X24" t="n">
        <v>1349</v>
      </c>
      <c r="Y24" t="n">
        <v>1751.2</v>
      </c>
      <c r="Z24" t="n">
        <v>1579.8</v>
      </c>
      <c r="AA24" t="n">
        <v>1766.9</v>
      </c>
      <c r="AB24" t="n">
        <v>1769.8</v>
      </c>
      <c r="AC24" t="n">
        <v>1716.1</v>
      </c>
      <c r="AD24" t="n">
        <v>1798.6</v>
      </c>
      <c r="AE24" t="n">
        <v>1679.8</v>
      </c>
      <c r="AF24" t="n">
        <v>2009.1</v>
      </c>
    </row>
    <row r="25">
      <c r="A25" t="s">
        <v>46</v>
      </c>
      <c r="B25" t="s">
        <v>320</v>
      </c>
      <c r="C25" t="s">
        <v>217</v>
      </c>
      <c r="D25" t="s">
        <v>321</v>
      </c>
      <c r="E25" t="s">
        <v>218</v>
      </c>
      <c r="F25"/>
      <c r="G25" t="n">
        <v>52.3</v>
      </c>
      <c r="H25" t="n">
        <v>68.8</v>
      </c>
      <c r="I25" t="n">
        <v>68.9</v>
      </c>
      <c r="J25" t="n">
        <v>81.4</v>
      </c>
      <c r="K25" t="n">
        <v>89.4</v>
      </c>
      <c r="L25" t="n">
        <v>341.6</v>
      </c>
      <c r="M25" t="n">
        <v>221.8</v>
      </c>
      <c r="N25" t="n">
        <v>166.9</v>
      </c>
      <c r="O25" t="n">
        <v>220.5</v>
      </c>
      <c r="P25" t="n">
        <v>356.6</v>
      </c>
      <c r="Q25" t="n">
        <v>357.5</v>
      </c>
      <c r="R25" t="n">
        <v>421.3</v>
      </c>
      <c r="S25" t="n">
        <v>375.7</v>
      </c>
      <c r="T25" t="n">
        <v>335.3</v>
      </c>
      <c r="U25" t="n">
        <v>341.5</v>
      </c>
      <c r="V25" t="n">
        <v>160.7</v>
      </c>
      <c r="W25" t="n">
        <v>82.3</v>
      </c>
      <c r="X25" t="n">
        <v>121.7</v>
      </c>
      <c r="Y25" t="n">
        <v>157.3</v>
      </c>
      <c r="Z25" t="n">
        <v>127.3</v>
      </c>
      <c r="AA25" t="n">
        <v>265.3</v>
      </c>
      <c r="AB25" t="n">
        <v>269.2</v>
      </c>
      <c r="AC25" t="n">
        <v>262.4</v>
      </c>
      <c r="AD25" t="n">
        <v>150.5</v>
      </c>
      <c r="AE25" t="n">
        <v>160.7</v>
      </c>
      <c r="AF25" t="n">
        <v>130.9</v>
      </c>
    </row>
    <row r="26">
      <c r="A26" t="s">
        <v>46</v>
      </c>
      <c r="B26" t="s">
        <v>322</v>
      </c>
      <c r="C26" t="s">
        <v>217</v>
      </c>
      <c r="D26" t="s">
        <v>323</v>
      </c>
      <c r="E26" t="s">
        <v>218</v>
      </c>
      <c r="F26"/>
      <c r="G26" t="n">
        <v>262</v>
      </c>
      <c r="H26" t="n">
        <v>312.6</v>
      </c>
      <c r="I26" t="n">
        <v>347.1</v>
      </c>
      <c r="J26" t="n">
        <v>398.6</v>
      </c>
      <c r="K26" t="n">
        <v>442.6</v>
      </c>
      <c r="L26" t="n">
        <v>522.4</v>
      </c>
      <c r="M26" t="n">
        <v>1016.2</v>
      </c>
      <c r="N26" t="n">
        <v>686.4</v>
      </c>
      <c r="O26" t="n">
        <v>1057.4</v>
      </c>
      <c r="P26" t="n">
        <v>1173</v>
      </c>
      <c r="Q26" t="n">
        <v>1802.1</v>
      </c>
      <c r="R26" t="n">
        <v>1760.5</v>
      </c>
      <c r="S26" t="n">
        <v>1712.9</v>
      </c>
      <c r="T26" t="n">
        <v>1300.9</v>
      </c>
      <c r="U26" t="n">
        <v>1391.7</v>
      </c>
      <c r="V26" t="n">
        <v>1017.6</v>
      </c>
      <c r="W26" t="n">
        <v>775.3</v>
      </c>
      <c r="X26" t="n">
        <v>632.8</v>
      </c>
      <c r="Y26" t="n">
        <v>881.7</v>
      </c>
      <c r="Z26" t="n">
        <v>927.9</v>
      </c>
      <c r="AA26" t="n">
        <v>779.4</v>
      </c>
      <c r="AB26" t="n">
        <v>771.4</v>
      </c>
      <c r="AC26" t="n">
        <v>813.6</v>
      </c>
      <c r="AD26" t="n">
        <v>858.6</v>
      </c>
      <c r="AE26" t="n">
        <v>963.6</v>
      </c>
      <c r="AF26" t="n">
        <v>1230.9</v>
      </c>
    </row>
    <row r="27">
      <c r="A27" t="s">
        <v>46</v>
      </c>
      <c r="B27" t="s">
        <v>324</v>
      </c>
      <c r="C27" t="s">
        <v>217</v>
      </c>
      <c r="D27" t="s">
        <v>325</v>
      </c>
      <c r="E27" t="s">
        <v>218</v>
      </c>
      <c r="F27"/>
      <c r="G27" t="n">
        <v>337.6</v>
      </c>
      <c r="H27" t="n">
        <v>396.2</v>
      </c>
      <c r="I27" t="n">
        <v>444.4</v>
      </c>
      <c r="J27" t="n">
        <v>510</v>
      </c>
      <c r="K27" t="n">
        <v>582.9</v>
      </c>
      <c r="L27" t="n">
        <v>291.2</v>
      </c>
      <c r="M27" t="n">
        <v>820.1</v>
      </c>
      <c r="N27" t="n">
        <v>610.6</v>
      </c>
      <c r="O27" t="n">
        <v>525.6</v>
      </c>
      <c r="P27" t="n">
        <v>1031.6</v>
      </c>
      <c r="Q27" t="n">
        <v>1015.9</v>
      </c>
      <c r="R27" t="n">
        <v>1074.3</v>
      </c>
      <c r="S27" t="n">
        <v>895.6</v>
      </c>
      <c r="T27" t="n">
        <v>577.4</v>
      </c>
      <c r="U27" t="n">
        <v>407.6</v>
      </c>
      <c r="V27" t="n">
        <v>966.4</v>
      </c>
      <c r="W27" t="n">
        <v>517.7</v>
      </c>
      <c r="X27" t="n">
        <v>594.5</v>
      </c>
      <c r="Y27" t="n">
        <v>712.2</v>
      </c>
      <c r="Z27" t="n">
        <v>524.6</v>
      </c>
      <c r="AA27" t="n">
        <v>722.2</v>
      </c>
      <c r="AB27" t="n">
        <v>729.2</v>
      </c>
      <c r="AC27" t="n">
        <v>640.1</v>
      </c>
      <c r="AD27" t="n">
        <v>789.5</v>
      </c>
      <c r="AE27" t="n">
        <v>555.5</v>
      </c>
      <c r="AF27" t="n">
        <v>647.3</v>
      </c>
    </row>
    <row r="28">
      <c r="A28" t="s">
        <v>46</v>
      </c>
      <c r="B28" t="s">
        <v>326</v>
      </c>
      <c r="C28" t="s">
        <v>217</v>
      </c>
      <c r="D28" t="s">
        <v>327</v>
      </c>
      <c r="E28" t="s">
        <v>218</v>
      </c>
      <c r="F28"/>
      <c r="G28" t="n">
        <v>1105.3</v>
      </c>
      <c r="H28" t="n">
        <v>1344.8</v>
      </c>
      <c r="I28" t="n">
        <v>2049.6</v>
      </c>
      <c r="J28" t="n">
        <v>1527.6</v>
      </c>
      <c r="K28" t="n">
        <v>1961.4</v>
      </c>
      <c r="L28" t="n">
        <v>2156.1</v>
      </c>
      <c r="M28" t="n">
        <v>3872.1</v>
      </c>
      <c r="N28" t="n">
        <v>4196</v>
      </c>
      <c r="O28" t="n">
        <v>3598.5</v>
      </c>
      <c r="P28" t="n">
        <v>1921.4</v>
      </c>
      <c r="Q28" t="n">
        <v>2957.5</v>
      </c>
      <c r="R28" t="n">
        <v>3987.8</v>
      </c>
      <c r="S28" t="n">
        <v>3081</v>
      </c>
      <c r="T28" t="n">
        <v>2097.6</v>
      </c>
      <c r="U28" t="n">
        <v>2264.1</v>
      </c>
      <c r="V28" t="n">
        <v>906</v>
      </c>
      <c r="W28" t="n">
        <v>658.6</v>
      </c>
      <c r="X28" t="n">
        <v>655.4</v>
      </c>
      <c r="Y28" t="n">
        <v>691.1</v>
      </c>
      <c r="Z28" t="n">
        <v>1150.2</v>
      </c>
      <c r="AA28" t="n">
        <v>1282.5</v>
      </c>
      <c r="AB28" t="n">
        <v>1369.1</v>
      </c>
      <c r="AC28" t="n">
        <v>1529.4</v>
      </c>
      <c r="AD28" t="n">
        <v>1242.5</v>
      </c>
      <c r="AE28" t="n">
        <v>627.6</v>
      </c>
      <c r="AF28" t="n">
        <v>1287</v>
      </c>
    </row>
    <row r="29">
      <c r="A29" t="s">
        <v>46</v>
      </c>
      <c r="B29" t="s">
        <v>328</v>
      </c>
      <c r="C29" t="s">
        <v>217</v>
      </c>
      <c r="D29" t="s">
        <v>329</v>
      </c>
      <c r="E29" t="s">
        <v>218</v>
      </c>
      <c r="F29"/>
      <c r="G29" t="n">
        <v>583.8</v>
      </c>
      <c r="H29" t="n">
        <v>786.1</v>
      </c>
      <c r="I29" t="n">
        <v>770.9</v>
      </c>
      <c r="J29" t="n">
        <v>884.6</v>
      </c>
      <c r="K29" t="n">
        <v>921.7</v>
      </c>
      <c r="L29" t="n">
        <v>944.2</v>
      </c>
      <c r="M29" t="n">
        <v>1531.3</v>
      </c>
      <c r="N29" t="n">
        <v>2216</v>
      </c>
      <c r="O29" t="n">
        <v>2598.8</v>
      </c>
      <c r="P29" t="n">
        <v>817.9</v>
      </c>
      <c r="Q29" t="n">
        <v>817.6</v>
      </c>
      <c r="R29" t="n">
        <v>1075.3</v>
      </c>
      <c r="S29" t="n">
        <v>1055.2</v>
      </c>
      <c r="T29" t="n">
        <v>995.4</v>
      </c>
      <c r="U29" t="n">
        <v>1097.7</v>
      </c>
      <c r="V29" t="n">
        <v>494.9</v>
      </c>
      <c r="W29" t="n">
        <v>516.5</v>
      </c>
      <c r="X29" t="n">
        <v>437.3</v>
      </c>
      <c r="Y29" t="n">
        <v>333.9</v>
      </c>
      <c r="Z29" t="n">
        <v>467.9</v>
      </c>
      <c r="AA29" t="n">
        <v>608.1</v>
      </c>
      <c r="AB29" t="n">
        <v>713.2</v>
      </c>
      <c r="AC29" t="n">
        <v>605.4</v>
      </c>
      <c r="AD29" t="n">
        <v>498.1</v>
      </c>
      <c r="AE29" t="n">
        <v>422.9</v>
      </c>
      <c r="AF29" t="n">
        <v>687.9</v>
      </c>
    </row>
    <row r="30">
      <c r="A30" t="s">
        <v>46</v>
      </c>
      <c r="B30" t="s">
        <v>330</v>
      </c>
      <c r="C30" t="s">
        <v>217</v>
      </c>
      <c r="D30" t="s">
        <v>331</v>
      </c>
      <c r="E30" t="s">
        <v>218</v>
      </c>
      <c r="F30"/>
      <c r="G30" t="n">
        <v>408.3</v>
      </c>
      <c r="H30" t="n">
        <v>424.6</v>
      </c>
      <c r="I30" t="n">
        <v>1128.8</v>
      </c>
      <c r="J30" t="n">
        <v>475.6</v>
      </c>
      <c r="K30" t="n">
        <v>848.5</v>
      </c>
      <c r="L30" t="n">
        <v>742.7</v>
      </c>
      <c r="M30" t="n">
        <v>1823.2</v>
      </c>
      <c r="N30" t="n">
        <v>1744.9</v>
      </c>
      <c r="O30" t="n">
        <v>654.8</v>
      </c>
      <c r="P30" t="n">
        <v>642.9</v>
      </c>
      <c r="Q30" t="n">
        <v>1990.5</v>
      </c>
      <c r="R30" t="n">
        <v>2722.8</v>
      </c>
      <c r="S30" t="n">
        <v>1780.3</v>
      </c>
      <c r="T30" t="n">
        <v>645.8</v>
      </c>
      <c r="U30" t="n">
        <v>872.3</v>
      </c>
      <c r="V30" t="n">
        <v>216</v>
      </c>
      <c r="W30" t="n">
        <v>78.3</v>
      </c>
      <c r="X30" t="n">
        <v>44.2</v>
      </c>
      <c r="Y30" t="n">
        <v>186.6</v>
      </c>
      <c r="Z30" t="n">
        <v>348.5</v>
      </c>
      <c r="AA30" t="n">
        <v>125.1</v>
      </c>
      <c r="AB30" t="n">
        <v>89.3</v>
      </c>
      <c r="AC30" t="n">
        <v>173.1</v>
      </c>
      <c r="AD30" t="n">
        <v>411.6</v>
      </c>
      <c r="AE30" t="n">
        <v>109.1</v>
      </c>
      <c r="AF30" t="n">
        <v>78.2</v>
      </c>
    </row>
    <row r="31">
      <c r="A31" t="s">
        <v>46</v>
      </c>
      <c r="B31" t="s">
        <v>332</v>
      </c>
      <c r="C31" t="s">
        <v>217</v>
      </c>
      <c r="D31" t="s">
        <v>333</v>
      </c>
      <c r="E31" t="s">
        <v>218</v>
      </c>
      <c r="F31"/>
      <c r="G31" t="n">
        <v>7.9</v>
      </c>
      <c r="H31" t="n">
        <v>12.5</v>
      </c>
      <c r="I31" t="n">
        <v>12.1</v>
      </c>
      <c r="J31" t="n">
        <v>12.7</v>
      </c>
      <c r="K31" t="n">
        <v>16.2</v>
      </c>
      <c r="L31" t="n">
        <v>154.7</v>
      </c>
      <c r="M31" t="n">
        <v>375.3</v>
      </c>
      <c r="N31" t="n">
        <v>17.9</v>
      </c>
      <c r="O31" t="n">
        <v>2</v>
      </c>
      <c r="P31" t="n">
        <v>298.7</v>
      </c>
      <c r="Q31" t="n">
        <v>8.3</v>
      </c>
      <c r="R31" t="n">
        <v>25.5</v>
      </c>
      <c r="S31" t="n">
        <v>18.6</v>
      </c>
      <c r="T31" t="n">
        <v>26.3</v>
      </c>
      <c r="U31" t="n">
        <v>-13.7</v>
      </c>
      <c r="V31" t="n">
        <v>-3.4</v>
      </c>
      <c r="W31" t="n">
        <v>10.1</v>
      </c>
      <c r="X31" t="n">
        <v>9.9</v>
      </c>
      <c r="Y31" t="n">
        <v>7.6</v>
      </c>
      <c r="Z31" t="n">
        <v>37.4</v>
      </c>
      <c r="AA31" t="n">
        <v>34.3</v>
      </c>
      <c r="AB31" t="n">
        <v>34.7</v>
      </c>
      <c r="AC31" t="n">
        <v>59.6</v>
      </c>
      <c r="AD31" t="n">
        <v>8.3</v>
      </c>
      <c r="AE31" t="n">
        <v>2</v>
      </c>
      <c r="AF31" t="n">
        <v>110.6</v>
      </c>
    </row>
    <row r="32">
      <c r="A32" t="s">
        <v>46</v>
      </c>
      <c r="B32" t="s">
        <v>334</v>
      </c>
      <c r="C32" t="s">
        <v>217</v>
      </c>
      <c r="D32" t="s">
        <v>335</v>
      </c>
      <c r="E32" t="s">
        <v>218</v>
      </c>
      <c r="F32"/>
      <c r="G32" t="n">
        <v>27.8</v>
      </c>
      <c r="H32" t="n">
        <v>32.6</v>
      </c>
      <c r="I32" t="n">
        <v>36.2</v>
      </c>
      <c r="J32" t="n">
        <v>42.6</v>
      </c>
      <c r="K32" t="n">
        <v>44.6</v>
      </c>
      <c r="L32" t="n">
        <v>89.1</v>
      </c>
      <c r="M32" t="n">
        <v>45.8</v>
      </c>
      <c r="N32" t="n">
        <v>116.6</v>
      </c>
      <c r="O32" t="n">
        <v>249.6</v>
      </c>
      <c r="P32" t="n">
        <v>120.2</v>
      </c>
      <c r="Q32" t="n">
        <v>120.1</v>
      </c>
      <c r="R32" t="n">
        <v>92.1</v>
      </c>
      <c r="S32" t="n">
        <v>178.5</v>
      </c>
      <c r="T32" t="n">
        <v>378</v>
      </c>
      <c r="U32" t="n">
        <v>294.8</v>
      </c>
      <c r="V32" t="n">
        <v>193</v>
      </c>
      <c r="W32" t="n">
        <v>48.8</v>
      </c>
      <c r="X32" t="n">
        <v>160.5</v>
      </c>
      <c r="Y32" t="n">
        <v>155.6</v>
      </c>
      <c r="Z32" t="n">
        <v>276.3</v>
      </c>
      <c r="AA32" t="n">
        <v>503.7</v>
      </c>
      <c r="AB32" t="n">
        <v>520.4</v>
      </c>
      <c r="AC32" t="n">
        <v>683</v>
      </c>
      <c r="AD32" t="n">
        <v>311.3</v>
      </c>
      <c r="AE32" t="n">
        <v>87</v>
      </c>
      <c r="AF32" t="n">
        <v>386.4</v>
      </c>
    </row>
    <row r="33">
      <c r="A33" t="s">
        <v>46</v>
      </c>
      <c r="B33" t="s">
        <v>336</v>
      </c>
      <c r="C33" t="s">
        <v>217</v>
      </c>
      <c r="D33" t="s">
        <v>337</v>
      </c>
      <c r="E33" t="s">
        <v>218</v>
      </c>
      <c r="F33"/>
      <c r="G33" t="n">
        <v>77.5</v>
      </c>
      <c r="H33" t="n">
        <v>89</v>
      </c>
      <c r="I33" t="n">
        <v>101.6</v>
      </c>
      <c r="J33" t="n">
        <v>112.1</v>
      </c>
      <c r="K33" t="n">
        <v>130.4</v>
      </c>
      <c r="L33" t="n">
        <v>225.4</v>
      </c>
      <c r="M33" t="n">
        <v>96.5</v>
      </c>
      <c r="N33" t="n">
        <v>100.6</v>
      </c>
      <c r="O33" t="n">
        <v>93.3</v>
      </c>
      <c r="P33" t="n">
        <v>41.7</v>
      </c>
      <c r="Q33" t="n">
        <v>21</v>
      </c>
      <c r="R33" t="n">
        <v>72.1</v>
      </c>
      <c r="S33" t="n">
        <v>48.4</v>
      </c>
      <c r="T33" t="n">
        <v>52.1</v>
      </c>
      <c r="U33" t="n">
        <v>13</v>
      </c>
      <c r="V33" t="n">
        <v>5.5</v>
      </c>
      <c r="W33" t="n">
        <v>4.9</v>
      </c>
      <c r="X33" t="n">
        <v>3.5</v>
      </c>
      <c r="Y33" t="n">
        <v>7.4</v>
      </c>
      <c r="Z33" t="n">
        <v>20.1</v>
      </c>
      <c r="AA33" t="n">
        <v>11.3</v>
      </c>
      <c r="AB33" t="n">
        <v>11.5</v>
      </c>
      <c r="AC33" t="n">
        <v>8.3</v>
      </c>
      <c r="AD33" t="n">
        <v>13.2</v>
      </c>
      <c r="AE33" t="n">
        <v>6.6</v>
      </c>
      <c r="AF33" t="n">
        <v>23.9</v>
      </c>
    </row>
    <row r="34">
      <c r="A34" t="s">
        <v>46</v>
      </c>
      <c r="B34" t="s">
        <v>338</v>
      </c>
      <c r="C34" t="s">
        <v>217</v>
      </c>
      <c r="D34" t="s">
        <v>339</v>
      </c>
      <c r="E34" t="s">
        <v>218</v>
      </c>
      <c r="F34"/>
      <c r="G34" t="n">
        <v>329.4</v>
      </c>
      <c r="H34" t="n">
        <v>386.2</v>
      </c>
      <c r="I34" t="n">
        <v>414.9</v>
      </c>
      <c r="J34" t="n">
        <v>477.8</v>
      </c>
      <c r="K34" t="n">
        <v>572.8</v>
      </c>
      <c r="L34" t="n">
        <v>528.7</v>
      </c>
      <c r="M34" t="n">
        <v>290.1</v>
      </c>
      <c r="N34" t="n">
        <v>567.3</v>
      </c>
      <c r="O34" t="n">
        <v>729.6</v>
      </c>
      <c r="P34" t="n">
        <v>516.2</v>
      </c>
      <c r="Q34" t="n">
        <v>808.6</v>
      </c>
      <c r="R34" t="n">
        <v>1069.9</v>
      </c>
      <c r="S34" t="n">
        <v>1527.3</v>
      </c>
      <c r="T34" t="n">
        <v>996.4</v>
      </c>
      <c r="U34" t="n">
        <v>1016</v>
      </c>
      <c r="V34" t="n">
        <v>652.4</v>
      </c>
      <c r="W34" t="n">
        <v>358.4</v>
      </c>
      <c r="X34" t="n">
        <v>444.3</v>
      </c>
      <c r="Y34" t="n">
        <v>861.5</v>
      </c>
      <c r="Z34" t="n">
        <v>987.9</v>
      </c>
      <c r="AA34" t="n">
        <v>855.7</v>
      </c>
      <c r="AB34" t="n">
        <v>861</v>
      </c>
      <c r="AC34" t="n">
        <v>650</v>
      </c>
      <c r="AD34" t="n">
        <v>856.4</v>
      </c>
      <c r="AE34" t="n">
        <v>676.1</v>
      </c>
      <c r="AF34" t="n">
        <v>695</v>
      </c>
    </row>
    <row r="35">
      <c r="A35" t="s">
        <v>46</v>
      </c>
      <c r="B35" t="s">
        <v>340</v>
      </c>
      <c r="C35" t="s">
        <v>217</v>
      </c>
      <c r="D35" t="s">
        <v>341</v>
      </c>
      <c r="E35" t="s">
        <v>218</v>
      </c>
      <c r="F35"/>
      <c r="G35" t="n">
        <v>1048.1</v>
      </c>
      <c r="H35" t="n">
        <v>1195.8</v>
      </c>
      <c r="I35" t="n">
        <v>1380.4</v>
      </c>
      <c r="J35" t="n">
        <v>1535.2</v>
      </c>
      <c r="K35" t="n">
        <v>1804.6</v>
      </c>
      <c r="L35" t="n">
        <v>2871.6</v>
      </c>
      <c r="M35" t="n">
        <v>1795.6</v>
      </c>
      <c r="N35" t="n">
        <v>1771.5</v>
      </c>
      <c r="O35" t="n">
        <v>1769.1</v>
      </c>
      <c r="P35" t="n">
        <v>1878.8</v>
      </c>
      <c r="Q35" t="n">
        <v>1602.5</v>
      </c>
      <c r="R35" t="n">
        <v>1588.6</v>
      </c>
      <c r="S35" t="n">
        <v>1644.6</v>
      </c>
      <c r="T35" t="n">
        <v>1683.4</v>
      </c>
      <c r="U35" t="n">
        <v>2227.9</v>
      </c>
      <c r="V35" t="n">
        <v>1379.6</v>
      </c>
      <c r="W35" t="n">
        <v>1164.8</v>
      </c>
      <c r="X35" t="n">
        <v>875.4</v>
      </c>
      <c r="Y35" t="n">
        <v>1116.9</v>
      </c>
      <c r="Z35" t="n">
        <v>1024.3</v>
      </c>
      <c r="AA35" t="n">
        <v>1379.5</v>
      </c>
      <c r="AB35" t="n">
        <v>1409.7</v>
      </c>
      <c r="AC35" t="n">
        <v>1428.7</v>
      </c>
      <c r="AD35" t="n">
        <v>1303.3</v>
      </c>
      <c r="AE35" t="n">
        <v>1373.5</v>
      </c>
      <c r="AF35" t="n">
        <v>1820.4</v>
      </c>
    </row>
    <row r="36">
      <c r="A36" t="s">
        <v>46</v>
      </c>
      <c r="B36" t="s">
        <v>342</v>
      </c>
      <c r="C36" t="s">
        <v>217</v>
      </c>
      <c r="D36" t="s">
        <v>343</v>
      </c>
      <c r="E36" t="s">
        <v>218</v>
      </c>
      <c r="F36"/>
      <c r="G36" t="n">
        <v>175.2</v>
      </c>
      <c r="H36" t="n">
        <v>200.2</v>
      </c>
      <c r="I36" t="n">
        <v>227.5</v>
      </c>
      <c r="J36" t="n">
        <v>257.4</v>
      </c>
      <c r="K36" t="n">
        <v>310.8</v>
      </c>
      <c r="L36" t="n">
        <v>404.4</v>
      </c>
      <c r="M36" t="n">
        <v>528.1</v>
      </c>
      <c r="N36" t="n">
        <v>510.2</v>
      </c>
      <c r="O36" t="n">
        <v>537.1</v>
      </c>
      <c r="P36" t="n">
        <v>249.8</v>
      </c>
      <c r="Q36" t="n">
        <v>424.7</v>
      </c>
      <c r="R36" t="n">
        <v>432.4</v>
      </c>
      <c r="S36" t="n">
        <v>612.9</v>
      </c>
      <c r="T36" t="n">
        <v>614.1</v>
      </c>
      <c r="U36" t="n">
        <v>430.7</v>
      </c>
      <c r="V36" t="n">
        <v>331.4</v>
      </c>
      <c r="W36" t="n">
        <v>273.1</v>
      </c>
      <c r="X36" t="n">
        <v>190</v>
      </c>
      <c r="Y36" t="n">
        <v>234.9</v>
      </c>
      <c r="Z36" t="n">
        <v>185.9</v>
      </c>
      <c r="AA36" t="n">
        <v>307.1</v>
      </c>
      <c r="AB36" t="n">
        <v>244.1</v>
      </c>
      <c r="AC36" t="n">
        <v>213.6</v>
      </c>
      <c r="AD36" t="n">
        <v>389.4</v>
      </c>
      <c r="AE36" t="n">
        <v>429.7</v>
      </c>
      <c r="AF36" t="n">
        <v>383</v>
      </c>
    </row>
    <row r="37">
      <c r="A37" t="s">
        <v>46</v>
      </c>
      <c r="B37" t="s">
        <v>344</v>
      </c>
      <c r="C37" t="s">
        <v>217</v>
      </c>
      <c r="D37" t="s">
        <v>345</v>
      </c>
      <c r="E37" t="s">
        <v>218</v>
      </c>
      <c r="F37"/>
      <c r="G37" t="n">
        <v>780</v>
      </c>
      <c r="H37" t="n">
        <v>890</v>
      </c>
      <c r="I37" t="n">
        <v>1025.3</v>
      </c>
      <c r="J37" t="n">
        <v>1135.5</v>
      </c>
      <c r="K37" t="n">
        <v>1308.9</v>
      </c>
      <c r="L37" t="n">
        <v>2260.9</v>
      </c>
      <c r="M37" t="n">
        <v>976.2</v>
      </c>
      <c r="N37" t="n">
        <v>1018.8</v>
      </c>
      <c r="O37" t="n">
        <v>951.4</v>
      </c>
      <c r="P37" t="n">
        <v>1502.4</v>
      </c>
      <c r="Q37" t="n">
        <v>992.2</v>
      </c>
      <c r="R37" t="n">
        <v>924.5</v>
      </c>
      <c r="S37" t="n">
        <v>894.8</v>
      </c>
      <c r="T37" t="n">
        <v>865.8</v>
      </c>
      <c r="U37" t="n">
        <v>1503.5</v>
      </c>
      <c r="V37" t="n">
        <v>833.2</v>
      </c>
      <c r="W37" t="n">
        <v>729</v>
      </c>
      <c r="X37" t="n">
        <v>537.7</v>
      </c>
      <c r="Y37" t="n">
        <v>669.5</v>
      </c>
      <c r="Z37" t="n">
        <v>640.5</v>
      </c>
      <c r="AA37" t="n">
        <v>784.4</v>
      </c>
      <c r="AB37" t="n">
        <v>846.5</v>
      </c>
      <c r="AC37" t="n">
        <v>991.9</v>
      </c>
      <c r="AD37" t="n">
        <v>657.4</v>
      </c>
      <c r="AE37" t="n">
        <v>631.2</v>
      </c>
      <c r="AF37" t="n">
        <v>1045.2</v>
      </c>
    </row>
    <row r="38">
      <c r="A38" t="s">
        <v>46</v>
      </c>
      <c r="B38" t="s">
        <v>346</v>
      </c>
      <c r="C38" t="s">
        <v>217</v>
      </c>
      <c r="D38" t="s">
        <v>347</v>
      </c>
      <c r="E38" t="s">
        <v>218</v>
      </c>
      <c r="F38"/>
      <c r="G38" t="n">
        <v>92.9</v>
      </c>
      <c r="H38" t="n">
        <v>105.6</v>
      </c>
      <c r="I38" t="n">
        <v>127.6</v>
      </c>
      <c r="J38" t="n">
        <v>142.3</v>
      </c>
      <c r="K38" t="n">
        <v>184.9</v>
      </c>
      <c r="L38" t="n">
        <v>206.3</v>
      </c>
      <c r="M38" t="n">
        <v>291.3</v>
      </c>
      <c r="N38" t="n">
        <v>242.5</v>
      </c>
      <c r="O38" t="n">
        <v>280.6</v>
      </c>
      <c r="P38" t="n">
        <v>126.6</v>
      </c>
      <c r="Q38" t="n">
        <v>185.6</v>
      </c>
      <c r="R38" t="n">
        <v>231.7</v>
      </c>
      <c r="S38" t="n">
        <v>136.9</v>
      </c>
      <c r="T38" t="n">
        <v>203.5</v>
      </c>
      <c r="U38" t="n">
        <v>293.7</v>
      </c>
      <c r="V38" t="n">
        <v>215</v>
      </c>
      <c r="W38" t="n">
        <v>162.7</v>
      </c>
      <c r="X38" t="n">
        <v>147.7</v>
      </c>
      <c r="Y38" t="n">
        <v>212.5</v>
      </c>
      <c r="Z38" t="n">
        <v>197.9</v>
      </c>
      <c r="AA38" t="n">
        <v>288</v>
      </c>
      <c r="AB38" t="n">
        <v>319.1</v>
      </c>
      <c r="AC38" t="n">
        <v>223.2</v>
      </c>
      <c r="AD38" t="n">
        <v>256.5</v>
      </c>
      <c r="AE38" t="n">
        <v>312.6</v>
      </c>
      <c r="AF38" t="n">
        <v>392.2</v>
      </c>
    </row>
    <row r="39">
      <c r="A39" t="s">
        <v>46</v>
      </c>
      <c r="B39" t="s">
        <v>348</v>
      </c>
      <c r="C39" t="s">
        <v>217</v>
      </c>
      <c r="D39" t="s">
        <v>349</v>
      </c>
      <c r="E39" t="s">
        <v>218</v>
      </c>
      <c r="F39"/>
      <c r="G39" t="n">
        <v>281.4</v>
      </c>
      <c r="H39" t="n">
        <v>319</v>
      </c>
      <c r="I39" t="n">
        <v>365.1</v>
      </c>
      <c r="J39" t="n">
        <v>431.2</v>
      </c>
      <c r="K39" t="n">
        <v>588.6</v>
      </c>
      <c r="L39" t="n">
        <v>509.9</v>
      </c>
      <c r="M39" t="n">
        <v>382.5</v>
      </c>
      <c r="N39" t="n">
        <v>214</v>
      </c>
      <c r="O39" t="n">
        <v>277.2</v>
      </c>
      <c r="P39" t="n">
        <v>334.2</v>
      </c>
      <c r="Q39" t="n">
        <v>482.2</v>
      </c>
      <c r="R39" t="n">
        <v>539.1</v>
      </c>
      <c r="S39" t="n">
        <v>568.1</v>
      </c>
      <c r="T39" t="n">
        <v>470.1</v>
      </c>
      <c r="U39" t="n">
        <v>921.5</v>
      </c>
      <c r="V39" t="n">
        <v>583.3</v>
      </c>
      <c r="W39" t="n">
        <v>489.3</v>
      </c>
      <c r="X39" t="n">
        <v>792.7</v>
      </c>
      <c r="Y39" t="n">
        <v>682</v>
      </c>
      <c r="Z39" t="n">
        <v>647.1</v>
      </c>
      <c r="AA39" t="n">
        <v>709.7</v>
      </c>
      <c r="AB39" t="n">
        <v>630.3</v>
      </c>
      <c r="AC39" t="n">
        <v>916.7</v>
      </c>
      <c r="AD39" t="n">
        <v>934.1</v>
      </c>
      <c r="AE39" t="n">
        <v>996.1</v>
      </c>
      <c r="AF39" t="n">
        <v>790.2</v>
      </c>
    </row>
    <row r="40">
      <c r="A40" t="s">
        <v>46</v>
      </c>
      <c r="B40" t="s">
        <v>350</v>
      </c>
      <c r="C40" t="s">
        <v>217</v>
      </c>
      <c r="D40" t="s">
        <v>351</v>
      </c>
      <c r="E40" t="s">
        <v>218</v>
      </c>
      <c r="F40"/>
      <c r="G40" t="n">
        <v>8933.8</v>
      </c>
      <c r="H40" t="n">
        <v>8875.8</v>
      </c>
      <c r="I40" t="n">
        <v>11557.4</v>
      </c>
      <c r="J40" t="n">
        <v>12660.9</v>
      </c>
      <c r="K40" t="n">
        <v>13396.5</v>
      </c>
      <c r="L40" t="n">
        <v>13337.8</v>
      </c>
      <c r="M40" t="n">
        <v>14298</v>
      </c>
      <c r="N40" t="n">
        <v>17576.3</v>
      </c>
      <c r="O40" t="n">
        <v>20941.8</v>
      </c>
      <c r="P40" t="n">
        <v>19758.1</v>
      </c>
      <c r="Q40" t="n">
        <v>23617.3</v>
      </c>
      <c r="R40" t="n">
        <v>27779.1</v>
      </c>
      <c r="S40" t="n">
        <v>21643.5</v>
      </c>
      <c r="T40" t="n">
        <v>18100.9</v>
      </c>
      <c r="U40" t="n">
        <v>12750.9</v>
      </c>
      <c r="V40" t="n">
        <v>11612.2</v>
      </c>
      <c r="W40" t="n">
        <v>7321</v>
      </c>
      <c r="X40" t="n">
        <v>4680.5</v>
      </c>
      <c r="Y40" t="n">
        <v>2482.1</v>
      </c>
      <c r="Z40" t="n">
        <v>1653.7</v>
      </c>
      <c r="AA40" t="n">
        <v>1606.7</v>
      </c>
      <c r="AB40" t="n">
        <v>1432.7</v>
      </c>
      <c r="AC40" t="n">
        <v>1654.7</v>
      </c>
      <c r="AD40" t="n">
        <v>1950.5</v>
      </c>
      <c r="AE40" t="n">
        <v>2126.5</v>
      </c>
      <c r="AF40" t="n">
        <v>2739.2</v>
      </c>
    </row>
    <row r="41">
      <c r="A41" t="s">
        <v>46</v>
      </c>
      <c r="B41" t="s">
        <v>352</v>
      </c>
      <c r="C41" t="s">
        <v>217</v>
      </c>
      <c r="D41" t="s">
        <v>353</v>
      </c>
      <c r="E41" t="s">
        <v>218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46</v>
      </c>
      <c r="B42" t="s">
        <v>354</v>
      </c>
      <c r="C42" t="s">
        <v>217</v>
      </c>
      <c r="D42" t="s">
        <v>355</v>
      </c>
      <c r="E42" t="s">
        <v>218</v>
      </c>
      <c r="F42"/>
      <c r="G42" t="n">
        <v>498.6</v>
      </c>
      <c r="H42" t="n">
        <v>587.5</v>
      </c>
      <c r="I42" t="n">
        <v>644.8</v>
      </c>
      <c r="J42" t="n">
        <v>717.4</v>
      </c>
      <c r="K42" t="n">
        <v>941.3</v>
      </c>
      <c r="L42" t="n">
        <v>933.5</v>
      </c>
      <c r="M42" t="n">
        <v>820.1</v>
      </c>
      <c r="N42" t="n">
        <v>1127.8</v>
      </c>
      <c r="O42" t="n">
        <v>1186.8</v>
      </c>
      <c r="P42" t="n">
        <v>850.2</v>
      </c>
      <c r="Q42" t="n">
        <v>906.3</v>
      </c>
      <c r="R42" t="n">
        <v>1174.1</v>
      </c>
      <c r="S42" t="n">
        <v>1013.7</v>
      </c>
      <c r="T42" t="n">
        <v>1010.7</v>
      </c>
      <c r="U42" t="n">
        <v>705.7</v>
      </c>
      <c r="V42" t="n">
        <v>823.8</v>
      </c>
      <c r="W42" t="n">
        <v>731.6</v>
      </c>
      <c r="X42" t="n">
        <v>628.8</v>
      </c>
      <c r="Y42" t="n">
        <v>596.9</v>
      </c>
      <c r="Z42" t="n">
        <v>622.4</v>
      </c>
      <c r="AA42" t="n">
        <v>568.1</v>
      </c>
      <c r="AB42" t="n">
        <v>608.4</v>
      </c>
      <c r="AC42" t="n">
        <v>536.6</v>
      </c>
      <c r="AD42" t="n">
        <v>697.3</v>
      </c>
      <c r="AE42" t="n">
        <v>817</v>
      </c>
      <c r="AF42" t="n">
        <v>966.6</v>
      </c>
    </row>
    <row r="43">
      <c r="A43" t="s">
        <v>46</v>
      </c>
      <c r="B43" t="s">
        <v>356</v>
      </c>
      <c r="C43" t="s">
        <v>217</v>
      </c>
      <c r="D43" t="s">
        <v>357</v>
      </c>
      <c r="E43" t="s">
        <v>218</v>
      </c>
      <c r="F43"/>
      <c r="G43" t="n">
        <v>628.7</v>
      </c>
      <c r="H43" t="n">
        <v>753.1</v>
      </c>
      <c r="I43" t="n">
        <v>839</v>
      </c>
      <c r="J43" t="n">
        <v>907.3</v>
      </c>
      <c r="K43" t="n">
        <v>1181.8</v>
      </c>
      <c r="L43" t="n">
        <v>1275.7</v>
      </c>
      <c r="M43" t="n">
        <v>1082.3</v>
      </c>
      <c r="N43" t="n">
        <v>1536.3</v>
      </c>
      <c r="O43" t="n">
        <v>1817.2</v>
      </c>
      <c r="P43" t="n">
        <v>1874.5</v>
      </c>
      <c r="Q43" t="n">
        <v>1929.9</v>
      </c>
      <c r="R43" t="n">
        <v>2524.3</v>
      </c>
      <c r="S43" t="n">
        <v>3302</v>
      </c>
      <c r="T43" t="n">
        <v>3172.6</v>
      </c>
      <c r="U43" t="n">
        <v>1866.6</v>
      </c>
      <c r="V43" t="n">
        <v>1520.2</v>
      </c>
      <c r="W43" t="n">
        <v>996.9</v>
      </c>
      <c r="X43" t="n">
        <v>704.7</v>
      </c>
      <c r="Y43" t="n">
        <v>884.4</v>
      </c>
      <c r="Z43" t="n">
        <v>994.8</v>
      </c>
      <c r="AA43" t="n">
        <v>842.7</v>
      </c>
      <c r="AB43" t="n">
        <v>916.7</v>
      </c>
      <c r="AC43" t="n">
        <v>869.8</v>
      </c>
      <c r="AD43" t="n">
        <v>1312.7</v>
      </c>
      <c r="AE43" t="n">
        <v>1231.4</v>
      </c>
      <c r="AF43" t="n">
        <v>1541.7</v>
      </c>
    </row>
    <row r="44">
      <c r="A44" t="s">
        <v>46</v>
      </c>
      <c r="B44" t="s">
        <v>358</v>
      </c>
      <c r="C44" t="s">
        <v>217</v>
      </c>
      <c r="D44" t="s">
        <v>359</v>
      </c>
      <c r="E44" t="s">
        <v>218</v>
      </c>
      <c r="F44"/>
      <c r="G44" t="n">
        <v>8057.6</v>
      </c>
      <c r="H44" t="n">
        <v>9571.9</v>
      </c>
      <c r="I44" t="n">
        <v>11263.9</v>
      </c>
      <c r="J44" t="n">
        <v>12113.6</v>
      </c>
      <c r="K44" t="n">
        <v>14417.9</v>
      </c>
      <c r="L44" t="n">
        <v>15731.1</v>
      </c>
      <c r="M44" t="n">
        <v>15004.2</v>
      </c>
      <c r="N44" t="n">
        <v>15818.8</v>
      </c>
      <c r="O44" t="n">
        <v>16524.8</v>
      </c>
      <c r="P44" t="n">
        <v>15292.8</v>
      </c>
      <c r="Q44" t="n">
        <v>18127.3</v>
      </c>
      <c r="R44" t="n">
        <v>21195.8</v>
      </c>
      <c r="S44" t="n">
        <v>22898.3</v>
      </c>
      <c r="T44" t="n">
        <v>20121.9</v>
      </c>
      <c r="U44" t="n">
        <v>17281</v>
      </c>
      <c r="V44" t="n">
        <v>11844.3</v>
      </c>
      <c r="W44" t="n">
        <v>11190.9</v>
      </c>
      <c r="X44" t="n">
        <v>10081.7</v>
      </c>
      <c r="Y44" t="n">
        <v>11212.3</v>
      </c>
      <c r="Z44" t="n">
        <v>11819.4</v>
      </c>
      <c r="AA44" t="n">
        <v>12671</v>
      </c>
      <c r="AB44" t="n">
        <v>12467.6</v>
      </c>
      <c r="AC44" t="n">
        <v>13305.1</v>
      </c>
      <c r="AD44" t="n">
        <v>14021.7</v>
      </c>
      <c r="AE44" t="n">
        <v>13613.3</v>
      </c>
      <c r="AF44" t="n">
        <v>15986.7</v>
      </c>
    </row>
    <row r="45">
      <c r="A45" t="s">
        <v>46</v>
      </c>
      <c r="B45" t="s">
        <v>360</v>
      </c>
      <c r="C45" t="s">
        <v>217</v>
      </c>
      <c r="D45" t="s">
        <v>361</v>
      </c>
      <c r="E45" t="s">
        <v>218</v>
      </c>
      <c r="F45"/>
      <c r="G45" t="n">
        <v>7401.4</v>
      </c>
      <c r="H45" t="n">
        <v>8740.9</v>
      </c>
      <c r="I45" t="n">
        <v>10370.6</v>
      </c>
      <c r="J45" t="n">
        <v>11070</v>
      </c>
      <c r="K45" t="n">
        <v>13283.9</v>
      </c>
      <c r="L45" t="n">
        <v>14471.6</v>
      </c>
      <c r="M45" t="n">
        <v>13977.5</v>
      </c>
      <c r="N45" t="n">
        <v>14550</v>
      </c>
      <c r="O45" t="n">
        <v>15136.5</v>
      </c>
      <c r="P45" t="n">
        <v>13715.6</v>
      </c>
      <c r="Q45" t="n">
        <v>16680.6</v>
      </c>
      <c r="R45" t="n">
        <v>19170.4</v>
      </c>
      <c r="S45" t="n">
        <v>20446</v>
      </c>
      <c r="T45" t="n">
        <v>18106.3</v>
      </c>
      <c r="U45" t="n">
        <v>15200.6</v>
      </c>
      <c r="V45" t="n">
        <v>10375.6</v>
      </c>
      <c r="W45" t="n">
        <v>9925.1</v>
      </c>
      <c r="X45" t="n">
        <v>8296</v>
      </c>
      <c r="Y45" t="n">
        <v>9885</v>
      </c>
      <c r="Z45" t="n">
        <v>10237.5</v>
      </c>
      <c r="AA45" t="n">
        <v>10872.1</v>
      </c>
      <c r="AB45" t="n">
        <v>10680.3</v>
      </c>
      <c r="AC45" t="n">
        <v>11258.2</v>
      </c>
      <c r="AD45" t="n">
        <v>11777.2</v>
      </c>
      <c r="AE45" t="n">
        <v>11537.6</v>
      </c>
      <c r="AF45" t="n">
        <v>13460.4</v>
      </c>
    </row>
    <row r="46">
      <c r="A46" t="s">
        <v>46</v>
      </c>
      <c r="B46" t="s">
        <v>362</v>
      </c>
      <c r="C46" t="s">
        <v>217</v>
      </c>
      <c r="D46" t="s">
        <v>363</v>
      </c>
      <c r="E46" t="s">
        <v>218</v>
      </c>
      <c r="F46"/>
      <c r="G46" t="n">
        <v>130.1</v>
      </c>
      <c r="H46" t="n">
        <v>165.6</v>
      </c>
      <c r="I46" t="n">
        <v>194.2</v>
      </c>
      <c r="J46" t="n">
        <v>189.9</v>
      </c>
      <c r="K46" t="n">
        <v>240.5</v>
      </c>
      <c r="L46" t="n">
        <v>342.2</v>
      </c>
      <c r="M46" t="n">
        <v>262.2</v>
      </c>
      <c r="N46" t="n">
        <v>408.5</v>
      </c>
      <c r="O46" t="n">
        <v>630.4</v>
      </c>
      <c r="P46" t="n">
        <v>1024.3</v>
      </c>
      <c r="Q46" t="n">
        <v>1023.6</v>
      </c>
      <c r="R46" t="n">
        <v>1350.2</v>
      </c>
      <c r="S46" t="n">
        <v>2288.3</v>
      </c>
      <c r="T46" t="n">
        <v>2161.9</v>
      </c>
      <c r="U46" t="n">
        <v>1160.9</v>
      </c>
      <c r="V46" t="n">
        <v>696.4</v>
      </c>
      <c r="W46" t="n">
        <v>265.3</v>
      </c>
      <c r="X46" t="n">
        <v>75.9</v>
      </c>
      <c r="Y46" t="n">
        <v>287.5</v>
      </c>
      <c r="Z46" t="n">
        <v>372.4</v>
      </c>
      <c r="AA46" t="n">
        <v>274.6</v>
      </c>
      <c r="AB46" t="n">
        <v>308.3</v>
      </c>
      <c r="AC46" t="n">
        <v>333.2</v>
      </c>
      <c r="AD46" t="n">
        <v>615.4</v>
      </c>
      <c r="AE46" t="n">
        <v>414.4</v>
      </c>
      <c r="AF46" t="n">
        <v>575.1</v>
      </c>
    </row>
    <row r="47">
      <c r="A47" t="s">
        <v>46</v>
      </c>
      <c r="B47" t="s">
        <v>364</v>
      </c>
      <c r="C47" t="s">
        <v>217</v>
      </c>
      <c r="D47" t="s">
        <v>365</v>
      </c>
      <c r="E47" t="s">
        <v>218</v>
      </c>
      <c r="F47"/>
      <c r="G47" t="n">
        <v>2706.4</v>
      </c>
      <c r="H47" t="n">
        <v>2932.7</v>
      </c>
      <c r="I47" t="n">
        <v>3764.5</v>
      </c>
      <c r="J47" t="n">
        <v>5028.4</v>
      </c>
      <c r="K47" t="n">
        <v>4139.3</v>
      </c>
      <c r="L47" t="n">
        <v>5273.4</v>
      </c>
      <c r="M47" t="n">
        <v>5386.2</v>
      </c>
      <c r="N47" t="n">
        <v>6479.7</v>
      </c>
      <c r="O47" t="n">
        <v>6693.9</v>
      </c>
      <c r="P47" t="n">
        <v>4144.8</v>
      </c>
      <c r="Q47" t="n">
        <v>5217.1</v>
      </c>
      <c r="R47" t="n">
        <v>6371.3</v>
      </c>
      <c r="S47" t="n">
        <v>7491.7</v>
      </c>
      <c r="T47" t="n">
        <v>7978.7</v>
      </c>
      <c r="U47" t="n">
        <v>5933.7</v>
      </c>
      <c r="V47" t="n">
        <v>3386.2</v>
      </c>
      <c r="W47" t="n">
        <v>3069.4</v>
      </c>
      <c r="X47" t="n">
        <v>4353</v>
      </c>
      <c r="Y47" t="n">
        <v>5097.6</v>
      </c>
      <c r="Z47" t="n">
        <v>4981.5</v>
      </c>
      <c r="AA47" t="n">
        <v>4609.5</v>
      </c>
      <c r="AB47" t="n">
        <v>6180.7</v>
      </c>
      <c r="AC47" t="n">
        <v>3922</v>
      </c>
      <c r="AD47" t="n">
        <v>2626.3</v>
      </c>
      <c r="AE47" t="n">
        <v>3160</v>
      </c>
      <c r="AF47" t="n">
        <v>4232.1</v>
      </c>
    </row>
    <row r="48">
      <c r="A48" t="s">
        <v>46</v>
      </c>
      <c r="B48" t="s">
        <v>366</v>
      </c>
      <c r="C48" t="s">
        <v>217</v>
      </c>
      <c r="D48" t="s">
        <v>367</v>
      </c>
      <c r="E48" t="s">
        <v>218</v>
      </c>
      <c r="F48"/>
      <c r="G48" t="n">
        <v>4056.9</v>
      </c>
      <c r="H48" t="n">
        <v>4492.3</v>
      </c>
      <c r="I48" t="n">
        <v>5482.2</v>
      </c>
      <c r="J48" t="n">
        <v>6989.8</v>
      </c>
      <c r="K48" t="n">
        <v>6413.3</v>
      </c>
      <c r="L48" t="n">
        <v>7636</v>
      </c>
      <c r="M48" t="n">
        <v>7508.6</v>
      </c>
      <c r="N48" t="n">
        <v>9003.9</v>
      </c>
      <c r="O48" t="n">
        <v>9142.8</v>
      </c>
      <c r="P48" t="n">
        <v>6574.4</v>
      </c>
      <c r="Q48" t="n">
        <v>7629.7</v>
      </c>
      <c r="R48" t="n">
        <v>8718.3</v>
      </c>
      <c r="S48" t="n">
        <v>9716.5</v>
      </c>
      <c r="T48" t="n">
        <v>9985.2</v>
      </c>
      <c r="U48" t="n">
        <v>7227.7</v>
      </c>
      <c r="V48" t="n">
        <v>4655.8</v>
      </c>
      <c r="W48" t="n">
        <v>4386.3</v>
      </c>
      <c r="X48" t="n">
        <v>5928.1</v>
      </c>
      <c r="Y48" t="n">
        <v>6394.2</v>
      </c>
      <c r="Z48" t="n">
        <v>6342.5</v>
      </c>
      <c r="AA48" t="n">
        <v>5797.2</v>
      </c>
      <c r="AB48" t="n">
        <v>7451.6</v>
      </c>
      <c r="AC48" t="n">
        <v>5436.7</v>
      </c>
      <c r="AD48" t="n">
        <v>4324.4</v>
      </c>
      <c r="AE48" t="n">
        <v>4915.3</v>
      </c>
      <c r="AF48" t="n">
        <v>6345.6</v>
      </c>
    </row>
    <row r="49">
      <c r="A49" t="s">
        <v>46</v>
      </c>
      <c r="B49" t="s">
        <v>368</v>
      </c>
      <c r="C49" t="s">
        <v>217</v>
      </c>
      <c r="D49" t="s">
        <v>369</v>
      </c>
      <c r="E49" t="s">
        <v>218</v>
      </c>
      <c r="F49"/>
      <c r="G49" t="n">
        <v>980.7</v>
      </c>
      <c r="H49" t="n">
        <v>1137.9</v>
      </c>
      <c r="I49" t="n">
        <v>1245.7</v>
      </c>
      <c r="J49" t="n">
        <v>1396.3</v>
      </c>
      <c r="K49" t="n">
        <v>1581.9</v>
      </c>
      <c r="L49" t="n">
        <v>1416.8</v>
      </c>
      <c r="M49" t="n">
        <v>1210.3</v>
      </c>
      <c r="N49" t="n">
        <v>1663.5</v>
      </c>
      <c r="O49" t="n">
        <v>1591.2</v>
      </c>
      <c r="P49" t="n">
        <v>1630.7</v>
      </c>
      <c r="Q49" t="n">
        <v>1827.5</v>
      </c>
      <c r="R49" t="n">
        <v>1739.2</v>
      </c>
      <c r="S49" t="n">
        <v>1633.8</v>
      </c>
      <c r="T49" t="n">
        <v>1374.7</v>
      </c>
      <c r="U49" t="n">
        <v>925.6</v>
      </c>
      <c r="V49" t="n">
        <v>912.7</v>
      </c>
      <c r="W49" t="n">
        <v>1019</v>
      </c>
      <c r="X49" t="n">
        <v>1218.4</v>
      </c>
      <c r="Y49" t="n">
        <v>1030.2</v>
      </c>
      <c r="Z49" t="n">
        <v>978.9</v>
      </c>
      <c r="AA49" t="n">
        <v>841.3</v>
      </c>
      <c r="AB49" t="n">
        <v>722.8</v>
      </c>
      <c r="AC49" t="n">
        <v>843.7</v>
      </c>
      <c r="AD49" t="n">
        <v>970.2</v>
      </c>
      <c r="AE49" t="n">
        <v>1079.3</v>
      </c>
      <c r="AF49" t="n">
        <v>1175.5</v>
      </c>
    </row>
    <row r="50">
      <c r="A50" t="s">
        <v>46</v>
      </c>
      <c r="B50" t="s">
        <v>370</v>
      </c>
      <c r="C50" t="s">
        <v>217</v>
      </c>
      <c r="D50" t="s">
        <v>371</v>
      </c>
      <c r="E50" t="s">
        <v>218</v>
      </c>
      <c r="F50"/>
      <c r="G50" t="n">
        <v>369.8</v>
      </c>
      <c r="H50" t="n">
        <v>421.7</v>
      </c>
      <c r="I50" t="n">
        <v>472.1</v>
      </c>
      <c r="J50" t="n">
        <v>565</v>
      </c>
      <c r="K50" t="n">
        <v>692.1</v>
      </c>
      <c r="L50" t="n">
        <v>946</v>
      </c>
      <c r="M50" t="n">
        <v>912.1</v>
      </c>
      <c r="N50" t="n">
        <v>860.6</v>
      </c>
      <c r="O50" t="n">
        <v>857.7</v>
      </c>
      <c r="P50" t="n">
        <v>798.9</v>
      </c>
      <c r="Q50" t="n">
        <v>585.1</v>
      </c>
      <c r="R50" t="n">
        <v>607.8</v>
      </c>
      <c r="S50" t="n">
        <v>591</v>
      </c>
      <c r="T50" t="n">
        <v>631.9</v>
      </c>
      <c r="U50" t="n">
        <v>368.4</v>
      </c>
      <c r="V50" t="n">
        <v>356.9</v>
      </c>
      <c r="W50" t="n">
        <v>297.9</v>
      </c>
      <c r="X50" t="n">
        <v>356.8</v>
      </c>
      <c r="Y50" t="n">
        <v>266.4</v>
      </c>
      <c r="Z50" t="n">
        <v>382.2</v>
      </c>
      <c r="AA50" t="n">
        <v>346.4</v>
      </c>
      <c r="AB50" t="n">
        <v>548.1</v>
      </c>
      <c r="AC50" t="n">
        <v>671</v>
      </c>
      <c r="AD50" t="n">
        <v>727.8</v>
      </c>
      <c r="AE50" t="n">
        <v>676</v>
      </c>
      <c r="AF50" t="n">
        <v>938</v>
      </c>
    </row>
    <row r="51">
      <c r="A51" t="s">
        <v>46</v>
      </c>
      <c r="B51" t="s">
        <v>372</v>
      </c>
      <c r="C51" t="s">
        <v>217</v>
      </c>
      <c r="D51" t="s">
        <v>373</v>
      </c>
      <c r="E51" t="s">
        <v>218</v>
      </c>
      <c r="F51"/>
      <c r="G51" t="n">
        <v>347.2</v>
      </c>
      <c r="H51" t="n">
        <v>395.9</v>
      </c>
      <c r="I51" t="n">
        <v>443.2</v>
      </c>
      <c r="J51" t="n">
        <v>530.2</v>
      </c>
      <c r="K51" t="n">
        <v>649.1</v>
      </c>
      <c r="L51" t="n">
        <v>886.9</v>
      </c>
      <c r="M51" t="n">
        <v>855.2</v>
      </c>
      <c r="N51" t="n">
        <v>807.3</v>
      </c>
      <c r="O51" t="n">
        <v>804.8</v>
      </c>
      <c r="P51" t="n">
        <v>674.4</v>
      </c>
      <c r="Q51" t="n">
        <v>505.8</v>
      </c>
      <c r="R51" t="n">
        <v>528.6</v>
      </c>
      <c r="S51" t="n">
        <v>488.9</v>
      </c>
      <c r="T51" t="n">
        <v>565.2</v>
      </c>
      <c r="U51" t="n">
        <v>336.1</v>
      </c>
      <c r="V51" t="n">
        <v>312</v>
      </c>
      <c r="W51" t="n">
        <v>265.5</v>
      </c>
      <c r="X51" t="n">
        <v>311.9</v>
      </c>
      <c r="Y51" t="n">
        <v>244.5</v>
      </c>
      <c r="Z51" t="n">
        <v>350.8</v>
      </c>
      <c r="AA51" t="n">
        <v>312</v>
      </c>
      <c r="AB51" t="n">
        <v>523</v>
      </c>
      <c r="AC51" t="n">
        <v>638.2</v>
      </c>
      <c r="AD51" t="n">
        <v>703.5</v>
      </c>
      <c r="AE51" t="n">
        <v>649.7</v>
      </c>
      <c r="AF51" t="n">
        <v>893.3</v>
      </c>
    </row>
    <row r="52">
      <c r="A52" t="s">
        <v>46</v>
      </c>
      <c r="B52" t="s">
        <v>374</v>
      </c>
      <c r="C52" t="s">
        <v>217</v>
      </c>
      <c r="D52" t="s">
        <v>375</v>
      </c>
      <c r="E52" t="s">
        <v>218</v>
      </c>
      <c r="F52"/>
      <c r="G52" t="n">
        <v>22.6</v>
      </c>
      <c r="H52" t="n">
        <v>25.8</v>
      </c>
      <c r="I52" t="n">
        <v>28.9</v>
      </c>
      <c r="J52" t="n">
        <v>34.8</v>
      </c>
      <c r="K52" t="n">
        <v>43</v>
      </c>
      <c r="L52" t="n">
        <v>59.1</v>
      </c>
      <c r="M52" t="n">
        <v>56.9</v>
      </c>
      <c r="N52" t="n">
        <v>53.3</v>
      </c>
      <c r="O52" t="n">
        <v>52.9</v>
      </c>
      <c r="P52" t="n">
        <v>124.5</v>
      </c>
      <c r="Q52" t="n">
        <v>79.3</v>
      </c>
      <c r="R52" t="n">
        <v>79.2</v>
      </c>
      <c r="S52" t="n">
        <v>102.1</v>
      </c>
      <c r="T52" t="n">
        <v>66.7</v>
      </c>
      <c r="U52" t="n">
        <v>32.3</v>
      </c>
      <c r="V52" t="n">
        <v>44.9</v>
      </c>
      <c r="W52" t="n">
        <v>32.4</v>
      </c>
      <c r="X52" t="n">
        <v>44.9</v>
      </c>
      <c r="Y52" t="n">
        <v>21.9</v>
      </c>
      <c r="Z52" t="n">
        <v>31.4</v>
      </c>
      <c r="AA52" t="n">
        <v>34.4</v>
      </c>
      <c r="AB52" t="n">
        <v>25.1</v>
      </c>
      <c r="AC52" t="n">
        <v>32.8</v>
      </c>
      <c r="AD52" t="n">
        <v>24.3</v>
      </c>
      <c r="AE52" t="n">
        <v>26.3</v>
      </c>
      <c r="AF52" t="n">
        <v>44.7</v>
      </c>
    </row>
    <row r="53">
      <c r="A53" t="s">
        <v>46</v>
      </c>
      <c r="B53" t="s">
        <v>376</v>
      </c>
      <c r="C53" t="s">
        <v>217</v>
      </c>
      <c r="D53" t="s">
        <v>377</v>
      </c>
      <c r="E53" t="s">
        <v>218</v>
      </c>
      <c r="F53"/>
      <c r="G53" t="n">
        <v>163.2</v>
      </c>
      <c r="H53" t="n">
        <v>185.4</v>
      </c>
      <c r="I53" t="n">
        <v>194.1</v>
      </c>
      <c r="J53" t="n">
        <v>220.9</v>
      </c>
      <c r="K53" t="n">
        <v>262.4</v>
      </c>
      <c r="L53" t="n">
        <v>477.7</v>
      </c>
      <c r="M53" t="n">
        <v>615.5</v>
      </c>
      <c r="N53" t="n">
        <v>759.1</v>
      </c>
      <c r="O53" t="n">
        <v>672.1</v>
      </c>
      <c r="P53" t="n">
        <v>491</v>
      </c>
      <c r="Q53" t="n">
        <v>495.7</v>
      </c>
      <c r="R53" t="n">
        <v>424.6</v>
      </c>
      <c r="S53" t="n">
        <v>538.2</v>
      </c>
      <c r="T53" t="n">
        <v>377.9</v>
      </c>
      <c r="U53" t="n">
        <v>255</v>
      </c>
      <c r="V53" t="n">
        <v>242.4</v>
      </c>
      <c r="W53" t="n">
        <v>189.2</v>
      </c>
      <c r="X53" t="n">
        <v>293.6</v>
      </c>
      <c r="Y53" t="n">
        <v>231.6</v>
      </c>
      <c r="Z53" t="n">
        <v>215.3</v>
      </c>
      <c r="AA53" t="n">
        <v>213.4</v>
      </c>
      <c r="AB53" t="n">
        <v>160.9</v>
      </c>
      <c r="AC53" t="n">
        <v>209.9</v>
      </c>
      <c r="AD53" t="n">
        <v>191.5</v>
      </c>
      <c r="AE53" t="n">
        <v>175</v>
      </c>
      <c r="AF53" t="n">
        <v>147.3</v>
      </c>
    </row>
    <row r="54">
      <c r="A54" t="s">
        <v>46</v>
      </c>
      <c r="B54" t="s">
        <v>378</v>
      </c>
      <c r="C54" t="s">
        <v>217</v>
      </c>
      <c r="D54" t="s">
        <v>379</v>
      </c>
      <c r="E54" t="s">
        <v>218</v>
      </c>
      <c r="F54"/>
      <c r="G54" t="n">
        <v>883.5</v>
      </c>
      <c r="H54" t="n">
        <v>1036.6</v>
      </c>
      <c r="I54" t="n">
        <v>1083.8</v>
      </c>
      <c r="J54" t="n">
        <v>1352.7</v>
      </c>
      <c r="K54" t="n">
        <v>1689.7</v>
      </c>
      <c r="L54" t="n">
        <v>943.7</v>
      </c>
      <c r="M54" t="n">
        <v>1045.2</v>
      </c>
      <c r="N54" t="n">
        <v>1147.9</v>
      </c>
      <c r="O54" t="n">
        <v>1156</v>
      </c>
      <c r="P54" t="n">
        <v>939.8</v>
      </c>
      <c r="Q54" t="n">
        <v>1039.5</v>
      </c>
      <c r="R54" t="n">
        <v>1012.7</v>
      </c>
      <c r="S54" t="n">
        <v>1173.8</v>
      </c>
      <c r="T54" t="n">
        <v>1961</v>
      </c>
      <c r="U54" t="n">
        <v>369.1</v>
      </c>
      <c r="V54" t="n">
        <v>404.5</v>
      </c>
      <c r="W54" t="n">
        <v>311.1</v>
      </c>
      <c r="X54" t="n">
        <v>442.8</v>
      </c>
      <c r="Y54" t="n">
        <v>438.9</v>
      </c>
      <c r="Z54" t="n">
        <v>463.1</v>
      </c>
      <c r="AA54" t="n">
        <v>396.6</v>
      </c>
      <c r="AB54" t="n">
        <v>325.9</v>
      </c>
      <c r="AC54" t="n">
        <v>317</v>
      </c>
      <c r="AD54" t="n">
        <v>301.3</v>
      </c>
      <c r="AE54" t="n">
        <v>274.3</v>
      </c>
      <c r="AF54" t="n">
        <v>257.6</v>
      </c>
    </row>
    <row r="55">
      <c r="A55" t="s">
        <v>46</v>
      </c>
      <c r="B55" t="s">
        <v>380</v>
      </c>
      <c r="C55" t="s">
        <v>217</v>
      </c>
      <c r="D55" t="s">
        <v>381</v>
      </c>
      <c r="E55" t="s">
        <v>218</v>
      </c>
      <c r="F55"/>
      <c r="G55" t="n">
        <v>720.3</v>
      </c>
      <c r="H55" t="n">
        <v>851.2</v>
      </c>
      <c r="I55" t="n">
        <v>889.7</v>
      </c>
      <c r="J55" t="n">
        <v>1131.8</v>
      </c>
      <c r="K55" t="n">
        <v>1427.3</v>
      </c>
      <c r="L55" t="n">
        <v>466</v>
      </c>
      <c r="M55" t="n">
        <v>429.7</v>
      </c>
      <c r="N55" t="n">
        <v>388.8</v>
      </c>
      <c r="O55" t="n">
        <v>483.9</v>
      </c>
      <c r="P55" t="n">
        <v>448.8</v>
      </c>
      <c r="Q55" t="n">
        <v>543.8</v>
      </c>
      <c r="R55" t="n">
        <v>588.1</v>
      </c>
      <c r="S55" t="n">
        <v>635.6</v>
      </c>
      <c r="T55" t="n">
        <v>1583.1</v>
      </c>
      <c r="U55" t="n">
        <v>114.1</v>
      </c>
      <c r="V55" t="n">
        <v>162.1</v>
      </c>
      <c r="W55" t="n">
        <v>121.9</v>
      </c>
      <c r="X55" t="n">
        <v>149.2</v>
      </c>
      <c r="Y55" t="n">
        <v>207.3</v>
      </c>
      <c r="Z55" t="n">
        <v>247.8</v>
      </c>
      <c r="AA55" t="n">
        <v>183.2</v>
      </c>
      <c r="AB55" t="n">
        <v>165</v>
      </c>
      <c r="AC55" t="n">
        <v>107.1</v>
      </c>
      <c r="AD55" t="n">
        <v>109.8</v>
      </c>
      <c r="AE55" t="n">
        <v>99.3</v>
      </c>
      <c r="AF55" t="n">
        <v>110.3</v>
      </c>
    </row>
    <row r="56">
      <c r="A56" t="s">
        <v>46</v>
      </c>
      <c r="B56" t="s">
        <v>382</v>
      </c>
      <c r="C56" t="s">
        <v>217</v>
      </c>
      <c r="D56" t="s">
        <v>383</v>
      </c>
      <c r="E56" t="s">
        <v>218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46</v>
      </c>
      <c r="B57" t="s">
        <v>384</v>
      </c>
      <c r="C57" t="s">
        <v>217</v>
      </c>
      <c r="D57" t="s">
        <v>385</v>
      </c>
      <c r="E57" t="s">
        <v>218</v>
      </c>
      <c r="F57"/>
      <c r="G57" t="n">
        <v>21048.3</v>
      </c>
      <c r="H57" t="n">
        <v>22940</v>
      </c>
      <c r="I57" t="n">
        <v>28303.6</v>
      </c>
      <c r="J57" t="n">
        <v>31764.2</v>
      </c>
      <c r="K57" t="n">
        <v>34227.7</v>
      </c>
      <c r="L57" t="n">
        <v>36705.1</v>
      </c>
      <c r="M57" t="n">
        <v>36810.8</v>
      </c>
      <c r="N57" t="n">
        <v>42398.9</v>
      </c>
      <c r="O57" t="n">
        <v>46609.4</v>
      </c>
      <c r="P57" t="n">
        <v>41625.3</v>
      </c>
      <c r="Q57" t="n">
        <v>49374.3</v>
      </c>
      <c r="R57" t="n">
        <v>57693.2</v>
      </c>
      <c r="S57" t="n">
        <v>54258.3</v>
      </c>
      <c r="T57" t="n">
        <v>48208.1</v>
      </c>
      <c r="U57" t="n">
        <v>37259.6</v>
      </c>
      <c r="V57" t="n">
        <v>28112.3</v>
      </c>
      <c r="W57" t="n">
        <v>22898.2</v>
      </c>
      <c r="X57" t="n">
        <v>20690.4</v>
      </c>
      <c r="Y57" t="n">
        <v>20088.6</v>
      </c>
      <c r="Z57" t="n">
        <v>19815.7</v>
      </c>
      <c r="AA57" t="n">
        <v>20074.9</v>
      </c>
      <c r="AB57" t="n">
        <v>21351.9</v>
      </c>
      <c r="AC57" t="n">
        <v>20396.5</v>
      </c>
      <c r="AD57" t="n">
        <v>20296.5</v>
      </c>
      <c r="AE57" t="n">
        <v>20655.1</v>
      </c>
      <c r="AF57" t="n">
        <v>25071.5</v>
      </c>
    </row>
    <row r="58">
      <c r="A58" t="s">
        <v>46</v>
      </c>
      <c r="B58" t="s">
        <v>386</v>
      </c>
      <c r="C58" t="s">
        <v>217</v>
      </c>
      <c r="D58" t="s">
        <v>387</v>
      </c>
      <c r="E58" t="s">
        <v>218</v>
      </c>
      <c r="F58"/>
      <c r="G58" t="n">
        <v>21048.3</v>
      </c>
      <c r="H58" t="n">
        <v>22940</v>
      </c>
      <c r="I58" t="n">
        <v>28303.6</v>
      </c>
      <c r="J58" t="n">
        <v>31764.2</v>
      </c>
      <c r="K58" t="n">
        <v>34227.7</v>
      </c>
      <c r="L58" t="n">
        <v>36705.1</v>
      </c>
      <c r="M58" t="n">
        <v>36810.8</v>
      </c>
      <c r="N58" t="n">
        <v>42398.9</v>
      </c>
      <c r="O58" t="n">
        <v>46609.4</v>
      </c>
      <c r="P58" t="n">
        <v>41625.3</v>
      </c>
      <c r="Q58" t="n">
        <v>49374.3</v>
      </c>
      <c r="R58" t="n">
        <v>57693.2</v>
      </c>
      <c r="S58" t="n">
        <v>54258.3</v>
      </c>
      <c r="T58" t="n">
        <v>48208.1</v>
      </c>
      <c r="U58" t="n">
        <v>37259.6</v>
      </c>
      <c r="V58" t="n">
        <v>28112.3</v>
      </c>
      <c r="W58" t="n">
        <v>22898.2</v>
      </c>
      <c r="X58" t="n">
        <v>20690.4</v>
      </c>
      <c r="Y58" t="n">
        <v>20088.6</v>
      </c>
      <c r="Z58" t="n">
        <v>19815.7</v>
      </c>
      <c r="AA58" t="n">
        <v>20074.9</v>
      </c>
      <c r="AB58" t="n">
        <v>21351.9</v>
      </c>
      <c r="AC58" t="n">
        <v>20396.5</v>
      </c>
      <c r="AD58" t="n">
        <v>20296.5</v>
      </c>
      <c r="AE58" t="n">
        <v>20655.1</v>
      </c>
      <c r="AF58" t="n">
        <v>25071.5</v>
      </c>
    </row>
    <row r="59">
      <c r="A59" t="s">
        <v>46</v>
      </c>
      <c r="B59" t="s">
        <v>388</v>
      </c>
      <c r="C59" t="s">
        <v>217</v>
      </c>
      <c r="D59" t="s">
        <v>389</v>
      </c>
      <c r="E59" t="s">
        <v>218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72</v>
      </c>
      <c r="B2" t="s">
        <v>197</v>
      </c>
      <c r="C2" t="s">
        <v>217</v>
      </c>
      <c r="D2" t="s">
        <v>199</v>
      </c>
      <c r="E2" t="s">
        <v>218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</row>
    <row r="3">
      <c r="A3" t="s">
        <v>72</v>
      </c>
      <c r="B3" t="s">
        <v>276</v>
      </c>
      <c r="C3" t="s">
        <v>217</v>
      </c>
      <c r="D3" t="s">
        <v>277</v>
      </c>
      <c r="E3" t="s">
        <v>218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>
      <c r="A4" t="s">
        <v>72</v>
      </c>
      <c r="B4" t="s">
        <v>278</v>
      </c>
      <c r="C4" t="s">
        <v>217</v>
      </c>
      <c r="D4" t="s">
        <v>279</v>
      </c>
      <c r="E4" t="s">
        <v>218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</row>
    <row r="5">
      <c r="A5" t="s">
        <v>72</v>
      </c>
      <c r="B5" t="s">
        <v>280</v>
      </c>
      <c r="C5" t="s">
        <v>217</v>
      </c>
      <c r="D5" t="s">
        <v>281</v>
      </c>
      <c r="E5" t="s">
        <v>218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72</v>
      </c>
      <c r="B6" t="s">
        <v>282</v>
      </c>
      <c r="C6" t="s">
        <v>217</v>
      </c>
      <c r="D6" t="s">
        <v>283</v>
      </c>
      <c r="E6" t="s">
        <v>218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72</v>
      </c>
      <c r="B7" t="s">
        <v>284</v>
      </c>
      <c r="C7" t="s">
        <v>217</v>
      </c>
      <c r="D7" t="s">
        <v>285</v>
      </c>
      <c r="E7" t="s">
        <v>218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72</v>
      </c>
      <c r="B8" t="s">
        <v>286</v>
      </c>
      <c r="C8" t="s">
        <v>217</v>
      </c>
      <c r="D8" t="s">
        <v>287</v>
      </c>
      <c r="E8" t="s">
        <v>218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72</v>
      </c>
      <c r="B9" t="s">
        <v>288</v>
      </c>
      <c r="C9" t="s">
        <v>217</v>
      </c>
      <c r="D9" t="s">
        <v>289</v>
      </c>
      <c r="E9" t="s">
        <v>218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72</v>
      </c>
      <c r="B10" t="s">
        <v>290</v>
      </c>
      <c r="C10" t="s">
        <v>217</v>
      </c>
      <c r="D10" t="s">
        <v>291</v>
      </c>
      <c r="E10" t="s">
        <v>218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72</v>
      </c>
      <c r="B11" t="s">
        <v>292</v>
      </c>
      <c r="C11" t="s">
        <v>217</v>
      </c>
      <c r="D11" t="s">
        <v>293</v>
      </c>
      <c r="E11" t="s">
        <v>218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72</v>
      </c>
      <c r="B12" t="s">
        <v>294</v>
      </c>
      <c r="C12" t="s">
        <v>217</v>
      </c>
      <c r="D12" t="s">
        <v>295</v>
      </c>
      <c r="E12" t="s">
        <v>218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72</v>
      </c>
      <c r="B13" t="s">
        <v>296</v>
      </c>
      <c r="C13" t="s">
        <v>217</v>
      </c>
      <c r="D13" t="s">
        <v>297</v>
      </c>
      <c r="E13" t="s">
        <v>218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72</v>
      </c>
      <c r="B14" t="s">
        <v>298</v>
      </c>
      <c r="C14" t="s">
        <v>217</v>
      </c>
      <c r="D14" t="s">
        <v>299</v>
      </c>
      <c r="E14" t="s">
        <v>218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72</v>
      </c>
      <c r="B15" t="s">
        <v>300</v>
      </c>
      <c r="C15" t="s">
        <v>217</v>
      </c>
      <c r="D15" t="s">
        <v>301</v>
      </c>
      <c r="E15" t="s">
        <v>218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72</v>
      </c>
      <c r="B16" t="s">
        <v>302</v>
      </c>
      <c r="C16" t="s">
        <v>217</v>
      </c>
      <c r="D16" t="s">
        <v>303</v>
      </c>
      <c r="E16" t="s">
        <v>218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72</v>
      </c>
      <c r="B17" t="s">
        <v>304</v>
      </c>
      <c r="C17" t="s">
        <v>217</v>
      </c>
      <c r="D17" t="s">
        <v>305</v>
      </c>
      <c r="E17" t="s">
        <v>218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72</v>
      </c>
      <c r="B18" t="s">
        <v>306</v>
      </c>
      <c r="C18" t="s">
        <v>217</v>
      </c>
      <c r="D18" t="s">
        <v>307</v>
      </c>
      <c r="E18" t="s">
        <v>218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72</v>
      </c>
      <c r="B19" t="s">
        <v>308</v>
      </c>
      <c r="C19" t="s">
        <v>217</v>
      </c>
      <c r="D19" t="s">
        <v>309</v>
      </c>
      <c r="E19" t="s">
        <v>218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72</v>
      </c>
      <c r="B20" t="s">
        <v>310</v>
      </c>
      <c r="C20" t="s">
        <v>217</v>
      </c>
      <c r="D20" t="s">
        <v>311</v>
      </c>
      <c r="E20" t="s">
        <v>218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>
      <c r="A21" t="s">
        <v>72</v>
      </c>
      <c r="B21" t="s">
        <v>312</v>
      </c>
      <c r="C21" t="s">
        <v>217</v>
      </c>
      <c r="D21" t="s">
        <v>313</v>
      </c>
      <c r="E21" t="s">
        <v>218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>
      <c r="A22" t="s">
        <v>72</v>
      </c>
      <c r="B22" t="s">
        <v>314</v>
      </c>
      <c r="C22" t="s">
        <v>217</v>
      </c>
      <c r="D22" t="s">
        <v>315</v>
      </c>
      <c r="E22" t="s">
        <v>218</v>
      </c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</row>
    <row r="23">
      <c r="A23" t="s">
        <v>72</v>
      </c>
      <c r="B23" t="s">
        <v>316</v>
      </c>
      <c r="C23" t="s">
        <v>217</v>
      </c>
      <c r="D23" t="s">
        <v>317</v>
      </c>
      <c r="E23" t="s">
        <v>218</v>
      </c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</row>
    <row r="24">
      <c r="A24" t="s">
        <v>72</v>
      </c>
      <c r="B24" t="s">
        <v>318</v>
      </c>
      <c r="C24" t="s">
        <v>217</v>
      </c>
      <c r="D24" t="s">
        <v>319</v>
      </c>
      <c r="E24" t="s">
        <v>218</v>
      </c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</row>
    <row r="25">
      <c r="A25" t="s">
        <v>72</v>
      </c>
      <c r="B25" t="s">
        <v>320</v>
      </c>
      <c r="C25" t="s">
        <v>217</v>
      </c>
      <c r="D25" t="s">
        <v>321</v>
      </c>
      <c r="E25" t="s">
        <v>218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72</v>
      </c>
      <c r="B26" t="s">
        <v>322</v>
      </c>
      <c r="C26" t="s">
        <v>217</v>
      </c>
      <c r="D26" t="s">
        <v>323</v>
      </c>
      <c r="E26" t="s">
        <v>218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72</v>
      </c>
      <c r="B27" t="s">
        <v>324</v>
      </c>
      <c r="C27" t="s">
        <v>217</v>
      </c>
      <c r="D27" t="s">
        <v>325</v>
      </c>
      <c r="E27" t="s">
        <v>218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72</v>
      </c>
      <c r="B28" t="s">
        <v>326</v>
      </c>
      <c r="C28" t="s">
        <v>217</v>
      </c>
      <c r="D28" t="s">
        <v>327</v>
      </c>
      <c r="E28" t="s">
        <v>218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</row>
    <row r="29">
      <c r="A29" t="s">
        <v>72</v>
      </c>
      <c r="B29" t="s">
        <v>328</v>
      </c>
      <c r="C29" t="s">
        <v>217</v>
      </c>
      <c r="D29" t="s">
        <v>329</v>
      </c>
      <c r="E29" t="s">
        <v>218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72</v>
      </c>
      <c r="B30" t="s">
        <v>330</v>
      </c>
      <c r="C30" t="s">
        <v>217</v>
      </c>
      <c r="D30" t="s">
        <v>331</v>
      </c>
      <c r="E30" t="s">
        <v>218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72</v>
      </c>
      <c r="B31" t="s">
        <v>332</v>
      </c>
      <c r="C31" t="s">
        <v>217</v>
      </c>
      <c r="D31" t="s">
        <v>333</v>
      </c>
      <c r="E31" t="s">
        <v>218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72</v>
      </c>
      <c r="B32" t="s">
        <v>334</v>
      </c>
      <c r="C32" t="s">
        <v>217</v>
      </c>
      <c r="D32" t="s">
        <v>335</v>
      </c>
      <c r="E32" t="s">
        <v>218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72</v>
      </c>
      <c r="B33" t="s">
        <v>336</v>
      </c>
      <c r="C33" t="s">
        <v>217</v>
      </c>
      <c r="D33" t="s">
        <v>337</v>
      </c>
      <c r="E33" t="s">
        <v>218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72</v>
      </c>
      <c r="B34" t="s">
        <v>338</v>
      </c>
      <c r="C34" t="s">
        <v>217</v>
      </c>
      <c r="D34" t="s">
        <v>339</v>
      </c>
      <c r="E34" t="s">
        <v>218</v>
      </c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</row>
    <row r="35">
      <c r="A35" t="s">
        <v>72</v>
      </c>
      <c r="B35" t="s">
        <v>340</v>
      </c>
      <c r="C35" t="s">
        <v>217</v>
      </c>
      <c r="D35" t="s">
        <v>341</v>
      </c>
      <c r="E35" t="s">
        <v>218</v>
      </c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</row>
    <row r="36">
      <c r="A36" t="s">
        <v>72</v>
      </c>
      <c r="B36" t="s">
        <v>342</v>
      </c>
      <c r="C36" t="s">
        <v>217</v>
      </c>
      <c r="D36" t="s">
        <v>343</v>
      </c>
      <c r="E36" t="s">
        <v>218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72</v>
      </c>
      <c r="B37" t="s">
        <v>344</v>
      </c>
      <c r="C37" t="s">
        <v>217</v>
      </c>
      <c r="D37" t="s">
        <v>345</v>
      </c>
      <c r="E37" t="s">
        <v>218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72</v>
      </c>
      <c r="B38" t="s">
        <v>346</v>
      </c>
      <c r="C38" t="s">
        <v>217</v>
      </c>
      <c r="D38" t="s">
        <v>347</v>
      </c>
      <c r="E38" t="s">
        <v>218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72</v>
      </c>
      <c r="B39" t="s">
        <v>348</v>
      </c>
      <c r="C39" t="s">
        <v>217</v>
      </c>
      <c r="D39" t="s">
        <v>349</v>
      </c>
      <c r="E39" t="s">
        <v>218</v>
      </c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</row>
    <row r="40">
      <c r="A40" t="s">
        <v>72</v>
      </c>
      <c r="B40" t="s">
        <v>350</v>
      </c>
      <c r="C40" t="s">
        <v>217</v>
      </c>
      <c r="D40" t="s">
        <v>351</v>
      </c>
      <c r="E40" t="s">
        <v>218</v>
      </c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</row>
    <row r="41">
      <c r="A41" t="s">
        <v>72</v>
      </c>
      <c r="B41" t="s">
        <v>352</v>
      </c>
      <c r="C41" t="s">
        <v>217</v>
      </c>
      <c r="D41" t="s">
        <v>353</v>
      </c>
      <c r="E41" t="s">
        <v>218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72</v>
      </c>
      <c r="B42" t="s">
        <v>354</v>
      </c>
      <c r="C42" t="s">
        <v>217</v>
      </c>
      <c r="D42" t="s">
        <v>355</v>
      </c>
      <c r="E42" t="s">
        <v>218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</row>
    <row r="43">
      <c r="A43" t="s">
        <v>72</v>
      </c>
      <c r="B43" t="s">
        <v>356</v>
      </c>
      <c r="C43" t="s">
        <v>217</v>
      </c>
      <c r="D43" t="s">
        <v>357</v>
      </c>
      <c r="E43" t="s">
        <v>218</v>
      </c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</row>
    <row r="44">
      <c r="A44" t="s">
        <v>72</v>
      </c>
      <c r="B44" t="s">
        <v>358</v>
      </c>
      <c r="C44" t="s">
        <v>217</v>
      </c>
      <c r="D44" t="s">
        <v>359</v>
      </c>
      <c r="E44" t="s">
        <v>218</v>
      </c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</row>
    <row r="45">
      <c r="A45" t="s">
        <v>72</v>
      </c>
      <c r="B45" t="s">
        <v>360</v>
      </c>
      <c r="C45" t="s">
        <v>217</v>
      </c>
      <c r="D45" t="s">
        <v>361</v>
      </c>
      <c r="E45" t="s">
        <v>218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</row>
    <row r="46">
      <c r="A46" t="s">
        <v>72</v>
      </c>
      <c r="B46" t="s">
        <v>362</v>
      </c>
      <c r="C46" t="s">
        <v>217</v>
      </c>
      <c r="D46" t="s">
        <v>363</v>
      </c>
      <c r="E46" t="s">
        <v>218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</row>
    <row r="47">
      <c r="A47" t="s">
        <v>72</v>
      </c>
      <c r="B47" t="s">
        <v>364</v>
      </c>
      <c r="C47" t="s">
        <v>217</v>
      </c>
      <c r="D47" t="s">
        <v>365</v>
      </c>
      <c r="E47" t="s">
        <v>218</v>
      </c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</row>
    <row r="48">
      <c r="A48" t="s">
        <v>72</v>
      </c>
      <c r="B48" t="s">
        <v>366</v>
      </c>
      <c r="C48" t="s">
        <v>217</v>
      </c>
      <c r="D48" t="s">
        <v>367</v>
      </c>
      <c r="E48" t="s">
        <v>218</v>
      </c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</row>
    <row r="49">
      <c r="A49" t="s">
        <v>72</v>
      </c>
      <c r="B49" t="s">
        <v>368</v>
      </c>
      <c r="C49" t="s">
        <v>217</v>
      </c>
      <c r="D49" t="s">
        <v>369</v>
      </c>
      <c r="E49" t="s">
        <v>218</v>
      </c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</row>
    <row r="50">
      <c r="A50" t="s">
        <v>72</v>
      </c>
      <c r="B50" t="s">
        <v>370</v>
      </c>
      <c r="C50" t="s">
        <v>217</v>
      </c>
      <c r="D50" t="s">
        <v>371</v>
      </c>
      <c r="E50" t="s">
        <v>218</v>
      </c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</row>
    <row r="51">
      <c r="A51" t="s">
        <v>72</v>
      </c>
      <c r="B51" t="s">
        <v>372</v>
      </c>
      <c r="C51" t="s">
        <v>217</v>
      </c>
      <c r="D51" t="s">
        <v>373</v>
      </c>
      <c r="E51" t="s">
        <v>218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72</v>
      </c>
      <c r="B52" t="s">
        <v>374</v>
      </c>
      <c r="C52" t="s">
        <v>217</v>
      </c>
      <c r="D52" t="s">
        <v>375</v>
      </c>
      <c r="E52" t="s">
        <v>218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72</v>
      </c>
      <c r="B53" t="s">
        <v>376</v>
      </c>
      <c r="C53" t="s">
        <v>217</v>
      </c>
      <c r="D53" t="s">
        <v>377</v>
      </c>
      <c r="E53" t="s">
        <v>218</v>
      </c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</row>
    <row r="54">
      <c r="A54" t="s">
        <v>72</v>
      </c>
      <c r="B54" t="s">
        <v>378</v>
      </c>
      <c r="C54" t="s">
        <v>217</v>
      </c>
      <c r="D54" t="s">
        <v>379</v>
      </c>
      <c r="E54" t="s">
        <v>218</v>
      </c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</row>
    <row r="55">
      <c r="A55" t="s">
        <v>72</v>
      </c>
      <c r="B55" t="s">
        <v>380</v>
      </c>
      <c r="C55" t="s">
        <v>217</v>
      </c>
      <c r="D55" t="s">
        <v>381</v>
      </c>
      <c r="E55" t="s">
        <v>218</v>
      </c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</row>
    <row r="56">
      <c r="A56" t="s">
        <v>72</v>
      </c>
      <c r="B56" t="s">
        <v>382</v>
      </c>
      <c r="C56" t="s">
        <v>217</v>
      </c>
      <c r="D56" t="s">
        <v>383</v>
      </c>
      <c r="E56" t="s">
        <v>218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72</v>
      </c>
      <c r="B57" t="s">
        <v>384</v>
      </c>
      <c r="C57" t="s">
        <v>217</v>
      </c>
      <c r="D57" t="s">
        <v>385</v>
      </c>
      <c r="E57" t="s">
        <v>218</v>
      </c>
      <c r="F57" t="n">
        <v>85.6904951583164</v>
      </c>
      <c r="G57" t="n">
        <v>88.047238099948</v>
      </c>
      <c r="H57" t="n">
        <v>93.2825610734111</v>
      </c>
      <c r="I57" t="n">
        <v>94.9223452487872</v>
      </c>
      <c r="J57" t="n">
        <v>97.7118892931406</v>
      </c>
      <c r="K57" t="n">
        <v>99.8707494792522</v>
      </c>
      <c r="L57" t="n">
        <v>102.917320560021</v>
      </c>
      <c r="M57" t="n">
        <v>102.978580869878</v>
      </c>
      <c r="N57" t="n">
        <v>104.22416992523</v>
      </c>
      <c r="O57" t="n">
        <v>101.079914910133</v>
      </c>
      <c r="P57" t="n">
        <v>99.2935085206334</v>
      </c>
      <c r="Q57" t="n">
        <v>98.8541963836121</v>
      </c>
      <c r="R57" t="n">
        <v>98.8808656811976</v>
      </c>
      <c r="S57" t="n">
        <v>99.069494627732</v>
      </c>
      <c r="T57" t="n">
        <v>99.03511340454</v>
      </c>
      <c r="U57" t="n">
        <v>98.5415829390689</v>
      </c>
      <c r="V57" t="n">
        <v>98.5068117383141</v>
      </c>
      <c r="W57" t="n">
        <v>98.368441807383</v>
      </c>
      <c r="X57" t="n">
        <v>98.2737201494076</v>
      </c>
      <c r="Y57" t="n">
        <v>98.3620799049816</v>
      </c>
      <c r="Z57" t="n">
        <v>98.0380105971727</v>
      </c>
      <c r="AA57" t="n">
        <v>100.228615852867</v>
      </c>
      <c r="AB57" t="n">
        <v>99.748263043628</v>
      </c>
      <c r="AC57" t="n">
        <v>99.6679504324818</v>
      </c>
      <c r="AD57" t="n">
        <v>99.2775708319223</v>
      </c>
      <c r="AE57" t="n">
        <v>100</v>
      </c>
      <c r="AF57" t="n">
        <v>103.731343283582</v>
      </c>
    </row>
    <row r="58">
      <c r="A58" t="s">
        <v>72</v>
      </c>
      <c r="B58" t="s">
        <v>386</v>
      </c>
      <c r="C58" t="s">
        <v>217</v>
      </c>
      <c r="D58" t="s">
        <v>387</v>
      </c>
      <c r="E58" t="s">
        <v>218</v>
      </c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</row>
    <row r="59">
      <c r="A59" t="s">
        <v>72</v>
      </c>
      <c r="B59" t="s">
        <v>388</v>
      </c>
      <c r="C59" t="s">
        <v>217</v>
      </c>
      <c r="D59" t="s">
        <v>389</v>
      </c>
      <c r="E59" t="s">
        <v>218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74</v>
      </c>
      <c r="B2" t="s">
        <v>197</v>
      </c>
      <c r="C2" t="s">
        <v>217</v>
      </c>
      <c r="D2" t="s">
        <v>199</v>
      </c>
      <c r="E2" t="s">
        <v>218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</row>
    <row r="3">
      <c r="A3" t="s">
        <v>74</v>
      </c>
      <c r="B3" t="s">
        <v>276</v>
      </c>
      <c r="C3" t="s">
        <v>217</v>
      </c>
      <c r="D3" t="s">
        <v>277</v>
      </c>
      <c r="E3" t="s">
        <v>218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>
      <c r="A4" t="s">
        <v>74</v>
      </c>
      <c r="B4" t="s">
        <v>278</v>
      </c>
      <c r="C4" t="s">
        <v>217</v>
      </c>
      <c r="D4" t="s">
        <v>279</v>
      </c>
      <c r="E4" t="s">
        <v>218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</row>
    <row r="5">
      <c r="A5" t="s">
        <v>74</v>
      </c>
      <c r="B5" t="s">
        <v>280</v>
      </c>
      <c r="C5" t="s">
        <v>217</v>
      </c>
      <c r="D5" t="s">
        <v>281</v>
      </c>
      <c r="E5" t="s">
        <v>218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74</v>
      </c>
      <c r="B6" t="s">
        <v>282</v>
      </c>
      <c r="C6" t="s">
        <v>217</v>
      </c>
      <c r="D6" t="s">
        <v>283</v>
      </c>
      <c r="E6" t="s">
        <v>218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74</v>
      </c>
      <c r="B7" t="s">
        <v>284</v>
      </c>
      <c r="C7" t="s">
        <v>217</v>
      </c>
      <c r="D7" t="s">
        <v>285</v>
      </c>
      <c r="E7" t="s">
        <v>218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74</v>
      </c>
      <c r="B8" t="s">
        <v>286</v>
      </c>
      <c r="C8" t="s">
        <v>217</v>
      </c>
      <c r="D8" t="s">
        <v>287</v>
      </c>
      <c r="E8" t="s">
        <v>218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74</v>
      </c>
      <c r="B9" t="s">
        <v>288</v>
      </c>
      <c r="C9" t="s">
        <v>217</v>
      </c>
      <c r="D9" t="s">
        <v>289</v>
      </c>
      <c r="E9" t="s">
        <v>218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74</v>
      </c>
      <c r="B10" t="s">
        <v>290</v>
      </c>
      <c r="C10" t="s">
        <v>217</v>
      </c>
      <c r="D10" t="s">
        <v>291</v>
      </c>
      <c r="E10" t="s">
        <v>218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74</v>
      </c>
      <c r="B11" t="s">
        <v>292</v>
      </c>
      <c r="C11" t="s">
        <v>217</v>
      </c>
      <c r="D11" t="s">
        <v>293</v>
      </c>
      <c r="E11" t="s">
        <v>218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74</v>
      </c>
      <c r="B12" t="s">
        <v>294</v>
      </c>
      <c r="C12" t="s">
        <v>217</v>
      </c>
      <c r="D12" t="s">
        <v>295</v>
      </c>
      <c r="E12" t="s">
        <v>218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74</v>
      </c>
      <c r="B13" t="s">
        <v>296</v>
      </c>
      <c r="C13" t="s">
        <v>217</v>
      </c>
      <c r="D13" t="s">
        <v>297</v>
      </c>
      <c r="E13" t="s">
        <v>218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74</v>
      </c>
      <c r="B14" t="s">
        <v>298</v>
      </c>
      <c r="C14" t="s">
        <v>217</v>
      </c>
      <c r="D14" t="s">
        <v>299</v>
      </c>
      <c r="E14" t="s">
        <v>218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74</v>
      </c>
      <c r="B15" t="s">
        <v>300</v>
      </c>
      <c r="C15" t="s">
        <v>217</v>
      </c>
      <c r="D15" t="s">
        <v>301</v>
      </c>
      <c r="E15" t="s">
        <v>218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74</v>
      </c>
      <c r="B16" t="s">
        <v>302</v>
      </c>
      <c r="C16" t="s">
        <v>217</v>
      </c>
      <c r="D16" t="s">
        <v>303</v>
      </c>
      <c r="E16" t="s">
        <v>218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74</v>
      </c>
      <c r="B17" t="s">
        <v>304</v>
      </c>
      <c r="C17" t="s">
        <v>217</v>
      </c>
      <c r="D17" t="s">
        <v>305</v>
      </c>
      <c r="E17" t="s">
        <v>218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74</v>
      </c>
      <c r="B18" t="s">
        <v>306</v>
      </c>
      <c r="C18" t="s">
        <v>217</v>
      </c>
      <c r="D18" t="s">
        <v>307</v>
      </c>
      <c r="E18" t="s">
        <v>218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74</v>
      </c>
      <c r="B19" t="s">
        <v>308</v>
      </c>
      <c r="C19" t="s">
        <v>217</v>
      </c>
      <c r="D19" t="s">
        <v>309</v>
      </c>
      <c r="E19" t="s">
        <v>218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74</v>
      </c>
      <c r="B20" t="s">
        <v>310</v>
      </c>
      <c r="C20" t="s">
        <v>217</v>
      </c>
      <c r="D20" t="s">
        <v>311</v>
      </c>
      <c r="E20" t="s">
        <v>218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>
      <c r="A21" t="s">
        <v>74</v>
      </c>
      <c r="B21" t="s">
        <v>312</v>
      </c>
      <c r="C21" t="s">
        <v>217</v>
      </c>
      <c r="D21" t="s">
        <v>313</v>
      </c>
      <c r="E21" t="s">
        <v>218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>
      <c r="A22" t="s">
        <v>74</v>
      </c>
      <c r="B22" t="s">
        <v>314</v>
      </c>
      <c r="C22" t="s">
        <v>217</v>
      </c>
      <c r="D22" t="s">
        <v>315</v>
      </c>
      <c r="E22" t="s">
        <v>218</v>
      </c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</row>
    <row r="23">
      <c r="A23" t="s">
        <v>74</v>
      </c>
      <c r="B23" t="s">
        <v>316</v>
      </c>
      <c r="C23" t="s">
        <v>217</v>
      </c>
      <c r="D23" t="s">
        <v>317</v>
      </c>
      <c r="E23" t="s">
        <v>218</v>
      </c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</row>
    <row r="24">
      <c r="A24" t="s">
        <v>74</v>
      </c>
      <c r="B24" t="s">
        <v>318</v>
      </c>
      <c r="C24" t="s">
        <v>217</v>
      </c>
      <c r="D24" t="s">
        <v>319</v>
      </c>
      <c r="E24" t="s">
        <v>218</v>
      </c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</row>
    <row r="25">
      <c r="A25" t="s">
        <v>74</v>
      </c>
      <c r="B25" t="s">
        <v>320</v>
      </c>
      <c r="C25" t="s">
        <v>217</v>
      </c>
      <c r="D25" t="s">
        <v>321</v>
      </c>
      <c r="E25" t="s">
        <v>218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74</v>
      </c>
      <c r="B26" t="s">
        <v>322</v>
      </c>
      <c r="C26" t="s">
        <v>217</v>
      </c>
      <c r="D26" t="s">
        <v>323</v>
      </c>
      <c r="E26" t="s">
        <v>218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74</v>
      </c>
      <c r="B27" t="s">
        <v>324</v>
      </c>
      <c r="C27" t="s">
        <v>217</v>
      </c>
      <c r="D27" t="s">
        <v>325</v>
      </c>
      <c r="E27" t="s">
        <v>218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74</v>
      </c>
      <c r="B28" t="s">
        <v>326</v>
      </c>
      <c r="C28" t="s">
        <v>217</v>
      </c>
      <c r="D28" t="s">
        <v>327</v>
      </c>
      <c r="E28" t="s">
        <v>218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</row>
    <row r="29">
      <c r="A29" t="s">
        <v>74</v>
      </c>
      <c r="B29" t="s">
        <v>328</v>
      </c>
      <c r="C29" t="s">
        <v>217</v>
      </c>
      <c r="D29" t="s">
        <v>329</v>
      </c>
      <c r="E29" t="s">
        <v>218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74</v>
      </c>
      <c r="B30" t="s">
        <v>330</v>
      </c>
      <c r="C30" t="s">
        <v>217</v>
      </c>
      <c r="D30" t="s">
        <v>331</v>
      </c>
      <c r="E30" t="s">
        <v>218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74</v>
      </c>
      <c r="B31" t="s">
        <v>332</v>
      </c>
      <c r="C31" t="s">
        <v>217</v>
      </c>
      <c r="D31" t="s">
        <v>333</v>
      </c>
      <c r="E31" t="s">
        <v>218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74</v>
      </c>
      <c r="B32" t="s">
        <v>334</v>
      </c>
      <c r="C32" t="s">
        <v>217</v>
      </c>
      <c r="D32" t="s">
        <v>335</v>
      </c>
      <c r="E32" t="s">
        <v>218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74</v>
      </c>
      <c r="B33" t="s">
        <v>336</v>
      </c>
      <c r="C33" t="s">
        <v>217</v>
      </c>
      <c r="D33" t="s">
        <v>337</v>
      </c>
      <c r="E33" t="s">
        <v>218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74</v>
      </c>
      <c r="B34" t="s">
        <v>338</v>
      </c>
      <c r="C34" t="s">
        <v>217</v>
      </c>
      <c r="D34" t="s">
        <v>339</v>
      </c>
      <c r="E34" t="s">
        <v>218</v>
      </c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</row>
    <row r="35">
      <c r="A35" t="s">
        <v>74</v>
      </c>
      <c r="B35" t="s">
        <v>340</v>
      </c>
      <c r="C35" t="s">
        <v>217</v>
      </c>
      <c r="D35" t="s">
        <v>341</v>
      </c>
      <c r="E35" t="s">
        <v>218</v>
      </c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</row>
    <row r="36">
      <c r="A36" t="s">
        <v>74</v>
      </c>
      <c r="B36" t="s">
        <v>342</v>
      </c>
      <c r="C36" t="s">
        <v>217</v>
      </c>
      <c r="D36" t="s">
        <v>343</v>
      </c>
      <c r="E36" t="s">
        <v>218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74</v>
      </c>
      <c r="B37" t="s">
        <v>344</v>
      </c>
      <c r="C37" t="s">
        <v>217</v>
      </c>
      <c r="D37" t="s">
        <v>345</v>
      </c>
      <c r="E37" t="s">
        <v>218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74</v>
      </c>
      <c r="B38" t="s">
        <v>346</v>
      </c>
      <c r="C38" t="s">
        <v>217</v>
      </c>
      <c r="D38" t="s">
        <v>347</v>
      </c>
      <c r="E38" t="s">
        <v>218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74</v>
      </c>
      <c r="B39" t="s">
        <v>348</v>
      </c>
      <c r="C39" t="s">
        <v>217</v>
      </c>
      <c r="D39" t="s">
        <v>349</v>
      </c>
      <c r="E39" t="s">
        <v>218</v>
      </c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</row>
    <row r="40">
      <c r="A40" t="s">
        <v>74</v>
      </c>
      <c r="B40" t="s">
        <v>350</v>
      </c>
      <c r="C40" t="s">
        <v>217</v>
      </c>
      <c r="D40" t="s">
        <v>351</v>
      </c>
      <c r="E40" t="s">
        <v>218</v>
      </c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</row>
    <row r="41">
      <c r="A41" t="s">
        <v>74</v>
      </c>
      <c r="B41" t="s">
        <v>352</v>
      </c>
      <c r="C41" t="s">
        <v>217</v>
      </c>
      <c r="D41" t="s">
        <v>353</v>
      </c>
      <c r="E41" t="s">
        <v>218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74</v>
      </c>
      <c r="B42" t="s">
        <v>354</v>
      </c>
      <c r="C42" t="s">
        <v>217</v>
      </c>
      <c r="D42" t="s">
        <v>355</v>
      </c>
      <c r="E42" t="s">
        <v>218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</row>
    <row r="43">
      <c r="A43" t="s">
        <v>74</v>
      </c>
      <c r="B43" t="s">
        <v>356</v>
      </c>
      <c r="C43" t="s">
        <v>217</v>
      </c>
      <c r="D43" t="s">
        <v>357</v>
      </c>
      <c r="E43" t="s">
        <v>218</v>
      </c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</row>
    <row r="44">
      <c r="A44" t="s">
        <v>74</v>
      </c>
      <c r="B44" t="s">
        <v>358</v>
      </c>
      <c r="C44" t="s">
        <v>217</v>
      </c>
      <c r="D44" t="s">
        <v>359</v>
      </c>
      <c r="E44" t="s">
        <v>218</v>
      </c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</row>
    <row r="45">
      <c r="A45" t="s">
        <v>74</v>
      </c>
      <c r="B45" t="s">
        <v>360</v>
      </c>
      <c r="C45" t="s">
        <v>217</v>
      </c>
      <c r="D45" t="s">
        <v>361</v>
      </c>
      <c r="E45" t="s">
        <v>218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</row>
    <row r="46">
      <c r="A46" t="s">
        <v>74</v>
      </c>
      <c r="B46" t="s">
        <v>362</v>
      </c>
      <c r="C46" t="s">
        <v>217</v>
      </c>
      <c r="D46" t="s">
        <v>363</v>
      </c>
      <c r="E46" t="s">
        <v>218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</row>
    <row r="47">
      <c r="A47" t="s">
        <v>74</v>
      </c>
      <c r="B47" t="s">
        <v>364</v>
      </c>
      <c r="C47" t="s">
        <v>217</v>
      </c>
      <c r="D47" t="s">
        <v>365</v>
      </c>
      <c r="E47" t="s">
        <v>218</v>
      </c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</row>
    <row r="48">
      <c r="A48" t="s">
        <v>74</v>
      </c>
      <c r="B48" t="s">
        <v>366</v>
      </c>
      <c r="C48" t="s">
        <v>217</v>
      </c>
      <c r="D48" t="s">
        <v>367</v>
      </c>
      <c r="E48" t="s">
        <v>218</v>
      </c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</row>
    <row r="49">
      <c r="A49" t="s">
        <v>74</v>
      </c>
      <c r="B49" t="s">
        <v>368</v>
      </c>
      <c r="C49" t="s">
        <v>217</v>
      </c>
      <c r="D49" t="s">
        <v>369</v>
      </c>
      <c r="E49" t="s">
        <v>218</v>
      </c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</row>
    <row r="50">
      <c r="A50" t="s">
        <v>74</v>
      </c>
      <c r="B50" t="s">
        <v>370</v>
      </c>
      <c r="C50" t="s">
        <v>217</v>
      </c>
      <c r="D50" t="s">
        <v>371</v>
      </c>
      <c r="E50" t="s">
        <v>218</v>
      </c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</row>
    <row r="51">
      <c r="A51" t="s">
        <v>74</v>
      </c>
      <c r="B51" t="s">
        <v>372</v>
      </c>
      <c r="C51" t="s">
        <v>217</v>
      </c>
      <c r="D51" t="s">
        <v>373</v>
      </c>
      <c r="E51" t="s">
        <v>218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74</v>
      </c>
      <c r="B52" t="s">
        <v>374</v>
      </c>
      <c r="C52" t="s">
        <v>217</v>
      </c>
      <c r="D52" t="s">
        <v>375</v>
      </c>
      <c r="E52" t="s">
        <v>218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74</v>
      </c>
      <c r="B53" t="s">
        <v>376</v>
      </c>
      <c r="C53" t="s">
        <v>217</v>
      </c>
      <c r="D53" t="s">
        <v>377</v>
      </c>
      <c r="E53" t="s">
        <v>218</v>
      </c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</row>
    <row r="54">
      <c r="A54" t="s">
        <v>74</v>
      </c>
      <c r="B54" t="s">
        <v>378</v>
      </c>
      <c r="C54" t="s">
        <v>217</v>
      </c>
      <c r="D54" t="s">
        <v>379</v>
      </c>
      <c r="E54" t="s">
        <v>218</v>
      </c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</row>
    <row r="55">
      <c r="A55" t="s">
        <v>74</v>
      </c>
      <c r="B55" t="s">
        <v>380</v>
      </c>
      <c r="C55" t="s">
        <v>217</v>
      </c>
      <c r="D55" t="s">
        <v>381</v>
      </c>
      <c r="E55" t="s">
        <v>218</v>
      </c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</row>
    <row r="56">
      <c r="A56" t="s">
        <v>74</v>
      </c>
      <c r="B56" t="s">
        <v>382</v>
      </c>
      <c r="C56" t="s">
        <v>217</v>
      </c>
      <c r="D56" t="s">
        <v>383</v>
      </c>
      <c r="E56" t="s">
        <v>218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74</v>
      </c>
      <c r="B57" t="s">
        <v>384</v>
      </c>
      <c r="C57" t="s">
        <v>217</v>
      </c>
      <c r="D57" t="s">
        <v>385</v>
      </c>
      <c r="E57" t="s">
        <v>218</v>
      </c>
      <c r="F57" t="n">
        <v>89.0557768078034</v>
      </c>
      <c r="G57" t="n">
        <v>91.5063334147304</v>
      </c>
      <c r="H57" t="n">
        <v>96.9418525980892</v>
      </c>
      <c r="I57" t="n">
        <v>98.6542158063745</v>
      </c>
      <c r="J57" t="n">
        <v>101.548477494134</v>
      </c>
      <c r="K57" t="n">
        <v>103.80130808162</v>
      </c>
      <c r="L57" t="n">
        <v>106.964596119874</v>
      </c>
      <c r="M57" t="n">
        <v>107.026135708338</v>
      </c>
      <c r="N57" t="n">
        <v>108.319202403699</v>
      </c>
      <c r="O57" t="n">
        <v>105.053669751583</v>
      </c>
      <c r="P57" t="n">
        <v>103.197420572591</v>
      </c>
      <c r="Q57" t="n">
        <v>102.75049791738</v>
      </c>
      <c r="R57" t="n">
        <v>102.778513649171</v>
      </c>
      <c r="S57" t="n">
        <v>102.968112751983</v>
      </c>
      <c r="T57" t="n">
        <v>102.929177100013</v>
      </c>
      <c r="U57" t="n">
        <v>102.756713893905</v>
      </c>
      <c r="V57" t="n">
        <v>102.816742351607</v>
      </c>
      <c r="W57" t="n">
        <v>102.315197266965</v>
      </c>
      <c r="X57" t="n">
        <v>102.204892880569</v>
      </c>
      <c r="Y57" t="n">
        <v>102.626777258638</v>
      </c>
      <c r="Z57" t="n">
        <v>102.211236166082</v>
      </c>
      <c r="AA57" t="n">
        <v>101.975700562056</v>
      </c>
      <c r="AB57" t="n">
        <v>100.665221726908</v>
      </c>
      <c r="AC57" t="n">
        <v>100.557319337797</v>
      </c>
      <c r="AD57" t="n">
        <v>101.471854693494</v>
      </c>
      <c r="AE57" t="n">
        <v>100</v>
      </c>
      <c r="AF57" t="n">
        <v>101.572857659395</v>
      </c>
    </row>
    <row r="58">
      <c r="A58" t="s">
        <v>74</v>
      </c>
      <c r="B58" t="s">
        <v>386</v>
      </c>
      <c r="C58" t="s">
        <v>217</v>
      </c>
      <c r="D58" t="s">
        <v>387</v>
      </c>
      <c r="E58" t="s">
        <v>218</v>
      </c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</row>
    <row r="59">
      <c r="A59" t="s">
        <v>74</v>
      </c>
      <c r="B59" t="s">
        <v>388</v>
      </c>
      <c r="C59" t="s">
        <v>217</v>
      </c>
      <c r="D59" t="s">
        <v>389</v>
      </c>
      <c r="E59" t="s">
        <v>218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76</v>
      </c>
      <c r="B2" t="s">
        <v>197</v>
      </c>
      <c r="C2" t="s">
        <v>217</v>
      </c>
      <c r="D2" t="s">
        <v>199</v>
      </c>
      <c r="E2" t="s">
        <v>218</v>
      </c>
      <c r="F2" t="n">
        <v>0</v>
      </c>
      <c r="G2" t="n">
        <v>0</v>
      </c>
      <c r="H2" t="e">
        <v>#NUM!</v>
      </c>
      <c r="I2" t="e">
        <v>#NUM!</v>
      </c>
      <c r="J2" t="e">
        <v>#NUM!</v>
      </c>
      <c r="K2" t="e">
        <v>#NUM!</v>
      </c>
      <c r="L2" t="e">
        <v>#NUM!</v>
      </c>
      <c r="M2" t="e">
        <v>#NUM!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76</v>
      </c>
      <c r="B3" t="s">
        <v>276</v>
      </c>
      <c r="C3" t="s">
        <v>217</v>
      </c>
      <c r="D3" t="s">
        <v>277</v>
      </c>
      <c r="E3" t="s">
        <v>218</v>
      </c>
      <c r="F3" t="n">
        <v>106.666666666667</v>
      </c>
      <c r="G3" t="n">
        <v>106.666666666667</v>
      </c>
      <c r="H3" t="n">
        <v>106.666666666667</v>
      </c>
      <c r="I3" t="n">
        <v>106.666666666667</v>
      </c>
      <c r="J3" t="n">
        <v>106.666666666667</v>
      </c>
      <c r="K3" t="n">
        <v>106.666666666667</v>
      </c>
      <c r="L3" t="n">
        <v>106.666666666667</v>
      </c>
      <c r="M3" t="n">
        <v>106.666666666667</v>
      </c>
      <c r="N3" t="n">
        <v>106.666666666667</v>
      </c>
      <c r="O3" t="n">
        <v>106.666666666667</v>
      </c>
      <c r="P3" t="n">
        <v>106.666666666667</v>
      </c>
      <c r="Q3" t="n">
        <v>106.666666666667</v>
      </c>
      <c r="R3" t="n">
        <v>106.666666666667</v>
      </c>
      <c r="S3" t="n">
        <v>106.666666666667</v>
      </c>
      <c r="T3" t="n">
        <v>106.666666666667</v>
      </c>
      <c r="U3" t="n">
        <v>106.666666666667</v>
      </c>
      <c r="V3" t="n">
        <v>106.666666666667</v>
      </c>
      <c r="W3" t="n">
        <v>106.666666666667</v>
      </c>
      <c r="X3" t="n">
        <v>106.666666666667</v>
      </c>
      <c r="Y3" t="n">
        <v>100</v>
      </c>
      <c r="Z3" t="n">
        <v>100</v>
      </c>
      <c r="AA3" t="n">
        <v>100</v>
      </c>
      <c r="AB3" t="n">
        <v>100</v>
      </c>
      <c r="AC3" t="n">
        <v>100</v>
      </c>
      <c r="AD3" t="n">
        <v>100</v>
      </c>
      <c r="AE3" t="n">
        <v>100</v>
      </c>
      <c r="AF3" t="n">
        <v>100</v>
      </c>
    </row>
    <row r="4">
      <c r="A4" t="s">
        <v>76</v>
      </c>
      <c r="B4" t="s">
        <v>278</v>
      </c>
      <c r="C4" t="s">
        <v>217</v>
      </c>
      <c r="D4" t="s">
        <v>279</v>
      </c>
      <c r="E4" t="s">
        <v>218</v>
      </c>
      <c r="F4" t="n">
        <v>77.4043054912714</v>
      </c>
      <c r="G4" t="n">
        <v>84.8778246421528</v>
      </c>
      <c r="H4" t="n">
        <v>89.1217158742604</v>
      </c>
      <c r="I4" t="n">
        <v>93.2669119614353</v>
      </c>
      <c r="J4" t="n">
        <v>95.9208484806631</v>
      </c>
      <c r="K4" t="n">
        <v>95.2274447567066</v>
      </c>
      <c r="L4" t="n">
        <v>97.1774948199838</v>
      </c>
      <c r="M4" t="n">
        <v>96.7918698405394</v>
      </c>
      <c r="N4" t="n">
        <v>95.5718042543141</v>
      </c>
      <c r="O4" t="n">
        <v>90.2126376606143</v>
      </c>
      <c r="P4" t="n">
        <v>90.6912192927661</v>
      </c>
      <c r="Q4" t="n">
        <v>91.5270830650497</v>
      </c>
      <c r="R4" t="n">
        <v>93.1154055477404</v>
      </c>
      <c r="S4" t="n">
        <v>93.6146838616693</v>
      </c>
      <c r="T4" t="n">
        <v>92.4503221220962</v>
      </c>
      <c r="U4" t="n">
        <v>95.5356725624046</v>
      </c>
      <c r="V4" t="n">
        <v>98.0300765457572</v>
      </c>
      <c r="W4" t="n">
        <v>99.0177851255633</v>
      </c>
      <c r="X4" t="n">
        <v>98.4339538453418</v>
      </c>
      <c r="Y4" t="n">
        <v>97.3692798116164</v>
      </c>
      <c r="Z4" t="n">
        <v>98.0325582844476</v>
      </c>
      <c r="AA4" t="n">
        <v>98.6288633835015</v>
      </c>
      <c r="AB4" t="n">
        <v>99.5164122103496</v>
      </c>
      <c r="AC4" t="n">
        <v>99.9235988396882</v>
      </c>
      <c r="AD4" t="n">
        <v>99.7659906396256</v>
      </c>
      <c r="AE4" t="n">
        <v>100</v>
      </c>
      <c r="AF4" t="n">
        <v>99.2820512820513</v>
      </c>
    </row>
    <row r="5">
      <c r="A5" t="s">
        <v>76</v>
      </c>
      <c r="B5" t="s">
        <v>280</v>
      </c>
      <c r="C5" t="s">
        <v>217</v>
      </c>
      <c r="D5" t="s">
        <v>281</v>
      </c>
      <c r="E5" t="s">
        <v>218</v>
      </c>
      <c r="F5" t="n">
        <v>76.035013988769</v>
      </c>
      <c r="G5" t="n">
        <v>81.4660864165382</v>
      </c>
      <c r="H5" t="n">
        <v>86.5577168175718</v>
      </c>
      <c r="I5" t="n">
        <v>90.8856026584505</v>
      </c>
      <c r="J5" t="n">
        <v>92.8613766292863</v>
      </c>
      <c r="K5" t="n">
        <v>91.5347855345823</v>
      </c>
      <c r="L5" t="n">
        <v>94.4406517420293</v>
      </c>
      <c r="M5" t="n">
        <v>94.4406517420293</v>
      </c>
      <c r="N5" t="n">
        <v>94.4406517420293</v>
      </c>
      <c r="O5" t="n">
        <v>89.0949544736125</v>
      </c>
      <c r="P5" t="n">
        <v>89.0949544736125</v>
      </c>
      <c r="Q5" t="n">
        <v>90.5555274977701</v>
      </c>
      <c r="R5" t="n">
        <v>91.6874715914923</v>
      </c>
      <c r="S5" t="n">
        <v>92.9972926142279</v>
      </c>
      <c r="T5" t="n">
        <v>91.9159287466206</v>
      </c>
      <c r="U5" t="n">
        <v>95.2889903520012</v>
      </c>
      <c r="V5" t="n">
        <v>98.0430074141977</v>
      </c>
      <c r="W5" t="n">
        <v>99.1323741632443</v>
      </c>
      <c r="X5" t="n">
        <v>98.5723042527176</v>
      </c>
      <c r="Y5" t="n">
        <v>97.345263120941</v>
      </c>
      <c r="Z5" t="n">
        <v>97.97329707656</v>
      </c>
      <c r="AA5" t="n">
        <v>98.5780705153041</v>
      </c>
      <c r="AB5" t="n">
        <v>99.698275862069</v>
      </c>
      <c r="AC5" t="n">
        <v>100.390625</v>
      </c>
      <c r="AD5" t="n">
        <v>100</v>
      </c>
      <c r="AE5" t="n">
        <v>100</v>
      </c>
      <c r="AF5" t="n">
        <v>99.2518703241895</v>
      </c>
    </row>
    <row r="6">
      <c r="A6" t="s">
        <v>76</v>
      </c>
      <c r="B6" t="s">
        <v>282</v>
      </c>
      <c r="C6" t="s">
        <v>217</v>
      </c>
      <c r="D6" t="s">
        <v>283</v>
      </c>
      <c r="E6" t="s">
        <v>218</v>
      </c>
      <c r="F6" t="n">
        <v>73.9585223132923</v>
      </c>
      <c r="G6" t="n">
        <v>79.2412739070989</v>
      </c>
      <c r="H6" t="n">
        <v>83.2033376024538</v>
      </c>
      <c r="I6" t="n">
        <v>86.9853074934744</v>
      </c>
      <c r="J6" t="n">
        <v>90.4647197932134</v>
      </c>
      <c r="K6" t="n">
        <v>90.4647197932134</v>
      </c>
      <c r="L6" t="n">
        <v>90.4647197932134</v>
      </c>
      <c r="M6" t="n">
        <v>90.4647197932134</v>
      </c>
      <c r="N6" t="n">
        <v>90.4647197932134</v>
      </c>
      <c r="O6" t="n">
        <v>90.4647197932134</v>
      </c>
      <c r="P6" t="n">
        <v>90.4647197932134</v>
      </c>
      <c r="Q6" t="n">
        <v>92.6711763735357</v>
      </c>
      <c r="R6" t="n">
        <v>94.3260188087774</v>
      </c>
      <c r="S6" t="n">
        <v>94.3260188087774</v>
      </c>
      <c r="T6" t="n">
        <v>94.3260188087774</v>
      </c>
      <c r="U6" t="n">
        <v>97.8854912166558</v>
      </c>
      <c r="V6" t="n">
        <v>99.8048145738451</v>
      </c>
      <c r="W6" t="n">
        <v>99.8048145738452</v>
      </c>
      <c r="X6" t="n">
        <v>98.1132075471698</v>
      </c>
      <c r="Y6" t="n">
        <v>98.1132075471698</v>
      </c>
      <c r="Z6" t="n">
        <v>98.1132075471698</v>
      </c>
      <c r="AA6" t="n">
        <v>98.1132075471698</v>
      </c>
      <c r="AB6" t="n">
        <v>100</v>
      </c>
      <c r="AC6" t="n">
        <v>100</v>
      </c>
      <c r="AD6" t="n">
        <v>100</v>
      </c>
      <c r="AE6" t="n">
        <v>100</v>
      </c>
      <c r="AF6" t="n">
        <v>99.0654205607477</v>
      </c>
    </row>
    <row r="7">
      <c r="A7" t="s">
        <v>76</v>
      </c>
      <c r="B7" t="s">
        <v>284</v>
      </c>
      <c r="C7" t="s">
        <v>217</v>
      </c>
      <c r="D7" t="s">
        <v>285</v>
      </c>
      <c r="E7" t="s">
        <v>218</v>
      </c>
      <c r="F7" t="n">
        <v>83.8581839169116</v>
      </c>
      <c r="G7" t="n">
        <v>90.0699012440903</v>
      </c>
      <c r="H7" t="n">
        <v>93.2866834313792</v>
      </c>
      <c r="I7" t="n">
        <v>98.3292068601024</v>
      </c>
      <c r="J7" t="n">
        <v>100.615932601035</v>
      </c>
      <c r="K7" t="n">
        <v>98.7865520082889</v>
      </c>
      <c r="L7" t="n">
        <v>101.922633024425</v>
      </c>
      <c r="M7" t="n">
        <v>99.6576856238823</v>
      </c>
      <c r="N7" t="n">
        <v>97.1662434832853</v>
      </c>
      <c r="O7" t="n">
        <v>92.1833592020911</v>
      </c>
      <c r="P7" t="n">
        <v>92.1833592020912</v>
      </c>
      <c r="Q7" t="n">
        <v>92.1833592020911</v>
      </c>
      <c r="R7" t="n">
        <v>93.3962981389608</v>
      </c>
      <c r="S7" t="n">
        <v>94.5637518656978</v>
      </c>
      <c r="T7" t="n">
        <v>92.5936737018291</v>
      </c>
      <c r="U7" t="n">
        <v>96.3222780119699</v>
      </c>
      <c r="V7" t="n">
        <v>98.7763487893449</v>
      </c>
      <c r="W7" t="n">
        <v>99.9249109845699</v>
      </c>
      <c r="X7" t="n">
        <v>98.7763487893449</v>
      </c>
      <c r="Y7" t="n">
        <v>97.447518985004</v>
      </c>
      <c r="Z7" t="n">
        <v>98.0682038193034</v>
      </c>
      <c r="AA7" t="n">
        <v>98.6130271738551</v>
      </c>
      <c r="AB7" t="n">
        <v>99.6192825531801</v>
      </c>
      <c r="AC7" t="n">
        <v>100.048676012461</v>
      </c>
      <c r="AD7" t="n">
        <v>99.5833333333333</v>
      </c>
      <c r="AE7" t="n">
        <v>100</v>
      </c>
      <c r="AF7" t="n">
        <v>98.8980716253444</v>
      </c>
    </row>
    <row r="8">
      <c r="A8" t="s">
        <v>76</v>
      </c>
      <c r="B8" t="s">
        <v>286</v>
      </c>
      <c r="C8" t="s">
        <v>217</v>
      </c>
      <c r="D8" t="s">
        <v>287</v>
      </c>
      <c r="E8" t="s">
        <v>218</v>
      </c>
      <c r="F8" t="n">
        <v>88.626273358562</v>
      </c>
      <c r="G8" t="n">
        <v>93.5499552118154</v>
      </c>
      <c r="H8" t="n">
        <v>96.4733913121846</v>
      </c>
      <c r="I8" t="n">
        <v>99.5854361932228</v>
      </c>
      <c r="J8" t="n">
        <v>102.430734370172</v>
      </c>
      <c r="K8" t="n">
        <v>102.430734370172</v>
      </c>
      <c r="L8" t="n">
        <v>102.430734370172</v>
      </c>
      <c r="M8" t="n">
        <v>102.430734370172</v>
      </c>
      <c r="N8" t="n">
        <v>102.430734370172</v>
      </c>
      <c r="O8" t="n">
        <v>81.9445874961376</v>
      </c>
      <c r="P8" t="n">
        <v>81.9445874961376</v>
      </c>
      <c r="Q8" t="n">
        <v>81.9445874961376</v>
      </c>
      <c r="R8" t="n">
        <v>88.2480173035328</v>
      </c>
      <c r="S8" t="n">
        <v>88.2480173035328</v>
      </c>
      <c r="T8" t="n">
        <v>88.2480173035328</v>
      </c>
      <c r="U8" t="n">
        <v>93.4390771449171</v>
      </c>
      <c r="V8" t="n">
        <v>98.6301369863014</v>
      </c>
      <c r="W8" t="n">
        <v>98.6301369863014</v>
      </c>
      <c r="X8" t="n">
        <v>98.6301369863014</v>
      </c>
      <c r="Y8" t="n">
        <v>98.6301369863014</v>
      </c>
      <c r="Z8" t="n">
        <v>98.6301369863014</v>
      </c>
      <c r="AA8" t="n">
        <v>98.6301369863014</v>
      </c>
      <c r="AB8" t="n">
        <v>98.6301369863014</v>
      </c>
      <c r="AC8" t="n">
        <v>98.6301369863014</v>
      </c>
      <c r="AD8" t="n">
        <v>98.6301369863014</v>
      </c>
      <c r="AE8" t="n">
        <v>100</v>
      </c>
      <c r="AF8" t="n">
        <v>99.3548387096774</v>
      </c>
    </row>
    <row r="9">
      <c r="A9" t="s">
        <v>76</v>
      </c>
      <c r="B9" t="s">
        <v>288</v>
      </c>
      <c r="C9" t="s">
        <v>217</v>
      </c>
      <c r="D9" t="s">
        <v>289</v>
      </c>
      <c r="E9" t="s">
        <v>218</v>
      </c>
      <c r="F9" t="n">
        <v>73.9555555555556</v>
      </c>
      <c r="G9" t="n">
        <v>92.4444444444445</v>
      </c>
      <c r="H9" t="n">
        <v>92.4444444444445</v>
      </c>
      <c r="I9" t="n">
        <v>92.4444444444445</v>
      </c>
      <c r="J9" t="n">
        <v>92.4444444444444</v>
      </c>
      <c r="K9" t="n">
        <v>92.4444444444445</v>
      </c>
      <c r="L9" t="n">
        <v>92.4444444444444</v>
      </c>
      <c r="M9" t="n">
        <v>92.4444444444444</v>
      </c>
      <c r="N9" t="n">
        <v>92.4444444444444</v>
      </c>
      <c r="O9" t="n">
        <v>92.4444444444444</v>
      </c>
      <c r="P9" t="n">
        <v>92.4444444444444</v>
      </c>
      <c r="Q9" t="n">
        <v>92.4444444444444</v>
      </c>
      <c r="R9" t="n">
        <v>92.4444444444444</v>
      </c>
      <c r="S9" t="n">
        <v>92.4444444444444</v>
      </c>
      <c r="T9" t="n">
        <v>92.4444444444444</v>
      </c>
      <c r="U9" t="n">
        <v>96</v>
      </c>
      <c r="V9" t="n">
        <v>100</v>
      </c>
      <c r="W9" t="n">
        <v>100</v>
      </c>
      <c r="X9" t="n">
        <v>100</v>
      </c>
      <c r="Y9" t="n">
        <v>100</v>
      </c>
      <c r="Z9" t="n">
        <v>100</v>
      </c>
      <c r="AA9" t="n">
        <v>100</v>
      </c>
      <c r="AB9" t="n">
        <v>100</v>
      </c>
      <c r="AC9" t="n">
        <v>100</v>
      </c>
      <c r="AD9" t="n">
        <v>100</v>
      </c>
      <c r="AE9" t="n">
        <v>100</v>
      </c>
      <c r="AF9" t="n">
        <v>100</v>
      </c>
    </row>
    <row r="10">
      <c r="A10" t="s">
        <v>76</v>
      </c>
      <c r="B10" t="s">
        <v>290</v>
      </c>
      <c r="C10" t="s">
        <v>217</v>
      </c>
      <c r="D10" t="s">
        <v>291</v>
      </c>
      <c r="E10" t="s">
        <v>218</v>
      </c>
      <c r="F10" t="n">
        <v>65.6814449917898</v>
      </c>
      <c r="G10" t="n">
        <v>91.9540229885057</v>
      </c>
      <c r="H10" t="n">
        <v>91.9540229885057</v>
      </c>
      <c r="I10" t="n">
        <v>91.9540229885057</v>
      </c>
      <c r="J10" t="n">
        <v>91.9540229885057</v>
      </c>
      <c r="K10" t="n">
        <v>91.9540229885057</v>
      </c>
      <c r="L10" t="n">
        <v>91.9540229885057</v>
      </c>
      <c r="M10" t="n">
        <v>91.9540229885057</v>
      </c>
      <c r="N10" t="n">
        <v>91.9540229885057</v>
      </c>
      <c r="O10" t="n">
        <v>91.9540229885057</v>
      </c>
      <c r="P10" t="n">
        <v>91.9540229885057</v>
      </c>
      <c r="Q10" t="n">
        <v>91.9540229885057</v>
      </c>
      <c r="R10" t="n">
        <v>95.2380952380952</v>
      </c>
      <c r="S10" t="n">
        <v>95.2380952380952</v>
      </c>
      <c r="T10" t="n">
        <v>95.2380952380952</v>
      </c>
      <c r="U10" t="n">
        <v>97.2222222222222</v>
      </c>
      <c r="V10" t="n">
        <v>100</v>
      </c>
      <c r="W10" t="n">
        <v>100</v>
      </c>
      <c r="X10" t="n">
        <v>100</v>
      </c>
      <c r="Y10" t="n">
        <v>100</v>
      </c>
      <c r="Z10" t="n">
        <v>100</v>
      </c>
      <c r="AA10" t="n">
        <v>100</v>
      </c>
      <c r="AB10" t="n">
        <v>100</v>
      </c>
      <c r="AC10" t="n">
        <v>100</v>
      </c>
      <c r="AD10" t="n">
        <v>100</v>
      </c>
      <c r="AE10" t="n">
        <v>100</v>
      </c>
      <c r="AF10" t="n">
        <v>100</v>
      </c>
    </row>
    <row r="11">
      <c r="A11" t="s">
        <v>76</v>
      </c>
      <c r="B11" t="s">
        <v>292</v>
      </c>
      <c r="C11" t="s">
        <v>217</v>
      </c>
      <c r="D11" t="s">
        <v>293</v>
      </c>
      <c r="E11" t="s">
        <v>218</v>
      </c>
      <c r="F11" t="n">
        <v>46.4285714285714</v>
      </c>
      <c r="G11" t="n">
        <v>92.8571428571429</v>
      </c>
      <c r="H11" t="n">
        <v>92.8571428571429</v>
      </c>
      <c r="I11" t="n">
        <v>92.8571428571429</v>
      </c>
      <c r="J11" t="n">
        <v>92.8571428571429</v>
      </c>
      <c r="K11" t="n">
        <v>92.8571428571429</v>
      </c>
      <c r="L11" t="n">
        <v>92.8571428571429</v>
      </c>
      <c r="M11" t="n">
        <v>92.8571428571429</v>
      </c>
      <c r="N11" t="n">
        <v>92.8571428571429</v>
      </c>
      <c r="O11" t="n">
        <v>92.8571428571429</v>
      </c>
      <c r="P11" t="n">
        <v>92.8571428571429</v>
      </c>
      <c r="Q11" t="n">
        <v>92.8571428571429</v>
      </c>
      <c r="R11" t="n">
        <v>100</v>
      </c>
      <c r="S11" t="n">
        <v>100</v>
      </c>
      <c r="T11" t="n">
        <v>100</v>
      </c>
      <c r="U11" t="n">
        <v>100</v>
      </c>
      <c r="V11" t="n">
        <v>100</v>
      </c>
      <c r="W11" t="n">
        <v>100</v>
      </c>
      <c r="X11" t="n">
        <v>100</v>
      </c>
      <c r="Y11" t="n">
        <v>100</v>
      </c>
      <c r="Z11" t="n">
        <v>100</v>
      </c>
      <c r="AA11" t="n">
        <v>100</v>
      </c>
      <c r="AB11" t="n">
        <v>100</v>
      </c>
      <c r="AC11" t="n">
        <v>100</v>
      </c>
      <c r="AD11" t="n">
        <v>100</v>
      </c>
      <c r="AE11" t="n">
        <v>100</v>
      </c>
      <c r="AF11" t="n">
        <v>100</v>
      </c>
    </row>
    <row r="12">
      <c r="A12" t="s">
        <v>76</v>
      </c>
      <c r="B12" t="s">
        <v>294</v>
      </c>
      <c r="C12" t="s">
        <v>217</v>
      </c>
      <c r="D12" t="s">
        <v>295</v>
      </c>
      <c r="E12" t="s">
        <v>218</v>
      </c>
      <c r="F12" t="n">
        <v>37.3333333333333</v>
      </c>
      <c r="G12" t="n">
        <v>56</v>
      </c>
      <c r="H12" t="n">
        <v>74.6666666666667</v>
      </c>
      <c r="I12" t="n">
        <v>74.6666666666667</v>
      </c>
      <c r="J12" t="n">
        <v>93.3333333333333</v>
      </c>
      <c r="K12" t="n">
        <v>93.3333333333333</v>
      </c>
      <c r="L12" t="n">
        <v>93.3333333333333</v>
      </c>
      <c r="M12" t="n">
        <v>93.3333333333333</v>
      </c>
      <c r="N12" t="n">
        <v>93.3333333333333</v>
      </c>
      <c r="O12" t="n">
        <v>93.3333333333333</v>
      </c>
      <c r="P12" t="n">
        <v>93.3333333333333</v>
      </c>
      <c r="Q12" t="n">
        <v>93.3333333333333</v>
      </c>
      <c r="R12" t="n">
        <v>93.3333333333333</v>
      </c>
      <c r="S12" t="n">
        <v>93.3333333333333</v>
      </c>
      <c r="T12" t="n">
        <v>100</v>
      </c>
      <c r="U12" t="n">
        <v>100</v>
      </c>
      <c r="V12" t="n">
        <v>100</v>
      </c>
      <c r="W12" t="n">
        <v>100</v>
      </c>
      <c r="X12" t="n">
        <v>100</v>
      </c>
      <c r="Y12" t="n">
        <v>100</v>
      </c>
      <c r="Z12" t="n">
        <v>100</v>
      </c>
      <c r="AA12" t="n">
        <v>100</v>
      </c>
      <c r="AB12" t="n">
        <v>100</v>
      </c>
      <c r="AC12" t="n">
        <v>100</v>
      </c>
      <c r="AD12" t="n">
        <v>100</v>
      </c>
      <c r="AE12" t="n">
        <v>100</v>
      </c>
      <c r="AF12" t="n">
        <v>100</v>
      </c>
    </row>
    <row r="13">
      <c r="A13" t="s">
        <v>76</v>
      </c>
      <c r="B13" t="s">
        <v>296</v>
      </c>
      <c r="C13" t="s">
        <v>217</v>
      </c>
      <c r="D13" t="s">
        <v>297</v>
      </c>
      <c r="E13" t="s">
        <v>218</v>
      </c>
      <c r="F13" t="n">
        <v>70.7235231886519</v>
      </c>
      <c r="G13" t="n">
        <v>81.6040652176753</v>
      </c>
      <c r="H13" t="n">
        <v>86.4043043481268</v>
      </c>
      <c r="I13" t="n">
        <v>90.7245195655331</v>
      </c>
      <c r="J13" t="n">
        <v>94.6690638944693</v>
      </c>
      <c r="K13" t="n">
        <v>94.6690638944693</v>
      </c>
      <c r="L13" t="n">
        <v>98.3101817365643</v>
      </c>
      <c r="M13" t="n">
        <v>98.3101817365643</v>
      </c>
      <c r="N13" t="n">
        <v>94.3777744671017</v>
      </c>
      <c r="O13" t="n">
        <v>90.2743929685321</v>
      </c>
      <c r="P13" t="n">
        <v>91.5640271537969</v>
      </c>
      <c r="Q13" t="n">
        <v>93.0408663014387</v>
      </c>
      <c r="R13" t="n">
        <v>94.4505763969151</v>
      </c>
      <c r="S13" t="n">
        <v>94.4505763969151</v>
      </c>
      <c r="T13" t="n">
        <v>91.4037836099178</v>
      </c>
      <c r="U13" t="n">
        <v>93.708080675714</v>
      </c>
      <c r="V13" t="n">
        <v>95.6808823741501</v>
      </c>
      <c r="W13" t="n">
        <v>96.9075603533059</v>
      </c>
      <c r="X13" t="n">
        <v>96.9075603533059</v>
      </c>
      <c r="Y13" t="n">
        <v>94.8886528459454</v>
      </c>
      <c r="Z13" t="n">
        <v>96.1371877518131</v>
      </c>
      <c r="AA13" t="n">
        <v>97.6631748589847</v>
      </c>
      <c r="AB13" t="n">
        <v>99.0196078431373</v>
      </c>
      <c r="AC13" t="n">
        <v>100</v>
      </c>
      <c r="AD13" t="n">
        <v>100</v>
      </c>
      <c r="AE13" t="n">
        <v>100</v>
      </c>
      <c r="AF13" t="n">
        <v>99.492385786802</v>
      </c>
    </row>
    <row r="14">
      <c r="A14" t="s">
        <v>76</v>
      </c>
      <c r="B14" t="s">
        <v>298</v>
      </c>
      <c r="C14" t="s">
        <v>217</v>
      </c>
      <c r="D14" t="s">
        <v>299</v>
      </c>
      <c r="E14" t="s">
        <v>218</v>
      </c>
      <c r="F14" t="n">
        <v>86.9454070670106</v>
      </c>
      <c r="G14" t="n">
        <v>94.1908576559281</v>
      </c>
      <c r="H14" t="n">
        <v>97.9584919621653</v>
      </c>
      <c r="I14" t="n">
        <v>100.926931112534</v>
      </c>
      <c r="J14" t="n">
        <v>100.926931112534</v>
      </c>
      <c r="K14" t="n">
        <v>98.867197824523</v>
      </c>
      <c r="L14" t="n">
        <v>100.514984454932</v>
      </c>
      <c r="M14" t="n">
        <v>100.514984454932</v>
      </c>
      <c r="N14" t="n">
        <v>97.9376771612155</v>
      </c>
      <c r="O14" t="n">
        <v>92.1766373282028</v>
      </c>
      <c r="P14" t="n">
        <v>92.854406720322</v>
      </c>
      <c r="Q14" t="n">
        <v>92.854406720322</v>
      </c>
      <c r="R14" t="n">
        <v>94.2612916706299</v>
      </c>
      <c r="S14" t="n">
        <v>94.2612916706299</v>
      </c>
      <c r="T14" t="n">
        <v>90.8336083371525</v>
      </c>
      <c r="U14" t="n">
        <v>94.5870632271174</v>
      </c>
      <c r="V14" t="n">
        <v>97.638258815089</v>
      </c>
      <c r="W14" t="n">
        <v>99.0847515382755</v>
      </c>
      <c r="X14" t="n">
        <v>98.3820228039615</v>
      </c>
      <c r="Y14" t="n">
        <v>97.2313558705818</v>
      </c>
      <c r="Z14" t="n">
        <v>98.0416171695033</v>
      </c>
      <c r="AA14" t="n">
        <v>98.7957834554226</v>
      </c>
      <c r="AB14" t="n">
        <v>99.4818652849741</v>
      </c>
      <c r="AC14" t="n">
        <v>100</v>
      </c>
      <c r="AD14" t="n">
        <v>100</v>
      </c>
      <c r="AE14" t="n">
        <v>100</v>
      </c>
      <c r="AF14" t="n">
        <v>99.3006993006993</v>
      </c>
    </row>
    <row r="15">
      <c r="A15" t="s">
        <v>76</v>
      </c>
      <c r="B15" t="s">
        <v>300</v>
      </c>
      <c r="C15" t="s">
        <v>217</v>
      </c>
      <c r="D15" t="s">
        <v>301</v>
      </c>
      <c r="E15" t="s">
        <v>218</v>
      </c>
      <c r="F15" t="n">
        <v>89.305771424684</v>
      </c>
      <c r="G15" t="n">
        <v>96.4502331386588</v>
      </c>
      <c r="H15" t="n">
        <v>100.022463995646</v>
      </c>
      <c r="I15" t="n">
        <v>102.880248681236</v>
      </c>
      <c r="J15" t="n">
        <v>102.880248681236</v>
      </c>
      <c r="K15" t="n">
        <v>100.939111913666</v>
      </c>
      <c r="L15" t="n">
        <v>102.567162105821</v>
      </c>
      <c r="M15" t="n">
        <v>102.567162105821</v>
      </c>
      <c r="N15" t="n">
        <v>100.125086817588</v>
      </c>
      <c r="O15" t="n">
        <v>92.0068365350805</v>
      </c>
      <c r="P15" t="n">
        <v>92.6502409863747</v>
      </c>
      <c r="Q15" t="n">
        <v>93.4159454573365</v>
      </c>
      <c r="R15" t="n">
        <v>94.6956159430535</v>
      </c>
      <c r="S15" t="n">
        <v>94.6956159430534</v>
      </c>
      <c r="T15" t="n">
        <v>91.5390954116183</v>
      </c>
      <c r="U15" t="n">
        <v>94.9547333001116</v>
      </c>
      <c r="V15" t="n">
        <v>97.832149460721</v>
      </c>
      <c r="W15" t="n">
        <v>99.2004312713605</v>
      </c>
      <c r="X15" t="n">
        <v>98.5255984055689</v>
      </c>
      <c r="Y15" t="n">
        <v>97.4247537306463</v>
      </c>
      <c r="Z15" t="n">
        <v>98.1684541408039</v>
      </c>
      <c r="AA15" t="n">
        <v>98.8902810094863</v>
      </c>
      <c r="AB15" t="n">
        <v>99.5495495495495</v>
      </c>
      <c r="AC15" t="n">
        <v>100</v>
      </c>
      <c r="AD15" t="n">
        <v>100</v>
      </c>
      <c r="AE15" t="n">
        <v>100</v>
      </c>
      <c r="AF15" t="n">
        <v>99.3939393939394</v>
      </c>
    </row>
    <row r="16">
      <c r="A16" t="s">
        <v>76</v>
      </c>
      <c r="B16" t="s">
        <v>302</v>
      </c>
      <c r="C16" t="s">
        <v>217</v>
      </c>
      <c r="D16" t="s">
        <v>303</v>
      </c>
      <c r="E16" t="s">
        <v>218</v>
      </c>
      <c r="F16" t="n">
        <v>144.827586206897</v>
      </c>
      <c r="G16" t="n">
        <v>144.827586206897</v>
      </c>
      <c r="H16" t="n">
        <v>144.827586206897</v>
      </c>
      <c r="I16" t="n">
        <v>144.827586206897</v>
      </c>
      <c r="J16" t="n">
        <v>144.827586206897</v>
      </c>
      <c r="K16" t="n">
        <v>144.827586206897</v>
      </c>
      <c r="L16" t="n">
        <v>144.827586206897</v>
      </c>
      <c r="M16" t="n">
        <v>144.827586206897</v>
      </c>
      <c r="N16" t="n">
        <v>144.827586206897</v>
      </c>
      <c r="O16" t="n">
        <v>96.551724137931</v>
      </c>
      <c r="P16" t="n">
        <v>96.551724137931</v>
      </c>
      <c r="Q16" t="n">
        <v>100</v>
      </c>
      <c r="R16" t="n">
        <v>100</v>
      </c>
      <c r="S16" t="n">
        <v>100</v>
      </c>
      <c r="T16" t="n">
        <v>100</v>
      </c>
      <c r="U16" t="n">
        <v>100</v>
      </c>
      <c r="V16" t="n">
        <v>100</v>
      </c>
      <c r="W16" t="n">
        <v>100</v>
      </c>
      <c r="X16" t="n">
        <v>100</v>
      </c>
      <c r="Y16" t="n">
        <v>100</v>
      </c>
      <c r="Z16" t="n">
        <v>100</v>
      </c>
      <c r="AA16" t="n">
        <v>100</v>
      </c>
      <c r="AB16" t="n">
        <v>100</v>
      </c>
      <c r="AC16" t="n">
        <v>100</v>
      </c>
      <c r="AD16" t="n">
        <v>100</v>
      </c>
      <c r="AE16" t="n">
        <v>100</v>
      </c>
      <c r="AF16" t="n">
        <v>100</v>
      </c>
    </row>
    <row r="17">
      <c r="A17" t="s">
        <v>76</v>
      </c>
      <c r="B17" t="s">
        <v>304</v>
      </c>
      <c r="C17" t="s">
        <v>217</v>
      </c>
      <c r="D17" t="s">
        <v>305</v>
      </c>
      <c r="E17" t="s">
        <v>218</v>
      </c>
      <c r="F17" t="n">
        <v>71.5180530151094</v>
      </c>
      <c r="G17" t="n">
        <v>71.5180530151094</v>
      </c>
      <c r="H17" t="n">
        <v>89.3975662688867</v>
      </c>
      <c r="I17" t="n">
        <v>89.3975662688867</v>
      </c>
      <c r="J17" t="n">
        <v>104.297160647034</v>
      </c>
      <c r="K17" t="n">
        <v>104.297160647034</v>
      </c>
      <c r="L17" t="n">
        <v>104.297160647034</v>
      </c>
      <c r="M17" t="n">
        <v>104.297160647034</v>
      </c>
      <c r="N17" t="n">
        <v>104.297160647034</v>
      </c>
      <c r="O17" t="n">
        <v>89.3975662688867</v>
      </c>
      <c r="P17" t="n">
        <v>89.3975662688867</v>
      </c>
      <c r="Q17" t="n">
        <v>89.3975662688867</v>
      </c>
      <c r="R17" t="n">
        <v>89.3975662688867</v>
      </c>
      <c r="S17" t="n">
        <v>89.3975662688867</v>
      </c>
      <c r="T17" t="n">
        <v>89.3975662688867</v>
      </c>
      <c r="U17" t="n">
        <v>93.6545932340718</v>
      </c>
      <c r="V17" t="n">
        <v>93.6545932340718</v>
      </c>
      <c r="W17" t="n">
        <v>93.6545932340718</v>
      </c>
      <c r="X17" t="n">
        <v>93.6545932340718</v>
      </c>
      <c r="Y17" t="n">
        <v>90.5327734596028</v>
      </c>
      <c r="Z17" t="n">
        <v>95.0594121325829</v>
      </c>
      <c r="AA17" t="n">
        <v>97.5609756097561</v>
      </c>
      <c r="AB17" t="n">
        <v>100</v>
      </c>
      <c r="AC17" t="n">
        <v>100</v>
      </c>
      <c r="AD17" t="n">
        <v>100</v>
      </c>
      <c r="AE17" t="n">
        <v>100</v>
      </c>
      <c r="AF17" t="n">
        <v>99.0291262135922</v>
      </c>
    </row>
    <row r="18">
      <c r="A18" t="s">
        <v>76</v>
      </c>
      <c r="B18" t="s">
        <v>306</v>
      </c>
      <c r="C18" t="s">
        <v>217</v>
      </c>
      <c r="D18" t="s">
        <v>307</v>
      </c>
      <c r="E18" t="s">
        <v>218</v>
      </c>
      <c r="F18" t="n">
        <v>43.6507936507937</v>
      </c>
      <c r="G18" t="n">
        <v>65.4761904761905</v>
      </c>
      <c r="H18" t="n">
        <v>65.4761904761905</v>
      </c>
      <c r="I18" t="n">
        <v>87.3015873015873</v>
      </c>
      <c r="J18" t="n">
        <v>87.3015873015873</v>
      </c>
      <c r="K18" t="n">
        <v>87.3015873015873</v>
      </c>
      <c r="L18" t="n">
        <v>87.3015873015873</v>
      </c>
      <c r="M18" t="n">
        <v>87.3015873015873</v>
      </c>
      <c r="N18" t="n">
        <v>87.3015873015873</v>
      </c>
      <c r="O18" t="n">
        <v>87.3015873015873</v>
      </c>
      <c r="P18" t="n">
        <v>87.3015873015873</v>
      </c>
      <c r="Q18" t="n">
        <v>87.3015873015873</v>
      </c>
      <c r="R18" t="n">
        <v>87.3015873015873</v>
      </c>
      <c r="S18" t="n">
        <v>87.3015873015873</v>
      </c>
      <c r="T18" t="n">
        <v>87.3015873015873</v>
      </c>
      <c r="U18" t="n">
        <v>87.3015873015873</v>
      </c>
      <c r="V18" t="n">
        <v>95.2380952380952</v>
      </c>
      <c r="W18" t="n">
        <v>95.2380952380952</v>
      </c>
      <c r="X18" t="n">
        <v>95.2380952380952</v>
      </c>
      <c r="Y18" t="n">
        <v>95.2380952380952</v>
      </c>
      <c r="Z18" t="n">
        <v>95.2380952380952</v>
      </c>
      <c r="AA18" t="n">
        <v>95.2380952380952</v>
      </c>
      <c r="AB18" t="n">
        <v>95.2380952380952</v>
      </c>
      <c r="AC18" t="n">
        <v>95.2380952380952</v>
      </c>
      <c r="AD18" t="n">
        <v>95.2380952380952</v>
      </c>
      <c r="AE18" t="n">
        <v>100</v>
      </c>
      <c r="AF18" t="n">
        <v>100</v>
      </c>
    </row>
    <row r="19">
      <c r="A19" t="s">
        <v>76</v>
      </c>
      <c r="B19" t="s">
        <v>308</v>
      </c>
      <c r="C19" t="s">
        <v>217</v>
      </c>
      <c r="D19" t="s">
        <v>309</v>
      </c>
      <c r="E19" t="s">
        <v>218</v>
      </c>
      <c r="F19" t="n">
        <v>88.9633743058588</v>
      </c>
      <c r="G19" t="n">
        <v>88.9633743058588</v>
      </c>
      <c r="H19" t="n">
        <v>88.9633743058588</v>
      </c>
      <c r="I19" t="n">
        <v>98.8481936731765</v>
      </c>
      <c r="J19" t="n">
        <v>98.8481936731765</v>
      </c>
      <c r="K19" t="n">
        <v>98.8481936731765</v>
      </c>
      <c r="L19" t="n">
        <v>98.8481936731765</v>
      </c>
      <c r="M19" t="n">
        <v>98.8481936731765</v>
      </c>
      <c r="N19" t="n">
        <v>98.8481936731765</v>
      </c>
      <c r="O19" t="n">
        <v>90.6108442004118</v>
      </c>
      <c r="P19" t="n">
        <v>90.6108442004118</v>
      </c>
      <c r="Q19" t="n">
        <v>90.6108442004118</v>
      </c>
      <c r="R19" t="n">
        <v>93.6312056737588</v>
      </c>
      <c r="S19" t="n">
        <v>93.6312056737588</v>
      </c>
      <c r="T19" t="n">
        <v>93.6312056737589</v>
      </c>
      <c r="U19" t="n">
        <v>95.9148936170213</v>
      </c>
      <c r="V19" t="n">
        <v>98</v>
      </c>
      <c r="W19" t="n">
        <v>100</v>
      </c>
      <c r="X19" t="n">
        <v>100</v>
      </c>
      <c r="Y19" t="n">
        <v>100</v>
      </c>
      <c r="Z19" t="n">
        <v>100</v>
      </c>
      <c r="AA19" t="n">
        <v>100</v>
      </c>
      <c r="AB19" t="n">
        <v>100</v>
      </c>
      <c r="AC19" t="n">
        <v>100</v>
      </c>
      <c r="AD19" t="n">
        <v>100</v>
      </c>
      <c r="AE19" t="n">
        <v>100</v>
      </c>
      <c r="AF19" t="n">
        <v>99.0384615384615</v>
      </c>
    </row>
    <row r="20">
      <c r="A20" t="s">
        <v>76</v>
      </c>
      <c r="B20" t="s">
        <v>310</v>
      </c>
      <c r="C20" t="s">
        <v>217</v>
      </c>
      <c r="D20" t="s">
        <v>311</v>
      </c>
      <c r="E20" t="s">
        <v>218</v>
      </c>
      <c r="F20" t="n">
        <v>80.2457131399417</v>
      </c>
      <c r="G20" t="n">
        <v>85.5954273492711</v>
      </c>
      <c r="H20" t="n">
        <v>90.6304524874635</v>
      </c>
      <c r="I20" t="n">
        <v>94.9461883201999</v>
      </c>
      <c r="J20" t="n">
        <v>98.9022795002082</v>
      </c>
      <c r="K20" t="n">
        <v>97.54745375363</v>
      </c>
      <c r="L20" t="n">
        <v>100.644198317237</v>
      </c>
      <c r="M20" t="n">
        <v>100.644198317237</v>
      </c>
      <c r="N20" t="n">
        <v>98.1894617729145</v>
      </c>
      <c r="O20" t="n">
        <v>93.2799886842688</v>
      </c>
      <c r="P20" t="n">
        <v>95.3078145252311</v>
      </c>
      <c r="Q20" t="n">
        <v>95.3078145252311</v>
      </c>
      <c r="R20" t="n">
        <v>95.3078145252311</v>
      </c>
      <c r="S20" t="n">
        <v>95.3078145252311</v>
      </c>
      <c r="T20" t="n">
        <v>92.0213381622921</v>
      </c>
      <c r="U20" t="n">
        <v>96.0930787889422</v>
      </c>
      <c r="V20" t="n">
        <v>98.8385953257691</v>
      </c>
      <c r="W20" t="n">
        <v>100.532971245639</v>
      </c>
      <c r="X20" t="n">
        <v>99.9775404652768</v>
      </c>
      <c r="Y20" t="n">
        <v>98.7239035942388</v>
      </c>
      <c r="Z20" t="n">
        <v>99.2102282424863</v>
      </c>
      <c r="AA20" t="n">
        <v>99.2102282424863</v>
      </c>
      <c r="AB20" t="n">
        <v>99.6415770609319</v>
      </c>
      <c r="AC20" t="n">
        <v>100</v>
      </c>
      <c r="AD20" t="n">
        <v>100</v>
      </c>
      <c r="AE20" t="n">
        <v>100</v>
      </c>
      <c r="AF20" t="n">
        <v>99.3684210526316</v>
      </c>
    </row>
    <row r="21">
      <c r="A21" t="s">
        <v>76</v>
      </c>
      <c r="B21" t="s">
        <v>312</v>
      </c>
      <c r="C21" t="s">
        <v>217</v>
      </c>
      <c r="D21" t="s">
        <v>313</v>
      </c>
      <c r="E21" t="s">
        <v>218</v>
      </c>
      <c r="F21" t="n">
        <v>75.8311637010436</v>
      </c>
      <c r="G21" t="n">
        <v>82.1504273427973</v>
      </c>
      <c r="H21" t="n">
        <v>86.1577652619581</v>
      </c>
      <c r="I21" t="n">
        <v>89.536501154584</v>
      </c>
      <c r="J21" t="n">
        <v>92.6239667116386</v>
      </c>
      <c r="K21" t="n">
        <v>91.5593234161025</v>
      </c>
      <c r="L21" t="n">
        <v>94.680663987106</v>
      </c>
      <c r="M21" t="n">
        <v>94.680663987106</v>
      </c>
      <c r="N21" t="n">
        <v>92.859881987354</v>
      </c>
      <c r="O21" t="n">
        <v>87.0561393631443</v>
      </c>
      <c r="P21" t="n">
        <v>88.4163915406935</v>
      </c>
      <c r="Q21" t="n">
        <v>90.8508854254185</v>
      </c>
      <c r="R21" t="n">
        <v>93.2183352084912</v>
      </c>
      <c r="S21" t="n">
        <v>93.2183352084912</v>
      </c>
      <c r="T21" t="n">
        <v>92.3389169518074</v>
      </c>
      <c r="U21" t="n">
        <v>96.0968961300786</v>
      </c>
      <c r="V21" t="n">
        <v>98.7369207490368</v>
      </c>
      <c r="W21" t="n">
        <v>100.071203461862</v>
      </c>
      <c r="X21" t="n">
        <v>99.6264425575866</v>
      </c>
      <c r="Y21" t="n">
        <v>98.4652952084306</v>
      </c>
      <c r="Z21" t="n">
        <v>98.7759112816433</v>
      </c>
      <c r="AA21" t="n">
        <v>98.7759112816433</v>
      </c>
      <c r="AB21" t="n">
        <v>99.4366197183098</v>
      </c>
      <c r="AC21" t="n">
        <v>100</v>
      </c>
      <c r="AD21" t="n">
        <v>100</v>
      </c>
      <c r="AE21" t="n">
        <v>100</v>
      </c>
      <c r="AF21" t="n">
        <v>99.4701986754967</v>
      </c>
    </row>
    <row r="22">
      <c r="A22" t="s">
        <v>76</v>
      </c>
      <c r="B22" t="s">
        <v>314</v>
      </c>
      <c r="C22" t="s">
        <v>217</v>
      </c>
      <c r="D22" t="s">
        <v>315</v>
      </c>
      <c r="E22" t="s">
        <v>218</v>
      </c>
      <c r="F22" t="n">
        <v>80.7971864180257</v>
      </c>
      <c r="G22" t="n">
        <v>94.2633841543634</v>
      </c>
      <c r="H22" t="n">
        <v>94.2633841543634</v>
      </c>
      <c r="I22" t="n">
        <v>94.2633841543634</v>
      </c>
      <c r="J22" t="n">
        <v>94.2633841543634</v>
      </c>
      <c r="K22" t="n">
        <v>94.2633841543634</v>
      </c>
      <c r="L22" t="n">
        <v>98.0339195205379</v>
      </c>
      <c r="M22" t="n">
        <v>98.0339195205379</v>
      </c>
      <c r="N22" t="n">
        <v>98.0339195205379</v>
      </c>
      <c r="O22" t="n">
        <v>85.7796795804706</v>
      </c>
      <c r="P22" t="n">
        <v>85.7796795804706</v>
      </c>
      <c r="Q22" t="n">
        <v>88.3195893392463</v>
      </c>
      <c r="R22" t="n">
        <v>90.8475203400119</v>
      </c>
      <c r="S22" t="n">
        <v>90.8475203400119</v>
      </c>
      <c r="T22" t="n">
        <v>92.7401770137621</v>
      </c>
      <c r="U22" t="n">
        <v>95.883911827788</v>
      </c>
      <c r="V22" t="n">
        <v>98.166862109402</v>
      </c>
      <c r="W22" t="n">
        <v>98.166862109402</v>
      </c>
      <c r="X22" t="n">
        <v>98.166862109402</v>
      </c>
      <c r="Y22" t="n">
        <v>97.2744360902256</v>
      </c>
      <c r="Z22" t="n">
        <v>97.2744360902256</v>
      </c>
      <c r="AA22" t="n">
        <v>97.2744360902256</v>
      </c>
      <c r="AB22" t="n">
        <v>98.6842105263158</v>
      </c>
      <c r="AC22" t="n">
        <v>100</v>
      </c>
      <c r="AD22" t="n">
        <v>100</v>
      </c>
      <c r="AE22" t="n">
        <v>100</v>
      </c>
      <c r="AF22" t="n">
        <v>99.6428571428571</v>
      </c>
    </row>
    <row r="23">
      <c r="A23" t="s">
        <v>76</v>
      </c>
      <c r="B23" t="s">
        <v>316</v>
      </c>
      <c r="C23" t="s">
        <v>217</v>
      </c>
      <c r="D23" t="s">
        <v>317</v>
      </c>
      <c r="E23" t="s">
        <v>218</v>
      </c>
      <c r="F23" t="n">
        <v>60.9478458314194</v>
      </c>
      <c r="G23" t="n">
        <v>68.5663265603468</v>
      </c>
      <c r="H23" t="n">
        <v>76.1848072892742</v>
      </c>
      <c r="I23" t="n">
        <v>83.1106988610264</v>
      </c>
      <c r="J23" t="n">
        <v>89.5038295426438</v>
      </c>
      <c r="K23" t="n">
        <v>89.5038295426438</v>
      </c>
      <c r="L23" t="n">
        <v>92.8187861923713</v>
      </c>
      <c r="M23" t="n">
        <v>94.7130471350728</v>
      </c>
      <c r="N23" t="n">
        <v>94.7130471350728</v>
      </c>
      <c r="O23" t="n">
        <v>91.6577875500704</v>
      </c>
      <c r="P23" t="n">
        <v>91.6577875500704</v>
      </c>
      <c r="Q23" t="n">
        <v>91.6577875500704</v>
      </c>
      <c r="R23" t="n">
        <v>93.1126730667382</v>
      </c>
      <c r="S23" t="n">
        <v>93.1126730667382</v>
      </c>
      <c r="T23" t="n">
        <v>93.1126730667382</v>
      </c>
      <c r="U23" t="n">
        <v>96.7881733193726</v>
      </c>
      <c r="V23" t="n">
        <v>98.580546899361</v>
      </c>
      <c r="W23" t="n">
        <v>99.4020514568557</v>
      </c>
      <c r="X23" t="n">
        <v>98.3979903310288</v>
      </c>
      <c r="Y23" t="n">
        <v>96.7302277830453</v>
      </c>
      <c r="Z23" t="n">
        <v>96.7302277830453</v>
      </c>
      <c r="AA23" t="n">
        <v>96.7302277830453</v>
      </c>
      <c r="AB23" t="n">
        <v>98.4575532791711</v>
      </c>
      <c r="AC23" t="n">
        <v>99.3288590604027</v>
      </c>
      <c r="AD23" t="n">
        <v>99.3288590604027</v>
      </c>
      <c r="AE23" t="n">
        <v>100</v>
      </c>
      <c r="AF23" t="n">
        <v>99.2565055762082</v>
      </c>
    </row>
    <row r="24">
      <c r="A24" t="s">
        <v>76</v>
      </c>
      <c r="B24" t="s">
        <v>318</v>
      </c>
      <c r="C24" t="s">
        <v>217</v>
      </c>
      <c r="D24" t="s">
        <v>319</v>
      </c>
      <c r="E24" t="s">
        <v>218</v>
      </c>
      <c r="F24" t="n">
        <v>74.4093638017014</v>
      </c>
      <c r="G24" t="n">
        <v>80.133161017217</v>
      </c>
      <c r="H24" t="n">
        <v>83.6554977652265</v>
      </c>
      <c r="I24" t="n">
        <v>87.6709616579573</v>
      </c>
      <c r="J24" t="n">
        <v>90.1232962497883</v>
      </c>
      <c r="K24" t="n">
        <v>88.4846908634285</v>
      </c>
      <c r="L24" t="n">
        <v>91.3162009710582</v>
      </c>
      <c r="M24" t="n">
        <v>91.5851735806931</v>
      </c>
      <c r="N24" t="n">
        <v>91.7633548522509</v>
      </c>
      <c r="O24" t="n">
        <v>89.6216607533653</v>
      </c>
      <c r="P24" t="n">
        <v>90.0504725273049</v>
      </c>
      <c r="Q24" t="n">
        <v>90.7922391873321</v>
      </c>
      <c r="R24" t="n">
        <v>91.9342799318269</v>
      </c>
      <c r="S24" t="n">
        <v>92.375211730061</v>
      </c>
      <c r="T24" t="n">
        <v>91.8098799569272</v>
      </c>
      <c r="U24" t="n">
        <v>95.3836393947212</v>
      </c>
      <c r="V24" t="n">
        <v>98.016728128875</v>
      </c>
      <c r="W24" t="n">
        <v>99.2586106532671</v>
      </c>
      <c r="X24" t="n">
        <v>98.4780172747853</v>
      </c>
      <c r="Y24" t="n">
        <v>97.2897455731288</v>
      </c>
      <c r="Z24" t="n">
        <v>97.9078506911283</v>
      </c>
      <c r="AA24" t="n">
        <v>98.4968966342636</v>
      </c>
      <c r="AB24" t="n">
        <v>99.4914129573075</v>
      </c>
      <c r="AC24" t="n">
        <v>100.000675657415</v>
      </c>
      <c r="AD24" t="n">
        <v>99.7808939526731</v>
      </c>
      <c r="AE24" t="n">
        <v>100</v>
      </c>
      <c r="AF24" t="n">
        <v>99.1649269311065</v>
      </c>
    </row>
    <row r="25">
      <c r="A25" t="s">
        <v>76</v>
      </c>
      <c r="B25" t="s">
        <v>320</v>
      </c>
      <c r="C25" t="s">
        <v>217</v>
      </c>
      <c r="D25" t="s">
        <v>321</v>
      </c>
      <c r="E25" t="s">
        <v>218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88.6323989057358</v>
      </c>
      <c r="M25" t="n">
        <v>88.6323989057358</v>
      </c>
      <c r="N25" t="n">
        <v>90.4050468838505</v>
      </c>
      <c r="O25" t="n">
        <v>90.4050468838505</v>
      </c>
      <c r="P25" t="n">
        <v>92.7841270650045</v>
      </c>
      <c r="Q25" t="n">
        <v>92.7841270650045</v>
      </c>
      <c r="R25" t="n">
        <v>93.9891157281864</v>
      </c>
      <c r="S25" t="n">
        <v>93.9891157281864</v>
      </c>
      <c r="T25" t="n">
        <v>93.9891157281863</v>
      </c>
      <c r="U25" t="n">
        <v>97.723782578313</v>
      </c>
      <c r="V25" t="n">
        <v>100.107289470467</v>
      </c>
      <c r="W25" t="n">
        <v>100.107289470467</v>
      </c>
      <c r="X25" t="n">
        <v>98.7544882614066</v>
      </c>
      <c r="Y25" t="n">
        <v>97.2805406754154</v>
      </c>
      <c r="Z25" t="n">
        <v>98.4525953823481</v>
      </c>
      <c r="AA25" t="n">
        <v>98.9847715736041</v>
      </c>
      <c r="AB25" t="n">
        <v>100</v>
      </c>
      <c r="AC25" t="n">
        <v>100</v>
      </c>
      <c r="AD25" t="n">
        <v>100</v>
      </c>
      <c r="AE25" t="n">
        <v>100</v>
      </c>
      <c r="AF25" t="n">
        <v>100</v>
      </c>
    </row>
    <row r="26">
      <c r="A26" t="s">
        <v>76</v>
      </c>
      <c r="B26" t="s">
        <v>322</v>
      </c>
      <c r="C26" t="s">
        <v>217</v>
      </c>
      <c r="D26" t="s">
        <v>323</v>
      </c>
      <c r="E26" t="s">
        <v>218</v>
      </c>
      <c r="F26" t="n">
        <v>75.323803608418</v>
      </c>
      <c r="G26" t="n">
        <v>81.7801296319967</v>
      </c>
      <c r="H26" t="n">
        <v>84.1167047643394</v>
      </c>
      <c r="I26" t="n">
        <v>87.6215674628536</v>
      </c>
      <c r="J26" t="n">
        <v>89.214686871269</v>
      </c>
      <c r="K26" t="n">
        <v>87.7985807304553</v>
      </c>
      <c r="L26" t="n">
        <v>90.6126378051494</v>
      </c>
      <c r="M26" t="n">
        <v>90.9385825454556</v>
      </c>
      <c r="N26" t="n">
        <v>90.9385825454556</v>
      </c>
      <c r="O26" t="n">
        <v>89.1604538364663</v>
      </c>
      <c r="P26" t="n">
        <v>89.5335101286691</v>
      </c>
      <c r="Q26" t="n">
        <v>90.3339374222843</v>
      </c>
      <c r="R26" t="n">
        <v>91.5838409589448</v>
      </c>
      <c r="S26" t="n">
        <v>91.927495146408</v>
      </c>
      <c r="T26" t="n">
        <v>91.7458202548143</v>
      </c>
      <c r="U26" t="n">
        <v>95.311237280678</v>
      </c>
      <c r="V26" t="n">
        <v>97.9512502451286</v>
      </c>
      <c r="W26" t="n">
        <v>99.2503384446661</v>
      </c>
      <c r="X26" t="n">
        <v>98.5007135319421</v>
      </c>
      <c r="Y26" t="n">
        <v>97.3418816080369</v>
      </c>
      <c r="Z26" t="n">
        <v>97.8837988334122</v>
      </c>
      <c r="AA26" t="n">
        <v>98.4977653135501</v>
      </c>
      <c r="AB26" t="n">
        <v>99.4960534755117</v>
      </c>
      <c r="AC26" t="n">
        <v>100.030499599821</v>
      </c>
      <c r="AD26" t="n">
        <v>99.767261442979</v>
      </c>
      <c r="AE26" t="n">
        <v>100</v>
      </c>
      <c r="AF26" t="n">
        <v>99.1735537190083</v>
      </c>
    </row>
    <row r="27">
      <c r="A27" t="s">
        <v>76</v>
      </c>
      <c r="B27" t="s">
        <v>324</v>
      </c>
      <c r="C27" t="s">
        <v>217</v>
      </c>
      <c r="D27" t="s">
        <v>325</v>
      </c>
      <c r="E27" t="s">
        <v>218</v>
      </c>
      <c r="F27" t="n">
        <v>74.0409761433731</v>
      </c>
      <c r="G27" t="n">
        <v>80.6517775847457</v>
      </c>
      <c r="H27" t="n">
        <v>84.9724085267857</v>
      </c>
      <c r="I27" t="n">
        <v>89.3865596190862</v>
      </c>
      <c r="J27" t="n">
        <v>92.4338286970096</v>
      </c>
      <c r="K27" t="n">
        <v>90.6214006833428</v>
      </c>
      <c r="L27" t="n">
        <v>93.3265171216515</v>
      </c>
      <c r="M27" t="n">
        <v>93.5753878339759</v>
      </c>
      <c r="N27" t="n">
        <v>93.5753878339759</v>
      </c>
      <c r="O27" t="n">
        <v>90.3670888225253</v>
      </c>
      <c r="P27" t="n">
        <v>90.6494859750957</v>
      </c>
      <c r="Q27" t="n">
        <v>91.3925145486621</v>
      </c>
      <c r="R27" t="n">
        <v>92.3064396941487</v>
      </c>
      <c r="S27" t="n">
        <v>93.0538602584738</v>
      </c>
      <c r="T27" t="n">
        <v>91.6752845509408</v>
      </c>
      <c r="U27" t="n">
        <v>95.2409558026663</v>
      </c>
      <c r="V27" t="n">
        <v>97.8884732280513</v>
      </c>
      <c r="W27" t="n">
        <v>99.1570063584364</v>
      </c>
      <c r="X27" t="n">
        <v>98.3777764459929</v>
      </c>
      <c r="Y27" t="n">
        <v>97.1780474649442</v>
      </c>
      <c r="Z27" t="n">
        <v>97.8713510140401</v>
      </c>
      <c r="AA27" t="n">
        <v>98.4436980959936</v>
      </c>
      <c r="AB27" t="n">
        <v>99.4308272473664</v>
      </c>
      <c r="AC27" t="n">
        <v>99.9636826988528</v>
      </c>
      <c r="AD27" t="n">
        <v>99.7775305895439</v>
      </c>
      <c r="AE27" t="n">
        <v>100</v>
      </c>
      <c r="AF27" t="n">
        <v>99.1235758106924</v>
      </c>
    </row>
    <row r="28">
      <c r="A28" t="s">
        <v>76</v>
      </c>
      <c r="B28" t="s">
        <v>326</v>
      </c>
      <c r="C28" t="s">
        <v>217</v>
      </c>
      <c r="D28" t="s">
        <v>327</v>
      </c>
      <c r="E28" t="s">
        <v>218</v>
      </c>
      <c r="F28" t="n">
        <v>78.9007694826442</v>
      </c>
      <c r="G28" t="n">
        <v>84.4376655866894</v>
      </c>
      <c r="H28" t="n">
        <v>87.6852681092544</v>
      </c>
      <c r="I28" t="n">
        <v>91.8116336673369</v>
      </c>
      <c r="J28" t="n">
        <v>93.511849105621</v>
      </c>
      <c r="K28" t="n">
        <v>91.7960353605637</v>
      </c>
      <c r="L28" t="n">
        <v>94.900249116718</v>
      </c>
      <c r="M28" t="n">
        <v>94.900249116718</v>
      </c>
      <c r="N28" t="n">
        <v>95.8127515120711</v>
      </c>
      <c r="O28" t="n">
        <v>91.4075675345046</v>
      </c>
      <c r="P28" t="n">
        <v>91.4075675345046</v>
      </c>
      <c r="Q28" t="n">
        <v>91.4075675345046</v>
      </c>
      <c r="R28" t="n">
        <v>93.2116642621593</v>
      </c>
      <c r="S28" t="n">
        <v>93.2116642621593</v>
      </c>
      <c r="T28" t="n">
        <v>92.5732282055692</v>
      </c>
      <c r="U28" t="n">
        <v>95.5237693435953</v>
      </c>
      <c r="V28" t="n">
        <v>98.4857466875827</v>
      </c>
      <c r="W28" t="n">
        <v>100.309556811427</v>
      </c>
      <c r="X28" t="n">
        <v>99.9563541465979</v>
      </c>
      <c r="Y28" t="n">
        <v>98.2179827701353</v>
      </c>
      <c r="Z28" t="n">
        <v>98.2179827701353</v>
      </c>
      <c r="AA28" t="n">
        <v>98.5026725752661</v>
      </c>
      <c r="AB28" t="n">
        <v>99.0394718808534</v>
      </c>
      <c r="AC28" t="n">
        <v>99.4609164420485</v>
      </c>
      <c r="AD28" t="n">
        <v>99.4609164420485</v>
      </c>
      <c r="AE28" t="n">
        <v>100</v>
      </c>
      <c r="AF28" t="n">
        <v>99.075500770416</v>
      </c>
    </row>
    <row r="29">
      <c r="A29" t="s">
        <v>76</v>
      </c>
      <c r="B29" t="s">
        <v>328</v>
      </c>
      <c r="C29" t="s">
        <v>217</v>
      </c>
      <c r="D29" t="s">
        <v>329</v>
      </c>
      <c r="E29" t="s">
        <v>218</v>
      </c>
      <c r="F29" t="n">
        <v>67.5343891593471</v>
      </c>
      <c r="G29" t="n">
        <v>77.1821590392538</v>
      </c>
      <c r="H29" t="n">
        <v>77.1821590392538</v>
      </c>
      <c r="I29" t="n">
        <v>84.1987189519132</v>
      </c>
      <c r="J29" t="n">
        <v>84.1987189519132</v>
      </c>
      <c r="K29" t="n">
        <v>84.1987189519132</v>
      </c>
      <c r="L29" t="n">
        <v>89.4611388864078</v>
      </c>
      <c r="M29" t="n">
        <v>89.4611388864078</v>
      </c>
      <c r="N29" t="n">
        <v>89.4611388864078</v>
      </c>
      <c r="O29" t="n">
        <v>89.4611388864078</v>
      </c>
      <c r="P29" t="n">
        <v>89.4611388864078</v>
      </c>
      <c r="Q29" t="n">
        <v>89.4611388864078</v>
      </c>
      <c r="R29" t="n">
        <v>93.9341958307282</v>
      </c>
      <c r="S29" t="n">
        <v>93.9341958307282</v>
      </c>
      <c r="T29" t="n">
        <v>93.9341958307282</v>
      </c>
      <c r="U29" t="n">
        <v>95.8911582438684</v>
      </c>
      <c r="V29" t="n">
        <v>98.0705027494109</v>
      </c>
      <c r="W29" t="n">
        <v>100.157109190888</v>
      </c>
      <c r="X29" t="n">
        <v>100.157109190888</v>
      </c>
      <c r="Y29" t="n">
        <v>98.6842105263158</v>
      </c>
      <c r="Z29" t="n">
        <v>98.6842105263158</v>
      </c>
      <c r="AA29" t="n">
        <v>98.6842105263158</v>
      </c>
      <c r="AB29" t="n">
        <v>98.6842105263158</v>
      </c>
      <c r="AC29" t="n">
        <v>98.6842105263158</v>
      </c>
      <c r="AD29" t="n">
        <v>98.6842105263158</v>
      </c>
      <c r="AE29" t="n">
        <v>100</v>
      </c>
      <c r="AF29" t="n">
        <v>99.1666666666667</v>
      </c>
    </row>
    <row r="30">
      <c r="A30" t="s">
        <v>76</v>
      </c>
      <c r="B30" t="s">
        <v>330</v>
      </c>
      <c r="C30" t="s">
        <v>217</v>
      </c>
      <c r="D30" t="s">
        <v>331</v>
      </c>
      <c r="E30" t="s">
        <v>218</v>
      </c>
      <c r="F30" t="n">
        <v>79.4908217434577</v>
      </c>
      <c r="G30" t="n">
        <v>87.4399039178035</v>
      </c>
      <c r="H30" t="n">
        <v>93.2692308456571</v>
      </c>
      <c r="I30" t="n">
        <v>99.7015915936335</v>
      </c>
      <c r="J30" t="n">
        <v>102.325317688203</v>
      </c>
      <c r="K30" t="n">
        <v>98.6708420564813</v>
      </c>
      <c r="L30" t="n">
        <v>101.754305870746</v>
      </c>
      <c r="M30" t="n">
        <v>97.1291101493487</v>
      </c>
      <c r="N30" t="n">
        <v>97.1291101493487</v>
      </c>
      <c r="O30" t="n">
        <v>92.5039144279512</v>
      </c>
      <c r="P30" t="n">
        <v>92.5039144279512</v>
      </c>
      <c r="Q30" t="n">
        <v>92.5039144279512</v>
      </c>
      <c r="R30" t="n">
        <v>92.5039144279512</v>
      </c>
      <c r="S30" t="n">
        <v>92.5039144279512</v>
      </c>
      <c r="T30" t="n">
        <v>89.700765505892</v>
      </c>
      <c r="U30" t="n">
        <v>93.2887961261277</v>
      </c>
      <c r="V30" t="n">
        <v>96.6606803234576</v>
      </c>
      <c r="W30" t="n">
        <v>98.7850908800172</v>
      </c>
      <c r="X30" t="n">
        <v>98.7850908800172</v>
      </c>
      <c r="Y30" t="n">
        <v>97.0818996579479</v>
      </c>
      <c r="Z30" t="n">
        <v>97.0818996579479</v>
      </c>
      <c r="AA30" t="n">
        <v>98.1851030631518</v>
      </c>
      <c r="AB30" t="n">
        <v>99.1869918699187</v>
      </c>
      <c r="AC30" t="n">
        <v>100</v>
      </c>
      <c r="AD30" t="n">
        <v>100</v>
      </c>
      <c r="AE30" t="n">
        <v>100</v>
      </c>
      <c r="AF30" t="n">
        <v>98.9417989417989</v>
      </c>
    </row>
    <row r="31">
      <c r="A31" t="s">
        <v>76</v>
      </c>
      <c r="B31" t="s">
        <v>332</v>
      </c>
      <c r="C31" t="s">
        <v>217</v>
      </c>
      <c r="D31" t="s">
        <v>333</v>
      </c>
      <c r="E31" t="s">
        <v>218</v>
      </c>
      <c r="F31" t="n">
        <v>59.006979666624</v>
      </c>
      <c r="G31" t="n">
        <v>70.8083755999488</v>
      </c>
      <c r="H31" t="n">
        <v>79.6594225499424</v>
      </c>
      <c r="I31" t="n">
        <v>88.510469499936</v>
      </c>
      <c r="J31" t="n">
        <v>88.510469499936</v>
      </c>
      <c r="K31" t="n">
        <v>88.510469499936</v>
      </c>
      <c r="L31" t="n">
        <v>92.1231417244231</v>
      </c>
      <c r="M31" t="n">
        <v>92.7213439434129</v>
      </c>
      <c r="N31" t="n">
        <v>96.5847332743884</v>
      </c>
      <c r="O31" t="n">
        <v>96.5847332743884</v>
      </c>
      <c r="P31" t="n">
        <v>96.5847332743884</v>
      </c>
      <c r="Q31" t="n">
        <v>96.5847332743884</v>
      </c>
      <c r="R31" t="n">
        <v>100.609097160821</v>
      </c>
      <c r="S31" t="n">
        <v>100.609097160821</v>
      </c>
      <c r="T31" t="n">
        <v>103.256704980843</v>
      </c>
      <c r="U31" t="n">
        <v>106.944444444444</v>
      </c>
      <c r="V31" t="n">
        <v>111.594202898551</v>
      </c>
      <c r="W31" t="n">
        <v>111.594202898551</v>
      </c>
      <c r="X31" t="n">
        <v>111.594202898551</v>
      </c>
      <c r="Y31" t="n">
        <v>101.449275362319</v>
      </c>
      <c r="Z31" t="n">
        <v>101.449275362319</v>
      </c>
      <c r="AA31" t="n">
        <v>100</v>
      </c>
      <c r="AB31" t="n">
        <v>100</v>
      </c>
      <c r="AC31" t="n">
        <v>100</v>
      </c>
      <c r="AD31" t="n">
        <v>100</v>
      </c>
      <c r="AE31" t="n">
        <v>100</v>
      </c>
      <c r="AF31" t="n">
        <v>100</v>
      </c>
    </row>
    <row r="32">
      <c r="A32" t="s">
        <v>76</v>
      </c>
      <c r="B32" t="s">
        <v>334</v>
      </c>
      <c r="C32" t="s">
        <v>217</v>
      </c>
      <c r="D32" t="s">
        <v>335</v>
      </c>
      <c r="E32" t="s">
        <v>218</v>
      </c>
      <c r="F32" t="n">
        <v>84.5280709030517</v>
      </c>
      <c r="G32" t="n">
        <v>92.2124409851473</v>
      </c>
      <c r="H32" t="n">
        <v>97.6367022195677</v>
      </c>
      <c r="I32" t="n">
        <v>103.554078111663</v>
      </c>
      <c r="J32" t="n">
        <v>105.962312486353</v>
      </c>
      <c r="K32" t="n">
        <v>102.54417337389</v>
      </c>
      <c r="L32" t="n">
        <v>105.31563751913</v>
      </c>
      <c r="M32" t="n">
        <v>101.103012018365</v>
      </c>
      <c r="N32" t="n">
        <v>101.103012018365</v>
      </c>
      <c r="O32" t="n">
        <v>94.1303904998567</v>
      </c>
      <c r="P32" t="n">
        <v>94.1303904998567</v>
      </c>
      <c r="Q32" t="n">
        <v>94.1303904998567</v>
      </c>
      <c r="R32" t="n">
        <v>94.1303904998567</v>
      </c>
      <c r="S32" t="n">
        <v>94.1303904998567</v>
      </c>
      <c r="T32" t="n">
        <v>92.0386040443043</v>
      </c>
      <c r="U32" t="n">
        <v>94.9450862772824</v>
      </c>
      <c r="V32" t="n">
        <v>97.6838868429732</v>
      </c>
      <c r="W32" t="n">
        <v>99.562423128415</v>
      </c>
      <c r="X32" t="n">
        <v>98.6734729219113</v>
      </c>
      <c r="Y32" t="n">
        <v>97.3217815120221</v>
      </c>
      <c r="Z32" t="n">
        <v>97.3217815120221</v>
      </c>
      <c r="AA32" t="n">
        <v>98.0480634636044</v>
      </c>
      <c r="AB32" t="n">
        <v>98.7585566771087</v>
      </c>
      <c r="AC32" t="n">
        <v>99.3464052287582</v>
      </c>
      <c r="AD32" t="n">
        <v>99.3464052287581</v>
      </c>
      <c r="AE32" t="n">
        <v>100</v>
      </c>
      <c r="AF32" t="n">
        <v>98.9583333333333</v>
      </c>
    </row>
    <row r="33">
      <c r="A33" t="s">
        <v>76</v>
      </c>
      <c r="B33" t="s">
        <v>336</v>
      </c>
      <c r="C33" t="s">
        <v>217</v>
      </c>
      <c r="D33" t="s">
        <v>337</v>
      </c>
      <c r="E33" t="s">
        <v>218</v>
      </c>
      <c r="F33" t="n">
        <v>100</v>
      </c>
      <c r="G33" t="n">
        <v>100</v>
      </c>
      <c r="H33" t="n">
        <v>100</v>
      </c>
      <c r="I33" t="n">
        <v>100</v>
      </c>
      <c r="J33" t="n">
        <v>100</v>
      </c>
      <c r="K33" t="n">
        <v>100</v>
      </c>
      <c r="L33" t="n">
        <v>100</v>
      </c>
      <c r="M33" t="n">
        <v>100</v>
      </c>
      <c r="N33" t="n">
        <v>100</v>
      </c>
      <c r="O33" t="n">
        <v>100</v>
      </c>
      <c r="P33" t="n">
        <v>100</v>
      </c>
      <c r="Q33" t="n">
        <v>100</v>
      </c>
      <c r="R33" t="n">
        <v>100</v>
      </c>
      <c r="S33" t="n">
        <v>100</v>
      </c>
      <c r="T33" t="n">
        <v>100</v>
      </c>
      <c r="U33" t="n">
        <v>100</v>
      </c>
      <c r="V33" t="n">
        <v>100</v>
      </c>
      <c r="W33" t="n">
        <v>100</v>
      </c>
      <c r="X33" t="n">
        <v>100</v>
      </c>
      <c r="Y33" t="n">
        <v>100</v>
      </c>
      <c r="Z33" t="n">
        <v>100</v>
      </c>
      <c r="AA33" t="n">
        <v>100</v>
      </c>
      <c r="AB33" t="n">
        <v>100</v>
      </c>
      <c r="AC33" t="n">
        <v>100</v>
      </c>
      <c r="AD33" t="n">
        <v>100</v>
      </c>
      <c r="AE33" t="n">
        <v>100</v>
      </c>
      <c r="AF33" t="n">
        <v>100</v>
      </c>
    </row>
    <row r="34">
      <c r="A34" t="s">
        <v>76</v>
      </c>
      <c r="B34" t="s">
        <v>338</v>
      </c>
      <c r="C34" t="s">
        <v>217</v>
      </c>
      <c r="D34" t="s">
        <v>339</v>
      </c>
      <c r="E34" t="s">
        <v>218</v>
      </c>
      <c r="F34" t="e">
        <v>#NUM!</v>
      </c>
      <c r="G34" t="e">
        <v>#NUM!</v>
      </c>
      <c r="H34" t="e">
        <v>#NUM!</v>
      </c>
      <c r="I34" t="e">
        <v>#NUM!</v>
      </c>
      <c r="J34" t="e">
        <v>#NUM!</v>
      </c>
      <c r="K34" t="e">
        <v>#NUM!</v>
      </c>
      <c r="L34" t="e">
        <v>#NUM!</v>
      </c>
      <c r="M34" t="e">
        <v>#NUM!</v>
      </c>
      <c r="N34" t="e">
        <v>#NUM!</v>
      </c>
      <c r="O34" t="e">
        <v>#NUM!</v>
      </c>
      <c r="P34" t="e">
        <v>#NUM!</v>
      </c>
      <c r="Q34" t="n">
        <v>0</v>
      </c>
      <c r="R34" t="n">
        <v>0</v>
      </c>
      <c r="S34" t="n">
        <v>92.6337194804048</v>
      </c>
      <c r="T34" t="n">
        <v>91.3197660125976</v>
      </c>
      <c r="U34" t="n">
        <v>95.0433038724385</v>
      </c>
      <c r="V34" t="n">
        <v>97.7281429648803</v>
      </c>
      <c r="W34" t="n">
        <v>99.12425929295</v>
      </c>
      <c r="X34" t="n">
        <v>98.2821842746846</v>
      </c>
      <c r="Y34" t="n">
        <v>97.0574841591122</v>
      </c>
      <c r="Z34" t="n">
        <v>97.6912550444795</v>
      </c>
      <c r="AA34" t="n">
        <v>98.3642143214794</v>
      </c>
      <c r="AB34" t="n">
        <v>99.4184931459326</v>
      </c>
      <c r="AC34" t="n">
        <v>99.9780719066039</v>
      </c>
      <c r="AD34" t="n">
        <v>99.8178506375228</v>
      </c>
      <c r="AE34" t="n">
        <v>100</v>
      </c>
      <c r="AF34" t="n">
        <v>99.1539763113367</v>
      </c>
    </row>
    <row r="35">
      <c r="A35" t="s">
        <v>76</v>
      </c>
      <c r="B35" t="s">
        <v>340</v>
      </c>
      <c r="C35" t="s">
        <v>217</v>
      </c>
      <c r="D35" t="s">
        <v>341</v>
      </c>
      <c r="E35" t="s">
        <v>218</v>
      </c>
      <c r="F35" t="n">
        <v>74.5122710618306</v>
      </c>
      <c r="G35" t="n">
        <v>80.8369200644263</v>
      </c>
      <c r="H35" t="n">
        <v>84.4745814673255</v>
      </c>
      <c r="I35" t="n">
        <v>88.7626312880019</v>
      </c>
      <c r="J35" t="n">
        <v>91.0112846139646</v>
      </c>
      <c r="K35" t="n">
        <v>90.3642849603108</v>
      </c>
      <c r="L35" t="n">
        <v>92.8768966573205</v>
      </c>
      <c r="M35" t="n">
        <v>92.9733420328732</v>
      </c>
      <c r="N35" t="n">
        <v>92.7782248407791</v>
      </c>
      <c r="O35" t="n">
        <v>90.0843158732768</v>
      </c>
      <c r="P35" t="n">
        <v>91.0592543567538</v>
      </c>
      <c r="Q35" t="n">
        <v>92.4926643259156</v>
      </c>
      <c r="R35" t="n">
        <v>94.1770121323258</v>
      </c>
      <c r="S35" t="n">
        <v>94.4484156255025</v>
      </c>
      <c r="T35" t="n">
        <v>94.2811022231544</v>
      </c>
      <c r="U35" t="n">
        <v>96.7373233231564</v>
      </c>
      <c r="V35" t="n">
        <v>98.7048621026105</v>
      </c>
      <c r="W35" t="n">
        <v>99.8487926236672</v>
      </c>
      <c r="X35" t="n">
        <v>99.1179174524354</v>
      </c>
      <c r="Y35" t="n">
        <v>98.0336740527734</v>
      </c>
      <c r="Z35" t="n">
        <v>98.429884051832</v>
      </c>
      <c r="AA35" t="n">
        <v>98.7107111104678</v>
      </c>
      <c r="AB35" t="n">
        <v>99.4745172501482</v>
      </c>
      <c r="AC35" t="n">
        <v>99.9919917296408</v>
      </c>
      <c r="AD35" t="n">
        <v>99.8219373219373</v>
      </c>
      <c r="AE35" t="n">
        <v>100</v>
      </c>
      <c r="AF35" t="n">
        <v>99.1694352159468</v>
      </c>
    </row>
    <row r="36">
      <c r="A36" t="s">
        <v>76</v>
      </c>
      <c r="B36" t="s">
        <v>342</v>
      </c>
      <c r="C36" t="s">
        <v>217</v>
      </c>
      <c r="D36" t="s">
        <v>343</v>
      </c>
      <c r="E36" t="s">
        <v>218</v>
      </c>
      <c r="F36" t="n">
        <v>74.811748516333</v>
      </c>
      <c r="G36" t="n">
        <v>81.6909897592142</v>
      </c>
      <c r="H36" t="n">
        <v>85.8167973228109</v>
      </c>
      <c r="I36" t="n">
        <v>90.2015971860202</v>
      </c>
      <c r="J36" t="n">
        <v>92.3239877080442</v>
      </c>
      <c r="K36" t="n">
        <v>91.9471551051542</v>
      </c>
      <c r="L36" t="n">
        <v>94.3562508721015</v>
      </c>
      <c r="M36" t="n">
        <v>94.7560654944409</v>
      </c>
      <c r="N36" t="n">
        <v>94.7560654944409</v>
      </c>
      <c r="O36" t="n">
        <v>92.0597546876885</v>
      </c>
      <c r="P36" t="n">
        <v>92.0597546876885</v>
      </c>
      <c r="Q36" t="n">
        <v>92.3666205366474</v>
      </c>
      <c r="R36" t="n">
        <v>93.3624870653445</v>
      </c>
      <c r="S36" t="n">
        <v>93.7215735540573</v>
      </c>
      <c r="T36" t="n">
        <v>92.8057275584151</v>
      </c>
      <c r="U36" t="n">
        <v>96.0777243633592</v>
      </c>
      <c r="V36" t="n">
        <v>98.4947740328777</v>
      </c>
      <c r="W36" t="n">
        <v>99.7259587082886</v>
      </c>
      <c r="X36" t="n">
        <v>98.7968348693915</v>
      </c>
      <c r="Y36" t="n">
        <v>97.4899984293202</v>
      </c>
      <c r="Z36" t="n">
        <v>98.1577381445895</v>
      </c>
      <c r="AA36" t="n">
        <v>98.7809618788409</v>
      </c>
      <c r="AB36" t="n">
        <v>99.625243604301</v>
      </c>
      <c r="AC36" t="n">
        <v>100.092967752678</v>
      </c>
      <c r="AD36" t="n">
        <v>99.8546511627907</v>
      </c>
      <c r="AE36" t="n">
        <v>100</v>
      </c>
      <c r="AF36" t="n">
        <v>99.0825688073394</v>
      </c>
    </row>
    <row r="37">
      <c r="A37" t="s">
        <v>76</v>
      </c>
      <c r="B37" t="s">
        <v>344</v>
      </c>
      <c r="C37" t="s">
        <v>217</v>
      </c>
      <c r="D37" t="s">
        <v>345</v>
      </c>
      <c r="E37" t="s">
        <v>218</v>
      </c>
      <c r="F37" t="n">
        <v>74.5213557629063</v>
      </c>
      <c r="G37" t="n">
        <v>80.8270089428446</v>
      </c>
      <c r="H37" t="n">
        <v>84.5009638947921</v>
      </c>
      <c r="I37" t="n">
        <v>88.8792521794963</v>
      </c>
      <c r="J37" t="n">
        <v>91.038262353897</v>
      </c>
      <c r="K37" t="n">
        <v>89.7854422297608</v>
      </c>
      <c r="L37" t="n">
        <v>92.4005521976179</v>
      </c>
      <c r="M37" t="n">
        <v>92.4005521976179</v>
      </c>
      <c r="N37" t="n">
        <v>92.0945901042484</v>
      </c>
      <c r="O37" t="n">
        <v>88.7923936463271</v>
      </c>
      <c r="P37" t="n">
        <v>90.0451963785504</v>
      </c>
      <c r="Q37" t="n">
        <v>91.9332408187458</v>
      </c>
      <c r="R37" t="n">
        <v>94.0674053377524</v>
      </c>
      <c r="S37" t="n">
        <v>94.2390611869089</v>
      </c>
      <c r="T37" t="n">
        <v>94.8195892845695</v>
      </c>
      <c r="U37" t="n">
        <v>96.9652911972592</v>
      </c>
      <c r="V37" t="n">
        <v>98.7079280095334</v>
      </c>
      <c r="W37" t="n">
        <v>99.8156229622588</v>
      </c>
      <c r="X37" t="n">
        <v>99.2595470683187</v>
      </c>
      <c r="Y37" t="n">
        <v>98.2580493961047</v>
      </c>
      <c r="Z37" t="n">
        <v>98.5294804717845</v>
      </c>
      <c r="AA37" t="n">
        <v>98.6506729446895</v>
      </c>
      <c r="AB37" t="n">
        <v>99.3805176273876</v>
      </c>
      <c r="AC37" t="n">
        <v>99.9041241480799</v>
      </c>
      <c r="AD37" t="n">
        <v>99.7876857749469</v>
      </c>
      <c r="AE37" t="n">
        <v>100</v>
      </c>
      <c r="AF37" t="n">
        <v>99.265785609398</v>
      </c>
    </row>
    <row r="38">
      <c r="A38" t="s">
        <v>76</v>
      </c>
      <c r="B38" t="s">
        <v>346</v>
      </c>
      <c r="C38" t="s">
        <v>217</v>
      </c>
      <c r="D38" t="s">
        <v>347</v>
      </c>
      <c r="E38" t="s">
        <v>218</v>
      </c>
      <c r="F38" t="n">
        <v>74.6233213369611</v>
      </c>
      <c r="G38" t="n">
        <v>80.6864661955892</v>
      </c>
      <c r="H38" t="n">
        <v>84.0660040467134</v>
      </c>
      <c r="I38" t="n">
        <v>88.2531996505726</v>
      </c>
      <c r="J38" t="n">
        <v>90.6384212627503</v>
      </c>
      <c r="K38" t="n">
        <v>90.1626290251505</v>
      </c>
      <c r="L38" t="n">
        <v>92.6260888345809</v>
      </c>
      <c r="M38" t="n">
        <v>92.6260888345809</v>
      </c>
      <c r="N38" t="n">
        <v>92.3968163374656</v>
      </c>
      <c r="O38" t="n">
        <v>90.112279669781</v>
      </c>
      <c r="P38" t="n">
        <v>91.1421342945785</v>
      </c>
      <c r="Q38" t="n">
        <v>92.7299763554597</v>
      </c>
      <c r="R38" t="n">
        <v>94.4058193016427</v>
      </c>
      <c r="S38" t="n">
        <v>94.8109944917784</v>
      </c>
      <c r="T38" t="n">
        <v>94.2449587037678</v>
      </c>
      <c r="U38" t="n">
        <v>96.7382115795289</v>
      </c>
      <c r="V38" t="n">
        <v>98.750596367216</v>
      </c>
      <c r="W38" t="n">
        <v>99.8955308178504</v>
      </c>
      <c r="X38" t="n">
        <v>99.0811650774875</v>
      </c>
      <c r="Y38" t="n">
        <v>98.0088580961294</v>
      </c>
      <c r="Z38" t="n">
        <v>98.419509736197</v>
      </c>
      <c r="AA38" t="n">
        <v>98.7223389969237</v>
      </c>
      <c r="AB38" t="n">
        <v>99.4854102162236</v>
      </c>
      <c r="AC38" t="n">
        <v>100.016471124851</v>
      </c>
      <c r="AD38" t="n">
        <v>99.830220713073</v>
      </c>
      <c r="AE38" t="n">
        <v>100</v>
      </c>
      <c r="AF38" t="n">
        <v>99.0771259063942</v>
      </c>
    </row>
    <row r="39">
      <c r="A39" t="s">
        <v>76</v>
      </c>
      <c r="B39" t="s">
        <v>348</v>
      </c>
      <c r="C39" t="s">
        <v>217</v>
      </c>
      <c r="D39" t="s">
        <v>349</v>
      </c>
      <c r="E39" t="s">
        <v>218</v>
      </c>
      <c r="F39" t="n">
        <v>77.0803774419637</v>
      </c>
      <c r="G39" t="n">
        <v>83.590544455643</v>
      </c>
      <c r="H39" t="n">
        <v>87.1154469326882</v>
      </c>
      <c r="I39" t="n">
        <v>91.4608730267178</v>
      </c>
      <c r="J39" t="n">
        <v>93.7379072099556</v>
      </c>
      <c r="K39" t="n">
        <v>92.6203166619979</v>
      </c>
      <c r="L39" t="n">
        <v>95.2220109502562</v>
      </c>
      <c r="M39" t="n">
        <v>95.5472782805731</v>
      </c>
      <c r="N39" t="n">
        <v>94.0097358714604</v>
      </c>
      <c r="O39" t="n">
        <v>91.9697416030019</v>
      </c>
      <c r="P39" t="n">
        <v>92.2234512350102</v>
      </c>
      <c r="Q39" t="n">
        <v>92.7401092251223</v>
      </c>
      <c r="R39" t="n">
        <v>93.9957780154045</v>
      </c>
      <c r="S39" t="n">
        <v>94.3955170470617</v>
      </c>
      <c r="T39" t="n">
        <v>94.0597890670485</v>
      </c>
      <c r="U39" t="n">
        <v>97.3876721248279</v>
      </c>
      <c r="V39" t="n">
        <v>98.9341068874607</v>
      </c>
      <c r="W39" t="n">
        <v>99.8361319320218</v>
      </c>
      <c r="X39" t="n">
        <v>99.5032215254311</v>
      </c>
      <c r="Y39" t="n">
        <v>98.8226739340045</v>
      </c>
      <c r="Z39" t="n">
        <v>99.0587153526367</v>
      </c>
      <c r="AA39" t="n">
        <v>99.1223368782325</v>
      </c>
      <c r="AB39" t="n">
        <v>99.701999666994</v>
      </c>
      <c r="AC39" t="n">
        <v>100.023014959724</v>
      </c>
      <c r="AD39" t="n">
        <v>100</v>
      </c>
      <c r="AE39" t="n">
        <v>100</v>
      </c>
      <c r="AF39" t="n">
        <v>99.5967741935484</v>
      </c>
    </row>
    <row r="40">
      <c r="A40" t="s">
        <v>76</v>
      </c>
      <c r="B40" t="s">
        <v>350</v>
      </c>
      <c r="C40" t="s">
        <v>217</v>
      </c>
      <c r="D40" t="s">
        <v>351</v>
      </c>
      <c r="E40" t="s">
        <v>218</v>
      </c>
      <c r="F40" t="n">
        <v>62.3452223936506</v>
      </c>
      <c r="G40" t="n">
        <v>77.9315279920632</v>
      </c>
      <c r="H40" t="n">
        <v>77.9315279920632</v>
      </c>
      <c r="I40" t="n">
        <v>77.9315279920632</v>
      </c>
      <c r="J40" t="n">
        <v>87.6729689910711</v>
      </c>
      <c r="K40" t="n">
        <v>87.6729689910711</v>
      </c>
      <c r="L40" t="n">
        <v>91.6323933971195</v>
      </c>
      <c r="M40" t="n">
        <v>92.2838085160563</v>
      </c>
      <c r="N40" t="n">
        <v>92.9936839661798</v>
      </c>
      <c r="O40" t="n">
        <v>91.8642060232708</v>
      </c>
      <c r="P40" t="n">
        <v>91.8642060232708</v>
      </c>
      <c r="Q40" t="n">
        <v>91.8642060232708</v>
      </c>
      <c r="R40" t="n">
        <v>93.5653950237017</v>
      </c>
      <c r="S40" t="n">
        <v>93.5653950237017</v>
      </c>
      <c r="T40" t="n">
        <v>93.5653950237017</v>
      </c>
      <c r="U40" t="n">
        <v>97.2473665871344</v>
      </c>
      <c r="V40" t="n">
        <v>97.2473665871344</v>
      </c>
      <c r="W40" t="n">
        <v>99.4084191779596</v>
      </c>
      <c r="X40" t="n">
        <v>99.4084191779596</v>
      </c>
      <c r="Y40" t="n">
        <v>97.3374104450854</v>
      </c>
      <c r="Z40" t="n">
        <v>97.700609737791</v>
      </c>
      <c r="AA40" t="n">
        <v>98.4270083232021</v>
      </c>
      <c r="AB40" t="n">
        <v>99.4594594594594</v>
      </c>
      <c r="AC40" t="n">
        <v>100</v>
      </c>
      <c r="AD40" t="n">
        <v>100</v>
      </c>
      <c r="AE40" t="n">
        <v>100</v>
      </c>
      <c r="AF40" t="n">
        <v>99.6815286624204</v>
      </c>
    </row>
    <row r="41">
      <c r="A41" t="s">
        <v>76</v>
      </c>
      <c r="B41" t="s">
        <v>352</v>
      </c>
      <c r="C41" t="s">
        <v>217</v>
      </c>
      <c r="D41" t="s">
        <v>353</v>
      </c>
      <c r="E41" t="s">
        <v>218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76</v>
      </c>
      <c r="B42" t="s">
        <v>354</v>
      </c>
      <c r="C42" t="s">
        <v>217</v>
      </c>
      <c r="D42" t="s">
        <v>355</v>
      </c>
      <c r="E42" t="s">
        <v>218</v>
      </c>
      <c r="F42" t="n">
        <v>74.2253703174397</v>
      </c>
      <c r="G42" t="n">
        <v>80.3823134774116</v>
      </c>
      <c r="H42" t="n">
        <v>83.7423458735735</v>
      </c>
      <c r="I42" t="n">
        <v>87.9528548839767</v>
      </c>
      <c r="J42" t="n">
        <v>90.1872230219068</v>
      </c>
      <c r="K42" t="n">
        <v>90.0825974731575</v>
      </c>
      <c r="L42" t="n">
        <v>93.3498419410958</v>
      </c>
      <c r="M42" t="n">
        <v>93.3498419410958</v>
      </c>
      <c r="N42" t="n">
        <v>93.7303440142253</v>
      </c>
      <c r="O42" t="n">
        <v>91.9821453453804</v>
      </c>
      <c r="P42" t="n">
        <v>91.7355444195214</v>
      </c>
      <c r="Q42" t="n">
        <v>91.7355444195214</v>
      </c>
      <c r="R42" t="n">
        <v>92.3384067048633</v>
      </c>
      <c r="S42" t="n">
        <v>92.4584826563651</v>
      </c>
      <c r="T42" t="n">
        <v>92.5877952195208</v>
      </c>
      <c r="U42" t="n">
        <v>96.0674019026074</v>
      </c>
      <c r="V42" t="n">
        <v>98.5478581973712</v>
      </c>
      <c r="W42" t="n">
        <v>99.8203556489871</v>
      </c>
      <c r="X42" t="n">
        <v>99.1787188358164</v>
      </c>
      <c r="Y42" t="n">
        <v>98.0254779191209</v>
      </c>
      <c r="Z42" t="n">
        <v>98.4789496751076</v>
      </c>
      <c r="AA42" t="n">
        <v>98.8058507528673</v>
      </c>
      <c r="AB42" t="n">
        <v>99.6071958522417</v>
      </c>
      <c r="AC42" t="n">
        <v>100.101115831674</v>
      </c>
      <c r="AD42" t="n">
        <v>99.8776758409786</v>
      </c>
      <c r="AE42" t="n">
        <v>100</v>
      </c>
      <c r="AF42" t="n">
        <v>99.3654151242729</v>
      </c>
    </row>
    <row r="43">
      <c r="A43" t="s">
        <v>76</v>
      </c>
      <c r="B43" t="s">
        <v>356</v>
      </c>
      <c r="C43" t="s">
        <v>217</v>
      </c>
      <c r="D43" t="s">
        <v>357</v>
      </c>
      <c r="E43" t="s">
        <v>218</v>
      </c>
      <c r="F43" t="n">
        <v>73.846861541617</v>
      </c>
      <c r="G43" t="n">
        <v>79.8506714230493</v>
      </c>
      <c r="H43" t="n">
        <v>83.1386402463513</v>
      </c>
      <c r="I43" t="n">
        <v>87.2748910048763</v>
      </c>
      <c r="J43" t="n">
        <v>89.4166061215603</v>
      </c>
      <c r="K43" t="n">
        <v>89.2241053548831</v>
      </c>
      <c r="L43" t="n">
        <v>92.2961928147069</v>
      </c>
      <c r="M43" t="n">
        <v>92.5325467015564</v>
      </c>
      <c r="N43" t="n">
        <v>92.873575743454</v>
      </c>
      <c r="O43" t="n">
        <v>90.9709160611297</v>
      </c>
      <c r="P43" t="n">
        <v>90.9709160611297</v>
      </c>
      <c r="Q43" t="n">
        <v>91.5430601873004</v>
      </c>
      <c r="R43" t="n">
        <v>92.3798340464165</v>
      </c>
      <c r="S43" t="n">
        <v>92.5533173028417</v>
      </c>
      <c r="T43" t="n">
        <v>92.8419451114784</v>
      </c>
      <c r="U43" t="n">
        <v>96.2495014603353</v>
      </c>
      <c r="V43" t="n">
        <v>98.7567984149108</v>
      </c>
      <c r="W43" t="n">
        <v>100.034304806105</v>
      </c>
      <c r="X43" t="n">
        <v>99.3390856993442</v>
      </c>
      <c r="Y43" t="n">
        <v>98.2141657393342</v>
      </c>
      <c r="Z43" t="n">
        <v>98.5287530735409</v>
      </c>
      <c r="AA43" t="n">
        <v>98.8026342495619</v>
      </c>
      <c r="AB43" t="n">
        <v>99.5501094742835</v>
      </c>
      <c r="AC43" t="n">
        <v>100.025775526379</v>
      </c>
      <c r="AD43" t="n">
        <v>99.8423541776143</v>
      </c>
      <c r="AE43" t="n">
        <v>100</v>
      </c>
      <c r="AF43" t="n">
        <v>99.3763919821826</v>
      </c>
    </row>
    <row r="44">
      <c r="A44" t="s">
        <v>76</v>
      </c>
      <c r="B44" t="s">
        <v>358</v>
      </c>
      <c r="C44" t="s">
        <v>217</v>
      </c>
      <c r="D44" t="s">
        <v>359</v>
      </c>
      <c r="E44" t="s">
        <v>218</v>
      </c>
      <c r="F44" t="n">
        <v>74.1702335296833</v>
      </c>
      <c r="G44" t="n">
        <v>80.4433378580644</v>
      </c>
      <c r="H44" t="n">
        <v>83.9387924197541</v>
      </c>
      <c r="I44" t="n">
        <v>88.1239978199935</v>
      </c>
      <c r="J44" t="n">
        <v>90.3493513002963</v>
      </c>
      <c r="K44" t="n">
        <v>89.7907772582543</v>
      </c>
      <c r="L44" t="n">
        <v>92.490337462931</v>
      </c>
      <c r="M44" t="n">
        <v>92.7187556661735</v>
      </c>
      <c r="N44" t="n">
        <v>92.5659645280254</v>
      </c>
      <c r="O44" t="n">
        <v>90.2112747656135</v>
      </c>
      <c r="P44" t="n">
        <v>90.5986432099215</v>
      </c>
      <c r="Q44" t="n">
        <v>91.6297956891099</v>
      </c>
      <c r="R44" t="n">
        <v>92.994552848614</v>
      </c>
      <c r="S44" t="n">
        <v>93.3495584130243</v>
      </c>
      <c r="T44" t="n">
        <v>92.9657472146869</v>
      </c>
      <c r="U44" t="n">
        <v>96.2334912654947</v>
      </c>
      <c r="V44" t="n">
        <v>98.515773348058</v>
      </c>
      <c r="W44" t="n">
        <v>99.6566729291108</v>
      </c>
      <c r="X44" t="n">
        <v>99.0360764901992</v>
      </c>
      <c r="Y44" t="n">
        <v>97.9868861225391</v>
      </c>
      <c r="Z44" t="n">
        <v>98.4106424390425</v>
      </c>
      <c r="AA44" t="n">
        <v>98.7501650971037</v>
      </c>
      <c r="AB44" t="n">
        <v>99.5363525722565</v>
      </c>
      <c r="AC44" t="n">
        <v>99.9797736036452</v>
      </c>
      <c r="AD44" t="n">
        <v>99.8556204881402</v>
      </c>
      <c r="AE44" t="n">
        <v>100</v>
      </c>
      <c r="AF44" t="n">
        <v>99.3236822983623</v>
      </c>
    </row>
    <row r="45">
      <c r="A45" t="s">
        <v>76</v>
      </c>
      <c r="B45" t="s">
        <v>360</v>
      </c>
      <c r="C45" t="s">
        <v>217</v>
      </c>
      <c r="D45" t="s">
        <v>361</v>
      </c>
      <c r="E45" t="s">
        <v>218</v>
      </c>
      <c r="F45" t="n">
        <v>74.1656556318163</v>
      </c>
      <c r="G45" t="n">
        <v>80.4383727748058</v>
      </c>
      <c r="H45" t="n">
        <v>83.9356933302321</v>
      </c>
      <c r="I45" t="n">
        <v>88.1226952819034</v>
      </c>
      <c r="J45" t="n">
        <v>90.348880743747</v>
      </c>
      <c r="K45" t="n">
        <v>89.7900216876001</v>
      </c>
      <c r="L45" t="n">
        <v>92.4902905598092</v>
      </c>
      <c r="M45" t="n">
        <v>92.7187556661735</v>
      </c>
      <c r="N45" t="n">
        <v>92.5659645280254</v>
      </c>
      <c r="O45" t="n">
        <v>90.2112747656135</v>
      </c>
      <c r="P45" t="n">
        <v>90.5986432099215</v>
      </c>
      <c r="Q45" t="n">
        <v>91.6297956891099</v>
      </c>
      <c r="R45" t="n">
        <v>92.994552848614</v>
      </c>
      <c r="S45" t="n">
        <v>93.3495584130243</v>
      </c>
      <c r="T45" t="n">
        <v>92.9657472146869</v>
      </c>
      <c r="U45" t="n">
        <v>96.2334912654947</v>
      </c>
      <c r="V45" t="n">
        <v>98.515773348058</v>
      </c>
      <c r="W45" t="n">
        <v>99.6566729291108</v>
      </c>
      <c r="X45" t="n">
        <v>99.0360764901992</v>
      </c>
      <c r="Y45" t="n">
        <v>97.9868861225391</v>
      </c>
      <c r="Z45" t="n">
        <v>98.4106424390425</v>
      </c>
      <c r="AA45" t="n">
        <v>98.7501650971037</v>
      </c>
      <c r="AB45" t="n">
        <v>99.5363525722565</v>
      </c>
      <c r="AC45" t="n">
        <v>99.9797736036452</v>
      </c>
      <c r="AD45" t="n">
        <v>99.8556204881402</v>
      </c>
      <c r="AE45" t="n">
        <v>100</v>
      </c>
      <c r="AF45" t="n">
        <v>99.3236822983623</v>
      </c>
    </row>
    <row r="46">
      <c r="A46" t="s">
        <v>76</v>
      </c>
      <c r="B46" t="s">
        <v>362</v>
      </c>
      <c r="C46" t="s">
        <v>217</v>
      </c>
      <c r="D46" t="s">
        <v>363</v>
      </c>
      <c r="E46" t="s">
        <v>218</v>
      </c>
      <c r="F46" t="n">
        <v>76.7487302414944</v>
      </c>
      <c r="G46" t="n">
        <v>82.0417461202181</v>
      </c>
      <c r="H46" t="n">
        <v>84.8707718485015</v>
      </c>
      <c r="I46" t="n">
        <v>88.7285342052516</v>
      </c>
      <c r="J46" t="n">
        <v>90.3129723160597</v>
      </c>
      <c r="K46" t="n">
        <v>88.9650175053722</v>
      </c>
      <c r="L46" t="n">
        <v>90.9642313818974</v>
      </c>
      <c r="M46" t="n">
        <v>91.4224894745014</v>
      </c>
      <c r="N46" t="n">
        <v>91.4224894745014</v>
      </c>
      <c r="O46" t="n">
        <v>88.1574005646978</v>
      </c>
      <c r="P46" t="n">
        <v>88.8683473434453</v>
      </c>
      <c r="Q46" t="n">
        <v>90.9842603754321</v>
      </c>
      <c r="R46" t="n">
        <v>92.994962262182</v>
      </c>
      <c r="S46" t="n">
        <v>93.3091344319866</v>
      </c>
      <c r="T46" t="n">
        <v>94.0646739820432</v>
      </c>
      <c r="U46" t="n">
        <v>97.2860669266337</v>
      </c>
      <c r="V46" t="n">
        <v>99.8919437193114</v>
      </c>
      <c r="W46" t="n">
        <v>101.192620069823</v>
      </c>
      <c r="X46" t="n">
        <v>100.210167447786</v>
      </c>
      <c r="Y46" t="n">
        <v>99.1663115368717</v>
      </c>
      <c r="Z46" t="n">
        <v>98.790681568929</v>
      </c>
      <c r="AA46" t="n">
        <v>98.790681568929</v>
      </c>
      <c r="AB46" t="n">
        <v>99.2376982276119</v>
      </c>
      <c r="AC46" t="n">
        <v>99.6268656716418</v>
      </c>
      <c r="AD46" t="n">
        <v>99.6268656716418</v>
      </c>
      <c r="AE46" t="n">
        <v>100</v>
      </c>
      <c r="AF46" t="n">
        <v>99.4350282485876</v>
      </c>
    </row>
    <row r="47">
      <c r="A47" t="s">
        <v>76</v>
      </c>
      <c r="B47" t="s">
        <v>364</v>
      </c>
      <c r="C47" t="s">
        <v>217</v>
      </c>
      <c r="D47" t="s">
        <v>365</v>
      </c>
      <c r="E47" t="s">
        <v>218</v>
      </c>
      <c r="F47" t="n">
        <v>74.2128429140414</v>
      </c>
      <c r="G47" t="n">
        <v>80.2185065024609</v>
      </c>
      <c r="H47" t="n">
        <v>83.6874148917565</v>
      </c>
      <c r="I47" t="n">
        <v>87.5071724179362</v>
      </c>
      <c r="J47" t="n">
        <v>89.7427571147448</v>
      </c>
      <c r="K47" t="n">
        <v>88.2470444961658</v>
      </c>
      <c r="L47" t="n">
        <v>90.5097892268367</v>
      </c>
      <c r="M47" t="n">
        <v>90.6450803916002</v>
      </c>
      <c r="N47" t="n">
        <v>91.0087517271734</v>
      </c>
      <c r="O47" t="n">
        <v>89.2567115869711</v>
      </c>
      <c r="P47" t="n">
        <v>89.771654153819</v>
      </c>
      <c r="Q47" t="n">
        <v>90.7906286618079</v>
      </c>
      <c r="R47" t="n">
        <v>92.270437566171</v>
      </c>
      <c r="S47" t="n">
        <v>92.6424957821636</v>
      </c>
      <c r="T47" t="n">
        <v>92.7309795412679</v>
      </c>
      <c r="U47" t="n">
        <v>95.8347455918252</v>
      </c>
      <c r="V47" t="n">
        <v>97.9875550942503</v>
      </c>
      <c r="W47" t="n">
        <v>99.292316147436</v>
      </c>
      <c r="X47" t="n">
        <v>98.6517205593881</v>
      </c>
      <c r="Y47" t="n">
        <v>97.610148849108</v>
      </c>
      <c r="Z47" t="n">
        <v>98.1252419828764</v>
      </c>
      <c r="AA47" t="n">
        <v>98.7181437471233</v>
      </c>
      <c r="AB47" t="n">
        <v>99.5531656397212</v>
      </c>
      <c r="AC47" t="n">
        <v>100.020551393898</v>
      </c>
      <c r="AD47" t="n">
        <v>99.7965412004069</v>
      </c>
      <c r="AE47" t="n">
        <v>100</v>
      </c>
      <c r="AF47" t="n">
        <v>99.3530499075786</v>
      </c>
    </row>
    <row r="48">
      <c r="A48" t="s">
        <v>76</v>
      </c>
      <c r="B48" t="s">
        <v>366</v>
      </c>
      <c r="C48" t="s">
        <v>217</v>
      </c>
      <c r="D48" t="s">
        <v>367</v>
      </c>
      <c r="E48" t="s">
        <v>218</v>
      </c>
      <c r="F48" t="n">
        <v>72.7587897546772</v>
      </c>
      <c r="G48" t="n">
        <v>78.7389642550616</v>
      </c>
      <c r="H48" t="n">
        <v>81.8885228252641</v>
      </c>
      <c r="I48" t="n">
        <v>85.8722888005472</v>
      </c>
      <c r="J48" t="n">
        <v>88.0325979527623</v>
      </c>
      <c r="K48" t="n">
        <v>88.0325979527623</v>
      </c>
      <c r="L48" t="n">
        <v>90.8658309903224</v>
      </c>
      <c r="M48" t="n">
        <v>91.0387440845</v>
      </c>
      <c r="N48" t="n">
        <v>91.2534581035672</v>
      </c>
      <c r="O48" t="n">
        <v>89.4059549749339</v>
      </c>
      <c r="P48" t="n">
        <v>89.8294290067867</v>
      </c>
      <c r="Q48" t="n">
        <v>90.702088912135</v>
      </c>
      <c r="R48" t="n">
        <v>92.0763629865613</v>
      </c>
      <c r="S48" t="n">
        <v>92.4987316241144</v>
      </c>
      <c r="T48" t="n">
        <v>92.4987316241143</v>
      </c>
      <c r="U48" t="n">
        <v>95.6869688192583</v>
      </c>
      <c r="V48" t="n">
        <v>97.9728241854961</v>
      </c>
      <c r="W48" t="n">
        <v>99.2375336199045</v>
      </c>
      <c r="X48" t="n">
        <v>98.5660014375141</v>
      </c>
      <c r="Y48" t="n">
        <v>97.4837733811901</v>
      </c>
      <c r="Z48" t="n">
        <v>98.0164715963878</v>
      </c>
      <c r="AA48" t="n">
        <v>98.5839780489724</v>
      </c>
      <c r="AB48" t="n">
        <v>99.4753340891982</v>
      </c>
      <c r="AC48" t="n">
        <v>100.016287567629</v>
      </c>
      <c r="AD48" t="n">
        <v>99.8338870431894</v>
      </c>
      <c r="AE48" t="n">
        <v>100</v>
      </c>
      <c r="AF48" t="n">
        <v>99.2362525458248</v>
      </c>
    </row>
    <row r="49">
      <c r="A49" t="s">
        <v>76</v>
      </c>
      <c r="B49" t="s">
        <v>368</v>
      </c>
      <c r="C49" t="s">
        <v>217</v>
      </c>
      <c r="D49" t="s">
        <v>369</v>
      </c>
      <c r="E49" t="s">
        <v>218</v>
      </c>
      <c r="F49" t="n">
        <v>69.7055633191718</v>
      </c>
      <c r="G49" t="n">
        <v>75.5843457677767</v>
      </c>
      <c r="H49" t="n">
        <v>78.800700906831</v>
      </c>
      <c r="I49" t="n">
        <v>82.7834078118694</v>
      </c>
      <c r="J49" t="n">
        <v>84.8594807350511</v>
      </c>
      <c r="K49" t="n">
        <v>85.8386285896863</v>
      </c>
      <c r="L49" t="n">
        <v>89.2449233749913</v>
      </c>
      <c r="M49" t="n">
        <v>89.780928920787</v>
      </c>
      <c r="N49" t="n">
        <v>89.7809289207871</v>
      </c>
      <c r="O49" t="n">
        <v>88.4171679751548</v>
      </c>
      <c r="P49" t="n">
        <v>88.8236836899831</v>
      </c>
      <c r="Q49" t="n">
        <v>89.5030235270002</v>
      </c>
      <c r="R49" t="n">
        <v>90.7738575324546</v>
      </c>
      <c r="S49" t="n">
        <v>91.2541424929438</v>
      </c>
      <c r="T49" t="n">
        <v>91.0723613325993</v>
      </c>
      <c r="U49" t="n">
        <v>94.9402994586942</v>
      </c>
      <c r="V49" t="n">
        <v>97.6921921966274</v>
      </c>
      <c r="W49" t="n">
        <v>99.1235796280798</v>
      </c>
      <c r="X49" t="n">
        <v>98.0056445194924</v>
      </c>
      <c r="Y49" t="n">
        <v>96.9657968322829</v>
      </c>
      <c r="Z49" t="n">
        <v>97.7145674641924</v>
      </c>
      <c r="AA49" t="n">
        <v>98.4662179831478</v>
      </c>
      <c r="AB49" t="n">
        <v>99.495481585759</v>
      </c>
      <c r="AC49" t="n">
        <v>100.02191270526</v>
      </c>
      <c r="AD49" t="n">
        <v>99.749373433584</v>
      </c>
      <c r="AE49" t="n">
        <v>100</v>
      </c>
      <c r="AF49" t="n">
        <v>99.2063492063492</v>
      </c>
    </row>
    <row r="50">
      <c r="A50" t="s">
        <v>76</v>
      </c>
      <c r="B50" t="s">
        <v>370</v>
      </c>
      <c r="C50" t="s">
        <v>217</v>
      </c>
      <c r="D50" t="s">
        <v>371</v>
      </c>
      <c r="E50" t="s">
        <v>218</v>
      </c>
      <c r="F50" t="n">
        <v>76.5139547786958</v>
      </c>
      <c r="G50" t="n">
        <v>82.3996436078263</v>
      </c>
      <c r="H50" t="n">
        <v>85.1462983947538</v>
      </c>
      <c r="I50" t="n">
        <v>89.7488010106865</v>
      </c>
      <c r="J50" t="n">
        <v>91.8359824295396</v>
      </c>
      <c r="K50" t="n">
        <v>91.8359824295396</v>
      </c>
      <c r="L50" t="n">
        <v>94.7514104431758</v>
      </c>
      <c r="M50" t="n">
        <v>94.7514104431758</v>
      </c>
      <c r="N50" t="n">
        <v>92.735422986938</v>
      </c>
      <c r="O50" t="n">
        <v>89.1686759489789</v>
      </c>
      <c r="P50" t="n">
        <v>89.5873082304295</v>
      </c>
      <c r="Q50" t="n">
        <v>90.3246523310915</v>
      </c>
      <c r="R50" t="n">
        <v>91.4261724814707</v>
      </c>
      <c r="S50" t="n">
        <v>91.917711043199</v>
      </c>
      <c r="T50" t="n">
        <v>91.4364664827634</v>
      </c>
      <c r="U50" t="n">
        <v>95.2463192528785</v>
      </c>
      <c r="V50" t="n">
        <v>97.8738039219235</v>
      </c>
      <c r="W50" t="n">
        <v>99.302618577718</v>
      </c>
      <c r="X50" t="n">
        <v>98.5670436252905</v>
      </c>
      <c r="Y50" t="n">
        <v>97.8825502667815</v>
      </c>
      <c r="Z50" t="n">
        <v>98.2533175026405</v>
      </c>
      <c r="AA50" t="n">
        <v>98.5956635566567</v>
      </c>
      <c r="AB50" t="n">
        <v>99.5560109289618</v>
      </c>
      <c r="AC50" t="n">
        <v>100.024509803922</v>
      </c>
      <c r="AD50" t="n">
        <v>99.764705882353</v>
      </c>
      <c r="AE50" t="n">
        <v>100</v>
      </c>
      <c r="AF50" t="n">
        <v>99.2063492063492</v>
      </c>
    </row>
    <row r="51">
      <c r="A51" t="s">
        <v>76</v>
      </c>
      <c r="B51" t="s">
        <v>372</v>
      </c>
      <c r="C51" t="s">
        <v>217</v>
      </c>
      <c r="D51" t="s">
        <v>373</v>
      </c>
      <c r="E51" t="s">
        <v>218</v>
      </c>
      <c r="F51" t="n">
        <v>74.6127845714499</v>
      </c>
      <c r="G51" t="n">
        <v>83.5663187200239</v>
      </c>
      <c r="H51" t="n">
        <v>86.4479159172661</v>
      </c>
      <c r="I51" t="n">
        <v>88.7843460771922</v>
      </c>
      <c r="J51" t="n">
        <v>90.8490983115455</v>
      </c>
      <c r="K51" t="n">
        <v>89.4070491319972</v>
      </c>
      <c r="L51" t="n">
        <v>92.2453681520606</v>
      </c>
      <c r="M51" t="n">
        <v>92.2453681520606</v>
      </c>
      <c r="N51" t="n">
        <v>92.2453681520606</v>
      </c>
      <c r="O51" t="n">
        <v>88.6279027343327</v>
      </c>
      <c r="P51" t="n">
        <v>89.114869232873</v>
      </c>
      <c r="Q51" t="n">
        <v>89.8864265422485</v>
      </c>
      <c r="R51" t="n">
        <v>91.024229409872</v>
      </c>
      <c r="S51" t="n">
        <v>91.5243625384976</v>
      </c>
      <c r="T51" t="n">
        <v>91.0375308228673</v>
      </c>
      <c r="U51" t="n">
        <v>94.961562323853</v>
      </c>
      <c r="V51" t="n">
        <v>97.8611520131309</v>
      </c>
      <c r="W51" t="n">
        <v>99.3327482840051</v>
      </c>
      <c r="X51" t="n">
        <v>98.5744830299287</v>
      </c>
      <c r="Y51" t="n">
        <v>97.8753732212058</v>
      </c>
      <c r="Z51" t="n">
        <v>98.2475229292712</v>
      </c>
      <c r="AA51" t="n">
        <v>98.5910457367162</v>
      </c>
      <c r="AB51" t="n">
        <v>99.5544761510815</v>
      </c>
      <c r="AC51" t="n">
        <v>100.0240727367</v>
      </c>
      <c r="AD51" t="n">
        <v>99.7635933806147</v>
      </c>
      <c r="AE51" t="n">
        <v>100</v>
      </c>
      <c r="AF51" t="n">
        <v>99.1978609625668</v>
      </c>
    </row>
    <row r="52">
      <c r="A52" t="s">
        <v>76</v>
      </c>
      <c r="B52" t="s">
        <v>374</v>
      </c>
      <c r="C52" t="s">
        <v>217</v>
      </c>
      <c r="D52" t="s">
        <v>375</v>
      </c>
      <c r="E52" t="s">
        <v>218</v>
      </c>
      <c r="F52" t="n">
        <v>0</v>
      </c>
      <c r="G52" t="n">
        <v>0</v>
      </c>
      <c r="H52" t="e">
        <v>#NUM!</v>
      </c>
      <c r="I52" t="e">
        <v>#NUM!</v>
      </c>
      <c r="J52" t="e">
        <v>#NUM!</v>
      </c>
      <c r="K52" t="e">
        <v>#NUM!</v>
      </c>
      <c r="L52" t="n">
        <v>0</v>
      </c>
      <c r="M52" t="n">
        <v>100</v>
      </c>
      <c r="N52" t="n">
        <v>100</v>
      </c>
      <c r="O52" t="n">
        <v>100</v>
      </c>
      <c r="P52" t="n">
        <v>100</v>
      </c>
      <c r="Q52" t="n">
        <v>100</v>
      </c>
      <c r="R52" t="n">
        <v>100</v>
      </c>
      <c r="S52" t="n">
        <v>100</v>
      </c>
      <c r="T52" t="n">
        <v>100</v>
      </c>
      <c r="U52" t="n">
        <v>100</v>
      </c>
      <c r="V52" t="n">
        <v>100</v>
      </c>
      <c r="W52" t="n">
        <v>100</v>
      </c>
      <c r="X52" t="n">
        <v>100</v>
      </c>
      <c r="Y52" t="n">
        <v>100</v>
      </c>
      <c r="Z52" t="n">
        <v>100</v>
      </c>
      <c r="AA52" t="n">
        <v>100</v>
      </c>
      <c r="AB52" t="n">
        <v>100</v>
      </c>
      <c r="AC52" t="n">
        <v>100</v>
      </c>
      <c r="AD52" t="n">
        <v>100</v>
      </c>
      <c r="AE52" t="n">
        <v>100</v>
      </c>
      <c r="AF52" t="n">
        <v>100</v>
      </c>
    </row>
    <row r="53">
      <c r="A53" t="s">
        <v>76</v>
      </c>
      <c r="B53" t="s">
        <v>376</v>
      </c>
      <c r="C53" t="s">
        <v>217</v>
      </c>
      <c r="D53" t="s">
        <v>377</v>
      </c>
      <c r="E53" t="s">
        <v>218</v>
      </c>
      <c r="F53" t="n">
        <v>77.4514493484128</v>
      </c>
      <c r="G53" t="n">
        <v>84.1863579874052</v>
      </c>
      <c r="H53" t="n">
        <v>86.9925699203187</v>
      </c>
      <c r="I53" t="n">
        <v>92.6049937861457</v>
      </c>
      <c r="J53" t="n">
        <v>92.6049937861457</v>
      </c>
      <c r="K53" t="n">
        <v>92.6049937861457</v>
      </c>
      <c r="L53" t="n">
        <v>95.4543782103348</v>
      </c>
      <c r="M53" t="n">
        <v>96.2991072210458</v>
      </c>
      <c r="N53" t="n">
        <v>97.174553650328</v>
      </c>
      <c r="O53" t="n">
        <v>95.3915343172944</v>
      </c>
      <c r="P53" t="n">
        <v>95.3915343172945</v>
      </c>
      <c r="Q53" t="n">
        <v>95.3915343172945</v>
      </c>
      <c r="R53" t="n">
        <v>95.3915343172945</v>
      </c>
      <c r="S53" t="n">
        <v>95.3915343172945</v>
      </c>
      <c r="T53" t="n">
        <v>92.410548869879</v>
      </c>
      <c r="U53" t="n">
        <v>96.4283988207433</v>
      </c>
      <c r="V53" t="n">
        <v>99.4417862838915</v>
      </c>
      <c r="W53" t="n">
        <v>99.4417862838915</v>
      </c>
      <c r="X53" t="n">
        <v>99.4417862838915</v>
      </c>
      <c r="Y53" t="n">
        <v>97.7272727272727</v>
      </c>
      <c r="Z53" t="n">
        <v>97.7272727272727</v>
      </c>
      <c r="AA53" t="n">
        <v>100</v>
      </c>
      <c r="AB53" t="n">
        <v>100</v>
      </c>
      <c r="AC53" t="n">
        <v>100</v>
      </c>
      <c r="AD53" t="n">
        <v>100</v>
      </c>
      <c r="AE53" t="n">
        <v>100</v>
      </c>
      <c r="AF53" t="n">
        <v>99.0740740740741</v>
      </c>
    </row>
    <row r="54">
      <c r="A54" t="s">
        <v>76</v>
      </c>
      <c r="B54" t="s">
        <v>378</v>
      </c>
      <c r="C54" t="s">
        <v>217</v>
      </c>
      <c r="D54" t="s">
        <v>379</v>
      </c>
      <c r="E54" t="s">
        <v>218</v>
      </c>
      <c r="F54" t="n">
        <v>76.3932175001961</v>
      </c>
      <c r="G54" t="n">
        <v>83.1536792258772</v>
      </c>
      <c r="H54" t="n">
        <v>86.2719421968476</v>
      </c>
      <c r="I54" t="n">
        <v>90.6835756046409</v>
      </c>
      <c r="J54" t="n">
        <v>92.4444217328864</v>
      </c>
      <c r="K54" t="n">
        <v>92.4444217328864</v>
      </c>
      <c r="L54" t="n">
        <v>95.1369777056889</v>
      </c>
      <c r="M54" t="n">
        <v>95.5383995525483</v>
      </c>
      <c r="N54" t="n">
        <v>95.5383995525483</v>
      </c>
      <c r="O54" t="n">
        <v>93.1598501860948</v>
      </c>
      <c r="P54" t="n">
        <v>93.1598501860948</v>
      </c>
      <c r="Q54" t="n">
        <v>93.1598501860948</v>
      </c>
      <c r="R54" t="n">
        <v>93.7457611935545</v>
      </c>
      <c r="S54" t="n">
        <v>94.5402167968897</v>
      </c>
      <c r="T54" t="n">
        <v>92.0022243996578</v>
      </c>
      <c r="U54" t="n">
        <v>95.8211846577568</v>
      </c>
      <c r="V54" t="n">
        <v>98.8997769359177</v>
      </c>
      <c r="W54" t="n">
        <v>99.95190222247</v>
      </c>
      <c r="X54" t="n">
        <v>99.1648793703246</v>
      </c>
      <c r="Y54" t="n">
        <v>97.7277072055373</v>
      </c>
      <c r="Z54" t="n">
        <v>98.1822546809119</v>
      </c>
      <c r="AA54" t="n">
        <v>99.154356212406</v>
      </c>
      <c r="AB54" t="n">
        <v>99.6134041578338</v>
      </c>
      <c r="AC54" t="n">
        <v>100.018336695061</v>
      </c>
      <c r="AD54" t="n">
        <v>99.601593625498</v>
      </c>
      <c r="AE54" t="n">
        <v>100</v>
      </c>
      <c r="AF54" t="n">
        <v>99.112426035503</v>
      </c>
    </row>
    <row r="55">
      <c r="A55" t="s">
        <v>76</v>
      </c>
      <c r="B55" t="s">
        <v>380</v>
      </c>
      <c r="C55" t="s">
        <v>217</v>
      </c>
      <c r="D55" t="s">
        <v>381</v>
      </c>
      <c r="E55" t="s">
        <v>218</v>
      </c>
      <c r="F55" t="n">
        <v>77.0431872228951</v>
      </c>
      <c r="G55" t="n">
        <v>83.8914705315969</v>
      </c>
      <c r="H55" t="n">
        <v>87.1180655520429</v>
      </c>
      <c r="I55" t="n">
        <v>91.3237652683484</v>
      </c>
      <c r="J55" t="n">
        <v>93.4852745054691</v>
      </c>
      <c r="K55" t="n">
        <v>93.4852745054691</v>
      </c>
      <c r="L55" t="n">
        <v>96.1373390304469</v>
      </c>
      <c r="M55" t="n">
        <v>96.1373390304469</v>
      </c>
      <c r="N55" t="n">
        <v>95.374344276237</v>
      </c>
      <c r="O55" t="n">
        <v>92.4842126315026</v>
      </c>
      <c r="P55" t="n">
        <v>92.4842126315026</v>
      </c>
      <c r="Q55" t="n">
        <v>92.4842126315026</v>
      </c>
      <c r="R55" t="n">
        <v>93.2240863325546</v>
      </c>
      <c r="S55" t="n">
        <v>94.2264958630122</v>
      </c>
      <c r="T55" t="n">
        <v>91.8104318665247</v>
      </c>
      <c r="U55" t="n">
        <v>95.5834633130942</v>
      </c>
      <c r="V55" t="n">
        <v>98.683467528654</v>
      </c>
      <c r="W55" t="n">
        <v>100.044618804911</v>
      </c>
      <c r="X55" t="n">
        <v>99.0780041304677</v>
      </c>
      <c r="Y55" t="n">
        <v>97.7145453580301</v>
      </c>
      <c r="Z55" t="n">
        <v>98.2729141886474</v>
      </c>
      <c r="AA55" t="n">
        <v>98.8909828313433</v>
      </c>
      <c r="AB55" t="n">
        <v>99.4796196339109</v>
      </c>
      <c r="AC55" t="n">
        <v>100.014456298609</v>
      </c>
      <c r="AD55" t="n">
        <v>99.4708994708995</v>
      </c>
      <c r="AE55" t="n">
        <v>100</v>
      </c>
      <c r="AF55" t="n">
        <v>99.1304347826087</v>
      </c>
    </row>
    <row r="56">
      <c r="A56" t="s">
        <v>76</v>
      </c>
      <c r="B56" t="s">
        <v>382</v>
      </c>
      <c r="C56" t="s">
        <v>217</v>
      </c>
      <c r="D56" t="s">
        <v>383</v>
      </c>
      <c r="E56" t="s">
        <v>218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76</v>
      </c>
      <c r="B57" t="s">
        <v>384</v>
      </c>
      <c r="C57" t="s">
        <v>217</v>
      </c>
      <c r="D57" t="s">
        <v>385</v>
      </c>
      <c r="E57" t="s">
        <v>218</v>
      </c>
      <c r="F57" t="n">
        <v>73.6420028748619</v>
      </c>
      <c r="G57" t="n">
        <v>79.8617666311847</v>
      </c>
      <c r="H57" t="n">
        <v>83.2998960322464</v>
      </c>
      <c r="I57" t="n">
        <v>87.4218258949942</v>
      </c>
      <c r="J57" t="n">
        <v>89.6494796312868</v>
      </c>
      <c r="K57" t="n">
        <v>89.2053955216582</v>
      </c>
      <c r="L57" t="n">
        <v>91.9664698795471</v>
      </c>
      <c r="M57" t="n">
        <v>92.2279446004177</v>
      </c>
      <c r="N57" t="n">
        <v>92.2101158850494</v>
      </c>
      <c r="O57" t="n">
        <v>90.0623647386585</v>
      </c>
      <c r="P57" t="n">
        <v>90.4764445765374</v>
      </c>
      <c r="Q57" t="n">
        <v>91.4708261248005</v>
      </c>
      <c r="R57" t="n">
        <v>92.8402139311133</v>
      </c>
      <c r="S57" t="n">
        <v>93.2073863020142</v>
      </c>
      <c r="T57" t="n">
        <v>92.903118446839</v>
      </c>
      <c r="U57" t="n">
        <v>96.1765077312971</v>
      </c>
      <c r="V57" t="n">
        <v>98.4445549676875</v>
      </c>
      <c r="W57" t="n">
        <v>99.6093383005006</v>
      </c>
      <c r="X57" t="n">
        <v>98.9776012896169</v>
      </c>
      <c r="Y57" t="n">
        <v>97.9294650509519</v>
      </c>
      <c r="Z57" t="n">
        <v>98.3632349291674</v>
      </c>
      <c r="AA57" t="n">
        <v>98.7319465656063</v>
      </c>
      <c r="AB57" t="n">
        <v>99.5360461885955</v>
      </c>
      <c r="AC57" t="n">
        <v>99.9849582460267</v>
      </c>
      <c r="AD57" t="n">
        <v>99.8503889886295</v>
      </c>
      <c r="AE57" t="n">
        <v>100</v>
      </c>
      <c r="AF57" t="n">
        <v>99.325697853141</v>
      </c>
    </row>
    <row r="58">
      <c r="A58" t="s">
        <v>76</v>
      </c>
      <c r="B58" t="s">
        <v>386</v>
      </c>
      <c r="C58" t="s">
        <v>217</v>
      </c>
      <c r="D58" t="s">
        <v>387</v>
      </c>
      <c r="E58" t="s">
        <v>218</v>
      </c>
      <c r="F58" t="n">
        <v>73.6420028748619</v>
      </c>
      <c r="G58" t="n">
        <v>79.8617666311847</v>
      </c>
      <c r="H58" t="n">
        <v>83.2998960322464</v>
      </c>
      <c r="I58" t="n">
        <v>87.4218258949942</v>
      </c>
      <c r="J58" t="n">
        <v>89.6494796312868</v>
      </c>
      <c r="K58" t="n">
        <v>89.2053955216582</v>
      </c>
      <c r="L58" t="n">
        <v>91.9664698795471</v>
      </c>
      <c r="M58" t="n">
        <v>92.2279446004177</v>
      </c>
      <c r="N58" t="n">
        <v>92.2101158850494</v>
      </c>
      <c r="O58" t="n">
        <v>90.0623647386585</v>
      </c>
      <c r="P58" t="n">
        <v>90.4764445765374</v>
      </c>
      <c r="Q58" t="n">
        <v>91.4708261248005</v>
      </c>
      <c r="R58" t="n">
        <v>92.8402139311133</v>
      </c>
      <c r="S58" t="n">
        <v>93.2073863020142</v>
      </c>
      <c r="T58" t="n">
        <v>92.903118446839</v>
      </c>
      <c r="U58" t="n">
        <v>96.1765077312971</v>
      </c>
      <c r="V58" t="n">
        <v>98.4445549676875</v>
      </c>
      <c r="W58" t="n">
        <v>99.6093383005006</v>
      </c>
      <c r="X58" t="n">
        <v>98.9776012896169</v>
      </c>
      <c r="Y58" t="n">
        <v>97.9294650509519</v>
      </c>
      <c r="Z58" t="n">
        <v>98.3632349291674</v>
      </c>
      <c r="AA58" t="n">
        <v>98.7319465656063</v>
      </c>
      <c r="AB58" t="n">
        <v>99.5360461885955</v>
      </c>
      <c r="AC58" t="n">
        <v>99.9849582460267</v>
      </c>
      <c r="AD58" t="n">
        <v>99.8503889886295</v>
      </c>
      <c r="AE58" t="n">
        <v>100</v>
      </c>
      <c r="AF58" t="n">
        <v>99.325697853141</v>
      </c>
    </row>
    <row r="59">
      <c r="A59" t="s">
        <v>76</v>
      </c>
      <c r="B59" t="s">
        <v>388</v>
      </c>
      <c r="C59" t="s">
        <v>217</v>
      </c>
      <c r="D59" t="s">
        <v>389</v>
      </c>
      <c r="E59" t="s">
        <v>218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78</v>
      </c>
      <c r="B2" t="s">
        <v>197</v>
      </c>
      <c r="C2" t="s">
        <v>217</v>
      </c>
      <c r="D2" t="s">
        <v>199</v>
      </c>
      <c r="E2" t="s">
        <v>218</v>
      </c>
      <c r="F2" t="n">
        <v>97.525948028787</v>
      </c>
      <c r="G2" t="n">
        <v>98.7470575617017</v>
      </c>
      <c r="H2" t="n">
        <v>91.5735045011655</v>
      </c>
      <c r="I2" t="n">
        <v>93.5872736973717</v>
      </c>
      <c r="J2" t="n">
        <v>96.0657988467871</v>
      </c>
      <c r="K2" t="n">
        <v>98.6833955456097</v>
      </c>
      <c r="L2" t="n">
        <v>98.2879175342293</v>
      </c>
      <c r="M2" t="n">
        <v>98.5001006135789</v>
      </c>
      <c r="N2" t="n">
        <v>101.225059716168</v>
      </c>
      <c r="O2" t="n">
        <v>97.0795172986191</v>
      </c>
      <c r="P2" t="n">
        <v>92.7143910332993</v>
      </c>
      <c r="Q2" t="n">
        <v>93.6321029049514</v>
      </c>
      <c r="R2" t="n">
        <v>95.3716187503894</v>
      </c>
      <c r="S2" t="n">
        <v>96.9870060971755</v>
      </c>
      <c r="T2" t="n">
        <v>97.7769455133516</v>
      </c>
      <c r="U2" t="n">
        <v>98.493664031352</v>
      </c>
      <c r="V2" t="n">
        <v>98.2980071699468</v>
      </c>
      <c r="W2" t="n">
        <v>97.5778752492879</v>
      </c>
      <c r="X2" t="n">
        <v>97.8900092006267</v>
      </c>
      <c r="Y2" t="n">
        <v>98.417608752703</v>
      </c>
      <c r="Z2" t="n">
        <v>98.2989189206327</v>
      </c>
      <c r="AA2" t="n">
        <v>98.1827538072781</v>
      </c>
      <c r="AB2" t="n">
        <v>99.2786433144664</v>
      </c>
      <c r="AC2" t="n">
        <v>99.9642181189896</v>
      </c>
      <c r="AD2" t="n">
        <v>100.716417910448</v>
      </c>
      <c r="AE2" t="n">
        <v>100</v>
      </c>
      <c r="AF2" t="n">
        <v>100.892600057587</v>
      </c>
    </row>
    <row r="3">
      <c r="A3" t="s">
        <v>78</v>
      </c>
      <c r="B3" t="s">
        <v>276</v>
      </c>
      <c r="C3" t="s">
        <v>217</v>
      </c>
      <c r="D3" t="s">
        <v>277</v>
      </c>
      <c r="E3" t="s">
        <v>218</v>
      </c>
      <c r="F3" t="e">
        <v>#NUM!</v>
      </c>
      <c r="G3" t="e">
        <v>#NUM!</v>
      </c>
      <c r="H3" t="e">
        <v>#NUM!</v>
      </c>
      <c r="I3" t="e">
        <v>#NUM!</v>
      </c>
      <c r="J3" t="e">
        <v>#NUM!</v>
      </c>
      <c r="K3" t="e">
        <v>#NUM!</v>
      </c>
      <c r="L3" t="e">
        <v>#NUM!</v>
      </c>
      <c r="M3" t="e">
        <v>#NUM!</v>
      </c>
      <c r="N3" t="e">
        <v>#NUM!</v>
      </c>
      <c r="O3" t="e">
        <v>#NUM!</v>
      </c>
      <c r="P3" t="e">
        <v>#NUM!</v>
      </c>
      <c r="Q3" t="e">
        <v>#NUM!</v>
      </c>
      <c r="R3" t="e">
        <v>#NUM!</v>
      </c>
      <c r="S3" t="e">
        <v>#NUM!</v>
      </c>
      <c r="T3" t="e">
        <v>#NUM!</v>
      </c>
      <c r="U3" t="n">
        <v>0</v>
      </c>
      <c r="V3" t="n">
        <v>98.1818181818182</v>
      </c>
      <c r="W3" t="n">
        <v>98.1818181818182</v>
      </c>
      <c r="X3" t="n">
        <v>98.1818181818182</v>
      </c>
      <c r="Y3" t="n">
        <v>98.1818181818182</v>
      </c>
      <c r="Z3" t="n">
        <v>96.1363636363636</v>
      </c>
      <c r="AA3" t="n">
        <v>94</v>
      </c>
      <c r="AB3" t="n">
        <v>96</v>
      </c>
      <c r="AC3" t="n">
        <v>96</v>
      </c>
      <c r="AD3" t="n">
        <v>100</v>
      </c>
      <c r="AE3" t="n">
        <v>100</v>
      </c>
      <c r="AF3" t="n">
        <v>103.225806451613</v>
      </c>
    </row>
    <row r="4">
      <c r="A4" t="s">
        <v>78</v>
      </c>
      <c r="B4" t="s">
        <v>278</v>
      </c>
      <c r="C4" t="s">
        <v>217</v>
      </c>
      <c r="D4" t="s">
        <v>279</v>
      </c>
      <c r="E4" t="s">
        <v>218</v>
      </c>
      <c r="F4" t="n">
        <v>99.0137373020935</v>
      </c>
      <c r="G4" t="n">
        <v>100.242195581276</v>
      </c>
      <c r="H4" t="n">
        <v>92.4288852618787</v>
      </c>
      <c r="I4" t="n">
        <v>94.9963542969309</v>
      </c>
      <c r="J4" t="n">
        <v>97.4126534641633</v>
      </c>
      <c r="K4" t="n">
        <v>99.7151343642253</v>
      </c>
      <c r="L4" t="n">
        <v>99.1562825303185</v>
      </c>
      <c r="M4" t="n">
        <v>99.3934985172332</v>
      </c>
      <c r="N4" t="n">
        <v>102.739418269298</v>
      </c>
      <c r="O4" t="n">
        <v>97.6676557313218</v>
      </c>
      <c r="P4" t="n">
        <v>92.4184169053713</v>
      </c>
      <c r="Q4" t="n">
        <v>93.6317878056606</v>
      </c>
      <c r="R4" t="n">
        <v>95.7654880639666</v>
      </c>
      <c r="S4" t="n">
        <v>97.1448263694147</v>
      </c>
      <c r="T4" t="n">
        <v>97.8826351772836</v>
      </c>
      <c r="U4" t="n">
        <v>98.1923903518953</v>
      </c>
      <c r="V4" t="n">
        <v>98.1923903518953</v>
      </c>
      <c r="W4" t="n">
        <v>98.1923903518953</v>
      </c>
      <c r="X4" t="n">
        <v>96.7693122308534</v>
      </c>
      <c r="Y4" t="n">
        <v>97.5497099101344</v>
      </c>
      <c r="Z4" t="n">
        <v>97.5497099101344</v>
      </c>
      <c r="AA4" t="n">
        <v>97.5497099101344</v>
      </c>
      <c r="AB4" t="n">
        <v>99.4438790346031</v>
      </c>
      <c r="AC4" t="n">
        <v>99.4438790346031</v>
      </c>
      <c r="AD4" t="n">
        <v>100.36832412523</v>
      </c>
      <c r="AE4" t="n">
        <v>100</v>
      </c>
      <c r="AF4" t="n">
        <v>100.824742268041</v>
      </c>
    </row>
    <row r="5">
      <c r="A5" t="s">
        <v>78</v>
      </c>
      <c r="B5" t="s">
        <v>280</v>
      </c>
      <c r="C5" t="s">
        <v>217</v>
      </c>
      <c r="D5" t="s">
        <v>281</v>
      </c>
      <c r="E5" t="s">
        <v>218</v>
      </c>
      <c r="F5" t="n">
        <v>97.0603327470388</v>
      </c>
      <c r="G5" t="n">
        <v>98.3544705169993</v>
      </c>
      <c r="H5" t="n">
        <v>90.8412817969507</v>
      </c>
      <c r="I5" t="n">
        <v>93.6221373621635</v>
      </c>
      <c r="J5" t="n">
        <v>96.4808285793288</v>
      </c>
      <c r="K5" t="n">
        <v>98.6090821509317</v>
      </c>
      <c r="L5" t="n">
        <v>97.8893078286621</v>
      </c>
      <c r="M5" t="n">
        <v>98.2200149497048</v>
      </c>
      <c r="N5" t="n">
        <v>100.71713397385</v>
      </c>
      <c r="O5" t="n">
        <v>96.18032613719</v>
      </c>
      <c r="P5" t="n">
        <v>91.1182037089168</v>
      </c>
      <c r="Q5" t="n">
        <v>92.1477879316164</v>
      </c>
      <c r="R5" t="n">
        <v>94.2907597439796</v>
      </c>
      <c r="S5" t="n">
        <v>95.9948096188708</v>
      </c>
      <c r="T5" t="n">
        <v>96.9947555524007</v>
      </c>
      <c r="U5" t="n">
        <v>96.9947555524007</v>
      </c>
      <c r="V5" t="n">
        <v>96.9947555524007</v>
      </c>
      <c r="W5" t="n">
        <v>94.5077105382366</v>
      </c>
      <c r="X5" t="n">
        <v>96.0078329277324</v>
      </c>
      <c r="Y5" t="n">
        <v>97.5079553172282</v>
      </c>
      <c r="Z5" t="n">
        <v>97.5079553172282</v>
      </c>
      <c r="AA5" t="n">
        <v>97.5079553172282</v>
      </c>
      <c r="AB5" t="n">
        <v>98.6970767235359</v>
      </c>
      <c r="AC5" t="n">
        <v>99.3594732116133</v>
      </c>
      <c r="AD5" t="n">
        <v>100.389105058366</v>
      </c>
      <c r="AE5" t="n">
        <v>100</v>
      </c>
      <c r="AF5" t="n">
        <v>100.985221674877</v>
      </c>
    </row>
    <row r="6">
      <c r="A6" t="s">
        <v>78</v>
      </c>
      <c r="B6" t="s">
        <v>282</v>
      </c>
      <c r="C6" t="s">
        <v>217</v>
      </c>
      <c r="D6" t="s">
        <v>283</v>
      </c>
      <c r="E6" t="s">
        <v>218</v>
      </c>
      <c r="F6" t="n">
        <v>107.854908662929</v>
      </c>
      <c r="G6" t="n">
        <v>111.574043444409</v>
      </c>
      <c r="H6" t="n">
        <v>101.78684665104</v>
      </c>
      <c r="I6" t="n">
        <v>104.396765795938</v>
      </c>
      <c r="J6" t="n">
        <v>106.404395907399</v>
      </c>
      <c r="K6" t="n">
        <v>108.374847683462</v>
      </c>
      <c r="L6" t="n">
        <v>107.114675035979</v>
      </c>
      <c r="M6" t="n">
        <v>107.114675035979</v>
      </c>
      <c r="N6" t="n">
        <v>110.626631594536</v>
      </c>
      <c r="O6" t="n">
        <v>106.156868701828</v>
      </c>
      <c r="P6" t="n">
        <v>100.469893592801</v>
      </c>
      <c r="Q6" t="n">
        <v>101.561957653593</v>
      </c>
      <c r="R6" t="n">
        <v>101.561957653593</v>
      </c>
      <c r="S6" t="n">
        <v>101.561957653593</v>
      </c>
      <c r="T6" t="n">
        <v>101.561957653593</v>
      </c>
      <c r="U6" t="n">
        <v>101.561957653593</v>
      </c>
      <c r="V6" t="n">
        <v>101.561957653593</v>
      </c>
      <c r="W6" t="n">
        <v>101.561957653593</v>
      </c>
      <c r="X6" t="n">
        <v>101.561957653593</v>
      </c>
      <c r="Y6" t="n">
        <v>101.561957653593</v>
      </c>
      <c r="Z6" t="n">
        <v>101.561957653593</v>
      </c>
      <c r="AA6" t="n">
        <v>101.561957653593</v>
      </c>
      <c r="AB6" t="n">
        <v>101.561957653593</v>
      </c>
      <c r="AC6" t="n">
        <v>102.325581395349</v>
      </c>
      <c r="AD6" t="n">
        <v>102.325581395349</v>
      </c>
      <c r="AE6" t="n">
        <v>100</v>
      </c>
      <c r="AF6" t="n">
        <v>100</v>
      </c>
    </row>
    <row r="7">
      <c r="A7" t="s">
        <v>78</v>
      </c>
      <c r="B7" t="s">
        <v>284</v>
      </c>
      <c r="C7" t="s">
        <v>217</v>
      </c>
      <c r="D7" t="s">
        <v>285</v>
      </c>
      <c r="E7" t="s">
        <v>218</v>
      </c>
      <c r="F7" t="n">
        <v>102.241211713168</v>
      </c>
      <c r="G7" t="n">
        <v>102.241211713168</v>
      </c>
      <c r="H7" t="n">
        <v>93.5398319928982</v>
      </c>
      <c r="I7" t="n">
        <v>93.5398319928982</v>
      </c>
      <c r="J7" t="n">
        <v>95.7669708498719</v>
      </c>
      <c r="K7" t="n">
        <v>97.9434929146417</v>
      </c>
      <c r="L7" t="n">
        <v>97.9434929146417</v>
      </c>
      <c r="M7" t="n">
        <v>97.9434929146418</v>
      </c>
      <c r="N7" t="n">
        <v>101.320854739285</v>
      </c>
      <c r="O7" t="n">
        <v>96.7153613420444</v>
      </c>
      <c r="P7" t="n">
        <v>90.4078377762589</v>
      </c>
      <c r="Q7" t="n">
        <v>93.233082706767</v>
      </c>
      <c r="R7" t="n">
        <v>94.7368421052632</v>
      </c>
      <c r="S7" t="n">
        <v>94.7368421052632</v>
      </c>
      <c r="T7" t="n">
        <v>94.7368421052632</v>
      </c>
      <c r="U7" t="n">
        <v>94.7368421052632</v>
      </c>
      <c r="V7" t="n">
        <v>94.7368421052632</v>
      </c>
      <c r="W7" t="n">
        <v>94.7368421052632</v>
      </c>
      <c r="X7" t="n">
        <v>94.7368421052632</v>
      </c>
      <c r="Y7" t="n">
        <v>94.7368421052632</v>
      </c>
      <c r="Z7" t="n">
        <v>94.7368421052632</v>
      </c>
      <c r="AA7" t="n">
        <v>94.7368421052632</v>
      </c>
      <c r="AB7" t="n">
        <v>100</v>
      </c>
      <c r="AC7" t="n">
        <v>100</v>
      </c>
      <c r="AD7" t="n">
        <v>100</v>
      </c>
      <c r="AE7" t="n">
        <v>100</v>
      </c>
      <c r="AF7" t="n">
        <v>100</v>
      </c>
    </row>
    <row r="8">
      <c r="A8" t="s">
        <v>78</v>
      </c>
      <c r="B8" t="s">
        <v>286</v>
      </c>
      <c r="C8" t="s">
        <v>217</v>
      </c>
      <c r="D8" t="s">
        <v>287</v>
      </c>
      <c r="E8" t="s">
        <v>218</v>
      </c>
      <c r="F8" t="n">
        <v>119.151943462898</v>
      </c>
      <c r="G8" t="n">
        <v>119.151943462898</v>
      </c>
      <c r="H8" t="n">
        <v>119.151943462898</v>
      </c>
      <c r="I8" t="n">
        <v>119.151943462898</v>
      </c>
      <c r="J8" t="n">
        <v>119.151943462898</v>
      </c>
      <c r="K8" t="n">
        <v>119.151943462898</v>
      </c>
      <c r="L8" t="n">
        <v>119.151943462898</v>
      </c>
      <c r="M8" t="n">
        <v>119.151943462898</v>
      </c>
      <c r="N8" t="n">
        <v>119.151943462898</v>
      </c>
      <c r="O8" t="n">
        <v>99.2932862190813</v>
      </c>
      <c r="P8" t="n">
        <v>99.2932862190813</v>
      </c>
      <c r="Q8" t="n">
        <v>99.2932862190813</v>
      </c>
      <c r="R8" t="n">
        <v>99.2932862190813</v>
      </c>
      <c r="S8" t="n">
        <v>99.2932862190813</v>
      </c>
      <c r="T8" t="n">
        <v>99.2932862190813</v>
      </c>
      <c r="U8" t="n">
        <v>99.2932862190813</v>
      </c>
      <c r="V8" t="n">
        <v>99.2932862190813</v>
      </c>
      <c r="W8" t="n">
        <v>99.2932862190813</v>
      </c>
      <c r="X8" t="n">
        <v>99.2932862190813</v>
      </c>
      <c r="Y8" t="n">
        <v>99.2932862190813</v>
      </c>
      <c r="Z8" t="n">
        <v>99.2932862190813</v>
      </c>
      <c r="AA8" t="n">
        <v>99.2932862190813</v>
      </c>
      <c r="AB8" t="n">
        <v>99.2932862190813</v>
      </c>
      <c r="AC8" t="n">
        <v>99.2932862190813</v>
      </c>
      <c r="AD8" t="n">
        <v>100</v>
      </c>
      <c r="AE8" t="n">
        <v>100</v>
      </c>
      <c r="AF8" t="n">
        <v>101.923076923077</v>
      </c>
    </row>
    <row r="9">
      <c r="A9" t="s">
        <v>78</v>
      </c>
      <c r="B9" t="s">
        <v>288</v>
      </c>
      <c r="C9" t="s">
        <v>217</v>
      </c>
      <c r="D9" t="s">
        <v>289</v>
      </c>
      <c r="E9" t="s">
        <v>218</v>
      </c>
      <c r="F9" t="n">
        <v>109.167609351433</v>
      </c>
      <c r="G9" t="n">
        <v>109.167609351433</v>
      </c>
      <c r="H9" t="n">
        <v>97.0378749790514</v>
      </c>
      <c r="I9" t="n">
        <v>97.0378749790514</v>
      </c>
      <c r="J9" t="n">
        <v>103.102742165242</v>
      </c>
      <c r="K9" t="n">
        <v>103.102742165242</v>
      </c>
      <c r="L9" t="n">
        <v>103.102742165242</v>
      </c>
      <c r="M9" t="n">
        <v>103.102742165242</v>
      </c>
      <c r="N9" t="n">
        <v>109.976258309592</v>
      </c>
      <c r="O9" t="n">
        <v>105.194681861349</v>
      </c>
      <c r="P9" t="n">
        <v>95.6315289648623</v>
      </c>
      <c r="Q9" t="n">
        <v>95.6315289648623</v>
      </c>
      <c r="R9" t="n">
        <v>98.1481481481481</v>
      </c>
      <c r="S9" t="n">
        <v>100</v>
      </c>
      <c r="T9" t="n">
        <v>100</v>
      </c>
      <c r="U9" t="n">
        <v>100</v>
      </c>
      <c r="V9" t="n">
        <v>100</v>
      </c>
      <c r="W9" t="n">
        <v>100</v>
      </c>
      <c r="X9" t="n">
        <v>100</v>
      </c>
      <c r="Y9" t="n">
        <v>100</v>
      </c>
      <c r="Z9" t="n">
        <v>100</v>
      </c>
      <c r="AA9" t="n">
        <v>100</v>
      </c>
      <c r="AB9" t="n">
        <v>100</v>
      </c>
      <c r="AC9" t="n">
        <v>100</v>
      </c>
      <c r="AD9" t="n">
        <v>100</v>
      </c>
      <c r="AE9" t="n">
        <v>100</v>
      </c>
      <c r="AF9" t="n">
        <v>100</v>
      </c>
    </row>
    <row r="10">
      <c r="A10" t="s">
        <v>78</v>
      </c>
      <c r="B10" t="s">
        <v>290</v>
      </c>
      <c r="C10" t="s">
        <v>217</v>
      </c>
      <c r="D10" t="s">
        <v>291</v>
      </c>
      <c r="E10" t="s">
        <v>218</v>
      </c>
      <c r="F10" t="n">
        <v>115.087321049841</v>
      </c>
      <c r="G10" t="n">
        <v>115.087321049841</v>
      </c>
      <c r="H10" t="n">
        <v>101.27684252386</v>
      </c>
      <c r="I10" t="n">
        <v>107.606645181601</v>
      </c>
      <c r="J10" t="n">
        <v>112.49785632622</v>
      </c>
      <c r="K10" t="n">
        <v>112.49785632622</v>
      </c>
      <c r="L10" t="n">
        <v>112.49785632622</v>
      </c>
      <c r="M10" t="n">
        <v>112.49785632622</v>
      </c>
      <c r="N10" t="n">
        <v>117.854897103659</v>
      </c>
      <c r="O10" t="n">
        <v>112.242759146341</v>
      </c>
      <c r="P10" t="n">
        <v>102.03887195122</v>
      </c>
      <c r="Q10" t="n">
        <v>102.03887195122</v>
      </c>
      <c r="R10" t="n">
        <v>104.58984375</v>
      </c>
      <c r="S10" t="n">
        <v>106.25</v>
      </c>
      <c r="T10" t="n">
        <v>106.25</v>
      </c>
      <c r="U10" t="n">
        <v>106.25</v>
      </c>
      <c r="V10" t="n">
        <v>106.25</v>
      </c>
      <c r="W10" t="n">
        <v>100</v>
      </c>
      <c r="X10" t="n">
        <v>100</v>
      </c>
      <c r="Y10" t="n">
        <v>100</v>
      </c>
      <c r="Z10" t="n">
        <v>100</v>
      </c>
      <c r="AA10" t="n">
        <v>100</v>
      </c>
      <c r="AB10" t="n">
        <v>100</v>
      </c>
      <c r="AC10" t="n">
        <v>100</v>
      </c>
      <c r="AD10" t="n">
        <v>100</v>
      </c>
      <c r="AE10" t="n">
        <v>100</v>
      </c>
      <c r="AF10" t="n">
        <v>100</v>
      </c>
    </row>
    <row r="11">
      <c r="A11" t="s">
        <v>78</v>
      </c>
      <c r="B11" t="s">
        <v>292</v>
      </c>
      <c r="C11" t="s">
        <v>217</v>
      </c>
      <c r="D11" t="s">
        <v>293</v>
      </c>
      <c r="E11" t="s">
        <v>218</v>
      </c>
      <c r="F11" t="e">
        <v>#NUM!</v>
      </c>
      <c r="G11" t="e">
        <v>#NUM!</v>
      </c>
      <c r="H11" t="e">
        <v>#NUM!</v>
      </c>
      <c r="I11" t="e">
        <v>#NUM!</v>
      </c>
      <c r="J11" t="e">
        <v>#NUM!</v>
      </c>
      <c r="K11" t="e">
        <v>#NUM!</v>
      </c>
      <c r="L11" t="e">
        <v>#NUM!</v>
      </c>
      <c r="M11" t="e">
        <v>#NUM!</v>
      </c>
      <c r="N11" t="e">
        <v>#NUM!</v>
      </c>
      <c r="O11" t="e">
        <v>#NUM!</v>
      </c>
      <c r="P11" t="n">
        <v>0</v>
      </c>
      <c r="Q11" t="n">
        <v>109.090909090909</v>
      </c>
      <c r="R11" t="n">
        <v>109.090909090909</v>
      </c>
      <c r="S11" t="n">
        <v>109.090909090909</v>
      </c>
      <c r="T11" t="n">
        <v>109.090909090909</v>
      </c>
      <c r="U11" t="n">
        <v>109.090909090909</v>
      </c>
      <c r="V11" t="n">
        <v>109.090909090909</v>
      </c>
      <c r="W11" t="n">
        <v>100</v>
      </c>
      <c r="X11" t="n">
        <v>100</v>
      </c>
      <c r="Y11" t="n">
        <v>100</v>
      </c>
      <c r="Z11" t="n">
        <v>100</v>
      </c>
      <c r="AA11" t="n">
        <v>100</v>
      </c>
      <c r="AB11" t="n">
        <v>100</v>
      </c>
      <c r="AC11" t="n">
        <v>100</v>
      </c>
      <c r="AD11" t="n">
        <v>100</v>
      </c>
      <c r="AE11" t="n">
        <v>100</v>
      </c>
      <c r="AF11" t="n">
        <v>100</v>
      </c>
    </row>
    <row r="12">
      <c r="A12" t="s">
        <v>78</v>
      </c>
      <c r="B12" t="s">
        <v>294</v>
      </c>
      <c r="C12" t="s">
        <v>217</v>
      </c>
      <c r="D12" t="s">
        <v>295</v>
      </c>
      <c r="E12" t="s">
        <v>218</v>
      </c>
      <c r="F12" t="n">
        <v>95.5225717440112</v>
      </c>
      <c r="G12" t="n">
        <v>96.7668537406767</v>
      </c>
      <c r="H12" t="n">
        <v>89.2383122152091</v>
      </c>
      <c r="I12" t="n">
        <v>91.7626375607463</v>
      </c>
      <c r="J12" t="n">
        <v>94.1182101164985</v>
      </c>
      <c r="K12" t="n">
        <v>96.3455535589913</v>
      </c>
      <c r="L12" t="n">
        <v>95.8502036692279</v>
      </c>
      <c r="M12" t="n">
        <v>95.8502036692279</v>
      </c>
      <c r="N12" t="n">
        <v>99.1553831060978</v>
      </c>
      <c r="O12" t="n">
        <v>94.3882973798431</v>
      </c>
      <c r="P12" t="n">
        <v>89.472240224643</v>
      </c>
      <c r="Q12" t="n">
        <v>90.2304795485806</v>
      </c>
      <c r="R12" t="n">
        <v>92.2430553005936</v>
      </c>
      <c r="S12" t="n">
        <v>94.3635853075038</v>
      </c>
      <c r="T12" t="n">
        <v>96.048649330852</v>
      </c>
      <c r="U12" t="n">
        <v>99.3606717215711</v>
      </c>
      <c r="V12" t="n">
        <v>99.3606717215711</v>
      </c>
      <c r="W12" t="n">
        <v>97.8886617701404</v>
      </c>
      <c r="X12" t="n">
        <v>97.8886617701404</v>
      </c>
      <c r="Y12" t="n">
        <v>100.165142276423</v>
      </c>
      <c r="Z12" t="n">
        <v>100.165142276423</v>
      </c>
      <c r="AA12" t="n">
        <v>100.165142276423</v>
      </c>
      <c r="AB12" t="n">
        <v>100.165142276423</v>
      </c>
      <c r="AC12" t="n">
        <v>100.165142276423</v>
      </c>
      <c r="AD12" t="n">
        <v>101.219512195122</v>
      </c>
      <c r="AE12" t="n">
        <v>100</v>
      </c>
      <c r="AF12" t="n">
        <v>100</v>
      </c>
    </row>
    <row r="13">
      <c r="A13" t="s">
        <v>78</v>
      </c>
      <c r="B13" t="s">
        <v>296</v>
      </c>
      <c r="C13" t="s">
        <v>217</v>
      </c>
      <c r="D13" t="s">
        <v>297</v>
      </c>
      <c r="E13" t="s">
        <v>218</v>
      </c>
      <c r="F13" t="n">
        <v>100.357688416586</v>
      </c>
      <c r="G13" t="n">
        <v>100.357688416586</v>
      </c>
      <c r="H13" t="n">
        <v>92.7548332335114</v>
      </c>
      <c r="I13" t="n">
        <v>94.8160517498116</v>
      </c>
      <c r="J13" t="n">
        <v>96.3963192789752</v>
      </c>
      <c r="K13" t="n">
        <v>97.9510986221844</v>
      </c>
      <c r="L13" t="n">
        <v>97.4216332242267</v>
      </c>
      <c r="M13" t="n">
        <v>98.0421531810689</v>
      </c>
      <c r="N13" t="n">
        <v>101.138221176261</v>
      </c>
      <c r="O13" t="n">
        <v>96.3221154059624</v>
      </c>
      <c r="P13" t="n">
        <v>91.7353480056785</v>
      </c>
      <c r="Q13" t="n">
        <v>92.6347141625969</v>
      </c>
      <c r="R13" t="n">
        <v>94.2318644067796</v>
      </c>
      <c r="S13" t="n">
        <v>94.2318644067796</v>
      </c>
      <c r="T13" t="n">
        <v>95.5052679798442</v>
      </c>
      <c r="U13" t="n">
        <v>95.5052679798442</v>
      </c>
      <c r="V13" t="n">
        <v>95.5052679798442</v>
      </c>
      <c r="W13" t="n">
        <v>95.5052679798442</v>
      </c>
      <c r="X13" t="n">
        <v>95.5052679798442</v>
      </c>
      <c r="Y13" t="n">
        <v>95.5052679798442</v>
      </c>
      <c r="Z13" t="n">
        <v>95.5052679798442</v>
      </c>
      <c r="AA13" t="n">
        <v>95.5052679798442</v>
      </c>
      <c r="AB13" t="n">
        <v>99.4846541456711</v>
      </c>
      <c r="AC13" t="n">
        <v>99.4846541456711</v>
      </c>
      <c r="AD13" t="n">
        <v>100.847457627119</v>
      </c>
      <c r="AE13" t="n">
        <v>100</v>
      </c>
      <c r="AF13" t="n">
        <v>100</v>
      </c>
    </row>
    <row r="14">
      <c r="A14" t="s">
        <v>78</v>
      </c>
      <c r="B14" t="s">
        <v>298</v>
      </c>
      <c r="C14" t="s">
        <v>217</v>
      </c>
      <c r="D14" t="s">
        <v>299</v>
      </c>
      <c r="E14" t="s">
        <v>218</v>
      </c>
      <c r="F14" t="e">
        <v>#NUM!</v>
      </c>
      <c r="G14" t="e">
        <v>#NUM!</v>
      </c>
      <c r="H14" t="e">
        <v>#NUM!</v>
      </c>
      <c r="I14" t="e">
        <v>#NUM!</v>
      </c>
      <c r="J14" t="e">
        <v>#NUM!</v>
      </c>
      <c r="K14" t="e">
        <v>#NUM!</v>
      </c>
      <c r="L14" t="e">
        <v>#NUM!</v>
      </c>
      <c r="M14" t="e">
        <v>#NUM!</v>
      </c>
      <c r="N14" t="e">
        <v>#NUM!</v>
      </c>
      <c r="O14" t="e">
        <v>#NUM!</v>
      </c>
      <c r="P14" t="n">
        <v>0</v>
      </c>
      <c r="Q14" t="n">
        <v>0</v>
      </c>
      <c r="R14" t="n">
        <v>0</v>
      </c>
      <c r="S14" t="e">
        <v>#NUM!</v>
      </c>
      <c r="T14" t="e">
        <v>#NUM!</v>
      </c>
      <c r="U14" t="e">
        <v>#NUM!</v>
      </c>
      <c r="V14" t="e">
        <v>#NUM!</v>
      </c>
      <c r="W14" t="e">
        <v>#NUM!</v>
      </c>
      <c r="X14" t="e">
        <v>#NUM!</v>
      </c>
      <c r="Y14" t="e">
        <v>#NUM!</v>
      </c>
      <c r="Z14" t="n">
        <v>0</v>
      </c>
      <c r="AA14" t="e">
        <v>#NUM!</v>
      </c>
      <c r="AB14" t="e">
        <v>#NUM!</v>
      </c>
      <c r="AC14" t="n">
        <v>0</v>
      </c>
      <c r="AD14" t="n">
        <v>100</v>
      </c>
      <c r="AE14" t="n">
        <v>100</v>
      </c>
      <c r="AF14" t="n">
        <v>0</v>
      </c>
    </row>
    <row r="15">
      <c r="A15" t="s">
        <v>78</v>
      </c>
      <c r="B15" t="s">
        <v>300</v>
      </c>
      <c r="C15" t="s">
        <v>217</v>
      </c>
      <c r="D15" t="s">
        <v>301</v>
      </c>
      <c r="E15" t="s">
        <v>218</v>
      </c>
      <c r="F15" t="n">
        <v>166.666666666667</v>
      </c>
      <c r="G15" t="n">
        <v>166.666666666667</v>
      </c>
      <c r="H15" t="n">
        <v>156.25</v>
      </c>
      <c r="I15" t="n">
        <v>156.25</v>
      </c>
      <c r="J15" t="n">
        <v>156.25</v>
      </c>
      <c r="K15" t="n">
        <v>166.666666666667</v>
      </c>
      <c r="L15" t="n">
        <v>166.666666666667</v>
      </c>
      <c r="M15" t="n">
        <v>166.666666666667</v>
      </c>
      <c r="N15" t="n">
        <v>166.666666666667</v>
      </c>
      <c r="O15" t="n">
        <v>133.333333333333</v>
      </c>
      <c r="P15" t="n">
        <v>100</v>
      </c>
      <c r="Q15" t="n">
        <v>100</v>
      </c>
      <c r="R15" t="n">
        <v>100</v>
      </c>
      <c r="S15" t="n">
        <v>100</v>
      </c>
      <c r="T15" t="n">
        <v>100</v>
      </c>
      <c r="U15" t="n">
        <v>100</v>
      </c>
      <c r="V15" t="n">
        <v>100</v>
      </c>
      <c r="W15" t="n">
        <v>100</v>
      </c>
      <c r="X15" t="n">
        <v>100</v>
      </c>
      <c r="Y15" t="n">
        <v>100</v>
      </c>
      <c r="Z15" t="n">
        <v>100</v>
      </c>
      <c r="AA15" t="n">
        <v>100</v>
      </c>
      <c r="AB15" t="n">
        <v>100</v>
      </c>
      <c r="AC15" t="n">
        <v>100</v>
      </c>
      <c r="AD15" t="n">
        <v>100</v>
      </c>
      <c r="AE15" t="n">
        <v>100</v>
      </c>
      <c r="AF15" t="n">
        <v>100</v>
      </c>
    </row>
    <row r="16">
      <c r="A16" t="s">
        <v>78</v>
      </c>
      <c r="B16" t="s">
        <v>302</v>
      </c>
      <c r="C16" t="s">
        <v>217</v>
      </c>
      <c r="D16" t="s">
        <v>303</v>
      </c>
      <c r="E16" t="s">
        <v>218</v>
      </c>
      <c r="F16" t="n">
        <v>155.555555555556</v>
      </c>
      <c r="G16" t="n">
        <v>155.555555555556</v>
      </c>
      <c r="H16" t="n">
        <v>143.589743589744</v>
      </c>
      <c r="I16" t="n">
        <v>143.589743589744</v>
      </c>
      <c r="J16" t="n">
        <v>143.589743589744</v>
      </c>
      <c r="K16" t="n">
        <v>155.555555555556</v>
      </c>
      <c r="L16" t="n">
        <v>155.555555555556</v>
      </c>
      <c r="M16" t="n">
        <v>155.555555555556</v>
      </c>
      <c r="N16" t="n">
        <v>155.555555555556</v>
      </c>
      <c r="O16" t="n">
        <v>133.333333333333</v>
      </c>
      <c r="P16" t="n">
        <v>100</v>
      </c>
      <c r="Q16" t="n">
        <v>100</v>
      </c>
      <c r="R16" t="n">
        <v>100</v>
      </c>
      <c r="S16" t="n">
        <v>100</v>
      </c>
      <c r="T16" t="n">
        <v>100</v>
      </c>
      <c r="U16" t="n">
        <v>100</v>
      </c>
      <c r="V16" t="n">
        <v>100</v>
      </c>
      <c r="W16" t="n">
        <v>100</v>
      </c>
      <c r="X16" t="n">
        <v>100</v>
      </c>
      <c r="Y16" t="n">
        <v>100</v>
      </c>
      <c r="Z16" t="n">
        <v>100</v>
      </c>
      <c r="AA16" t="n">
        <v>100</v>
      </c>
      <c r="AB16" t="n">
        <v>100</v>
      </c>
      <c r="AC16" t="n">
        <v>100</v>
      </c>
      <c r="AD16" t="n">
        <v>100</v>
      </c>
      <c r="AE16" t="n">
        <v>100</v>
      </c>
      <c r="AF16" t="n">
        <v>100</v>
      </c>
    </row>
    <row r="17">
      <c r="A17" t="s">
        <v>78</v>
      </c>
      <c r="B17" t="s">
        <v>304</v>
      </c>
      <c r="C17" t="s">
        <v>217</v>
      </c>
      <c r="D17" t="s">
        <v>305</v>
      </c>
      <c r="E17" t="s">
        <v>218</v>
      </c>
      <c r="F17" t="n">
        <v>89.1012396694215</v>
      </c>
      <c r="G17" t="n">
        <v>89.1012396694215</v>
      </c>
      <c r="H17" t="n">
        <v>82.247298156389</v>
      </c>
      <c r="I17" t="n">
        <v>82.247298156389</v>
      </c>
      <c r="J17" t="n">
        <v>82.247298156389</v>
      </c>
      <c r="K17" t="n">
        <v>89.1012396694215</v>
      </c>
      <c r="L17" t="n">
        <v>89.1012396694214</v>
      </c>
      <c r="M17" t="n">
        <v>89.1012396694214</v>
      </c>
      <c r="N17" t="n">
        <v>98.0113636363636</v>
      </c>
      <c r="O17" t="n">
        <v>91.4772727272727</v>
      </c>
      <c r="P17" t="n">
        <v>87.5</v>
      </c>
      <c r="Q17" t="n">
        <v>87.5</v>
      </c>
      <c r="R17" t="n">
        <v>93.3333333333333</v>
      </c>
      <c r="S17" t="n">
        <v>93.3333333333333</v>
      </c>
      <c r="T17" t="n">
        <v>93.3333333333333</v>
      </c>
      <c r="U17" t="n">
        <v>93.3333333333333</v>
      </c>
      <c r="V17" t="n">
        <v>93.3333333333333</v>
      </c>
      <c r="W17" t="n">
        <v>93.3333333333333</v>
      </c>
      <c r="X17" t="n">
        <v>93.3333333333333</v>
      </c>
      <c r="Y17" t="n">
        <v>93.3333333333333</v>
      </c>
      <c r="Z17" t="n">
        <v>93.3333333333333</v>
      </c>
      <c r="AA17" t="n">
        <v>93.3333333333333</v>
      </c>
      <c r="AB17" t="n">
        <v>100</v>
      </c>
      <c r="AC17" t="n">
        <v>100</v>
      </c>
      <c r="AD17" t="n">
        <v>100</v>
      </c>
      <c r="AE17" t="n">
        <v>100</v>
      </c>
      <c r="AF17" t="n">
        <v>100</v>
      </c>
    </row>
    <row r="18">
      <c r="A18" t="s">
        <v>78</v>
      </c>
      <c r="B18" t="s">
        <v>306</v>
      </c>
      <c r="C18" t="s">
        <v>217</v>
      </c>
      <c r="D18" t="s">
        <v>307</v>
      </c>
      <c r="E18" t="s">
        <v>218</v>
      </c>
      <c r="F18" t="n">
        <v>78.7511649580615</v>
      </c>
      <c r="G18" t="n">
        <v>78.7511649580615</v>
      </c>
      <c r="H18" t="n">
        <v>78.7511649580615</v>
      </c>
      <c r="I18" t="n">
        <v>78.7511649580615</v>
      </c>
      <c r="J18" t="n">
        <v>88.5950605778192</v>
      </c>
      <c r="K18" t="n">
        <v>88.5950605778192</v>
      </c>
      <c r="L18" t="n">
        <v>86.6262814538677</v>
      </c>
      <c r="M18" t="n">
        <v>86.6262814538677</v>
      </c>
      <c r="N18" t="n">
        <v>89.7200772200772</v>
      </c>
      <c r="O18" t="n">
        <v>85.1190476190476</v>
      </c>
      <c r="P18" t="n">
        <v>85.1190476190476</v>
      </c>
      <c r="Q18" t="n">
        <v>92.8571428571429</v>
      </c>
      <c r="R18" t="n">
        <v>100</v>
      </c>
      <c r="S18" t="n">
        <v>100</v>
      </c>
      <c r="T18" t="n">
        <v>100</v>
      </c>
      <c r="U18" t="n">
        <v>100</v>
      </c>
      <c r="V18" t="n">
        <v>100</v>
      </c>
      <c r="W18" t="n">
        <v>100</v>
      </c>
      <c r="X18" t="n">
        <v>100</v>
      </c>
      <c r="Y18" t="n">
        <v>100</v>
      </c>
      <c r="Z18" t="n">
        <v>100</v>
      </c>
      <c r="AA18" t="n">
        <v>100</v>
      </c>
      <c r="AB18" t="n">
        <v>100</v>
      </c>
      <c r="AC18" t="n">
        <v>100</v>
      </c>
      <c r="AD18" t="n">
        <v>100</v>
      </c>
      <c r="AE18" t="n">
        <v>100</v>
      </c>
      <c r="AF18" t="n">
        <v>100</v>
      </c>
    </row>
    <row r="19">
      <c r="A19" t="s">
        <v>78</v>
      </c>
      <c r="B19" t="s">
        <v>308</v>
      </c>
      <c r="C19" t="s">
        <v>217</v>
      </c>
      <c r="D19" t="s">
        <v>309</v>
      </c>
      <c r="E19" t="s">
        <v>218</v>
      </c>
      <c r="F19" t="n">
        <v>92.1649661190737</v>
      </c>
      <c r="G19" t="n">
        <v>92.1649661190737</v>
      </c>
      <c r="H19" t="n">
        <v>85.3379315917349</v>
      </c>
      <c r="I19" t="n">
        <v>90.0789277912757</v>
      </c>
      <c r="J19" t="n">
        <v>90.0789277912757</v>
      </c>
      <c r="K19" t="n">
        <v>93.6820849029267</v>
      </c>
      <c r="L19" t="n">
        <v>93.6820849029267</v>
      </c>
      <c r="M19" t="n">
        <v>93.6820849029267</v>
      </c>
      <c r="N19" t="n">
        <v>97.7552190291409</v>
      </c>
      <c r="O19" t="n">
        <v>93.3117999823618</v>
      </c>
      <c r="P19" t="n">
        <v>87.9796971262268</v>
      </c>
      <c r="Q19" t="n">
        <v>90.5673352769982</v>
      </c>
      <c r="R19" t="n">
        <v>93.3117999823618</v>
      </c>
      <c r="S19" t="n">
        <v>96.1394302848576</v>
      </c>
      <c r="T19" t="n">
        <v>96.1394302848576</v>
      </c>
      <c r="U19" t="n">
        <v>96.1394302848576</v>
      </c>
      <c r="V19" t="n">
        <v>96.1394302848576</v>
      </c>
      <c r="W19" t="n">
        <v>96.1394302848576</v>
      </c>
      <c r="X19" t="n">
        <v>96.1394302848576</v>
      </c>
      <c r="Y19" t="n">
        <v>96.1394302848576</v>
      </c>
      <c r="Z19" t="n">
        <v>96.1394302848576</v>
      </c>
      <c r="AA19" t="n">
        <v>96.1394302848576</v>
      </c>
      <c r="AB19" t="n">
        <v>98.2758620689655</v>
      </c>
      <c r="AC19" t="n">
        <v>98.2758620689655</v>
      </c>
      <c r="AD19" t="n">
        <v>100</v>
      </c>
      <c r="AE19" t="n">
        <v>100</v>
      </c>
      <c r="AF19" t="n">
        <v>101.428571428571</v>
      </c>
    </row>
    <row r="20">
      <c r="A20" t="s">
        <v>78</v>
      </c>
      <c r="B20" t="s">
        <v>310</v>
      </c>
      <c r="C20" t="s">
        <v>217</v>
      </c>
      <c r="D20" t="s">
        <v>311</v>
      </c>
      <c r="E20" t="s">
        <v>218</v>
      </c>
      <c r="F20" t="n">
        <v>95.5620625858411</v>
      </c>
      <c r="G20" t="n">
        <v>95.5620625858411</v>
      </c>
      <c r="H20" t="n">
        <v>88.394907891903</v>
      </c>
      <c r="I20" t="n">
        <v>91.5518688880424</v>
      </c>
      <c r="J20" t="n">
        <v>94.0262437228544</v>
      </c>
      <c r="K20" t="n">
        <v>96.5006185576663</v>
      </c>
      <c r="L20" t="n">
        <v>92.1142268050451</v>
      </c>
      <c r="M20" t="n">
        <v>92.2755476926196</v>
      </c>
      <c r="N20" t="n">
        <v>97.4019670088763</v>
      </c>
      <c r="O20" t="n">
        <v>97.4019670088763</v>
      </c>
      <c r="P20" t="n">
        <v>92.4826757458017</v>
      </c>
      <c r="Q20" t="n">
        <v>92.4826757458017</v>
      </c>
      <c r="R20" t="n">
        <v>96.3361205685434</v>
      </c>
      <c r="S20" t="n">
        <v>98.9754663375446</v>
      </c>
      <c r="T20" t="n">
        <v>100.197385675045</v>
      </c>
      <c r="U20" t="n">
        <v>100.197385675045</v>
      </c>
      <c r="V20" t="n">
        <v>100.197385675045</v>
      </c>
      <c r="W20" t="n">
        <v>97.8117336351632</v>
      </c>
      <c r="X20" t="n">
        <v>97.8117336351631</v>
      </c>
      <c r="Y20" t="n">
        <v>99.558371735791</v>
      </c>
      <c r="Z20" t="n">
        <v>99.558371735791</v>
      </c>
      <c r="AA20" t="n">
        <v>99.5583717357911</v>
      </c>
      <c r="AB20" t="n">
        <v>99.5583717357911</v>
      </c>
      <c r="AC20" t="n">
        <v>99.5583717357911</v>
      </c>
      <c r="AD20" t="n">
        <v>101.190476190476</v>
      </c>
      <c r="AE20" t="n">
        <v>100</v>
      </c>
      <c r="AF20" t="n">
        <v>100.862068965517</v>
      </c>
    </row>
    <row r="21">
      <c r="A21" t="s">
        <v>78</v>
      </c>
      <c r="B21" t="s">
        <v>312</v>
      </c>
      <c r="C21" t="s">
        <v>217</v>
      </c>
      <c r="D21" t="s">
        <v>313</v>
      </c>
      <c r="E21" t="s">
        <v>218</v>
      </c>
      <c r="F21" t="n">
        <v>97.5279269825264</v>
      </c>
      <c r="G21" t="n">
        <v>97.5279269825264</v>
      </c>
      <c r="H21" t="n">
        <v>89.7602159839181</v>
      </c>
      <c r="I21" t="n">
        <v>92.0617599835057</v>
      </c>
      <c r="J21" t="n">
        <v>94.7431704684622</v>
      </c>
      <c r="K21" t="n">
        <v>96.5140708510503</v>
      </c>
      <c r="L21" t="n">
        <v>95.4611900781297</v>
      </c>
      <c r="M21" t="n">
        <v>95.5861392798027</v>
      </c>
      <c r="N21" t="n">
        <v>98.787588920753</v>
      </c>
      <c r="O21" t="n">
        <v>94.8042183997549</v>
      </c>
      <c r="P21" t="n">
        <v>90.0808765577742</v>
      </c>
      <c r="Q21" t="n">
        <v>90.6107640669376</v>
      </c>
      <c r="R21" t="n">
        <v>93.0597036363143</v>
      </c>
      <c r="S21" t="n">
        <v>94.808946185869</v>
      </c>
      <c r="T21" t="n">
        <v>95.7061917333694</v>
      </c>
      <c r="U21" t="n">
        <v>97.3375472742791</v>
      </c>
      <c r="V21" t="n">
        <v>97.337547274279</v>
      </c>
      <c r="W21" t="n">
        <v>96.9660299182704</v>
      </c>
      <c r="X21" t="n">
        <v>97.7740801675893</v>
      </c>
      <c r="Y21" t="n">
        <v>98.1747936108991</v>
      </c>
      <c r="Z21" t="n">
        <v>98.1747936108991</v>
      </c>
      <c r="AA21" t="n">
        <v>98.1747936108991</v>
      </c>
      <c r="AB21" t="n">
        <v>99.2010109657168</v>
      </c>
      <c r="AC21" t="n">
        <v>99.4844424256189</v>
      </c>
      <c r="AD21" t="n">
        <v>100.540540540541</v>
      </c>
      <c r="AE21" t="n">
        <v>100</v>
      </c>
      <c r="AF21" t="n">
        <v>101.217656012177</v>
      </c>
    </row>
    <row r="22">
      <c r="A22" t="s">
        <v>78</v>
      </c>
      <c r="B22" t="s">
        <v>314</v>
      </c>
      <c r="C22" t="s">
        <v>217</v>
      </c>
      <c r="D22" t="s">
        <v>315</v>
      </c>
      <c r="E22" t="s">
        <v>218</v>
      </c>
      <c r="F22" t="n">
        <v>98.8938536186227</v>
      </c>
      <c r="G22" t="n">
        <v>98.8938536186227</v>
      </c>
      <c r="H22" t="n">
        <v>90.765591677366</v>
      </c>
      <c r="I22" t="n">
        <v>92.5809035109133</v>
      </c>
      <c r="J22" t="n">
        <v>95.3863854354865</v>
      </c>
      <c r="K22" t="n">
        <v>96.7687968186094</v>
      </c>
      <c r="L22" t="n">
        <v>96.0038260927706</v>
      </c>
      <c r="M22" t="n">
        <v>96.0038260927706</v>
      </c>
      <c r="N22" t="n">
        <v>99.0196530904493</v>
      </c>
      <c r="O22" t="n">
        <v>94.695650772089</v>
      </c>
      <c r="P22" t="n">
        <v>90.0128988108319</v>
      </c>
      <c r="Q22" t="n">
        <v>90.6747583609116</v>
      </c>
      <c r="R22" t="n">
        <v>92.8685025148045</v>
      </c>
      <c r="S22" t="n">
        <v>94.3120543673663</v>
      </c>
      <c r="T22" t="n">
        <v>95.1113090653948</v>
      </c>
      <c r="U22" t="n">
        <v>97.0927946709239</v>
      </c>
      <c r="V22" t="n">
        <v>97.0927946709239</v>
      </c>
      <c r="W22" t="n">
        <v>97.0927946709239</v>
      </c>
      <c r="X22" t="n">
        <v>97.9087005084946</v>
      </c>
      <c r="Y22" t="n">
        <v>97.9087005084946</v>
      </c>
      <c r="Z22" t="n">
        <v>97.9087005084946</v>
      </c>
      <c r="AA22" t="n">
        <v>97.9087005084946</v>
      </c>
      <c r="AB22" t="n">
        <v>99.0978750085978</v>
      </c>
      <c r="AC22" t="n">
        <v>99.4543421848877</v>
      </c>
      <c r="AD22" t="n">
        <v>100.424628450106</v>
      </c>
      <c r="AE22" t="n">
        <v>100</v>
      </c>
      <c r="AF22" t="n">
        <v>101.293900184843</v>
      </c>
    </row>
    <row r="23">
      <c r="A23" t="s">
        <v>78</v>
      </c>
      <c r="B23" t="s">
        <v>316</v>
      </c>
      <c r="C23" t="s">
        <v>217</v>
      </c>
      <c r="D23" t="s">
        <v>317</v>
      </c>
      <c r="E23" t="s">
        <v>218</v>
      </c>
      <c r="F23" t="n">
        <v>100.712712430944</v>
      </c>
      <c r="G23" t="n">
        <v>101.865911428245</v>
      </c>
      <c r="H23" t="n">
        <v>93.9520258790387</v>
      </c>
      <c r="I23" t="n">
        <v>96.3679351159283</v>
      </c>
      <c r="J23" t="n">
        <v>98.9039334084527</v>
      </c>
      <c r="K23" t="n">
        <v>101.39208267659</v>
      </c>
      <c r="L23" t="n">
        <v>100.778116778029</v>
      </c>
      <c r="M23" t="n">
        <v>100.778116778029</v>
      </c>
      <c r="N23" t="n">
        <v>102.705347696494</v>
      </c>
      <c r="O23" t="n">
        <v>98.6014536770753</v>
      </c>
      <c r="P23" t="n">
        <v>93.7201935940517</v>
      </c>
      <c r="Q23" t="n">
        <v>94.7075214033894</v>
      </c>
      <c r="R23" t="n">
        <v>96.6467456933315</v>
      </c>
      <c r="S23" t="n">
        <v>98.2080824573595</v>
      </c>
      <c r="T23" t="n">
        <v>99.1345738012969</v>
      </c>
      <c r="U23" t="n">
        <v>99.1345738012968</v>
      </c>
      <c r="V23" t="n">
        <v>98.6261913715466</v>
      </c>
      <c r="W23" t="n">
        <v>97.6432060754847</v>
      </c>
      <c r="X23" t="n">
        <v>97.8729547956623</v>
      </c>
      <c r="Y23" t="n">
        <v>98.5670892268372</v>
      </c>
      <c r="Z23" t="n">
        <v>98.5670892268372</v>
      </c>
      <c r="AA23" t="n">
        <v>98.5670892268372</v>
      </c>
      <c r="AB23" t="n">
        <v>99.9751905015063</v>
      </c>
      <c r="AC23" t="n">
        <v>99.9751905015063</v>
      </c>
      <c r="AD23" t="n">
        <v>100.584795321637</v>
      </c>
      <c r="AE23" t="n">
        <v>100</v>
      </c>
      <c r="AF23" t="n">
        <v>101.208459214502</v>
      </c>
    </row>
    <row r="24">
      <c r="A24" t="s">
        <v>78</v>
      </c>
      <c r="B24" t="s">
        <v>318</v>
      </c>
      <c r="C24" t="s">
        <v>217</v>
      </c>
      <c r="D24" t="s">
        <v>319</v>
      </c>
      <c r="E24" t="s">
        <v>218</v>
      </c>
      <c r="F24" t="n">
        <v>99.0969760968696</v>
      </c>
      <c r="G24" t="n">
        <v>100.42121185763</v>
      </c>
      <c r="H24" t="n">
        <v>92.6608644591737</v>
      </c>
      <c r="I24" t="n">
        <v>95.3398350302723</v>
      </c>
      <c r="J24" t="n">
        <v>97.8806174359014</v>
      </c>
      <c r="K24" t="n">
        <v>100.279652176977</v>
      </c>
      <c r="L24" t="n">
        <v>99.6489625406442</v>
      </c>
      <c r="M24" t="n">
        <v>99.8645362832956</v>
      </c>
      <c r="N24" t="n">
        <v>102.98209127533</v>
      </c>
      <c r="O24" t="n">
        <v>98.5725817228635</v>
      </c>
      <c r="P24" t="n">
        <v>93.5996913084243</v>
      </c>
      <c r="Q24" t="n">
        <v>94.5693571752166</v>
      </c>
      <c r="R24" t="n">
        <v>96.5712272761925</v>
      </c>
      <c r="S24" t="n">
        <v>98.0573867786324</v>
      </c>
      <c r="T24" t="n">
        <v>98.867778404902</v>
      </c>
      <c r="U24" t="n">
        <v>98.867778404902</v>
      </c>
      <c r="V24" t="n">
        <v>98.7168352317648</v>
      </c>
      <c r="W24" t="n">
        <v>97.4862929643329</v>
      </c>
      <c r="X24" t="n">
        <v>97.7328856109543</v>
      </c>
      <c r="Y24" t="n">
        <v>98.2319471544996</v>
      </c>
      <c r="Z24" t="n">
        <v>98.0308288070057</v>
      </c>
      <c r="AA24" t="n">
        <v>97.8549887553339</v>
      </c>
      <c r="AB24" t="n">
        <v>99.2045227967106</v>
      </c>
      <c r="AC24" t="n">
        <v>99.5763848146908</v>
      </c>
      <c r="AD24" t="n">
        <v>100.40192926045</v>
      </c>
      <c r="AE24" t="n">
        <v>100</v>
      </c>
      <c r="AF24" t="n">
        <v>101.292175161522</v>
      </c>
    </row>
    <row r="25">
      <c r="A25" t="s">
        <v>78</v>
      </c>
      <c r="B25" t="s">
        <v>320</v>
      </c>
      <c r="C25" t="s">
        <v>217</v>
      </c>
      <c r="D25" t="s">
        <v>321</v>
      </c>
      <c r="E25" t="s">
        <v>218</v>
      </c>
      <c r="F25" t="n">
        <v>99.5307548760945</v>
      </c>
      <c r="G25" t="n">
        <v>101.276908470412</v>
      </c>
      <c r="H25" t="n">
        <v>93.486377049611</v>
      </c>
      <c r="I25" t="n">
        <v>95.9793471042673</v>
      </c>
      <c r="J25" t="n">
        <v>98.3668930521347</v>
      </c>
      <c r="K25" t="n">
        <v>100.731481827426</v>
      </c>
      <c r="L25" t="n">
        <v>100.088856743998</v>
      </c>
      <c r="M25" t="n">
        <v>100.311771792425</v>
      </c>
      <c r="N25" t="n">
        <v>103.411292830955</v>
      </c>
      <c r="O25" t="n">
        <v>98.9920068125385</v>
      </c>
      <c r="P25" t="n">
        <v>93.9465426528781</v>
      </c>
      <c r="Q25" t="n">
        <v>94.862200963335</v>
      </c>
      <c r="R25" t="n">
        <v>96.8788953419504</v>
      </c>
      <c r="S25" t="n">
        <v>98.3023536140448</v>
      </c>
      <c r="T25" t="n">
        <v>99.1205658319976</v>
      </c>
      <c r="U25" t="n">
        <v>99.1205658319976</v>
      </c>
      <c r="V25" t="n">
        <v>99.1205658319976</v>
      </c>
      <c r="W25" t="n">
        <v>97.4115905590321</v>
      </c>
      <c r="X25" t="n">
        <v>97.7777995460961</v>
      </c>
      <c r="Y25" t="n">
        <v>98.2357751879982</v>
      </c>
      <c r="Z25" t="n">
        <v>97.942534068034</v>
      </c>
      <c r="AA25" t="n">
        <v>97.7608225020451</v>
      </c>
      <c r="AB25" t="n">
        <v>99.1257205474489</v>
      </c>
      <c r="AC25" t="n">
        <v>99.5104258018374</v>
      </c>
      <c r="AD25" t="n">
        <v>100.389105058366</v>
      </c>
      <c r="AE25" t="n">
        <v>100</v>
      </c>
      <c r="AF25" t="n">
        <v>101.359703337454</v>
      </c>
    </row>
    <row r="26">
      <c r="A26" t="s">
        <v>78</v>
      </c>
      <c r="B26" t="s">
        <v>322</v>
      </c>
      <c r="C26" t="s">
        <v>217</v>
      </c>
      <c r="D26" t="s">
        <v>323</v>
      </c>
      <c r="E26" t="s">
        <v>218</v>
      </c>
      <c r="F26" t="n">
        <v>99.2955793360686</v>
      </c>
      <c r="G26" t="n">
        <v>100.369045058621</v>
      </c>
      <c r="H26" t="n">
        <v>92.4969630932386</v>
      </c>
      <c r="I26" t="n">
        <v>95.1724950835389</v>
      </c>
      <c r="J26" t="n">
        <v>97.8161755025261</v>
      </c>
      <c r="K26" t="n">
        <v>100.14513206211</v>
      </c>
      <c r="L26" t="n">
        <v>99.5530578016077</v>
      </c>
      <c r="M26" t="n">
        <v>99.7671503990305</v>
      </c>
      <c r="N26" t="n">
        <v>102.883036651917</v>
      </c>
      <c r="O26" t="n">
        <v>98.4403600692208</v>
      </c>
      <c r="P26" t="n">
        <v>93.5064531333842</v>
      </c>
      <c r="Q26" t="n">
        <v>94.4971041965984</v>
      </c>
      <c r="R26" t="n">
        <v>96.4865169165268</v>
      </c>
      <c r="S26" t="n">
        <v>97.987279331301</v>
      </c>
      <c r="T26" t="n">
        <v>98.8132257471204</v>
      </c>
      <c r="U26" t="n">
        <v>98.8132257471204</v>
      </c>
      <c r="V26" t="n">
        <v>98.6285281289015</v>
      </c>
      <c r="W26" t="n">
        <v>97.5296030244012</v>
      </c>
      <c r="X26" t="n">
        <v>97.7629274335505</v>
      </c>
      <c r="Y26" t="n">
        <v>98.2857238369385</v>
      </c>
      <c r="Z26" t="n">
        <v>98.0850383365057</v>
      </c>
      <c r="AA26" t="n">
        <v>97.9165073428004</v>
      </c>
      <c r="AB26" t="n">
        <v>99.2632554211398</v>
      </c>
      <c r="AC26" t="n">
        <v>99.6292029065634</v>
      </c>
      <c r="AD26" t="n">
        <v>100.430725053841</v>
      </c>
      <c r="AE26" t="n">
        <v>100</v>
      </c>
      <c r="AF26" t="n">
        <v>101.25</v>
      </c>
    </row>
    <row r="27">
      <c r="A27" t="s">
        <v>78</v>
      </c>
      <c r="B27" t="s">
        <v>324</v>
      </c>
      <c r="C27" t="s">
        <v>217</v>
      </c>
      <c r="D27" t="s">
        <v>325</v>
      </c>
      <c r="E27" t="s">
        <v>218</v>
      </c>
      <c r="F27" t="n">
        <v>98.5688504673323</v>
      </c>
      <c r="G27" t="n">
        <v>99.8831018068967</v>
      </c>
      <c r="H27" t="n">
        <v>92.2795438838803</v>
      </c>
      <c r="I27" t="n">
        <v>95.1044278803256</v>
      </c>
      <c r="J27" t="n">
        <v>97.635724439878</v>
      </c>
      <c r="K27" t="n">
        <v>100.148408524728</v>
      </c>
      <c r="L27" t="n">
        <v>99.4945560207579</v>
      </c>
      <c r="M27" t="n">
        <v>99.7062465654829</v>
      </c>
      <c r="N27" t="n">
        <v>102.859013255301</v>
      </c>
      <c r="O27" t="n">
        <v>98.534045604712</v>
      </c>
      <c r="P27" t="n">
        <v>93.5601773322375</v>
      </c>
      <c r="Q27" t="n">
        <v>94.5581525571147</v>
      </c>
      <c r="R27" t="n">
        <v>96.5700281434362</v>
      </c>
      <c r="S27" t="n">
        <v>98.14282990473</v>
      </c>
      <c r="T27" t="n">
        <v>98.9036270357744</v>
      </c>
      <c r="U27" t="n">
        <v>98.9036270357744</v>
      </c>
      <c r="V27" t="n">
        <v>98.7359937696121</v>
      </c>
      <c r="W27" t="n">
        <v>97.4410954906663</v>
      </c>
      <c r="X27" t="n">
        <v>97.635201258576</v>
      </c>
      <c r="Y27" t="n">
        <v>98.1122462158655</v>
      </c>
      <c r="Z27" t="n">
        <v>97.9880534991366</v>
      </c>
      <c r="AA27" t="n">
        <v>97.8103779714863</v>
      </c>
      <c r="AB27" t="n">
        <v>99.1468135372794</v>
      </c>
      <c r="AC27" t="n">
        <v>99.5119951709342</v>
      </c>
      <c r="AD27" t="n">
        <v>100.344234079174</v>
      </c>
      <c r="AE27" t="n">
        <v>100</v>
      </c>
      <c r="AF27" t="n">
        <v>101.312910284464</v>
      </c>
    </row>
    <row r="28">
      <c r="A28" t="s">
        <v>78</v>
      </c>
      <c r="B28" t="s">
        <v>326</v>
      </c>
      <c r="C28" t="s">
        <v>217</v>
      </c>
      <c r="D28" t="s">
        <v>327</v>
      </c>
      <c r="E28" t="s">
        <v>218</v>
      </c>
      <c r="F28" t="n">
        <v>85.5502457963683</v>
      </c>
      <c r="G28" t="n">
        <v>86.1553162970892</v>
      </c>
      <c r="H28" t="n">
        <v>84.9193218772427</v>
      </c>
      <c r="I28" t="n">
        <v>84.5032809482511</v>
      </c>
      <c r="J28" t="n">
        <v>87.1481000916577</v>
      </c>
      <c r="K28" t="n">
        <v>91.4704241097213</v>
      </c>
      <c r="L28" t="n">
        <v>93.1399873687799</v>
      </c>
      <c r="M28" t="n">
        <v>93.5679241600535</v>
      </c>
      <c r="N28" t="n">
        <v>94.5074565400664</v>
      </c>
      <c r="O28" t="n">
        <v>92.274415680596</v>
      </c>
      <c r="P28" t="n">
        <v>91.8555773561732</v>
      </c>
      <c r="Q28" t="n">
        <v>92.521509726447</v>
      </c>
      <c r="R28" t="n">
        <v>92.9160451867113</v>
      </c>
      <c r="S28" t="n">
        <v>95.673961320259</v>
      </c>
      <c r="T28" t="n">
        <v>96.4878856128243</v>
      </c>
      <c r="U28" t="n">
        <v>98.995858229145</v>
      </c>
      <c r="V28" t="n">
        <v>98.659577550551</v>
      </c>
      <c r="W28" t="n">
        <v>98.7108292791487</v>
      </c>
      <c r="X28" t="n">
        <v>99.143455265763</v>
      </c>
      <c r="Y28" t="n">
        <v>99.6257375359925</v>
      </c>
      <c r="Z28" t="n">
        <v>99.582628173147</v>
      </c>
      <c r="AA28" t="n">
        <v>99.4945019535247</v>
      </c>
      <c r="AB28" t="n">
        <v>100.188386182919</v>
      </c>
      <c r="AC28" t="n">
        <v>101.34343422826</v>
      </c>
      <c r="AD28" t="n">
        <v>101.740911418331</v>
      </c>
      <c r="AE28" t="n">
        <v>100</v>
      </c>
      <c r="AF28" t="n">
        <v>100.348115634933</v>
      </c>
    </row>
    <row r="29">
      <c r="A29" t="s">
        <v>78</v>
      </c>
      <c r="B29" t="s">
        <v>328</v>
      </c>
      <c r="C29" t="s">
        <v>217</v>
      </c>
      <c r="D29" t="s">
        <v>329</v>
      </c>
      <c r="E29" t="s">
        <v>218</v>
      </c>
      <c r="F29" t="n">
        <v>94.5746627812321</v>
      </c>
      <c r="G29" t="n">
        <v>95.7887969655858</v>
      </c>
      <c r="H29" t="n">
        <v>88.5459805816064</v>
      </c>
      <c r="I29" t="n">
        <v>90.8287723467247</v>
      </c>
      <c r="J29" t="n">
        <v>93.1994493031838</v>
      </c>
      <c r="K29" t="n">
        <v>95.5776896885092</v>
      </c>
      <c r="L29" t="n">
        <v>95.0616512559449</v>
      </c>
      <c r="M29" t="n">
        <v>95.2496439743153</v>
      </c>
      <c r="N29" t="n">
        <v>97.9667011261467</v>
      </c>
      <c r="O29" t="n">
        <v>93.9303048565715</v>
      </c>
      <c r="P29" t="n">
        <v>90.7595389137514</v>
      </c>
      <c r="Q29" t="n">
        <v>91.5316206469573</v>
      </c>
      <c r="R29" t="n">
        <v>92.8255231377781</v>
      </c>
      <c r="S29" t="n">
        <v>94.9970956457594</v>
      </c>
      <c r="T29" t="n">
        <v>95.7824778168063</v>
      </c>
      <c r="U29" t="n">
        <v>97.4839201465059</v>
      </c>
      <c r="V29" t="n">
        <v>97.174643750102</v>
      </c>
      <c r="W29" t="n">
        <v>96.9799049850718</v>
      </c>
      <c r="X29" t="n">
        <v>97.4139274340353</v>
      </c>
      <c r="Y29" t="n">
        <v>98.2849908686168</v>
      </c>
      <c r="Z29" t="n">
        <v>98.8387091270316</v>
      </c>
      <c r="AA29" t="n">
        <v>99.1617114444402</v>
      </c>
      <c r="AB29" t="n">
        <v>99.5866468470181</v>
      </c>
      <c r="AC29" t="n">
        <v>101.091663180891</v>
      </c>
      <c r="AD29" t="n">
        <v>101.590306702007</v>
      </c>
      <c r="AE29" t="n">
        <v>100</v>
      </c>
      <c r="AF29" t="n">
        <v>100.412182276162</v>
      </c>
    </row>
    <row r="30">
      <c r="A30" t="s">
        <v>78</v>
      </c>
      <c r="B30" t="s">
        <v>330</v>
      </c>
      <c r="C30" t="s">
        <v>217</v>
      </c>
      <c r="D30" t="s">
        <v>331</v>
      </c>
      <c r="E30" t="s">
        <v>218</v>
      </c>
      <c r="F30" t="n">
        <v>76.1082885385915</v>
      </c>
      <c r="G30" t="n">
        <v>76.4742972812099</v>
      </c>
      <c r="H30" t="n">
        <v>79.1422476905843</v>
      </c>
      <c r="I30" t="n">
        <v>78.270073955822</v>
      </c>
      <c r="J30" t="n">
        <v>81.0163923402368</v>
      </c>
      <c r="K30" t="n">
        <v>85.7965839104503</v>
      </c>
      <c r="L30" t="n">
        <v>89.0906673389896</v>
      </c>
      <c r="M30" t="n">
        <v>89.5777867854829</v>
      </c>
      <c r="N30" t="n">
        <v>90.087740861879</v>
      </c>
      <c r="O30" t="n">
        <v>90.2381377581425</v>
      </c>
      <c r="P30" t="n">
        <v>90.8794384844717</v>
      </c>
      <c r="Q30" t="n">
        <v>91.5168188744683</v>
      </c>
      <c r="R30" t="n">
        <v>91.7528868746604</v>
      </c>
      <c r="S30" t="n">
        <v>94.6002461359455</v>
      </c>
      <c r="T30" t="n">
        <v>95.4357001311533</v>
      </c>
      <c r="U30" t="n">
        <v>98.3958920381025</v>
      </c>
      <c r="V30" t="n">
        <v>97.9952980756064</v>
      </c>
      <c r="W30" t="n">
        <v>98.7782165688869</v>
      </c>
      <c r="X30" t="n">
        <v>99.5621706686399</v>
      </c>
      <c r="Y30" t="n">
        <v>99.9113074448011</v>
      </c>
      <c r="Z30" t="n">
        <v>100.000170155247</v>
      </c>
      <c r="AA30" t="n">
        <v>100.088822788364</v>
      </c>
      <c r="AB30" t="n">
        <v>100.219316690304</v>
      </c>
      <c r="AC30" t="n">
        <v>102.210016959758</v>
      </c>
      <c r="AD30" t="n">
        <v>102.489626556017</v>
      </c>
      <c r="AE30" t="n">
        <v>100</v>
      </c>
      <c r="AF30" t="n">
        <v>98.6937590711176</v>
      </c>
    </row>
    <row r="31">
      <c r="A31" t="s">
        <v>78</v>
      </c>
      <c r="B31" t="s">
        <v>332</v>
      </c>
      <c r="C31" t="s">
        <v>217</v>
      </c>
      <c r="D31" t="s">
        <v>333</v>
      </c>
      <c r="E31" t="s">
        <v>218</v>
      </c>
      <c r="F31" t="n">
        <v>87.9494913990822</v>
      </c>
      <c r="G31" t="n">
        <v>87.9494913990821</v>
      </c>
      <c r="H31" t="n">
        <v>82.2136550034898</v>
      </c>
      <c r="I31" t="n">
        <v>83.2041809673873</v>
      </c>
      <c r="J31" t="n">
        <v>85.1619264019141</v>
      </c>
      <c r="K31" t="n">
        <v>87.8232366019739</v>
      </c>
      <c r="L31" t="n">
        <v>90.8209956263143</v>
      </c>
      <c r="M31" t="n">
        <v>91.0006612952091</v>
      </c>
      <c r="N31" t="n">
        <v>94.2219236419422</v>
      </c>
      <c r="O31" t="n">
        <v>94.2219236419422</v>
      </c>
      <c r="P31" t="n">
        <v>94.8248931768687</v>
      </c>
      <c r="Q31" t="n">
        <v>96.886303898105</v>
      </c>
      <c r="R31" t="n">
        <v>98.9773752052584</v>
      </c>
      <c r="S31" t="n">
        <v>99.8306284397864</v>
      </c>
      <c r="T31" t="n">
        <v>100.454569867535</v>
      </c>
      <c r="U31" t="n">
        <v>100.454569867535</v>
      </c>
      <c r="V31" t="n">
        <v>100.454569867535</v>
      </c>
      <c r="W31" t="n">
        <v>98.222246092701</v>
      </c>
      <c r="X31" t="n">
        <v>98.222246092701</v>
      </c>
      <c r="Y31" t="n">
        <v>98.222246092701</v>
      </c>
      <c r="Z31" t="n">
        <v>98.222246092701</v>
      </c>
      <c r="AA31" t="n">
        <v>98.222246092701</v>
      </c>
      <c r="AB31" t="n">
        <v>99.7690531177829</v>
      </c>
      <c r="AC31" t="n">
        <v>100</v>
      </c>
      <c r="AD31" t="n">
        <v>100</v>
      </c>
      <c r="AE31" t="n">
        <v>100</v>
      </c>
      <c r="AF31" t="n">
        <v>100</v>
      </c>
    </row>
    <row r="32">
      <c r="A32" t="s">
        <v>78</v>
      </c>
      <c r="B32" t="s">
        <v>334</v>
      </c>
      <c r="C32" t="s">
        <v>217</v>
      </c>
      <c r="D32" t="s">
        <v>335</v>
      </c>
      <c r="E32" t="s">
        <v>218</v>
      </c>
      <c r="F32" t="n">
        <v>103.348522909136</v>
      </c>
      <c r="G32" t="n">
        <v>103.348522909136</v>
      </c>
      <c r="H32" t="n">
        <v>93.5058064415993</v>
      </c>
      <c r="I32" t="n">
        <v>96.8452995287993</v>
      </c>
      <c r="J32" t="n">
        <v>99.393860042715</v>
      </c>
      <c r="K32" t="n">
        <v>101.942420556631</v>
      </c>
      <c r="L32" t="n">
        <v>101.139724331775</v>
      </c>
      <c r="M32" t="n">
        <v>101.139724331775</v>
      </c>
      <c r="N32" t="n">
        <v>103.700223681947</v>
      </c>
      <c r="O32" t="n">
        <v>99.4890470857258</v>
      </c>
      <c r="P32" t="n">
        <v>94.5760077234677</v>
      </c>
      <c r="Q32" t="n">
        <v>95.1784026771204</v>
      </c>
      <c r="R32" t="n">
        <v>97.284119550508</v>
      </c>
      <c r="S32" t="n">
        <v>98.7947425248948</v>
      </c>
      <c r="T32" t="n">
        <v>99.5675827532512</v>
      </c>
      <c r="U32" t="n">
        <v>99.5675827532512</v>
      </c>
      <c r="V32" t="n">
        <v>99.5675827532512</v>
      </c>
      <c r="W32" t="n">
        <v>97.9353272982798</v>
      </c>
      <c r="X32" t="n">
        <v>98.2967122698602</v>
      </c>
      <c r="Y32" t="n">
        <v>98.703737993545</v>
      </c>
      <c r="Z32" t="n">
        <v>98.5493928207638</v>
      </c>
      <c r="AA32" t="n">
        <v>98.4739049672052</v>
      </c>
      <c r="AB32" t="n">
        <v>99.5632180752495</v>
      </c>
      <c r="AC32" t="n">
        <v>99.9239543726236</v>
      </c>
      <c r="AD32" t="n">
        <v>100.689655172414</v>
      </c>
      <c r="AE32" t="n">
        <v>100</v>
      </c>
      <c r="AF32" t="n">
        <v>100.93085106383</v>
      </c>
    </row>
    <row r="33">
      <c r="A33" t="s">
        <v>78</v>
      </c>
      <c r="B33" t="s">
        <v>336</v>
      </c>
      <c r="C33" t="s">
        <v>217</v>
      </c>
      <c r="D33" t="s">
        <v>337</v>
      </c>
      <c r="E33" t="s">
        <v>218</v>
      </c>
      <c r="F33" t="n">
        <v>108.077956989247</v>
      </c>
      <c r="G33" t="n">
        <v>108.077956989247</v>
      </c>
      <c r="H33" t="n">
        <v>108.077956989247</v>
      </c>
      <c r="I33" t="n">
        <v>108.077956989247</v>
      </c>
      <c r="J33" t="n">
        <v>108.077956989247</v>
      </c>
      <c r="K33" t="n">
        <v>108.077956989247</v>
      </c>
      <c r="L33" t="n">
        <v>103.921112489661</v>
      </c>
      <c r="M33" t="n">
        <v>103.921112489661</v>
      </c>
      <c r="N33" t="n">
        <v>113.368486352357</v>
      </c>
      <c r="O33" t="n">
        <v>105.8105872622</v>
      </c>
      <c r="P33" t="n">
        <v>99.6588089330025</v>
      </c>
      <c r="Q33" t="n">
        <v>99.6588089330025</v>
      </c>
      <c r="R33" t="n">
        <v>101.612903225806</v>
      </c>
      <c r="S33" t="n">
        <v>103.225806451613</v>
      </c>
      <c r="T33" t="n">
        <v>103.225806451613</v>
      </c>
      <c r="U33" t="n">
        <v>103.225806451613</v>
      </c>
      <c r="V33" t="n">
        <v>103.225806451613</v>
      </c>
      <c r="W33" t="n">
        <v>103.225806451613</v>
      </c>
      <c r="X33" t="n">
        <v>103.225806451613</v>
      </c>
      <c r="Y33" t="n">
        <v>103.225806451613</v>
      </c>
      <c r="Z33" t="n">
        <v>100</v>
      </c>
      <c r="AA33" t="n">
        <v>100</v>
      </c>
      <c r="AB33" t="n">
        <v>100</v>
      </c>
      <c r="AC33" t="n">
        <v>100</v>
      </c>
      <c r="AD33" t="n">
        <v>100</v>
      </c>
      <c r="AE33" t="n">
        <v>100</v>
      </c>
      <c r="AF33" t="n">
        <v>100</v>
      </c>
    </row>
    <row r="34">
      <c r="A34" t="s">
        <v>78</v>
      </c>
      <c r="B34" t="s">
        <v>338</v>
      </c>
      <c r="C34" t="s">
        <v>217</v>
      </c>
      <c r="D34" t="s">
        <v>339</v>
      </c>
      <c r="E34" t="s">
        <v>218</v>
      </c>
      <c r="F34" t="n">
        <v>97.9872547224129</v>
      </c>
      <c r="G34" t="n">
        <v>99.8187921938599</v>
      </c>
      <c r="H34" t="n">
        <v>92.1033299953007</v>
      </c>
      <c r="I34" t="n">
        <v>94.7161904206993</v>
      </c>
      <c r="J34" t="n">
        <v>97.2352380382711</v>
      </c>
      <c r="K34" t="n">
        <v>99.7284492700216</v>
      </c>
      <c r="L34" t="n">
        <v>98.9508395291248</v>
      </c>
      <c r="M34" t="n">
        <v>98.9508395291248</v>
      </c>
      <c r="N34" t="n">
        <v>101.861158338805</v>
      </c>
      <c r="O34" t="n">
        <v>97.183860251819</v>
      </c>
      <c r="P34" t="n">
        <v>92.3964779734043</v>
      </c>
      <c r="Q34" t="n">
        <v>93.4007875165934</v>
      </c>
      <c r="R34" t="n">
        <v>95.3629889350093</v>
      </c>
      <c r="S34" t="n">
        <v>97.0024672548089</v>
      </c>
      <c r="T34" t="n">
        <v>97.8008414708978</v>
      </c>
      <c r="U34" t="n">
        <v>97.8008414708978</v>
      </c>
      <c r="V34" t="n">
        <v>97.5733976535236</v>
      </c>
      <c r="W34" t="n">
        <v>96.5709312392751</v>
      </c>
      <c r="X34" t="n">
        <v>96.7746673811301</v>
      </c>
      <c r="Y34" t="n">
        <v>97.2983398236687</v>
      </c>
      <c r="Z34" t="n">
        <v>97.2983398236687</v>
      </c>
      <c r="AA34" t="n">
        <v>96.9197470617089</v>
      </c>
      <c r="AB34" t="n">
        <v>98.3398166157266</v>
      </c>
      <c r="AC34" t="n">
        <v>99.1803278688525</v>
      </c>
      <c r="AD34" t="n">
        <v>100</v>
      </c>
      <c r="AE34" t="n">
        <v>100</v>
      </c>
      <c r="AF34" t="n">
        <v>101.398601398601</v>
      </c>
    </row>
    <row r="35">
      <c r="A35" t="s">
        <v>78</v>
      </c>
      <c r="B35" t="s">
        <v>340</v>
      </c>
      <c r="C35" t="s">
        <v>217</v>
      </c>
      <c r="D35" t="s">
        <v>341</v>
      </c>
      <c r="E35" t="s">
        <v>218</v>
      </c>
      <c r="F35" t="n">
        <v>99.9450461547598</v>
      </c>
      <c r="G35" t="n">
        <v>101.295654886581</v>
      </c>
      <c r="H35" t="n">
        <v>93.503681433767</v>
      </c>
      <c r="I35" t="n">
        <v>95.3926446950552</v>
      </c>
      <c r="J35" t="n">
        <v>97.5772090773847</v>
      </c>
      <c r="K35" t="n">
        <v>100.46838564264</v>
      </c>
      <c r="L35" t="n">
        <v>100.042672144155</v>
      </c>
      <c r="M35" t="n">
        <v>100.042672144155</v>
      </c>
      <c r="N35" t="n">
        <v>102.901034205416</v>
      </c>
      <c r="O35" t="n">
        <v>98.6576925886981</v>
      </c>
      <c r="P35" t="n">
        <v>93.7520614655032</v>
      </c>
      <c r="Q35" t="n">
        <v>95.1944008726648</v>
      </c>
      <c r="R35" t="n">
        <v>96.301312510719</v>
      </c>
      <c r="S35" t="n">
        <v>98.0683090705487</v>
      </c>
      <c r="T35" t="n">
        <v>98.0683090705487</v>
      </c>
      <c r="U35" t="n">
        <v>98.0683090705487</v>
      </c>
      <c r="V35" t="n">
        <v>98.0683090705487</v>
      </c>
      <c r="W35" t="n">
        <v>98.0683090705487</v>
      </c>
      <c r="X35" t="n">
        <v>98.0683090705487</v>
      </c>
      <c r="Y35" t="n">
        <v>99.1228070175439</v>
      </c>
      <c r="Z35" t="n">
        <v>99.1228070175439</v>
      </c>
      <c r="AA35" t="n">
        <v>99.1228070175439</v>
      </c>
      <c r="AB35" t="n">
        <v>100</v>
      </c>
      <c r="AC35" t="n">
        <v>100</v>
      </c>
      <c r="AD35" t="n">
        <v>100</v>
      </c>
      <c r="AE35" t="n">
        <v>100</v>
      </c>
      <c r="AF35" t="n">
        <v>101.060070671378</v>
      </c>
    </row>
    <row r="36">
      <c r="A36" t="s">
        <v>78</v>
      </c>
      <c r="B36" t="s">
        <v>342</v>
      </c>
      <c r="C36" t="s">
        <v>217</v>
      </c>
      <c r="D36" t="s">
        <v>343</v>
      </c>
      <c r="E36" t="s">
        <v>218</v>
      </c>
      <c r="F36" t="n">
        <v>97.3467145063704</v>
      </c>
      <c r="G36" t="n">
        <v>99.3747710585865</v>
      </c>
      <c r="H36" t="n">
        <v>91.8949495810585</v>
      </c>
      <c r="I36" t="n">
        <v>94.7666667554665</v>
      </c>
      <c r="J36" t="n">
        <v>96.9964706791246</v>
      </c>
      <c r="K36" t="n">
        <v>99.2009359218319</v>
      </c>
      <c r="L36" t="n">
        <v>98.4872601238331</v>
      </c>
      <c r="M36" t="n">
        <v>98.4872601238331</v>
      </c>
      <c r="N36" t="n">
        <v>101.289743135487</v>
      </c>
      <c r="O36" t="n">
        <v>97.0943099878632</v>
      </c>
      <c r="P36" t="n">
        <v>93.2105375883487</v>
      </c>
      <c r="Q36" t="n">
        <v>96.5394853593611</v>
      </c>
      <c r="R36" t="n">
        <v>98.5507246376811</v>
      </c>
      <c r="S36" t="n">
        <v>100</v>
      </c>
      <c r="T36" t="n">
        <v>100</v>
      </c>
      <c r="U36" t="n">
        <v>100</v>
      </c>
      <c r="V36" t="n">
        <v>100</v>
      </c>
      <c r="W36" t="n">
        <v>100</v>
      </c>
      <c r="X36" t="n">
        <v>100</v>
      </c>
      <c r="Y36" t="n">
        <v>100</v>
      </c>
      <c r="Z36" t="n">
        <v>100</v>
      </c>
      <c r="AA36" t="n">
        <v>100</v>
      </c>
      <c r="AB36" t="n">
        <v>100</v>
      </c>
      <c r="AC36" t="n">
        <v>100</v>
      </c>
      <c r="AD36" t="n">
        <v>100</v>
      </c>
      <c r="AE36" t="n">
        <v>100</v>
      </c>
      <c r="AF36" t="n">
        <v>101.960784313726</v>
      </c>
    </row>
    <row r="37">
      <c r="A37" t="s">
        <v>78</v>
      </c>
      <c r="B37" t="s">
        <v>344</v>
      </c>
      <c r="C37" t="s">
        <v>217</v>
      </c>
      <c r="D37" t="s">
        <v>345</v>
      </c>
      <c r="E37" t="s">
        <v>218</v>
      </c>
      <c r="F37" t="n">
        <v>97.8768808664612</v>
      </c>
      <c r="G37" t="n">
        <v>97.8768808664612</v>
      </c>
      <c r="H37" t="n">
        <v>92.1194172860811</v>
      </c>
      <c r="I37" t="n">
        <v>92.1194172860811</v>
      </c>
      <c r="J37" t="n">
        <v>92.1194172860811</v>
      </c>
      <c r="K37" t="n">
        <v>97.8768808664612</v>
      </c>
      <c r="L37" t="n">
        <v>97.483801023624</v>
      </c>
      <c r="M37" t="n">
        <v>97.483801023624</v>
      </c>
      <c r="N37" t="n">
        <v>100.14245014245</v>
      </c>
      <c r="O37" t="n">
        <v>96.0826210826211</v>
      </c>
      <c r="P37" t="n">
        <v>91.3461538461538</v>
      </c>
      <c r="Q37" t="n">
        <v>91.3461538461538</v>
      </c>
      <c r="R37" t="n">
        <v>96.1538461538461</v>
      </c>
      <c r="S37" t="n">
        <v>100</v>
      </c>
      <c r="T37" t="n">
        <v>100</v>
      </c>
      <c r="U37" t="n">
        <v>100</v>
      </c>
      <c r="V37" t="n">
        <v>100</v>
      </c>
      <c r="W37" t="n">
        <v>100</v>
      </c>
      <c r="X37" t="n">
        <v>100</v>
      </c>
      <c r="Y37" t="n">
        <v>100</v>
      </c>
      <c r="Z37" t="n">
        <v>100</v>
      </c>
      <c r="AA37" t="n">
        <v>100</v>
      </c>
      <c r="AB37" t="n">
        <v>100</v>
      </c>
      <c r="AC37" t="n">
        <v>100</v>
      </c>
      <c r="AD37" t="n">
        <v>100</v>
      </c>
      <c r="AE37" t="n">
        <v>100</v>
      </c>
      <c r="AF37" t="n">
        <v>100.787401574803</v>
      </c>
    </row>
    <row r="38">
      <c r="A38" t="s">
        <v>78</v>
      </c>
      <c r="B38" t="s">
        <v>346</v>
      </c>
      <c r="C38" t="s">
        <v>217</v>
      </c>
      <c r="D38" t="s">
        <v>347</v>
      </c>
      <c r="E38" t="s">
        <v>218</v>
      </c>
      <c r="F38" t="n">
        <v>113.195340329258</v>
      </c>
      <c r="G38" t="n">
        <v>113.195340329258</v>
      </c>
      <c r="H38" t="n">
        <v>102.90485484478</v>
      </c>
      <c r="I38" t="n">
        <v>107.582348246815</v>
      </c>
      <c r="J38" t="n">
        <v>111.168426521709</v>
      </c>
      <c r="K38" t="n">
        <v>114.754504796603</v>
      </c>
      <c r="L38" t="n">
        <v>114.754504796603</v>
      </c>
      <c r="M38" t="n">
        <v>114.754504796603</v>
      </c>
      <c r="N38" t="n">
        <v>118.340583071497</v>
      </c>
      <c r="O38" t="n">
        <v>113.340276744532</v>
      </c>
      <c r="P38" t="n">
        <v>105.244542691351</v>
      </c>
      <c r="Q38" t="n">
        <v>105.244542691351</v>
      </c>
      <c r="R38" t="n">
        <v>105.244542691351</v>
      </c>
      <c r="S38" t="n">
        <v>105.244542691351</v>
      </c>
      <c r="T38" t="n">
        <v>105.244542691351</v>
      </c>
      <c r="U38" t="n">
        <v>105.244542691351</v>
      </c>
      <c r="V38" t="n">
        <v>105.244542691351</v>
      </c>
      <c r="W38" t="n">
        <v>96.4741641337386</v>
      </c>
      <c r="X38" t="n">
        <v>96.4741641337386</v>
      </c>
      <c r="Y38" t="n">
        <v>98.5714285714286</v>
      </c>
      <c r="Z38" t="n">
        <v>98.5714285714286</v>
      </c>
      <c r="AA38" t="n">
        <v>98.5714285714286</v>
      </c>
      <c r="AB38" t="n">
        <v>100</v>
      </c>
      <c r="AC38" t="n">
        <v>100</v>
      </c>
      <c r="AD38" t="n">
        <v>100</v>
      </c>
      <c r="AE38" t="n">
        <v>100</v>
      </c>
      <c r="AF38" t="n">
        <v>100.952380952381</v>
      </c>
    </row>
    <row r="39">
      <c r="A39" t="s">
        <v>78</v>
      </c>
      <c r="B39" t="s">
        <v>348</v>
      </c>
      <c r="C39" t="s">
        <v>217</v>
      </c>
      <c r="D39" t="s">
        <v>349</v>
      </c>
      <c r="E39" t="s">
        <v>218</v>
      </c>
      <c r="F39" t="n">
        <v>91.0822857717979</v>
      </c>
      <c r="G39" t="n">
        <v>95.0423851531804</v>
      </c>
      <c r="H39" t="n">
        <v>88.411521072726</v>
      </c>
      <c r="I39" t="n">
        <v>91.0906580749298</v>
      </c>
      <c r="J39" t="n">
        <v>93.312381442611</v>
      </c>
      <c r="K39" t="n">
        <v>95.4824368249974</v>
      </c>
      <c r="L39" t="n">
        <v>95.4824368249974</v>
      </c>
      <c r="M39" t="n">
        <v>95.4824368249974</v>
      </c>
      <c r="N39" t="n">
        <v>99.379679144385</v>
      </c>
      <c r="O39" t="n">
        <v>95.5573837926779</v>
      </c>
      <c r="P39" t="n">
        <v>91.4027149321267</v>
      </c>
      <c r="Q39" t="n">
        <v>91.4027149321267</v>
      </c>
      <c r="R39" t="n">
        <v>100.542986425339</v>
      </c>
      <c r="S39" t="n">
        <v>100.542986425339</v>
      </c>
      <c r="T39" t="n">
        <v>101.538461538462</v>
      </c>
      <c r="U39" t="n">
        <v>101.538461538462</v>
      </c>
      <c r="V39" t="n">
        <v>101.538461538462</v>
      </c>
      <c r="W39" t="n">
        <v>100</v>
      </c>
      <c r="X39" t="n">
        <v>100</v>
      </c>
      <c r="Y39" t="n">
        <v>100</v>
      </c>
      <c r="Z39" t="n">
        <v>100</v>
      </c>
      <c r="AA39" t="n">
        <v>100</v>
      </c>
      <c r="AB39" t="n">
        <v>100</v>
      </c>
      <c r="AC39" t="n">
        <v>100</v>
      </c>
      <c r="AD39" t="n">
        <v>100</v>
      </c>
      <c r="AE39" t="n">
        <v>100</v>
      </c>
      <c r="AF39" t="n">
        <v>100</v>
      </c>
    </row>
    <row r="40">
      <c r="A40" t="s">
        <v>78</v>
      </c>
      <c r="B40" t="s">
        <v>350</v>
      </c>
      <c r="C40" t="s">
        <v>217</v>
      </c>
      <c r="D40" t="s">
        <v>351</v>
      </c>
      <c r="E40" t="s">
        <v>218</v>
      </c>
      <c r="F40" t="n">
        <v>70.3705541272185</v>
      </c>
      <c r="G40" t="n">
        <v>70.3705541272185</v>
      </c>
      <c r="H40" t="n">
        <v>61.5742348613162</v>
      </c>
      <c r="I40" t="n">
        <v>73.8890818335795</v>
      </c>
      <c r="J40" t="n">
        <v>84.4446649526622</v>
      </c>
      <c r="K40" t="n">
        <v>84.4446649526622</v>
      </c>
      <c r="L40" t="n">
        <v>83.7934207499425</v>
      </c>
      <c r="M40" t="n">
        <v>84.3171296296296</v>
      </c>
      <c r="N40" t="n">
        <v>87.0370370370371</v>
      </c>
      <c r="O40" t="n">
        <v>83.3333333333334</v>
      </c>
      <c r="P40" t="n">
        <v>83.3333333333333</v>
      </c>
      <c r="Q40" t="n">
        <v>83.3333333333333</v>
      </c>
      <c r="R40" t="n">
        <v>83.3333333333333</v>
      </c>
      <c r="S40" t="n">
        <v>83.3333333333333</v>
      </c>
      <c r="T40" t="n">
        <v>83.3333333333333</v>
      </c>
      <c r="U40" t="n">
        <v>83.3333333333333</v>
      </c>
      <c r="V40" t="n">
        <v>83.3333333333333</v>
      </c>
      <c r="W40" t="n">
        <v>83.3333333333333</v>
      </c>
      <c r="X40" t="n">
        <v>83.3333333333333</v>
      </c>
      <c r="Y40" t="n">
        <v>83.3333333333333</v>
      </c>
      <c r="Z40" t="n">
        <v>83.3333333333333</v>
      </c>
      <c r="AA40" t="n">
        <v>83.3333333333333</v>
      </c>
      <c r="AB40" t="n">
        <v>100</v>
      </c>
      <c r="AC40" t="n">
        <v>100</v>
      </c>
      <c r="AD40" t="n">
        <v>100</v>
      </c>
      <c r="AE40" t="n">
        <v>100</v>
      </c>
      <c r="AF40" t="n">
        <v>100</v>
      </c>
    </row>
    <row r="41">
      <c r="A41" t="s">
        <v>78</v>
      </c>
      <c r="B41" t="s">
        <v>352</v>
      </c>
      <c r="C41" t="s">
        <v>217</v>
      </c>
      <c r="D41" t="s">
        <v>353</v>
      </c>
      <c r="E41" t="s">
        <v>218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78</v>
      </c>
      <c r="B42" t="s">
        <v>354</v>
      </c>
      <c r="C42" t="s">
        <v>217</v>
      </c>
      <c r="D42" t="s">
        <v>355</v>
      </c>
      <c r="E42" t="s">
        <v>218</v>
      </c>
      <c r="F42" t="n">
        <v>97.3347073548715</v>
      </c>
      <c r="G42" t="n">
        <v>98.5987944633763</v>
      </c>
      <c r="H42" t="n">
        <v>90.9129196165652</v>
      </c>
      <c r="I42" t="n">
        <v>93.6586118197501</v>
      </c>
      <c r="J42" t="n">
        <v>95.9541660310184</v>
      </c>
      <c r="K42" t="n">
        <v>98.238789031757</v>
      </c>
      <c r="L42" t="n">
        <v>97.660346701835</v>
      </c>
      <c r="M42" t="n">
        <v>97.9097984175485</v>
      </c>
      <c r="N42" t="n">
        <v>100.949688665959</v>
      </c>
      <c r="O42" t="n">
        <v>96.6478553421253</v>
      </c>
      <c r="P42" t="n">
        <v>92.1025354126689</v>
      </c>
      <c r="Q42" t="n">
        <v>92.8658160928844</v>
      </c>
      <c r="R42" t="n">
        <v>94.7855228855022</v>
      </c>
      <c r="S42" t="n">
        <v>96.3565536515602</v>
      </c>
      <c r="T42" t="n">
        <v>97.2570821903598</v>
      </c>
      <c r="U42" t="n">
        <v>97.8291826738325</v>
      </c>
      <c r="V42" t="n">
        <v>97.8291826738325</v>
      </c>
      <c r="W42" t="n">
        <v>97.1769881226736</v>
      </c>
      <c r="X42" t="n">
        <v>97.1769881226737</v>
      </c>
      <c r="Y42" t="n">
        <v>97.1769881226737</v>
      </c>
      <c r="Z42" t="n">
        <v>97.1769881226737</v>
      </c>
      <c r="AA42" t="n">
        <v>97.1769881226737</v>
      </c>
      <c r="AB42" t="n">
        <v>98.7443588988458</v>
      </c>
      <c r="AC42" t="n">
        <v>99.794830802025</v>
      </c>
      <c r="AD42" t="n">
        <v>100.539568345324</v>
      </c>
      <c r="AE42" t="n">
        <v>100</v>
      </c>
      <c r="AF42" t="n">
        <v>100.689655172414</v>
      </c>
    </row>
    <row r="43">
      <c r="A43" t="s">
        <v>78</v>
      </c>
      <c r="B43" t="s">
        <v>356</v>
      </c>
      <c r="C43" t="s">
        <v>217</v>
      </c>
      <c r="D43" t="s">
        <v>357</v>
      </c>
      <c r="E43" t="s">
        <v>218</v>
      </c>
      <c r="F43" t="n">
        <v>97.2838634921816</v>
      </c>
      <c r="G43" t="n">
        <v>98.3579755496662</v>
      </c>
      <c r="H43" t="n">
        <v>92.3176599109608</v>
      </c>
      <c r="I43" t="n">
        <v>93.4299208737435</v>
      </c>
      <c r="J43" t="n">
        <v>95.9275524218534</v>
      </c>
      <c r="K43" t="n">
        <v>99.0793422655369</v>
      </c>
      <c r="L43" t="n">
        <v>98.5566022292333</v>
      </c>
      <c r="M43" t="n">
        <v>98.9116332170908</v>
      </c>
      <c r="N43" t="n">
        <v>101.859000065479</v>
      </c>
      <c r="O43" t="n">
        <v>97.5470775387454</v>
      </c>
      <c r="P43" t="n">
        <v>92.9366856898246</v>
      </c>
      <c r="Q43" t="n">
        <v>93.8610881630702</v>
      </c>
      <c r="R43" t="n">
        <v>95.5434923930356</v>
      </c>
      <c r="S43" t="n">
        <v>97.0978566722656</v>
      </c>
      <c r="T43" t="n">
        <v>97.9075525696904</v>
      </c>
      <c r="U43" t="n">
        <v>99.7927674392457</v>
      </c>
      <c r="V43" t="n">
        <v>99.4933346946108</v>
      </c>
      <c r="W43" t="n">
        <v>99.0364192654736</v>
      </c>
      <c r="X43" t="n">
        <v>99.0364192654736</v>
      </c>
      <c r="Y43" t="n">
        <v>99.4448168706921</v>
      </c>
      <c r="Z43" t="n">
        <v>100.181445143808</v>
      </c>
      <c r="AA43" t="n">
        <v>100.181445143808</v>
      </c>
      <c r="AB43" t="n">
        <v>98.9597202030302</v>
      </c>
      <c r="AC43" t="n">
        <v>100.40438765125</v>
      </c>
      <c r="AD43" t="n">
        <v>101.081081081081</v>
      </c>
      <c r="AE43" t="n">
        <v>100</v>
      </c>
      <c r="AF43" t="n">
        <v>100.974930362117</v>
      </c>
    </row>
    <row r="44">
      <c r="A44" t="s">
        <v>78</v>
      </c>
      <c r="B44" t="s">
        <v>358</v>
      </c>
      <c r="C44" t="s">
        <v>217</v>
      </c>
      <c r="D44" t="s">
        <v>359</v>
      </c>
      <c r="E44" t="s">
        <v>218</v>
      </c>
      <c r="F44" t="n">
        <v>92.8102689622963</v>
      </c>
      <c r="G44" t="n">
        <v>93.7176452668572</v>
      </c>
      <c r="H44" t="n">
        <v>89.1830190661394</v>
      </c>
      <c r="I44" t="n">
        <v>89.6024187795866</v>
      </c>
      <c r="J44" t="n">
        <v>92.1525362097984</v>
      </c>
      <c r="K44" t="n">
        <v>95.7368259334465</v>
      </c>
      <c r="L44" t="n">
        <v>96.145560039306</v>
      </c>
      <c r="M44" t="n">
        <v>96.5011165047053</v>
      </c>
      <c r="N44" t="n">
        <v>98.1690370368853</v>
      </c>
      <c r="O44" t="n">
        <v>94.8810574254286</v>
      </c>
      <c r="P44" t="n">
        <v>92.0862441919775</v>
      </c>
      <c r="Q44" t="n">
        <v>92.8577098092517</v>
      </c>
      <c r="R44" t="n">
        <v>93.8002633210594</v>
      </c>
      <c r="S44" t="n">
        <v>96.0075026190439</v>
      </c>
      <c r="T44" t="n">
        <v>96.8108772996401</v>
      </c>
      <c r="U44" t="n">
        <v>98.692124458469</v>
      </c>
      <c r="V44" t="n">
        <v>98.4196713704869</v>
      </c>
      <c r="W44" t="n">
        <v>97.8465118866321</v>
      </c>
      <c r="X44" t="n">
        <v>98.1823694789203</v>
      </c>
      <c r="Y44" t="n">
        <v>98.6829414878916</v>
      </c>
      <c r="Z44" t="n">
        <v>98.576018335456</v>
      </c>
      <c r="AA44" t="n">
        <v>98.462283025031</v>
      </c>
      <c r="AB44" t="n">
        <v>99.449916934273</v>
      </c>
      <c r="AC44" t="n">
        <v>100.296657134841</v>
      </c>
      <c r="AD44" t="n">
        <v>100.930992822116</v>
      </c>
      <c r="AE44" t="n">
        <v>100</v>
      </c>
      <c r="AF44" t="n">
        <v>100.790947404884</v>
      </c>
    </row>
    <row r="45">
      <c r="A45" t="s">
        <v>78</v>
      </c>
      <c r="B45" t="s">
        <v>360</v>
      </c>
      <c r="C45" t="s">
        <v>217</v>
      </c>
      <c r="D45" t="s">
        <v>361</v>
      </c>
      <c r="E45" t="s">
        <v>218</v>
      </c>
      <c r="F45" t="n">
        <v>91.8867981338447</v>
      </c>
      <c r="G45" t="n">
        <v>92.74968624873</v>
      </c>
      <c r="H45" t="n">
        <v>88.6447783491296</v>
      </c>
      <c r="I45" t="n">
        <v>88.9095416158817</v>
      </c>
      <c r="J45" t="n">
        <v>91.4689171164278</v>
      </c>
      <c r="K45" t="n">
        <v>95.1702305057122</v>
      </c>
      <c r="L45" t="n">
        <v>95.7125551666858</v>
      </c>
      <c r="M45" t="n">
        <v>96.0893202754079</v>
      </c>
      <c r="N45" t="n">
        <v>97.6169783642146</v>
      </c>
      <c r="O45" t="n">
        <v>94.4889792754867</v>
      </c>
      <c r="P45" t="n">
        <v>91.9553864134251</v>
      </c>
      <c r="Q45" t="n">
        <v>92.7111913249508</v>
      </c>
      <c r="R45" t="n">
        <v>93.5633309535093</v>
      </c>
      <c r="S45" t="n">
        <v>95.8476110525981</v>
      </c>
      <c r="T45" t="n">
        <v>96.6533023837091</v>
      </c>
      <c r="U45" t="n">
        <v>98.7511241929902</v>
      </c>
      <c r="V45" t="n">
        <v>98.4588716568542</v>
      </c>
      <c r="W45" t="n">
        <v>97.9755840226617</v>
      </c>
      <c r="X45" t="n">
        <v>98.3286491903109</v>
      </c>
      <c r="Y45" t="n">
        <v>98.8220867546784</v>
      </c>
      <c r="Z45" t="n">
        <v>98.7201873045292</v>
      </c>
      <c r="AA45" t="n">
        <v>98.6077639607685</v>
      </c>
      <c r="AB45" t="n">
        <v>99.5559155373144</v>
      </c>
      <c r="AC45" t="n">
        <v>100.472888500977</v>
      </c>
      <c r="AD45" t="n">
        <v>101.050187928366</v>
      </c>
      <c r="AE45" t="n">
        <v>100</v>
      </c>
      <c r="AF45" t="n">
        <v>100.76545349509</v>
      </c>
    </row>
    <row r="46">
      <c r="A46" t="s">
        <v>78</v>
      </c>
      <c r="B46" t="s">
        <v>362</v>
      </c>
      <c r="C46" t="s">
        <v>217</v>
      </c>
      <c r="D46" t="s">
        <v>363</v>
      </c>
      <c r="E46" t="s">
        <v>218</v>
      </c>
      <c r="F46" t="n">
        <v>94.99723549265</v>
      </c>
      <c r="G46" t="n">
        <v>95.9401360930734</v>
      </c>
      <c r="H46" t="n">
        <v>91.1580732348516</v>
      </c>
      <c r="I46" t="n">
        <v>91.6249519710097</v>
      </c>
      <c r="J46" t="n">
        <v>94.2123675582309</v>
      </c>
      <c r="K46" t="n">
        <v>97.7745040108888</v>
      </c>
      <c r="L46" t="n">
        <v>97.3008558945731</v>
      </c>
      <c r="M46" t="n">
        <v>97.7833394775214</v>
      </c>
      <c r="N46" t="n">
        <v>100.618813281758</v>
      </c>
      <c r="O46" t="n">
        <v>96.3704633876391</v>
      </c>
      <c r="P46" t="n">
        <v>91.8139828723947</v>
      </c>
      <c r="Q46" t="n">
        <v>92.7381022973981</v>
      </c>
      <c r="R46" t="n">
        <v>94.3868924093595</v>
      </c>
      <c r="S46" t="n">
        <v>95.9216386273979</v>
      </c>
      <c r="T46" t="n">
        <v>96.7139942428817</v>
      </c>
      <c r="U46" t="n">
        <v>98.649564507916</v>
      </c>
      <c r="V46" t="n">
        <v>98.3399653040395</v>
      </c>
      <c r="W46" t="n">
        <v>97.9307837563112</v>
      </c>
      <c r="X46" t="n">
        <v>97.9307837563112</v>
      </c>
      <c r="Y46" t="n">
        <v>98.377616229724</v>
      </c>
      <c r="Z46" t="n">
        <v>95.3033157225451</v>
      </c>
      <c r="AA46" t="n">
        <v>95.3033157225451</v>
      </c>
      <c r="AB46" t="n">
        <v>99.7360280817333</v>
      </c>
      <c r="AC46" t="n">
        <v>101.309151553054</v>
      </c>
      <c r="AD46" t="n">
        <v>101.89701897019</v>
      </c>
      <c r="AE46" t="n">
        <v>100</v>
      </c>
      <c r="AF46" t="n">
        <v>100.995520159283</v>
      </c>
    </row>
    <row r="47">
      <c r="A47" t="s">
        <v>78</v>
      </c>
      <c r="B47" t="s">
        <v>364</v>
      </c>
      <c r="C47" t="s">
        <v>217</v>
      </c>
      <c r="D47" t="s">
        <v>365</v>
      </c>
      <c r="E47" t="s">
        <v>218</v>
      </c>
      <c r="F47" t="n">
        <v>67.6064949737887</v>
      </c>
      <c r="G47" t="n">
        <v>67.6064949737887</v>
      </c>
      <c r="H47" t="n">
        <v>67.3175783286016</v>
      </c>
      <c r="I47" t="n">
        <v>66.532571202231</v>
      </c>
      <c r="J47" t="n">
        <v>68.7879125989168</v>
      </c>
      <c r="K47" t="n">
        <v>72.4386677368481</v>
      </c>
      <c r="L47" t="n">
        <v>94.1702680579025</v>
      </c>
      <c r="M47" t="n">
        <v>96.3602742918072</v>
      </c>
      <c r="N47" t="n">
        <v>96.702936693369</v>
      </c>
      <c r="O47" t="n">
        <v>95.9317125637808</v>
      </c>
      <c r="P47" t="n">
        <v>91.571180174518</v>
      </c>
      <c r="Q47" t="n">
        <v>92.1920017350232</v>
      </c>
      <c r="R47" t="n">
        <v>92.6725855842066</v>
      </c>
      <c r="S47" t="n">
        <v>95.6704329378448</v>
      </c>
      <c r="T47" t="n">
        <v>96.4873531431964</v>
      </c>
      <c r="U47" t="n">
        <v>98.8783267222844</v>
      </c>
      <c r="V47" t="n">
        <v>98.5243470323479</v>
      </c>
      <c r="W47" t="n">
        <v>98.3953884629338</v>
      </c>
      <c r="X47" t="n">
        <v>98.9384093705659</v>
      </c>
      <c r="Y47" t="n">
        <v>99.3032581686786</v>
      </c>
      <c r="Z47" t="n">
        <v>99.3605760666115</v>
      </c>
      <c r="AA47" t="n">
        <v>99.3897740025699</v>
      </c>
      <c r="AB47" t="n">
        <v>99.6803873768464</v>
      </c>
      <c r="AC47" t="n">
        <v>101.12712739683</v>
      </c>
      <c r="AD47" t="n">
        <v>101.576182136602</v>
      </c>
      <c r="AE47" t="n">
        <v>100</v>
      </c>
      <c r="AF47" t="n">
        <v>100.378429517502</v>
      </c>
    </row>
    <row r="48">
      <c r="A48" t="s">
        <v>78</v>
      </c>
      <c r="B48" t="s">
        <v>366</v>
      </c>
      <c r="C48" t="s">
        <v>217</v>
      </c>
      <c r="D48" t="s">
        <v>367</v>
      </c>
      <c r="E48" t="s">
        <v>218</v>
      </c>
      <c r="F48" t="n">
        <v>94.639023537002</v>
      </c>
      <c r="G48" t="n">
        <v>98.5823161843771</v>
      </c>
      <c r="H48" t="n">
        <v>93.4015638323452</v>
      </c>
      <c r="I48" t="n">
        <v>92.0964386998155</v>
      </c>
      <c r="J48" t="n">
        <v>94.9900429493222</v>
      </c>
      <c r="K48" t="n">
        <v>98.4668026912582</v>
      </c>
      <c r="L48" t="n">
        <v>96.0378303288552</v>
      </c>
      <c r="M48" t="n">
        <v>95.7395761973991</v>
      </c>
      <c r="N48" t="n">
        <v>95.9113234937469</v>
      </c>
      <c r="O48" t="n">
        <v>94.9326365193209</v>
      </c>
      <c r="P48" t="n">
        <v>90.2320246695068</v>
      </c>
      <c r="Q48" t="n">
        <v>91.1442271092997</v>
      </c>
      <c r="R48" t="n">
        <v>91.9875973535364</v>
      </c>
      <c r="S48" t="n">
        <v>95.5090646658567</v>
      </c>
      <c r="T48" t="n">
        <v>96.3564201191659</v>
      </c>
      <c r="U48" t="n">
        <v>98.7119628569912</v>
      </c>
      <c r="V48" t="n">
        <v>98.3814540527825</v>
      </c>
      <c r="W48" t="n">
        <v>98.2613301772602</v>
      </c>
      <c r="X48" t="n">
        <v>98.8604846295605</v>
      </c>
      <c r="Y48" t="n">
        <v>99.2231579654912</v>
      </c>
      <c r="Z48" t="n">
        <v>99.2786519017135</v>
      </c>
      <c r="AA48" t="n">
        <v>99.3069525436467</v>
      </c>
      <c r="AB48" t="n">
        <v>99.6296105122</v>
      </c>
      <c r="AC48" t="n">
        <v>101.071527687084</v>
      </c>
      <c r="AD48" t="n">
        <v>101.488833746898</v>
      </c>
      <c r="AE48" t="n">
        <v>100</v>
      </c>
      <c r="AF48" t="n">
        <v>100.469483568075</v>
      </c>
    </row>
    <row r="49">
      <c r="A49" t="s">
        <v>78</v>
      </c>
      <c r="B49" t="s">
        <v>368</v>
      </c>
      <c r="C49" t="s">
        <v>217</v>
      </c>
      <c r="D49" t="s">
        <v>369</v>
      </c>
      <c r="E49" t="s">
        <v>218</v>
      </c>
      <c r="F49" t="n">
        <v>98.5587071003247</v>
      </c>
      <c r="G49" t="n">
        <v>99.9088263756716</v>
      </c>
      <c r="H49" t="n">
        <v>92.4423304543581</v>
      </c>
      <c r="I49" t="n">
        <v>94.8622867489748</v>
      </c>
      <c r="J49" t="n">
        <v>97.0856215946539</v>
      </c>
      <c r="K49" t="n">
        <v>99.6501474480975</v>
      </c>
      <c r="L49" t="n">
        <v>98.897123663855</v>
      </c>
      <c r="M49" t="n">
        <v>98.897123663855</v>
      </c>
      <c r="N49" t="n">
        <v>101.594317945596</v>
      </c>
      <c r="O49" t="n">
        <v>97.0790149257922</v>
      </c>
      <c r="P49" t="n">
        <v>92.1973273180952</v>
      </c>
      <c r="Q49" t="n">
        <v>93.108882814178</v>
      </c>
      <c r="R49" t="n">
        <v>94.7715414358598</v>
      </c>
      <c r="S49" t="n">
        <v>96.2351945854484</v>
      </c>
      <c r="T49" t="n">
        <v>97.2222222222222</v>
      </c>
      <c r="U49" t="n">
        <v>97.2222222222222</v>
      </c>
      <c r="V49" t="n">
        <v>97.2222222222222</v>
      </c>
      <c r="W49" t="n">
        <v>97.2222222222222</v>
      </c>
      <c r="X49" t="n">
        <v>97.2222222222222</v>
      </c>
      <c r="Y49" t="n">
        <v>97.2222222222222</v>
      </c>
      <c r="Z49" t="n">
        <v>97.2222222222222</v>
      </c>
      <c r="AA49" t="n">
        <v>97.2222222222222</v>
      </c>
      <c r="AB49" t="n">
        <v>97.2222222222222</v>
      </c>
      <c r="AC49" t="n">
        <v>97.2222222222222</v>
      </c>
      <c r="AD49" t="n">
        <v>100</v>
      </c>
      <c r="AE49" t="n">
        <v>100</v>
      </c>
      <c r="AF49" t="n">
        <v>103.703703703704</v>
      </c>
    </row>
    <row r="50">
      <c r="A50" t="s">
        <v>78</v>
      </c>
      <c r="B50" t="s">
        <v>370</v>
      </c>
      <c r="C50" t="s">
        <v>217</v>
      </c>
      <c r="D50" t="s">
        <v>371</v>
      </c>
      <c r="E50" t="s">
        <v>218</v>
      </c>
      <c r="F50" t="n">
        <v>95.6004920472562</v>
      </c>
      <c r="G50" t="n">
        <v>96.8261393811953</v>
      </c>
      <c r="H50" t="n">
        <v>89.0800482306997</v>
      </c>
      <c r="I50" t="n">
        <v>91.7000496492497</v>
      </c>
      <c r="J50" t="n">
        <v>94.3971099330512</v>
      </c>
      <c r="K50" t="n">
        <v>96.4055590805629</v>
      </c>
      <c r="L50" t="n">
        <v>95.799234809616</v>
      </c>
      <c r="M50" t="n">
        <v>95.799234809616</v>
      </c>
      <c r="N50" t="n">
        <v>98.4603246654386</v>
      </c>
      <c r="O50" t="n">
        <v>94.308383263884</v>
      </c>
      <c r="P50" t="n">
        <v>89.43036343989</v>
      </c>
      <c r="Q50" t="n">
        <v>89.9137708098353</v>
      </c>
      <c r="R50" t="n">
        <v>92.0803676968193</v>
      </c>
      <c r="S50" t="n">
        <v>93.0812412587412</v>
      </c>
      <c r="T50" t="n">
        <v>94.4302447552447</v>
      </c>
      <c r="U50" t="n">
        <v>94.4302447552447</v>
      </c>
      <c r="V50" t="n">
        <v>94.4302447552447</v>
      </c>
      <c r="W50" t="n">
        <v>94.4302447552447</v>
      </c>
      <c r="X50" t="n">
        <v>96.2818181818182</v>
      </c>
      <c r="Y50" t="n">
        <v>96.2818181818182</v>
      </c>
      <c r="Z50" t="n">
        <v>95.2</v>
      </c>
      <c r="AA50" t="n">
        <v>95.2</v>
      </c>
      <c r="AB50" t="n">
        <v>98</v>
      </c>
      <c r="AC50" t="n">
        <v>98</v>
      </c>
      <c r="AD50" t="n">
        <v>100</v>
      </c>
      <c r="AE50" t="n">
        <v>100</v>
      </c>
      <c r="AF50" t="n">
        <v>101.030927835052</v>
      </c>
    </row>
    <row r="51">
      <c r="A51" t="s">
        <v>78</v>
      </c>
      <c r="B51" t="s">
        <v>372</v>
      </c>
      <c r="C51" t="s">
        <v>217</v>
      </c>
      <c r="D51" t="s">
        <v>373</v>
      </c>
      <c r="E51" t="s">
        <v>218</v>
      </c>
      <c r="F51" t="n">
        <v>93.2825941711072</v>
      </c>
      <c r="G51" t="n">
        <v>93.2825941711071</v>
      </c>
      <c r="H51" t="n">
        <v>85.9532474862344</v>
      </c>
      <c r="I51" t="n">
        <v>88.6675605647471</v>
      </c>
      <c r="J51" t="n">
        <v>91.4602396376525</v>
      </c>
      <c r="K51" t="n">
        <v>93.5388814475992</v>
      </c>
      <c r="L51" t="n">
        <v>92.911103719763</v>
      </c>
      <c r="M51" t="n">
        <v>92.911103719763</v>
      </c>
      <c r="N51" t="n">
        <v>95.6708394738154</v>
      </c>
      <c r="O51" t="n">
        <v>91.9674521393451</v>
      </c>
      <c r="P51" t="n">
        <v>87.2105149597238</v>
      </c>
      <c r="Q51" t="n">
        <v>87.7205179711842</v>
      </c>
      <c r="R51" t="n">
        <v>90.2268184846466</v>
      </c>
      <c r="S51" t="n">
        <v>91.3835725677831</v>
      </c>
      <c r="T51" t="n">
        <v>93.0154220779221</v>
      </c>
      <c r="U51" t="n">
        <v>93.015422077922</v>
      </c>
      <c r="V51" t="n">
        <v>93.015422077922</v>
      </c>
      <c r="W51" t="n">
        <v>93.015422077922</v>
      </c>
      <c r="X51" t="n">
        <v>93.015422077922</v>
      </c>
      <c r="Y51" t="n">
        <v>93.015422077922</v>
      </c>
      <c r="Z51" t="n">
        <v>91.8810876623376</v>
      </c>
      <c r="AA51" t="n">
        <v>91.8810876623376</v>
      </c>
      <c r="AB51" t="n">
        <v>95.2840909090909</v>
      </c>
      <c r="AC51" t="n">
        <v>97.5</v>
      </c>
      <c r="AD51" t="n">
        <v>100</v>
      </c>
      <c r="AE51" t="n">
        <v>100</v>
      </c>
      <c r="AF51" t="n">
        <v>101.081081081081</v>
      </c>
    </row>
    <row r="52">
      <c r="A52" t="s">
        <v>78</v>
      </c>
      <c r="B52" t="s">
        <v>374</v>
      </c>
      <c r="C52" t="s">
        <v>217</v>
      </c>
      <c r="D52" t="s">
        <v>375</v>
      </c>
      <c r="E52" t="s">
        <v>218</v>
      </c>
      <c r="F52" t="n">
        <v>128.888888888889</v>
      </c>
      <c r="G52" t="n">
        <v>128.888888888889</v>
      </c>
      <c r="H52" t="n">
        <v>116</v>
      </c>
      <c r="I52" t="n">
        <v>116</v>
      </c>
      <c r="J52" t="n">
        <v>116</v>
      </c>
      <c r="K52" t="n">
        <v>116</v>
      </c>
      <c r="L52" t="n">
        <v>116</v>
      </c>
      <c r="M52" t="n">
        <v>116</v>
      </c>
      <c r="N52" t="n">
        <v>116</v>
      </c>
      <c r="O52" t="n">
        <v>105.454545454545</v>
      </c>
      <c r="P52" t="n">
        <v>100</v>
      </c>
      <c r="Q52" t="n">
        <v>100</v>
      </c>
      <c r="R52" t="n">
        <v>100</v>
      </c>
      <c r="S52" t="n">
        <v>100</v>
      </c>
      <c r="T52" t="n">
        <v>100</v>
      </c>
      <c r="U52" t="n">
        <v>100</v>
      </c>
      <c r="V52" t="n">
        <v>100</v>
      </c>
      <c r="W52" t="n">
        <v>100</v>
      </c>
      <c r="X52" t="n">
        <v>100</v>
      </c>
      <c r="Y52" t="n">
        <v>100</v>
      </c>
      <c r="Z52" t="n">
        <v>100</v>
      </c>
      <c r="AA52" t="n">
        <v>100</v>
      </c>
      <c r="AB52" t="n">
        <v>100</v>
      </c>
      <c r="AC52" t="n">
        <v>100</v>
      </c>
      <c r="AD52" t="n">
        <v>100</v>
      </c>
      <c r="AE52" t="n">
        <v>100</v>
      </c>
      <c r="AF52" t="n">
        <v>100</v>
      </c>
    </row>
    <row r="53">
      <c r="A53" t="s">
        <v>78</v>
      </c>
      <c r="B53" t="s">
        <v>376</v>
      </c>
      <c r="C53" t="s">
        <v>217</v>
      </c>
      <c r="D53" t="s">
        <v>377</v>
      </c>
      <c r="E53" t="s">
        <v>218</v>
      </c>
      <c r="F53" t="n">
        <v>98.3016523934999</v>
      </c>
      <c r="G53" t="n">
        <v>99.8376157121483</v>
      </c>
      <c r="H53" t="n">
        <v>92.5324243185765</v>
      </c>
      <c r="I53" t="n">
        <v>95.7982745886439</v>
      </c>
      <c r="J53" t="n">
        <v>98.3642998008397</v>
      </c>
      <c r="K53" t="n">
        <v>100.886461334195</v>
      </c>
      <c r="L53" t="n">
        <v>100.886461334195</v>
      </c>
      <c r="M53" t="n">
        <v>100.886461334195</v>
      </c>
      <c r="N53" t="n">
        <v>103.341119760817</v>
      </c>
      <c r="O53" t="n">
        <v>99.2257654340591</v>
      </c>
      <c r="P53" t="n">
        <v>94.255601870278</v>
      </c>
      <c r="Q53" t="n">
        <v>95.1124709781896</v>
      </c>
      <c r="R53" t="n">
        <v>96.8820053219699</v>
      </c>
      <c r="S53" t="n">
        <v>98.4637523476347</v>
      </c>
      <c r="T53" t="n">
        <v>99.3588773689768</v>
      </c>
      <c r="U53" t="n">
        <v>99.3588773689768</v>
      </c>
      <c r="V53" t="n">
        <v>98.9614418595009</v>
      </c>
      <c r="W53" t="n">
        <v>97.7496691020376</v>
      </c>
      <c r="X53" t="n">
        <v>97.9563280219151</v>
      </c>
      <c r="Y53" t="n">
        <v>98.5066444714764</v>
      </c>
      <c r="Z53" t="n">
        <v>98.0330548345943</v>
      </c>
      <c r="AA53" t="n">
        <v>98.0330548345943</v>
      </c>
      <c r="AB53" t="n">
        <v>99.2071033954876</v>
      </c>
      <c r="AC53" t="n">
        <v>99.686364764548</v>
      </c>
      <c r="AD53" t="n">
        <v>100.534759358289</v>
      </c>
      <c r="AE53" t="n">
        <v>100</v>
      </c>
      <c r="AF53" t="n">
        <v>100</v>
      </c>
    </row>
    <row r="54">
      <c r="A54" t="s">
        <v>78</v>
      </c>
      <c r="B54" t="s">
        <v>378</v>
      </c>
      <c r="C54" t="s">
        <v>217</v>
      </c>
      <c r="D54" t="s">
        <v>379</v>
      </c>
      <c r="E54" t="s">
        <v>218</v>
      </c>
      <c r="F54" t="n">
        <v>100.008598147116</v>
      </c>
      <c r="G54" t="n">
        <v>101.357786655003</v>
      </c>
      <c r="H54" t="n">
        <v>93.5610338353872</v>
      </c>
      <c r="I54" t="n">
        <v>96.2101235964921</v>
      </c>
      <c r="J54" t="n">
        <v>98.7102904271998</v>
      </c>
      <c r="K54" t="n">
        <v>101.088851642313</v>
      </c>
      <c r="L54" t="n">
        <v>100.637562126053</v>
      </c>
      <c r="M54" t="n">
        <v>100.637562126053</v>
      </c>
      <c r="N54" t="n">
        <v>103.357496237568</v>
      </c>
      <c r="O54" t="n">
        <v>99.125184969219</v>
      </c>
      <c r="P54" t="n">
        <v>94.1387046277796</v>
      </c>
      <c r="Q54" t="n">
        <v>95.0993036545937</v>
      </c>
      <c r="R54" t="n">
        <v>97.0851359814877</v>
      </c>
      <c r="S54" t="n">
        <v>98.7714782938212</v>
      </c>
      <c r="T54" t="n">
        <v>99.7398261202312</v>
      </c>
      <c r="U54" t="n">
        <v>99.7398261202312</v>
      </c>
      <c r="V54" t="n">
        <v>99.3771358434304</v>
      </c>
      <c r="W54" t="n">
        <v>97.8938950099463</v>
      </c>
      <c r="X54" t="n">
        <v>98.0904690963117</v>
      </c>
      <c r="Y54" t="n">
        <v>98.5809214417933</v>
      </c>
      <c r="Z54" t="n">
        <v>98.1368632371005</v>
      </c>
      <c r="AA54" t="n">
        <v>98.1368632371005</v>
      </c>
      <c r="AB54" t="n">
        <v>99.2457543471242</v>
      </c>
      <c r="AC54" t="n">
        <v>99.7010101010101</v>
      </c>
      <c r="AD54" t="n">
        <v>100.505050505051</v>
      </c>
      <c r="AE54" t="n">
        <v>100</v>
      </c>
      <c r="AF54" t="n">
        <v>100</v>
      </c>
    </row>
    <row r="55">
      <c r="A55" t="s">
        <v>78</v>
      </c>
      <c r="B55" t="s">
        <v>380</v>
      </c>
      <c r="C55" t="s">
        <v>217</v>
      </c>
      <c r="D55" t="s">
        <v>381</v>
      </c>
      <c r="E55" t="s">
        <v>218</v>
      </c>
      <c r="F55" t="n">
        <v>103.176952549657</v>
      </c>
      <c r="G55" t="n">
        <v>104.542243037081</v>
      </c>
      <c r="H55" t="n">
        <v>96.4532741830859</v>
      </c>
      <c r="I55" t="n">
        <v>99.1015577227948</v>
      </c>
      <c r="J55" t="n">
        <v>101.667293845068</v>
      </c>
      <c r="K55" t="n">
        <v>104.098008770678</v>
      </c>
      <c r="L55" t="n">
        <v>103.493958429648</v>
      </c>
      <c r="M55" t="n">
        <v>103.493958429648</v>
      </c>
      <c r="N55" t="n">
        <v>107.362891455056</v>
      </c>
      <c r="O55" t="n">
        <v>102.8518455956</v>
      </c>
      <c r="P55" t="n">
        <v>97.5502040700534</v>
      </c>
      <c r="Q55" t="n">
        <v>99.1235944582801</v>
      </c>
      <c r="R55" t="n">
        <v>101.418122107777</v>
      </c>
      <c r="S55" t="n">
        <v>103.343782654127</v>
      </c>
      <c r="T55" t="n">
        <v>104.545454545455</v>
      </c>
      <c r="U55" t="n">
        <v>104.545454545455</v>
      </c>
      <c r="V55" t="n">
        <v>104.545454545455</v>
      </c>
      <c r="W55" t="n">
        <v>100</v>
      </c>
      <c r="X55" t="n">
        <v>100</v>
      </c>
      <c r="Y55" t="n">
        <v>100</v>
      </c>
      <c r="Z55" t="n">
        <v>100</v>
      </c>
      <c r="AA55" t="n">
        <v>100</v>
      </c>
      <c r="AB55" t="n">
        <v>100</v>
      </c>
      <c r="AC55" t="n">
        <v>100</v>
      </c>
      <c r="AD55" t="n">
        <v>100</v>
      </c>
      <c r="AE55" t="n">
        <v>100</v>
      </c>
      <c r="AF55" t="n">
        <v>100</v>
      </c>
    </row>
    <row r="56">
      <c r="A56" t="s">
        <v>78</v>
      </c>
      <c r="B56" t="s">
        <v>382</v>
      </c>
      <c r="C56" t="s">
        <v>217</v>
      </c>
      <c r="D56" t="s">
        <v>383</v>
      </c>
      <c r="E56" t="s">
        <v>218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78</v>
      </c>
      <c r="B57" t="s">
        <v>384</v>
      </c>
      <c r="C57" t="s">
        <v>217</v>
      </c>
      <c r="D57" t="s">
        <v>385</v>
      </c>
      <c r="E57" t="s">
        <v>218</v>
      </c>
      <c r="F57" t="n">
        <v>91.6351997732054</v>
      </c>
      <c r="G57" t="n">
        <v>92.5521131464721</v>
      </c>
      <c r="H57" t="n">
        <v>88.0597973097149</v>
      </c>
      <c r="I57" t="n">
        <v>89.0516711266495</v>
      </c>
      <c r="J57" t="n">
        <v>91.6008158596046</v>
      </c>
      <c r="K57" t="n">
        <v>95.1587739048013</v>
      </c>
      <c r="L57" t="n">
        <v>95.5013134778144</v>
      </c>
      <c r="M57" t="n">
        <v>95.8490968480905</v>
      </c>
      <c r="N57" t="n">
        <v>97.8160828879944</v>
      </c>
      <c r="O57" t="n">
        <v>95.0960027885774</v>
      </c>
      <c r="P57" t="n">
        <v>92.1275108023948</v>
      </c>
      <c r="Q57" t="n">
        <v>92.8993736589639</v>
      </c>
      <c r="R57" t="n">
        <v>93.8379277133891</v>
      </c>
      <c r="S57" t="n">
        <v>96.0057838556181</v>
      </c>
      <c r="T57" t="n">
        <v>96.8117821322724</v>
      </c>
      <c r="U57" t="n">
        <v>98.7146063012864</v>
      </c>
      <c r="V57" t="n">
        <v>98.4382203434243</v>
      </c>
      <c r="W57" t="n">
        <v>97.9112228988566</v>
      </c>
      <c r="X57" t="n">
        <v>98.2714623038619</v>
      </c>
      <c r="Y57" t="n">
        <v>98.7302112447202</v>
      </c>
      <c r="Z57" t="n">
        <v>98.6509417053828</v>
      </c>
      <c r="AA57" t="n">
        <v>98.5690475647589</v>
      </c>
      <c r="AB57" t="n">
        <v>99.4651766350483</v>
      </c>
      <c r="AC57" t="n">
        <v>100.35173098504</v>
      </c>
      <c r="AD57" t="n">
        <v>100.983693140556</v>
      </c>
      <c r="AE57" t="n">
        <v>100</v>
      </c>
      <c r="AF57" t="n">
        <v>100.773278917409</v>
      </c>
    </row>
    <row r="58">
      <c r="A58" t="s">
        <v>78</v>
      </c>
      <c r="B58" t="s">
        <v>386</v>
      </c>
      <c r="C58" t="s">
        <v>217</v>
      </c>
      <c r="D58" t="s">
        <v>387</v>
      </c>
      <c r="E58" t="s">
        <v>218</v>
      </c>
      <c r="F58" t="n">
        <v>91.6351997732054</v>
      </c>
      <c r="G58" t="n">
        <v>92.5521131464721</v>
      </c>
      <c r="H58" t="n">
        <v>88.0597973097149</v>
      </c>
      <c r="I58" t="n">
        <v>89.0516711266495</v>
      </c>
      <c r="J58" t="n">
        <v>91.6008158596046</v>
      </c>
      <c r="K58" t="n">
        <v>95.1587739048013</v>
      </c>
      <c r="L58" t="n">
        <v>95.5013134778144</v>
      </c>
      <c r="M58" t="n">
        <v>95.8490968480905</v>
      </c>
      <c r="N58" t="n">
        <v>97.8160828879944</v>
      </c>
      <c r="O58" t="n">
        <v>95.0960027885774</v>
      </c>
      <c r="P58" t="n">
        <v>92.1275108023948</v>
      </c>
      <c r="Q58" t="n">
        <v>92.8993736589639</v>
      </c>
      <c r="R58" t="n">
        <v>93.8379277133891</v>
      </c>
      <c r="S58" t="n">
        <v>96.0057838556181</v>
      </c>
      <c r="T58" t="n">
        <v>96.8117821322724</v>
      </c>
      <c r="U58" t="n">
        <v>98.7146063012864</v>
      </c>
      <c r="V58" t="n">
        <v>98.4382203434243</v>
      </c>
      <c r="W58" t="n">
        <v>97.9112228988566</v>
      </c>
      <c r="X58" t="n">
        <v>98.2714623038619</v>
      </c>
      <c r="Y58" t="n">
        <v>98.7302112447202</v>
      </c>
      <c r="Z58" t="n">
        <v>98.6509417053828</v>
      </c>
      <c r="AA58" t="n">
        <v>98.5690475647589</v>
      </c>
      <c r="AB58" t="n">
        <v>99.4651766350483</v>
      </c>
      <c r="AC58" t="n">
        <v>100.35173098504</v>
      </c>
      <c r="AD58" t="n">
        <v>100.983693140556</v>
      </c>
      <c r="AE58" t="n">
        <v>100</v>
      </c>
      <c r="AF58" t="n">
        <v>100.773278917409</v>
      </c>
    </row>
    <row r="59">
      <c r="A59" t="s">
        <v>78</v>
      </c>
      <c r="B59" t="s">
        <v>388</v>
      </c>
      <c r="C59" t="s">
        <v>217</v>
      </c>
      <c r="D59" t="s">
        <v>389</v>
      </c>
      <c r="E59" t="s">
        <v>218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80</v>
      </c>
      <c r="B2" t="s">
        <v>197</v>
      </c>
      <c r="C2" t="s">
        <v>217</v>
      </c>
      <c r="D2" t="s">
        <v>199</v>
      </c>
      <c r="E2" t="s">
        <v>218</v>
      </c>
      <c r="F2" t="n">
        <v>77.4648605134191</v>
      </c>
      <c r="G2" t="n">
        <v>82.1920468833325</v>
      </c>
      <c r="H2" t="n">
        <v>84.6476967902159</v>
      </c>
      <c r="I2" t="n">
        <v>88.7295765653906</v>
      </c>
      <c r="J2" t="n">
        <v>86.7954168582432</v>
      </c>
      <c r="K2" t="n">
        <v>90.056715821704</v>
      </c>
      <c r="L2" t="n">
        <v>91.8151454193384</v>
      </c>
      <c r="M2" t="n">
        <v>91.8151454193384</v>
      </c>
      <c r="N2" t="n">
        <v>91.864490714261</v>
      </c>
      <c r="O2" t="n">
        <v>91.6789635464366</v>
      </c>
      <c r="P2" t="n">
        <v>92.6854766343053</v>
      </c>
      <c r="Q2" t="n">
        <v>94.7715292710106</v>
      </c>
      <c r="R2" t="n">
        <v>96.4991048754089</v>
      </c>
      <c r="S2" t="n">
        <v>98.001641273469</v>
      </c>
      <c r="T2" t="n">
        <v>98.5059746951106</v>
      </c>
      <c r="U2" t="n">
        <v>98.7049123611077</v>
      </c>
      <c r="V2" t="n">
        <v>98.9018125617811</v>
      </c>
      <c r="W2" t="n">
        <v>98.3747496108249</v>
      </c>
      <c r="X2" t="n">
        <v>98.563874395061</v>
      </c>
      <c r="Y2" t="n">
        <v>98.7333494620822</v>
      </c>
      <c r="Z2" t="n">
        <v>98.8474188003568</v>
      </c>
      <c r="AA2" t="n">
        <v>99.1773714204506</v>
      </c>
      <c r="AB2" t="n">
        <v>99.2602436756588</v>
      </c>
      <c r="AC2" t="n">
        <v>99.4277872227483</v>
      </c>
      <c r="AD2" t="n">
        <v>99.4791666666667</v>
      </c>
      <c r="AE2" t="n">
        <v>100</v>
      </c>
      <c r="AF2" t="n">
        <v>101.456815816857</v>
      </c>
    </row>
    <row r="3">
      <c r="A3" t="s">
        <v>80</v>
      </c>
      <c r="B3" t="s">
        <v>276</v>
      </c>
      <c r="C3" t="s">
        <v>217</v>
      </c>
      <c r="D3" t="s">
        <v>277</v>
      </c>
      <c r="E3" t="s">
        <v>218</v>
      </c>
      <c r="F3" t="n">
        <v>74.7942450164729</v>
      </c>
      <c r="G3" t="n">
        <v>79.6300798235725</v>
      </c>
      <c r="H3" t="n">
        <v>81.7822441431285</v>
      </c>
      <c r="I3" t="n">
        <v>85.8834186281821</v>
      </c>
      <c r="J3" t="n">
        <v>83.7036364294973</v>
      </c>
      <c r="K3" t="n">
        <v>86.9861319757521</v>
      </c>
      <c r="L3" t="n">
        <v>88.633596596505</v>
      </c>
      <c r="M3" t="n">
        <v>88.633596596505</v>
      </c>
      <c r="N3" t="n">
        <v>88.633596596505</v>
      </c>
      <c r="O3" t="n">
        <v>88.5128423777087</v>
      </c>
      <c r="P3" t="n">
        <v>89.659051847348</v>
      </c>
      <c r="Q3" t="n">
        <v>91.8893765201676</v>
      </c>
      <c r="R3" t="n">
        <v>94.1337088147984</v>
      </c>
      <c r="S3" t="n">
        <v>96.823243352364</v>
      </c>
      <c r="T3" t="n">
        <v>97.353781672103</v>
      </c>
      <c r="U3" t="n">
        <v>98.1764896862335</v>
      </c>
      <c r="V3" t="n">
        <v>98.7343106503598</v>
      </c>
      <c r="W3" t="n">
        <v>97.8243170038127</v>
      </c>
      <c r="X3" t="n">
        <v>97.8243170038127</v>
      </c>
      <c r="Y3" t="n">
        <v>98.0938054804072</v>
      </c>
      <c r="Z3" t="n">
        <v>98.2817246479942</v>
      </c>
      <c r="AA3" t="n">
        <v>98.5633341742062</v>
      </c>
      <c r="AB3" t="n">
        <v>98.843343646292</v>
      </c>
      <c r="AC3" t="n">
        <v>99.2186981158349</v>
      </c>
      <c r="AD3" t="n">
        <v>99.349593495935</v>
      </c>
      <c r="AE3" t="n">
        <v>100</v>
      </c>
      <c r="AF3" t="n">
        <v>101.139137510171</v>
      </c>
    </row>
    <row r="4">
      <c r="A4" t="s">
        <v>80</v>
      </c>
      <c r="B4" t="s">
        <v>278</v>
      </c>
      <c r="C4" t="s">
        <v>217</v>
      </c>
      <c r="D4" t="s">
        <v>279</v>
      </c>
      <c r="E4" t="s">
        <v>218</v>
      </c>
      <c r="F4" t="n">
        <v>75.1248332789284</v>
      </c>
      <c r="G4" t="n">
        <v>79.5463628132099</v>
      </c>
      <c r="H4" t="n">
        <v>81.9355645231473</v>
      </c>
      <c r="I4" t="n">
        <v>85.913448907607</v>
      </c>
      <c r="J4" t="n">
        <v>84.2763919371698</v>
      </c>
      <c r="K4" t="n">
        <v>87.3123254611054</v>
      </c>
      <c r="L4" t="n">
        <v>88.9877493430731</v>
      </c>
      <c r="M4" t="n">
        <v>88.9751608935975</v>
      </c>
      <c r="N4" t="n">
        <v>89.0062928603202</v>
      </c>
      <c r="O4" t="n">
        <v>88.8524624198427</v>
      </c>
      <c r="P4" t="n">
        <v>90.0516031838893</v>
      </c>
      <c r="Q4" t="n">
        <v>92.1816685534606</v>
      </c>
      <c r="R4" t="n">
        <v>94.3655235441286</v>
      </c>
      <c r="S4" t="n">
        <v>96.6582132366528</v>
      </c>
      <c r="T4" t="n">
        <v>97.3909255585273</v>
      </c>
      <c r="U4" t="n">
        <v>97.8268541820533</v>
      </c>
      <c r="V4" t="n">
        <v>98.0338422727639</v>
      </c>
      <c r="W4" t="n">
        <v>97.322021147909</v>
      </c>
      <c r="X4" t="n">
        <v>97.5407878671085</v>
      </c>
      <c r="Y4" t="n">
        <v>97.7060375300131</v>
      </c>
      <c r="Z4" t="n">
        <v>98.0294265576362</v>
      </c>
      <c r="AA4" t="n">
        <v>98.3318351604903</v>
      </c>
      <c r="AB4" t="n">
        <v>98.7886234449356</v>
      </c>
      <c r="AC4" t="n">
        <v>99.1012654584964</v>
      </c>
      <c r="AD4" t="n">
        <v>99.3654348637551</v>
      </c>
      <c r="AE4" t="n">
        <v>100</v>
      </c>
      <c r="AF4" t="n">
        <v>101.51543324656</v>
      </c>
    </row>
    <row r="5">
      <c r="A5" t="s">
        <v>80</v>
      </c>
      <c r="B5" t="s">
        <v>280</v>
      </c>
      <c r="C5" t="s">
        <v>217</v>
      </c>
      <c r="D5" t="s">
        <v>281</v>
      </c>
      <c r="E5" t="s">
        <v>218</v>
      </c>
      <c r="F5" t="n">
        <v>75.7813557651542</v>
      </c>
      <c r="G5" t="n">
        <v>80.335891793464</v>
      </c>
      <c r="H5" t="n">
        <v>82.6944432688819</v>
      </c>
      <c r="I5" t="n">
        <v>86.7741901201458</v>
      </c>
      <c r="J5" t="n">
        <v>84.9230750182257</v>
      </c>
      <c r="K5" t="n">
        <v>88.0579644982773</v>
      </c>
      <c r="L5" t="n">
        <v>89.9115754973315</v>
      </c>
      <c r="M5" t="n">
        <v>89.9386736213512</v>
      </c>
      <c r="N5" t="n">
        <v>89.9386736213512</v>
      </c>
      <c r="O5" t="n">
        <v>89.7245848957588</v>
      </c>
      <c r="P5" t="n">
        <v>90.707086531848</v>
      </c>
      <c r="Q5" t="n">
        <v>92.7321749753497</v>
      </c>
      <c r="R5" t="n">
        <v>94.8103023351941</v>
      </c>
      <c r="S5" t="n">
        <v>96.7943744318947</v>
      </c>
      <c r="T5" t="n">
        <v>97.4748269762314</v>
      </c>
      <c r="U5" t="n">
        <v>97.8836216839603</v>
      </c>
      <c r="V5" t="n">
        <v>98.0935972757028</v>
      </c>
      <c r="W5" t="n">
        <v>97.3262418863231</v>
      </c>
      <c r="X5" t="n">
        <v>97.5774063815136</v>
      </c>
      <c r="Y5" t="n">
        <v>97.7986076427922</v>
      </c>
      <c r="Z5" t="n">
        <v>98.1074203460606</v>
      </c>
      <c r="AA5" t="n">
        <v>98.4117382808015</v>
      </c>
      <c r="AB5" t="n">
        <v>98.8309080131854</v>
      </c>
      <c r="AC5" t="n">
        <v>99.132967257586</v>
      </c>
      <c r="AD5" t="n">
        <v>99.3407060825181</v>
      </c>
      <c r="AE5" t="n">
        <v>100</v>
      </c>
      <c r="AF5" t="n">
        <v>101.324085750315</v>
      </c>
    </row>
    <row r="6">
      <c r="A6" t="s">
        <v>80</v>
      </c>
      <c r="B6" t="s">
        <v>282</v>
      </c>
      <c r="C6" t="s">
        <v>217</v>
      </c>
      <c r="D6" t="s">
        <v>283</v>
      </c>
      <c r="E6" t="s">
        <v>218</v>
      </c>
      <c r="F6" t="n">
        <v>75.1052874004856</v>
      </c>
      <c r="G6" t="n">
        <v>79.3473452999575</v>
      </c>
      <c r="H6" t="n">
        <v>81.7817165902546</v>
      </c>
      <c r="I6" t="n">
        <v>85.7016544176273</v>
      </c>
      <c r="J6" t="n">
        <v>84.2265010101057</v>
      </c>
      <c r="K6" t="n">
        <v>87.1922228766587</v>
      </c>
      <c r="L6" t="n">
        <v>88.8280281051475</v>
      </c>
      <c r="M6" t="n">
        <v>88.8280281051475</v>
      </c>
      <c r="N6" t="n">
        <v>88.928059668329</v>
      </c>
      <c r="O6" t="n">
        <v>88.7829894241719</v>
      </c>
      <c r="P6" t="n">
        <v>89.885883702733</v>
      </c>
      <c r="Q6" t="n">
        <v>92.408996227722</v>
      </c>
      <c r="R6" t="n">
        <v>94.3705079401029</v>
      </c>
      <c r="S6" t="n">
        <v>96.2964366735744</v>
      </c>
      <c r="T6" t="n">
        <v>97.1056504271339</v>
      </c>
      <c r="U6" t="n">
        <v>97.7573662018126</v>
      </c>
      <c r="V6" t="n">
        <v>97.7573662018126</v>
      </c>
      <c r="W6" t="n">
        <v>97.038562038564</v>
      </c>
      <c r="X6" t="n">
        <v>97.7793144205377</v>
      </c>
      <c r="Y6" t="n">
        <v>97.7793144205377</v>
      </c>
      <c r="Z6" t="n">
        <v>98.1009569021843</v>
      </c>
      <c r="AA6" t="n">
        <v>98.3632589259869</v>
      </c>
      <c r="AB6" t="n">
        <v>98.7577639751553</v>
      </c>
      <c r="AC6" t="n">
        <v>98.7577639751553</v>
      </c>
      <c r="AD6" t="n">
        <v>98.7577639751553</v>
      </c>
      <c r="AE6" t="n">
        <v>100</v>
      </c>
      <c r="AF6" t="n">
        <v>100.699300699301</v>
      </c>
    </row>
    <row r="7">
      <c r="A7" t="s">
        <v>80</v>
      </c>
      <c r="B7" t="s">
        <v>284</v>
      </c>
      <c r="C7" t="s">
        <v>217</v>
      </c>
      <c r="D7" t="s">
        <v>285</v>
      </c>
      <c r="E7" t="s">
        <v>218</v>
      </c>
      <c r="F7" t="n">
        <v>76.5799693272127</v>
      </c>
      <c r="G7" t="n">
        <v>81.5253044784477</v>
      </c>
      <c r="H7" t="n">
        <v>83.741795339374</v>
      </c>
      <c r="I7" t="n">
        <v>88.0460255487498</v>
      </c>
      <c r="J7" t="n">
        <v>85.8360853752501</v>
      </c>
      <c r="K7" t="n">
        <v>89.1595666923606</v>
      </c>
      <c r="L7" t="n">
        <v>90.8546154887934</v>
      </c>
      <c r="M7" t="n">
        <v>90.7977602851082</v>
      </c>
      <c r="N7" t="n">
        <v>90.7977602851082</v>
      </c>
      <c r="O7" t="n">
        <v>90.6961967948564</v>
      </c>
      <c r="P7" t="n">
        <v>90.6961967948564</v>
      </c>
      <c r="Q7" t="n">
        <v>92.7679373307795</v>
      </c>
      <c r="R7" t="n">
        <v>94.9605391134992</v>
      </c>
      <c r="S7" t="n">
        <v>97.1385331298638</v>
      </c>
      <c r="T7" t="n">
        <v>97.8373714977046</v>
      </c>
      <c r="U7" t="n">
        <v>98.188462543749</v>
      </c>
      <c r="V7" t="n">
        <v>98.3637990840057</v>
      </c>
      <c r="W7" t="n">
        <v>97.2266453373698</v>
      </c>
      <c r="X7" t="n">
        <v>97.5076472025067</v>
      </c>
      <c r="Y7" t="n">
        <v>97.6423262732283</v>
      </c>
      <c r="Z7" t="n">
        <v>97.9094735407338</v>
      </c>
      <c r="AA7" t="n">
        <v>98.1586070611936</v>
      </c>
      <c r="AB7" t="n">
        <v>98.657296004773</v>
      </c>
      <c r="AC7" t="n">
        <v>99.0848465833419</v>
      </c>
      <c r="AD7" t="n">
        <v>99.2290748898678</v>
      </c>
      <c r="AE7" t="n">
        <v>100</v>
      </c>
      <c r="AF7" t="n">
        <v>101.296829971182</v>
      </c>
    </row>
    <row r="8">
      <c r="A8" t="s">
        <v>80</v>
      </c>
      <c r="B8" t="s">
        <v>286</v>
      </c>
      <c r="C8" t="s">
        <v>217</v>
      </c>
      <c r="D8" t="s">
        <v>287</v>
      </c>
      <c r="E8" t="s">
        <v>218</v>
      </c>
      <c r="F8" t="n">
        <v>74.8211401424072</v>
      </c>
      <c r="G8" t="n">
        <v>76.6382249744371</v>
      </c>
      <c r="H8" t="n">
        <v>80.6666444923242</v>
      </c>
      <c r="I8" t="n">
        <v>82.754487055655</v>
      </c>
      <c r="J8" t="n">
        <v>85.0747063188976</v>
      </c>
      <c r="K8" t="n">
        <v>86.8470960338746</v>
      </c>
      <c r="L8" t="n">
        <v>88.468241826507</v>
      </c>
      <c r="M8" t="n">
        <v>88.468241826507</v>
      </c>
      <c r="N8" t="n">
        <v>88.468241826507</v>
      </c>
      <c r="O8" t="n">
        <v>88.1837780264217</v>
      </c>
      <c r="P8" t="n">
        <v>89.646894703463</v>
      </c>
      <c r="Q8" t="n">
        <v>91.692071008485</v>
      </c>
      <c r="R8" t="n">
        <v>94.0798853576643</v>
      </c>
      <c r="S8" t="n">
        <v>96.3430436042931</v>
      </c>
      <c r="T8" t="n">
        <v>97.2124675736493</v>
      </c>
      <c r="U8" t="n">
        <v>97.5477552393485</v>
      </c>
      <c r="V8" t="n">
        <v>97.6815918302296</v>
      </c>
      <c r="W8" t="n">
        <v>96.9833075468727</v>
      </c>
      <c r="X8" t="n">
        <v>97.3085729718482</v>
      </c>
      <c r="Y8" t="n">
        <v>97.5518444042778</v>
      </c>
      <c r="Z8" t="n">
        <v>97.9287835248508</v>
      </c>
      <c r="AA8" t="n">
        <v>98.2282599270675</v>
      </c>
      <c r="AB8" t="n">
        <v>98.6503580360235</v>
      </c>
      <c r="AC8" t="n">
        <v>99.1312441824387</v>
      </c>
      <c r="AD8" t="n">
        <v>99.2243251628917</v>
      </c>
      <c r="AE8" t="n">
        <v>100</v>
      </c>
      <c r="AF8" t="n">
        <v>101.488095238095</v>
      </c>
    </row>
    <row r="9">
      <c r="A9" t="s">
        <v>80</v>
      </c>
      <c r="B9" t="s">
        <v>288</v>
      </c>
      <c r="C9" t="s">
        <v>217</v>
      </c>
      <c r="D9" t="s">
        <v>289</v>
      </c>
      <c r="E9" t="s">
        <v>218</v>
      </c>
      <c r="F9" t="n">
        <v>73.903411404913</v>
      </c>
      <c r="G9" t="n">
        <v>78.4513136452154</v>
      </c>
      <c r="H9" t="n">
        <v>80.6154878147386</v>
      </c>
      <c r="I9" t="n">
        <v>84.6390772243869</v>
      </c>
      <c r="J9" t="n">
        <v>82.6615286911068</v>
      </c>
      <c r="K9" t="n">
        <v>85.7910121533027</v>
      </c>
      <c r="L9" t="n">
        <v>87.2260618111398</v>
      </c>
      <c r="M9" t="n">
        <v>87.2260618111398</v>
      </c>
      <c r="N9" t="n">
        <v>87.2260618111398</v>
      </c>
      <c r="O9" t="n">
        <v>87.0198536271892</v>
      </c>
      <c r="P9" t="n">
        <v>87.6384781790412</v>
      </c>
      <c r="Q9" t="n">
        <v>89.8961438932554</v>
      </c>
      <c r="R9" t="n">
        <v>92.1103346295424</v>
      </c>
      <c r="S9" t="n">
        <v>95.1009299097224</v>
      </c>
      <c r="T9" t="n">
        <v>95.7802222662204</v>
      </c>
      <c r="U9" t="n">
        <v>97.4905833781172</v>
      </c>
      <c r="V9" t="n">
        <v>97.9854594358742</v>
      </c>
      <c r="W9" t="n">
        <v>97.1208818526165</v>
      </c>
      <c r="X9" t="n">
        <v>97.1208818526165</v>
      </c>
      <c r="Y9" t="n">
        <v>97.1208818526165</v>
      </c>
      <c r="Z9" t="n">
        <v>97.8195932328511</v>
      </c>
      <c r="AA9" t="n">
        <v>98.2622158266649</v>
      </c>
      <c r="AB9" t="n">
        <v>98.9231724353645</v>
      </c>
      <c r="AC9" t="n">
        <v>99.088595800641</v>
      </c>
      <c r="AD9" t="n">
        <v>99.79035639413</v>
      </c>
      <c r="AE9" t="n">
        <v>100</v>
      </c>
      <c r="AF9" t="n">
        <v>101.740294511379</v>
      </c>
    </row>
    <row r="10">
      <c r="A10" t="s">
        <v>80</v>
      </c>
      <c r="B10" t="s">
        <v>290</v>
      </c>
      <c r="C10" t="s">
        <v>217</v>
      </c>
      <c r="D10" t="s">
        <v>291</v>
      </c>
      <c r="E10" t="s">
        <v>218</v>
      </c>
      <c r="F10" t="n">
        <v>74.8993952759422</v>
      </c>
      <c r="G10" t="n">
        <v>79.5280095907476</v>
      </c>
      <c r="H10" t="n">
        <v>81.7964259716918</v>
      </c>
      <c r="I10" t="n">
        <v>85.8383820015023</v>
      </c>
      <c r="J10" t="n">
        <v>83.7899660673755</v>
      </c>
      <c r="K10" t="n">
        <v>86.9819647747041</v>
      </c>
      <c r="L10" t="n">
        <v>88.410921270738</v>
      </c>
      <c r="M10" t="n">
        <v>88.410921270738</v>
      </c>
      <c r="N10" t="n">
        <v>88.410921270738</v>
      </c>
      <c r="O10" t="n">
        <v>88.1824692777903</v>
      </c>
      <c r="P10" t="n">
        <v>88.8308697871858</v>
      </c>
      <c r="Q10" t="n">
        <v>90.9518315658125</v>
      </c>
      <c r="R10" t="n">
        <v>93.1408896236853</v>
      </c>
      <c r="S10" t="n">
        <v>95.8203648723967</v>
      </c>
      <c r="T10" t="n">
        <v>96.4187435039895</v>
      </c>
      <c r="U10" t="n">
        <v>97.4582986900163</v>
      </c>
      <c r="V10" t="n">
        <v>98.1269662625036</v>
      </c>
      <c r="W10" t="n">
        <v>97.3983006714454</v>
      </c>
      <c r="X10" t="n">
        <v>97.3983006714454</v>
      </c>
      <c r="Y10" t="n">
        <v>97.3983006714454</v>
      </c>
      <c r="Z10" t="n">
        <v>97.8390169640764</v>
      </c>
      <c r="AA10" t="n">
        <v>98.2837397684585</v>
      </c>
      <c r="AB10" t="n">
        <v>98.9418898115509</v>
      </c>
      <c r="AC10" t="n">
        <v>99.0686571271326</v>
      </c>
      <c r="AD10" t="n">
        <v>99.7626582278481</v>
      </c>
      <c r="AE10" t="n">
        <v>100</v>
      </c>
      <c r="AF10" t="n">
        <v>101.777777777778</v>
      </c>
    </row>
    <row r="11">
      <c r="A11" t="s">
        <v>80</v>
      </c>
      <c r="B11" t="s">
        <v>292</v>
      </c>
      <c r="C11" t="s">
        <v>217</v>
      </c>
      <c r="D11" t="s">
        <v>293</v>
      </c>
      <c r="E11" t="s">
        <v>218</v>
      </c>
      <c r="F11" t="n">
        <v>74.4646563773094</v>
      </c>
      <c r="G11" t="n">
        <v>79.1186974008913</v>
      </c>
      <c r="H11" t="n">
        <v>81.5757998046457</v>
      </c>
      <c r="I11" t="n">
        <v>85.4977132567921</v>
      </c>
      <c r="J11" t="n">
        <v>83.3423087209066</v>
      </c>
      <c r="K11" t="n">
        <v>86.5703558896741</v>
      </c>
      <c r="L11" t="n">
        <v>87.9230177004502</v>
      </c>
      <c r="M11" t="n">
        <v>87.9230177004502</v>
      </c>
      <c r="N11" t="n">
        <v>87.9230177004502</v>
      </c>
      <c r="O11" t="n">
        <v>87.6438970093377</v>
      </c>
      <c r="P11" t="n">
        <v>88.3622896077749</v>
      </c>
      <c r="Q11" t="n">
        <v>90.2225483363597</v>
      </c>
      <c r="R11" t="n">
        <v>92.3075231928722</v>
      </c>
      <c r="S11" t="n">
        <v>94.6458319830414</v>
      </c>
      <c r="T11" t="n">
        <v>95.178297985759</v>
      </c>
      <c r="U11" t="n">
        <v>96.292797962173</v>
      </c>
      <c r="V11" t="n">
        <v>97.3117693691801</v>
      </c>
      <c r="W11" t="n">
        <v>97.3117693691801</v>
      </c>
      <c r="X11" t="n">
        <v>97.3117693691801</v>
      </c>
      <c r="Y11" t="n">
        <v>97.3117693691801</v>
      </c>
      <c r="Z11" t="n">
        <v>97.85239031012</v>
      </c>
      <c r="AA11" t="n">
        <v>98.2992048777461</v>
      </c>
      <c r="AB11" t="n">
        <v>98.9545329102644</v>
      </c>
      <c r="AC11" t="n">
        <v>99.0572894345742</v>
      </c>
      <c r="AD11" t="n">
        <v>99.7458703939009</v>
      </c>
      <c r="AE11" t="n">
        <v>100</v>
      </c>
      <c r="AF11" t="n">
        <v>101.811594202899</v>
      </c>
    </row>
    <row r="12">
      <c r="A12" t="s">
        <v>80</v>
      </c>
      <c r="B12" t="s">
        <v>294</v>
      </c>
      <c r="C12" t="s">
        <v>217</v>
      </c>
      <c r="D12" t="s">
        <v>295</v>
      </c>
      <c r="E12" t="s">
        <v>218</v>
      </c>
      <c r="F12" t="n">
        <v>75.0219698353635</v>
      </c>
      <c r="G12" t="n">
        <v>79.9743567825686</v>
      </c>
      <c r="H12" t="n">
        <v>82.0806247584862</v>
      </c>
      <c r="I12" t="n">
        <v>86.3053627975259</v>
      </c>
      <c r="J12" t="n">
        <v>84.1071088170795</v>
      </c>
      <c r="K12" t="n">
        <v>87.3173038100978</v>
      </c>
      <c r="L12" t="n">
        <v>88.947226814553</v>
      </c>
      <c r="M12" t="n">
        <v>88.9011878772784</v>
      </c>
      <c r="N12" t="n">
        <v>88.9011878772784</v>
      </c>
      <c r="O12" t="n">
        <v>88.800904529419</v>
      </c>
      <c r="P12" t="n">
        <v>90.0019311333672</v>
      </c>
      <c r="Q12" t="n">
        <v>92.2137983701147</v>
      </c>
      <c r="R12" t="n">
        <v>94.4408201072562</v>
      </c>
      <c r="S12" t="n">
        <v>96.7973089007194</v>
      </c>
      <c r="T12" t="n">
        <v>97.5471912162834</v>
      </c>
      <c r="U12" t="n">
        <v>98.0828972089839</v>
      </c>
      <c r="V12" t="n">
        <v>98.303184457067</v>
      </c>
      <c r="W12" t="n">
        <v>97.4370771050223</v>
      </c>
      <c r="X12" t="n">
        <v>97.6398597837009</v>
      </c>
      <c r="Y12" t="n">
        <v>97.7905385796634</v>
      </c>
      <c r="Z12" t="n">
        <v>98.1203548986504</v>
      </c>
      <c r="AA12" t="n">
        <v>98.3565997338799</v>
      </c>
      <c r="AB12" t="n">
        <v>98.7531989263553</v>
      </c>
      <c r="AC12" t="n">
        <v>99.0975266771445</v>
      </c>
      <c r="AD12" t="n">
        <v>99.3506493506493</v>
      </c>
      <c r="AE12" t="n">
        <v>100</v>
      </c>
      <c r="AF12" t="n">
        <v>101.442307692308</v>
      </c>
    </row>
    <row r="13">
      <c r="A13" t="s">
        <v>80</v>
      </c>
      <c r="B13" t="s">
        <v>296</v>
      </c>
      <c r="C13" t="s">
        <v>217</v>
      </c>
      <c r="D13" t="s">
        <v>297</v>
      </c>
      <c r="E13" t="s">
        <v>218</v>
      </c>
      <c r="F13" t="n">
        <v>74.3566052744313</v>
      </c>
      <c r="G13" t="n">
        <v>79.1027715685439</v>
      </c>
      <c r="H13" t="n">
        <v>81.2302299725879</v>
      </c>
      <c r="I13" t="n">
        <v>85.3396330103795</v>
      </c>
      <c r="J13" t="n">
        <v>83.3319941720033</v>
      </c>
      <c r="K13" t="n">
        <v>86.4805002948837</v>
      </c>
      <c r="L13" t="n">
        <v>88.0854369598507</v>
      </c>
      <c r="M13" t="n">
        <v>88.0541677241532</v>
      </c>
      <c r="N13" t="n">
        <v>88.085796376353</v>
      </c>
      <c r="O13" t="n">
        <v>88.0041850764366</v>
      </c>
      <c r="P13" t="n">
        <v>89.2842459502757</v>
      </c>
      <c r="Q13" t="n">
        <v>91.5465591214891</v>
      </c>
      <c r="R13" t="n">
        <v>93.8371319101836</v>
      </c>
      <c r="S13" t="n">
        <v>96.3930070983987</v>
      </c>
      <c r="T13" t="n">
        <v>97.158030964259</v>
      </c>
      <c r="U13" t="n">
        <v>97.6913610604096</v>
      </c>
      <c r="V13" t="n">
        <v>97.9460973343612</v>
      </c>
      <c r="W13" t="n">
        <v>97.2459266623919</v>
      </c>
      <c r="X13" t="n">
        <v>97.4541620513906</v>
      </c>
      <c r="Y13" t="n">
        <v>97.5182344787748</v>
      </c>
      <c r="Z13" t="n">
        <v>97.9023805909591</v>
      </c>
      <c r="AA13" t="n">
        <v>98.2746329886434</v>
      </c>
      <c r="AB13" t="n">
        <v>98.7706563728132</v>
      </c>
      <c r="AC13" t="n">
        <v>99.1231289768399</v>
      </c>
      <c r="AD13" t="n">
        <v>99.4079655543595</v>
      </c>
      <c r="AE13" t="n">
        <v>100</v>
      </c>
      <c r="AF13" t="n">
        <v>101.772879731672</v>
      </c>
    </row>
    <row r="14">
      <c r="A14" t="s">
        <v>80</v>
      </c>
      <c r="B14" t="s">
        <v>298</v>
      </c>
      <c r="C14" t="s">
        <v>217</v>
      </c>
      <c r="D14" t="s">
        <v>299</v>
      </c>
      <c r="E14" t="s">
        <v>218</v>
      </c>
      <c r="F14" t="n">
        <v>71.9856337274957</v>
      </c>
      <c r="G14" t="n">
        <v>74.8650590765955</v>
      </c>
      <c r="H14" t="n">
        <v>77.5628990433197</v>
      </c>
      <c r="I14" t="n">
        <v>81.1427251530113</v>
      </c>
      <c r="J14" t="n">
        <v>81.1427251530113</v>
      </c>
      <c r="K14" t="n">
        <v>83.278060025459</v>
      </c>
      <c r="L14" t="n">
        <v>85.0106908045122</v>
      </c>
      <c r="M14" t="n">
        <v>85.0106908045122</v>
      </c>
      <c r="N14" t="n">
        <v>85.0106908045122</v>
      </c>
      <c r="O14" t="n">
        <v>85.0106908045122</v>
      </c>
      <c r="P14" t="n">
        <v>86.9427519591602</v>
      </c>
      <c r="Q14" t="n">
        <v>88.8748131138082</v>
      </c>
      <c r="R14" t="n">
        <v>92.1066244997648</v>
      </c>
      <c r="S14" t="n">
        <v>95.2827149997567</v>
      </c>
      <c r="T14" t="n">
        <v>97.3540783693167</v>
      </c>
      <c r="U14" t="n">
        <v>98.0031055584454</v>
      </c>
      <c r="V14" t="n">
        <v>98.0031055584454</v>
      </c>
      <c r="W14" t="n">
        <v>96.9141821633516</v>
      </c>
      <c r="X14" t="n">
        <v>96.9141821633516</v>
      </c>
      <c r="Y14" t="n">
        <v>97.291280148423</v>
      </c>
      <c r="Z14" t="n">
        <v>97.291280148423</v>
      </c>
      <c r="AA14" t="n">
        <v>97.291280148423</v>
      </c>
      <c r="AB14" t="n">
        <v>98.5714285714286</v>
      </c>
      <c r="AC14" t="n">
        <v>98.5714285714286</v>
      </c>
      <c r="AD14" t="n">
        <v>100</v>
      </c>
      <c r="AE14" t="n">
        <v>100</v>
      </c>
      <c r="AF14" t="n">
        <v>103.333333333333</v>
      </c>
    </row>
    <row r="15">
      <c r="A15" t="s">
        <v>80</v>
      </c>
      <c r="B15" t="s">
        <v>300</v>
      </c>
      <c r="C15" t="s">
        <v>217</v>
      </c>
      <c r="D15" t="s">
        <v>301</v>
      </c>
      <c r="E15" t="s">
        <v>218</v>
      </c>
      <c r="F15" t="n">
        <v>75.0795563338967</v>
      </c>
      <c r="G15" t="n">
        <v>79.3756617371987</v>
      </c>
      <c r="H15" t="n">
        <v>81.698851836824</v>
      </c>
      <c r="I15" t="n">
        <v>85.6648155182233</v>
      </c>
      <c r="J15" t="n">
        <v>84.2029585981171</v>
      </c>
      <c r="K15" t="n">
        <v>87.1226173567203</v>
      </c>
      <c r="L15" t="n">
        <v>88.9045614375377</v>
      </c>
      <c r="M15" t="n">
        <v>88.9045614375377</v>
      </c>
      <c r="N15" t="n">
        <v>89.0765238387708</v>
      </c>
      <c r="O15" t="n">
        <v>88.9011763508992</v>
      </c>
      <c r="P15" t="n">
        <v>90.0944807314482</v>
      </c>
      <c r="Q15" t="n">
        <v>91.97144908002</v>
      </c>
      <c r="R15" t="n">
        <v>94.1525901649217</v>
      </c>
      <c r="S15" t="n">
        <v>96.4077420251593</v>
      </c>
      <c r="T15" t="n">
        <v>97.7467384421754</v>
      </c>
      <c r="U15" t="n">
        <v>98.4049656370722</v>
      </c>
      <c r="V15" t="n">
        <v>98.6332834227731</v>
      </c>
      <c r="W15" t="n">
        <v>97.6710074869412</v>
      </c>
      <c r="X15" t="n">
        <v>97.6710074869412</v>
      </c>
      <c r="Y15" t="n">
        <v>97.895023559159</v>
      </c>
      <c r="Z15" t="n">
        <v>97.895023559159</v>
      </c>
      <c r="AA15" t="n">
        <v>98.2149419368033</v>
      </c>
      <c r="AB15" t="n">
        <v>98.8425134507765</v>
      </c>
      <c r="AC15" t="n">
        <v>99.0546218487395</v>
      </c>
      <c r="AD15" t="n">
        <v>99.4809688581315</v>
      </c>
      <c r="AE15" t="n">
        <v>100</v>
      </c>
      <c r="AF15" t="n">
        <v>101.797752808989</v>
      </c>
    </row>
    <row r="16">
      <c r="A16" t="s">
        <v>80</v>
      </c>
      <c r="B16" t="s">
        <v>302</v>
      </c>
      <c r="C16" t="s">
        <v>217</v>
      </c>
      <c r="D16" t="s">
        <v>303</v>
      </c>
      <c r="E16" t="s">
        <v>218</v>
      </c>
      <c r="F16" t="n">
        <v>75.2833297978685</v>
      </c>
      <c r="G16" t="n">
        <v>80.0766504217029</v>
      </c>
      <c r="H16" t="n">
        <v>82.219169496531</v>
      </c>
      <c r="I16" t="n">
        <v>86.276738900256</v>
      </c>
      <c r="J16" t="n">
        <v>84.3024428155819</v>
      </c>
      <c r="K16" t="n">
        <v>87.4776760666396</v>
      </c>
      <c r="L16" t="n">
        <v>89.123024205824</v>
      </c>
      <c r="M16" t="n">
        <v>89.123024205824</v>
      </c>
      <c r="N16" t="n">
        <v>89.4631884203501</v>
      </c>
      <c r="O16" t="n">
        <v>89.2023627981334</v>
      </c>
      <c r="P16" t="n">
        <v>90.0519091104965</v>
      </c>
      <c r="Q16" t="n">
        <v>91.8772856465201</v>
      </c>
      <c r="R16" t="n">
        <v>93.7333924272579</v>
      </c>
      <c r="S16" t="n">
        <v>95.7710748713287</v>
      </c>
      <c r="T16" t="n">
        <v>96.8977933992267</v>
      </c>
      <c r="U16" t="n">
        <v>97.5569620618064</v>
      </c>
      <c r="V16" t="n">
        <v>97.8490487745664</v>
      </c>
      <c r="W16" t="n">
        <v>97.8490487745664</v>
      </c>
      <c r="X16" t="n">
        <v>97.8490487745664</v>
      </c>
      <c r="Y16" t="n">
        <v>98.0081529189152</v>
      </c>
      <c r="Z16" t="n">
        <v>98.0081529189152</v>
      </c>
      <c r="AA16" t="n">
        <v>98.432430637179</v>
      </c>
      <c r="AB16" t="n">
        <v>98.8477573487282</v>
      </c>
      <c r="AC16" t="n">
        <v>99.1018646940977</v>
      </c>
      <c r="AD16" t="n">
        <v>99.4174757281553</v>
      </c>
      <c r="AE16" t="n">
        <v>100</v>
      </c>
      <c r="AF16" t="n">
        <v>101.558441558442</v>
      </c>
    </row>
    <row r="17">
      <c r="A17" t="s">
        <v>80</v>
      </c>
      <c r="B17" t="s">
        <v>304</v>
      </c>
      <c r="C17" t="s">
        <v>217</v>
      </c>
      <c r="D17" t="s">
        <v>305</v>
      </c>
      <c r="E17" t="s">
        <v>218</v>
      </c>
      <c r="F17" t="n">
        <v>75.4183523452419</v>
      </c>
      <c r="G17" t="n">
        <v>79.9891615782869</v>
      </c>
      <c r="H17" t="n">
        <v>82.1706841667856</v>
      </c>
      <c r="I17" t="n">
        <v>86.9342020894978</v>
      </c>
      <c r="J17" t="n">
        <v>85.0845382152532</v>
      </c>
      <c r="K17" t="n">
        <v>88.1545988725046</v>
      </c>
      <c r="L17" t="n">
        <v>89.8390816535079</v>
      </c>
      <c r="M17" t="n">
        <v>89.8390816535078</v>
      </c>
      <c r="N17" t="n">
        <v>89.8390816535078</v>
      </c>
      <c r="O17" t="n">
        <v>89.8390816535078</v>
      </c>
      <c r="P17" t="n">
        <v>91.2071894959471</v>
      </c>
      <c r="Q17" t="n">
        <v>93.4873692333457</v>
      </c>
      <c r="R17" t="n">
        <v>96.1680106450546</v>
      </c>
      <c r="S17" t="n">
        <v>98.6454067038265</v>
      </c>
      <c r="T17" t="n">
        <v>99.4201088507151</v>
      </c>
      <c r="U17" t="n">
        <v>99.8679471788715</v>
      </c>
      <c r="V17" t="n">
        <v>100.171497170297</v>
      </c>
      <c r="W17" t="n">
        <v>99.1596638655462</v>
      </c>
      <c r="X17" t="n">
        <v>99.1596638655462</v>
      </c>
      <c r="Y17" t="n">
        <v>99.1596638655462</v>
      </c>
      <c r="Z17" t="n">
        <v>99.1596638655462</v>
      </c>
      <c r="AA17" t="n">
        <v>99.1596638655462</v>
      </c>
      <c r="AB17" t="n">
        <v>100</v>
      </c>
      <c r="AC17" t="n">
        <v>100</v>
      </c>
      <c r="AD17" t="n">
        <v>100</v>
      </c>
      <c r="AE17" t="n">
        <v>100</v>
      </c>
      <c r="AF17" t="n">
        <v>101.694915254237</v>
      </c>
    </row>
    <row r="18">
      <c r="A18" t="s">
        <v>80</v>
      </c>
      <c r="B18" t="s">
        <v>306</v>
      </c>
      <c r="C18" t="s">
        <v>217</v>
      </c>
      <c r="D18" t="s">
        <v>307</v>
      </c>
      <c r="E18" t="s">
        <v>218</v>
      </c>
      <c r="F18" t="n">
        <v>71.5922507717043</v>
      </c>
      <c r="G18" t="n">
        <v>75.6014168149198</v>
      </c>
      <c r="H18" t="n">
        <v>77.7769971549175</v>
      </c>
      <c r="I18" t="n">
        <v>81.8231993190461</v>
      </c>
      <c r="J18" t="n">
        <v>80.0914913969499</v>
      </c>
      <c r="K18" t="n">
        <v>83.0456857517555</v>
      </c>
      <c r="L18" t="n">
        <v>84.8510267463589</v>
      </c>
      <c r="M18" t="n">
        <v>84.8510267463588</v>
      </c>
      <c r="N18" t="n">
        <v>84.8510267463588</v>
      </c>
      <c r="O18" t="n">
        <v>84.523416604481</v>
      </c>
      <c r="P18" t="n">
        <v>85.6733950616849</v>
      </c>
      <c r="Q18" t="n">
        <v>87.9428889706037</v>
      </c>
      <c r="R18" t="n">
        <v>90.5143184726681</v>
      </c>
      <c r="S18" t="n">
        <v>93.2993744256733</v>
      </c>
      <c r="T18" t="n">
        <v>94.1964837951509</v>
      </c>
      <c r="U18" t="n">
        <v>94.7473404255319</v>
      </c>
      <c r="V18" t="n">
        <v>95.766129032258</v>
      </c>
      <c r="W18" t="n">
        <v>95</v>
      </c>
      <c r="X18" t="n">
        <v>95</v>
      </c>
      <c r="Y18" t="n">
        <v>95</v>
      </c>
      <c r="Z18" t="n">
        <v>95</v>
      </c>
      <c r="AA18" t="n">
        <v>95</v>
      </c>
      <c r="AB18" t="n">
        <v>95</v>
      </c>
      <c r="AC18" t="n">
        <v>95</v>
      </c>
      <c r="AD18" t="n">
        <v>95</v>
      </c>
      <c r="AE18" t="n">
        <v>100</v>
      </c>
      <c r="AF18" t="n">
        <v>103.030303030303</v>
      </c>
    </row>
    <row r="19">
      <c r="A19" t="s">
        <v>80</v>
      </c>
      <c r="B19" t="s">
        <v>308</v>
      </c>
      <c r="C19" t="s">
        <v>217</v>
      </c>
      <c r="D19" t="s">
        <v>309</v>
      </c>
      <c r="E19" t="s">
        <v>218</v>
      </c>
      <c r="F19" t="n">
        <v>75.313864388885</v>
      </c>
      <c r="G19" t="n">
        <v>79.8586665502832</v>
      </c>
      <c r="H19" t="n">
        <v>82.0253745574614</v>
      </c>
      <c r="I19" t="n">
        <v>86.2254690378133</v>
      </c>
      <c r="J19" t="n">
        <v>84.0577896485946</v>
      </c>
      <c r="K19" t="n">
        <v>87.1642731790861</v>
      </c>
      <c r="L19" t="n">
        <v>88.8856502077575</v>
      </c>
      <c r="M19" t="n">
        <v>88.8856502077575</v>
      </c>
      <c r="N19" t="n">
        <v>89.1360323210188</v>
      </c>
      <c r="O19" t="n">
        <v>89.0064741345057</v>
      </c>
      <c r="P19" t="n">
        <v>89.8943192630294</v>
      </c>
      <c r="Q19" t="n">
        <v>92.0726953356392</v>
      </c>
      <c r="R19" t="n">
        <v>94.2707172402035</v>
      </c>
      <c r="S19" t="n">
        <v>97.0198025546201</v>
      </c>
      <c r="T19" t="n">
        <v>97.6666012383176</v>
      </c>
      <c r="U19" t="n">
        <v>98.7457902022769</v>
      </c>
      <c r="V19" t="n">
        <v>98.7457902022769</v>
      </c>
      <c r="W19" t="n">
        <v>98.7457902022769</v>
      </c>
      <c r="X19" t="n">
        <v>98.7457902022769</v>
      </c>
      <c r="Y19" t="n">
        <v>98.7457902022769</v>
      </c>
      <c r="Z19" t="n">
        <v>98.7457902022769</v>
      </c>
      <c r="AA19" t="n">
        <v>98.7457902022769</v>
      </c>
      <c r="AB19" t="n">
        <v>98.7457902022769</v>
      </c>
      <c r="AC19" t="n">
        <v>99.1270480795058</v>
      </c>
      <c r="AD19" t="n">
        <v>99.6732026143791</v>
      </c>
      <c r="AE19" t="n">
        <v>100</v>
      </c>
      <c r="AF19" t="n">
        <v>101.724137931034</v>
      </c>
    </row>
    <row r="20">
      <c r="A20" t="s">
        <v>80</v>
      </c>
      <c r="B20" t="s">
        <v>310</v>
      </c>
      <c r="C20" t="s">
        <v>217</v>
      </c>
      <c r="D20" t="s">
        <v>311</v>
      </c>
      <c r="E20" t="s">
        <v>218</v>
      </c>
      <c r="F20" t="e">
        <v>#NUM!</v>
      </c>
      <c r="G20" t="e">
        <v>#NUM!</v>
      </c>
      <c r="H20" t="e">
        <v>#NUM!</v>
      </c>
      <c r="I20" t="e">
        <v>#NUM!</v>
      </c>
      <c r="J20" t="e">
        <v>#NUM!</v>
      </c>
      <c r="K20" t="e">
        <v>#NUM!</v>
      </c>
      <c r="L20" t="e">
        <v>#NUM!</v>
      </c>
      <c r="M20" t="e">
        <v>#NUM!</v>
      </c>
      <c r="N20" t="e">
        <v>#NUM!</v>
      </c>
      <c r="O20" t="e">
        <v>#NUM!</v>
      </c>
      <c r="P20" t="e">
        <v>#NUM!</v>
      </c>
      <c r="Q20" t="e">
        <v>#NUM!</v>
      </c>
      <c r="R20" t="e">
        <v>#NUM!</v>
      </c>
      <c r="S20" t="e">
        <v>#NUM!</v>
      </c>
      <c r="T20" t="e">
        <v>#NUM!</v>
      </c>
      <c r="U20" t="n">
        <v>0</v>
      </c>
      <c r="V20" t="n">
        <v>99.5729683974184</v>
      </c>
      <c r="W20" t="n">
        <v>95.4240947141926</v>
      </c>
      <c r="X20" t="n">
        <v>98.8320980968423</v>
      </c>
      <c r="Y20" t="n">
        <v>98.8320980968423</v>
      </c>
      <c r="Z20" t="n">
        <v>99.1076755566814</v>
      </c>
      <c r="AA20" t="n">
        <v>99.1076755566814</v>
      </c>
      <c r="AB20" t="n">
        <v>99.1076755566814</v>
      </c>
      <c r="AC20" t="n">
        <v>99.4035782504215</v>
      </c>
      <c r="AD20" t="n">
        <v>100.102899906455</v>
      </c>
      <c r="AE20" t="n">
        <v>100</v>
      </c>
      <c r="AF20" t="n">
        <v>101.24145785877</v>
      </c>
    </row>
    <row r="21">
      <c r="A21" t="s">
        <v>80</v>
      </c>
      <c r="B21" t="s">
        <v>312</v>
      </c>
      <c r="C21" t="s">
        <v>217</v>
      </c>
      <c r="D21" t="s">
        <v>313</v>
      </c>
      <c r="E21" t="s">
        <v>218</v>
      </c>
      <c r="F21" t="n">
        <v>378.887128617873</v>
      </c>
      <c r="G21" t="n">
        <v>376.394450140124</v>
      </c>
      <c r="H21" t="n">
        <v>374.154006984528</v>
      </c>
      <c r="I21" t="n">
        <v>374.154006984528</v>
      </c>
      <c r="J21" t="n">
        <v>355.69797973417</v>
      </c>
      <c r="K21" t="n">
        <v>311.994473691747</v>
      </c>
      <c r="L21" t="n">
        <v>202.768401214385</v>
      </c>
      <c r="M21" t="n">
        <v>186.603980015583</v>
      </c>
      <c r="N21" t="n">
        <v>115.613335444437</v>
      </c>
      <c r="O21" t="n">
        <v>93.5497218100025</v>
      </c>
      <c r="P21" t="n">
        <v>93.5497218100025</v>
      </c>
      <c r="Q21" t="n">
        <v>94.8650078811449</v>
      </c>
      <c r="R21" t="n">
        <v>96.4959249220815</v>
      </c>
      <c r="S21" t="n">
        <v>98.1204354426553</v>
      </c>
      <c r="T21" t="n">
        <v>98.6355033452414</v>
      </c>
      <c r="U21" t="n">
        <v>98.9727187412935</v>
      </c>
      <c r="V21" t="n">
        <v>99.1773487593665</v>
      </c>
      <c r="W21" t="n">
        <v>98.6502102314123</v>
      </c>
      <c r="X21" t="n">
        <v>98.7527572274949</v>
      </c>
      <c r="Y21" t="n">
        <v>98.9375721193742</v>
      </c>
      <c r="Z21" t="n">
        <v>99.1851223415244</v>
      </c>
      <c r="AA21" t="n">
        <v>99.324819696935</v>
      </c>
      <c r="AB21" t="n">
        <v>99.1804522264452</v>
      </c>
      <c r="AC21" t="n">
        <v>99.4392400991822</v>
      </c>
      <c r="AD21" t="n">
        <v>100.095098123973</v>
      </c>
      <c r="AE21" t="n">
        <v>100</v>
      </c>
      <c r="AF21" t="n">
        <v>101.258348659375</v>
      </c>
    </row>
    <row r="22">
      <c r="A22" t="s">
        <v>80</v>
      </c>
      <c r="B22" t="s">
        <v>314</v>
      </c>
      <c r="C22" t="s">
        <v>217</v>
      </c>
      <c r="D22" t="s">
        <v>315</v>
      </c>
      <c r="E22" t="s">
        <v>218</v>
      </c>
      <c r="F22" t="n">
        <v>4917.03266588483</v>
      </c>
      <c r="G22" t="n">
        <v>4677.17741389045</v>
      </c>
      <c r="H22" t="n">
        <v>4471.58719789526</v>
      </c>
      <c r="I22" t="n">
        <v>4305.97285723248</v>
      </c>
      <c r="J22" t="n">
        <v>3938.79687715839</v>
      </c>
      <c r="K22" t="n">
        <v>2990.56799932396</v>
      </c>
      <c r="L22" t="n">
        <v>1584.07758634025</v>
      </c>
      <c r="M22" t="n">
        <v>895.758158942401</v>
      </c>
      <c r="N22" t="n">
        <v>131.086559845229</v>
      </c>
      <c r="O22" t="n">
        <v>93.957996652072</v>
      </c>
      <c r="P22" t="n">
        <v>93.957996652072</v>
      </c>
      <c r="Q22" t="n">
        <v>95.3253687447217</v>
      </c>
      <c r="R22" t="n">
        <v>97.1104880096041</v>
      </c>
      <c r="S22" t="n">
        <v>98.6044955174442</v>
      </c>
      <c r="T22" t="n">
        <v>98.9604684254494</v>
      </c>
      <c r="U22" t="n">
        <v>99.2139965256</v>
      </c>
      <c r="V22" t="n">
        <v>99.4420746785324</v>
      </c>
      <c r="W22" t="n">
        <v>98.9806265361726</v>
      </c>
      <c r="X22" t="n">
        <v>99.1805873978618</v>
      </c>
      <c r="Y22" t="n">
        <v>99.3740475813427</v>
      </c>
      <c r="Z22" t="n">
        <v>99.4908208452456</v>
      </c>
      <c r="AA22" t="n">
        <v>99.6972333366257</v>
      </c>
      <c r="AB22" t="n">
        <v>99.4795537878558</v>
      </c>
      <c r="AC22" t="n">
        <v>99.5693367786391</v>
      </c>
      <c r="AD22" t="n">
        <v>100</v>
      </c>
      <c r="AE22" t="n">
        <v>100</v>
      </c>
      <c r="AF22" t="n">
        <v>101.353965183752</v>
      </c>
    </row>
    <row r="23">
      <c r="A23" t="s">
        <v>80</v>
      </c>
      <c r="B23" t="s">
        <v>316</v>
      </c>
      <c r="C23" t="s">
        <v>217</v>
      </c>
      <c r="D23" t="s">
        <v>317</v>
      </c>
      <c r="E23" t="s">
        <v>218</v>
      </c>
      <c r="F23" t="n">
        <v>84.2292412067851</v>
      </c>
      <c r="G23" t="n">
        <v>89.5652558954329</v>
      </c>
      <c r="H23" t="n">
        <v>92.0768741824477</v>
      </c>
      <c r="I23" t="n">
        <v>96.7493212815167</v>
      </c>
      <c r="J23" t="n">
        <v>94.3503169038999</v>
      </c>
      <c r="K23" t="n">
        <v>97.953192967056</v>
      </c>
      <c r="L23" t="n">
        <v>100.791769792531</v>
      </c>
      <c r="M23" t="n">
        <v>101.209199037574</v>
      </c>
      <c r="N23" t="n">
        <v>100.789610387843</v>
      </c>
      <c r="O23" t="n">
        <v>100.609596795438</v>
      </c>
      <c r="P23" t="n">
        <v>102.192280986958</v>
      </c>
      <c r="Q23" t="n">
        <v>104.678639163035</v>
      </c>
      <c r="R23" t="n">
        <v>107.23761973136</v>
      </c>
      <c r="S23" t="n">
        <v>109.71715186212</v>
      </c>
      <c r="T23" t="n">
        <v>110.457888138958</v>
      </c>
      <c r="U23" t="n">
        <v>110.927921705507</v>
      </c>
      <c r="V23" t="n">
        <v>110.927921705507</v>
      </c>
      <c r="W23" t="n">
        <v>110.224733612286</v>
      </c>
      <c r="X23" t="n">
        <v>110.432443537435</v>
      </c>
      <c r="Y23" t="n">
        <v>110.665177875765</v>
      </c>
      <c r="Z23" t="n">
        <v>110.981364098267</v>
      </c>
      <c r="AA23" t="n">
        <v>111.311338421651</v>
      </c>
      <c r="AB23" t="n">
        <v>111.968688845401</v>
      </c>
      <c r="AC23" t="n">
        <v>112.720156555773</v>
      </c>
      <c r="AD23" t="n">
        <v>98.6301369863014</v>
      </c>
      <c r="AE23" t="n">
        <v>100</v>
      </c>
      <c r="AF23" t="n">
        <v>101.387406616862</v>
      </c>
    </row>
    <row r="24">
      <c r="A24" t="s">
        <v>80</v>
      </c>
      <c r="B24" t="s">
        <v>318</v>
      </c>
      <c r="C24" t="s">
        <v>217</v>
      </c>
      <c r="D24" t="s">
        <v>319</v>
      </c>
      <c r="E24" t="s">
        <v>218</v>
      </c>
      <c r="F24" t="n">
        <v>74.425100443213</v>
      </c>
      <c r="G24" t="n">
        <v>77.9865469674894</v>
      </c>
      <c r="H24" t="n">
        <v>80.6308934738913</v>
      </c>
      <c r="I24" t="n">
        <v>84.575208112313</v>
      </c>
      <c r="J24" t="n">
        <v>83.7275723962654</v>
      </c>
      <c r="K24" t="n">
        <v>86.3789455221471</v>
      </c>
      <c r="L24" t="n">
        <v>88.3527574735244</v>
      </c>
      <c r="M24" t="n">
        <v>88.9000216285565</v>
      </c>
      <c r="N24" t="n">
        <v>88.0239995176182</v>
      </c>
      <c r="O24" t="n">
        <v>87.9324865876453</v>
      </c>
      <c r="P24" t="n">
        <v>90.0044537954272</v>
      </c>
      <c r="Q24" t="n">
        <v>92.1198262974817</v>
      </c>
      <c r="R24" t="n">
        <v>94.577580047346</v>
      </c>
      <c r="S24" t="n">
        <v>96.8611433482879</v>
      </c>
      <c r="T24" t="n">
        <v>96.5033449295871</v>
      </c>
      <c r="U24" t="n">
        <v>97.3484190735668</v>
      </c>
      <c r="V24" t="n">
        <v>97.3810863282895</v>
      </c>
      <c r="W24" t="n">
        <v>96.6010776269539</v>
      </c>
      <c r="X24" t="n">
        <v>96.7410284819005</v>
      </c>
      <c r="Y24" t="n">
        <v>96.8715391442707</v>
      </c>
      <c r="Z24" t="n">
        <v>97.2404954931063</v>
      </c>
      <c r="AA24" t="n">
        <v>97.4586740297667</v>
      </c>
      <c r="AB24" t="n">
        <v>97.8969458816661</v>
      </c>
      <c r="AC24" t="n">
        <v>98.0959683603051</v>
      </c>
      <c r="AD24" t="n">
        <v>99.0610328638498</v>
      </c>
      <c r="AE24" t="n">
        <v>100</v>
      </c>
      <c r="AF24" t="n">
        <v>100.762673844773</v>
      </c>
    </row>
    <row r="25">
      <c r="A25" t="s">
        <v>80</v>
      </c>
      <c r="B25" t="s">
        <v>320</v>
      </c>
      <c r="C25" t="s">
        <v>217</v>
      </c>
      <c r="D25" t="s">
        <v>321</v>
      </c>
      <c r="E25" t="s">
        <v>218</v>
      </c>
      <c r="F25" t="n">
        <v>76.6209778226123</v>
      </c>
      <c r="G25" t="n">
        <v>80.103749541822</v>
      </c>
      <c r="H25" t="n">
        <v>82.7518073779153</v>
      </c>
      <c r="I25" t="n">
        <v>86.7467222168491</v>
      </c>
      <c r="J25" t="n">
        <v>85.7986706079218</v>
      </c>
      <c r="K25" t="n">
        <v>88.7141594149871</v>
      </c>
      <c r="L25" t="n">
        <v>90.873132321104</v>
      </c>
      <c r="M25" t="n">
        <v>91.499843578491</v>
      </c>
      <c r="N25" t="n">
        <v>90.2019734568103</v>
      </c>
      <c r="O25" t="n">
        <v>90.0714351450059</v>
      </c>
      <c r="P25" t="n">
        <v>92.2402940649281</v>
      </c>
      <c r="Q25" t="n">
        <v>94.4454923519995</v>
      </c>
      <c r="R25" t="n">
        <v>97.0027856833767</v>
      </c>
      <c r="S25" t="n">
        <v>99.3123758186952</v>
      </c>
      <c r="T25" t="n">
        <v>98.9092132646274</v>
      </c>
      <c r="U25" t="n">
        <v>99.6685930209777</v>
      </c>
      <c r="V25" t="n">
        <v>99.6685930209777</v>
      </c>
      <c r="W25" t="n">
        <v>96.7371638144784</v>
      </c>
      <c r="X25" t="n">
        <v>96.7371638144784</v>
      </c>
      <c r="Y25" t="n">
        <v>96.7371638144784</v>
      </c>
      <c r="Z25" t="n">
        <v>97.1121140618213</v>
      </c>
      <c r="AA25" t="n">
        <v>97.4011382108148</v>
      </c>
      <c r="AB25" t="n">
        <v>97.9569221663687</v>
      </c>
      <c r="AC25" t="n">
        <v>98.1964256435481</v>
      </c>
      <c r="AD25" t="n">
        <v>99.0654205607477</v>
      </c>
      <c r="AE25" t="n">
        <v>100</v>
      </c>
      <c r="AF25" t="n">
        <v>100.709219858156</v>
      </c>
    </row>
    <row r="26">
      <c r="A26" t="s">
        <v>80</v>
      </c>
      <c r="B26" t="s">
        <v>322</v>
      </c>
      <c r="C26" t="s">
        <v>217</v>
      </c>
      <c r="D26" t="s">
        <v>323</v>
      </c>
      <c r="E26" t="s">
        <v>218</v>
      </c>
      <c r="F26" t="n">
        <v>75.0276494842798</v>
      </c>
      <c r="G26" t="n">
        <v>78.9432338849745</v>
      </c>
      <c r="H26" t="n">
        <v>81.5826733157792</v>
      </c>
      <c r="I26" t="n">
        <v>85.5898827103829</v>
      </c>
      <c r="J26" t="n">
        <v>84.4738661855735</v>
      </c>
      <c r="K26" t="n">
        <v>87.2409810014795</v>
      </c>
      <c r="L26" t="n">
        <v>89.1513674467673</v>
      </c>
      <c r="M26" t="n">
        <v>89.6387109277081</v>
      </c>
      <c r="N26" t="n">
        <v>88.7692762921338</v>
      </c>
      <c r="O26" t="n">
        <v>88.6274075857309</v>
      </c>
      <c r="P26" t="n">
        <v>90.3675000796929</v>
      </c>
      <c r="Q26" t="n">
        <v>92.4483635820262</v>
      </c>
      <c r="R26" t="n">
        <v>94.8180521094862</v>
      </c>
      <c r="S26" t="n">
        <v>97.1036112168086</v>
      </c>
      <c r="T26" t="n">
        <v>96.9715274110274</v>
      </c>
      <c r="U26" t="n">
        <v>97.8064225768749</v>
      </c>
      <c r="V26" t="n">
        <v>97.9669583545964</v>
      </c>
      <c r="W26" t="n">
        <v>97.1021806642028</v>
      </c>
      <c r="X26" t="n">
        <v>97.2713482263355</v>
      </c>
      <c r="Y26" t="n">
        <v>97.4390092689549</v>
      </c>
      <c r="Z26" t="n">
        <v>97.8050711207167</v>
      </c>
      <c r="AA26" t="n">
        <v>97.9952053958347</v>
      </c>
      <c r="AB26" t="n">
        <v>98.4093226679646</v>
      </c>
      <c r="AC26" t="n">
        <v>98.6129843456715</v>
      </c>
      <c r="AD26" t="n">
        <v>99.1707500942329</v>
      </c>
      <c r="AE26" t="n">
        <v>100</v>
      </c>
      <c r="AF26" t="n">
        <v>100.906403940887</v>
      </c>
    </row>
    <row r="27">
      <c r="A27" t="s">
        <v>80</v>
      </c>
      <c r="B27" t="s">
        <v>324</v>
      </c>
      <c r="C27" t="s">
        <v>217</v>
      </c>
      <c r="D27" t="s">
        <v>325</v>
      </c>
      <c r="E27" t="s">
        <v>218</v>
      </c>
      <c r="F27" t="n">
        <v>73.4748660918744</v>
      </c>
      <c r="G27" t="n">
        <v>76.807419413536</v>
      </c>
      <c r="H27" t="n">
        <v>79.4429681189025</v>
      </c>
      <c r="I27" t="n">
        <v>83.3247643707107</v>
      </c>
      <c r="J27" t="n">
        <v>82.6643303070063</v>
      </c>
      <c r="K27" t="n">
        <v>85.2003451600826</v>
      </c>
      <c r="L27" t="n">
        <v>87.2574963510704</v>
      </c>
      <c r="M27" t="n">
        <v>87.8540155057682</v>
      </c>
      <c r="N27" t="n">
        <v>87.0326757948629</v>
      </c>
      <c r="O27" t="n">
        <v>87.0326757948629</v>
      </c>
      <c r="P27" t="n">
        <v>89.4192418715022</v>
      </c>
      <c r="Q27" t="n">
        <v>91.5764492478628</v>
      </c>
      <c r="R27" t="n">
        <v>94.1722900281194</v>
      </c>
      <c r="S27" t="n">
        <v>96.4631884823222</v>
      </c>
      <c r="T27" t="n">
        <v>95.7089495600324</v>
      </c>
      <c r="U27" t="n">
        <v>96.6426954093986</v>
      </c>
      <c r="V27" t="n">
        <v>96.5843186679854</v>
      </c>
      <c r="W27" t="n">
        <v>95.9776332492167</v>
      </c>
      <c r="X27" t="n">
        <v>96.1106583819252</v>
      </c>
      <c r="Y27" t="n">
        <v>96.2007339755353</v>
      </c>
      <c r="Z27" t="n">
        <v>96.5755420299854</v>
      </c>
      <c r="AA27" t="n">
        <v>96.8027785994677</v>
      </c>
      <c r="AB27" t="n">
        <v>97.2330131710209</v>
      </c>
      <c r="AC27" t="n">
        <v>97.4150974653487</v>
      </c>
      <c r="AD27" t="n">
        <v>98.851399856425</v>
      </c>
      <c r="AE27" t="n">
        <v>100</v>
      </c>
      <c r="AF27" t="n">
        <v>100.271923861319</v>
      </c>
    </row>
    <row r="28">
      <c r="A28" t="s">
        <v>80</v>
      </c>
      <c r="B28" t="s">
        <v>326</v>
      </c>
      <c r="C28" t="s">
        <v>217</v>
      </c>
      <c r="D28" t="s">
        <v>327</v>
      </c>
      <c r="E28" t="s">
        <v>218</v>
      </c>
      <c r="F28" t="n">
        <v>74.20800082722</v>
      </c>
      <c r="G28" t="n">
        <v>75.9248954479011</v>
      </c>
      <c r="H28" t="n">
        <v>78.3828956602433</v>
      </c>
      <c r="I28" t="n">
        <v>81.5090617322958</v>
      </c>
      <c r="J28" t="n">
        <v>82.7931504767656</v>
      </c>
      <c r="K28" t="n">
        <v>85.2137139453584</v>
      </c>
      <c r="L28" t="n">
        <v>88.3323601773792</v>
      </c>
      <c r="M28" t="n">
        <v>88.6700589874511</v>
      </c>
      <c r="N28" t="n">
        <v>88.8410480819173</v>
      </c>
      <c r="O28" t="n">
        <v>88.6556729163838</v>
      </c>
      <c r="P28" t="n">
        <v>90.6705745735743</v>
      </c>
      <c r="Q28" t="n">
        <v>92.8533847021974</v>
      </c>
      <c r="R28" t="n">
        <v>95.2297272490783</v>
      </c>
      <c r="S28" t="n">
        <v>97.3143075038632</v>
      </c>
      <c r="T28" t="n">
        <v>97.9688293461007</v>
      </c>
      <c r="U28" t="n">
        <v>98.5754474844666</v>
      </c>
      <c r="V28" t="n">
        <v>98.5754474844666</v>
      </c>
      <c r="W28" t="n">
        <v>97.1870609001784</v>
      </c>
      <c r="X28" t="n">
        <v>97.3569683493045</v>
      </c>
      <c r="Y28" t="n">
        <v>97.3569683493045</v>
      </c>
      <c r="Z28" t="n">
        <v>97.7839725964506</v>
      </c>
      <c r="AA28" t="n">
        <v>98.1315459587603</v>
      </c>
      <c r="AB28" t="n">
        <v>98.5676861630214</v>
      </c>
      <c r="AC28" t="n">
        <v>98.8247745463365</v>
      </c>
      <c r="AD28" t="n">
        <v>99.5391705069125</v>
      </c>
      <c r="AE28" t="n">
        <v>100</v>
      </c>
      <c r="AF28" t="n">
        <v>100.586041555674</v>
      </c>
    </row>
    <row r="29">
      <c r="A29" t="s">
        <v>80</v>
      </c>
      <c r="B29" t="s">
        <v>328</v>
      </c>
      <c r="C29" t="s">
        <v>217</v>
      </c>
      <c r="D29" t="s">
        <v>329</v>
      </c>
      <c r="E29" t="s">
        <v>218</v>
      </c>
      <c r="F29" t="n">
        <v>71.9681810446193</v>
      </c>
      <c r="G29" t="n">
        <v>74.5694406004489</v>
      </c>
      <c r="H29" t="n">
        <v>77.0277738070571</v>
      </c>
      <c r="I29" t="n">
        <v>80.171764574692</v>
      </c>
      <c r="J29" t="n">
        <v>81.4545128078871</v>
      </c>
      <c r="K29" t="n">
        <v>83.5840425544985</v>
      </c>
      <c r="L29" t="n">
        <v>85.2446526714753</v>
      </c>
      <c r="M29" t="n">
        <v>85.5627297336823</v>
      </c>
      <c r="N29" t="n">
        <v>85.0262862870762</v>
      </c>
      <c r="O29" t="n">
        <v>84.8051516023244</v>
      </c>
      <c r="P29" t="n">
        <v>86.5270836145543</v>
      </c>
      <c r="Q29" t="n">
        <v>88.5116497525028</v>
      </c>
      <c r="R29" t="n">
        <v>91.0088436326674</v>
      </c>
      <c r="S29" t="n">
        <v>92.9136798947465</v>
      </c>
      <c r="T29" t="n">
        <v>93.5500749625187</v>
      </c>
      <c r="U29" t="n">
        <v>97.8023510971787</v>
      </c>
      <c r="V29" t="n">
        <v>97.8023510971787</v>
      </c>
      <c r="W29" t="n">
        <v>97.8023510971787</v>
      </c>
      <c r="X29" t="n">
        <v>97.8023510971787</v>
      </c>
      <c r="Y29" t="n">
        <v>97.8023510971787</v>
      </c>
      <c r="Z29" t="n">
        <v>97.8023510971787</v>
      </c>
      <c r="AA29" t="n">
        <v>101.877449059561</v>
      </c>
      <c r="AB29" t="n">
        <v>100.73275862069</v>
      </c>
      <c r="AC29" t="n">
        <v>100.73275862069</v>
      </c>
      <c r="AD29" t="n">
        <v>102.5</v>
      </c>
      <c r="AE29" t="n">
        <v>100</v>
      </c>
      <c r="AF29" t="n">
        <v>88.2352941176471</v>
      </c>
    </row>
    <row r="30">
      <c r="A30" t="s">
        <v>80</v>
      </c>
      <c r="B30" t="s">
        <v>330</v>
      </c>
      <c r="C30" t="s">
        <v>217</v>
      </c>
      <c r="D30" t="s">
        <v>331</v>
      </c>
      <c r="E30" t="s">
        <v>218</v>
      </c>
      <c r="F30" t="e">
        <v>#NUM!</v>
      </c>
      <c r="G30" t="e">
        <v>#NUM!</v>
      </c>
      <c r="H30" t="e">
        <v>#NUM!</v>
      </c>
      <c r="I30" t="e">
        <v>#NUM!</v>
      </c>
      <c r="J30" t="e">
        <v>#NUM!</v>
      </c>
      <c r="K30" t="e">
        <v>#NUM!</v>
      </c>
      <c r="L30" t="e">
        <v>#NUM!</v>
      </c>
      <c r="M30" t="e">
        <v>#NUM!</v>
      </c>
      <c r="N30" t="e">
        <v>#NUM!</v>
      </c>
      <c r="O30" t="e">
        <v>#NUM!</v>
      </c>
      <c r="P30" t="e">
        <v>#NUM!</v>
      </c>
      <c r="Q30" t="e">
        <v>#NUM!</v>
      </c>
      <c r="R30" t="e">
        <v>#NUM!</v>
      </c>
      <c r="S30" t="e">
        <v>#NUM!</v>
      </c>
      <c r="T30" t="e">
        <v>#NUM!</v>
      </c>
      <c r="U30" t="e">
        <v>#NUM!</v>
      </c>
      <c r="V30" t="n">
        <v>0</v>
      </c>
      <c r="W30" t="e">
        <v>#NUM!</v>
      </c>
      <c r="X30" t="e">
        <v>#NUM!</v>
      </c>
      <c r="Y30" t="e">
        <v>#NUM!</v>
      </c>
      <c r="Z30" t="e">
        <v>#NUM!</v>
      </c>
      <c r="AA30" t="e">
        <v>#NUM!</v>
      </c>
      <c r="AB30" t="e">
        <v>#NUM!</v>
      </c>
      <c r="AC30" t="n">
        <v>0</v>
      </c>
      <c r="AD30" t="n">
        <v>100</v>
      </c>
      <c r="AE30" t="n">
        <v>100</v>
      </c>
      <c r="AF30" t="n">
        <v>100</v>
      </c>
    </row>
    <row r="31">
      <c r="A31" t="s">
        <v>80</v>
      </c>
      <c r="B31" t="s">
        <v>332</v>
      </c>
      <c r="C31" t="s">
        <v>217</v>
      </c>
      <c r="D31" t="s">
        <v>333</v>
      </c>
      <c r="E31" t="s">
        <v>218</v>
      </c>
      <c r="F31" t="e">
        <v>#NUM!</v>
      </c>
      <c r="G31" t="e">
        <v>#NUM!</v>
      </c>
      <c r="H31" t="e">
        <v>#NUM!</v>
      </c>
      <c r="I31" t="e">
        <v>#NUM!</v>
      </c>
      <c r="J31" t="e">
        <v>#NUM!</v>
      </c>
      <c r="K31" t="e">
        <v>#NUM!</v>
      </c>
      <c r="L31" t="e">
        <v>#NUM!</v>
      </c>
      <c r="M31" t="e">
        <v>#NUM!</v>
      </c>
      <c r="N31" t="e">
        <v>#NUM!</v>
      </c>
      <c r="O31" t="e">
        <v>#NUM!</v>
      </c>
      <c r="P31" t="e">
        <v>#NUM!</v>
      </c>
      <c r="Q31" t="e">
        <v>#NUM!</v>
      </c>
      <c r="R31" t="e">
        <v>#NUM!</v>
      </c>
      <c r="S31" t="e">
        <v>#NUM!</v>
      </c>
      <c r="T31" t="e">
        <v>#NUM!</v>
      </c>
      <c r="U31" t="n">
        <v>0</v>
      </c>
      <c r="V31" t="e">
        <v>#NUM!</v>
      </c>
      <c r="W31" t="e">
        <v>#NUM!</v>
      </c>
      <c r="X31" t="n">
        <v>0</v>
      </c>
      <c r="Y31" t="e">
        <v>#NUM!</v>
      </c>
      <c r="Z31" t="e">
        <v>#NUM!</v>
      </c>
      <c r="AA31" t="e">
        <v>#NUM!</v>
      </c>
      <c r="AB31" t="e">
        <v>#NUM!</v>
      </c>
      <c r="AC31" t="e">
        <v>#NUM!</v>
      </c>
      <c r="AD31" t="e">
        <v>#NUM!</v>
      </c>
      <c r="AE31" t="n">
        <v>0</v>
      </c>
      <c r="AF31" t="e">
        <v>#NUM!</v>
      </c>
    </row>
    <row r="32">
      <c r="A32" t="s">
        <v>80</v>
      </c>
      <c r="B32" t="s">
        <v>334</v>
      </c>
      <c r="C32" t="s">
        <v>217</v>
      </c>
      <c r="D32" t="s">
        <v>335</v>
      </c>
      <c r="E32" t="s">
        <v>218</v>
      </c>
      <c r="F32" t="n">
        <v>75.5425539958307</v>
      </c>
      <c r="G32" t="n">
        <v>78.5050070937064</v>
      </c>
      <c r="H32" t="n">
        <v>81.3087573470531</v>
      </c>
      <c r="I32" t="n">
        <v>85.3075486919901</v>
      </c>
      <c r="J32" t="n">
        <v>85.3075486919901</v>
      </c>
      <c r="K32" t="n">
        <v>87.0136996658299</v>
      </c>
      <c r="L32" t="n">
        <v>88.3627492730521</v>
      </c>
      <c r="M32" t="n">
        <v>88.3627492730521</v>
      </c>
      <c r="N32" t="n">
        <v>87.6075120997781</v>
      </c>
      <c r="O32" t="n">
        <v>87.6075120997781</v>
      </c>
      <c r="P32" t="n">
        <v>89.9374991237084</v>
      </c>
      <c r="Q32" t="n">
        <v>92.4015401955908</v>
      </c>
      <c r="R32" t="n">
        <v>94.8839696336813</v>
      </c>
      <c r="S32" t="n">
        <v>96.9609228860315</v>
      </c>
      <c r="T32" t="n">
        <v>97.6610017516346</v>
      </c>
      <c r="U32" t="n">
        <v>98.1768169017313</v>
      </c>
      <c r="V32" t="n">
        <v>98.1768169017313</v>
      </c>
      <c r="W32" t="n">
        <v>97.1433767238183</v>
      </c>
      <c r="X32" t="n">
        <v>97.353643773004</v>
      </c>
      <c r="Y32" t="n">
        <v>97.353643773004</v>
      </c>
      <c r="Z32" t="n">
        <v>97.6738860222573</v>
      </c>
      <c r="AA32" t="n">
        <v>97.9781660410183</v>
      </c>
      <c r="AB32" t="n">
        <v>98.511622480443</v>
      </c>
      <c r="AC32" t="n">
        <v>98.7842058298632</v>
      </c>
      <c r="AD32" t="n">
        <v>99.390243902439</v>
      </c>
      <c r="AE32" t="n">
        <v>100</v>
      </c>
      <c r="AF32" t="n">
        <v>100.694444444444</v>
      </c>
    </row>
    <row r="33">
      <c r="A33" t="s">
        <v>80</v>
      </c>
      <c r="B33" t="s">
        <v>336</v>
      </c>
      <c r="C33" t="s">
        <v>217</v>
      </c>
      <c r="D33" t="s">
        <v>337</v>
      </c>
      <c r="E33" t="s">
        <v>218</v>
      </c>
      <c r="F33" t="n">
        <v>71.2281287429534</v>
      </c>
      <c r="G33" t="n">
        <v>73.582777627018</v>
      </c>
      <c r="H33" t="n">
        <v>76.3700040522838</v>
      </c>
      <c r="I33" t="n">
        <v>80.0568318341182</v>
      </c>
      <c r="J33" t="n">
        <v>80.0568318341181</v>
      </c>
      <c r="K33" t="n">
        <v>82.0482953125788</v>
      </c>
      <c r="L33" t="n">
        <v>84.2658168075133</v>
      </c>
      <c r="M33" t="n">
        <v>84.2658168075133</v>
      </c>
      <c r="N33" t="n">
        <v>84.2658168075133</v>
      </c>
      <c r="O33" t="n">
        <v>82.453648704126</v>
      </c>
      <c r="P33" t="n">
        <v>84.261842754655</v>
      </c>
      <c r="Q33" t="n">
        <v>85.666206800566</v>
      </c>
      <c r="R33" t="n">
        <v>87.6526695669559</v>
      </c>
      <c r="S33" t="n">
        <v>89.6504512095076</v>
      </c>
      <c r="T33" t="n">
        <v>90.1260504201681</v>
      </c>
      <c r="U33" t="n">
        <v>90.1260504201681</v>
      </c>
      <c r="V33" t="n">
        <v>90.1260504201681</v>
      </c>
      <c r="W33" t="n">
        <v>90.1260504201681</v>
      </c>
      <c r="X33" t="n">
        <v>90.1260504201681</v>
      </c>
      <c r="Y33" t="n">
        <v>90.1260504201681</v>
      </c>
      <c r="Z33" t="n">
        <v>92.8571428571429</v>
      </c>
      <c r="AA33" t="n">
        <v>92.8571428571429</v>
      </c>
      <c r="AB33" t="n">
        <v>92.8571428571429</v>
      </c>
      <c r="AC33" t="n">
        <v>92.8571428571429</v>
      </c>
      <c r="AD33" t="n">
        <v>92.8571428571429</v>
      </c>
      <c r="AE33" t="n">
        <v>100</v>
      </c>
      <c r="AF33" t="n">
        <v>97.0588235294118</v>
      </c>
    </row>
    <row r="34">
      <c r="A34" t="s">
        <v>80</v>
      </c>
      <c r="B34" t="s">
        <v>338</v>
      </c>
      <c r="C34" t="s">
        <v>217</v>
      </c>
      <c r="D34" t="s">
        <v>339</v>
      </c>
      <c r="E34" t="s">
        <v>218</v>
      </c>
      <c r="F34" t="n">
        <v>73.6825516580806</v>
      </c>
      <c r="G34" t="n">
        <v>75.6904164018598</v>
      </c>
      <c r="H34" t="n">
        <v>78.8678251863457</v>
      </c>
      <c r="I34" t="n">
        <v>82.1375420275237</v>
      </c>
      <c r="J34" t="n">
        <v>83.7593053428175</v>
      </c>
      <c r="K34" t="n">
        <v>85.5655313776943</v>
      </c>
      <c r="L34" t="n">
        <v>87.9908099895931</v>
      </c>
      <c r="M34" t="n">
        <v>88.6284245547351</v>
      </c>
      <c r="N34" t="n">
        <v>88.1087790687464</v>
      </c>
      <c r="O34" t="n">
        <v>87.0378844363099</v>
      </c>
      <c r="P34" t="n">
        <v>88.7461844252463</v>
      </c>
      <c r="Q34" t="n">
        <v>90.4018337825039</v>
      </c>
      <c r="R34" t="n">
        <v>92.2247236347276</v>
      </c>
      <c r="S34" t="n">
        <v>94.9229966656108</v>
      </c>
      <c r="T34" t="n">
        <v>94.428415247245</v>
      </c>
      <c r="U34" t="n">
        <v>96.3835883502027</v>
      </c>
      <c r="V34" t="n">
        <v>97.1471390196437</v>
      </c>
      <c r="W34" t="n">
        <v>96.6297108490997</v>
      </c>
      <c r="X34" t="n">
        <v>95.8940849916297</v>
      </c>
      <c r="Y34" t="n">
        <v>95.6171191829447</v>
      </c>
      <c r="Z34" t="n">
        <v>96.2114757901425</v>
      </c>
      <c r="AA34" t="n">
        <v>96.7489700682997</v>
      </c>
      <c r="AB34" t="n">
        <v>97.6149087751762</v>
      </c>
      <c r="AC34" t="n">
        <v>97.5623145355344</v>
      </c>
      <c r="AD34" t="n">
        <v>99.6728462377317</v>
      </c>
      <c r="AE34" t="n">
        <v>100</v>
      </c>
      <c r="AF34" t="n">
        <v>102.189311010947</v>
      </c>
    </row>
    <row r="35">
      <c r="A35" t="s">
        <v>80</v>
      </c>
      <c r="B35" t="s">
        <v>340</v>
      </c>
      <c r="C35" t="s">
        <v>217</v>
      </c>
      <c r="D35" t="s">
        <v>341</v>
      </c>
      <c r="E35" t="s">
        <v>218</v>
      </c>
      <c r="F35" t="n">
        <v>82.2580998998625</v>
      </c>
      <c r="G35" t="n">
        <v>85.5867028295484</v>
      </c>
      <c r="H35" t="n">
        <v>88.8997364874664</v>
      </c>
      <c r="I35" t="n">
        <v>92.7257097183521</v>
      </c>
      <c r="J35" t="n">
        <v>92.537051102445</v>
      </c>
      <c r="K35" t="n">
        <v>95.2883734931859</v>
      </c>
      <c r="L35" t="n">
        <v>97.9970080166802</v>
      </c>
      <c r="M35" t="n">
        <v>98.6395270831416</v>
      </c>
      <c r="N35" t="n">
        <v>98.6395270831416</v>
      </c>
      <c r="O35" t="n">
        <v>97.3977228973381</v>
      </c>
      <c r="P35" t="n">
        <v>97.0745450528012</v>
      </c>
      <c r="Q35" t="n">
        <v>97.8161382159241</v>
      </c>
      <c r="R35" t="n">
        <v>98.9906967032977</v>
      </c>
      <c r="S35" t="n">
        <v>100.951948787283</v>
      </c>
      <c r="T35" t="n">
        <v>101.630880672557</v>
      </c>
      <c r="U35" t="n">
        <v>102.039310199707</v>
      </c>
      <c r="V35" t="n">
        <v>102.846583223439</v>
      </c>
      <c r="W35" t="n">
        <v>102.7214657256</v>
      </c>
      <c r="X35" t="n">
        <v>102.7214657256</v>
      </c>
      <c r="Y35" t="n">
        <v>102.550548145358</v>
      </c>
      <c r="Z35" t="n">
        <v>102.688942947174</v>
      </c>
      <c r="AA35" t="n">
        <v>103.842751294895</v>
      </c>
      <c r="AB35" t="n">
        <v>102.813246159784</v>
      </c>
      <c r="AC35" t="n">
        <v>101.290086957416</v>
      </c>
      <c r="AD35" t="n">
        <v>100.150715900528</v>
      </c>
      <c r="AE35" t="n">
        <v>100</v>
      </c>
      <c r="AF35" t="n">
        <v>101.829663212435</v>
      </c>
    </row>
    <row r="36">
      <c r="A36" t="s">
        <v>80</v>
      </c>
      <c r="B36" t="s">
        <v>342</v>
      </c>
      <c r="C36" t="s">
        <v>217</v>
      </c>
      <c r="D36" t="s">
        <v>343</v>
      </c>
      <c r="E36" t="s">
        <v>218</v>
      </c>
      <c r="F36" t="n">
        <v>77.1222990461553</v>
      </c>
      <c r="G36" t="n">
        <v>80.7648832030584</v>
      </c>
      <c r="H36" t="n">
        <v>83.6112226992014</v>
      </c>
      <c r="I36" t="n">
        <v>87.4210936842636</v>
      </c>
      <c r="J36" t="n">
        <v>86.7008375056084</v>
      </c>
      <c r="K36" t="n">
        <v>89.3985299431209</v>
      </c>
      <c r="L36" t="n">
        <v>92.0165377811095</v>
      </c>
      <c r="M36" t="n">
        <v>92.6683215903924</v>
      </c>
      <c r="N36" t="n">
        <v>92.4756639571483</v>
      </c>
      <c r="O36" t="n">
        <v>91.6014848245352</v>
      </c>
      <c r="P36" t="n">
        <v>92.0301969219979</v>
      </c>
      <c r="Q36" t="n">
        <v>93.645895603915</v>
      </c>
      <c r="R36" t="n">
        <v>95.4175747099351</v>
      </c>
      <c r="S36" t="n">
        <v>97.6524862145767</v>
      </c>
      <c r="T36" t="n">
        <v>98.3972933128235</v>
      </c>
      <c r="U36" t="n">
        <v>99.7807350465715</v>
      </c>
      <c r="V36" t="n">
        <v>100.935010901866</v>
      </c>
      <c r="W36" t="n">
        <v>100.363141151714</v>
      </c>
      <c r="X36" t="n">
        <v>100.108412367065</v>
      </c>
      <c r="Y36" t="n">
        <v>100.108412367065</v>
      </c>
      <c r="Z36" t="n">
        <v>100.5104541838</v>
      </c>
      <c r="AA36" t="n">
        <v>100.852326476942</v>
      </c>
      <c r="AB36" t="n">
        <v>100.572181125617</v>
      </c>
      <c r="AC36" t="n">
        <v>99.9996639655094</v>
      </c>
      <c r="AD36" t="n">
        <v>100.901916572717</v>
      </c>
      <c r="AE36" t="n">
        <v>100</v>
      </c>
      <c r="AF36" t="n">
        <v>102.793296089385</v>
      </c>
    </row>
    <row r="37">
      <c r="A37" t="s">
        <v>80</v>
      </c>
      <c r="B37" t="s">
        <v>344</v>
      </c>
      <c r="C37" t="s">
        <v>217</v>
      </c>
      <c r="D37" t="s">
        <v>345</v>
      </c>
      <c r="E37" t="s">
        <v>218</v>
      </c>
      <c r="F37" t="n">
        <v>96.6884838466985</v>
      </c>
      <c r="G37" t="n">
        <v>100.251543552942</v>
      </c>
      <c r="H37" t="n">
        <v>104.24930449217</v>
      </c>
      <c r="I37" t="n">
        <v>108.674640312645</v>
      </c>
      <c r="J37" t="n">
        <v>108.861259614842</v>
      </c>
      <c r="K37" t="n">
        <v>111.926232233459</v>
      </c>
      <c r="L37" t="n">
        <v>114.910931759685</v>
      </c>
      <c r="M37" t="n">
        <v>115.351766536257</v>
      </c>
      <c r="N37" t="n">
        <v>115.678079878651</v>
      </c>
      <c r="O37" t="n">
        <v>113.467670708995</v>
      </c>
      <c r="P37" t="n">
        <v>112.704746272688</v>
      </c>
      <c r="Q37" t="n">
        <v>112.854553201716</v>
      </c>
      <c r="R37" t="n">
        <v>113.563519555354</v>
      </c>
      <c r="S37" t="n">
        <v>115.005795065996</v>
      </c>
      <c r="T37" t="n">
        <v>115.580504758164</v>
      </c>
      <c r="U37" t="n">
        <v>115.453945212849</v>
      </c>
      <c r="V37" t="n">
        <v>116.062237864129</v>
      </c>
      <c r="W37" t="n">
        <v>116.062237864129</v>
      </c>
      <c r="X37" t="n">
        <v>116.183388425574</v>
      </c>
      <c r="Y37" t="n">
        <v>115.733936245978</v>
      </c>
      <c r="Z37" t="n">
        <v>115.840701869821</v>
      </c>
      <c r="AA37" t="n">
        <v>119.207274447279</v>
      </c>
      <c r="AB37" t="n">
        <v>117.93005364963</v>
      </c>
      <c r="AC37" t="n">
        <v>112.223760731099</v>
      </c>
      <c r="AD37" t="n">
        <v>97.7707006369427</v>
      </c>
      <c r="AE37" t="n">
        <v>100</v>
      </c>
      <c r="AF37" t="n">
        <v>101.798143851508</v>
      </c>
    </row>
    <row r="38">
      <c r="A38" t="s">
        <v>80</v>
      </c>
      <c r="B38" t="s">
        <v>346</v>
      </c>
      <c r="C38" t="s">
        <v>217</v>
      </c>
      <c r="D38" t="s">
        <v>347</v>
      </c>
      <c r="E38" t="s">
        <v>218</v>
      </c>
      <c r="F38" t="n">
        <v>84.5774915936937</v>
      </c>
      <c r="G38" t="n">
        <v>88.0807013046751</v>
      </c>
      <c r="H38" t="n">
        <v>91.8895964962286</v>
      </c>
      <c r="I38" t="n">
        <v>95.3247215988913</v>
      </c>
      <c r="J38" t="n">
        <v>94.9120604664286</v>
      </c>
      <c r="K38" t="n">
        <v>98.3152817580535</v>
      </c>
      <c r="L38" t="n">
        <v>100.721599843041</v>
      </c>
      <c r="M38" t="n">
        <v>101.519710776821</v>
      </c>
      <c r="N38" t="n">
        <v>101.80730202548</v>
      </c>
      <c r="O38" t="n">
        <v>100.820797160892</v>
      </c>
      <c r="P38" t="n">
        <v>100.820797160892</v>
      </c>
      <c r="Q38" t="n">
        <v>101.640478438623</v>
      </c>
      <c r="R38" t="n">
        <v>102.802083906493</v>
      </c>
      <c r="S38" t="n">
        <v>104.732639472812</v>
      </c>
      <c r="T38" t="n">
        <v>105.418661128748</v>
      </c>
      <c r="U38" t="n">
        <v>103.391379183964</v>
      </c>
      <c r="V38" t="n">
        <v>102.692788784073</v>
      </c>
      <c r="W38" t="n">
        <v>102.692788784073</v>
      </c>
      <c r="X38" t="n">
        <v>102.692788784073</v>
      </c>
      <c r="Y38" t="n">
        <v>103.26649151471</v>
      </c>
      <c r="Z38" t="n">
        <v>103.26649151471</v>
      </c>
      <c r="AA38" t="n">
        <v>101.328514462155</v>
      </c>
      <c r="AB38" t="n">
        <v>99.7098480969449</v>
      </c>
      <c r="AC38" t="n">
        <v>99.7098480969449</v>
      </c>
      <c r="AD38" t="n">
        <v>100.793650793651</v>
      </c>
      <c r="AE38" t="n">
        <v>100</v>
      </c>
      <c r="AF38" t="n">
        <v>100</v>
      </c>
    </row>
    <row r="39">
      <c r="A39" t="s">
        <v>80</v>
      </c>
      <c r="B39" t="s">
        <v>348</v>
      </c>
      <c r="C39" t="s">
        <v>217</v>
      </c>
      <c r="D39" t="s">
        <v>349</v>
      </c>
      <c r="E39" t="s">
        <v>218</v>
      </c>
      <c r="F39" t="n">
        <v>78.8541815231676</v>
      </c>
      <c r="G39" t="n">
        <v>80.5614439106787</v>
      </c>
      <c r="H39" t="n">
        <v>83.3705602612378</v>
      </c>
      <c r="I39" t="n">
        <v>87.8198150655224</v>
      </c>
      <c r="J39" t="n">
        <v>89.1176448448159</v>
      </c>
      <c r="K39" t="n">
        <v>90.9792668058599</v>
      </c>
      <c r="L39" t="n">
        <v>94.1078523218798</v>
      </c>
      <c r="M39" t="n">
        <v>95.2389563161332</v>
      </c>
      <c r="N39" t="n">
        <v>94.280174876709</v>
      </c>
      <c r="O39" t="n">
        <v>94.6588101171777</v>
      </c>
      <c r="P39" t="n">
        <v>97.6235155794607</v>
      </c>
      <c r="Q39" t="n">
        <v>100.20686766304</v>
      </c>
      <c r="R39" t="n">
        <v>103.193659545694</v>
      </c>
      <c r="S39" t="n">
        <v>105.500223364499</v>
      </c>
      <c r="T39" t="n">
        <v>105.076527688337</v>
      </c>
      <c r="U39" t="n">
        <v>105.586607919833</v>
      </c>
      <c r="V39" t="n">
        <v>105.757460036209</v>
      </c>
      <c r="W39" t="n">
        <v>105.583802466363</v>
      </c>
      <c r="X39" t="n">
        <v>105.778247774772</v>
      </c>
      <c r="Y39" t="n">
        <v>105.602536399731</v>
      </c>
      <c r="Z39" t="n">
        <v>105.942094394585</v>
      </c>
      <c r="AA39" t="n">
        <v>101.474656679151</v>
      </c>
      <c r="AB39" t="n">
        <v>99.0728896571593</v>
      </c>
      <c r="AC39" t="n">
        <v>97.5717852684145</v>
      </c>
      <c r="AD39" t="n">
        <v>100.936329588015</v>
      </c>
      <c r="AE39" t="n">
        <v>100</v>
      </c>
      <c r="AF39" t="n">
        <v>97.5103734439834</v>
      </c>
    </row>
    <row r="40">
      <c r="A40" t="s">
        <v>80</v>
      </c>
      <c r="B40" t="s">
        <v>350</v>
      </c>
      <c r="C40" t="s">
        <v>217</v>
      </c>
      <c r="D40" t="s">
        <v>351</v>
      </c>
      <c r="E40" t="s">
        <v>218</v>
      </c>
      <c r="F40" t="n">
        <v>113.337244690208</v>
      </c>
      <c r="G40" t="n">
        <v>113.337244690208</v>
      </c>
      <c r="H40" t="n">
        <v>117.245425541595</v>
      </c>
      <c r="I40" t="n">
        <v>121.153606392981</v>
      </c>
      <c r="J40" t="n">
        <v>121.153606392981</v>
      </c>
      <c r="K40" t="n">
        <v>123.787380445003</v>
      </c>
      <c r="L40" t="n">
        <v>127.879525253102</v>
      </c>
      <c r="M40" t="n">
        <v>128.023210112937</v>
      </c>
      <c r="N40" t="n">
        <v>127.607550339843</v>
      </c>
      <c r="O40" t="n">
        <v>125.565829534405</v>
      </c>
      <c r="P40" t="n">
        <v>125.565829534405</v>
      </c>
      <c r="Q40" t="n">
        <v>125.565829534405</v>
      </c>
      <c r="R40" t="n">
        <v>127.658593359979</v>
      </c>
      <c r="S40" t="n">
        <v>131.305981741693</v>
      </c>
      <c r="T40" t="n">
        <v>132.437929860155</v>
      </c>
      <c r="U40" t="n">
        <v>134.60904346442</v>
      </c>
      <c r="V40" t="n">
        <v>135.5481763258</v>
      </c>
      <c r="W40" t="n">
        <v>135.5481763258</v>
      </c>
      <c r="X40" t="n">
        <v>135.5481763258</v>
      </c>
      <c r="Y40" t="n">
        <v>134.45504587156</v>
      </c>
      <c r="Z40" t="n">
        <v>134.45504587156</v>
      </c>
      <c r="AA40" t="n">
        <v>134.45504587156</v>
      </c>
      <c r="AB40" t="n">
        <v>134.45504587156</v>
      </c>
      <c r="AC40" t="n">
        <v>146.146788990826</v>
      </c>
      <c r="AD40" t="n">
        <v>81.1926605504587</v>
      </c>
      <c r="AE40" t="n">
        <v>100</v>
      </c>
      <c r="AF40" t="n">
        <v>113.139931740614</v>
      </c>
    </row>
    <row r="41">
      <c r="A41" t="s">
        <v>80</v>
      </c>
      <c r="B41" t="s">
        <v>352</v>
      </c>
      <c r="C41" t="s">
        <v>217</v>
      </c>
      <c r="D41" t="s">
        <v>353</v>
      </c>
      <c r="E41" t="s">
        <v>218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80</v>
      </c>
      <c r="B42" t="s">
        <v>354</v>
      </c>
      <c r="C42" t="s">
        <v>217</v>
      </c>
      <c r="D42" t="s">
        <v>355</v>
      </c>
      <c r="E42" t="s">
        <v>218</v>
      </c>
      <c r="F42" t="n">
        <v>80.6090615220292</v>
      </c>
      <c r="G42" t="n">
        <v>83.1033796521449</v>
      </c>
      <c r="H42" t="n">
        <v>86.766338534884</v>
      </c>
      <c r="I42" t="n">
        <v>90.0711893893438</v>
      </c>
      <c r="J42" t="n">
        <v>91.2857415655755</v>
      </c>
      <c r="K42" t="n">
        <v>93.439271510766</v>
      </c>
      <c r="L42" t="n">
        <v>96.2380305628488</v>
      </c>
      <c r="M42" t="n">
        <v>97.0132506019051</v>
      </c>
      <c r="N42" t="n">
        <v>96.661912437661</v>
      </c>
      <c r="O42" t="n">
        <v>95.6104775670556</v>
      </c>
      <c r="P42" t="n">
        <v>95.6104775670556</v>
      </c>
      <c r="Q42" t="n">
        <v>96.7864982013367</v>
      </c>
      <c r="R42" t="n">
        <v>98.053592336903</v>
      </c>
      <c r="S42" t="n">
        <v>100.039823106726</v>
      </c>
      <c r="T42" t="n">
        <v>100.422628552287</v>
      </c>
      <c r="U42" t="n">
        <v>102.8634563296</v>
      </c>
      <c r="V42" t="n">
        <v>103.898994480569</v>
      </c>
      <c r="W42" t="n">
        <v>102.757247288474</v>
      </c>
      <c r="X42" t="n">
        <v>102.757247288474</v>
      </c>
      <c r="Y42" t="n">
        <v>102.93111741925</v>
      </c>
      <c r="Z42" t="n">
        <v>103.113296388134</v>
      </c>
      <c r="AA42" t="n">
        <v>102.045870959685</v>
      </c>
      <c r="AB42" t="n">
        <v>101.09439430738</v>
      </c>
      <c r="AC42" t="n">
        <v>100.749362244898</v>
      </c>
      <c r="AD42" t="n">
        <v>101.428571428571</v>
      </c>
      <c r="AE42" t="n">
        <v>100</v>
      </c>
      <c r="AF42" t="n">
        <v>92.2222222222222</v>
      </c>
    </row>
    <row r="43">
      <c r="A43" t="s">
        <v>80</v>
      </c>
      <c r="B43" t="s">
        <v>356</v>
      </c>
      <c r="C43" t="s">
        <v>217</v>
      </c>
      <c r="D43" t="s">
        <v>357</v>
      </c>
      <c r="E43" t="s">
        <v>218</v>
      </c>
      <c r="F43" t="n">
        <v>79.6027796691384</v>
      </c>
      <c r="G43" t="n">
        <v>82.0287691447693</v>
      </c>
      <c r="H43" t="n">
        <v>85.597306085522</v>
      </c>
      <c r="I43" t="n">
        <v>88.905639635915</v>
      </c>
      <c r="J43" t="n">
        <v>90.1119576771079</v>
      </c>
      <c r="K43" t="n">
        <v>92.2622063000933</v>
      </c>
      <c r="L43" t="n">
        <v>95.0521596195417</v>
      </c>
      <c r="M43" t="n">
        <v>95.7743794900152</v>
      </c>
      <c r="N43" t="n">
        <v>95.3622989758954</v>
      </c>
      <c r="O43" t="n">
        <v>94.4455857552822</v>
      </c>
      <c r="P43" t="n">
        <v>94.8820760418461</v>
      </c>
      <c r="Q43" t="n">
        <v>96.2011912996275</v>
      </c>
      <c r="R43" t="n">
        <v>97.7438913245804</v>
      </c>
      <c r="S43" t="n">
        <v>99.635160742881</v>
      </c>
      <c r="T43" t="n">
        <v>100.316868033735</v>
      </c>
      <c r="U43" t="n">
        <v>101.299110675189</v>
      </c>
      <c r="V43" t="n">
        <v>101.859083647412</v>
      </c>
      <c r="W43" t="n">
        <v>101.068252252634</v>
      </c>
      <c r="X43" t="n">
        <v>101.068252252634</v>
      </c>
      <c r="Y43" t="n">
        <v>101.241314328409</v>
      </c>
      <c r="Z43" t="n">
        <v>101.420820204878</v>
      </c>
      <c r="AA43" t="n">
        <v>101.151083980929</v>
      </c>
      <c r="AB43" t="n">
        <v>100.454451171143</v>
      </c>
      <c r="AC43" t="n">
        <v>100.224402809683</v>
      </c>
      <c r="AD43" t="n">
        <v>100.393700787402</v>
      </c>
      <c r="AE43" t="n">
        <v>100</v>
      </c>
      <c r="AF43" t="n">
        <v>94.9907235621521</v>
      </c>
    </row>
    <row r="44">
      <c r="A44" t="s">
        <v>80</v>
      </c>
      <c r="B44" t="s">
        <v>358</v>
      </c>
      <c r="C44" t="s">
        <v>217</v>
      </c>
      <c r="D44" t="s">
        <v>359</v>
      </c>
      <c r="E44" t="s">
        <v>218</v>
      </c>
      <c r="F44" t="n">
        <v>76.522029489335</v>
      </c>
      <c r="G44" t="n">
        <v>80.0685842304484</v>
      </c>
      <c r="H44" t="n">
        <v>82.7133493906549</v>
      </c>
      <c r="I44" t="n">
        <v>86.6275370491981</v>
      </c>
      <c r="J44" t="n">
        <v>85.9425374750904</v>
      </c>
      <c r="K44" t="n">
        <v>88.564047019035</v>
      </c>
      <c r="L44" t="n">
        <v>90.3721309284487</v>
      </c>
      <c r="M44" t="n">
        <v>90.5712480989294</v>
      </c>
      <c r="N44" t="n">
        <v>90.2132674997622</v>
      </c>
      <c r="O44" t="n">
        <v>89.786363905688</v>
      </c>
      <c r="P44" t="n">
        <v>91.109728034695</v>
      </c>
      <c r="Q44" t="n">
        <v>93.0358782752981</v>
      </c>
      <c r="R44" t="n">
        <v>95.1352862389922</v>
      </c>
      <c r="S44" t="n">
        <v>97.2834449993297</v>
      </c>
      <c r="T44" t="n">
        <v>97.6712105209863</v>
      </c>
      <c r="U44" t="n">
        <v>98.2695233983727</v>
      </c>
      <c r="V44" t="n">
        <v>98.5349041877062</v>
      </c>
      <c r="W44" t="n">
        <v>97.9107060235525</v>
      </c>
      <c r="X44" t="n">
        <v>98.0095379846419</v>
      </c>
      <c r="Y44" t="n">
        <v>98.0896809779787</v>
      </c>
      <c r="Z44" t="n">
        <v>98.3813791220161</v>
      </c>
      <c r="AA44" t="n">
        <v>98.6866997733219</v>
      </c>
      <c r="AB44" t="n">
        <v>98.9627878578154</v>
      </c>
      <c r="AC44" t="n">
        <v>99.1462383186013</v>
      </c>
      <c r="AD44" t="n">
        <v>99.6057410320652</v>
      </c>
      <c r="AE44" t="n">
        <v>100</v>
      </c>
      <c r="AF44" t="n">
        <v>101.293629484989</v>
      </c>
    </row>
    <row r="45">
      <c r="A45" t="s">
        <v>80</v>
      </c>
      <c r="B45" t="s">
        <v>360</v>
      </c>
      <c r="C45" t="s">
        <v>217</v>
      </c>
      <c r="D45" t="s">
        <v>361</v>
      </c>
      <c r="E45" t="s">
        <v>218</v>
      </c>
      <c r="F45" t="n">
        <v>76.2885383894339</v>
      </c>
      <c r="G45" t="n">
        <v>79.7021449940541</v>
      </c>
      <c r="H45" t="n">
        <v>82.3625997445745</v>
      </c>
      <c r="I45" t="n">
        <v>86.251114433934</v>
      </c>
      <c r="J45" t="n">
        <v>85.7104420136297</v>
      </c>
      <c r="K45" t="n">
        <v>88.2570705142459</v>
      </c>
      <c r="L45" t="n">
        <v>90.066325884691</v>
      </c>
      <c r="M45" t="n">
        <v>90.2791607108117</v>
      </c>
      <c r="N45" t="n">
        <v>89.8602031316555</v>
      </c>
      <c r="O45" t="n">
        <v>89.401149650695</v>
      </c>
      <c r="P45" t="n">
        <v>90.7727467655573</v>
      </c>
      <c r="Q45" t="n">
        <v>92.6804023625771</v>
      </c>
      <c r="R45" t="n">
        <v>94.8241703776734</v>
      </c>
      <c r="S45" t="n">
        <v>97.0584469074009</v>
      </c>
      <c r="T45" t="n">
        <v>97.4284868021783</v>
      </c>
      <c r="U45" t="n">
        <v>98.1543150706186</v>
      </c>
      <c r="V45" t="n">
        <v>98.4381422924624</v>
      </c>
      <c r="W45" t="n">
        <v>97.7937822281159</v>
      </c>
      <c r="X45" t="n">
        <v>97.843073448997</v>
      </c>
      <c r="Y45" t="n">
        <v>97.9023543174908</v>
      </c>
      <c r="Z45" t="n">
        <v>98.2369845031479</v>
      </c>
      <c r="AA45" t="n">
        <v>98.5346522900068</v>
      </c>
      <c r="AB45" t="n">
        <v>98.8710805184428</v>
      </c>
      <c r="AC45" t="n">
        <v>99.059406386097</v>
      </c>
      <c r="AD45" t="n">
        <v>99.6438044713907</v>
      </c>
      <c r="AE45" t="n">
        <v>100</v>
      </c>
      <c r="AF45" t="n">
        <v>101.228638989786</v>
      </c>
    </row>
    <row r="46">
      <c r="A46" t="s">
        <v>80</v>
      </c>
      <c r="B46" t="s">
        <v>362</v>
      </c>
      <c r="C46" t="s">
        <v>217</v>
      </c>
      <c r="D46" t="s">
        <v>363</v>
      </c>
      <c r="E46" t="s">
        <v>218</v>
      </c>
      <c r="F46" t="n">
        <v>78.9157467377207</v>
      </c>
      <c r="G46" t="n">
        <v>81.1253876463769</v>
      </c>
      <c r="H46" t="n">
        <v>84.4061937644289</v>
      </c>
      <c r="I46" t="n">
        <v>87.9231185046135</v>
      </c>
      <c r="J46" t="n">
        <v>89.1545347301683</v>
      </c>
      <c r="K46" t="n">
        <v>91.4090172175978</v>
      </c>
      <c r="L46" t="n">
        <v>94.2775010214973</v>
      </c>
      <c r="M46" t="n">
        <v>94.8751396967525</v>
      </c>
      <c r="N46" t="n">
        <v>94.220828388499</v>
      </c>
      <c r="O46" t="n">
        <v>93.5900613365258</v>
      </c>
      <c r="P46" t="n">
        <v>94.2994128198912</v>
      </c>
      <c r="Q46" t="n">
        <v>95.712726250997</v>
      </c>
      <c r="R46" t="n">
        <v>97.4420736328775</v>
      </c>
      <c r="S46" t="n">
        <v>99.3157920687122</v>
      </c>
      <c r="T46" t="n">
        <v>100.050769588352</v>
      </c>
      <c r="U46" t="n">
        <v>100.558641515196</v>
      </c>
      <c r="V46" t="n">
        <v>100.890244619945</v>
      </c>
      <c r="W46" t="n">
        <v>100.235113161374</v>
      </c>
      <c r="X46" t="n">
        <v>100.235113161374</v>
      </c>
      <c r="Y46" t="n">
        <v>100.408830861827</v>
      </c>
      <c r="Z46" t="n">
        <v>100.586965984586</v>
      </c>
      <c r="AA46" t="n">
        <v>100.685484070761</v>
      </c>
      <c r="AB46" t="n">
        <v>100.094953372399</v>
      </c>
      <c r="AC46" t="n">
        <v>99.898109806278</v>
      </c>
      <c r="AD46" t="n">
        <v>99.8498498498499</v>
      </c>
      <c r="AE46" t="n">
        <v>100</v>
      </c>
      <c r="AF46" t="n">
        <v>97.7695167286245</v>
      </c>
    </row>
    <row r="47">
      <c r="A47" t="s">
        <v>80</v>
      </c>
      <c r="B47" t="s">
        <v>364</v>
      </c>
      <c r="C47" t="s">
        <v>217</v>
      </c>
      <c r="D47" t="s">
        <v>365</v>
      </c>
      <c r="E47" t="s">
        <v>218</v>
      </c>
      <c r="F47" t="n">
        <v>76.3265304693931</v>
      </c>
      <c r="G47" t="n">
        <v>77.442415417776</v>
      </c>
      <c r="H47" t="n">
        <v>80.0670189433034</v>
      </c>
      <c r="I47" t="n">
        <v>80.1758491441539</v>
      </c>
      <c r="J47" t="n">
        <v>78.7309282560227</v>
      </c>
      <c r="K47" t="n">
        <v>82.9013403175796</v>
      </c>
      <c r="L47" t="n">
        <v>88.2890877892656</v>
      </c>
      <c r="M47" t="n">
        <v>89.54386122776</v>
      </c>
      <c r="N47" t="n">
        <v>90.4598833970174</v>
      </c>
      <c r="O47" t="n">
        <v>90.9259346067401</v>
      </c>
      <c r="P47" t="n">
        <v>92.0799031683784</v>
      </c>
      <c r="Q47" t="n">
        <v>93.689410302942</v>
      </c>
      <c r="R47" t="n">
        <v>94.780170029191</v>
      </c>
      <c r="S47" t="n">
        <v>97.6963572825239</v>
      </c>
      <c r="T47" t="n">
        <v>98.5585242419063</v>
      </c>
      <c r="U47" t="n">
        <v>100.583288720459</v>
      </c>
      <c r="V47" t="n">
        <v>100.736320003436</v>
      </c>
      <c r="W47" t="n">
        <v>100.701856671242</v>
      </c>
      <c r="X47" t="n">
        <v>100.762429216608</v>
      </c>
      <c r="Y47" t="n">
        <v>101.083383923996</v>
      </c>
      <c r="Z47" t="n">
        <v>101.239583413503</v>
      </c>
      <c r="AA47" t="n">
        <v>99.4372826651966</v>
      </c>
      <c r="AB47" t="n">
        <v>99.569477935956</v>
      </c>
      <c r="AC47" t="n">
        <v>100.22778853388</v>
      </c>
      <c r="AD47" t="n">
        <v>101.244813278008</v>
      </c>
      <c r="AE47" t="n">
        <v>100</v>
      </c>
      <c r="AF47" t="n">
        <v>100.103666006974</v>
      </c>
    </row>
    <row r="48">
      <c r="A48" t="s">
        <v>80</v>
      </c>
      <c r="B48" t="s">
        <v>366</v>
      </c>
      <c r="C48" t="s">
        <v>217</v>
      </c>
      <c r="D48" t="s">
        <v>367</v>
      </c>
      <c r="E48" t="s">
        <v>218</v>
      </c>
      <c r="F48" t="n">
        <v>78.392067615337</v>
      </c>
      <c r="G48" t="n">
        <v>80.1777426200512</v>
      </c>
      <c r="H48" t="n">
        <v>83.2912207206598</v>
      </c>
      <c r="I48" t="n">
        <v>84.3676518693</v>
      </c>
      <c r="J48" t="n">
        <v>83.5617210114276</v>
      </c>
      <c r="K48" t="n">
        <v>86.2886602581388</v>
      </c>
      <c r="L48" t="n">
        <v>90.0861501056077</v>
      </c>
      <c r="M48" t="n">
        <v>91.0762953976534</v>
      </c>
      <c r="N48" t="n">
        <v>91.6984858546203</v>
      </c>
      <c r="O48" t="n">
        <v>91.6010724489674</v>
      </c>
      <c r="P48" t="n">
        <v>92.2360994458337</v>
      </c>
      <c r="Q48" t="n">
        <v>93.603315964168</v>
      </c>
      <c r="R48" t="n">
        <v>94.8051561006649</v>
      </c>
      <c r="S48" t="n">
        <v>97.5523151907223</v>
      </c>
      <c r="T48" t="n">
        <v>98.2528815470332</v>
      </c>
      <c r="U48" t="n">
        <v>100.12533208003</v>
      </c>
      <c r="V48" t="n">
        <v>100.34891686543</v>
      </c>
      <c r="W48" t="n">
        <v>100.137031483535</v>
      </c>
      <c r="X48" t="n">
        <v>100.137031483535</v>
      </c>
      <c r="Y48" t="n">
        <v>100.431400650827</v>
      </c>
      <c r="Z48" t="n">
        <v>100.564775684891</v>
      </c>
      <c r="AA48" t="n">
        <v>99.7693480806041</v>
      </c>
      <c r="AB48" t="n">
        <v>99.8131001701</v>
      </c>
      <c r="AC48" t="n">
        <v>99.9793722010347</v>
      </c>
      <c r="AD48" t="n">
        <v>100.832292967124</v>
      </c>
      <c r="AE48" t="n">
        <v>100</v>
      </c>
      <c r="AF48" t="n">
        <v>100.418164478028</v>
      </c>
    </row>
    <row r="49">
      <c r="A49" t="s">
        <v>80</v>
      </c>
      <c r="B49" t="s">
        <v>368</v>
      </c>
      <c r="C49" t="s">
        <v>217</v>
      </c>
      <c r="D49" t="s">
        <v>369</v>
      </c>
      <c r="E49" t="s">
        <v>218</v>
      </c>
      <c r="F49" t="n">
        <v>80.5170979992043</v>
      </c>
      <c r="G49" t="n">
        <v>82.4242043065222</v>
      </c>
      <c r="H49" t="n">
        <v>85.8658069176296</v>
      </c>
      <c r="I49" t="n">
        <v>89.5310834232234</v>
      </c>
      <c r="J49" t="n">
        <v>91.20456161805</v>
      </c>
      <c r="K49" t="n">
        <v>93.129425115886</v>
      </c>
      <c r="L49" t="n">
        <v>96.0582903542616</v>
      </c>
      <c r="M49" t="n">
        <v>96.8996768391165</v>
      </c>
      <c r="N49" t="n">
        <v>96.0030961993239</v>
      </c>
      <c r="O49" t="n">
        <v>94.911023750314</v>
      </c>
      <c r="P49" t="n">
        <v>95.342682755432</v>
      </c>
      <c r="Q49" t="n">
        <v>96.2361215496596</v>
      </c>
      <c r="R49" t="n">
        <v>98.0547569175272</v>
      </c>
      <c r="S49" t="n">
        <v>99.9532529959932</v>
      </c>
      <c r="T49" t="n">
        <v>99.4062062634115</v>
      </c>
      <c r="U49" t="n">
        <v>101.482576107034</v>
      </c>
      <c r="V49" t="n">
        <v>102.383309031061</v>
      </c>
      <c r="W49" t="n">
        <v>101.009036426617</v>
      </c>
      <c r="X49" t="n">
        <v>101.009036426617</v>
      </c>
      <c r="Y49" t="n">
        <v>101.245591547054</v>
      </c>
      <c r="Z49" t="n">
        <v>101.245591547054</v>
      </c>
      <c r="AA49" t="n">
        <v>100.495624202261</v>
      </c>
      <c r="AB49" t="n">
        <v>99.6948622564262</v>
      </c>
      <c r="AC49" t="n">
        <v>99.4858583523247</v>
      </c>
      <c r="AD49" t="n">
        <v>100.547445255474</v>
      </c>
      <c r="AE49" t="n">
        <v>100</v>
      </c>
      <c r="AF49" t="n">
        <v>100</v>
      </c>
    </row>
    <row r="50">
      <c r="A50" t="s">
        <v>80</v>
      </c>
      <c r="B50" t="s">
        <v>370</v>
      </c>
      <c r="C50" t="s">
        <v>217</v>
      </c>
      <c r="D50" t="s">
        <v>371</v>
      </c>
      <c r="E50" t="s">
        <v>218</v>
      </c>
      <c r="F50" t="n">
        <v>80.0789048116313</v>
      </c>
      <c r="G50" t="n">
        <v>82.9366225911836</v>
      </c>
      <c r="H50" t="n">
        <v>86.3325450128488</v>
      </c>
      <c r="I50" t="n">
        <v>89.7976658301037</v>
      </c>
      <c r="J50" t="n">
        <v>90.4270362038817</v>
      </c>
      <c r="K50" t="n">
        <v>92.7972444602185</v>
      </c>
      <c r="L50" t="n">
        <v>95.6471876266594</v>
      </c>
      <c r="M50" t="n">
        <v>96.2329772674436</v>
      </c>
      <c r="N50" t="n">
        <v>96.0452666485864</v>
      </c>
      <c r="O50" t="n">
        <v>95.0216070649524</v>
      </c>
      <c r="P50" t="n">
        <v>94.8623084780874</v>
      </c>
      <c r="Q50" t="n">
        <v>95.8756281249363</v>
      </c>
      <c r="R50" t="n">
        <v>97.3081626391638</v>
      </c>
      <c r="S50" t="n">
        <v>99.48171266375</v>
      </c>
      <c r="T50" t="n">
        <v>99.4258554415918</v>
      </c>
      <c r="U50" t="n">
        <v>99.9558005505465</v>
      </c>
      <c r="V50" t="n">
        <v>100.262144948031</v>
      </c>
      <c r="W50" t="n">
        <v>99.7804049122444</v>
      </c>
      <c r="X50" t="n">
        <v>99.7341674678921</v>
      </c>
      <c r="Y50" t="n">
        <v>99.7978953704275</v>
      </c>
      <c r="Z50" t="n">
        <v>99.8524297394823</v>
      </c>
      <c r="AA50" t="n">
        <v>100.034975314874</v>
      </c>
      <c r="AB50" t="n">
        <v>99.6625789432974</v>
      </c>
      <c r="AC50" t="n">
        <v>99.5342304836151</v>
      </c>
      <c r="AD50" t="n">
        <v>100.273117440499</v>
      </c>
      <c r="AE50" t="n">
        <v>100</v>
      </c>
      <c r="AF50" t="n">
        <v>101.74176448315</v>
      </c>
    </row>
    <row r="51">
      <c r="A51" t="s">
        <v>80</v>
      </c>
      <c r="B51" t="s">
        <v>372</v>
      </c>
      <c r="C51" t="s">
        <v>217</v>
      </c>
      <c r="D51" t="s">
        <v>373</v>
      </c>
      <c r="E51" t="s">
        <v>218</v>
      </c>
      <c r="F51" t="n">
        <v>80.0350637126107</v>
      </c>
      <c r="G51" t="n">
        <v>82.8602216924993</v>
      </c>
      <c r="H51" t="n">
        <v>86.2662846170789</v>
      </c>
      <c r="I51" t="n">
        <v>89.7021702124267</v>
      </c>
      <c r="J51" t="n">
        <v>90.3447699990373</v>
      </c>
      <c r="K51" t="n">
        <v>92.697300759197</v>
      </c>
      <c r="L51" t="n">
        <v>95.5376080247992</v>
      </c>
      <c r="M51" t="n">
        <v>96.113049121169</v>
      </c>
      <c r="N51" t="n">
        <v>95.9371789489436</v>
      </c>
      <c r="O51" t="n">
        <v>94.8902795006636</v>
      </c>
      <c r="P51" t="n">
        <v>94.7062647375724</v>
      </c>
      <c r="Q51" t="n">
        <v>95.7074452505124</v>
      </c>
      <c r="R51" t="n">
        <v>97.1343073034737</v>
      </c>
      <c r="S51" t="n">
        <v>99.2836872468364</v>
      </c>
      <c r="T51" t="n">
        <v>99.1947764821377</v>
      </c>
      <c r="U51" t="n">
        <v>99.7078529122178</v>
      </c>
      <c r="V51" t="n">
        <v>99.9893809674993</v>
      </c>
      <c r="W51" t="n">
        <v>99.5505560980495</v>
      </c>
      <c r="X51" t="n">
        <v>99.501732872891</v>
      </c>
      <c r="Y51" t="n">
        <v>99.5678469811122</v>
      </c>
      <c r="Z51" t="n">
        <v>99.6249386364913</v>
      </c>
      <c r="AA51" t="n">
        <v>100.016392226419</v>
      </c>
      <c r="AB51" t="n">
        <v>99.6775177125827</v>
      </c>
      <c r="AC51" t="n">
        <v>99.5447913241505</v>
      </c>
      <c r="AD51" t="n">
        <v>100.241351568785</v>
      </c>
      <c r="AE51" t="n">
        <v>100</v>
      </c>
      <c r="AF51" t="n">
        <v>101.847575057737</v>
      </c>
    </row>
    <row r="52">
      <c r="A52" t="s">
        <v>80</v>
      </c>
      <c r="B52" t="s">
        <v>374</v>
      </c>
      <c r="C52" t="s">
        <v>217</v>
      </c>
      <c r="D52" t="s">
        <v>375</v>
      </c>
      <c r="E52" t="s">
        <v>218</v>
      </c>
      <c r="F52" t="n">
        <v>80.0050866041255</v>
      </c>
      <c r="G52" t="n">
        <v>83.3855832212012</v>
      </c>
      <c r="H52" t="n">
        <v>86.5722934079987</v>
      </c>
      <c r="I52" t="n">
        <v>90.5073976538169</v>
      </c>
      <c r="J52" t="n">
        <v>90.9078728646744</v>
      </c>
      <c r="K52" t="n">
        <v>93.5621173278766</v>
      </c>
      <c r="L52" t="n">
        <v>96.5561050823687</v>
      </c>
      <c r="M52" t="n">
        <v>97.3183901224926</v>
      </c>
      <c r="N52" t="n">
        <v>96.9162480145485</v>
      </c>
      <c r="O52" t="n">
        <v>96.312408463056</v>
      </c>
      <c r="P52" t="n">
        <v>97.0476176879647</v>
      </c>
      <c r="Q52" t="n">
        <v>98.3330165977391</v>
      </c>
      <c r="R52" t="n">
        <v>99.8938581310366</v>
      </c>
      <c r="S52" t="n">
        <v>102.481781916815</v>
      </c>
      <c r="T52" t="n">
        <v>102.965186548498</v>
      </c>
      <c r="U52" t="n">
        <v>103.830440216973</v>
      </c>
      <c r="V52" t="n">
        <v>104.483461853557</v>
      </c>
      <c r="W52" t="n">
        <v>102.990840969935</v>
      </c>
      <c r="X52" t="n">
        <v>102.990840969935</v>
      </c>
      <c r="Y52" t="n">
        <v>102.990840969935</v>
      </c>
      <c r="Z52" t="n">
        <v>102.990840969935</v>
      </c>
      <c r="AA52" t="n">
        <v>100.280555681253</v>
      </c>
      <c r="AB52" t="n">
        <v>99.0723562152134</v>
      </c>
      <c r="AC52" t="n">
        <v>99.0723562152134</v>
      </c>
      <c r="AD52" t="n">
        <v>101.298701298701</v>
      </c>
      <c r="AE52" t="n">
        <v>100</v>
      </c>
      <c r="AF52" t="n">
        <v>95.3488372093023</v>
      </c>
    </row>
    <row r="53">
      <c r="A53" t="s">
        <v>80</v>
      </c>
      <c r="B53" t="s">
        <v>376</v>
      </c>
      <c r="C53" t="s">
        <v>217</v>
      </c>
      <c r="D53" t="s">
        <v>377</v>
      </c>
      <c r="E53" t="s">
        <v>218</v>
      </c>
      <c r="F53" t="n">
        <v>72.3523414517639</v>
      </c>
      <c r="G53" t="n">
        <v>74.1462011571795</v>
      </c>
      <c r="H53" t="n">
        <v>77.1420072645403</v>
      </c>
      <c r="I53" t="n">
        <v>80.7432311908948</v>
      </c>
      <c r="J53" t="n">
        <v>81.9219644929516</v>
      </c>
      <c r="K53" t="n">
        <v>83.742452592795</v>
      </c>
      <c r="L53" t="n">
        <v>86.6860064161595</v>
      </c>
      <c r="M53" t="n">
        <v>87.7566446180881</v>
      </c>
      <c r="N53" t="n">
        <v>87.1506665322131</v>
      </c>
      <c r="O53" t="n">
        <v>86.5630018893795</v>
      </c>
      <c r="P53" t="n">
        <v>88.4500996802169</v>
      </c>
      <c r="Q53" t="n">
        <v>90.650102159544</v>
      </c>
      <c r="R53" t="n">
        <v>93.6312870052294</v>
      </c>
      <c r="S53" t="n">
        <v>95.9854922806145</v>
      </c>
      <c r="T53" t="n">
        <v>94.5332622100864</v>
      </c>
      <c r="U53" t="n">
        <v>95.4364462439408</v>
      </c>
      <c r="V53" t="n">
        <v>95.2183057953832</v>
      </c>
      <c r="W53" t="n">
        <v>95.2183057953832</v>
      </c>
      <c r="X53" t="n">
        <v>95.0323325418766</v>
      </c>
      <c r="Y53" t="n">
        <v>95.0323325418766</v>
      </c>
      <c r="Z53" t="n">
        <v>95.432468678895</v>
      </c>
      <c r="AA53" t="n">
        <v>95.7846180098134</v>
      </c>
      <c r="AB53" t="n">
        <v>96.2564634187288</v>
      </c>
      <c r="AC53" t="n">
        <v>96.37010741332</v>
      </c>
      <c r="AD53" t="n">
        <v>98.4084880636605</v>
      </c>
      <c r="AE53" t="n">
        <v>100</v>
      </c>
      <c r="AF53" t="n">
        <v>101.060070671378</v>
      </c>
    </row>
    <row r="54">
      <c r="A54" t="s">
        <v>80</v>
      </c>
      <c r="B54" t="s">
        <v>378</v>
      </c>
      <c r="C54" t="s">
        <v>217</v>
      </c>
      <c r="D54" t="s">
        <v>379</v>
      </c>
      <c r="E54" t="s">
        <v>218</v>
      </c>
      <c r="F54" t="n">
        <v>74.0599046476137</v>
      </c>
      <c r="G54" t="n">
        <v>76.0265671872991</v>
      </c>
      <c r="H54" t="n">
        <v>78.7412069357174</v>
      </c>
      <c r="I54" t="n">
        <v>82.7151562636061</v>
      </c>
      <c r="J54" t="n">
        <v>83.6188801028955</v>
      </c>
      <c r="K54" t="n">
        <v>85.5056337093152</v>
      </c>
      <c r="L54" t="n">
        <v>88.2306344975998</v>
      </c>
      <c r="M54" t="n">
        <v>88.9857353853344</v>
      </c>
      <c r="N54" t="n">
        <v>88.6391762001908</v>
      </c>
      <c r="O54" t="n">
        <v>87.9759885363128</v>
      </c>
      <c r="P54" t="n">
        <v>89.324025537246</v>
      </c>
      <c r="Q54" t="n">
        <v>91.0300778667432</v>
      </c>
      <c r="R54" t="n">
        <v>93.2524918771618</v>
      </c>
      <c r="S54" t="n">
        <v>95.7275775319811</v>
      </c>
      <c r="T54" t="n">
        <v>95.134399860641</v>
      </c>
      <c r="U54" t="n">
        <v>96.1385963036144</v>
      </c>
      <c r="V54" t="n">
        <v>96.0670646099361</v>
      </c>
      <c r="W54" t="n">
        <v>95.9463773428382</v>
      </c>
      <c r="X54" t="n">
        <v>95.749765913857</v>
      </c>
      <c r="Y54" t="n">
        <v>95.749765913857</v>
      </c>
      <c r="Z54" t="n">
        <v>96.1073747501366</v>
      </c>
      <c r="AA54" t="n">
        <v>96.5107635213858</v>
      </c>
      <c r="AB54" t="n">
        <v>96.8833919519703</v>
      </c>
      <c r="AC54" t="n">
        <v>96.8833919519703</v>
      </c>
      <c r="AD54" t="n">
        <v>98.7479131886477</v>
      </c>
      <c r="AE54" t="n">
        <v>100</v>
      </c>
      <c r="AF54" t="n">
        <v>101.151079136691</v>
      </c>
    </row>
    <row r="55">
      <c r="A55" t="s">
        <v>80</v>
      </c>
      <c r="B55" t="s">
        <v>380</v>
      </c>
      <c r="C55" t="s">
        <v>217</v>
      </c>
      <c r="D55" t="s">
        <v>381</v>
      </c>
      <c r="E55" t="s">
        <v>218</v>
      </c>
      <c r="F55" t="n">
        <v>75.5483595395901</v>
      </c>
      <c r="G55" t="n">
        <v>77.5672048822776</v>
      </c>
      <c r="H55" t="n">
        <v>80.3022442484793</v>
      </c>
      <c r="I55" t="n">
        <v>84.3838225292367</v>
      </c>
      <c r="J55" t="n">
        <v>85.2784943825588</v>
      </c>
      <c r="K55" t="n">
        <v>87.2053077856735</v>
      </c>
      <c r="L55" t="n">
        <v>89.6779085565749</v>
      </c>
      <c r="M55" t="n">
        <v>90.0571854254702</v>
      </c>
      <c r="N55" t="n">
        <v>89.9539680209711</v>
      </c>
      <c r="O55" t="n">
        <v>89.245669060176</v>
      </c>
      <c r="P55" t="n">
        <v>90.2919254383727</v>
      </c>
      <c r="Q55" t="n">
        <v>91.665709012939</v>
      </c>
      <c r="R55" t="n">
        <v>93.383974137061</v>
      </c>
      <c r="S55" t="n">
        <v>95.9661701317504</v>
      </c>
      <c r="T55" t="n">
        <v>95.9661701317504</v>
      </c>
      <c r="U55" t="n">
        <v>97.2010289385928</v>
      </c>
      <c r="V55" t="n">
        <v>97.4082805994427</v>
      </c>
      <c r="W55" t="n">
        <v>97.1457245870453</v>
      </c>
      <c r="X55" t="n">
        <v>96.9363588012973</v>
      </c>
      <c r="Y55" t="n">
        <v>96.9363588012973</v>
      </c>
      <c r="Z55" t="n">
        <v>97.2616485959326</v>
      </c>
      <c r="AA55" t="n">
        <v>97.73494128983</v>
      </c>
      <c r="AB55" t="n">
        <v>97.9638287401575</v>
      </c>
      <c r="AC55" t="n">
        <v>97.7601617365397</v>
      </c>
      <c r="AD55" t="n">
        <v>99.3243243243243</v>
      </c>
      <c r="AE55" t="n">
        <v>100</v>
      </c>
      <c r="AF55" t="n">
        <v>101.21359223301</v>
      </c>
    </row>
    <row r="56">
      <c r="A56" t="s">
        <v>80</v>
      </c>
      <c r="B56" t="s">
        <v>382</v>
      </c>
      <c r="C56" t="s">
        <v>217</v>
      </c>
      <c r="D56" t="s">
        <v>383</v>
      </c>
      <c r="E56" t="s">
        <v>218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80</v>
      </c>
      <c r="B57" t="s">
        <v>384</v>
      </c>
      <c r="C57" t="s">
        <v>217</v>
      </c>
      <c r="D57" t="s">
        <v>385</v>
      </c>
      <c r="E57" t="s">
        <v>218</v>
      </c>
      <c r="F57" t="n">
        <v>76.7342145948644</v>
      </c>
      <c r="G57" t="n">
        <v>79.8471508392718</v>
      </c>
      <c r="H57" t="n">
        <v>82.5763364851072</v>
      </c>
      <c r="I57" t="n">
        <v>85.5139672120023</v>
      </c>
      <c r="J57" t="n">
        <v>84.7897774631988</v>
      </c>
      <c r="K57" t="n">
        <v>87.4097480643771</v>
      </c>
      <c r="L57" t="n">
        <v>89.6914967812421</v>
      </c>
      <c r="M57" t="n">
        <v>90.1298690926275</v>
      </c>
      <c r="N57" t="n">
        <v>90.1938526317245</v>
      </c>
      <c r="O57" t="n">
        <v>89.8594840126381</v>
      </c>
      <c r="P57" t="n">
        <v>91.0168796132884</v>
      </c>
      <c r="Q57" t="n">
        <v>92.8087128507284</v>
      </c>
      <c r="R57" t="n">
        <v>94.6759043286455</v>
      </c>
      <c r="S57" t="n">
        <v>96.9587683120811</v>
      </c>
      <c r="T57" t="n">
        <v>97.4415007812633</v>
      </c>
      <c r="U57" t="n">
        <v>98.4451833811688</v>
      </c>
      <c r="V57" t="n">
        <v>98.7036622013604</v>
      </c>
      <c r="W57" t="n">
        <v>98.1253111716997</v>
      </c>
      <c r="X57" t="n">
        <v>98.2098014930767</v>
      </c>
      <c r="Y57" t="n">
        <v>98.3422542201995</v>
      </c>
      <c r="Z57" t="n">
        <v>98.5985595995039</v>
      </c>
      <c r="AA57" t="n">
        <v>98.813971788067</v>
      </c>
      <c r="AB57" t="n">
        <v>99.0290245168468</v>
      </c>
      <c r="AC57" t="n">
        <v>99.2085718182869</v>
      </c>
      <c r="AD57" t="n">
        <v>99.6893830094204</v>
      </c>
      <c r="AE57" t="n">
        <v>100</v>
      </c>
      <c r="AF57" t="n">
        <v>101.223891023402</v>
      </c>
    </row>
    <row r="58">
      <c r="A58" t="s">
        <v>80</v>
      </c>
      <c r="B58" t="s">
        <v>386</v>
      </c>
      <c r="C58" t="s">
        <v>217</v>
      </c>
      <c r="D58" t="s">
        <v>387</v>
      </c>
      <c r="E58" t="s">
        <v>218</v>
      </c>
      <c r="F58" t="n">
        <v>76.7342145948644</v>
      </c>
      <c r="G58" t="n">
        <v>79.8471508392718</v>
      </c>
      <c r="H58" t="n">
        <v>82.5763364851072</v>
      </c>
      <c r="I58" t="n">
        <v>85.5139672120023</v>
      </c>
      <c r="J58" t="n">
        <v>84.7897774631988</v>
      </c>
      <c r="K58" t="n">
        <v>87.4097480643771</v>
      </c>
      <c r="L58" t="n">
        <v>89.6914967812421</v>
      </c>
      <c r="M58" t="n">
        <v>90.1298690926275</v>
      </c>
      <c r="N58" t="n">
        <v>90.1938526317245</v>
      </c>
      <c r="O58" t="n">
        <v>89.8594840126381</v>
      </c>
      <c r="P58" t="n">
        <v>91.0168796132884</v>
      </c>
      <c r="Q58" t="n">
        <v>92.8087128507284</v>
      </c>
      <c r="R58" t="n">
        <v>94.6759043286455</v>
      </c>
      <c r="S58" t="n">
        <v>96.9587683120811</v>
      </c>
      <c r="T58" t="n">
        <v>97.4415007812633</v>
      </c>
      <c r="U58" t="n">
        <v>98.4451833811688</v>
      </c>
      <c r="V58" t="n">
        <v>98.7036622013604</v>
      </c>
      <c r="W58" t="n">
        <v>98.1253111716997</v>
      </c>
      <c r="X58" t="n">
        <v>98.2098014930767</v>
      </c>
      <c r="Y58" t="n">
        <v>98.3422542201995</v>
      </c>
      <c r="Z58" t="n">
        <v>98.5985595995039</v>
      </c>
      <c r="AA58" t="n">
        <v>98.813971788067</v>
      </c>
      <c r="AB58" t="n">
        <v>99.0290245168468</v>
      </c>
      <c r="AC58" t="n">
        <v>99.2085718182869</v>
      </c>
      <c r="AD58" t="n">
        <v>99.6893830094204</v>
      </c>
      <c r="AE58" t="n">
        <v>100</v>
      </c>
      <c r="AF58" t="n">
        <v>101.223891023402</v>
      </c>
    </row>
    <row r="59">
      <c r="A59" t="s">
        <v>80</v>
      </c>
      <c r="B59" t="s">
        <v>388</v>
      </c>
      <c r="C59" t="s">
        <v>217</v>
      </c>
      <c r="D59" t="s">
        <v>389</v>
      </c>
      <c r="E59" t="s">
        <v>218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82</v>
      </c>
      <c r="B2" t="s">
        <v>197</v>
      </c>
      <c r="C2" t="s">
        <v>217</v>
      </c>
      <c r="D2" t="s">
        <v>199</v>
      </c>
      <c r="E2" t="s">
        <v>218</v>
      </c>
      <c r="F2" t="n">
        <v>60.955878045905</v>
      </c>
      <c r="G2" t="n">
        <v>66.8434952910885</v>
      </c>
      <c r="H2" t="n">
        <v>72.3141985211101</v>
      </c>
      <c r="I2" t="n">
        <v>79.6281060521425</v>
      </c>
      <c r="J2" t="n">
        <v>85.8573353871137</v>
      </c>
      <c r="K2" t="n">
        <v>88.702751401384</v>
      </c>
      <c r="L2" t="n">
        <v>91.6345582339193</v>
      </c>
      <c r="M2" t="n">
        <v>95.551391593786</v>
      </c>
      <c r="N2" t="n">
        <v>98.3409093440185</v>
      </c>
      <c r="O2" t="n">
        <v>100.893009067479</v>
      </c>
      <c r="P2" t="n">
        <v>100.982984997088</v>
      </c>
      <c r="Q2" t="n">
        <v>106.824781190061</v>
      </c>
      <c r="R2" t="n">
        <v>108.534969102385</v>
      </c>
      <c r="S2" t="n">
        <v>111.28037304258</v>
      </c>
      <c r="T2" t="n">
        <v>109.952507103139</v>
      </c>
      <c r="U2" t="n">
        <v>110.542742954152</v>
      </c>
      <c r="V2" t="n">
        <v>110.542742954152</v>
      </c>
      <c r="W2" t="n">
        <v>109.198758237385</v>
      </c>
      <c r="X2" t="n">
        <v>107.9798620522</v>
      </c>
      <c r="Y2" t="n">
        <v>105.580309562152</v>
      </c>
      <c r="Z2" t="n">
        <v>102.950805371649</v>
      </c>
      <c r="AA2" t="n">
        <v>100.336634413458</v>
      </c>
      <c r="AB2" t="n">
        <v>99.985397653551</v>
      </c>
      <c r="AC2" t="n">
        <v>100.374193755898</v>
      </c>
      <c r="AD2" t="n">
        <v>99.6220710506425</v>
      </c>
      <c r="AE2" t="n">
        <v>100</v>
      </c>
      <c r="AF2" t="n">
        <v>103.193277310924</v>
      </c>
    </row>
    <row r="3">
      <c r="A3" t="s">
        <v>82</v>
      </c>
      <c r="B3" t="s">
        <v>276</v>
      </c>
      <c r="C3" t="s">
        <v>217</v>
      </c>
      <c r="D3" t="s">
        <v>277</v>
      </c>
      <c r="E3" t="s">
        <v>218</v>
      </c>
      <c r="F3" t="n">
        <v>72.5732250803855</v>
      </c>
      <c r="G3" t="n">
        <v>77.2501662522326</v>
      </c>
      <c r="H3" t="n">
        <v>81.5500795369058</v>
      </c>
      <c r="I3" t="n">
        <v>85.9881791035402</v>
      </c>
      <c r="J3" t="n">
        <v>89.3107517118686</v>
      </c>
      <c r="K3" t="n">
        <v>92.2743060673152</v>
      </c>
      <c r="L3" t="n">
        <v>95.208824634827</v>
      </c>
      <c r="M3" t="n">
        <v>102.532580375968</v>
      </c>
      <c r="N3" t="n">
        <v>102.532580375968</v>
      </c>
      <c r="O3" t="n">
        <v>102.532580375968</v>
      </c>
      <c r="P3" t="n">
        <v>102.532580375968</v>
      </c>
      <c r="Q3" t="n">
        <v>108.709241844399</v>
      </c>
      <c r="R3" t="n">
        <v>110.223298137497</v>
      </c>
      <c r="S3" t="n">
        <v>112.891947322044</v>
      </c>
      <c r="T3" t="n">
        <v>111.12358975121</v>
      </c>
      <c r="U3" t="n">
        <v>111.460327901971</v>
      </c>
      <c r="V3" t="n">
        <v>111.401818543492</v>
      </c>
      <c r="W3" t="n">
        <v>110.762103424703</v>
      </c>
      <c r="X3" t="n">
        <v>109.523384653876</v>
      </c>
      <c r="Y3" t="n">
        <v>106.044050611005</v>
      </c>
      <c r="Z3" t="n">
        <v>103.137449754293</v>
      </c>
      <c r="AA3" t="n">
        <v>100.297620098981</v>
      </c>
      <c r="AB3" t="n">
        <v>100.057960313798</v>
      </c>
      <c r="AC3" t="n">
        <v>100.363636363636</v>
      </c>
      <c r="AD3" t="n">
        <v>100</v>
      </c>
      <c r="AE3" t="n">
        <v>100</v>
      </c>
      <c r="AF3" t="n">
        <v>102.702702702703</v>
      </c>
    </row>
    <row r="4">
      <c r="A4" t="s">
        <v>82</v>
      </c>
      <c r="B4" t="s">
        <v>278</v>
      </c>
      <c r="C4" t="s">
        <v>217</v>
      </c>
      <c r="D4" t="s">
        <v>279</v>
      </c>
      <c r="E4" t="s">
        <v>218</v>
      </c>
      <c r="F4" t="n">
        <v>70.9041851981081</v>
      </c>
      <c r="G4" t="n">
        <v>75.4726161208197</v>
      </c>
      <c r="H4" t="n">
        <v>79.7446509955831</v>
      </c>
      <c r="I4" t="n">
        <v>84.1110728080213</v>
      </c>
      <c r="J4" t="n">
        <v>87.349503322107</v>
      </c>
      <c r="K4" t="n">
        <v>90.2291572777809</v>
      </c>
      <c r="L4" t="n">
        <v>93.0672051860195</v>
      </c>
      <c r="M4" t="n">
        <v>97.2299555777264</v>
      </c>
      <c r="N4" t="n">
        <v>99.9088181690833</v>
      </c>
      <c r="O4" t="n">
        <v>102.529157045071</v>
      </c>
      <c r="P4" t="n">
        <v>102.376901094603</v>
      </c>
      <c r="Q4" t="n">
        <v>108.597512051509</v>
      </c>
      <c r="R4" t="n">
        <v>110.219024539768</v>
      </c>
      <c r="S4" t="n">
        <v>112.820625003861</v>
      </c>
      <c r="T4" t="n">
        <v>111.058699066778</v>
      </c>
      <c r="U4" t="n">
        <v>111.396850825572</v>
      </c>
      <c r="V4" t="n">
        <v>111.36631440813</v>
      </c>
      <c r="W4" t="n">
        <v>110.704441088954</v>
      </c>
      <c r="X4" t="n">
        <v>109.504934729525</v>
      </c>
      <c r="Y4" t="n">
        <v>105.991783150137</v>
      </c>
      <c r="Z4" t="n">
        <v>102.968649816301</v>
      </c>
      <c r="AA4" t="n">
        <v>100.196280232017</v>
      </c>
      <c r="AB4" t="n">
        <v>100.020958656808</v>
      </c>
      <c r="AC4" t="n">
        <v>100.46885547699</v>
      </c>
      <c r="AD4" t="n">
        <v>100.067272115708</v>
      </c>
      <c r="AE4" t="n">
        <v>100</v>
      </c>
      <c r="AF4" t="n">
        <v>102.398424914981</v>
      </c>
    </row>
    <row r="5">
      <c r="A5" t="s">
        <v>82</v>
      </c>
      <c r="B5" t="s">
        <v>280</v>
      </c>
      <c r="C5" t="s">
        <v>217</v>
      </c>
      <c r="D5" t="s">
        <v>281</v>
      </c>
      <c r="E5" t="s">
        <v>218</v>
      </c>
      <c r="F5" t="n">
        <v>70.7307982044038</v>
      </c>
      <c r="G5" t="n">
        <v>75.350850342172</v>
      </c>
      <c r="H5" t="n">
        <v>79.5988177440126</v>
      </c>
      <c r="I5" t="n">
        <v>83.9526175254924</v>
      </c>
      <c r="J5" t="n">
        <v>87.1257726155489</v>
      </c>
      <c r="K5" t="n">
        <v>90.0667269654408</v>
      </c>
      <c r="L5" t="n">
        <v>92.9355749324875</v>
      </c>
      <c r="M5" t="n">
        <v>97.1986747000328</v>
      </c>
      <c r="N5" t="n">
        <v>99.9366655366535</v>
      </c>
      <c r="O5" t="n">
        <v>102.620785847757</v>
      </c>
      <c r="P5" t="n">
        <v>102.476045670256</v>
      </c>
      <c r="Q5" t="n">
        <v>108.754360245017</v>
      </c>
      <c r="R5" t="n">
        <v>110.274071829226</v>
      </c>
      <c r="S5" t="n">
        <v>112.881190460333</v>
      </c>
      <c r="T5" t="n">
        <v>111.150894840138</v>
      </c>
      <c r="U5" t="n">
        <v>111.455626560056</v>
      </c>
      <c r="V5" t="n">
        <v>111.455626560056</v>
      </c>
      <c r="W5" t="n">
        <v>110.930717800746</v>
      </c>
      <c r="X5" t="n">
        <v>109.684305241188</v>
      </c>
      <c r="Y5" t="n">
        <v>106.122533463997</v>
      </c>
      <c r="Z5" t="n">
        <v>103.178878552833</v>
      </c>
      <c r="AA5" t="n">
        <v>100.34749689763</v>
      </c>
      <c r="AB5" t="n">
        <v>100.142287292523</v>
      </c>
      <c r="AC5" t="n">
        <v>100.49268018018</v>
      </c>
      <c r="AD5" t="n">
        <v>100.091911764706</v>
      </c>
      <c r="AE5" t="n">
        <v>100</v>
      </c>
      <c r="AF5" t="n">
        <v>102.425015954052</v>
      </c>
    </row>
    <row r="6">
      <c r="A6" t="s">
        <v>82</v>
      </c>
      <c r="B6" t="s">
        <v>282</v>
      </c>
      <c r="C6" t="s">
        <v>217</v>
      </c>
      <c r="D6" t="s">
        <v>283</v>
      </c>
      <c r="E6" t="s">
        <v>218</v>
      </c>
      <c r="F6" t="n">
        <v>73.1269975443466</v>
      </c>
      <c r="G6" t="n">
        <v>77.7484063110897</v>
      </c>
      <c r="H6" t="n">
        <v>81.9983191962618</v>
      </c>
      <c r="I6" t="n">
        <v>86.43697465133</v>
      </c>
      <c r="J6" t="n">
        <v>89.7959244434802</v>
      </c>
      <c r="K6" t="n">
        <v>92.7437704479379</v>
      </c>
      <c r="L6" t="n">
        <v>95.674063353086</v>
      </c>
      <c r="M6" t="n">
        <v>99.5632529202846</v>
      </c>
      <c r="N6" t="n">
        <v>102.303525936439</v>
      </c>
      <c r="O6" t="n">
        <v>104.768671139727</v>
      </c>
      <c r="P6" t="n">
        <v>104.768671139727</v>
      </c>
      <c r="Q6" t="n">
        <v>111.002047454676</v>
      </c>
      <c r="R6" t="n">
        <v>112.58102394763</v>
      </c>
      <c r="S6" t="n">
        <v>114.756502671256</v>
      </c>
      <c r="T6" t="n">
        <v>112.932338611453</v>
      </c>
      <c r="U6" t="n">
        <v>113.570374422817</v>
      </c>
      <c r="V6" t="n">
        <v>113.570374422817</v>
      </c>
      <c r="W6" t="n">
        <v>113.570374422817</v>
      </c>
      <c r="X6" t="n">
        <v>111.64545282243</v>
      </c>
      <c r="Y6" t="n">
        <v>108.134589526128</v>
      </c>
      <c r="Z6" t="n">
        <v>105.000253597834</v>
      </c>
      <c r="AA6" t="n">
        <v>101.75282307419</v>
      </c>
      <c r="AB6" t="n">
        <v>100.43135783946</v>
      </c>
      <c r="AC6" t="n">
        <v>101.612903225806</v>
      </c>
      <c r="AD6" t="n">
        <v>100</v>
      </c>
      <c r="AE6" t="n">
        <v>100</v>
      </c>
      <c r="AF6" t="n">
        <v>101.724137931034</v>
      </c>
    </row>
    <row r="7">
      <c r="A7" t="s">
        <v>82</v>
      </c>
      <c r="B7" t="s">
        <v>284</v>
      </c>
      <c r="C7" t="s">
        <v>217</v>
      </c>
      <c r="D7" t="s">
        <v>285</v>
      </c>
      <c r="E7" t="s">
        <v>218</v>
      </c>
      <c r="F7" t="n">
        <v>73.1046201765343</v>
      </c>
      <c r="G7" t="n">
        <v>77.9274944242917</v>
      </c>
      <c r="H7" t="n">
        <v>82.127179752547</v>
      </c>
      <c r="I7" t="n">
        <v>86.4840593150163</v>
      </c>
      <c r="J7" t="n">
        <v>89.6099891697759</v>
      </c>
      <c r="K7" t="n">
        <v>92.561847636545</v>
      </c>
      <c r="L7" t="n">
        <v>95.3073261681375</v>
      </c>
      <c r="M7" t="n">
        <v>100.169944850185</v>
      </c>
      <c r="N7" t="n">
        <v>102.214229438965</v>
      </c>
      <c r="O7" t="n">
        <v>104.959112838221</v>
      </c>
      <c r="P7" t="n">
        <v>104.219964156261</v>
      </c>
      <c r="Q7" t="n">
        <v>110.605991371719</v>
      </c>
      <c r="R7" t="n">
        <v>112.370980595735</v>
      </c>
      <c r="S7" t="n">
        <v>114.994427613535</v>
      </c>
      <c r="T7" t="n">
        <v>113.225282573326</v>
      </c>
      <c r="U7" t="n">
        <v>113.225282573326</v>
      </c>
      <c r="V7" t="n">
        <v>113.225282573326</v>
      </c>
      <c r="W7" t="n">
        <v>112.404809511201</v>
      </c>
      <c r="X7" t="n">
        <v>111.08239998754</v>
      </c>
      <c r="Y7" t="n">
        <v>107.527763187938</v>
      </c>
      <c r="Z7" t="n">
        <v>104.288975140109</v>
      </c>
      <c r="AA7" t="n">
        <v>101.544528425896</v>
      </c>
      <c r="AB7" t="n">
        <v>100.980392156863</v>
      </c>
      <c r="AC7" t="n">
        <v>100.980392156863</v>
      </c>
      <c r="AD7" t="n">
        <v>100</v>
      </c>
      <c r="AE7" t="n">
        <v>100</v>
      </c>
      <c r="AF7" t="n">
        <v>102.53164556962</v>
      </c>
    </row>
    <row r="8">
      <c r="A8" t="s">
        <v>82</v>
      </c>
      <c r="B8" t="s">
        <v>286</v>
      </c>
      <c r="C8" t="s">
        <v>217</v>
      </c>
      <c r="D8" t="s">
        <v>287</v>
      </c>
      <c r="E8" t="s">
        <v>218</v>
      </c>
      <c r="F8" t="n">
        <v>74.462223969168</v>
      </c>
      <c r="G8" t="n">
        <v>78.9299574073181</v>
      </c>
      <c r="H8" t="n">
        <v>83.0125414111449</v>
      </c>
      <c r="I8" t="n">
        <v>88.1210054979846</v>
      </c>
      <c r="J8" t="n">
        <v>90.5688112062619</v>
      </c>
      <c r="K8" t="n">
        <v>94.2908171462453</v>
      </c>
      <c r="L8" t="n">
        <v>97.2374051820655</v>
      </c>
      <c r="M8" t="n">
        <v>97.2374051820655</v>
      </c>
      <c r="N8" t="n">
        <v>100.140014291978</v>
      </c>
      <c r="O8" t="n">
        <v>102.316971124412</v>
      </c>
      <c r="P8" t="n">
        <v>102.111927094103</v>
      </c>
      <c r="Q8" t="n">
        <v>107.784811932664</v>
      </c>
      <c r="R8" t="n">
        <v>109.115488623191</v>
      </c>
      <c r="S8" t="n">
        <v>111.713476447552</v>
      </c>
      <c r="T8" t="n">
        <v>109.981904034706</v>
      </c>
      <c r="U8" t="n">
        <v>110.252795423954</v>
      </c>
      <c r="V8" t="n">
        <v>110.252795423954</v>
      </c>
      <c r="W8" t="n">
        <v>109.580066502723</v>
      </c>
      <c r="X8" t="n">
        <v>108.221635926243</v>
      </c>
      <c r="Y8" t="n">
        <v>105.843138433359</v>
      </c>
      <c r="Z8" t="n">
        <v>102.963053033811</v>
      </c>
      <c r="AA8" t="n">
        <v>100.622983646679</v>
      </c>
      <c r="AB8" t="n">
        <v>100.622983646679</v>
      </c>
      <c r="AC8" t="n">
        <v>101.123595505618</v>
      </c>
      <c r="AD8" t="n">
        <v>101.123595505618</v>
      </c>
      <c r="AE8" t="n">
        <v>100</v>
      </c>
      <c r="AF8" t="n">
        <v>102.397525135344</v>
      </c>
    </row>
    <row r="9">
      <c r="A9" t="s">
        <v>82</v>
      </c>
      <c r="B9" t="s">
        <v>288</v>
      </c>
      <c r="C9" t="s">
        <v>217</v>
      </c>
      <c r="D9" t="s">
        <v>289</v>
      </c>
      <c r="E9" t="s">
        <v>218</v>
      </c>
      <c r="F9" t="n">
        <v>69.630362152989</v>
      </c>
      <c r="G9" t="n">
        <v>74.1656730978196</v>
      </c>
      <c r="H9" t="n">
        <v>78.3405619808095</v>
      </c>
      <c r="I9" t="n">
        <v>82.7055786307666</v>
      </c>
      <c r="J9" t="n">
        <v>85.7932535663152</v>
      </c>
      <c r="K9" t="n">
        <v>88.4673290021484</v>
      </c>
      <c r="L9" t="n">
        <v>91.354986625364</v>
      </c>
      <c r="M9" t="n">
        <v>95.7052240837146</v>
      </c>
      <c r="N9" t="n">
        <v>98.3514514777344</v>
      </c>
      <c r="O9" t="n">
        <v>100.652070225752</v>
      </c>
      <c r="P9" t="n">
        <v>100.652070225752</v>
      </c>
      <c r="Q9" t="n">
        <v>106.942824614861</v>
      </c>
      <c r="R9" t="n">
        <v>108.337731022881</v>
      </c>
      <c r="S9" t="n">
        <v>111.160864078852</v>
      </c>
      <c r="T9" t="n">
        <v>109.326526387782</v>
      </c>
      <c r="U9" t="n">
        <v>109.326526387782</v>
      </c>
      <c r="V9" t="n">
        <v>109.326526387782</v>
      </c>
      <c r="W9" t="n">
        <v>109.326526387782</v>
      </c>
      <c r="X9" t="n">
        <v>108.199448796155</v>
      </c>
      <c r="Y9" t="n">
        <v>104.221527884532</v>
      </c>
      <c r="Z9" t="n">
        <v>102.424604989971</v>
      </c>
      <c r="AA9" t="n">
        <v>99.8798943069902</v>
      </c>
      <c r="AB9" t="n">
        <v>99.8798943069902</v>
      </c>
      <c r="AC9" t="n">
        <v>100.434782608696</v>
      </c>
      <c r="AD9" t="n">
        <v>100</v>
      </c>
      <c r="AE9" t="n">
        <v>100</v>
      </c>
      <c r="AF9" t="n">
        <v>102.479338842975</v>
      </c>
    </row>
    <row r="10">
      <c r="A10" t="s">
        <v>82</v>
      </c>
      <c r="B10" t="s">
        <v>290</v>
      </c>
      <c r="C10" t="s">
        <v>217</v>
      </c>
      <c r="D10" t="s">
        <v>291</v>
      </c>
      <c r="E10" t="s">
        <v>218</v>
      </c>
      <c r="F10" t="n">
        <v>71.3247911508178</v>
      </c>
      <c r="G10" t="n">
        <v>75.9199457627753</v>
      </c>
      <c r="H10" t="n">
        <v>80.3317585916049</v>
      </c>
      <c r="I10" t="n">
        <v>84.8041905474544</v>
      </c>
      <c r="J10" t="n">
        <v>88.1103968066144</v>
      </c>
      <c r="K10" t="n">
        <v>90.9526676713439</v>
      </c>
      <c r="L10" t="n">
        <v>93.9120820207368</v>
      </c>
      <c r="M10" t="n">
        <v>98.8118428218187</v>
      </c>
      <c r="N10" t="n">
        <v>101.473441281666</v>
      </c>
      <c r="O10" t="n">
        <v>104.075324391452</v>
      </c>
      <c r="P10" t="n">
        <v>104.075324391452</v>
      </c>
      <c r="Q10" t="n">
        <v>110.319843854939</v>
      </c>
      <c r="R10" t="n">
        <v>111.882447875547</v>
      </c>
      <c r="S10" t="n">
        <v>114.628029418506</v>
      </c>
      <c r="T10" t="n">
        <v>112.781052106626</v>
      </c>
      <c r="U10" t="n">
        <v>112.781052106626</v>
      </c>
      <c r="V10" t="n">
        <v>112.781052106626</v>
      </c>
      <c r="W10" t="n">
        <v>112.781052106626</v>
      </c>
      <c r="X10" t="n">
        <v>111.603182110735</v>
      </c>
      <c r="Y10" t="n">
        <v>107.86390023589</v>
      </c>
      <c r="Z10" t="n">
        <v>102.470705224096</v>
      </c>
      <c r="AA10" t="n">
        <v>100.111182406436</v>
      </c>
      <c r="AB10" t="n">
        <v>100.111182406436</v>
      </c>
      <c r="AC10" t="n">
        <v>100.566233235556</v>
      </c>
      <c r="AD10" t="n">
        <v>100.199203187251</v>
      </c>
      <c r="AE10" t="n">
        <v>100</v>
      </c>
      <c r="AF10" t="n">
        <v>102.453987730061</v>
      </c>
    </row>
    <row r="11">
      <c r="A11" t="s">
        <v>82</v>
      </c>
      <c r="B11" t="s">
        <v>292</v>
      </c>
      <c r="C11" t="s">
        <v>217</v>
      </c>
      <c r="D11" t="s">
        <v>293</v>
      </c>
      <c r="E11" t="s">
        <v>218</v>
      </c>
      <c r="F11" t="n">
        <v>68.5725654010721</v>
      </c>
      <c r="G11" t="n">
        <v>72.8583507386391</v>
      </c>
      <c r="H11" t="n">
        <v>77.4530215059407</v>
      </c>
      <c r="I11" t="n">
        <v>81.7559671451596</v>
      </c>
      <c r="J11" t="n">
        <v>85.3105744123405</v>
      </c>
      <c r="K11" t="n">
        <v>88.3144678775638</v>
      </c>
      <c r="L11" t="n">
        <v>91.1633216800658</v>
      </c>
      <c r="M11" t="n">
        <v>97.0448263045862</v>
      </c>
      <c r="N11" t="n">
        <v>99.4709469622008</v>
      </c>
      <c r="O11" t="n">
        <v>102.628754802271</v>
      </c>
      <c r="P11" t="n">
        <v>102.628754802271</v>
      </c>
      <c r="Q11" t="n">
        <v>108.206404519785</v>
      </c>
      <c r="R11" t="n">
        <v>109.965858251814</v>
      </c>
      <c r="S11" t="n">
        <v>112.382690301305</v>
      </c>
      <c r="T11" t="n">
        <v>110.591082195052</v>
      </c>
      <c r="U11" t="n">
        <v>110.591082195052</v>
      </c>
      <c r="V11" t="n">
        <v>110.591082195052</v>
      </c>
      <c r="W11" t="n">
        <v>110.591082195052</v>
      </c>
      <c r="X11" t="n">
        <v>109.389005214671</v>
      </c>
      <c r="Y11" t="n">
        <v>105.916338382459</v>
      </c>
      <c r="Z11" t="n">
        <v>102.325954030512</v>
      </c>
      <c r="AA11" t="n">
        <v>100.179255694207</v>
      </c>
      <c r="AB11" t="n">
        <v>100.179255694207</v>
      </c>
      <c r="AC11" t="n">
        <v>100.5966692596</v>
      </c>
      <c r="AD11" t="n">
        <v>100.279329608939</v>
      </c>
      <c r="AE11" t="n">
        <v>100</v>
      </c>
      <c r="AF11" t="n">
        <v>102.439024390244</v>
      </c>
    </row>
    <row r="12">
      <c r="A12" t="s">
        <v>82</v>
      </c>
      <c r="B12" t="s">
        <v>294</v>
      </c>
      <c r="C12" t="s">
        <v>217</v>
      </c>
      <c r="D12" t="s">
        <v>295</v>
      </c>
      <c r="E12" t="s">
        <v>218</v>
      </c>
      <c r="F12" t="n">
        <v>71.0709000654168</v>
      </c>
      <c r="G12" t="n">
        <v>75.6823706803484</v>
      </c>
      <c r="H12" t="n">
        <v>79.9146085144468</v>
      </c>
      <c r="I12" t="n">
        <v>84.108378057479</v>
      </c>
      <c r="J12" t="n">
        <v>87.4548652480949</v>
      </c>
      <c r="K12" t="n">
        <v>90.1666440154777</v>
      </c>
      <c r="L12" t="n">
        <v>93.0392096655283</v>
      </c>
      <c r="M12" t="n">
        <v>96.915843401592</v>
      </c>
      <c r="N12" t="n">
        <v>99.6199684965025</v>
      </c>
      <c r="O12" t="n">
        <v>102.194127889177</v>
      </c>
      <c r="P12" t="n">
        <v>101.947282169638</v>
      </c>
      <c r="Q12" t="n">
        <v>108.067616433681</v>
      </c>
      <c r="R12" t="n">
        <v>109.768251313181</v>
      </c>
      <c r="S12" t="n">
        <v>112.434217290165</v>
      </c>
      <c r="T12" t="n">
        <v>110.721749439957</v>
      </c>
      <c r="U12" t="n">
        <v>111.094549943122</v>
      </c>
      <c r="V12" t="n">
        <v>111.094549943122</v>
      </c>
      <c r="W12" t="n">
        <v>110.209334405727</v>
      </c>
      <c r="X12" t="n">
        <v>109.112724113132</v>
      </c>
      <c r="Y12" t="n">
        <v>105.793705889159</v>
      </c>
      <c r="Z12" t="n">
        <v>102.611940298507</v>
      </c>
      <c r="AA12" t="n">
        <v>100</v>
      </c>
      <c r="AB12" t="n">
        <v>100</v>
      </c>
      <c r="AC12" t="n">
        <v>100.383141762452</v>
      </c>
      <c r="AD12" t="n">
        <v>100</v>
      </c>
      <c r="AE12" t="n">
        <v>100</v>
      </c>
      <c r="AF12" t="n">
        <v>102.564102564103</v>
      </c>
    </row>
    <row r="13">
      <c r="A13" t="s">
        <v>82</v>
      </c>
      <c r="B13" t="s">
        <v>296</v>
      </c>
      <c r="C13" t="s">
        <v>217</v>
      </c>
      <c r="D13" t="s">
        <v>297</v>
      </c>
      <c r="E13" t="s">
        <v>218</v>
      </c>
      <c r="F13" t="n">
        <v>71.2174506821266</v>
      </c>
      <c r="G13" t="n">
        <v>75.8620670309609</v>
      </c>
      <c r="H13" t="n">
        <v>80.1268851093625</v>
      </c>
      <c r="I13" t="n">
        <v>84.4842383781495</v>
      </c>
      <c r="J13" t="n">
        <v>87.6132842440069</v>
      </c>
      <c r="K13" t="n">
        <v>90.4281688783525</v>
      </c>
      <c r="L13" t="n">
        <v>93.264177758946</v>
      </c>
      <c r="M13" t="n">
        <v>97.2803385236853</v>
      </c>
      <c r="N13" t="n">
        <v>99.9976664154083</v>
      </c>
      <c r="O13" t="n">
        <v>102.714994307131</v>
      </c>
      <c r="P13" t="n">
        <v>102.714994307131</v>
      </c>
      <c r="Q13" t="n">
        <v>108.973889287342</v>
      </c>
      <c r="R13" t="n">
        <v>110.576446482744</v>
      </c>
      <c r="S13" t="n">
        <v>113.312061695207</v>
      </c>
      <c r="T13" t="n">
        <v>111.567521155912</v>
      </c>
      <c r="U13" t="n">
        <v>111.906288932701</v>
      </c>
      <c r="V13" t="n">
        <v>111.774479405101</v>
      </c>
      <c r="W13" t="n">
        <v>111.179934301882</v>
      </c>
      <c r="X13" t="n">
        <v>109.860291164768</v>
      </c>
      <c r="Y13" t="n">
        <v>106.266730238817</v>
      </c>
      <c r="Z13" t="n">
        <v>103.355312972</v>
      </c>
      <c r="AA13" t="n">
        <v>100.182123538649</v>
      </c>
      <c r="AB13" t="n">
        <v>100.182123538649</v>
      </c>
      <c r="AC13" t="n">
        <v>100.568181818182</v>
      </c>
      <c r="AD13" t="n">
        <v>100</v>
      </c>
      <c r="AE13" t="n">
        <v>100</v>
      </c>
      <c r="AF13" t="n">
        <v>102.378686964795</v>
      </c>
    </row>
    <row r="14">
      <c r="A14" t="s">
        <v>82</v>
      </c>
      <c r="B14" t="s">
        <v>298</v>
      </c>
      <c r="C14" t="s">
        <v>217</v>
      </c>
      <c r="D14" t="s">
        <v>299</v>
      </c>
      <c r="E14" t="s">
        <v>218</v>
      </c>
      <c r="F14" t="e">
        <v>#NUM!</v>
      </c>
      <c r="G14" t="e">
        <v>#NUM!</v>
      </c>
      <c r="H14" t="e">
        <v>#NUM!</v>
      </c>
      <c r="I14" t="e">
        <v>#NUM!</v>
      </c>
      <c r="J14" t="e">
        <v>#NUM!</v>
      </c>
      <c r="K14" t="e">
        <v>#NUM!</v>
      </c>
      <c r="L14" t="e">
        <v>#NUM!</v>
      </c>
      <c r="M14" t="e">
        <v>#NUM!</v>
      </c>
      <c r="N14" t="e">
        <v>#NUM!</v>
      </c>
      <c r="O14" t="e">
        <v>#NUM!</v>
      </c>
      <c r="P14" t="e">
        <v>#NUM!</v>
      </c>
      <c r="Q14" t="e">
        <v>#NUM!</v>
      </c>
      <c r="R14" t="e">
        <v>#NUM!</v>
      </c>
      <c r="S14" t="e">
        <v>#NUM!</v>
      </c>
      <c r="T14" t="e">
        <v>#NUM!</v>
      </c>
      <c r="U14" t="e">
        <v>#NUM!</v>
      </c>
      <c r="V14" t="e">
        <v>#NUM!</v>
      </c>
      <c r="W14" t="e">
        <v>#NUM!</v>
      </c>
      <c r="X14" t="e">
        <v>#NUM!</v>
      </c>
      <c r="Y14" t="e">
        <v>#NUM!</v>
      </c>
      <c r="Z14" t="n">
        <v>0</v>
      </c>
      <c r="AA14" t="n">
        <v>93.75</v>
      </c>
      <c r="AB14" t="n">
        <v>93.75</v>
      </c>
      <c r="AC14" t="n">
        <v>100</v>
      </c>
      <c r="AD14" t="n">
        <v>100</v>
      </c>
      <c r="AE14" t="n">
        <v>100</v>
      </c>
      <c r="AF14" t="n">
        <v>100</v>
      </c>
    </row>
    <row r="15">
      <c r="A15" t="s">
        <v>82</v>
      </c>
      <c r="B15" t="s">
        <v>300</v>
      </c>
      <c r="C15" t="s">
        <v>217</v>
      </c>
      <c r="D15" t="s">
        <v>301</v>
      </c>
      <c r="E15" t="s">
        <v>218</v>
      </c>
      <c r="F15" t="n">
        <v>68.651350792006</v>
      </c>
      <c r="G15" t="n">
        <v>72.663442721409</v>
      </c>
      <c r="H15" t="n">
        <v>76.7456586046342</v>
      </c>
      <c r="I15" t="n">
        <v>81.3503981209122</v>
      </c>
      <c r="J15" t="n">
        <v>84.6633102615829</v>
      </c>
      <c r="K15" t="n">
        <v>87.6602415982761</v>
      </c>
      <c r="L15" t="n">
        <v>90.4633307191512</v>
      </c>
      <c r="M15" t="n">
        <v>93.9426895929647</v>
      </c>
      <c r="N15" t="n">
        <v>96.4411653800116</v>
      </c>
      <c r="O15" t="n">
        <v>99.2776702441296</v>
      </c>
      <c r="P15" t="n">
        <v>99.2776702441296</v>
      </c>
      <c r="Q15" t="n">
        <v>105.340428732321</v>
      </c>
      <c r="R15" t="n">
        <v>107.337403684592</v>
      </c>
      <c r="S15" t="n">
        <v>108.731395940236</v>
      </c>
      <c r="T15" t="n">
        <v>106.61599913206</v>
      </c>
      <c r="U15" t="n">
        <v>107.612410338902</v>
      </c>
      <c r="V15" t="n">
        <v>107.612410338902</v>
      </c>
      <c r="W15" t="n">
        <v>107.612410338902</v>
      </c>
      <c r="X15" t="n">
        <v>107.612410338902</v>
      </c>
      <c r="Y15" t="n">
        <v>104.473715037351</v>
      </c>
      <c r="Z15" t="n">
        <v>101.687749303021</v>
      </c>
      <c r="AA15" t="n">
        <v>99.1769406782555</v>
      </c>
      <c r="AB15" t="n">
        <v>99.1769406782555</v>
      </c>
      <c r="AC15" t="n">
        <v>100.303951367781</v>
      </c>
      <c r="AD15" t="n">
        <v>100</v>
      </c>
      <c r="AE15" t="n">
        <v>100</v>
      </c>
      <c r="AF15" t="n">
        <v>102.51572327044</v>
      </c>
    </row>
    <row r="16">
      <c r="A16" t="s">
        <v>82</v>
      </c>
      <c r="B16" t="s">
        <v>302</v>
      </c>
      <c r="C16" t="s">
        <v>217</v>
      </c>
      <c r="D16" t="s">
        <v>303</v>
      </c>
      <c r="E16" t="s">
        <v>218</v>
      </c>
      <c r="F16" t="n">
        <v>70.1339448948875</v>
      </c>
      <c r="G16" t="n">
        <v>74.2293577354648</v>
      </c>
      <c r="H16" t="n">
        <v>78.4576122900166</v>
      </c>
      <c r="I16" t="n">
        <v>82.8653433175456</v>
      </c>
      <c r="J16" t="n">
        <v>86.2476022284658</v>
      </c>
      <c r="K16" t="n">
        <v>89.2512500672681</v>
      </c>
      <c r="L16" t="n">
        <v>91.6312834023953</v>
      </c>
      <c r="M16" t="n">
        <v>94.9038292381951</v>
      </c>
      <c r="N16" t="n">
        <v>97.5584818042985</v>
      </c>
      <c r="O16" t="n">
        <v>100.306608052307</v>
      </c>
      <c r="P16" t="n">
        <v>100.306608052307</v>
      </c>
      <c r="Q16" t="n">
        <v>106.346011154933</v>
      </c>
      <c r="R16" t="n">
        <v>108.169085631874</v>
      </c>
      <c r="S16" t="n">
        <v>109.913748303356</v>
      </c>
      <c r="T16" t="n">
        <v>108.104468495894</v>
      </c>
      <c r="U16" t="n">
        <v>109.143934539123</v>
      </c>
      <c r="V16" t="n">
        <v>109.143934539123</v>
      </c>
      <c r="W16" t="n">
        <v>109.143934539123</v>
      </c>
      <c r="X16" t="n">
        <v>109.143934539123</v>
      </c>
      <c r="Y16" t="n">
        <v>105.639312787867</v>
      </c>
      <c r="Z16" t="n">
        <v>102.822264446857</v>
      </c>
      <c r="AA16" t="n">
        <v>99.706438251498</v>
      </c>
      <c r="AB16" t="n">
        <v>99.706438251498</v>
      </c>
      <c r="AC16" t="n">
        <v>100.325732899023</v>
      </c>
      <c r="AD16" t="n">
        <v>100</v>
      </c>
      <c r="AE16" t="n">
        <v>100</v>
      </c>
      <c r="AF16" t="n">
        <v>102.777777777778</v>
      </c>
    </row>
    <row r="17">
      <c r="A17" t="s">
        <v>82</v>
      </c>
      <c r="B17" t="s">
        <v>304</v>
      </c>
      <c r="C17" t="s">
        <v>217</v>
      </c>
      <c r="D17" t="s">
        <v>305</v>
      </c>
      <c r="E17" t="s">
        <v>218</v>
      </c>
      <c r="F17" t="n">
        <v>69.5728805242824</v>
      </c>
      <c r="G17" t="n">
        <v>75.138710966225</v>
      </c>
      <c r="H17" t="n">
        <v>80.3206910328612</v>
      </c>
      <c r="I17" t="n">
        <v>85.1886117015195</v>
      </c>
      <c r="J17" t="n">
        <v>89.9213123516039</v>
      </c>
      <c r="K17" t="n">
        <v>92.3516180908364</v>
      </c>
      <c r="L17" t="n">
        <v>95.772048390497</v>
      </c>
      <c r="M17" t="n">
        <v>100.125323317338</v>
      </c>
      <c r="N17" t="n">
        <v>101.851621995223</v>
      </c>
      <c r="O17" t="n">
        <v>101.851621995223</v>
      </c>
      <c r="P17" t="n">
        <v>100.064751433903</v>
      </c>
      <c r="Q17" t="n">
        <v>106.186359756918</v>
      </c>
      <c r="R17" t="n">
        <v>107.858585894823</v>
      </c>
      <c r="S17" t="n">
        <v>110.286271107889</v>
      </c>
      <c r="T17" t="n">
        <v>108.384783674995</v>
      </c>
      <c r="U17" t="n">
        <v>108.384783674995</v>
      </c>
      <c r="V17" t="n">
        <v>108.384783674995</v>
      </c>
      <c r="W17" t="n">
        <v>108.384783674995</v>
      </c>
      <c r="X17" t="n">
        <v>107.342622293504</v>
      </c>
      <c r="Y17" t="n">
        <v>104.089815557338</v>
      </c>
      <c r="Z17" t="n">
        <v>101.724137931034</v>
      </c>
      <c r="AA17" t="n">
        <v>100</v>
      </c>
      <c r="AB17" t="n">
        <v>100</v>
      </c>
      <c r="AC17" t="n">
        <v>100</v>
      </c>
      <c r="AD17" t="n">
        <v>100</v>
      </c>
      <c r="AE17" t="n">
        <v>100</v>
      </c>
      <c r="AF17" t="n">
        <v>102.298850574713</v>
      </c>
    </row>
    <row r="18">
      <c r="A18" t="s">
        <v>82</v>
      </c>
      <c r="B18" t="s">
        <v>306</v>
      </c>
      <c r="C18" t="s">
        <v>217</v>
      </c>
      <c r="D18" t="s">
        <v>307</v>
      </c>
      <c r="E18" t="s">
        <v>218</v>
      </c>
      <c r="F18" t="n">
        <v>72.5181725324808</v>
      </c>
      <c r="G18" t="n">
        <v>75.814453102139</v>
      </c>
      <c r="H18" t="n">
        <v>81.8796093503102</v>
      </c>
      <c r="I18" t="n">
        <v>84.7030441554933</v>
      </c>
      <c r="J18" t="n">
        <v>90.1677566816541</v>
      </c>
      <c r="K18" t="n">
        <v>92.9854990779558</v>
      </c>
      <c r="L18" t="n">
        <v>95.6677730898199</v>
      </c>
      <c r="M18" t="n">
        <v>98.8566988594806</v>
      </c>
      <c r="N18" t="n">
        <v>101.005757530339</v>
      </c>
      <c r="O18" t="n">
        <v>102.609023522884</v>
      </c>
      <c r="P18" t="n">
        <v>102.609023522884</v>
      </c>
      <c r="Q18" t="n">
        <v>108.7946738771</v>
      </c>
      <c r="R18" t="n">
        <v>110.834574012296</v>
      </c>
      <c r="S18" t="n">
        <v>113.652402165151</v>
      </c>
      <c r="T18" t="n">
        <v>112.283096114968</v>
      </c>
      <c r="U18" t="n">
        <v>112.283096114968</v>
      </c>
      <c r="V18" t="n">
        <v>112.283096114968</v>
      </c>
      <c r="W18" t="n">
        <v>110.879557413531</v>
      </c>
      <c r="X18" t="n">
        <v>110.879557413531</v>
      </c>
      <c r="Y18" t="n">
        <v>106.353861192571</v>
      </c>
      <c r="Z18" t="n">
        <v>103.030303030303</v>
      </c>
      <c r="AA18" t="n">
        <v>100</v>
      </c>
      <c r="AB18" t="n">
        <v>100</v>
      </c>
      <c r="AC18" t="n">
        <v>100</v>
      </c>
      <c r="AD18" t="n">
        <v>100</v>
      </c>
      <c r="AE18" t="n">
        <v>100</v>
      </c>
      <c r="AF18" t="n">
        <v>102.352941176471</v>
      </c>
    </row>
    <row r="19">
      <c r="A19" t="s">
        <v>82</v>
      </c>
      <c r="B19" t="s">
        <v>308</v>
      </c>
      <c r="C19" t="s">
        <v>217</v>
      </c>
      <c r="D19" t="s">
        <v>309</v>
      </c>
      <c r="E19" t="s">
        <v>218</v>
      </c>
      <c r="F19" t="n">
        <v>69.4679460490264</v>
      </c>
      <c r="G19" t="n">
        <v>73.9210195137076</v>
      </c>
      <c r="H19" t="n">
        <v>78.8490874812881</v>
      </c>
      <c r="I19" t="n">
        <v>83.4872690978345</v>
      </c>
      <c r="J19" t="n">
        <v>87.2143793254164</v>
      </c>
      <c r="K19" t="n">
        <v>90.2479229541266</v>
      </c>
      <c r="L19" t="n">
        <v>92.9165443318023</v>
      </c>
      <c r="M19" t="n">
        <v>97.8589137111535</v>
      </c>
      <c r="N19" t="n">
        <v>100.628505608639</v>
      </c>
      <c r="O19" t="n">
        <v>102.769537642865</v>
      </c>
      <c r="P19" t="n">
        <v>102.769537642865</v>
      </c>
      <c r="Q19" t="n">
        <v>108.969811407141</v>
      </c>
      <c r="R19" t="n">
        <v>110.222337975039</v>
      </c>
      <c r="S19" t="n">
        <v>112.760352336306</v>
      </c>
      <c r="T19" t="n">
        <v>110.917862919046</v>
      </c>
      <c r="U19" t="n">
        <v>111.227689351781</v>
      </c>
      <c r="V19" t="n">
        <v>111.227689351781</v>
      </c>
      <c r="W19" t="n">
        <v>107.520099706722</v>
      </c>
      <c r="X19" t="n">
        <v>105.826869790081</v>
      </c>
      <c r="Y19" t="n">
        <v>102.129861238462</v>
      </c>
      <c r="Z19" t="n">
        <v>99.1552050858854</v>
      </c>
      <c r="AA19" t="n">
        <v>96.260162601626</v>
      </c>
      <c r="AB19" t="n">
        <v>96.260162601626</v>
      </c>
      <c r="AC19" t="n">
        <v>98.6666666666667</v>
      </c>
      <c r="AD19" t="n">
        <v>98.6666666666667</v>
      </c>
      <c r="AE19" t="n">
        <v>100</v>
      </c>
      <c r="AF19" t="n">
        <v>101.869158878505</v>
      </c>
    </row>
    <row r="20">
      <c r="A20" t="s">
        <v>82</v>
      </c>
      <c r="B20" t="s">
        <v>310</v>
      </c>
      <c r="C20" t="s">
        <v>217</v>
      </c>
      <c r="D20" t="s">
        <v>311</v>
      </c>
      <c r="E20" t="s">
        <v>218</v>
      </c>
      <c r="F20" t="n">
        <v>70.8065039481751</v>
      </c>
      <c r="G20" t="n">
        <v>75.4175116019604</v>
      </c>
      <c r="H20" t="n">
        <v>79.6261224099667</v>
      </c>
      <c r="I20" t="n">
        <v>83.9832162625246</v>
      </c>
      <c r="J20" t="n">
        <v>87.1520583387789</v>
      </c>
      <c r="K20" t="n">
        <v>90.0640387715321</v>
      </c>
      <c r="L20" t="n">
        <v>92.9206087216318</v>
      </c>
      <c r="M20" t="n">
        <v>97.1724254420955</v>
      </c>
      <c r="N20" t="n">
        <v>99.881368957118</v>
      </c>
      <c r="O20" t="n">
        <v>102.523583696824</v>
      </c>
      <c r="P20" t="n">
        <v>102.337359498409</v>
      </c>
      <c r="Q20" t="n">
        <v>108.599883528039</v>
      </c>
      <c r="R20" t="n">
        <v>110.181661069072</v>
      </c>
      <c r="S20" t="n">
        <v>112.797179541841</v>
      </c>
      <c r="T20" t="n">
        <v>111.060344623494</v>
      </c>
      <c r="U20" t="n">
        <v>111.41160975536</v>
      </c>
      <c r="V20" t="n">
        <v>111.41160975536</v>
      </c>
      <c r="W20" t="n">
        <v>110.788203465762</v>
      </c>
      <c r="X20" t="n">
        <v>109.509121187738</v>
      </c>
      <c r="Y20" t="n">
        <v>105.931308772251</v>
      </c>
      <c r="Z20" t="n">
        <v>103.017526844386</v>
      </c>
      <c r="AA20" t="n">
        <v>100.218277742805</v>
      </c>
      <c r="AB20" t="n">
        <v>99.9793973731651</v>
      </c>
      <c r="AC20" t="n">
        <v>100.28328611898</v>
      </c>
      <c r="AD20" t="n">
        <v>100</v>
      </c>
      <c r="AE20" t="n">
        <v>100</v>
      </c>
      <c r="AF20" t="n">
        <v>102.368064952639</v>
      </c>
    </row>
    <row r="21">
      <c r="A21" t="s">
        <v>82</v>
      </c>
      <c r="B21" t="s">
        <v>312</v>
      </c>
      <c r="C21" t="s">
        <v>217</v>
      </c>
      <c r="D21" t="s">
        <v>313</v>
      </c>
      <c r="E21" t="s">
        <v>218</v>
      </c>
      <c r="F21" t="n">
        <v>71.3757749506176</v>
      </c>
      <c r="G21" t="n">
        <v>75.983378403583</v>
      </c>
      <c r="H21" t="n">
        <v>80.1912421343989</v>
      </c>
      <c r="I21" t="n">
        <v>84.5408122140838</v>
      </c>
      <c r="J21" t="n">
        <v>87.7024307036474</v>
      </c>
      <c r="K21" t="n">
        <v>90.6045105359884</v>
      </c>
      <c r="L21" t="n">
        <v>93.4459109690363</v>
      </c>
      <c r="M21" t="n">
        <v>97.6490739557789</v>
      </c>
      <c r="N21" t="n">
        <v>100.325643037332</v>
      </c>
      <c r="O21" t="n">
        <v>102.943064793173</v>
      </c>
      <c r="P21" t="n">
        <v>102.755083848561</v>
      </c>
      <c r="Q21" t="n">
        <v>108.944560801302</v>
      </c>
      <c r="R21" t="n">
        <v>110.507141226404</v>
      </c>
      <c r="S21" t="n">
        <v>113.102545059655</v>
      </c>
      <c r="T21" t="n">
        <v>111.38017127702</v>
      </c>
      <c r="U21" t="n">
        <v>111.726826027338</v>
      </c>
      <c r="V21" t="n">
        <v>111.726826027338</v>
      </c>
      <c r="W21" t="n">
        <v>111.112558834385</v>
      </c>
      <c r="X21" t="n">
        <v>109.853877007226</v>
      </c>
      <c r="Y21" t="n">
        <v>106.301916367847</v>
      </c>
      <c r="Z21" t="n">
        <v>103.36244658392</v>
      </c>
      <c r="AA21" t="n">
        <v>100.545865506647</v>
      </c>
      <c r="AB21" t="n">
        <v>100.308817306545</v>
      </c>
      <c r="AC21" t="n">
        <v>100.591112289584</v>
      </c>
      <c r="AD21" t="n">
        <v>100.174216027875</v>
      </c>
      <c r="AE21" t="n">
        <v>100</v>
      </c>
      <c r="AF21" t="n">
        <v>102.311088029083</v>
      </c>
    </row>
    <row r="22">
      <c r="A22" t="s">
        <v>82</v>
      </c>
      <c r="B22" t="s">
        <v>314</v>
      </c>
      <c r="C22" t="s">
        <v>217</v>
      </c>
      <c r="D22" t="s">
        <v>315</v>
      </c>
      <c r="E22" t="s">
        <v>218</v>
      </c>
      <c r="F22" t="n">
        <v>80.6892923182329</v>
      </c>
      <c r="G22" t="n">
        <v>84.5821967721827</v>
      </c>
      <c r="H22" t="n">
        <v>88.2024464394746</v>
      </c>
      <c r="I22" t="n">
        <v>91.7661816491503</v>
      </c>
      <c r="J22" t="n">
        <v>94.3073989871268</v>
      </c>
      <c r="K22" t="n">
        <v>96.552813248725</v>
      </c>
      <c r="L22" t="n">
        <v>99.0560343329512</v>
      </c>
      <c r="M22" t="n">
        <v>99.0560343329512</v>
      </c>
      <c r="N22" t="n">
        <v>101.388208623318</v>
      </c>
      <c r="O22" t="n">
        <v>103.491698428781</v>
      </c>
      <c r="P22" t="n">
        <v>103.298256001811</v>
      </c>
      <c r="Q22" t="n">
        <v>109.071005351025</v>
      </c>
      <c r="R22" t="n">
        <v>110.550119938909</v>
      </c>
      <c r="S22" t="n">
        <v>113.048427734139</v>
      </c>
      <c r="T22" t="n">
        <v>111.394998348912</v>
      </c>
      <c r="U22" t="n">
        <v>111.727701303524</v>
      </c>
      <c r="V22" t="n">
        <v>111.727701303524</v>
      </c>
      <c r="W22" t="n">
        <v>111.1524442602</v>
      </c>
      <c r="X22" t="n">
        <v>109.927883433604</v>
      </c>
      <c r="Y22" t="n">
        <v>106.438109356347</v>
      </c>
      <c r="Z22" t="n">
        <v>103.481495207559</v>
      </c>
      <c r="AA22" t="n">
        <v>100.632952243813</v>
      </c>
      <c r="AB22" t="n">
        <v>100.405018037146</v>
      </c>
      <c r="AC22" t="n">
        <v>100.683456800421</v>
      </c>
      <c r="AD22" t="n">
        <v>100.230946882217</v>
      </c>
      <c r="AE22" t="n">
        <v>100</v>
      </c>
      <c r="AF22" t="n">
        <v>102.275600505689</v>
      </c>
    </row>
    <row r="23">
      <c r="A23" t="s">
        <v>82</v>
      </c>
      <c r="B23" t="s">
        <v>316</v>
      </c>
      <c r="C23" t="s">
        <v>217</v>
      </c>
      <c r="D23" t="s">
        <v>317</v>
      </c>
      <c r="E23" t="s">
        <v>218</v>
      </c>
      <c r="F23" t="n">
        <v>69.434848418409</v>
      </c>
      <c r="G23" t="n">
        <v>74.3944804482953</v>
      </c>
      <c r="H23" t="n">
        <v>78.9550616252023</v>
      </c>
      <c r="I23" t="n">
        <v>83.822154465112</v>
      </c>
      <c r="J23" t="n">
        <v>87.4665959635952</v>
      </c>
      <c r="K23" t="n">
        <v>90.4270038269784</v>
      </c>
      <c r="L23" t="n">
        <v>93.3461938904619</v>
      </c>
      <c r="M23" t="n">
        <v>97.0800416460804</v>
      </c>
      <c r="N23" t="n">
        <v>99.7694211781678</v>
      </c>
      <c r="O23" t="n">
        <v>102.38847079072</v>
      </c>
      <c r="P23" t="n">
        <v>102.177881587119</v>
      </c>
      <c r="Q23" t="n">
        <v>108.407106397253</v>
      </c>
      <c r="R23" t="n">
        <v>109.989691892103</v>
      </c>
      <c r="S23" t="n">
        <v>112.612167014356</v>
      </c>
      <c r="T23" t="n">
        <v>110.868944614753</v>
      </c>
      <c r="U23" t="n">
        <v>111.384614124589</v>
      </c>
      <c r="V23" t="n">
        <v>111.384614124589</v>
      </c>
      <c r="W23" t="n">
        <v>110.698325682663</v>
      </c>
      <c r="X23" t="n">
        <v>109.450543275163</v>
      </c>
      <c r="Y23" t="n">
        <v>106.003282069646</v>
      </c>
      <c r="Z23" t="n">
        <v>103.185473305769</v>
      </c>
      <c r="AA23" t="n">
        <v>100.394581465793</v>
      </c>
      <c r="AB23" t="n">
        <v>100.109099243616</v>
      </c>
      <c r="AC23" t="n">
        <v>100.491925626956</v>
      </c>
      <c r="AD23" t="n">
        <v>99.9314128943759</v>
      </c>
      <c r="AE23" t="n">
        <v>100</v>
      </c>
      <c r="AF23" t="n">
        <v>102.49255952381</v>
      </c>
    </row>
    <row r="24">
      <c r="A24" t="s">
        <v>82</v>
      </c>
      <c r="B24" t="s">
        <v>318</v>
      </c>
      <c r="C24" t="s">
        <v>217</v>
      </c>
      <c r="D24" t="s">
        <v>319</v>
      </c>
      <c r="E24" t="s">
        <v>218</v>
      </c>
      <c r="F24" t="n">
        <v>70.8523077413557</v>
      </c>
      <c r="G24" t="n">
        <v>75.4531069453398</v>
      </c>
      <c r="H24" t="n">
        <v>79.6832029018582</v>
      </c>
      <c r="I24" t="n">
        <v>84.0476399454774</v>
      </c>
      <c r="J24" t="n">
        <v>87.2056012280636</v>
      </c>
      <c r="K24" t="n">
        <v>90.1178145040673</v>
      </c>
      <c r="L24" t="n">
        <v>92.9339962073194</v>
      </c>
      <c r="M24" t="n">
        <v>97.1865669912059</v>
      </c>
      <c r="N24" t="n">
        <v>99.8839233500871</v>
      </c>
      <c r="O24" t="n">
        <v>102.550727128852</v>
      </c>
      <c r="P24" t="n">
        <v>102.368738260832</v>
      </c>
      <c r="Q24" t="n">
        <v>108.630423657435</v>
      </c>
      <c r="R24" t="n">
        <v>110.206235358638</v>
      </c>
      <c r="S24" t="n">
        <v>112.830193343368</v>
      </c>
      <c r="T24" t="n">
        <v>111.099860176593</v>
      </c>
      <c r="U24" t="n">
        <v>111.459098906598</v>
      </c>
      <c r="V24" t="n">
        <v>111.420312536488</v>
      </c>
      <c r="W24" t="n">
        <v>110.779786342714</v>
      </c>
      <c r="X24" t="n">
        <v>109.546387348362</v>
      </c>
      <c r="Y24" t="n">
        <v>105.998676541662</v>
      </c>
      <c r="Z24" t="n">
        <v>103.141655883816</v>
      </c>
      <c r="AA24" t="n">
        <v>100.365079240863</v>
      </c>
      <c r="AB24" t="n">
        <v>100.096813075167</v>
      </c>
      <c r="AC24" t="n">
        <v>100.45864841655</v>
      </c>
      <c r="AD24" t="n">
        <v>100.017962996228</v>
      </c>
      <c r="AE24" t="n">
        <v>100</v>
      </c>
      <c r="AF24" t="n">
        <v>102.557319223986</v>
      </c>
    </row>
    <row r="25">
      <c r="A25" t="s">
        <v>82</v>
      </c>
      <c r="B25" t="s">
        <v>320</v>
      </c>
      <c r="C25" t="s">
        <v>217</v>
      </c>
      <c r="D25" t="s">
        <v>321</v>
      </c>
      <c r="E25" t="s">
        <v>218</v>
      </c>
      <c r="F25" t="n">
        <v>70.4901305901226</v>
      </c>
      <c r="G25" t="n">
        <v>75.0378809507756</v>
      </c>
      <c r="H25" t="n">
        <v>79.2211774497736</v>
      </c>
      <c r="I25" t="n">
        <v>83.622353974761</v>
      </c>
      <c r="J25" t="n">
        <v>86.6674256881277</v>
      </c>
      <c r="K25" t="n">
        <v>89.508980628722</v>
      </c>
      <c r="L25" t="n">
        <v>92.4926133163461</v>
      </c>
      <c r="M25" t="n">
        <v>96.7093231404808</v>
      </c>
      <c r="N25" t="n">
        <v>99.340869348385</v>
      </c>
      <c r="O25" t="n">
        <v>102.09555550016</v>
      </c>
      <c r="P25" t="n">
        <v>101.900964225382</v>
      </c>
      <c r="Q25" t="n">
        <v>108.122640258945</v>
      </c>
      <c r="R25" t="n">
        <v>109.703736235735</v>
      </c>
      <c r="S25" t="n">
        <v>112.341902237396</v>
      </c>
      <c r="T25" t="n">
        <v>110.627948111721</v>
      </c>
      <c r="U25" t="n">
        <v>110.988299734235</v>
      </c>
      <c r="V25" t="n">
        <v>110.988299734235</v>
      </c>
      <c r="W25" t="n">
        <v>110.281367888794</v>
      </c>
      <c r="X25" t="n">
        <v>109.056019356696</v>
      </c>
      <c r="Y25" t="n">
        <v>105.522540084462</v>
      </c>
      <c r="Z25" t="n">
        <v>102.910596022965</v>
      </c>
      <c r="AA25" t="n">
        <v>100.252388745619</v>
      </c>
      <c r="AB25" t="n">
        <v>100.017605633803</v>
      </c>
      <c r="AC25" t="n">
        <v>100.422535211268</v>
      </c>
      <c r="AD25" t="n">
        <v>100</v>
      </c>
      <c r="AE25" t="n">
        <v>100</v>
      </c>
      <c r="AF25" t="n">
        <v>102.980132450331</v>
      </c>
    </row>
    <row r="26">
      <c r="A26" t="s">
        <v>82</v>
      </c>
      <c r="B26" t="s">
        <v>322</v>
      </c>
      <c r="C26" t="s">
        <v>217</v>
      </c>
      <c r="D26" t="s">
        <v>323</v>
      </c>
      <c r="E26" t="s">
        <v>218</v>
      </c>
      <c r="F26" t="n">
        <v>70.9208467996259</v>
      </c>
      <c r="G26" t="n">
        <v>75.5227762963572</v>
      </c>
      <c r="H26" t="n">
        <v>79.7524277379702</v>
      </c>
      <c r="I26" t="n">
        <v>84.1073589823491</v>
      </c>
      <c r="J26" t="n">
        <v>87.2677056374975</v>
      </c>
      <c r="K26" t="n">
        <v>90.1695168762994</v>
      </c>
      <c r="L26" t="n">
        <v>92.9915136786873</v>
      </c>
      <c r="M26" t="n">
        <v>97.2535461449991</v>
      </c>
      <c r="N26" t="n">
        <v>99.9821025498688</v>
      </c>
      <c r="O26" t="n">
        <v>102.640288809771</v>
      </c>
      <c r="P26" t="n">
        <v>102.471957052805</v>
      </c>
      <c r="Q26" t="n">
        <v>108.745750341753</v>
      </c>
      <c r="R26" t="n">
        <v>110.32824446986</v>
      </c>
      <c r="S26" t="n">
        <v>112.948084840193</v>
      </c>
      <c r="T26" t="n">
        <v>111.224313196557</v>
      </c>
      <c r="U26" t="n">
        <v>111.583101303642</v>
      </c>
      <c r="V26" t="n">
        <v>111.532588356017</v>
      </c>
      <c r="W26" t="n">
        <v>110.897075032052</v>
      </c>
      <c r="X26" t="n">
        <v>109.665374079692</v>
      </c>
      <c r="Y26" t="n">
        <v>106.086393275367</v>
      </c>
      <c r="Z26" t="n">
        <v>103.217205107726</v>
      </c>
      <c r="AA26" t="n">
        <v>100.425455007141</v>
      </c>
      <c r="AB26" t="n">
        <v>100.138251608646</v>
      </c>
      <c r="AC26" t="n">
        <v>100.478197176668</v>
      </c>
      <c r="AD26" t="n">
        <v>100.039001560062</v>
      </c>
      <c r="AE26" t="n">
        <v>100</v>
      </c>
      <c r="AF26" t="n">
        <v>102.542372881356</v>
      </c>
    </row>
    <row r="27">
      <c r="A27" t="s">
        <v>82</v>
      </c>
      <c r="B27" t="s">
        <v>324</v>
      </c>
      <c r="C27" t="s">
        <v>217</v>
      </c>
      <c r="D27" t="s">
        <v>325</v>
      </c>
      <c r="E27" t="s">
        <v>218</v>
      </c>
      <c r="F27" t="n">
        <v>70.9162642795487</v>
      </c>
      <c r="G27" t="n">
        <v>75.5283602261303</v>
      </c>
      <c r="H27" t="n">
        <v>79.7697776731413</v>
      </c>
      <c r="I27" t="n">
        <v>84.1407243949572</v>
      </c>
      <c r="J27" t="n">
        <v>87.3165045359531</v>
      </c>
      <c r="K27" t="n">
        <v>90.2506218948536</v>
      </c>
      <c r="L27" t="n">
        <v>93.0159612843895</v>
      </c>
      <c r="M27" t="n">
        <v>97.2675545187543</v>
      </c>
      <c r="N27" t="n">
        <v>99.9545035386094</v>
      </c>
      <c r="O27" t="n">
        <v>102.595745580918</v>
      </c>
      <c r="P27" t="n">
        <v>102.409140005107</v>
      </c>
      <c r="Q27" t="n">
        <v>108.667858433894</v>
      </c>
      <c r="R27" t="n">
        <v>110.235721729746</v>
      </c>
      <c r="S27" t="n">
        <v>112.865419506134</v>
      </c>
      <c r="T27" t="n">
        <v>111.106126396326</v>
      </c>
      <c r="U27" t="n">
        <v>111.465460569665</v>
      </c>
      <c r="V27" t="n">
        <v>111.430507461929</v>
      </c>
      <c r="W27" t="n">
        <v>110.798484513847</v>
      </c>
      <c r="X27" t="n">
        <v>109.560789199796</v>
      </c>
      <c r="Y27" t="n">
        <v>106.029130294043</v>
      </c>
      <c r="Z27" t="n">
        <v>103.151379471829</v>
      </c>
      <c r="AA27" t="n">
        <v>100.351863953804</v>
      </c>
      <c r="AB27" t="n">
        <v>100.08725785241</v>
      </c>
      <c r="AC27" t="n">
        <v>100.44612216884</v>
      </c>
      <c r="AD27" t="n">
        <v>100</v>
      </c>
      <c r="AE27" t="n">
        <v>100</v>
      </c>
      <c r="AF27" t="n">
        <v>102.513464991023</v>
      </c>
    </row>
    <row r="28">
      <c r="A28" t="s">
        <v>82</v>
      </c>
      <c r="B28" t="s">
        <v>326</v>
      </c>
      <c r="C28" t="s">
        <v>217</v>
      </c>
      <c r="D28" t="s">
        <v>327</v>
      </c>
      <c r="E28" t="s">
        <v>218</v>
      </c>
      <c r="F28" t="n">
        <v>70.8602037459151</v>
      </c>
      <c r="G28" t="n">
        <v>75.4581142969847</v>
      </c>
      <c r="H28" t="n">
        <v>79.6851598771739</v>
      </c>
      <c r="I28" t="n">
        <v>84.0557587766134</v>
      </c>
      <c r="J28" t="n">
        <v>87.2106987735093</v>
      </c>
      <c r="K28" t="n">
        <v>90.1262256861214</v>
      </c>
      <c r="L28" t="n">
        <v>92.9830155280466</v>
      </c>
      <c r="M28" t="n">
        <v>97.2363241258149</v>
      </c>
      <c r="N28" t="n">
        <v>99.9393734745306</v>
      </c>
      <c r="O28" t="n">
        <v>102.589678332483</v>
      </c>
      <c r="P28" t="n">
        <v>102.402675637747</v>
      </c>
      <c r="Q28" t="n">
        <v>108.660830880746</v>
      </c>
      <c r="R28" t="n">
        <v>110.245963351654</v>
      </c>
      <c r="S28" t="n">
        <v>112.874126371708</v>
      </c>
      <c r="T28" t="n">
        <v>111.149451246907</v>
      </c>
      <c r="U28" t="n">
        <v>111.524322920589</v>
      </c>
      <c r="V28" t="n">
        <v>111.499187846683</v>
      </c>
      <c r="W28" t="n">
        <v>110.872494519208</v>
      </c>
      <c r="X28" t="n">
        <v>109.584215715789</v>
      </c>
      <c r="Y28" t="n">
        <v>106.058431719734</v>
      </c>
      <c r="Z28" t="n">
        <v>103.149964896098</v>
      </c>
      <c r="AA28" t="n">
        <v>100.350934975064</v>
      </c>
      <c r="AB28" t="n">
        <v>100.124352332119</v>
      </c>
      <c r="AC28" t="n">
        <v>100.506117783309</v>
      </c>
      <c r="AD28" t="n">
        <v>100.07745933385</v>
      </c>
      <c r="AE28" t="n">
        <v>100</v>
      </c>
      <c r="AF28" t="n">
        <v>102.45511176255</v>
      </c>
    </row>
    <row r="29">
      <c r="A29" t="s">
        <v>82</v>
      </c>
      <c r="B29" t="s">
        <v>328</v>
      </c>
      <c r="C29" t="s">
        <v>217</v>
      </c>
      <c r="D29" t="s">
        <v>329</v>
      </c>
      <c r="E29" t="s">
        <v>218</v>
      </c>
      <c r="F29" t="n">
        <v>70.9413047069728</v>
      </c>
      <c r="G29" t="n">
        <v>75.5437230018881</v>
      </c>
      <c r="H29" t="n">
        <v>79.7586753416857</v>
      </c>
      <c r="I29" t="n">
        <v>84.1244438955769</v>
      </c>
      <c r="J29" t="n">
        <v>87.2926588292061</v>
      </c>
      <c r="K29" t="n">
        <v>90.2056977422556</v>
      </c>
      <c r="L29" t="n">
        <v>93.0668274600384</v>
      </c>
      <c r="M29" t="n">
        <v>97.3221778105746</v>
      </c>
      <c r="N29" t="n">
        <v>100.026443419952</v>
      </c>
      <c r="O29" t="n">
        <v>102.673833627402</v>
      </c>
      <c r="P29" t="n">
        <v>102.475664100778</v>
      </c>
      <c r="Q29" t="n">
        <v>108.739345142443</v>
      </c>
      <c r="R29" t="n">
        <v>110.324223600334</v>
      </c>
      <c r="S29" t="n">
        <v>112.95343888784</v>
      </c>
      <c r="T29" t="n">
        <v>111.209121678416</v>
      </c>
      <c r="U29" t="n">
        <v>111.572946503972</v>
      </c>
      <c r="V29" t="n">
        <v>111.539126271628</v>
      </c>
      <c r="W29" t="n">
        <v>110.887009577226</v>
      </c>
      <c r="X29" t="n">
        <v>109.65547903994</v>
      </c>
      <c r="Y29" t="n">
        <v>106.116796250205</v>
      </c>
      <c r="Z29" t="n">
        <v>103.204206080674</v>
      </c>
      <c r="AA29" t="n">
        <v>100.394654191</v>
      </c>
      <c r="AB29" t="n">
        <v>100.165180695707</v>
      </c>
      <c r="AC29" t="n">
        <v>100.542628385563</v>
      </c>
      <c r="AD29" t="n">
        <v>100.085616438356</v>
      </c>
      <c r="AE29" t="n">
        <v>100</v>
      </c>
      <c r="AF29" t="n">
        <v>102.469135802469</v>
      </c>
    </row>
    <row r="30">
      <c r="A30" t="s">
        <v>82</v>
      </c>
      <c r="B30" t="s">
        <v>330</v>
      </c>
      <c r="C30" t="s">
        <v>217</v>
      </c>
      <c r="D30" t="s">
        <v>331</v>
      </c>
      <c r="E30" t="s">
        <v>218</v>
      </c>
      <c r="F30" t="e">
        <v>#NUM!</v>
      </c>
      <c r="G30" t="e">
        <v>#NUM!</v>
      </c>
      <c r="H30" t="e">
        <v>#NUM!</v>
      </c>
      <c r="I30" t="e">
        <v>#NUM!</v>
      </c>
      <c r="J30" t="e">
        <v>#NUM!</v>
      </c>
      <c r="K30" t="e">
        <v>#NUM!</v>
      </c>
      <c r="L30" t="e">
        <v>#NUM!</v>
      </c>
      <c r="M30" t="n">
        <v>0</v>
      </c>
      <c r="N30" t="n">
        <v>0</v>
      </c>
      <c r="O30" t="e">
        <v>#NUM!</v>
      </c>
      <c r="P30" t="e">
        <v>#NUM!</v>
      </c>
      <c r="Q30" t="n">
        <v>0</v>
      </c>
      <c r="R30" t="n">
        <v>0</v>
      </c>
      <c r="S30" t="n">
        <v>0</v>
      </c>
      <c r="T30" t="n">
        <v>0</v>
      </c>
      <c r="U30" t="n">
        <v>112.078993055556</v>
      </c>
      <c r="V30" t="n">
        <v>112.078993055556</v>
      </c>
      <c r="W30" t="n">
        <v>112.078993055556</v>
      </c>
      <c r="X30" t="n">
        <v>109.791666666667</v>
      </c>
      <c r="Y30" t="n">
        <v>109.791666666667</v>
      </c>
      <c r="Z30" t="n">
        <v>103.333333333333</v>
      </c>
      <c r="AA30" t="n">
        <v>100</v>
      </c>
      <c r="AB30" t="n">
        <v>100</v>
      </c>
      <c r="AC30" t="n">
        <v>100</v>
      </c>
      <c r="AD30" t="n">
        <v>100</v>
      </c>
      <c r="AE30" t="n">
        <v>100</v>
      </c>
      <c r="AF30" t="n">
        <v>102.222222222222</v>
      </c>
    </row>
    <row r="31">
      <c r="A31" t="s">
        <v>82</v>
      </c>
      <c r="B31" t="s">
        <v>332</v>
      </c>
      <c r="C31" t="s">
        <v>217</v>
      </c>
      <c r="D31" t="s">
        <v>333</v>
      </c>
      <c r="E31" t="s">
        <v>218</v>
      </c>
      <c r="F31" t="e">
        <v>#NUM!</v>
      </c>
      <c r="G31" t="e">
        <v>#NUM!</v>
      </c>
      <c r="H31" t="e">
        <v>#NUM!</v>
      </c>
      <c r="I31" t="e">
        <v>#NUM!</v>
      </c>
      <c r="J31" t="e">
        <v>#NUM!</v>
      </c>
      <c r="K31" t="e">
        <v>#NUM!</v>
      </c>
      <c r="L31" t="e">
        <v>#NUM!</v>
      </c>
      <c r="M31" t="e">
        <v>#NUM!</v>
      </c>
      <c r="N31" t="e">
        <v>#NUM!</v>
      </c>
      <c r="O31" t="e">
        <v>#NUM!</v>
      </c>
      <c r="P31" t="n">
        <v>0</v>
      </c>
      <c r="Q31" t="n">
        <v>0</v>
      </c>
      <c r="R31" t="e">
        <v>#NUM!</v>
      </c>
      <c r="S31" t="n">
        <v>0</v>
      </c>
      <c r="T31" t="n">
        <v>0</v>
      </c>
      <c r="U31" t="n">
        <v>134.264232008593</v>
      </c>
      <c r="V31" t="n">
        <v>134.264232008593</v>
      </c>
      <c r="W31" t="n">
        <v>134.264232008593</v>
      </c>
      <c r="X31" t="n">
        <v>127.551020408163</v>
      </c>
      <c r="Y31" t="n">
        <v>125</v>
      </c>
      <c r="Z31" t="n">
        <v>125</v>
      </c>
      <c r="AA31" t="n">
        <v>100</v>
      </c>
      <c r="AB31" t="n">
        <v>100</v>
      </c>
      <c r="AC31" t="n">
        <v>100</v>
      </c>
      <c r="AD31" t="n">
        <v>100</v>
      </c>
      <c r="AE31" t="n">
        <v>100</v>
      </c>
      <c r="AF31" t="n">
        <v>100</v>
      </c>
    </row>
    <row r="32">
      <c r="A32" t="s">
        <v>82</v>
      </c>
      <c r="B32" t="s">
        <v>334</v>
      </c>
      <c r="C32" t="s">
        <v>217</v>
      </c>
      <c r="D32" t="s">
        <v>335</v>
      </c>
      <c r="E32" t="s">
        <v>218</v>
      </c>
      <c r="F32" t="n">
        <v>69.9769761988685</v>
      </c>
      <c r="G32" t="n">
        <v>74.4263793097792</v>
      </c>
      <c r="H32" t="n">
        <v>78.891962068366</v>
      </c>
      <c r="I32" t="n">
        <v>83.0809158065093</v>
      </c>
      <c r="J32" t="n">
        <v>86.0838404742145</v>
      </c>
      <c r="K32" t="n">
        <v>89.122093667422</v>
      </c>
      <c r="L32" t="n">
        <v>91.9457639618354</v>
      </c>
      <c r="M32" t="n">
        <v>96.2865511016645</v>
      </c>
      <c r="N32" t="n">
        <v>98.9713472033586</v>
      </c>
      <c r="O32" t="n">
        <v>101.598905093713</v>
      </c>
      <c r="P32" t="n">
        <v>101.473629008518</v>
      </c>
      <c r="Q32" t="n">
        <v>107.675528310729</v>
      </c>
      <c r="R32" t="n">
        <v>109.213750143739</v>
      </c>
      <c r="S32" t="n">
        <v>111.867542203307</v>
      </c>
      <c r="T32" t="n">
        <v>110.418480775803</v>
      </c>
      <c r="U32" t="n">
        <v>110.841308656235</v>
      </c>
      <c r="V32" t="n">
        <v>110.841308656235</v>
      </c>
      <c r="W32" t="n">
        <v>110.841308656235</v>
      </c>
      <c r="X32" t="n">
        <v>109.55842313938</v>
      </c>
      <c r="Y32" t="n">
        <v>105.873722809581</v>
      </c>
      <c r="Z32" t="n">
        <v>103.048440880673</v>
      </c>
      <c r="AA32" t="n">
        <v>100.248211508916</v>
      </c>
      <c r="AB32" t="n">
        <v>100.020374664577</v>
      </c>
      <c r="AC32" t="n">
        <v>100.411734431292</v>
      </c>
      <c r="AD32" t="n">
        <v>100</v>
      </c>
      <c r="AE32" t="n">
        <v>100</v>
      </c>
      <c r="AF32" t="n">
        <v>102.41134751773</v>
      </c>
    </row>
    <row r="33">
      <c r="A33" t="s">
        <v>82</v>
      </c>
      <c r="B33" t="s">
        <v>336</v>
      </c>
      <c r="C33" t="s">
        <v>217</v>
      </c>
      <c r="D33" t="s">
        <v>337</v>
      </c>
      <c r="E33" t="s">
        <v>218</v>
      </c>
      <c r="F33" t="n">
        <v>70.5293684163122</v>
      </c>
      <c r="G33" t="n">
        <v>75.0654896215107</v>
      </c>
      <c r="H33" t="n">
        <v>79.2357946004835</v>
      </c>
      <c r="I33" t="n">
        <v>83.6447815814325</v>
      </c>
      <c r="J33" t="n">
        <v>86.7829696349928</v>
      </c>
      <c r="K33" t="n">
        <v>89.7164784677249</v>
      </c>
      <c r="L33" t="n">
        <v>92.5773925793016</v>
      </c>
      <c r="M33" t="n">
        <v>96.8467383535898</v>
      </c>
      <c r="N33" t="n">
        <v>99.4701262999624</v>
      </c>
      <c r="O33" t="n">
        <v>102.118739130435</v>
      </c>
      <c r="P33" t="n">
        <v>102.118739130435</v>
      </c>
      <c r="Q33" t="n">
        <v>108.307753623188</v>
      </c>
      <c r="R33" t="n">
        <v>110.518115942029</v>
      </c>
      <c r="S33" t="n">
        <v>110.518115942029</v>
      </c>
      <c r="T33" t="n">
        <v>110.518115942029</v>
      </c>
      <c r="U33" t="n">
        <v>110.518115942029</v>
      </c>
      <c r="V33" t="n">
        <v>110.518115942029</v>
      </c>
      <c r="W33" t="n">
        <v>110.518115942029</v>
      </c>
      <c r="X33" t="n">
        <v>110.518115942029</v>
      </c>
      <c r="Y33" t="n">
        <v>105.815217391304</v>
      </c>
      <c r="Z33" t="n">
        <v>103.125</v>
      </c>
      <c r="AA33" t="n">
        <v>100</v>
      </c>
      <c r="AB33" t="n">
        <v>100</v>
      </c>
      <c r="AC33" t="n">
        <v>100</v>
      </c>
      <c r="AD33" t="n">
        <v>100</v>
      </c>
      <c r="AE33" t="n">
        <v>100</v>
      </c>
      <c r="AF33" t="n">
        <v>102.898550724638</v>
      </c>
    </row>
    <row r="34">
      <c r="A34" t="s">
        <v>82</v>
      </c>
      <c r="B34" t="s">
        <v>338</v>
      </c>
      <c r="C34" t="s">
        <v>217</v>
      </c>
      <c r="D34" t="s">
        <v>339</v>
      </c>
      <c r="E34" t="s">
        <v>218</v>
      </c>
      <c r="F34" t="n">
        <v>70.5754050335955</v>
      </c>
      <c r="G34" t="n">
        <v>75.2312866190993</v>
      </c>
      <c r="H34" t="n">
        <v>79.4741885658637</v>
      </c>
      <c r="I34" t="n">
        <v>83.924743125552</v>
      </c>
      <c r="J34" t="n">
        <v>87.1624814967059</v>
      </c>
      <c r="K34" t="n">
        <v>90.0624668623907</v>
      </c>
      <c r="L34" t="n">
        <v>92.9233620556267</v>
      </c>
      <c r="M34" t="n">
        <v>97.1872505043817</v>
      </c>
      <c r="N34" t="n">
        <v>99.8846258337716</v>
      </c>
      <c r="O34" t="n">
        <v>102.506837831816</v>
      </c>
      <c r="P34" t="n">
        <v>102.363571811087</v>
      </c>
      <c r="Q34" t="n">
        <v>108.576113517642</v>
      </c>
      <c r="R34" t="n">
        <v>110.178258212</v>
      </c>
      <c r="S34" t="n">
        <v>112.815036240474</v>
      </c>
      <c r="T34" t="n">
        <v>111.12019139119</v>
      </c>
      <c r="U34" t="n">
        <v>111.50389370953</v>
      </c>
      <c r="V34" t="n">
        <v>111.440140768587</v>
      </c>
      <c r="W34" t="n">
        <v>110.783967221373</v>
      </c>
      <c r="X34" t="n">
        <v>109.596390237376</v>
      </c>
      <c r="Y34" t="n">
        <v>106.037312262848</v>
      </c>
      <c r="Z34" t="n">
        <v>103.179250242438</v>
      </c>
      <c r="AA34" t="n">
        <v>100.402471553194</v>
      </c>
      <c r="AB34" t="n">
        <v>100.132572436116</v>
      </c>
      <c r="AC34" t="n">
        <v>100.506085295684</v>
      </c>
      <c r="AD34" t="n">
        <v>100.02802690583</v>
      </c>
      <c r="AE34" t="n">
        <v>100</v>
      </c>
      <c r="AF34" t="n">
        <v>102.58922323303</v>
      </c>
    </row>
    <row r="35">
      <c r="A35" t="s">
        <v>82</v>
      </c>
      <c r="B35" t="s">
        <v>340</v>
      </c>
      <c r="C35" t="s">
        <v>217</v>
      </c>
      <c r="D35" t="s">
        <v>341</v>
      </c>
      <c r="E35" t="s">
        <v>218</v>
      </c>
      <c r="F35" t="n">
        <v>71.4253279350519</v>
      </c>
      <c r="G35" t="n">
        <v>76.0666849849831</v>
      </c>
      <c r="H35" t="n">
        <v>80.3210296757948</v>
      </c>
      <c r="I35" t="n">
        <v>84.7352996986867</v>
      </c>
      <c r="J35" t="n">
        <v>87.9358141880983</v>
      </c>
      <c r="K35" t="n">
        <v>90.8828767930101</v>
      </c>
      <c r="L35" t="n">
        <v>93.7634397183905</v>
      </c>
      <c r="M35" t="n">
        <v>97.9615405225672</v>
      </c>
      <c r="N35" t="n">
        <v>100.670301402339</v>
      </c>
      <c r="O35" t="n">
        <v>103.330139905134</v>
      </c>
      <c r="P35" t="n">
        <v>103.132675810311</v>
      </c>
      <c r="Q35" t="n">
        <v>109.377734034119</v>
      </c>
      <c r="R35" t="n">
        <v>110.885237259704</v>
      </c>
      <c r="S35" t="n">
        <v>113.78937442603</v>
      </c>
      <c r="T35" t="n">
        <v>111.428599023</v>
      </c>
      <c r="U35" t="n">
        <v>111.79145118086</v>
      </c>
      <c r="V35" t="n">
        <v>111.755792025779</v>
      </c>
      <c r="W35" t="n">
        <v>111.10873615797</v>
      </c>
      <c r="X35" t="n">
        <v>109.815520994153</v>
      </c>
      <c r="Y35" t="n">
        <v>106.178400310442</v>
      </c>
      <c r="Z35" t="n">
        <v>103.27005616184</v>
      </c>
      <c r="AA35" t="n">
        <v>100.442891126231</v>
      </c>
      <c r="AB35" t="n">
        <v>100.200275447182</v>
      </c>
      <c r="AC35" t="n">
        <v>100.546336053122</v>
      </c>
      <c r="AD35" t="n">
        <v>100.077041602465</v>
      </c>
      <c r="AE35" t="n">
        <v>100</v>
      </c>
      <c r="AF35" t="n">
        <v>102.348993288591</v>
      </c>
    </row>
    <row r="36">
      <c r="A36" t="s">
        <v>82</v>
      </c>
      <c r="B36" t="s">
        <v>342</v>
      </c>
      <c r="C36" t="s">
        <v>217</v>
      </c>
      <c r="D36" t="s">
        <v>343</v>
      </c>
      <c r="E36" t="s">
        <v>218</v>
      </c>
      <c r="F36" t="n">
        <v>71.9283996623639</v>
      </c>
      <c r="G36" t="n">
        <v>76.5777638990947</v>
      </c>
      <c r="H36" t="n">
        <v>80.8530413581574</v>
      </c>
      <c r="I36" t="n">
        <v>85.3252619864107</v>
      </c>
      <c r="J36" t="n">
        <v>88.5983209779529</v>
      </c>
      <c r="K36" t="n">
        <v>91.5706517462455</v>
      </c>
      <c r="L36" t="n">
        <v>94.4493698400646</v>
      </c>
      <c r="M36" t="n">
        <v>98.3976631694443</v>
      </c>
      <c r="N36" t="n">
        <v>101.105327202796</v>
      </c>
      <c r="O36" t="n">
        <v>103.783936545837</v>
      </c>
      <c r="P36" t="n">
        <v>103.251711230217</v>
      </c>
      <c r="Q36" t="n">
        <v>109.441187107778</v>
      </c>
      <c r="R36" t="n">
        <v>110.928159758699</v>
      </c>
      <c r="S36" t="n">
        <v>113.533854786588</v>
      </c>
      <c r="T36" t="n">
        <v>111.888436601275</v>
      </c>
      <c r="U36" t="n">
        <v>112.291396156862</v>
      </c>
      <c r="V36" t="n">
        <v>112.291396156862</v>
      </c>
      <c r="W36" t="n">
        <v>111.656383549</v>
      </c>
      <c r="X36" t="n">
        <v>110.397101027771</v>
      </c>
      <c r="Y36" t="n">
        <v>106.767607295351</v>
      </c>
      <c r="Z36" t="n">
        <v>103.770621827411</v>
      </c>
      <c r="AA36" t="n">
        <v>100.829754002343</v>
      </c>
      <c r="AB36" t="n">
        <v>100.320512820513</v>
      </c>
      <c r="AC36" t="n">
        <v>100.320512820513</v>
      </c>
      <c r="AD36" t="n">
        <v>100.320512820513</v>
      </c>
      <c r="AE36" t="n">
        <v>100</v>
      </c>
      <c r="AF36" t="n">
        <v>103.636363636364</v>
      </c>
    </row>
    <row r="37">
      <c r="A37" t="s">
        <v>82</v>
      </c>
      <c r="B37" t="s">
        <v>344</v>
      </c>
      <c r="C37" t="s">
        <v>217</v>
      </c>
      <c r="D37" t="s">
        <v>345</v>
      </c>
      <c r="E37" t="s">
        <v>218</v>
      </c>
      <c r="F37" t="n">
        <v>73.8126568627317</v>
      </c>
      <c r="G37" t="n">
        <v>78.6101659961208</v>
      </c>
      <c r="H37" t="n">
        <v>83.0062240505427</v>
      </c>
      <c r="I37" t="n">
        <v>87.5524775049605</v>
      </c>
      <c r="J37" t="n">
        <v>90.8482970744564</v>
      </c>
      <c r="K37" t="n">
        <v>93.885300665418</v>
      </c>
      <c r="L37" t="n">
        <v>96.8606232829291</v>
      </c>
      <c r="M37" t="n">
        <v>101.284141447253</v>
      </c>
      <c r="N37" t="n">
        <v>104.089796334988</v>
      </c>
      <c r="O37" t="n">
        <v>106.858811473283</v>
      </c>
      <c r="P37" t="n">
        <v>106.675964512256</v>
      </c>
      <c r="Q37" t="n">
        <v>113.141174482696</v>
      </c>
      <c r="R37" t="n">
        <v>115.034750624666</v>
      </c>
      <c r="S37" t="n">
        <v>118.869242312155</v>
      </c>
      <c r="T37" t="n">
        <v>111.439914667645</v>
      </c>
      <c r="U37" t="n">
        <v>111.781057263566</v>
      </c>
      <c r="V37" t="n">
        <v>111.717182373701</v>
      </c>
      <c r="W37" t="n">
        <v>111.052764126789</v>
      </c>
      <c r="X37" t="n">
        <v>109.724778905542</v>
      </c>
      <c r="Y37" t="n">
        <v>106.118800256064</v>
      </c>
      <c r="Z37" t="n">
        <v>103.204269826496</v>
      </c>
      <c r="AA37" t="n">
        <v>100.390886732634</v>
      </c>
      <c r="AB37" t="n">
        <v>100.158634825792</v>
      </c>
      <c r="AC37" t="n">
        <v>100.512427248349</v>
      </c>
      <c r="AD37" t="n">
        <v>100.05136106831</v>
      </c>
      <c r="AE37" t="n">
        <v>100</v>
      </c>
      <c r="AF37" t="n">
        <v>101.796407185629</v>
      </c>
    </row>
    <row r="38">
      <c r="A38" t="s">
        <v>82</v>
      </c>
      <c r="B38" t="s">
        <v>346</v>
      </c>
      <c r="C38" t="s">
        <v>217</v>
      </c>
      <c r="D38" t="s">
        <v>347</v>
      </c>
      <c r="E38" t="s">
        <v>218</v>
      </c>
      <c r="F38" t="n">
        <v>71.4195632716348</v>
      </c>
      <c r="G38" t="n">
        <v>76.3450503938165</v>
      </c>
      <c r="H38" t="n">
        <v>80.8359357110999</v>
      </c>
      <c r="I38" t="n">
        <v>87.2177201093446</v>
      </c>
      <c r="J38" t="n">
        <v>91.3709448764562</v>
      </c>
      <c r="K38" t="n">
        <v>95.6207562660588</v>
      </c>
      <c r="L38" t="n">
        <v>99.0978746757337</v>
      </c>
      <c r="M38" t="n">
        <v>103.551711739812</v>
      </c>
      <c r="N38" t="n">
        <v>106.428148177029</v>
      </c>
      <c r="O38" t="n">
        <v>108.474843334279</v>
      </c>
      <c r="P38" t="n">
        <v>107.555565000938</v>
      </c>
      <c r="Q38" t="n">
        <v>114.231427656168</v>
      </c>
      <c r="R38" t="n">
        <v>114.231427656168</v>
      </c>
      <c r="S38" t="n">
        <v>117.956365514522</v>
      </c>
      <c r="T38" t="n">
        <v>111.403234097048</v>
      </c>
      <c r="U38" t="n">
        <v>111.784099854645</v>
      </c>
      <c r="V38" t="n">
        <v>111.784099854645</v>
      </c>
      <c r="W38" t="n">
        <v>111.163077077675</v>
      </c>
      <c r="X38" t="n">
        <v>110.005128358116</v>
      </c>
      <c r="Y38" t="n">
        <v>105.774161882804</v>
      </c>
      <c r="Z38" t="n">
        <v>103.096334999695</v>
      </c>
      <c r="AA38" t="n">
        <v>100.264018104099</v>
      </c>
      <c r="AB38" t="n">
        <v>100.264018104099</v>
      </c>
      <c r="AC38" t="n">
        <v>100.609756097561</v>
      </c>
      <c r="AD38" t="n">
        <v>100</v>
      </c>
      <c r="AE38" t="n">
        <v>100</v>
      </c>
      <c r="AF38" t="n">
        <v>102.631578947368</v>
      </c>
    </row>
    <row r="39">
      <c r="A39" t="s">
        <v>82</v>
      </c>
      <c r="B39" t="s">
        <v>348</v>
      </c>
      <c r="C39" t="s">
        <v>217</v>
      </c>
      <c r="D39" t="s">
        <v>349</v>
      </c>
      <c r="E39" t="s">
        <v>218</v>
      </c>
      <c r="F39" t="n">
        <v>70.7385848542114</v>
      </c>
      <c r="G39" t="n">
        <v>75.2330253283739</v>
      </c>
      <c r="H39" t="n">
        <v>79.552624868759</v>
      </c>
      <c r="I39" t="n">
        <v>83.925496426027</v>
      </c>
      <c r="J39" t="n">
        <v>87.1534001347203</v>
      </c>
      <c r="K39" t="n">
        <v>90.0966669310149</v>
      </c>
      <c r="L39" t="n">
        <v>92.9595516746172</v>
      </c>
      <c r="M39" t="n">
        <v>97.1946109764221</v>
      </c>
      <c r="N39" t="n">
        <v>100.180110972285</v>
      </c>
      <c r="O39" t="n">
        <v>102.684613746592</v>
      </c>
      <c r="P39" t="n">
        <v>102.544334219616</v>
      </c>
      <c r="Q39" t="n">
        <v>108.774876045618</v>
      </c>
      <c r="R39" t="n">
        <v>110.392029914841</v>
      </c>
      <c r="S39" t="n">
        <v>113.004187001303</v>
      </c>
      <c r="T39" t="n">
        <v>111.400415788402</v>
      </c>
      <c r="U39" t="n">
        <v>111.770352967243</v>
      </c>
      <c r="V39" t="n">
        <v>111.689768718529</v>
      </c>
      <c r="W39" t="n">
        <v>110.821713521235</v>
      </c>
      <c r="X39" t="n">
        <v>109.540167253282</v>
      </c>
      <c r="Y39" t="n">
        <v>106.099114878833</v>
      </c>
      <c r="Z39" t="n">
        <v>103.216536447902</v>
      </c>
      <c r="AA39" t="n">
        <v>100.407923211224</v>
      </c>
      <c r="AB39" t="n">
        <v>100.140168749328</v>
      </c>
      <c r="AC39" t="n">
        <v>100.483542145912</v>
      </c>
      <c r="AD39" t="n">
        <v>100.04312203536</v>
      </c>
      <c r="AE39" t="n">
        <v>100</v>
      </c>
      <c r="AF39" t="n">
        <v>102.388289676425</v>
      </c>
    </row>
    <row r="40">
      <c r="A40" t="s">
        <v>82</v>
      </c>
      <c r="B40" t="s">
        <v>350</v>
      </c>
      <c r="C40" t="s">
        <v>217</v>
      </c>
      <c r="D40" t="s">
        <v>351</v>
      </c>
      <c r="E40" t="s">
        <v>218</v>
      </c>
      <c r="F40" t="n">
        <v>62.1683075368102</v>
      </c>
      <c r="G40" t="n">
        <v>67.9416126177988</v>
      </c>
      <c r="H40" t="n">
        <v>73.3108789234865</v>
      </c>
      <c r="I40" t="n">
        <v>80.021861914679</v>
      </c>
      <c r="J40" t="n">
        <v>85.6371060462555</v>
      </c>
      <c r="K40" t="n">
        <v>88.4836511620646</v>
      </c>
      <c r="L40" t="n">
        <v>91.5866526572138</v>
      </c>
      <c r="M40" t="n">
        <v>95.5118846335395</v>
      </c>
      <c r="N40" t="n">
        <v>98.0017615810212</v>
      </c>
      <c r="O40" t="n">
        <v>100.320649510878</v>
      </c>
      <c r="P40" t="n">
        <v>100.648706365696</v>
      </c>
      <c r="Q40" t="n">
        <v>106.307978908902</v>
      </c>
      <c r="R40" t="n">
        <v>108.281162175524</v>
      </c>
      <c r="S40" t="n">
        <v>111.287502861231</v>
      </c>
      <c r="T40" t="n">
        <v>110.616275789778</v>
      </c>
      <c r="U40" t="n">
        <v>111.727997154499</v>
      </c>
      <c r="V40" t="n">
        <v>111.772316074434</v>
      </c>
      <c r="W40" t="n">
        <v>110.443761526598</v>
      </c>
      <c r="X40" t="n">
        <v>108.5727394291</v>
      </c>
      <c r="Y40" t="n">
        <v>105.623689586408</v>
      </c>
      <c r="Z40" t="n">
        <v>102.957172878757</v>
      </c>
      <c r="AA40" t="n">
        <v>100.25370225612</v>
      </c>
      <c r="AB40" t="n">
        <v>99.8912997832915</v>
      </c>
      <c r="AC40" t="n">
        <v>100.058715369521</v>
      </c>
      <c r="AD40" t="n">
        <v>99.4089834515366</v>
      </c>
      <c r="AE40" t="n">
        <v>100</v>
      </c>
      <c r="AF40" t="n">
        <v>103.434684684685</v>
      </c>
    </row>
    <row r="41">
      <c r="A41" t="s">
        <v>82</v>
      </c>
      <c r="B41" t="s">
        <v>352</v>
      </c>
      <c r="C41" t="s">
        <v>217</v>
      </c>
      <c r="D41" t="s">
        <v>353</v>
      </c>
      <c r="E41" t="s">
        <v>218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82</v>
      </c>
      <c r="B42" t="s">
        <v>354</v>
      </c>
      <c r="C42" t="s">
        <v>217</v>
      </c>
      <c r="D42" t="s">
        <v>355</v>
      </c>
      <c r="E42" t="s">
        <v>218</v>
      </c>
      <c r="F42" t="n">
        <v>70.6833219990361</v>
      </c>
      <c r="G42" t="n">
        <v>75.4271691130654</v>
      </c>
      <c r="H42" t="n">
        <v>79.5691234863262</v>
      </c>
      <c r="I42" t="n">
        <v>83.8536147509745</v>
      </c>
      <c r="J42" t="n">
        <v>86.9810222941344</v>
      </c>
      <c r="K42" t="n">
        <v>89.7486002762205</v>
      </c>
      <c r="L42" t="n">
        <v>92.6835803196769</v>
      </c>
      <c r="M42" t="n">
        <v>96.9351207013135</v>
      </c>
      <c r="N42" t="n">
        <v>99.6277629430166</v>
      </c>
      <c r="O42" t="n">
        <v>102.167520515145</v>
      </c>
      <c r="P42" t="n">
        <v>101.951977222918</v>
      </c>
      <c r="Q42" t="n">
        <v>107.980258033817</v>
      </c>
      <c r="R42" t="n">
        <v>109.606466739146</v>
      </c>
      <c r="S42" t="n">
        <v>112.28811961755</v>
      </c>
      <c r="T42" t="n">
        <v>110.960139227855</v>
      </c>
      <c r="U42" t="n">
        <v>111.34586392969</v>
      </c>
      <c r="V42" t="n">
        <v>111.292791544595</v>
      </c>
      <c r="W42" t="n">
        <v>110.517907008166</v>
      </c>
      <c r="X42" t="n">
        <v>109.2677044402</v>
      </c>
      <c r="Y42" t="n">
        <v>105.757095462202</v>
      </c>
      <c r="Z42" t="n">
        <v>103.031397125547</v>
      </c>
      <c r="AA42" t="n">
        <v>100.38956643002</v>
      </c>
      <c r="AB42" t="n">
        <v>100.02183908046</v>
      </c>
      <c r="AC42" t="n">
        <v>100.6</v>
      </c>
      <c r="AD42" t="n">
        <v>100</v>
      </c>
      <c r="AE42" t="n">
        <v>100</v>
      </c>
      <c r="AF42" t="n">
        <v>102.756892230576</v>
      </c>
    </row>
    <row r="43">
      <c r="A43" t="s">
        <v>82</v>
      </c>
      <c r="B43" t="s">
        <v>356</v>
      </c>
      <c r="C43" t="s">
        <v>217</v>
      </c>
      <c r="D43" t="s">
        <v>357</v>
      </c>
      <c r="E43" t="s">
        <v>218</v>
      </c>
      <c r="F43" t="n">
        <v>70.5944559945366</v>
      </c>
      <c r="G43" t="n">
        <v>75.2773386475739</v>
      </c>
      <c r="H43" t="n">
        <v>79.4713618007959</v>
      </c>
      <c r="I43" t="n">
        <v>83.8079970259662</v>
      </c>
      <c r="J43" t="n">
        <v>87.0945851446315</v>
      </c>
      <c r="K43" t="n">
        <v>89.9420969475564</v>
      </c>
      <c r="L43" t="n">
        <v>92.8343526141052</v>
      </c>
      <c r="M43" t="n">
        <v>97.0936066198086</v>
      </c>
      <c r="N43" t="n">
        <v>99.7667835965585</v>
      </c>
      <c r="O43" t="n">
        <v>102.351615190127</v>
      </c>
      <c r="P43" t="n">
        <v>102.152681049816</v>
      </c>
      <c r="Q43" t="n">
        <v>108.161662288041</v>
      </c>
      <c r="R43" t="n">
        <v>109.746196194171</v>
      </c>
      <c r="S43" t="n">
        <v>112.427442773473</v>
      </c>
      <c r="T43" t="n">
        <v>111.056376398187</v>
      </c>
      <c r="U43" t="n">
        <v>111.428982993907</v>
      </c>
      <c r="V43" t="n">
        <v>111.387482441582</v>
      </c>
      <c r="W43" t="n">
        <v>110.686442342299</v>
      </c>
      <c r="X43" t="n">
        <v>109.377649949738</v>
      </c>
      <c r="Y43" t="n">
        <v>105.868206635843</v>
      </c>
      <c r="Z43" t="n">
        <v>102.912495283065</v>
      </c>
      <c r="AA43" t="n">
        <v>100.266173975786</v>
      </c>
      <c r="AB43" t="n">
        <v>99.9352625105198</v>
      </c>
      <c r="AC43" t="n">
        <v>100.492004920049</v>
      </c>
      <c r="AD43" t="n">
        <v>100</v>
      </c>
      <c r="AE43" t="n">
        <v>100</v>
      </c>
      <c r="AF43" t="n">
        <v>102.81425891182</v>
      </c>
    </row>
    <row r="44">
      <c r="A44" t="s">
        <v>82</v>
      </c>
      <c r="B44" t="s">
        <v>358</v>
      </c>
      <c r="C44" t="s">
        <v>217</v>
      </c>
      <c r="D44" t="s">
        <v>359</v>
      </c>
      <c r="E44" t="s">
        <v>218</v>
      </c>
      <c r="F44" t="n">
        <v>70.2105535960175</v>
      </c>
      <c r="G44" t="n">
        <v>74.9251052321137</v>
      </c>
      <c r="H44" t="n">
        <v>79.261675597467</v>
      </c>
      <c r="I44" t="n">
        <v>83.85643789823</v>
      </c>
      <c r="J44" t="n">
        <v>87.2665466254316</v>
      </c>
      <c r="K44" t="n">
        <v>90.170994713541</v>
      </c>
      <c r="L44" t="n">
        <v>93.0305106712062</v>
      </c>
      <c r="M44" t="n">
        <v>97.2271504308223</v>
      </c>
      <c r="N44" t="n">
        <v>99.9270674716856</v>
      </c>
      <c r="O44" t="n">
        <v>102.55996051942</v>
      </c>
      <c r="P44" t="n">
        <v>102.398153333509</v>
      </c>
      <c r="Q44" t="n">
        <v>108.585796053759</v>
      </c>
      <c r="R44" t="n">
        <v>110.18204227174</v>
      </c>
      <c r="S44" t="n">
        <v>112.816892816704</v>
      </c>
      <c r="T44" t="n">
        <v>111.114225791307</v>
      </c>
      <c r="U44" t="n">
        <v>111.485525416755</v>
      </c>
      <c r="V44" t="n">
        <v>111.452029179812</v>
      </c>
      <c r="W44" t="n">
        <v>110.773926961459</v>
      </c>
      <c r="X44" t="n">
        <v>109.523882356245</v>
      </c>
      <c r="Y44" t="n">
        <v>106.04506443711</v>
      </c>
      <c r="Z44" t="n">
        <v>103.156005964108</v>
      </c>
      <c r="AA44" t="n">
        <v>100.365400323448</v>
      </c>
      <c r="AB44" t="n">
        <v>100.114820928499</v>
      </c>
      <c r="AC44" t="n">
        <v>100.480968825634</v>
      </c>
      <c r="AD44" t="n">
        <v>100.020659449632</v>
      </c>
      <c r="AE44" t="n">
        <v>100</v>
      </c>
      <c r="AF44" t="n">
        <v>102.490136231668</v>
      </c>
    </row>
    <row r="45">
      <c r="A45" t="s">
        <v>82</v>
      </c>
      <c r="B45" t="s">
        <v>360</v>
      </c>
      <c r="C45" t="s">
        <v>217</v>
      </c>
      <c r="D45" t="s">
        <v>361</v>
      </c>
      <c r="E45" t="s">
        <v>218</v>
      </c>
      <c r="F45" t="n">
        <v>70.9512529790645</v>
      </c>
      <c r="G45" t="n">
        <v>75.5598959734435</v>
      </c>
      <c r="H45" t="n">
        <v>79.7923152600948</v>
      </c>
      <c r="I45" t="n">
        <v>84.1695886516306</v>
      </c>
      <c r="J45" t="n">
        <v>87.356037225171</v>
      </c>
      <c r="K45" t="n">
        <v>90.2642963439891</v>
      </c>
      <c r="L45" t="n">
        <v>93.1197735246402</v>
      </c>
      <c r="M45" t="n">
        <v>97.3304886050848</v>
      </c>
      <c r="N45" t="n">
        <v>100.027219174238</v>
      </c>
      <c r="O45" t="n">
        <v>102.664872529591</v>
      </c>
      <c r="P45" t="n">
        <v>102.481773997919</v>
      </c>
      <c r="Q45" t="n">
        <v>108.705161135261</v>
      </c>
      <c r="R45" t="n">
        <v>110.288077268383</v>
      </c>
      <c r="S45" t="n">
        <v>112.90984921927</v>
      </c>
      <c r="T45" t="n">
        <v>111.181388438612</v>
      </c>
      <c r="U45" t="n">
        <v>111.542539033946</v>
      </c>
      <c r="V45" t="n">
        <v>111.507257509659</v>
      </c>
      <c r="W45" t="n">
        <v>110.860644738657</v>
      </c>
      <c r="X45" t="n">
        <v>109.608992298059</v>
      </c>
      <c r="Y45" t="n">
        <v>106.072785855612</v>
      </c>
      <c r="Z45" t="n">
        <v>103.168351508585</v>
      </c>
      <c r="AA45" t="n">
        <v>100.367776713113</v>
      </c>
      <c r="AB45" t="n">
        <v>100.123288377548</v>
      </c>
      <c r="AC45" t="n">
        <v>100.488215201382</v>
      </c>
      <c r="AD45" t="n">
        <v>100.04370820403</v>
      </c>
      <c r="AE45" t="n">
        <v>100</v>
      </c>
      <c r="AF45" t="n">
        <v>102.457547904658</v>
      </c>
    </row>
    <row r="46">
      <c r="A46" t="s">
        <v>82</v>
      </c>
      <c r="B46" t="s">
        <v>362</v>
      </c>
      <c r="C46" t="s">
        <v>217</v>
      </c>
      <c r="D46" t="s">
        <v>363</v>
      </c>
      <c r="E46" t="s">
        <v>218</v>
      </c>
      <c r="F46" t="n">
        <v>82.2125810396927</v>
      </c>
      <c r="G46" t="n">
        <v>87.6035699603283</v>
      </c>
      <c r="H46" t="n">
        <v>92.5529241953751</v>
      </c>
      <c r="I46" t="n">
        <v>97.6689149800441</v>
      </c>
      <c r="J46" t="n">
        <v>101.682706006621</v>
      </c>
      <c r="K46" t="n">
        <v>105.094877349125</v>
      </c>
      <c r="L46" t="n">
        <v>108.426415247801</v>
      </c>
      <c r="M46" t="n">
        <v>113.40200600487</v>
      </c>
      <c r="N46" t="n">
        <v>116.503599331499</v>
      </c>
      <c r="O46" t="n">
        <v>119.546351490476</v>
      </c>
      <c r="P46" t="n">
        <v>119.546351490476</v>
      </c>
      <c r="Q46" t="n">
        <v>126.395361211284</v>
      </c>
      <c r="R46" t="n">
        <v>127.9622458544</v>
      </c>
      <c r="S46" t="n">
        <v>131.00896599379</v>
      </c>
      <c r="T46" t="n">
        <v>128.788475044743</v>
      </c>
      <c r="U46" t="n">
        <v>129.217769961559</v>
      </c>
      <c r="V46" t="n">
        <v>129.217769961559</v>
      </c>
      <c r="W46" t="n">
        <v>128.757920246393</v>
      </c>
      <c r="X46" t="n">
        <v>127.041147976441</v>
      </c>
      <c r="Y46" t="n">
        <v>122.975831241195</v>
      </c>
      <c r="Z46" t="n">
        <v>102.479859367662</v>
      </c>
      <c r="AA46" t="n">
        <v>99.7830209632503</v>
      </c>
      <c r="AB46" t="n">
        <v>99.7830209632503</v>
      </c>
      <c r="AC46" t="n">
        <v>100.319488817891</v>
      </c>
      <c r="AD46" t="n">
        <v>100</v>
      </c>
      <c r="AE46" t="n">
        <v>100</v>
      </c>
      <c r="AF46" t="n">
        <v>102.985074626866</v>
      </c>
    </row>
    <row r="47">
      <c r="A47" t="s">
        <v>82</v>
      </c>
      <c r="B47" t="s">
        <v>364</v>
      </c>
      <c r="C47" t="s">
        <v>217</v>
      </c>
      <c r="D47" t="s">
        <v>365</v>
      </c>
      <c r="E47" t="s">
        <v>218</v>
      </c>
      <c r="F47" t="n">
        <v>71.4041353108214</v>
      </c>
      <c r="G47" t="n">
        <v>75.9741078166728</v>
      </c>
      <c r="H47" t="n">
        <v>80.1575273813365</v>
      </c>
      <c r="I47" t="n">
        <v>84.4735919243673</v>
      </c>
      <c r="J47" t="n">
        <v>87.6102941423334</v>
      </c>
      <c r="K47" t="n">
        <v>90.4890972182491</v>
      </c>
      <c r="L47" t="n">
        <v>93.3201412751764</v>
      </c>
      <c r="M47" t="n">
        <v>97.5335075811635</v>
      </c>
      <c r="N47" t="n">
        <v>100.20231129836</v>
      </c>
      <c r="O47" t="n">
        <v>102.808011592167</v>
      </c>
      <c r="P47" t="n">
        <v>102.62808070336</v>
      </c>
      <c r="Q47" t="n">
        <v>108.747833195404</v>
      </c>
      <c r="R47" t="n">
        <v>110.324163994429</v>
      </c>
      <c r="S47" t="n">
        <v>112.928235268046</v>
      </c>
      <c r="T47" t="n">
        <v>111.300492339666</v>
      </c>
      <c r="U47" t="n">
        <v>111.648623685444</v>
      </c>
      <c r="V47" t="n">
        <v>111.601474773415</v>
      </c>
      <c r="W47" t="n">
        <v>110.984993710687</v>
      </c>
      <c r="X47" t="n">
        <v>109.763833970118</v>
      </c>
      <c r="Y47" t="n">
        <v>106.239942968552</v>
      </c>
      <c r="Z47" t="n">
        <v>103.30795351334</v>
      </c>
      <c r="AA47" t="n">
        <v>100.462852756115</v>
      </c>
      <c r="AB47" t="n">
        <v>100.235471995125</v>
      </c>
      <c r="AC47" t="n">
        <v>100.585878231413</v>
      </c>
      <c r="AD47" t="n">
        <v>100.14643298403</v>
      </c>
      <c r="AE47" t="n">
        <v>100</v>
      </c>
      <c r="AF47" t="n">
        <v>102.306475874571</v>
      </c>
    </row>
    <row r="48">
      <c r="A48" t="s">
        <v>82</v>
      </c>
      <c r="B48" t="s">
        <v>366</v>
      </c>
      <c r="C48" t="s">
        <v>217</v>
      </c>
      <c r="D48" t="s">
        <v>367</v>
      </c>
      <c r="E48" t="s">
        <v>218</v>
      </c>
      <c r="F48" t="n">
        <v>71.3058159957256</v>
      </c>
      <c r="G48" t="n">
        <v>75.8851919982966</v>
      </c>
      <c r="H48" t="n">
        <v>80.0775158452566</v>
      </c>
      <c r="I48" t="n">
        <v>84.4047991247215</v>
      </c>
      <c r="J48" t="n">
        <v>87.5507060904328</v>
      </c>
      <c r="K48" t="n">
        <v>90.4358948761813</v>
      </c>
      <c r="L48" t="n">
        <v>93.2701790516163</v>
      </c>
      <c r="M48" t="n">
        <v>97.4766725531358</v>
      </c>
      <c r="N48" t="n">
        <v>100.152727216389</v>
      </c>
      <c r="O48" t="n">
        <v>102.763617626679</v>
      </c>
      <c r="P48" t="n">
        <v>102.583447031965</v>
      </c>
      <c r="Q48" t="n">
        <v>108.708619067584</v>
      </c>
      <c r="R48" t="n">
        <v>110.301304260237</v>
      </c>
      <c r="S48" t="n">
        <v>112.913101543862</v>
      </c>
      <c r="T48" t="n">
        <v>111.287751945237</v>
      </c>
      <c r="U48" t="n">
        <v>111.640123247123</v>
      </c>
      <c r="V48" t="n">
        <v>111.591783726341</v>
      </c>
      <c r="W48" t="n">
        <v>110.973100638924</v>
      </c>
      <c r="X48" t="n">
        <v>109.750137647311</v>
      </c>
      <c r="Y48" t="n">
        <v>106.224421399741</v>
      </c>
      <c r="Z48" t="n">
        <v>103.294741506419</v>
      </c>
      <c r="AA48" t="n">
        <v>100.453729869287</v>
      </c>
      <c r="AB48" t="n">
        <v>100.226314923463</v>
      </c>
      <c r="AC48" t="n">
        <v>100.57896075689</v>
      </c>
      <c r="AD48" t="n">
        <v>100.144073346431</v>
      </c>
      <c r="AE48" t="n">
        <v>100</v>
      </c>
      <c r="AF48" t="n">
        <v>102.319119009228</v>
      </c>
    </row>
    <row r="49">
      <c r="A49" t="s">
        <v>82</v>
      </c>
      <c r="B49" t="s">
        <v>368</v>
      </c>
      <c r="C49" t="s">
        <v>217</v>
      </c>
      <c r="D49" t="s">
        <v>369</v>
      </c>
      <c r="E49" t="s">
        <v>218</v>
      </c>
      <c r="F49" t="n">
        <v>70.4864484102315</v>
      </c>
      <c r="G49" t="n">
        <v>75.0869152846198</v>
      </c>
      <c r="H49" t="n">
        <v>79.296700165375</v>
      </c>
      <c r="I49" t="n">
        <v>83.6594147431355</v>
      </c>
      <c r="J49" t="n">
        <v>86.8526497982792</v>
      </c>
      <c r="K49" t="n">
        <v>89.752259934067</v>
      </c>
      <c r="L49" t="n">
        <v>92.586750475271</v>
      </c>
      <c r="M49" t="n">
        <v>96.8318346867855</v>
      </c>
      <c r="N49" t="n">
        <v>99.5082259163815</v>
      </c>
      <c r="O49" t="n">
        <v>102.125051234598</v>
      </c>
      <c r="P49" t="n">
        <v>101.956063284403</v>
      </c>
      <c r="Q49" t="n">
        <v>108.10654506026</v>
      </c>
      <c r="R49" t="n">
        <v>109.888521077737</v>
      </c>
      <c r="S49" t="n">
        <v>112.547114329617</v>
      </c>
      <c r="T49" t="n">
        <v>111.03593184821</v>
      </c>
      <c r="U49" t="n">
        <v>111.407289479809</v>
      </c>
      <c r="V49" t="n">
        <v>111.407289479809</v>
      </c>
      <c r="W49" t="n">
        <v>110.772490109554</v>
      </c>
      <c r="X49" t="n">
        <v>109.521294814641</v>
      </c>
      <c r="Y49" t="n">
        <v>105.928329079656</v>
      </c>
      <c r="Z49" t="n">
        <v>103.087870288115</v>
      </c>
      <c r="AA49" t="n">
        <v>100.311850491419</v>
      </c>
      <c r="AB49" t="n">
        <v>100.024011609091</v>
      </c>
      <c r="AC49" t="n">
        <v>100.408719346049</v>
      </c>
      <c r="AD49" t="n">
        <v>100</v>
      </c>
      <c r="AE49" t="n">
        <v>100</v>
      </c>
      <c r="AF49" t="n">
        <v>102.372583479789</v>
      </c>
    </row>
    <row r="50">
      <c r="A50" t="s">
        <v>82</v>
      </c>
      <c r="B50" t="s">
        <v>370</v>
      </c>
      <c r="C50" t="s">
        <v>217</v>
      </c>
      <c r="D50" t="s">
        <v>371</v>
      </c>
      <c r="E50" t="s">
        <v>218</v>
      </c>
      <c r="F50" t="n">
        <v>70.1944842456094</v>
      </c>
      <c r="G50" t="n">
        <v>74.7054150513617</v>
      </c>
      <c r="H50" t="n">
        <v>78.9511896550927</v>
      </c>
      <c r="I50" t="n">
        <v>83.3110392638974</v>
      </c>
      <c r="J50" t="n">
        <v>86.487386076791</v>
      </c>
      <c r="K50" t="n">
        <v>89.4347730357445</v>
      </c>
      <c r="L50" t="n">
        <v>92.3574780369127</v>
      </c>
      <c r="M50" t="n">
        <v>96.3470019261961</v>
      </c>
      <c r="N50" t="n">
        <v>99.0148649308122</v>
      </c>
      <c r="O50" t="n">
        <v>101.665865330566</v>
      </c>
      <c r="P50" t="n">
        <v>101.45681968561</v>
      </c>
      <c r="Q50" t="n">
        <v>107.725318842386</v>
      </c>
      <c r="R50" t="n">
        <v>109.42888202408</v>
      </c>
      <c r="S50" t="n">
        <v>112.049933090525</v>
      </c>
      <c r="T50" t="n">
        <v>110.357548953223</v>
      </c>
      <c r="U50" t="n">
        <v>110.678355781576</v>
      </c>
      <c r="V50" t="n">
        <v>110.678355781576</v>
      </c>
      <c r="W50" t="n">
        <v>109.986616057941</v>
      </c>
      <c r="X50" t="n">
        <v>108.512264636252</v>
      </c>
      <c r="Y50" t="n">
        <v>105.212905238529</v>
      </c>
      <c r="Z50" t="n">
        <v>102.48010250506</v>
      </c>
      <c r="AA50" t="n">
        <v>99.9308462238399</v>
      </c>
      <c r="AB50" t="n">
        <v>99.3630573248408</v>
      </c>
      <c r="AC50" t="n">
        <v>100</v>
      </c>
      <c r="AD50" t="n">
        <v>100</v>
      </c>
      <c r="AE50" t="n">
        <v>100</v>
      </c>
      <c r="AF50" t="n">
        <v>102.496399423908</v>
      </c>
    </row>
    <row r="51">
      <c r="A51" t="s">
        <v>82</v>
      </c>
      <c r="B51" t="s">
        <v>372</v>
      </c>
      <c r="C51" t="s">
        <v>217</v>
      </c>
      <c r="D51" t="s">
        <v>373</v>
      </c>
      <c r="E51" t="s">
        <v>218</v>
      </c>
      <c r="F51" t="n">
        <v>70.8285165128006</v>
      </c>
      <c r="G51" t="n">
        <v>75.4632684322624</v>
      </c>
      <c r="H51" t="n">
        <v>79.722410934228</v>
      </c>
      <c r="I51" t="n">
        <v>84.1230061462585</v>
      </c>
      <c r="J51" t="n">
        <v>87.3585063826531</v>
      </c>
      <c r="K51" t="n">
        <v>90.3434211793269</v>
      </c>
      <c r="L51" t="n">
        <v>93.2916913343632</v>
      </c>
      <c r="M51" t="n">
        <v>97.2775950056928</v>
      </c>
      <c r="N51" t="n">
        <v>99.9767108776168</v>
      </c>
      <c r="O51" t="n">
        <v>102.624626627418</v>
      </c>
      <c r="P51" t="n">
        <v>102.434228433304</v>
      </c>
      <c r="Q51" t="n">
        <v>108.642363489868</v>
      </c>
      <c r="R51" t="n">
        <v>110.274330323406</v>
      </c>
      <c r="S51" t="n">
        <v>112.968642059057</v>
      </c>
      <c r="T51" t="n">
        <v>111.179971893122</v>
      </c>
      <c r="U51" t="n">
        <v>111.697088041462</v>
      </c>
      <c r="V51" t="n">
        <v>111.697088041462</v>
      </c>
      <c r="W51" t="n">
        <v>111.024214017116</v>
      </c>
      <c r="X51" t="n">
        <v>109.482211044656</v>
      </c>
      <c r="Y51" t="n">
        <v>106.336170497396</v>
      </c>
      <c r="Z51" t="n">
        <v>103.83414295628</v>
      </c>
      <c r="AA51" t="n">
        <v>100.757575757576</v>
      </c>
      <c r="AB51" t="n">
        <v>100</v>
      </c>
      <c r="AC51" t="n">
        <v>100</v>
      </c>
      <c r="AD51" t="n">
        <v>100</v>
      </c>
      <c r="AE51" t="n">
        <v>100</v>
      </c>
      <c r="AF51" t="n">
        <v>102.507676560901</v>
      </c>
    </row>
    <row r="52">
      <c r="A52" t="s">
        <v>82</v>
      </c>
      <c r="B52" t="s">
        <v>374</v>
      </c>
      <c r="C52" t="s">
        <v>217</v>
      </c>
      <c r="D52" t="s">
        <v>375</v>
      </c>
      <c r="E52" t="s">
        <v>218</v>
      </c>
      <c r="F52" t="n">
        <v>69.0866705480843</v>
      </c>
      <c r="G52" t="n">
        <v>72.376512002755</v>
      </c>
      <c r="H52" t="n">
        <v>76.9000440029271</v>
      </c>
      <c r="I52" t="n">
        <v>81.1722686697564</v>
      </c>
      <c r="J52" t="n">
        <v>83.8780109587483</v>
      </c>
      <c r="K52" t="n">
        <v>86.6281096787073</v>
      </c>
      <c r="L52" t="n">
        <v>89.5157133346642</v>
      </c>
      <c r="M52" t="n">
        <v>93.9914990013974</v>
      </c>
      <c r="N52" t="n">
        <v>96.5181522003597</v>
      </c>
      <c r="O52" t="n">
        <v>99.5032496910925</v>
      </c>
      <c r="P52" t="n">
        <v>99.2869382787206</v>
      </c>
      <c r="Q52" t="n">
        <v>105.492371921141</v>
      </c>
      <c r="R52" t="n">
        <v>107.224594776989</v>
      </c>
      <c r="S52" t="n">
        <v>109.7541396079</v>
      </c>
      <c r="T52" t="n">
        <v>108.34341801911</v>
      </c>
      <c r="U52" t="n">
        <v>108.34341801911</v>
      </c>
      <c r="V52" t="n">
        <v>108.34341801911</v>
      </c>
      <c r="W52" t="n">
        <v>107.639889330674</v>
      </c>
      <c r="X52" t="n">
        <v>106.229759776124</v>
      </c>
      <c r="Y52" t="n">
        <v>102.746816832644</v>
      </c>
      <c r="Z52" t="n">
        <v>99.3780687397708</v>
      </c>
      <c r="AA52" t="n">
        <v>97.8723404255319</v>
      </c>
      <c r="AB52" t="n">
        <v>97.8723404255319</v>
      </c>
      <c r="AC52" t="n">
        <v>100</v>
      </c>
      <c r="AD52" t="n">
        <v>100</v>
      </c>
      <c r="AE52" t="n">
        <v>100</v>
      </c>
      <c r="AF52" t="n">
        <v>102.325581395349</v>
      </c>
    </row>
    <row r="53">
      <c r="A53" t="s">
        <v>82</v>
      </c>
      <c r="B53" t="s">
        <v>376</v>
      </c>
      <c r="C53" t="s">
        <v>217</v>
      </c>
      <c r="D53" t="s">
        <v>377</v>
      </c>
      <c r="E53" t="s">
        <v>218</v>
      </c>
      <c r="F53" t="n">
        <v>70.9973324767725</v>
      </c>
      <c r="G53" t="n">
        <v>75.6467153115346</v>
      </c>
      <c r="H53" t="n">
        <v>79.9198885428732</v>
      </c>
      <c r="I53" t="n">
        <v>84.3598823508107</v>
      </c>
      <c r="J53" t="n">
        <v>87.5765568315919</v>
      </c>
      <c r="K53" t="n">
        <v>90.5238448018858</v>
      </c>
      <c r="L53" t="n">
        <v>93.4198604766624</v>
      </c>
      <c r="M53" t="n">
        <v>97.3069559195193</v>
      </c>
      <c r="N53" t="n">
        <v>100.025871173402</v>
      </c>
      <c r="O53" t="n">
        <v>102.669435657668</v>
      </c>
      <c r="P53" t="n">
        <v>102.489629290492</v>
      </c>
      <c r="Q53" t="n">
        <v>108.744864880991</v>
      </c>
      <c r="R53" t="n">
        <v>110.326991916117</v>
      </c>
      <c r="S53" t="n">
        <v>112.942408555772</v>
      </c>
      <c r="T53" t="n">
        <v>111.303802950718</v>
      </c>
      <c r="U53" t="n">
        <v>111.574615123347</v>
      </c>
      <c r="V53" t="n">
        <v>111.574615123347</v>
      </c>
      <c r="W53" t="n">
        <v>110.935585254371</v>
      </c>
      <c r="X53" t="n">
        <v>109.697302293554</v>
      </c>
      <c r="Y53" t="n">
        <v>106.096350016503</v>
      </c>
      <c r="Z53" t="n">
        <v>103.202813197871</v>
      </c>
      <c r="AA53" t="n">
        <v>100.436206507758</v>
      </c>
      <c r="AB53" t="n">
        <v>100.109052740632</v>
      </c>
      <c r="AC53" t="n">
        <v>100.389863547758</v>
      </c>
      <c r="AD53" t="n">
        <v>100</v>
      </c>
      <c r="AE53" t="n">
        <v>100</v>
      </c>
      <c r="AF53" t="n">
        <v>102.361275088548</v>
      </c>
    </row>
    <row r="54">
      <c r="A54" t="s">
        <v>82</v>
      </c>
      <c r="B54" t="s">
        <v>378</v>
      </c>
      <c r="C54" t="s">
        <v>217</v>
      </c>
      <c r="D54" t="s">
        <v>379</v>
      </c>
      <c r="E54" t="s">
        <v>218</v>
      </c>
      <c r="F54" t="n">
        <v>70.8879535003555</v>
      </c>
      <c r="G54" t="n">
        <v>75.5363438938214</v>
      </c>
      <c r="H54" t="n">
        <v>79.8127618388173</v>
      </c>
      <c r="I54" t="n">
        <v>84.2425241995625</v>
      </c>
      <c r="J54" t="n">
        <v>87.4542242895546</v>
      </c>
      <c r="K54" t="n">
        <v>90.3768590344497</v>
      </c>
      <c r="L54" t="n">
        <v>93.2470768659078</v>
      </c>
      <c r="M54" t="n">
        <v>97.2537871999898</v>
      </c>
      <c r="N54" t="n">
        <v>99.9803013843199</v>
      </c>
      <c r="O54" t="n">
        <v>102.62496122635</v>
      </c>
      <c r="P54" t="n">
        <v>102.442678879589</v>
      </c>
      <c r="Q54" t="n">
        <v>108.71944603807</v>
      </c>
      <c r="R54" t="n">
        <v>110.289401937537</v>
      </c>
      <c r="S54" t="n">
        <v>112.894060191214</v>
      </c>
      <c r="T54" t="n">
        <v>111.169925369243</v>
      </c>
      <c r="U54" t="n">
        <v>111.524345960218</v>
      </c>
      <c r="V54" t="n">
        <v>111.524345960218</v>
      </c>
      <c r="W54" t="n">
        <v>110.859025477234</v>
      </c>
      <c r="X54" t="n">
        <v>109.602239170454</v>
      </c>
      <c r="Y54" t="n">
        <v>106.038645351272</v>
      </c>
      <c r="Z54" t="n">
        <v>103.171644658225</v>
      </c>
      <c r="AA54" t="n">
        <v>100.3793182979</v>
      </c>
      <c r="AB54" t="n">
        <v>100.077652427733</v>
      </c>
      <c r="AC54" t="n">
        <v>100.32414910859</v>
      </c>
      <c r="AD54" t="n">
        <v>100</v>
      </c>
      <c r="AE54" t="n">
        <v>100</v>
      </c>
      <c r="AF54" t="n">
        <v>102.347826086957</v>
      </c>
    </row>
    <row r="55">
      <c r="A55" t="s">
        <v>82</v>
      </c>
      <c r="B55" t="s">
        <v>380</v>
      </c>
      <c r="C55" t="s">
        <v>217</v>
      </c>
      <c r="D55" t="s">
        <v>381</v>
      </c>
      <c r="E55" t="s">
        <v>218</v>
      </c>
      <c r="F55" t="n">
        <v>70.2834336088782</v>
      </c>
      <c r="G55" t="n">
        <v>74.895568821214</v>
      </c>
      <c r="H55" t="n">
        <v>79.1409183229241</v>
      </c>
      <c r="I55" t="n">
        <v>83.5310442268944</v>
      </c>
      <c r="J55" t="n">
        <v>86.7153454363608</v>
      </c>
      <c r="K55" t="n">
        <v>89.6020080673981</v>
      </c>
      <c r="L55" t="n">
        <v>92.3846791253918</v>
      </c>
      <c r="M55" t="n">
        <v>96.6532781608885</v>
      </c>
      <c r="N55" t="n">
        <v>99.4005289613271</v>
      </c>
      <c r="O55" t="n">
        <v>102.056268284721</v>
      </c>
      <c r="P55" t="n">
        <v>101.864071922603</v>
      </c>
      <c r="Q55" t="n">
        <v>108.170452031138</v>
      </c>
      <c r="R55" t="n">
        <v>109.713295245528</v>
      </c>
      <c r="S55" t="n">
        <v>112.290453187537</v>
      </c>
      <c r="T55" t="n">
        <v>110.562185233835</v>
      </c>
      <c r="U55" t="n">
        <v>111.491279227397</v>
      </c>
      <c r="V55" t="n">
        <v>111.491279227397</v>
      </c>
      <c r="W55" t="n">
        <v>110.776591540042</v>
      </c>
      <c r="X55" t="n">
        <v>109.47114349159</v>
      </c>
      <c r="Y55" t="n">
        <v>105.94536432179</v>
      </c>
      <c r="Z55" t="n">
        <v>103.106093455586</v>
      </c>
      <c r="AA55" t="n">
        <v>100.27972027972</v>
      </c>
      <c r="AB55" t="n">
        <v>100</v>
      </c>
      <c r="AC55" t="n">
        <v>100</v>
      </c>
      <c r="AD55" t="n">
        <v>100</v>
      </c>
      <c r="AE55" t="n">
        <v>100</v>
      </c>
      <c r="AF55" t="n">
        <v>102.310231023102</v>
      </c>
    </row>
    <row r="56">
      <c r="A56" t="s">
        <v>82</v>
      </c>
      <c r="B56" t="s">
        <v>382</v>
      </c>
      <c r="C56" t="s">
        <v>217</v>
      </c>
      <c r="D56" t="s">
        <v>383</v>
      </c>
      <c r="E56" t="s">
        <v>218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82</v>
      </c>
      <c r="B57" t="s">
        <v>384</v>
      </c>
      <c r="C57" t="s">
        <v>217</v>
      </c>
      <c r="D57" t="s">
        <v>385</v>
      </c>
      <c r="E57" t="s">
        <v>218</v>
      </c>
      <c r="F57" t="n">
        <v>69.4450256718354</v>
      </c>
      <c r="G57" t="n">
        <v>74.2808832084584</v>
      </c>
      <c r="H57" t="n">
        <v>78.717395118239</v>
      </c>
      <c r="I57" t="n">
        <v>83.523429185942</v>
      </c>
      <c r="J57" t="n">
        <v>87.1531208896068</v>
      </c>
      <c r="K57" t="n">
        <v>90.0413647654737</v>
      </c>
      <c r="L57" t="n">
        <v>92.9210860815342</v>
      </c>
      <c r="M57" t="n">
        <v>97.0837962609634</v>
      </c>
      <c r="N57" t="n">
        <v>99.7407582800192</v>
      </c>
      <c r="O57" t="n">
        <v>102.313277112442</v>
      </c>
      <c r="P57" t="n">
        <v>102.261856687104</v>
      </c>
      <c r="Q57" t="n">
        <v>108.30027835196</v>
      </c>
      <c r="R57" t="n">
        <v>109.99461482305</v>
      </c>
      <c r="S57" t="n">
        <v>112.691719669851</v>
      </c>
      <c r="T57" t="n">
        <v>111.185349813012</v>
      </c>
      <c r="U57" t="n">
        <v>111.62516183397</v>
      </c>
      <c r="V57" t="n">
        <v>111.604867201523</v>
      </c>
      <c r="W57" t="n">
        <v>110.851494339133</v>
      </c>
      <c r="X57" t="n">
        <v>109.580182442457</v>
      </c>
      <c r="Y57" t="n">
        <v>106.115842278782</v>
      </c>
      <c r="Z57" t="n">
        <v>103.215429505071</v>
      </c>
      <c r="AA57" t="n">
        <v>100.40528810898</v>
      </c>
      <c r="AB57" t="n">
        <v>100.162251556312</v>
      </c>
      <c r="AC57" t="n">
        <v>100.5160434831</v>
      </c>
      <c r="AD57" t="n">
        <v>100.055327868852</v>
      </c>
      <c r="AE57" t="n">
        <v>100</v>
      </c>
      <c r="AF57" t="n">
        <v>102.434677279806</v>
      </c>
    </row>
    <row r="58">
      <c r="A58" t="s">
        <v>82</v>
      </c>
      <c r="B58" t="s">
        <v>386</v>
      </c>
      <c r="C58" t="s">
        <v>217</v>
      </c>
      <c r="D58" t="s">
        <v>387</v>
      </c>
      <c r="E58" t="s">
        <v>218</v>
      </c>
      <c r="F58" t="n">
        <v>69.4450256718354</v>
      </c>
      <c r="G58" t="n">
        <v>74.2808832084584</v>
      </c>
      <c r="H58" t="n">
        <v>78.717395118239</v>
      </c>
      <c r="I58" t="n">
        <v>83.523429185942</v>
      </c>
      <c r="J58" t="n">
        <v>87.1531208896068</v>
      </c>
      <c r="K58" t="n">
        <v>90.0413647654737</v>
      </c>
      <c r="L58" t="n">
        <v>92.9210860815342</v>
      </c>
      <c r="M58" t="n">
        <v>97.0837962609634</v>
      </c>
      <c r="N58" t="n">
        <v>99.7407582800192</v>
      </c>
      <c r="O58" t="n">
        <v>102.313277112442</v>
      </c>
      <c r="P58" t="n">
        <v>102.261856687104</v>
      </c>
      <c r="Q58" t="n">
        <v>108.30027835196</v>
      </c>
      <c r="R58" t="n">
        <v>109.99461482305</v>
      </c>
      <c r="S58" t="n">
        <v>112.691719669851</v>
      </c>
      <c r="T58" t="n">
        <v>111.185349813012</v>
      </c>
      <c r="U58" t="n">
        <v>111.62516183397</v>
      </c>
      <c r="V58" t="n">
        <v>111.604867201523</v>
      </c>
      <c r="W58" t="n">
        <v>110.851494339133</v>
      </c>
      <c r="X58" t="n">
        <v>109.580182442457</v>
      </c>
      <c r="Y58" t="n">
        <v>106.115842278782</v>
      </c>
      <c r="Z58" t="n">
        <v>103.215429505071</v>
      </c>
      <c r="AA58" t="n">
        <v>100.40528810898</v>
      </c>
      <c r="AB58" t="n">
        <v>100.162251556312</v>
      </c>
      <c r="AC58" t="n">
        <v>100.5160434831</v>
      </c>
      <c r="AD58" t="n">
        <v>100.055327868852</v>
      </c>
      <c r="AE58" t="n">
        <v>100</v>
      </c>
      <c r="AF58" t="n">
        <v>102.434677279806</v>
      </c>
    </row>
    <row r="59">
      <c r="A59" t="s">
        <v>82</v>
      </c>
      <c r="B59" t="s">
        <v>388</v>
      </c>
      <c r="C59" t="s">
        <v>217</v>
      </c>
      <c r="D59" t="s">
        <v>389</v>
      </c>
      <c r="E59" t="s">
        <v>218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84</v>
      </c>
      <c r="B2" t="s">
        <v>197</v>
      </c>
      <c r="C2" t="s">
        <v>217</v>
      </c>
      <c r="D2" t="s">
        <v>199</v>
      </c>
      <c r="E2" t="s">
        <v>218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84</v>
      </c>
      <c r="B3" t="s">
        <v>276</v>
      </c>
      <c r="C3" t="s">
        <v>217</v>
      </c>
      <c r="D3" t="s">
        <v>277</v>
      </c>
      <c r="E3" t="s">
        <v>218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84</v>
      </c>
      <c r="B4" t="s">
        <v>278</v>
      </c>
      <c r="C4" t="s">
        <v>217</v>
      </c>
      <c r="D4" t="s">
        <v>279</v>
      </c>
      <c r="E4" t="s">
        <v>218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84</v>
      </c>
      <c r="B5" t="s">
        <v>280</v>
      </c>
      <c r="C5" t="s">
        <v>217</v>
      </c>
      <c r="D5" t="s">
        <v>281</v>
      </c>
      <c r="E5" t="s">
        <v>218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84</v>
      </c>
      <c r="B6" t="s">
        <v>282</v>
      </c>
      <c r="C6" t="s">
        <v>217</v>
      </c>
      <c r="D6" t="s">
        <v>283</v>
      </c>
      <c r="E6" t="s">
        <v>218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84</v>
      </c>
      <c r="B7" t="s">
        <v>284</v>
      </c>
      <c r="C7" t="s">
        <v>217</v>
      </c>
      <c r="D7" t="s">
        <v>285</v>
      </c>
      <c r="E7" t="s">
        <v>218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84</v>
      </c>
      <c r="B8" t="s">
        <v>286</v>
      </c>
      <c r="C8" t="s">
        <v>217</v>
      </c>
      <c r="D8" t="s">
        <v>287</v>
      </c>
      <c r="E8" t="s">
        <v>218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84</v>
      </c>
      <c r="B9" t="s">
        <v>288</v>
      </c>
      <c r="C9" t="s">
        <v>217</v>
      </c>
      <c r="D9" t="s">
        <v>289</v>
      </c>
      <c r="E9" t="s">
        <v>218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84</v>
      </c>
      <c r="B10" t="s">
        <v>290</v>
      </c>
      <c r="C10" t="s">
        <v>217</v>
      </c>
      <c r="D10" t="s">
        <v>291</v>
      </c>
      <c r="E10" t="s">
        <v>218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84</v>
      </c>
      <c r="B11" t="s">
        <v>292</v>
      </c>
      <c r="C11" t="s">
        <v>217</v>
      </c>
      <c r="D11" t="s">
        <v>293</v>
      </c>
      <c r="E11" t="s">
        <v>218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84</v>
      </c>
      <c r="B12" t="s">
        <v>294</v>
      </c>
      <c r="C12" t="s">
        <v>217</v>
      </c>
      <c r="D12" t="s">
        <v>295</v>
      </c>
      <c r="E12" t="s">
        <v>218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84</v>
      </c>
      <c r="B13" t="s">
        <v>296</v>
      </c>
      <c r="C13" t="s">
        <v>217</v>
      </c>
      <c r="D13" t="s">
        <v>297</v>
      </c>
      <c r="E13" t="s">
        <v>218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84</v>
      </c>
      <c r="B14" t="s">
        <v>298</v>
      </c>
      <c r="C14" t="s">
        <v>217</v>
      </c>
      <c r="D14" t="s">
        <v>299</v>
      </c>
      <c r="E14" t="s">
        <v>218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84</v>
      </c>
      <c r="B15" t="s">
        <v>300</v>
      </c>
      <c r="C15" t="s">
        <v>217</v>
      </c>
      <c r="D15" t="s">
        <v>301</v>
      </c>
      <c r="E15" t="s">
        <v>218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84</v>
      </c>
      <c r="B16" t="s">
        <v>302</v>
      </c>
      <c r="C16" t="s">
        <v>217</v>
      </c>
      <c r="D16" t="s">
        <v>303</v>
      </c>
      <c r="E16" t="s">
        <v>218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84</v>
      </c>
      <c r="B17" t="s">
        <v>304</v>
      </c>
      <c r="C17" t="s">
        <v>217</v>
      </c>
      <c r="D17" t="s">
        <v>305</v>
      </c>
      <c r="E17" t="s">
        <v>218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84</v>
      </c>
      <c r="B18" t="s">
        <v>306</v>
      </c>
      <c r="C18" t="s">
        <v>217</v>
      </c>
      <c r="D18" t="s">
        <v>307</v>
      </c>
      <c r="E18" t="s">
        <v>218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84</v>
      </c>
      <c r="B19" t="s">
        <v>308</v>
      </c>
      <c r="C19" t="s">
        <v>217</v>
      </c>
      <c r="D19" t="s">
        <v>309</v>
      </c>
      <c r="E19" t="s">
        <v>218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84</v>
      </c>
      <c r="B20" t="s">
        <v>310</v>
      </c>
      <c r="C20" t="s">
        <v>217</v>
      </c>
      <c r="D20" t="s">
        <v>311</v>
      </c>
      <c r="E20" t="s">
        <v>218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84</v>
      </c>
      <c r="B21" t="s">
        <v>312</v>
      </c>
      <c r="C21" t="s">
        <v>217</v>
      </c>
      <c r="D21" t="s">
        <v>313</v>
      </c>
      <c r="E21" t="s">
        <v>218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84</v>
      </c>
      <c r="B22" t="s">
        <v>314</v>
      </c>
      <c r="C22" t="s">
        <v>217</v>
      </c>
      <c r="D22" t="s">
        <v>315</v>
      </c>
      <c r="E22" t="s">
        <v>218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84</v>
      </c>
      <c r="B23" t="s">
        <v>316</v>
      </c>
      <c r="C23" t="s">
        <v>217</v>
      </c>
      <c r="D23" t="s">
        <v>317</v>
      </c>
      <c r="E23" t="s">
        <v>218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84</v>
      </c>
      <c r="B24" t="s">
        <v>318</v>
      </c>
      <c r="C24" t="s">
        <v>217</v>
      </c>
      <c r="D24" t="s">
        <v>319</v>
      </c>
      <c r="E24" t="s">
        <v>218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84</v>
      </c>
      <c r="B25" t="s">
        <v>320</v>
      </c>
      <c r="C25" t="s">
        <v>217</v>
      </c>
      <c r="D25" t="s">
        <v>321</v>
      </c>
      <c r="E25" t="s">
        <v>218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84</v>
      </c>
      <c r="B26" t="s">
        <v>322</v>
      </c>
      <c r="C26" t="s">
        <v>217</v>
      </c>
      <c r="D26" t="s">
        <v>323</v>
      </c>
      <c r="E26" t="s">
        <v>218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84</v>
      </c>
      <c r="B27" t="s">
        <v>324</v>
      </c>
      <c r="C27" t="s">
        <v>217</v>
      </c>
      <c r="D27" t="s">
        <v>325</v>
      </c>
      <c r="E27" t="s">
        <v>218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84</v>
      </c>
      <c r="B28" t="s">
        <v>326</v>
      </c>
      <c r="C28" t="s">
        <v>217</v>
      </c>
      <c r="D28" t="s">
        <v>327</v>
      </c>
      <c r="E28" t="s">
        <v>218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84</v>
      </c>
      <c r="B29" t="s">
        <v>328</v>
      </c>
      <c r="C29" t="s">
        <v>217</v>
      </c>
      <c r="D29" t="s">
        <v>329</v>
      </c>
      <c r="E29" t="s">
        <v>218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84</v>
      </c>
      <c r="B30" t="s">
        <v>330</v>
      </c>
      <c r="C30" t="s">
        <v>217</v>
      </c>
      <c r="D30" t="s">
        <v>331</v>
      </c>
      <c r="E30" t="s">
        <v>218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84</v>
      </c>
      <c r="B31" t="s">
        <v>332</v>
      </c>
      <c r="C31" t="s">
        <v>217</v>
      </c>
      <c r="D31" t="s">
        <v>333</v>
      </c>
      <c r="E31" t="s">
        <v>218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84</v>
      </c>
      <c r="B32" t="s">
        <v>334</v>
      </c>
      <c r="C32" t="s">
        <v>217</v>
      </c>
      <c r="D32" t="s">
        <v>335</v>
      </c>
      <c r="E32" t="s">
        <v>218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84</v>
      </c>
      <c r="B33" t="s">
        <v>336</v>
      </c>
      <c r="C33" t="s">
        <v>217</v>
      </c>
      <c r="D33" t="s">
        <v>337</v>
      </c>
      <c r="E33" t="s">
        <v>218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84</v>
      </c>
      <c r="B34" t="s">
        <v>338</v>
      </c>
      <c r="C34" t="s">
        <v>217</v>
      </c>
      <c r="D34" t="s">
        <v>339</v>
      </c>
      <c r="E34" t="s">
        <v>218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84</v>
      </c>
      <c r="B35" t="s">
        <v>340</v>
      </c>
      <c r="C35" t="s">
        <v>217</v>
      </c>
      <c r="D35" t="s">
        <v>341</v>
      </c>
      <c r="E35" t="s">
        <v>218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s">
        <v>84</v>
      </c>
      <c r="B36" t="s">
        <v>342</v>
      </c>
      <c r="C36" t="s">
        <v>217</v>
      </c>
      <c r="D36" t="s">
        <v>343</v>
      </c>
      <c r="E36" t="s">
        <v>218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84</v>
      </c>
      <c r="B37" t="s">
        <v>344</v>
      </c>
      <c r="C37" t="s">
        <v>217</v>
      </c>
      <c r="D37" t="s">
        <v>345</v>
      </c>
      <c r="E37" t="s">
        <v>218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84</v>
      </c>
      <c r="B38" t="s">
        <v>346</v>
      </c>
      <c r="C38" t="s">
        <v>217</v>
      </c>
      <c r="D38" t="s">
        <v>347</v>
      </c>
      <c r="E38" t="s">
        <v>218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84</v>
      </c>
      <c r="B39" t="s">
        <v>348</v>
      </c>
      <c r="C39" t="s">
        <v>217</v>
      </c>
      <c r="D39" t="s">
        <v>349</v>
      </c>
      <c r="E39" t="s">
        <v>218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84</v>
      </c>
      <c r="B40" t="s">
        <v>350</v>
      </c>
      <c r="C40" t="s">
        <v>217</v>
      </c>
      <c r="D40" t="s">
        <v>351</v>
      </c>
      <c r="E40" t="s">
        <v>218</v>
      </c>
      <c r="F40" t="n">
        <v>70.9716329714945</v>
      </c>
      <c r="G40" t="n">
        <v>75.5866803096641</v>
      </c>
      <c r="H40" t="n">
        <v>79.8097924660382</v>
      </c>
      <c r="I40" t="n">
        <v>84.1750989892274</v>
      </c>
      <c r="J40" t="n">
        <v>87.3490563678333</v>
      </c>
      <c r="K40" t="n">
        <v>90.262318031598</v>
      </c>
      <c r="L40" t="n">
        <v>93.1213830317358</v>
      </c>
      <c r="M40" t="n">
        <v>97.3822898348912</v>
      </c>
      <c r="N40" t="n">
        <v>100.088030710196</v>
      </c>
      <c r="O40" t="n">
        <v>102.738397492929</v>
      </c>
      <c r="P40" t="n">
        <v>102.55154896563</v>
      </c>
      <c r="Q40" t="n">
        <v>108.816909763508</v>
      </c>
      <c r="R40" t="n">
        <v>110.401998477537</v>
      </c>
      <c r="S40" t="n">
        <v>113.027737757299</v>
      </c>
      <c r="T40" t="n">
        <v>111.283856257897</v>
      </c>
      <c r="U40" t="n">
        <v>111.634109436587</v>
      </c>
      <c r="V40" t="n">
        <v>111.581462933507</v>
      </c>
      <c r="W40" t="n">
        <v>110.951569033764</v>
      </c>
      <c r="X40" t="n">
        <v>109.714492980001</v>
      </c>
      <c r="Y40" t="n">
        <v>106.126593235159</v>
      </c>
      <c r="Z40" t="n">
        <v>103.214559994796</v>
      </c>
      <c r="AA40" t="n">
        <v>100.393088424361</v>
      </c>
      <c r="AB40" t="n">
        <v>100.154057261446</v>
      </c>
      <c r="AC40" t="n">
        <v>100.521774090894</v>
      </c>
      <c r="AD40" t="n">
        <v>100.095184770437</v>
      </c>
      <c r="AE40" t="n">
        <v>100</v>
      </c>
      <c r="AF40" t="n">
        <v>102.361535847774</v>
      </c>
    </row>
    <row r="41">
      <c r="A41" t="s">
        <v>84</v>
      </c>
      <c r="B41" t="s">
        <v>352</v>
      </c>
      <c r="C41" t="s">
        <v>217</v>
      </c>
      <c r="D41" t="s">
        <v>353</v>
      </c>
      <c r="E41" t="s">
        <v>218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84</v>
      </c>
      <c r="B42" t="s">
        <v>354</v>
      </c>
      <c r="C42" t="s">
        <v>217</v>
      </c>
      <c r="D42" t="s">
        <v>355</v>
      </c>
      <c r="E42" t="s">
        <v>218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84</v>
      </c>
      <c r="B43" t="s">
        <v>356</v>
      </c>
      <c r="C43" t="s">
        <v>217</v>
      </c>
      <c r="D43" t="s">
        <v>357</v>
      </c>
      <c r="E43" t="s">
        <v>218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84</v>
      </c>
      <c r="B44" t="s">
        <v>358</v>
      </c>
      <c r="C44" t="s">
        <v>217</v>
      </c>
      <c r="D44" t="s">
        <v>359</v>
      </c>
      <c r="E44" t="s">
        <v>218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</row>
    <row r="45">
      <c r="A45" t="s">
        <v>84</v>
      </c>
      <c r="B45" t="s">
        <v>360</v>
      </c>
      <c r="C45" t="s">
        <v>217</v>
      </c>
      <c r="D45" t="s">
        <v>361</v>
      </c>
      <c r="E45" t="s">
        <v>218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</row>
    <row r="46">
      <c r="A46" t="s">
        <v>84</v>
      </c>
      <c r="B46" t="s">
        <v>362</v>
      </c>
      <c r="C46" t="s">
        <v>217</v>
      </c>
      <c r="D46" t="s">
        <v>363</v>
      </c>
      <c r="E46" t="s">
        <v>218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84</v>
      </c>
      <c r="B47" t="s">
        <v>364</v>
      </c>
      <c r="C47" t="s">
        <v>217</v>
      </c>
      <c r="D47" t="s">
        <v>365</v>
      </c>
      <c r="E47" t="s">
        <v>218</v>
      </c>
      <c r="F47" t="e">
        <v>#NUM!</v>
      </c>
      <c r="G47" t="e">
        <v>#NUM!</v>
      </c>
      <c r="H47" t="e">
        <v>#NUM!</v>
      </c>
      <c r="I47" t="e">
        <v>#NUM!</v>
      </c>
      <c r="J47" t="e">
        <v>#NUM!</v>
      </c>
      <c r="K47" t="e">
        <v>#NUM!</v>
      </c>
      <c r="L47" t="e">
        <v>#NUM!</v>
      </c>
      <c r="M47" t="e">
        <v>#NUM!</v>
      </c>
      <c r="N47" t="e">
        <v>#NUM!</v>
      </c>
      <c r="O47" t="e">
        <v>#NUM!</v>
      </c>
      <c r="P47" t="e">
        <v>#NUM!</v>
      </c>
      <c r="Q47" t="e">
        <v>#NUM!</v>
      </c>
      <c r="R47" t="e">
        <v>#NUM!</v>
      </c>
      <c r="S47" t="e">
        <v>#NUM!</v>
      </c>
      <c r="T47" t="e">
        <v>#NUM!</v>
      </c>
      <c r="U47" t="n">
        <v>0</v>
      </c>
      <c r="V47" t="n">
        <v>100</v>
      </c>
      <c r="W47" t="n">
        <v>100</v>
      </c>
      <c r="X47" t="n">
        <v>100</v>
      </c>
      <c r="Y47" t="n">
        <v>100</v>
      </c>
      <c r="Z47" t="n">
        <v>100</v>
      </c>
      <c r="AA47" t="n">
        <v>100</v>
      </c>
      <c r="AB47" t="n">
        <v>100</v>
      </c>
      <c r="AC47" t="n">
        <v>100</v>
      </c>
      <c r="AD47" t="n">
        <v>100</v>
      </c>
      <c r="AE47" t="n">
        <v>100</v>
      </c>
      <c r="AF47" t="n">
        <v>0</v>
      </c>
    </row>
    <row r="48">
      <c r="A48" t="s">
        <v>84</v>
      </c>
      <c r="B48" t="s">
        <v>366</v>
      </c>
      <c r="C48" t="s">
        <v>217</v>
      </c>
      <c r="D48" t="s">
        <v>367</v>
      </c>
      <c r="E48" t="s">
        <v>218</v>
      </c>
      <c r="F48" t="e">
        <v>#NUM!</v>
      </c>
      <c r="G48" t="e">
        <v>#NUM!</v>
      </c>
      <c r="H48" t="e">
        <v>#NUM!</v>
      </c>
      <c r="I48" t="e">
        <v>#NUM!</v>
      </c>
      <c r="J48" t="e">
        <v>#NUM!</v>
      </c>
      <c r="K48" t="e">
        <v>#NUM!</v>
      </c>
      <c r="L48" t="e">
        <v>#NUM!</v>
      </c>
      <c r="M48" t="e">
        <v>#NUM!</v>
      </c>
      <c r="N48" t="e">
        <v>#NUM!</v>
      </c>
      <c r="O48" t="e">
        <v>#NUM!</v>
      </c>
      <c r="P48" t="e">
        <v>#NUM!</v>
      </c>
      <c r="Q48" t="e">
        <v>#NUM!</v>
      </c>
      <c r="R48" t="e">
        <v>#NUM!</v>
      </c>
      <c r="S48" t="e">
        <v>#NUM!</v>
      </c>
      <c r="T48" t="e">
        <v>#NUM!</v>
      </c>
      <c r="U48" t="n">
        <v>0</v>
      </c>
      <c r="V48" t="n">
        <v>100</v>
      </c>
      <c r="W48" t="n">
        <v>100</v>
      </c>
      <c r="X48" t="n">
        <v>100</v>
      </c>
      <c r="Y48" t="n">
        <v>100</v>
      </c>
      <c r="Z48" t="n">
        <v>100</v>
      </c>
      <c r="AA48" t="n">
        <v>100</v>
      </c>
      <c r="AB48" t="n">
        <v>100</v>
      </c>
      <c r="AC48" t="n">
        <v>100</v>
      </c>
      <c r="AD48" t="n">
        <v>100</v>
      </c>
      <c r="AE48" t="n">
        <v>100</v>
      </c>
      <c r="AF48" t="n">
        <v>0</v>
      </c>
    </row>
    <row r="49">
      <c r="A49" t="s">
        <v>84</v>
      </c>
      <c r="B49" t="s">
        <v>368</v>
      </c>
      <c r="C49" t="s">
        <v>217</v>
      </c>
      <c r="D49" t="s">
        <v>369</v>
      </c>
      <c r="E49" t="s">
        <v>218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84</v>
      </c>
      <c r="B50" t="s">
        <v>370</v>
      </c>
      <c r="C50" t="s">
        <v>217</v>
      </c>
      <c r="D50" t="s">
        <v>371</v>
      </c>
      <c r="E50" t="s">
        <v>218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84</v>
      </c>
      <c r="B51" t="s">
        <v>372</v>
      </c>
      <c r="C51" t="s">
        <v>217</v>
      </c>
      <c r="D51" t="s">
        <v>373</v>
      </c>
      <c r="E51" t="s">
        <v>218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84</v>
      </c>
      <c r="B52" t="s">
        <v>374</v>
      </c>
      <c r="C52" t="s">
        <v>217</v>
      </c>
      <c r="D52" t="s">
        <v>375</v>
      </c>
      <c r="E52" t="s">
        <v>218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84</v>
      </c>
      <c r="B53" t="s">
        <v>376</v>
      </c>
      <c r="C53" t="s">
        <v>217</v>
      </c>
      <c r="D53" t="s">
        <v>377</v>
      </c>
      <c r="E53" t="s">
        <v>218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84</v>
      </c>
      <c r="B54" t="s">
        <v>378</v>
      </c>
      <c r="C54" t="s">
        <v>217</v>
      </c>
      <c r="D54" t="s">
        <v>379</v>
      </c>
      <c r="E54" t="s">
        <v>218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s">
        <v>84</v>
      </c>
      <c r="B55" t="s">
        <v>380</v>
      </c>
      <c r="C55" t="s">
        <v>217</v>
      </c>
      <c r="D55" t="s">
        <v>381</v>
      </c>
      <c r="E55" t="s">
        <v>218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84</v>
      </c>
      <c r="B56" t="s">
        <v>382</v>
      </c>
      <c r="C56" t="s">
        <v>217</v>
      </c>
      <c r="D56" t="s">
        <v>383</v>
      </c>
      <c r="E56" t="s">
        <v>218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84</v>
      </c>
      <c r="B57" t="s">
        <v>384</v>
      </c>
      <c r="C57" t="s">
        <v>217</v>
      </c>
      <c r="D57" t="s">
        <v>385</v>
      </c>
      <c r="E57" t="s">
        <v>218</v>
      </c>
      <c r="F57" t="n">
        <v>70.9703942787051</v>
      </c>
      <c r="G57" t="n">
        <v>75.5856479903995</v>
      </c>
      <c r="H57" t="n">
        <v>79.8088109625959</v>
      </c>
      <c r="I57" t="n">
        <v>84.1743701919223</v>
      </c>
      <c r="J57" t="n">
        <v>87.3488034419355</v>
      </c>
      <c r="K57" t="n">
        <v>90.2615708077155</v>
      </c>
      <c r="L57" t="n">
        <v>93.1201708183943</v>
      </c>
      <c r="M57" t="n">
        <v>97.3808742161577</v>
      </c>
      <c r="N57" t="n">
        <v>100.086312840797</v>
      </c>
      <c r="O57" t="n">
        <v>102.736567666754</v>
      </c>
      <c r="P57" t="n">
        <v>102.549761130624</v>
      </c>
      <c r="Q57" t="n">
        <v>108.815126281074</v>
      </c>
      <c r="R57" t="n">
        <v>110.399991208471</v>
      </c>
      <c r="S57" t="n">
        <v>113.025519052713</v>
      </c>
      <c r="T57" t="n">
        <v>111.281629642802</v>
      </c>
      <c r="U57" t="n">
        <v>111.631875813477</v>
      </c>
      <c r="V57" t="n">
        <v>111.579231948458</v>
      </c>
      <c r="W57" t="n">
        <v>110.949421954118</v>
      </c>
      <c r="X57" t="n">
        <v>109.712720403467</v>
      </c>
      <c r="Y57" t="n">
        <v>106.125429386846</v>
      </c>
      <c r="Z57" t="n">
        <v>103.21405057012</v>
      </c>
      <c r="AA57" t="n">
        <v>100.393060286192</v>
      </c>
      <c r="AB57" t="n">
        <v>100.154051077563</v>
      </c>
      <c r="AC57" t="n">
        <v>100.521740333786</v>
      </c>
      <c r="AD57" t="n">
        <v>100.095179441241</v>
      </c>
      <c r="AE57" t="n">
        <v>100</v>
      </c>
      <c r="AF57" t="n">
        <v>102.35718836271</v>
      </c>
    </row>
    <row r="58">
      <c r="A58" t="s">
        <v>84</v>
      </c>
      <c r="B58" t="s">
        <v>386</v>
      </c>
      <c r="C58" t="s">
        <v>217</v>
      </c>
      <c r="D58" t="s">
        <v>387</v>
      </c>
      <c r="E58" t="s">
        <v>218</v>
      </c>
      <c r="F58" t="n">
        <v>70.9703942787051</v>
      </c>
      <c r="G58" t="n">
        <v>75.5856479903995</v>
      </c>
      <c r="H58" t="n">
        <v>79.8088109625959</v>
      </c>
      <c r="I58" t="n">
        <v>84.1743701919223</v>
      </c>
      <c r="J58" t="n">
        <v>87.3488034419355</v>
      </c>
      <c r="K58" t="n">
        <v>90.2615708077155</v>
      </c>
      <c r="L58" t="n">
        <v>93.1201708183943</v>
      </c>
      <c r="M58" t="n">
        <v>97.3808742161577</v>
      </c>
      <c r="N58" t="n">
        <v>100.086312840797</v>
      </c>
      <c r="O58" t="n">
        <v>102.736567666754</v>
      </c>
      <c r="P58" t="n">
        <v>102.549761130624</v>
      </c>
      <c r="Q58" t="n">
        <v>108.815126281074</v>
      </c>
      <c r="R58" t="n">
        <v>110.399991208471</v>
      </c>
      <c r="S58" t="n">
        <v>113.025519052713</v>
      </c>
      <c r="T58" t="n">
        <v>111.281629642802</v>
      </c>
      <c r="U58" t="n">
        <v>111.631875813477</v>
      </c>
      <c r="V58" t="n">
        <v>111.579231948458</v>
      </c>
      <c r="W58" t="n">
        <v>110.949421954118</v>
      </c>
      <c r="X58" t="n">
        <v>109.712720403467</v>
      </c>
      <c r="Y58" t="n">
        <v>106.125429386846</v>
      </c>
      <c r="Z58" t="n">
        <v>103.21405057012</v>
      </c>
      <c r="AA58" t="n">
        <v>100.393060286192</v>
      </c>
      <c r="AB58" t="n">
        <v>100.154051077563</v>
      </c>
      <c r="AC58" t="n">
        <v>100.521740333786</v>
      </c>
      <c r="AD58" t="n">
        <v>100.095179441241</v>
      </c>
      <c r="AE58" t="n">
        <v>100</v>
      </c>
      <c r="AF58" t="n">
        <v>102.35718836271</v>
      </c>
    </row>
    <row r="59">
      <c r="A59" t="s">
        <v>84</v>
      </c>
      <c r="B59" t="s">
        <v>388</v>
      </c>
      <c r="C59" t="s">
        <v>217</v>
      </c>
      <c r="D59" t="s">
        <v>389</v>
      </c>
      <c r="E59" t="s">
        <v>218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86</v>
      </c>
      <c r="B2" t="s">
        <v>197</v>
      </c>
      <c r="C2" t="s">
        <v>217</v>
      </c>
      <c r="D2" t="s">
        <v>199</v>
      </c>
      <c r="E2" t="s">
        <v>218</v>
      </c>
      <c r="F2" t="n">
        <v>62.5514147742864</v>
      </c>
      <c r="G2" t="n">
        <v>47.266294622675</v>
      </c>
      <c r="H2" t="n">
        <v>48.1581115023481</v>
      </c>
      <c r="I2" t="n">
        <v>51.3574266021545</v>
      </c>
      <c r="J2" t="n">
        <v>41.3255094524625</v>
      </c>
      <c r="K2" t="n">
        <v>42.6725574904939</v>
      </c>
      <c r="L2" t="n">
        <v>46.3052950748152</v>
      </c>
      <c r="M2" t="n">
        <v>58.3378286472117</v>
      </c>
      <c r="N2" t="n">
        <v>60.537279996568</v>
      </c>
      <c r="O2" t="n">
        <v>75.2414255254501</v>
      </c>
      <c r="P2" t="n">
        <v>82.7010139474204</v>
      </c>
      <c r="Q2" t="n">
        <v>93.2115107032799</v>
      </c>
      <c r="R2" t="n">
        <v>83.5555146070336</v>
      </c>
      <c r="S2" t="n">
        <v>90.6125682056007</v>
      </c>
      <c r="T2" t="n">
        <v>93.4956953757789</v>
      </c>
      <c r="U2" t="n">
        <v>92.788160383746</v>
      </c>
      <c r="V2" t="n">
        <v>91.5725949638716</v>
      </c>
      <c r="W2" t="n">
        <v>92.1864894552495</v>
      </c>
      <c r="X2" t="n">
        <v>93.0951376488048</v>
      </c>
      <c r="Y2" t="n">
        <v>94.0648786659799</v>
      </c>
      <c r="Z2" t="n">
        <v>95.9845700673264</v>
      </c>
      <c r="AA2" t="n">
        <v>98.0845059667027</v>
      </c>
      <c r="AB2" t="n">
        <v>99.3819200667914</v>
      </c>
      <c r="AC2" t="n">
        <v>99.6630570401062</v>
      </c>
      <c r="AD2" t="n">
        <v>99.4301994301994</v>
      </c>
      <c r="AE2" t="n">
        <v>100</v>
      </c>
      <c r="AF2" t="n">
        <v>104.242424242424</v>
      </c>
    </row>
    <row r="3">
      <c r="A3" t="s">
        <v>86</v>
      </c>
      <c r="B3" t="s">
        <v>276</v>
      </c>
      <c r="C3" t="s">
        <v>217</v>
      </c>
      <c r="D3" t="s">
        <v>277</v>
      </c>
      <c r="E3" t="s">
        <v>218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86</v>
      </c>
      <c r="B4" t="s">
        <v>278</v>
      </c>
      <c r="C4" t="s">
        <v>217</v>
      </c>
      <c r="D4" t="s">
        <v>279</v>
      </c>
      <c r="E4" t="s">
        <v>218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86</v>
      </c>
      <c r="B5" t="s">
        <v>280</v>
      </c>
      <c r="C5" t="s">
        <v>217</v>
      </c>
      <c r="D5" t="s">
        <v>281</v>
      </c>
      <c r="E5" t="s">
        <v>218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86</v>
      </c>
      <c r="B6" t="s">
        <v>282</v>
      </c>
      <c r="C6" t="s">
        <v>217</v>
      </c>
      <c r="D6" t="s">
        <v>283</v>
      </c>
      <c r="E6" t="s">
        <v>218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86</v>
      </c>
      <c r="B7" t="s">
        <v>284</v>
      </c>
      <c r="C7" t="s">
        <v>217</v>
      </c>
      <c r="D7" t="s">
        <v>285</v>
      </c>
      <c r="E7" t="s">
        <v>218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86</v>
      </c>
      <c r="B8" t="s">
        <v>286</v>
      </c>
      <c r="C8" t="s">
        <v>217</v>
      </c>
      <c r="D8" t="s">
        <v>287</v>
      </c>
      <c r="E8" t="s">
        <v>218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86</v>
      </c>
      <c r="B9" t="s">
        <v>288</v>
      </c>
      <c r="C9" t="s">
        <v>217</v>
      </c>
      <c r="D9" t="s">
        <v>289</v>
      </c>
      <c r="E9" t="s">
        <v>218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86</v>
      </c>
      <c r="B10" t="s">
        <v>290</v>
      </c>
      <c r="C10" t="s">
        <v>217</v>
      </c>
      <c r="D10" t="s">
        <v>291</v>
      </c>
      <c r="E10" t="s">
        <v>218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86</v>
      </c>
      <c r="B11" t="s">
        <v>292</v>
      </c>
      <c r="C11" t="s">
        <v>217</v>
      </c>
      <c r="D11" t="s">
        <v>293</v>
      </c>
      <c r="E11" t="s">
        <v>218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86</v>
      </c>
      <c r="B12" t="s">
        <v>294</v>
      </c>
      <c r="C12" t="s">
        <v>217</v>
      </c>
      <c r="D12" t="s">
        <v>295</v>
      </c>
      <c r="E12" t="s">
        <v>218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86</v>
      </c>
      <c r="B13" t="s">
        <v>296</v>
      </c>
      <c r="C13" t="s">
        <v>217</v>
      </c>
      <c r="D13" t="s">
        <v>297</v>
      </c>
      <c r="E13" t="s">
        <v>218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86</v>
      </c>
      <c r="B14" t="s">
        <v>298</v>
      </c>
      <c r="C14" t="s">
        <v>217</v>
      </c>
      <c r="D14" t="s">
        <v>299</v>
      </c>
      <c r="E14" t="s">
        <v>218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86</v>
      </c>
      <c r="B15" t="s">
        <v>300</v>
      </c>
      <c r="C15" t="s">
        <v>217</v>
      </c>
      <c r="D15" t="s">
        <v>301</v>
      </c>
      <c r="E15" t="s">
        <v>218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86</v>
      </c>
      <c r="B16" t="s">
        <v>302</v>
      </c>
      <c r="C16" t="s">
        <v>217</v>
      </c>
      <c r="D16" t="s">
        <v>303</v>
      </c>
      <c r="E16" t="s">
        <v>218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86</v>
      </c>
      <c r="B17" t="s">
        <v>304</v>
      </c>
      <c r="C17" t="s">
        <v>217</v>
      </c>
      <c r="D17" t="s">
        <v>305</v>
      </c>
      <c r="E17" t="s">
        <v>218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86</v>
      </c>
      <c r="B18" t="s">
        <v>306</v>
      </c>
      <c r="C18" t="s">
        <v>217</v>
      </c>
      <c r="D18" t="s">
        <v>307</v>
      </c>
      <c r="E18" t="s">
        <v>218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86</v>
      </c>
      <c r="B19" t="s">
        <v>308</v>
      </c>
      <c r="C19" t="s">
        <v>217</v>
      </c>
      <c r="D19" t="s">
        <v>309</v>
      </c>
      <c r="E19" t="s">
        <v>218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86</v>
      </c>
      <c r="B20" t="s">
        <v>310</v>
      </c>
      <c r="C20" t="s">
        <v>217</v>
      </c>
      <c r="D20" t="s">
        <v>311</v>
      </c>
      <c r="E20" t="s">
        <v>218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86</v>
      </c>
      <c r="B21" t="s">
        <v>312</v>
      </c>
      <c r="C21" t="s">
        <v>217</v>
      </c>
      <c r="D21" t="s">
        <v>313</v>
      </c>
      <c r="E21" t="s">
        <v>218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86</v>
      </c>
      <c r="B22" t="s">
        <v>314</v>
      </c>
      <c r="C22" t="s">
        <v>217</v>
      </c>
      <c r="D22" t="s">
        <v>315</v>
      </c>
      <c r="E22" t="s">
        <v>218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86</v>
      </c>
      <c r="B23" t="s">
        <v>316</v>
      </c>
      <c r="C23" t="s">
        <v>217</v>
      </c>
      <c r="D23" t="s">
        <v>317</v>
      </c>
      <c r="E23" t="s">
        <v>218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86</v>
      </c>
      <c r="B24" t="s">
        <v>318</v>
      </c>
      <c r="C24" t="s">
        <v>217</v>
      </c>
      <c r="D24" t="s">
        <v>319</v>
      </c>
      <c r="E24" t="s">
        <v>218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86</v>
      </c>
      <c r="B25" t="s">
        <v>320</v>
      </c>
      <c r="C25" t="s">
        <v>217</v>
      </c>
      <c r="D25" t="s">
        <v>321</v>
      </c>
      <c r="E25" t="s">
        <v>218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86</v>
      </c>
      <c r="B26" t="s">
        <v>322</v>
      </c>
      <c r="C26" t="s">
        <v>217</v>
      </c>
      <c r="D26" t="s">
        <v>323</v>
      </c>
      <c r="E26" t="s">
        <v>218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86</v>
      </c>
      <c r="B27" t="s">
        <v>324</v>
      </c>
      <c r="C27" t="s">
        <v>217</v>
      </c>
      <c r="D27" t="s">
        <v>325</v>
      </c>
      <c r="E27" t="s">
        <v>218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86</v>
      </c>
      <c r="B28" t="s">
        <v>326</v>
      </c>
      <c r="C28" t="s">
        <v>217</v>
      </c>
      <c r="D28" t="s">
        <v>327</v>
      </c>
      <c r="E28" t="s">
        <v>218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86</v>
      </c>
      <c r="B29" t="s">
        <v>328</v>
      </c>
      <c r="C29" t="s">
        <v>217</v>
      </c>
      <c r="D29" t="s">
        <v>329</v>
      </c>
      <c r="E29" t="s">
        <v>218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86</v>
      </c>
      <c r="B30" t="s">
        <v>330</v>
      </c>
      <c r="C30" t="s">
        <v>217</v>
      </c>
      <c r="D30" t="s">
        <v>331</v>
      </c>
      <c r="E30" t="s">
        <v>218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86</v>
      </c>
      <c r="B31" t="s">
        <v>332</v>
      </c>
      <c r="C31" t="s">
        <v>217</v>
      </c>
      <c r="D31" t="s">
        <v>333</v>
      </c>
      <c r="E31" t="s">
        <v>218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86</v>
      </c>
      <c r="B32" t="s">
        <v>334</v>
      </c>
      <c r="C32" t="s">
        <v>217</v>
      </c>
      <c r="D32" t="s">
        <v>335</v>
      </c>
      <c r="E32" t="s">
        <v>218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86</v>
      </c>
      <c r="B33" t="s">
        <v>336</v>
      </c>
      <c r="C33" t="s">
        <v>217</v>
      </c>
      <c r="D33" t="s">
        <v>337</v>
      </c>
      <c r="E33" t="s">
        <v>218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86</v>
      </c>
      <c r="B34" t="s">
        <v>338</v>
      </c>
      <c r="C34" t="s">
        <v>217</v>
      </c>
      <c r="D34" t="s">
        <v>339</v>
      </c>
      <c r="E34" t="s">
        <v>218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86</v>
      </c>
      <c r="B35" t="s">
        <v>340</v>
      </c>
      <c r="C35" t="s">
        <v>217</v>
      </c>
      <c r="D35" t="s">
        <v>341</v>
      </c>
      <c r="E35" t="s">
        <v>218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s">
        <v>86</v>
      </c>
      <c r="B36" t="s">
        <v>342</v>
      </c>
      <c r="C36" t="s">
        <v>217</v>
      </c>
      <c r="D36" t="s">
        <v>343</v>
      </c>
      <c r="E36" t="s">
        <v>218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86</v>
      </c>
      <c r="B37" t="s">
        <v>344</v>
      </c>
      <c r="C37" t="s">
        <v>217</v>
      </c>
      <c r="D37" t="s">
        <v>345</v>
      </c>
      <c r="E37" t="s">
        <v>218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86</v>
      </c>
      <c r="B38" t="s">
        <v>346</v>
      </c>
      <c r="C38" t="s">
        <v>217</v>
      </c>
      <c r="D38" t="s">
        <v>347</v>
      </c>
      <c r="E38" t="s">
        <v>218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86</v>
      </c>
      <c r="B39" t="s">
        <v>348</v>
      </c>
      <c r="C39" t="s">
        <v>217</v>
      </c>
      <c r="D39" t="s">
        <v>349</v>
      </c>
      <c r="E39" t="s">
        <v>218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86</v>
      </c>
      <c r="B40" t="s">
        <v>350</v>
      </c>
      <c r="C40" t="s">
        <v>217</v>
      </c>
      <c r="D40" t="s">
        <v>351</v>
      </c>
      <c r="E40" t="s">
        <v>218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s">
        <v>86</v>
      </c>
      <c r="B41" t="s">
        <v>352</v>
      </c>
      <c r="C41" t="s">
        <v>217</v>
      </c>
      <c r="D41" t="s">
        <v>353</v>
      </c>
      <c r="E41" t="s">
        <v>218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86</v>
      </c>
      <c r="B42" t="s">
        <v>354</v>
      </c>
      <c r="C42" t="s">
        <v>217</v>
      </c>
      <c r="D42" t="s">
        <v>355</v>
      </c>
      <c r="E42" t="s">
        <v>218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86</v>
      </c>
      <c r="B43" t="s">
        <v>356</v>
      </c>
      <c r="C43" t="s">
        <v>217</v>
      </c>
      <c r="D43" t="s">
        <v>357</v>
      </c>
      <c r="E43" t="s">
        <v>218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86</v>
      </c>
      <c r="B44" t="s">
        <v>358</v>
      </c>
      <c r="C44" t="s">
        <v>217</v>
      </c>
      <c r="D44" t="s">
        <v>359</v>
      </c>
      <c r="E44" t="s">
        <v>218</v>
      </c>
      <c r="F44" t="n">
        <v>62.5514147742864</v>
      </c>
      <c r="G44" t="n">
        <v>47.266294622675</v>
      </c>
      <c r="H44" t="n">
        <v>48.1581115023481</v>
      </c>
      <c r="I44" t="n">
        <v>51.3574266021545</v>
      </c>
      <c r="J44" t="n">
        <v>41.3255094524625</v>
      </c>
      <c r="K44" t="n">
        <v>42.6725574904939</v>
      </c>
      <c r="L44" t="n">
        <v>46.3052950748152</v>
      </c>
      <c r="M44" t="n">
        <v>58.3378286472117</v>
      </c>
      <c r="N44" t="n">
        <v>60.537279996568</v>
      </c>
      <c r="O44" t="n">
        <v>75.2414255254501</v>
      </c>
      <c r="P44" t="n">
        <v>82.7010139474204</v>
      </c>
      <c r="Q44" t="n">
        <v>93.2115107032799</v>
      </c>
      <c r="R44" t="n">
        <v>83.5555146070336</v>
      </c>
      <c r="S44" t="n">
        <v>90.6125682056007</v>
      </c>
      <c r="T44" t="n">
        <v>93.4956953757789</v>
      </c>
      <c r="U44" t="n">
        <v>92.788160383746</v>
      </c>
      <c r="V44" t="n">
        <v>91.5725949638716</v>
      </c>
      <c r="W44" t="n">
        <v>92.1864894552495</v>
      </c>
      <c r="X44" t="n">
        <v>93.0951376488048</v>
      </c>
      <c r="Y44" t="n">
        <v>94.0648786659799</v>
      </c>
      <c r="Z44" t="n">
        <v>95.9845700673264</v>
      </c>
      <c r="AA44" t="n">
        <v>98.0845059667027</v>
      </c>
      <c r="AB44" t="n">
        <v>99.3819200667914</v>
      </c>
      <c r="AC44" t="n">
        <v>99.6630570401062</v>
      </c>
      <c r="AD44" t="n">
        <v>99.4301994301994</v>
      </c>
      <c r="AE44" t="n">
        <v>100</v>
      </c>
      <c r="AF44" t="n">
        <v>104.242424242424</v>
      </c>
    </row>
    <row r="45">
      <c r="A45" t="s">
        <v>86</v>
      </c>
      <c r="B45" t="s">
        <v>360</v>
      </c>
      <c r="C45" t="s">
        <v>217</v>
      </c>
      <c r="D45" t="s">
        <v>361</v>
      </c>
      <c r="E45" t="s">
        <v>218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</row>
    <row r="46">
      <c r="A46" t="s">
        <v>86</v>
      </c>
      <c r="B46" t="s">
        <v>362</v>
      </c>
      <c r="C46" t="s">
        <v>217</v>
      </c>
      <c r="D46" t="s">
        <v>363</v>
      </c>
      <c r="E46" t="s">
        <v>218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86</v>
      </c>
      <c r="B47" t="s">
        <v>364</v>
      </c>
      <c r="C47" t="s">
        <v>217</v>
      </c>
      <c r="D47" t="s">
        <v>365</v>
      </c>
      <c r="E47" t="s">
        <v>218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s">
        <v>86</v>
      </c>
      <c r="B48" t="s">
        <v>366</v>
      </c>
      <c r="C48" t="s">
        <v>217</v>
      </c>
      <c r="D48" t="s">
        <v>367</v>
      </c>
      <c r="E48" t="s">
        <v>218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s">
        <v>86</v>
      </c>
      <c r="B49" t="s">
        <v>368</v>
      </c>
      <c r="C49" t="s">
        <v>217</v>
      </c>
      <c r="D49" t="s">
        <v>369</v>
      </c>
      <c r="E49" t="s">
        <v>218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86</v>
      </c>
      <c r="B50" t="s">
        <v>370</v>
      </c>
      <c r="C50" t="s">
        <v>217</v>
      </c>
      <c r="D50" t="s">
        <v>371</v>
      </c>
      <c r="E50" t="s">
        <v>218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86</v>
      </c>
      <c r="B51" t="s">
        <v>372</v>
      </c>
      <c r="C51" t="s">
        <v>217</v>
      </c>
      <c r="D51" t="s">
        <v>373</v>
      </c>
      <c r="E51" t="s">
        <v>218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86</v>
      </c>
      <c r="B52" t="s">
        <v>374</v>
      </c>
      <c r="C52" t="s">
        <v>217</v>
      </c>
      <c r="D52" t="s">
        <v>375</v>
      </c>
      <c r="E52" t="s">
        <v>218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86</v>
      </c>
      <c r="B53" t="s">
        <v>376</v>
      </c>
      <c r="C53" t="s">
        <v>217</v>
      </c>
      <c r="D53" t="s">
        <v>377</v>
      </c>
      <c r="E53" t="s">
        <v>218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86</v>
      </c>
      <c r="B54" t="s">
        <v>378</v>
      </c>
      <c r="C54" t="s">
        <v>217</v>
      </c>
      <c r="D54" t="s">
        <v>379</v>
      </c>
      <c r="E54" t="s">
        <v>218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s">
        <v>86</v>
      </c>
      <c r="B55" t="s">
        <v>380</v>
      </c>
      <c r="C55" t="s">
        <v>217</v>
      </c>
      <c r="D55" t="s">
        <v>381</v>
      </c>
      <c r="E55" t="s">
        <v>218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86</v>
      </c>
      <c r="B56" t="s">
        <v>382</v>
      </c>
      <c r="C56" t="s">
        <v>217</v>
      </c>
      <c r="D56" t="s">
        <v>383</v>
      </c>
      <c r="E56" t="s">
        <v>218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86</v>
      </c>
      <c r="B57" t="s">
        <v>384</v>
      </c>
      <c r="C57" t="s">
        <v>217</v>
      </c>
      <c r="D57" t="s">
        <v>385</v>
      </c>
      <c r="E57" t="s">
        <v>218</v>
      </c>
      <c r="F57" t="n">
        <v>62.5087349121968</v>
      </c>
      <c r="G57" t="n">
        <v>47.2340440501938</v>
      </c>
      <c r="H57" t="n">
        <v>48.1252524284994</v>
      </c>
      <c r="I57" t="n">
        <v>51.3223845828402</v>
      </c>
      <c r="J57" t="n">
        <v>41.2973123756965</v>
      </c>
      <c r="K57" t="n">
        <v>42.6434413006319</v>
      </c>
      <c r="L57" t="n">
        <v>46.2737002081772</v>
      </c>
      <c r="M57" t="n">
        <v>58.29802378444</v>
      </c>
      <c r="N57" t="n">
        <v>60.4959744118605</v>
      </c>
      <c r="O57" t="n">
        <v>75.1900870597026</v>
      </c>
      <c r="P57" t="n">
        <v>82.6445856814462</v>
      </c>
      <c r="Q57" t="n">
        <v>93.1479109519979</v>
      </c>
      <c r="R57" t="n">
        <v>83.4985033011644</v>
      </c>
      <c r="S57" t="n">
        <v>90.5507417556546</v>
      </c>
      <c r="T57" t="n">
        <v>93.4319017206073</v>
      </c>
      <c r="U57" t="n">
        <v>92.7248494913702</v>
      </c>
      <c r="V57" t="n">
        <v>91.5101134718326</v>
      </c>
      <c r="W57" t="n">
        <v>92.1235890928729</v>
      </c>
      <c r="X57" t="n">
        <v>93.0316173007775</v>
      </c>
      <c r="Y57" t="n">
        <v>93.985343107216</v>
      </c>
      <c r="Z57" t="n">
        <v>95.9907202716659</v>
      </c>
      <c r="AA57" t="n">
        <v>98.1181741783961</v>
      </c>
      <c r="AB57" t="n">
        <v>99.3825836394579</v>
      </c>
      <c r="AC57" t="n">
        <v>99.6633254011513</v>
      </c>
      <c r="AD57" t="n">
        <v>99.4310099573257</v>
      </c>
      <c r="AE57" t="n">
        <v>100</v>
      </c>
      <c r="AF57" t="n">
        <v>104.242424242424</v>
      </c>
    </row>
    <row r="58">
      <c r="A58" t="s">
        <v>86</v>
      </c>
      <c r="B58" t="s">
        <v>386</v>
      </c>
      <c r="C58" t="s">
        <v>217</v>
      </c>
      <c r="D58" t="s">
        <v>387</v>
      </c>
      <c r="E58" t="s">
        <v>218</v>
      </c>
      <c r="F58" t="n">
        <v>62.5087349121968</v>
      </c>
      <c r="G58" t="n">
        <v>47.2340440501938</v>
      </c>
      <c r="H58" t="n">
        <v>48.1252524284994</v>
      </c>
      <c r="I58" t="n">
        <v>51.3223845828402</v>
      </c>
      <c r="J58" t="n">
        <v>41.2973123756965</v>
      </c>
      <c r="K58" t="n">
        <v>42.6434413006319</v>
      </c>
      <c r="L58" t="n">
        <v>46.2737002081772</v>
      </c>
      <c r="M58" t="n">
        <v>58.29802378444</v>
      </c>
      <c r="N58" t="n">
        <v>60.4959744118605</v>
      </c>
      <c r="O58" t="n">
        <v>75.1900870597026</v>
      </c>
      <c r="P58" t="n">
        <v>82.6445856814462</v>
      </c>
      <c r="Q58" t="n">
        <v>93.1479109519979</v>
      </c>
      <c r="R58" t="n">
        <v>83.4985033011644</v>
      </c>
      <c r="S58" t="n">
        <v>90.5507417556546</v>
      </c>
      <c r="T58" t="n">
        <v>93.4319017206073</v>
      </c>
      <c r="U58" t="n">
        <v>92.7248494913702</v>
      </c>
      <c r="V58" t="n">
        <v>91.5101134718326</v>
      </c>
      <c r="W58" t="n">
        <v>92.1235890928729</v>
      </c>
      <c r="X58" t="n">
        <v>93.0316173007775</v>
      </c>
      <c r="Y58" t="n">
        <v>93.985343107216</v>
      </c>
      <c r="Z58" t="n">
        <v>95.9907202716659</v>
      </c>
      <c r="AA58" t="n">
        <v>98.1181741783961</v>
      </c>
      <c r="AB58" t="n">
        <v>99.3825836394579</v>
      </c>
      <c r="AC58" t="n">
        <v>99.6633254011513</v>
      </c>
      <c r="AD58" t="n">
        <v>99.4310099573257</v>
      </c>
      <c r="AE58" t="n">
        <v>100</v>
      </c>
      <c r="AF58" t="n">
        <v>104.242424242424</v>
      </c>
    </row>
    <row r="59">
      <c r="A59" t="s">
        <v>86</v>
      </c>
      <c r="B59" t="s">
        <v>388</v>
      </c>
      <c r="C59" t="s">
        <v>217</v>
      </c>
      <c r="D59" t="s">
        <v>389</v>
      </c>
      <c r="E59" t="s">
        <v>218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88</v>
      </c>
      <c r="B2" t="s">
        <v>197</v>
      </c>
      <c r="C2" t="s">
        <v>217</v>
      </c>
      <c r="D2" t="s">
        <v>199</v>
      </c>
      <c r="E2" t="s">
        <v>218</v>
      </c>
      <c r="F2" t="n">
        <v>55.5163338921912</v>
      </c>
      <c r="G2" t="n">
        <v>55.5163338921912</v>
      </c>
      <c r="H2" t="n">
        <v>55.5163338921912</v>
      </c>
      <c r="I2" t="n">
        <v>55.5163338921912</v>
      </c>
      <c r="J2" t="n">
        <v>55.5163338921912</v>
      </c>
      <c r="K2" t="n">
        <v>60.5632733369359</v>
      </c>
      <c r="L2" t="n">
        <v>60.5632733369359</v>
      </c>
      <c r="M2" t="n">
        <v>60.5632733369359</v>
      </c>
      <c r="N2" t="n">
        <v>60.5632733369359</v>
      </c>
      <c r="O2" t="n">
        <v>64.1258188273439</v>
      </c>
      <c r="P2" t="n">
        <v>67.6883643177518</v>
      </c>
      <c r="Q2" t="n">
        <v>70.9116197614543</v>
      </c>
      <c r="R2" t="n">
        <v>73.6389897522795</v>
      </c>
      <c r="S2" t="n">
        <v>77.514726055031</v>
      </c>
      <c r="T2" t="n">
        <v>81.3904623577826</v>
      </c>
      <c r="U2" t="n">
        <v>85.6741709029291</v>
      </c>
      <c r="V2" t="n">
        <v>91.0288065843621</v>
      </c>
      <c r="W2" t="n">
        <v>97.5308641975309</v>
      </c>
      <c r="X2" t="n">
        <v>97.5308641975309</v>
      </c>
      <c r="Y2" t="n">
        <v>97.5308641975309</v>
      </c>
      <c r="Z2" t="n">
        <v>97.5308641975309</v>
      </c>
      <c r="AA2" t="n">
        <v>97.5308641975309</v>
      </c>
      <c r="AB2" t="n">
        <v>101.282051282051</v>
      </c>
      <c r="AC2" t="n">
        <v>101.282051282051</v>
      </c>
      <c r="AD2" t="n">
        <v>101.282051282051</v>
      </c>
      <c r="AE2" t="n">
        <v>100</v>
      </c>
      <c r="AF2" t="n">
        <v>101.290322580645</v>
      </c>
    </row>
    <row r="3">
      <c r="A3" t="s">
        <v>88</v>
      </c>
      <c r="B3" t="s">
        <v>276</v>
      </c>
      <c r="C3" t="s">
        <v>217</v>
      </c>
      <c r="D3" t="s">
        <v>277</v>
      </c>
      <c r="E3" t="s">
        <v>218</v>
      </c>
      <c r="F3" t="n">
        <v>74.8798076923077</v>
      </c>
      <c r="G3" t="n">
        <v>74.8798076923077</v>
      </c>
      <c r="H3" t="n">
        <v>74.8798076923077</v>
      </c>
      <c r="I3" t="n">
        <v>74.8798076923077</v>
      </c>
      <c r="J3" t="n">
        <v>74.8798076923077</v>
      </c>
      <c r="K3" t="n">
        <v>74.8798076923077</v>
      </c>
      <c r="L3" t="n">
        <v>74.8798076923077</v>
      </c>
      <c r="M3" t="n">
        <v>74.8798076923077</v>
      </c>
      <c r="N3" t="n">
        <v>74.8798076923077</v>
      </c>
      <c r="O3" t="n">
        <v>74.8798076923077</v>
      </c>
      <c r="P3" t="n">
        <v>99.8397435897436</v>
      </c>
      <c r="Q3" t="n">
        <v>99.8397435897436</v>
      </c>
      <c r="R3" t="n">
        <v>99.8397435897436</v>
      </c>
      <c r="S3" t="n">
        <v>99.8397435897436</v>
      </c>
      <c r="T3" t="n">
        <v>99.8397435897436</v>
      </c>
      <c r="U3" t="n">
        <v>99.8397435897436</v>
      </c>
      <c r="V3" t="n">
        <v>99.8397435897436</v>
      </c>
      <c r="W3" t="n">
        <v>99.8397435897436</v>
      </c>
      <c r="X3" t="n">
        <v>99.8397435897436</v>
      </c>
      <c r="Y3" t="n">
        <v>99.8397435897436</v>
      </c>
      <c r="Z3" t="n">
        <v>99.8397435897436</v>
      </c>
      <c r="AA3" t="n">
        <v>99.8397435897436</v>
      </c>
      <c r="AB3" t="n">
        <v>99.8397435897436</v>
      </c>
      <c r="AC3" t="n">
        <v>101.136363636364</v>
      </c>
      <c r="AD3" t="n">
        <v>101.136363636364</v>
      </c>
      <c r="AE3" t="n">
        <v>100</v>
      </c>
      <c r="AF3" t="n">
        <v>100</v>
      </c>
    </row>
    <row r="4">
      <c r="A4" t="s">
        <v>88</v>
      </c>
      <c r="B4" t="s">
        <v>278</v>
      </c>
      <c r="C4" t="s">
        <v>217</v>
      </c>
      <c r="D4" t="s">
        <v>279</v>
      </c>
      <c r="E4" t="s">
        <v>218</v>
      </c>
      <c r="F4" t="n">
        <v>53.1792604096054</v>
      </c>
      <c r="G4" t="n">
        <v>56.7151154900313</v>
      </c>
      <c r="H4" t="n">
        <v>60.0125059254982</v>
      </c>
      <c r="I4" t="n">
        <v>63.1645530956325</v>
      </c>
      <c r="J4" t="n">
        <v>64.9724830590138</v>
      </c>
      <c r="K4" t="n">
        <v>67.1468609781202</v>
      </c>
      <c r="L4" t="n">
        <v>68.7368595076568</v>
      </c>
      <c r="M4" t="n">
        <v>70.4465135387783</v>
      </c>
      <c r="N4" t="n">
        <v>72.9799728423771</v>
      </c>
      <c r="O4" t="n">
        <v>75.9187636950903</v>
      </c>
      <c r="P4" t="n">
        <v>78.8205797942815</v>
      </c>
      <c r="Q4" t="n">
        <v>81.1014564315695</v>
      </c>
      <c r="R4" t="n">
        <v>82.9556394317276</v>
      </c>
      <c r="S4" t="n">
        <v>89.1366478599739</v>
      </c>
      <c r="T4" t="n">
        <v>91.3433587039099</v>
      </c>
      <c r="U4" t="n">
        <v>97.4914693859039</v>
      </c>
      <c r="V4" t="n">
        <v>101.85451354052</v>
      </c>
      <c r="W4" t="n">
        <v>103.98247345074</v>
      </c>
      <c r="X4" t="n">
        <v>103.447308893608</v>
      </c>
      <c r="Y4" t="n">
        <v>102.076751229695</v>
      </c>
      <c r="Z4" t="n">
        <v>100.394653854704</v>
      </c>
      <c r="AA4" t="n">
        <v>99.9470343789189</v>
      </c>
      <c r="AB4" t="n">
        <v>100.792911284576</v>
      </c>
      <c r="AC4" t="n">
        <v>101.251988309657</v>
      </c>
      <c r="AD4" t="n">
        <v>101.406689590497</v>
      </c>
      <c r="AE4" t="n">
        <v>100</v>
      </c>
      <c r="AF4" t="n">
        <v>100.814249363868</v>
      </c>
    </row>
    <row r="5">
      <c r="A5" t="s">
        <v>88</v>
      </c>
      <c r="B5" t="s">
        <v>280</v>
      </c>
      <c r="C5" t="s">
        <v>217</v>
      </c>
      <c r="D5" t="s">
        <v>281</v>
      </c>
      <c r="E5" t="s">
        <v>218</v>
      </c>
      <c r="F5" t="n">
        <v>51.5540801535223</v>
      </c>
      <c r="G5" t="n">
        <v>55.3448213412813</v>
      </c>
      <c r="H5" t="n">
        <v>58.5073825607831</v>
      </c>
      <c r="I5" t="n">
        <v>61.2606711518788</v>
      </c>
      <c r="J5" t="n">
        <v>63.175067125375</v>
      </c>
      <c r="K5" t="n">
        <v>65.391736147318</v>
      </c>
      <c r="L5" t="n">
        <v>67.0684473305825</v>
      </c>
      <c r="M5" t="n">
        <v>68.9059390382697</v>
      </c>
      <c r="N5" t="n">
        <v>71.5226202675711</v>
      </c>
      <c r="O5" t="n">
        <v>74.383525078274</v>
      </c>
      <c r="P5" t="n">
        <v>77.1384704515434</v>
      </c>
      <c r="Q5" t="n">
        <v>79.2615476199345</v>
      </c>
      <c r="R5" t="n">
        <v>81.2501885996461</v>
      </c>
      <c r="S5" t="n">
        <v>87.3439527446196</v>
      </c>
      <c r="T5" t="n">
        <v>89.781458402609</v>
      </c>
      <c r="U5" t="n">
        <v>96.0661604907916</v>
      </c>
      <c r="V5" t="n">
        <v>100.586920984476</v>
      </c>
      <c r="W5" t="n">
        <v>103.199568282774</v>
      </c>
      <c r="X5" t="n">
        <v>103.199568282774</v>
      </c>
      <c r="Y5" t="n">
        <v>101.832686583664</v>
      </c>
      <c r="Z5" t="n">
        <v>100.388251312974</v>
      </c>
      <c r="AA5" t="n">
        <v>99.8760663572957</v>
      </c>
      <c r="AB5" t="n">
        <v>100.916442048517</v>
      </c>
      <c r="AC5" t="n">
        <v>100.916442048518</v>
      </c>
      <c r="AD5" t="n">
        <v>101.298701298701</v>
      </c>
      <c r="AE5" t="n">
        <v>100</v>
      </c>
      <c r="AF5" t="n">
        <v>100.815217391304</v>
      </c>
    </row>
    <row r="6">
      <c r="A6" t="s">
        <v>88</v>
      </c>
      <c r="B6" t="s">
        <v>282</v>
      </c>
      <c r="C6" t="s">
        <v>217</v>
      </c>
      <c r="D6" t="s">
        <v>283</v>
      </c>
      <c r="E6" t="s">
        <v>218</v>
      </c>
      <c r="F6" t="n">
        <v>66.6690948825351</v>
      </c>
      <c r="G6" t="n">
        <v>66.6690948825351</v>
      </c>
      <c r="H6" t="n">
        <v>66.6690948825351</v>
      </c>
      <c r="I6" t="n">
        <v>66.6690948825351</v>
      </c>
      <c r="J6" t="n">
        <v>76.1932512943258</v>
      </c>
      <c r="K6" t="n">
        <v>76.1932512943258</v>
      </c>
      <c r="L6" t="n">
        <v>76.1932512943258</v>
      </c>
      <c r="M6" t="n">
        <v>76.1932512943258</v>
      </c>
      <c r="N6" t="n">
        <v>76.1932512943258</v>
      </c>
      <c r="O6" t="n">
        <v>81.6356263867776</v>
      </c>
      <c r="P6" t="n">
        <v>81.6356263867776</v>
      </c>
      <c r="Q6" t="n">
        <v>86.1709389638208</v>
      </c>
      <c r="R6" t="n">
        <v>86.1709389638208</v>
      </c>
      <c r="S6" t="n">
        <v>91.5566226490596</v>
      </c>
      <c r="T6" t="n">
        <v>91.5566226490596</v>
      </c>
      <c r="U6" t="n">
        <v>97.2789115646258</v>
      </c>
      <c r="V6" t="n">
        <v>104.761904761905</v>
      </c>
      <c r="W6" t="n">
        <v>104.761904761905</v>
      </c>
      <c r="X6" t="n">
        <v>104.761904761905</v>
      </c>
      <c r="Y6" t="n">
        <v>104.761904761905</v>
      </c>
      <c r="Z6" t="n">
        <v>104.761904761905</v>
      </c>
      <c r="AA6" t="n">
        <v>104.761904761905</v>
      </c>
      <c r="AB6" t="n">
        <v>104.761904761905</v>
      </c>
      <c r="AC6" t="n">
        <v>104.761904761905</v>
      </c>
      <c r="AD6" t="n">
        <v>104.761904761905</v>
      </c>
      <c r="AE6" t="n">
        <v>100</v>
      </c>
      <c r="AF6" t="n">
        <v>100</v>
      </c>
    </row>
    <row r="7">
      <c r="A7" t="s">
        <v>88</v>
      </c>
      <c r="B7" t="s">
        <v>284</v>
      </c>
      <c r="C7" t="s">
        <v>217</v>
      </c>
      <c r="D7" t="s">
        <v>285</v>
      </c>
      <c r="E7" t="s">
        <v>218</v>
      </c>
      <c r="F7" t="n">
        <v>54.3814428573833</v>
      </c>
      <c r="G7" t="n">
        <v>58.175497010224</v>
      </c>
      <c r="H7" t="n">
        <v>62.142008170012</v>
      </c>
      <c r="I7" t="n">
        <v>65.471044321977</v>
      </c>
      <c r="J7" t="n">
        <v>66.4782911576997</v>
      </c>
      <c r="K7" t="n">
        <v>68.3249103565247</v>
      </c>
      <c r="L7" t="n">
        <v>69.7942632674177</v>
      </c>
      <c r="M7" t="n">
        <v>71.3626736779214</v>
      </c>
      <c r="N7" t="n">
        <v>74.275435868857</v>
      </c>
      <c r="O7" t="n">
        <v>76.9520281524194</v>
      </c>
      <c r="P7" t="n">
        <v>79.5170957575001</v>
      </c>
      <c r="Q7" t="n">
        <v>81.8053575059174</v>
      </c>
      <c r="R7" t="n">
        <v>84.0283291772738</v>
      </c>
      <c r="S7" t="n">
        <v>90.3941116907037</v>
      </c>
      <c r="T7" t="n">
        <v>92.9404246960756</v>
      </c>
      <c r="U7" t="n">
        <v>99.2772718344444</v>
      </c>
      <c r="V7" t="n">
        <v>103.709292898482</v>
      </c>
      <c r="W7" t="n">
        <v>105.742808445511</v>
      </c>
      <c r="X7" t="n">
        <v>104.798676227248</v>
      </c>
      <c r="Y7" t="n">
        <v>102.702702702703</v>
      </c>
      <c r="Z7" t="n">
        <v>102.702702702703</v>
      </c>
      <c r="AA7" t="n">
        <v>102.702702702703</v>
      </c>
      <c r="AB7" t="n">
        <v>102.702702702703</v>
      </c>
      <c r="AC7" t="n">
        <v>102.702702702703</v>
      </c>
      <c r="AD7" t="n">
        <v>102.702702702703</v>
      </c>
      <c r="AE7" t="n">
        <v>100</v>
      </c>
      <c r="AF7" t="n">
        <v>100</v>
      </c>
    </row>
    <row r="8">
      <c r="A8" t="s">
        <v>88</v>
      </c>
      <c r="B8" t="s">
        <v>286</v>
      </c>
      <c r="C8" t="s">
        <v>217</v>
      </c>
      <c r="D8" t="s">
        <v>287</v>
      </c>
      <c r="E8" t="s">
        <v>218</v>
      </c>
      <c r="F8" t="n">
        <v>73.8219399713335</v>
      </c>
      <c r="G8" t="n">
        <v>73.8219399713335</v>
      </c>
      <c r="H8" t="n">
        <v>73.8219399713335</v>
      </c>
      <c r="I8" t="n">
        <v>73.8219399713335</v>
      </c>
      <c r="J8" t="n">
        <v>73.8219399713335</v>
      </c>
      <c r="K8" t="n">
        <v>73.8219399713335</v>
      </c>
      <c r="L8" t="n">
        <v>88.5863279656002</v>
      </c>
      <c r="M8" t="n">
        <v>88.5863279656002</v>
      </c>
      <c r="N8" t="n">
        <v>106.30359355872</v>
      </c>
      <c r="O8" t="n">
        <v>106.30359355872</v>
      </c>
      <c r="P8" t="n">
        <v>124.02085915184</v>
      </c>
      <c r="Q8" t="n">
        <v>124.02085915184</v>
      </c>
      <c r="R8" t="n">
        <v>124.02085915184</v>
      </c>
      <c r="S8" t="n">
        <v>124.02085915184</v>
      </c>
      <c r="T8" t="n">
        <v>124.02085915184</v>
      </c>
      <c r="U8" t="n">
        <v>124.02085915184</v>
      </c>
      <c r="V8" t="n">
        <v>124.02085915184</v>
      </c>
      <c r="W8" t="n">
        <v>124.02085915184</v>
      </c>
      <c r="X8" t="n">
        <v>103.350715959867</v>
      </c>
      <c r="Y8" t="n">
        <v>103.350715959867</v>
      </c>
      <c r="Z8" t="n">
        <v>100.121006086121</v>
      </c>
      <c r="AA8" t="n">
        <v>100.121006086121</v>
      </c>
      <c r="AB8" t="n">
        <v>100.905243731704</v>
      </c>
      <c r="AC8" t="n">
        <v>101.374570446735</v>
      </c>
      <c r="AD8" t="n">
        <v>101.374570446735</v>
      </c>
      <c r="AE8" t="n">
        <v>100</v>
      </c>
      <c r="AF8" t="n">
        <v>100.810810810811</v>
      </c>
    </row>
    <row r="9">
      <c r="A9" t="s">
        <v>88</v>
      </c>
      <c r="B9" t="s">
        <v>288</v>
      </c>
      <c r="C9" t="s">
        <v>217</v>
      </c>
      <c r="D9" t="s">
        <v>289</v>
      </c>
      <c r="E9" t="s">
        <v>218</v>
      </c>
      <c r="F9" t="n">
        <v>54.3374002367107</v>
      </c>
      <c r="G9" t="n">
        <v>57.7334877515051</v>
      </c>
      <c r="H9" t="n">
        <v>61.2863177669823</v>
      </c>
      <c r="I9" t="n">
        <v>64.3506336553314</v>
      </c>
      <c r="J9" t="n">
        <v>65.764933296108</v>
      </c>
      <c r="K9" t="n">
        <v>68.2466288921875</v>
      </c>
      <c r="L9" t="n">
        <v>69.6586281106466</v>
      </c>
      <c r="M9" t="n">
        <v>71.1952154954403</v>
      </c>
      <c r="N9" t="n">
        <v>73.6004592621781</v>
      </c>
      <c r="O9" t="n">
        <v>76.7612151814128</v>
      </c>
      <c r="P9" t="n">
        <v>79.8142180579462</v>
      </c>
      <c r="Q9" t="n">
        <v>82.1616950596505</v>
      </c>
      <c r="R9" t="n">
        <v>84.0432605953677</v>
      </c>
      <c r="S9" t="n">
        <v>90.3018012780014</v>
      </c>
      <c r="T9" t="n">
        <v>92.5369943789421</v>
      </c>
      <c r="U9" t="n">
        <v>98.9358290966349</v>
      </c>
      <c r="V9" t="n">
        <v>103.264271619613</v>
      </c>
      <c r="W9" t="n">
        <v>105.400773791053</v>
      </c>
      <c r="X9" t="n">
        <v>104.737875842682</v>
      </c>
      <c r="Y9" t="n">
        <v>103.262694492785</v>
      </c>
      <c r="Z9" t="n">
        <v>100.353886197213</v>
      </c>
      <c r="AA9" t="n">
        <v>99.3298669503029</v>
      </c>
      <c r="AB9" t="n">
        <v>100.303689175306</v>
      </c>
      <c r="AC9" t="n">
        <v>101.112589894462</v>
      </c>
      <c r="AD9" t="n">
        <v>101.506024096386</v>
      </c>
      <c r="AE9" t="n">
        <v>100</v>
      </c>
      <c r="AF9" t="n">
        <v>100.821917808219</v>
      </c>
    </row>
    <row r="10">
      <c r="A10" t="s">
        <v>88</v>
      </c>
      <c r="B10" t="s">
        <v>290</v>
      </c>
      <c r="C10" t="s">
        <v>217</v>
      </c>
      <c r="D10" t="s">
        <v>291</v>
      </c>
      <c r="E10" t="s">
        <v>218</v>
      </c>
      <c r="F10" t="n">
        <v>53.2920088761436</v>
      </c>
      <c r="G10" t="n">
        <v>56.6559562802855</v>
      </c>
      <c r="H10" t="n">
        <v>59.9456569675279</v>
      </c>
      <c r="I10" t="n">
        <v>63.1006915447662</v>
      </c>
      <c r="J10" t="n">
        <v>64.8647968997812</v>
      </c>
      <c r="K10" t="n">
        <v>67.1906262706896</v>
      </c>
      <c r="L10" t="n">
        <v>68.7605007162665</v>
      </c>
      <c r="M10" t="n">
        <v>70.4321498422697</v>
      </c>
      <c r="N10" t="n">
        <v>72.7935776066607</v>
      </c>
      <c r="O10" t="n">
        <v>75.7723429307184</v>
      </c>
      <c r="P10" t="n">
        <v>78.7314995185453</v>
      </c>
      <c r="Q10" t="n">
        <v>80.9855710794034</v>
      </c>
      <c r="R10" t="n">
        <v>82.8275476771154</v>
      </c>
      <c r="S10" t="n">
        <v>88.9564359830331</v>
      </c>
      <c r="T10" t="n">
        <v>91.1431723641302</v>
      </c>
      <c r="U10" t="n">
        <v>97.405652494858</v>
      </c>
      <c r="V10" t="n">
        <v>101.772531062498</v>
      </c>
      <c r="W10" t="n">
        <v>103.866616063784</v>
      </c>
      <c r="X10" t="n">
        <v>103.476628769427</v>
      </c>
      <c r="Y10" t="n">
        <v>102.027376265653</v>
      </c>
      <c r="Z10" t="n">
        <v>100.285445451362</v>
      </c>
      <c r="AA10" t="n">
        <v>99.7566996932701</v>
      </c>
      <c r="AB10" t="n">
        <v>100.636905867034</v>
      </c>
      <c r="AC10" t="n">
        <v>101.222855828414</v>
      </c>
      <c r="AD10" t="n">
        <v>101.444350042481</v>
      </c>
      <c r="AE10" t="n">
        <v>100</v>
      </c>
      <c r="AF10" t="n">
        <v>100.887096774194</v>
      </c>
    </row>
    <row r="11">
      <c r="A11" t="s">
        <v>88</v>
      </c>
      <c r="B11" t="s">
        <v>292</v>
      </c>
      <c r="C11" t="s">
        <v>217</v>
      </c>
      <c r="D11" t="s">
        <v>293</v>
      </c>
      <c r="E11" t="s">
        <v>218</v>
      </c>
      <c r="F11" t="n">
        <v>53.0838549237735</v>
      </c>
      <c r="G11" t="n">
        <v>56.4435925771769</v>
      </c>
      <c r="H11" t="n">
        <v>59.6689407244442</v>
      </c>
      <c r="I11" t="n">
        <v>62.8487902301355</v>
      </c>
      <c r="J11" t="n">
        <v>64.6972840604337</v>
      </c>
      <c r="K11" t="n">
        <v>66.9845617797419</v>
      </c>
      <c r="L11" t="n">
        <v>68.6018952633574</v>
      </c>
      <c r="M11" t="n">
        <v>70.3133770578694</v>
      </c>
      <c r="N11" t="n">
        <v>72.6658692270918</v>
      </c>
      <c r="O11" t="n">
        <v>75.6006781619502</v>
      </c>
      <c r="P11" t="n">
        <v>78.5388211099482</v>
      </c>
      <c r="Q11" t="n">
        <v>80.7711907022206</v>
      </c>
      <c r="R11" t="n">
        <v>82.6051628657526</v>
      </c>
      <c r="S11" t="n">
        <v>88.7079189613755</v>
      </c>
      <c r="T11" t="n">
        <v>90.8848004082804</v>
      </c>
      <c r="U11" t="n">
        <v>97.119641597239</v>
      </c>
      <c r="V11" t="n">
        <v>101.499843162278</v>
      </c>
      <c r="W11" t="n">
        <v>103.585456377941</v>
      </c>
      <c r="X11" t="n">
        <v>103.26175182676</v>
      </c>
      <c r="Y11" t="n">
        <v>101.817531521491</v>
      </c>
      <c r="Z11" t="n">
        <v>100.315798018224</v>
      </c>
      <c r="AA11" t="n">
        <v>99.8898285998873</v>
      </c>
      <c r="AB11" t="n">
        <v>100.729238924256</v>
      </c>
      <c r="AC11" t="n">
        <v>101.265984424741</v>
      </c>
      <c r="AD11" t="n">
        <v>101.420118343195</v>
      </c>
      <c r="AE11" t="n">
        <v>100</v>
      </c>
      <c r="AF11" t="n">
        <v>100.914285714286</v>
      </c>
    </row>
    <row r="12">
      <c r="A12" t="s">
        <v>88</v>
      </c>
      <c r="B12" t="s">
        <v>294</v>
      </c>
      <c r="C12" t="s">
        <v>217</v>
      </c>
      <c r="D12" t="s">
        <v>295</v>
      </c>
      <c r="E12" t="s">
        <v>218</v>
      </c>
      <c r="F12" t="n">
        <v>52.4061745715352</v>
      </c>
      <c r="G12" t="n">
        <v>54.4217966704404</v>
      </c>
      <c r="H12" t="n">
        <v>58.6080887220127</v>
      </c>
      <c r="I12" t="n">
        <v>62.3892557363361</v>
      </c>
      <c r="J12" t="n">
        <v>64.1718059002314</v>
      </c>
      <c r="K12" t="n">
        <v>65.6641734793066</v>
      </c>
      <c r="L12" t="n">
        <v>66.7585763706283</v>
      </c>
      <c r="M12" t="n">
        <v>67.9506938058181</v>
      </c>
      <c r="N12" t="n">
        <v>70.2157169326787</v>
      </c>
      <c r="O12" t="n">
        <v>73.4564423295716</v>
      </c>
      <c r="P12" t="n">
        <v>76.6045755722675</v>
      </c>
      <c r="Q12" t="n">
        <v>79.4417820749441</v>
      </c>
      <c r="R12" t="n">
        <v>81.7783050771484</v>
      </c>
      <c r="S12" t="n">
        <v>88.4998096040373</v>
      </c>
      <c r="T12" t="n">
        <v>90.7403111130002</v>
      </c>
      <c r="U12" t="n">
        <v>96.9554009152605</v>
      </c>
      <c r="V12" t="n">
        <v>101.646791282128</v>
      </c>
      <c r="W12" t="n">
        <v>103.430068322165</v>
      </c>
      <c r="X12" t="n">
        <v>103.430068322165</v>
      </c>
      <c r="Y12" t="n">
        <v>103.430068322165</v>
      </c>
      <c r="Z12" t="n">
        <v>100.093614505321</v>
      </c>
      <c r="AA12" t="n">
        <v>100.093614505321</v>
      </c>
      <c r="AB12" t="n">
        <v>101.271186440678</v>
      </c>
      <c r="AC12" t="n">
        <v>101.271186440678</v>
      </c>
      <c r="AD12" t="n">
        <v>101.271186440678</v>
      </c>
      <c r="AE12" t="n">
        <v>100</v>
      </c>
      <c r="AF12" t="n">
        <v>100.903614457831</v>
      </c>
    </row>
    <row r="13">
      <c r="A13" t="s">
        <v>88</v>
      </c>
      <c r="B13" t="s">
        <v>296</v>
      </c>
      <c r="C13" t="s">
        <v>217</v>
      </c>
      <c r="D13" t="s">
        <v>297</v>
      </c>
      <c r="E13" t="s">
        <v>218</v>
      </c>
      <c r="F13" t="n">
        <v>52.7322559294216</v>
      </c>
      <c r="G13" t="n">
        <v>56.5376764604108</v>
      </c>
      <c r="H13" t="n">
        <v>59.8963503095441</v>
      </c>
      <c r="I13" t="n">
        <v>63.2505459268786</v>
      </c>
      <c r="J13" t="n">
        <v>65.0197919667912</v>
      </c>
      <c r="K13" t="n">
        <v>67.4733690221419</v>
      </c>
      <c r="L13" t="n">
        <v>69.1031605444158</v>
      </c>
      <c r="M13" t="n">
        <v>70.8394208596021</v>
      </c>
      <c r="N13" t="n">
        <v>73.4271622608661</v>
      </c>
      <c r="O13" t="n">
        <v>76.1135218557759</v>
      </c>
      <c r="P13" t="n">
        <v>78.9857302276919</v>
      </c>
      <c r="Q13" t="n">
        <v>81.3164566934271</v>
      </c>
      <c r="R13" t="n">
        <v>83.1369743805934</v>
      </c>
      <c r="S13" t="n">
        <v>89.3793410576345</v>
      </c>
      <c r="T13" t="n">
        <v>91.6711190334713</v>
      </c>
      <c r="U13" t="n">
        <v>97.7611584098208</v>
      </c>
      <c r="V13" t="n">
        <v>102.132592322455</v>
      </c>
      <c r="W13" t="n">
        <v>104.372342154088</v>
      </c>
      <c r="X13" t="n">
        <v>103.956516089729</v>
      </c>
      <c r="Y13" t="n">
        <v>102.570429208533</v>
      </c>
      <c r="Z13" t="n">
        <v>100.567100513053</v>
      </c>
      <c r="AA13" t="n">
        <v>99.9482260483577</v>
      </c>
      <c r="AB13" t="n">
        <v>100.663845805267</v>
      </c>
      <c r="AC13" t="n">
        <v>101.200719649562</v>
      </c>
      <c r="AD13" t="n">
        <v>101.470588235294</v>
      </c>
      <c r="AE13" t="n">
        <v>100</v>
      </c>
      <c r="AF13" t="n">
        <v>100.751879699248</v>
      </c>
    </row>
    <row r="14">
      <c r="A14" t="s">
        <v>88</v>
      </c>
      <c r="B14" t="s">
        <v>298</v>
      </c>
      <c r="C14" t="s">
        <v>217</v>
      </c>
      <c r="D14" t="s">
        <v>299</v>
      </c>
      <c r="E14" t="s">
        <v>218</v>
      </c>
      <c r="F14" t="n">
        <v>53.6231826205284</v>
      </c>
      <c r="G14" t="n">
        <v>57.198061461897</v>
      </c>
      <c r="H14" t="n">
        <v>60.3066517587392</v>
      </c>
      <c r="I14" t="n">
        <v>63.5961054910341</v>
      </c>
      <c r="J14" t="n">
        <v>65.1347209464623</v>
      </c>
      <c r="K14" t="n">
        <v>67.2914997857491</v>
      </c>
      <c r="L14" t="n">
        <v>68.8936783520765</v>
      </c>
      <c r="M14" t="n">
        <v>70.6601829252067</v>
      </c>
      <c r="N14" t="n">
        <v>73.0043596099292</v>
      </c>
      <c r="O14" t="n">
        <v>75.8610519424916</v>
      </c>
      <c r="P14" t="n">
        <v>78.9199653272695</v>
      </c>
      <c r="Q14" t="n">
        <v>81.1198249879599</v>
      </c>
      <c r="R14" t="n">
        <v>82.912528302611</v>
      </c>
      <c r="S14" t="n">
        <v>88.971520755494</v>
      </c>
      <c r="T14" t="n">
        <v>91.203781132872</v>
      </c>
      <c r="U14" t="n">
        <v>97.1671052838675</v>
      </c>
      <c r="V14" t="n">
        <v>101.58379188768</v>
      </c>
      <c r="W14" t="n">
        <v>103.615467725433</v>
      </c>
      <c r="X14" t="n">
        <v>103.142337735819</v>
      </c>
      <c r="Y14" t="n">
        <v>101.563628484761</v>
      </c>
      <c r="Z14" t="n">
        <v>100.471546458043</v>
      </c>
      <c r="AA14" t="n">
        <v>99.6986884083658</v>
      </c>
      <c r="AB14" t="n">
        <v>100.806451612903</v>
      </c>
      <c r="AC14" t="n">
        <v>100.806451612903</v>
      </c>
      <c r="AD14" t="n">
        <v>100.806451612903</v>
      </c>
      <c r="AE14" t="n">
        <v>100</v>
      </c>
      <c r="AF14" t="n">
        <v>100.636942675159</v>
      </c>
    </row>
    <row r="15">
      <c r="A15" t="s">
        <v>88</v>
      </c>
      <c r="B15" t="s">
        <v>300</v>
      </c>
      <c r="C15" t="s">
        <v>217</v>
      </c>
      <c r="D15" t="s">
        <v>301</v>
      </c>
      <c r="E15" t="s">
        <v>218</v>
      </c>
      <c r="F15" t="n">
        <v>52.6331361467118</v>
      </c>
      <c r="G15" t="n">
        <v>56.2491531338905</v>
      </c>
      <c r="H15" t="n">
        <v>59.6073115299436</v>
      </c>
      <c r="I15" t="n">
        <v>62.8586194315769</v>
      </c>
      <c r="J15" t="n">
        <v>64.5215458715657</v>
      </c>
      <c r="K15" t="n">
        <v>66.5745041492973</v>
      </c>
      <c r="L15" t="n">
        <v>68.1489012068821</v>
      </c>
      <c r="M15" t="n">
        <v>70.1100206660729</v>
      </c>
      <c r="N15" t="n">
        <v>72.416271345878</v>
      </c>
      <c r="O15" t="n">
        <v>75.4246624403654</v>
      </c>
      <c r="P15" t="n">
        <v>78.3256109957641</v>
      </c>
      <c r="Q15" t="n">
        <v>80.5581699790163</v>
      </c>
      <c r="R15" t="n">
        <v>82.3319278501139</v>
      </c>
      <c r="S15" t="n">
        <v>88.4383879719893</v>
      </c>
      <c r="T15" t="n">
        <v>90.7546314664938</v>
      </c>
      <c r="U15" t="n">
        <v>96.7894662954678</v>
      </c>
      <c r="V15" t="n">
        <v>101.175695885897</v>
      </c>
      <c r="W15" t="n">
        <v>103.192487166014</v>
      </c>
      <c r="X15" t="n">
        <v>102.567078152887</v>
      </c>
      <c r="Y15" t="n">
        <v>101.176338110136</v>
      </c>
      <c r="Z15" t="n">
        <v>99.8273202686675</v>
      </c>
      <c r="AA15" t="n">
        <v>99.3473812289143</v>
      </c>
      <c r="AB15" t="n">
        <v>100.396825396825</v>
      </c>
      <c r="AC15" t="n">
        <v>101.020408163265</v>
      </c>
      <c r="AD15" t="n">
        <v>101.020408163265</v>
      </c>
      <c r="AE15" t="n">
        <v>100</v>
      </c>
      <c r="AF15" t="n">
        <v>100.675675675676</v>
      </c>
    </row>
    <row r="16">
      <c r="A16" t="s">
        <v>88</v>
      </c>
      <c r="B16" t="s">
        <v>302</v>
      </c>
      <c r="C16" t="s">
        <v>217</v>
      </c>
      <c r="D16" t="s">
        <v>303</v>
      </c>
      <c r="E16" t="s">
        <v>218</v>
      </c>
      <c r="F16" t="n">
        <v>50.9194235989198</v>
      </c>
      <c r="G16" t="n">
        <v>54.6452350817676</v>
      </c>
      <c r="H16" t="n">
        <v>58.5484661590367</v>
      </c>
      <c r="I16" t="n">
        <v>61.7420188586205</v>
      </c>
      <c r="J16" t="n">
        <v>63.6417732850396</v>
      </c>
      <c r="K16" t="n">
        <v>65.4864623657653</v>
      </c>
      <c r="L16" t="n">
        <v>67.0094033510157</v>
      </c>
      <c r="M16" t="n">
        <v>69.4314299781609</v>
      </c>
      <c r="N16" t="n">
        <v>71.6711535258435</v>
      </c>
      <c r="O16" t="n">
        <v>75.020272849481</v>
      </c>
      <c r="P16" t="n">
        <v>77.607178809808</v>
      </c>
      <c r="Q16" t="n">
        <v>79.9238110130858</v>
      </c>
      <c r="R16" t="n">
        <v>81.6707795598199</v>
      </c>
      <c r="S16" t="n">
        <v>87.9051902132413</v>
      </c>
      <c r="T16" t="n">
        <v>90.3989544746098</v>
      </c>
      <c r="U16" t="n">
        <v>96.6095696675219</v>
      </c>
      <c r="V16" t="n">
        <v>100.961352084978</v>
      </c>
      <c r="W16" t="n">
        <v>102.96058677973</v>
      </c>
      <c r="X16" t="n">
        <v>102.033013925858</v>
      </c>
      <c r="Y16" t="n">
        <v>101.002377421557</v>
      </c>
      <c r="Z16" t="n">
        <v>99.2304058878453</v>
      </c>
      <c r="AA16" t="n">
        <v>99.2304058878453</v>
      </c>
      <c r="AB16" t="n">
        <v>100.184544405998</v>
      </c>
      <c r="AC16" t="n">
        <v>101.176470588235</v>
      </c>
      <c r="AD16" t="n">
        <v>101.176470588235</v>
      </c>
      <c r="AE16" t="n">
        <v>100</v>
      </c>
      <c r="AF16" t="n">
        <v>100.696864111498</v>
      </c>
    </row>
    <row r="17">
      <c r="A17" t="s">
        <v>88</v>
      </c>
      <c r="B17" t="s">
        <v>304</v>
      </c>
      <c r="C17" t="s">
        <v>217</v>
      </c>
      <c r="D17" t="s">
        <v>305</v>
      </c>
      <c r="E17" t="s">
        <v>218</v>
      </c>
      <c r="F17" t="n">
        <v>52.4916707997845</v>
      </c>
      <c r="G17" t="n">
        <v>56.3799427108797</v>
      </c>
      <c r="H17" t="n">
        <v>58.3935120934111</v>
      </c>
      <c r="I17" t="n">
        <v>61.7302842130346</v>
      </c>
      <c r="J17" t="n">
        <v>64.8167984236864</v>
      </c>
      <c r="K17" t="n">
        <v>66.2571717219905</v>
      </c>
      <c r="L17" t="n">
        <v>68.5419017813695</v>
      </c>
      <c r="M17" t="n">
        <v>69.7658643131796</v>
      </c>
      <c r="N17" t="n">
        <v>73.1969723941557</v>
      </c>
      <c r="O17" t="n">
        <v>76.3794494547712</v>
      </c>
      <c r="P17" t="n">
        <v>79.434627432962</v>
      </c>
      <c r="Q17" t="n">
        <v>81.2607108222255</v>
      </c>
      <c r="R17" t="n">
        <v>82.6617575605397</v>
      </c>
      <c r="S17" t="n">
        <v>88.6373062998559</v>
      </c>
      <c r="T17" t="n">
        <v>90.6291558796279</v>
      </c>
      <c r="U17" t="n">
        <v>96.0887435832199</v>
      </c>
      <c r="V17" t="n">
        <v>100.206832593929</v>
      </c>
      <c r="W17" t="n">
        <v>101.772564353209</v>
      </c>
      <c r="X17" t="n">
        <v>101.77256435321</v>
      </c>
      <c r="Y17" t="n">
        <v>101.772564353209</v>
      </c>
      <c r="Z17" t="n">
        <v>99.9551971326165</v>
      </c>
      <c r="AA17" t="n">
        <v>99.9551971326165</v>
      </c>
      <c r="AB17" t="n">
        <v>101.041666666667</v>
      </c>
      <c r="AC17" t="n">
        <v>101.041666666667</v>
      </c>
      <c r="AD17" t="n">
        <v>101.041666666667</v>
      </c>
      <c r="AE17" t="n">
        <v>100</v>
      </c>
      <c r="AF17" t="n">
        <v>100.990099009901</v>
      </c>
    </row>
    <row r="18">
      <c r="A18" t="s">
        <v>88</v>
      </c>
      <c r="B18" t="s">
        <v>306</v>
      </c>
      <c r="C18" t="s">
        <v>217</v>
      </c>
      <c r="D18" t="s">
        <v>307</v>
      </c>
      <c r="E18" t="s">
        <v>218</v>
      </c>
      <c r="F18" t="n">
        <v>52.0701467261028</v>
      </c>
      <c r="G18" t="n">
        <v>55.661191327903</v>
      </c>
      <c r="H18" t="n">
        <v>59.3719374164298</v>
      </c>
      <c r="I18" t="n">
        <v>62.5812313308314</v>
      </c>
      <c r="J18" t="n">
        <v>64.0366088036415</v>
      </c>
      <c r="K18" t="n">
        <v>65.3434783710627</v>
      </c>
      <c r="L18" t="n">
        <v>66.3487626536945</v>
      </c>
      <c r="M18" t="n">
        <v>68.5241319210287</v>
      </c>
      <c r="N18" t="n">
        <v>71.5923766339106</v>
      </c>
      <c r="O18" t="n">
        <v>74.456071699267</v>
      </c>
      <c r="P18" t="n">
        <v>77.213703984425</v>
      </c>
      <c r="Q18" t="n">
        <v>79.6779711328641</v>
      </c>
      <c r="R18" t="n">
        <v>81.6213362824462</v>
      </c>
      <c r="S18" t="n">
        <v>88.1139425776408</v>
      </c>
      <c r="T18" t="n">
        <v>89.9689729476964</v>
      </c>
      <c r="U18" t="n">
        <v>96.1032211032211</v>
      </c>
      <c r="V18" t="n">
        <v>99.9473499473499</v>
      </c>
      <c r="W18" t="n">
        <v>102.886977886978</v>
      </c>
      <c r="X18" t="n">
        <v>101.515151515152</v>
      </c>
      <c r="Y18" t="n">
        <v>100</v>
      </c>
      <c r="Z18" t="n">
        <v>100</v>
      </c>
      <c r="AA18" t="n">
        <v>100</v>
      </c>
      <c r="AB18" t="n">
        <v>100</v>
      </c>
      <c r="AC18" t="n">
        <v>100</v>
      </c>
      <c r="AD18" t="n">
        <v>100</v>
      </c>
      <c r="AE18" t="n">
        <v>100</v>
      </c>
      <c r="AF18" t="n">
        <v>100</v>
      </c>
    </row>
    <row r="19">
      <c r="A19" t="s">
        <v>88</v>
      </c>
      <c r="B19" t="s">
        <v>308</v>
      </c>
      <c r="C19" t="s">
        <v>217</v>
      </c>
      <c r="D19" t="s">
        <v>309</v>
      </c>
      <c r="E19" t="s">
        <v>218</v>
      </c>
      <c r="F19" t="n">
        <v>57.1743762619448</v>
      </c>
      <c r="G19" t="n">
        <v>62.3720468312125</v>
      </c>
      <c r="H19" t="n">
        <v>65.0838749543088</v>
      </c>
      <c r="I19" t="n">
        <v>67.4082990598198</v>
      </c>
      <c r="J19" t="n">
        <v>69.5148084054391</v>
      </c>
      <c r="K19" t="n">
        <v>73.272365616544</v>
      </c>
      <c r="L19" t="n">
        <v>74.7090786678487</v>
      </c>
      <c r="M19" t="n">
        <v>76.2655178067623</v>
      </c>
      <c r="N19" t="n">
        <v>79.1988069531762</v>
      </c>
      <c r="O19" t="n">
        <v>81.9777124603052</v>
      </c>
      <c r="P19" t="n">
        <v>84.6221547977344</v>
      </c>
      <c r="Q19" t="n">
        <v>87.0058774680931</v>
      </c>
      <c r="R19" t="n">
        <v>88.8973095869647</v>
      </c>
      <c r="S19" t="n">
        <v>95.6319542526439</v>
      </c>
      <c r="T19" t="n">
        <v>96.9788831857797</v>
      </c>
      <c r="U19" t="n">
        <v>102.856391257645</v>
      </c>
      <c r="V19" t="n">
        <v>106.529833802561</v>
      </c>
      <c r="W19" t="n">
        <v>108.6186540732</v>
      </c>
      <c r="X19" t="n">
        <v>106.679035250464</v>
      </c>
      <c r="Y19" t="n">
        <v>104.545454545455</v>
      </c>
      <c r="Z19" t="n">
        <v>104.545454545455</v>
      </c>
      <c r="AA19" t="n">
        <v>104.545454545455</v>
      </c>
      <c r="AB19" t="n">
        <v>104.545454545455</v>
      </c>
      <c r="AC19" t="n">
        <v>104.545454545455</v>
      </c>
      <c r="AD19" t="n">
        <v>104.545454545455</v>
      </c>
      <c r="AE19" t="n">
        <v>100</v>
      </c>
      <c r="AF19" t="n">
        <v>101.587301587302</v>
      </c>
    </row>
    <row r="20">
      <c r="A20" t="s">
        <v>88</v>
      </c>
      <c r="B20" t="s">
        <v>310</v>
      </c>
      <c r="C20" t="s">
        <v>217</v>
      </c>
      <c r="D20" t="s">
        <v>311</v>
      </c>
      <c r="E20" t="s">
        <v>218</v>
      </c>
      <c r="F20" t="n">
        <v>48.6968922845741</v>
      </c>
      <c r="G20" t="n">
        <v>51.5614153601373</v>
      </c>
      <c r="H20" t="n">
        <v>54.4259384357004</v>
      </c>
      <c r="I20" t="n">
        <v>59.6093611438624</v>
      </c>
      <c r="J20" t="n">
        <v>62.0930845248566</v>
      </c>
      <c r="K20" t="n">
        <v>64.2342253705414</v>
      </c>
      <c r="L20" t="n">
        <v>65.8400810048049</v>
      </c>
      <c r="M20" t="n">
        <v>67.6195426535834</v>
      </c>
      <c r="N20" t="n">
        <v>71.0005197862626</v>
      </c>
      <c r="O20" t="n">
        <v>74.2278161401836</v>
      </c>
      <c r="P20" t="n">
        <v>77.3206418126912</v>
      </c>
      <c r="Q20" t="n">
        <v>80.1323015149709</v>
      </c>
      <c r="R20" t="n">
        <v>81.2609254799705</v>
      </c>
      <c r="S20" t="n">
        <v>86.0409799199688</v>
      </c>
      <c r="T20" t="n">
        <v>89.2276828799676</v>
      </c>
      <c r="U20" t="n">
        <v>94.476370108201</v>
      </c>
      <c r="V20" t="n">
        <v>98.8706198806755</v>
      </c>
      <c r="W20" t="n">
        <v>101.40576398018</v>
      </c>
      <c r="X20" t="n">
        <v>101.40576398018</v>
      </c>
      <c r="Y20" t="n">
        <v>101.40576398018</v>
      </c>
      <c r="Z20" t="n">
        <v>99.7961486789073</v>
      </c>
      <c r="AA20" t="n">
        <v>99.7961486789073</v>
      </c>
      <c r="AB20" t="n">
        <v>100.489177489177</v>
      </c>
      <c r="AC20" t="n">
        <v>101.212121212121</v>
      </c>
      <c r="AD20" t="n">
        <v>101.212121212121</v>
      </c>
      <c r="AE20" t="n">
        <v>100</v>
      </c>
      <c r="AF20" t="n">
        <v>100.78125</v>
      </c>
    </row>
    <row r="21">
      <c r="A21" t="s">
        <v>88</v>
      </c>
      <c r="B21" t="s">
        <v>312</v>
      </c>
      <c r="C21" t="s">
        <v>217</v>
      </c>
      <c r="D21" t="s">
        <v>313</v>
      </c>
      <c r="E21" t="s">
        <v>218</v>
      </c>
      <c r="F21" t="n">
        <v>51.0382617927669</v>
      </c>
      <c r="G21" t="n">
        <v>54.8188737774163</v>
      </c>
      <c r="H21" t="n">
        <v>58.7345076186603</v>
      </c>
      <c r="I21" t="n">
        <v>62.1894786550521</v>
      </c>
      <c r="J21" t="n">
        <v>65.4626091105811</v>
      </c>
      <c r="K21" t="n">
        <v>66.8857093086373</v>
      </c>
      <c r="L21" t="n">
        <v>69.0090651597051</v>
      </c>
      <c r="M21" t="n">
        <v>70.1787103319035</v>
      </c>
      <c r="N21" t="n">
        <v>72.3717950297755</v>
      </c>
      <c r="O21" t="n">
        <v>75.4734433881944</v>
      </c>
      <c r="P21" t="n">
        <v>78.4526582587811</v>
      </c>
      <c r="Q21" t="n">
        <v>81.1579223366701</v>
      </c>
      <c r="R21" t="n">
        <v>82.6071709498249</v>
      </c>
      <c r="S21" t="n">
        <v>87.7063790331474</v>
      </c>
      <c r="T21" t="n">
        <v>90.7659038831409</v>
      </c>
      <c r="U21" t="n">
        <v>96.3687374561743</v>
      </c>
      <c r="V21" t="n">
        <v>100.62029940277</v>
      </c>
      <c r="W21" t="n">
        <v>102.243207457654</v>
      </c>
      <c r="X21" t="n">
        <v>102.243207457654</v>
      </c>
      <c r="Y21" t="n">
        <v>102.243207457654</v>
      </c>
      <c r="Z21" t="n">
        <v>101.01136158467</v>
      </c>
      <c r="AA21" t="n">
        <v>100.133001918716</v>
      </c>
      <c r="AB21" t="n">
        <v>100.732600732601</v>
      </c>
      <c r="AC21" t="n">
        <v>101.382488479263</v>
      </c>
      <c r="AD21" t="n">
        <v>101.382488479263</v>
      </c>
      <c r="AE21" t="n">
        <v>100</v>
      </c>
      <c r="AF21" t="n">
        <v>100.970873786408</v>
      </c>
    </row>
    <row r="22">
      <c r="A22" t="s">
        <v>88</v>
      </c>
      <c r="B22" t="s">
        <v>314</v>
      </c>
      <c r="C22" t="s">
        <v>217</v>
      </c>
      <c r="D22" t="s">
        <v>315</v>
      </c>
      <c r="E22" t="s">
        <v>218</v>
      </c>
      <c r="F22" t="n">
        <v>56.3534186888325</v>
      </c>
      <c r="G22" t="n">
        <v>61.9887605577157</v>
      </c>
      <c r="H22" t="n">
        <v>68.1876366134873</v>
      </c>
      <c r="I22" t="n">
        <v>68.1876366134873</v>
      </c>
      <c r="J22" t="n">
        <v>73.0581820858792</v>
      </c>
      <c r="K22" t="n">
        <v>73.0581820858792</v>
      </c>
      <c r="L22" t="n">
        <v>76.2346247852653</v>
      </c>
      <c r="M22" t="n">
        <v>76.2346247852653</v>
      </c>
      <c r="N22" t="n">
        <v>76.2346247852653</v>
      </c>
      <c r="O22" t="n">
        <v>79.1667257385447</v>
      </c>
      <c r="P22" t="n">
        <v>81.9941088006356</v>
      </c>
      <c r="Q22" t="n">
        <v>84.5564247006555</v>
      </c>
      <c r="R22" t="n">
        <v>86.6187765226227</v>
      </c>
      <c r="S22" t="n">
        <v>92.3933616241309</v>
      </c>
      <c r="T22" t="n">
        <v>95.280654174885</v>
      </c>
      <c r="U22" t="n">
        <v>101.632697786544</v>
      </c>
      <c r="V22" t="n">
        <v>105.698005698006</v>
      </c>
      <c r="W22" t="n">
        <v>105.698005698006</v>
      </c>
      <c r="X22" t="n">
        <v>105.698005698006</v>
      </c>
      <c r="Y22" t="n">
        <v>105.698005698006</v>
      </c>
      <c r="Z22" t="n">
        <v>105.698005698006</v>
      </c>
      <c r="AA22" t="n">
        <v>101.923076923077</v>
      </c>
      <c r="AB22" t="n">
        <v>101.923076923077</v>
      </c>
      <c r="AC22" t="n">
        <v>101.923076923077</v>
      </c>
      <c r="AD22" t="n">
        <v>101.923076923077</v>
      </c>
      <c r="AE22" t="n">
        <v>100</v>
      </c>
      <c r="AF22" t="n">
        <v>101.282051282051</v>
      </c>
    </row>
    <row r="23">
      <c r="A23" t="s">
        <v>88</v>
      </c>
      <c r="B23" t="s">
        <v>316</v>
      </c>
      <c r="C23" t="s">
        <v>217</v>
      </c>
      <c r="D23" t="s">
        <v>317</v>
      </c>
      <c r="E23" t="s">
        <v>218</v>
      </c>
      <c r="F23" t="n">
        <v>52.0553610970321</v>
      </c>
      <c r="G23" t="n">
        <v>57.2608972067353</v>
      </c>
      <c r="H23" t="n">
        <v>62.7143159883292</v>
      </c>
      <c r="I23" t="n">
        <v>64.8047931879401</v>
      </c>
      <c r="J23" t="n">
        <v>66.6049263320496</v>
      </c>
      <c r="K23" t="n">
        <v>68.5638947535805</v>
      </c>
      <c r="L23" t="n">
        <v>70.3682077734115</v>
      </c>
      <c r="M23" t="n">
        <v>72.2200027148171</v>
      </c>
      <c r="N23" t="n">
        <v>73.8248916640352</v>
      </c>
      <c r="O23" t="n">
        <v>77.9262745342594</v>
      </c>
      <c r="P23" t="n">
        <v>80.5678431625394</v>
      </c>
      <c r="Q23" t="n">
        <v>82.9374856084964</v>
      </c>
      <c r="R23" t="n">
        <v>84.5962353206664</v>
      </c>
      <c r="S23" t="n">
        <v>91.7452129533987</v>
      </c>
      <c r="T23" t="n">
        <v>94.1282054976429</v>
      </c>
      <c r="U23" t="n">
        <v>100.756952363674</v>
      </c>
      <c r="V23" t="n">
        <v>104.060458998549</v>
      </c>
      <c r="W23" t="n">
        <v>105.952467343977</v>
      </c>
      <c r="X23" t="n">
        <v>105.952467343977</v>
      </c>
      <c r="Y23" t="n">
        <v>103.990384615385</v>
      </c>
      <c r="Z23" t="n">
        <v>99.9907544378698</v>
      </c>
      <c r="AA23" t="n">
        <v>99.9907544378698</v>
      </c>
      <c r="AB23" t="n">
        <v>100.961538461538</v>
      </c>
      <c r="AC23" t="n">
        <v>100.961538461538</v>
      </c>
      <c r="AD23" t="n">
        <v>100.961538461538</v>
      </c>
      <c r="AE23" t="n">
        <v>100</v>
      </c>
      <c r="AF23" t="n">
        <v>100.847457627119</v>
      </c>
    </row>
    <row r="24">
      <c r="A24" t="s">
        <v>88</v>
      </c>
      <c r="B24" t="s">
        <v>318</v>
      </c>
      <c r="C24" t="s">
        <v>217</v>
      </c>
      <c r="D24" t="s">
        <v>319</v>
      </c>
      <c r="E24" t="s">
        <v>218</v>
      </c>
      <c r="F24" t="n">
        <v>53.5238870221351</v>
      </c>
      <c r="G24" t="n">
        <v>56.7818627539172</v>
      </c>
      <c r="H24" t="n">
        <v>60.150278341014</v>
      </c>
      <c r="I24" t="n">
        <v>63.358293185868</v>
      </c>
      <c r="J24" t="n">
        <v>65.1894577288122</v>
      </c>
      <c r="K24" t="n">
        <v>67.2266282828376</v>
      </c>
      <c r="L24" t="n">
        <v>68.8465470366409</v>
      </c>
      <c r="M24" t="n">
        <v>70.5821742728588</v>
      </c>
      <c r="N24" t="n">
        <v>72.997533848736</v>
      </c>
      <c r="O24" t="n">
        <v>75.9469291557557</v>
      </c>
      <c r="P24" t="n">
        <v>78.7860666942886</v>
      </c>
      <c r="Q24" t="n">
        <v>81.1220417175694</v>
      </c>
      <c r="R24" t="n">
        <v>82.9247537557376</v>
      </c>
      <c r="S24" t="n">
        <v>88.9981160026367</v>
      </c>
      <c r="T24" t="n">
        <v>91.3340245591364</v>
      </c>
      <c r="U24" t="n">
        <v>97.5087191772188</v>
      </c>
      <c r="V24" t="n">
        <v>102.044008441276</v>
      </c>
      <c r="W24" t="n">
        <v>104.286733901523</v>
      </c>
      <c r="X24" t="n">
        <v>103.939111455185</v>
      </c>
      <c r="Y24" t="n">
        <v>102.387781433466</v>
      </c>
      <c r="Z24" t="n">
        <v>100.647479199469</v>
      </c>
      <c r="AA24" t="n">
        <v>100.133971652533</v>
      </c>
      <c r="AB24" t="n">
        <v>100.9694159929</v>
      </c>
      <c r="AC24" t="n">
        <v>101.400295435259</v>
      </c>
      <c r="AD24" t="n">
        <v>101.521298174442</v>
      </c>
      <c r="AE24" t="n">
        <v>100</v>
      </c>
      <c r="AF24" t="n">
        <v>100.918836140888</v>
      </c>
    </row>
    <row r="25">
      <c r="A25" t="s">
        <v>88</v>
      </c>
      <c r="B25" t="s">
        <v>320</v>
      </c>
      <c r="C25" t="s">
        <v>217</v>
      </c>
      <c r="D25" t="s">
        <v>321</v>
      </c>
      <c r="E25" t="s">
        <v>218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88</v>
      </c>
      <c r="B26" t="s">
        <v>322</v>
      </c>
      <c r="C26" t="s">
        <v>217</v>
      </c>
      <c r="D26" t="s">
        <v>323</v>
      </c>
      <c r="E26" t="s">
        <v>218</v>
      </c>
      <c r="F26" t="n">
        <v>53.5067076866757</v>
      </c>
      <c r="G26" t="n">
        <v>56.7636377197777</v>
      </c>
      <c r="H26" t="n">
        <v>60.1309721607815</v>
      </c>
      <c r="I26" t="n">
        <v>63.3379573426898</v>
      </c>
      <c r="J26" t="n">
        <v>65.1685341445016</v>
      </c>
      <c r="K26" t="n">
        <v>67.2050508365173</v>
      </c>
      <c r="L26" t="n">
        <v>68.8244496518551</v>
      </c>
      <c r="M26" t="n">
        <v>70.5595198111455</v>
      </c>
      <c r="N26" t="n">
        <v>72.9741041392836</v>
      </c>
      <c r="O26" t="n">
        <v>75.9225527913759</v>
      </c>
      <c r="P26" t="n">
        <v>78.7607790639507</v>
      </c>
      <c r="Q26" t="n">
        <v>81.0960043192161</v>
      </c>
      <c r="R26" t="n">
        <v>82.898137748532</v>
      </c>
      <c r="S26" t="n">
        <v>88.9695506540583</v>
      </c>
      <c r="T26" t="n">
        <v>91.3047094638761</v>
      </c>
      <c r="U26" t="n">
        <v>97.4774222163635</v>
      </c>
      <c r="V26" t="n">
        <v>102.011255807822</v>
      </c>
      <c r="W26" t="n">
        <v>104.253261429972</v>
      </c>
      <c r="X26" t="n">
        <v>103.905750558539</v>
      </c>
      <c r="Y26" t="n">
        <v>102.35491846065</v>
      </c>
      <c r="Z26" t="n">
        <v>100.615174804095</v>
      </c>
      <c r="AA26" t="n">
        <v>100.101832075503</v>
      </c>
      <c r="AB26" t="n">
        <v>100.937008266836</v>
      </c>
      <c r="AC26" t="n">
        <v>101.368363003019</v>
      </c>
      <c r="AD26" t="n">
        <v>101.494130202775</v>
      </c>
      <c r="AE26" t="n">
        <v>100</v>
      </c>
      <c r="AF26" t="n">
        <v>100.866141732283</v>
      </c>
    </row>
    <row r="27">
      <c r="A27" t="s">
        <v>88</v>
      </c>
      <c r="B27" t="s">
        <v>324</v>
      </c>
      <c r="C27" t="s">
        <v>217</v>
      </c>
      <c r="D27" t="s">
        <v>325</v>
      </c>
      <c r="E27" t="s">
        <v>218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102.040816326531</v>
      </c>
      <c r="AD27" t="n">
        <v>102.040816326531</v>
      </c>
      <c r="AE27" t="n">
        <v>100</v>
      </c>
      <c r="AF27" t="n">
        <v>102.777777777778</v>
      </c>
    </row>
    <row r="28">
      <c r="A28" t="s">
        <v>88</v>
      </c>
      <c r="B28" t="s">
        <v>326</v>
      </c>
      <c r="C28" t="s">
        <v>217</v>
      </c>
      <c r="D28" t="s">
        <v>327</v>
      </c>
      <c r="E28" t="s">
        <v>218</v>
      </c>
      <c r="F28" t="n">
        <v>70.5661017025346</v>
      </c>
      <c r="G28" t="n">
        <v>70.5661017025346</v>
      </c>
      <c r="H28" t="n">
        <v>70.5661017025346</v>
      </c>
      <c r="I28" t="n">
        <v>70.5661017025346</v>
      </c>
      <c r="J28" t="n">
        <v>70.5661017025346</v>
      </c>
      <c r="K28" t="n">
        <v>70.5661017025346</v>
      </c>
      <c r="L28" t="n">
        <v>70.5661017025346</v>
      </c>
      <c r="M28" t="n">
        <v>70.5661017025346</v>
      </c>
      <c r="N28" t="n">
        <v>70.5661017025346</v>
      </c>
      <c r="O28" t="n">
        <v>70.5661017025346</v>
      </c>
      <c r="P28" t="n">
        <v>70.5661017025346</v>
      </c>
      <c r="Q28" t="n">
        <v>70.5661017025346</v>
      </c>
      <c r="R28" t="n">
        <v>70.5661017025346</v>
      </c>
      <c r="S28" t="n">
        <v>105.849152553802</v>
      </c>
      <c r="T28" t="n">
        <v>105.849152553802</v>
      </c>
      <c r="U28" t="n">
        <v>105.849152553802</v>
      </c>
      <c r="V28" t="n">
        <v>105.849152553802</v>
      </c>
      <c r="W28" t="n">
        <v>105.849152553802</v>
      </c>
      <c r="X28" t="n">
        <v>105.849152553802</v>
      </c>
      <c r="Y28" t="n">
        <v>105.849152553802</v>
      </c>
      <c r="Z28" t="n">
        <v>105.849152553802</v>
      </c>
      <c r="AA28" t="n">
        <v>99.9686440785907</v>
      </c>
      <c r="AB28" t="n">
        <v>100.861221257864</v>
      </c>
      <c r="AC28" t="n">
        <v>101.212654084546</v>
      </c>
      <c r="AD28" t="n">
        <v>101.506024096386</v>
      </c>
      <c r="AE28" t="n">
        <v>100</v>
      </c>
      <c r="AF28" t="n">
        <v>100.480769230769</v>
      </c>
    </row>
    <row r="29">
      <c r="A29" t="s">
        <v>88</v>
      </c>
      <c r="B29" t="s">
        <v>328</v>
      </c>
      <c r="C29" t="s">
        <v>217</v>
      </c>
      <c r="D29" t="s">
        <v>329</v>
      </c>
      <c r="E29" t="s">
        <v>218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e">
        <v>#NUM!</v>
      </c>
      <c r="R29" t="e">
        <v>#NUM!</v>
      </c>
      <c r="S29" t="e">
        <v>#NUM!</v>
      </c>
      <c r="T29" t="e">
        <v>#NUM!</v>
      </c>
      <c r="U29" t="n">
        <v>0</v>
      </c>
      <c r="V29" t="n">
        <v>0</v>
      </c>
      <c r="W29" t="n">
        <v>99.6255526444298</v>
      </c>
      <c r="X29" t="n">
        <v>99.6255526444298</v>
      </c>
      <c r="Y29" t="n">
        <v>99.6255526444298</v>
      </c>
      <c r="Z29" t="n">
        <v>99.6255526444298</v>
      </c>
      <c r="AA29" t="n">
        <v>99.6255526444298</v>
      </c>
      <c r="AB29" t="n">
        <v>100.46274216245</v>
      </c>
      <c r="AC29" t="n">
        <v>101.014735251255</v>
      </c>
      <c r="AD29" t="n">
        <v>101.546391752577</v>
      </c>
      <c r="AE29" t="n">
        <v>100</v>
      </c>
      <c r="AF29" t="n">
        <v>100.617283950617</v>
      </c>
    </row>
    <row r="30">
      <c r="A30" t="s">
        <v>88</v>
      </c>
      <c r="B30" t="s">
        <v>330</v>
      </c>
      <c r="C30" t="s">
        <v>217</v>
      </c>
      <c r="D30" t="s">
        <v>331</v>
      </c>
      <c r="E30" t="s">
        <v>218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88</v>
      </c>
      <c r="B31" t="s">
        <v>332</v>
      </c>
      <c r="C31" t="s">
        <v>217</v>
      </c>
      <c r="D31" t="s">
        <v>333</v>
      </c>
      <c r="E31" t="s">
        <v>218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e">
        <v>#NUM!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e">
        <v>#NUM!</v>
      </c>
      <c r="AA31" t="e">
        <v>#NUM!</v>
      </c>
      <c r="AB31" t="n">
        <v>0</v>
      </c>
      <c r="AC31" t="n">
        <v>0</v>
      </c>
      <c r="AD31" t="n">
        <v>100</v>
      </c>
      <c r="AE31" t="n">
        <v>100</v>
      </c>
      <c r="AF31" t="n">
        <v>100</v>
      </c>
    </row>
    <row r="32">
      <c r="A32" t="s">
        <v>88</v>
      </c>
      <c r="B32" t="s">
        <v>334</v>
      </c>
      <c r="C32" t="s">
        <v>217</v>
      </c>
      <c r="D32" t="s">
        <v>335</v>
      </c>
      <c r="E32" t="s">
        <v>218</v>
      </c>
      <c r="F32" t="n">
        <v>30.1980198019802</v>
      </c>
      <c r="G32" t="n">
        <v>30.1980198019802</v>
      </c>
      <c r="H32" t="n">
        <v>30.1980198019802</v>
      </c>
      <c r="I32" t="n">
        <v>30.1980198019802</v>
      </c>
      <c r="J32" t="n">
        <v>30.1980198019802</v>
      </c>
      <c r="K32" t="n">
        <v>30.1980198019802</v>
      </c>
      <c r="L32" t="n">
        <v>30.1980198019802</v>
      </c>
      <c r="M32" t="n">
        <v>30.1980198019802</v>
      </c>
      <c r="N32" t="n">
        <v>30.1980198019802</v>
      </c>
      <c r="O32" t="n">
        <v>30.1980198019802</v>
      </c>
      <c r="P32" t="n">
        <v>30.1980198019802</v>
      </c>
      <c r="Q32" t="n">
        <v>30.1980198019802</v>
      </c>
      <c r="R32" t="n">
        <v>30.1980198019802</v>
      </c>
      <c r="S32" t="n">
        <v>60.3960396039604</v>
      </c>
      <c r="T32" t="n">
        <v>60.3960396039604</v>
      </c>
      <c r="U32" t="n">
        <v>120.792079207921</v>
      </c>
      <c r="V32" t="n">
        <v>120.792079207921</v>
      </c>
      <c r="W32" t="n">
        <v>120.792079207921</v>
      </c>
      <c r="X32" t="n">
        <v>120.792079207921</v>
      </c>
      <c r="Y32" t="n">
        <v>120.792079207921</v>
      </c>
      <c r="Z32" t="n">
        <v>100.660066006601</v>
      </c>
      <c r="AA32" t="n">
        <v>100.660066006601</v>
      </c>
      <c r="AB32" t="n">
        <v>101.666666666667</v>
      </c>
      <c r="AC32" t="n">
        <v>101.666666666667</v>
      </c>
      <c r="AD32" t="n">
        <v>101.666666666667</v>
      </c>
      <c r="AE32" t="n">
        <v>100</v>
      </c>
      <c r="AF32" t="n">
        <v>100.632911392405</v>
      </c>
    </row>
    <row r="33">
      <c r="A33" t="s">
        <v>88</v>
      </c>
      <c r="B33" t="s">
        <v>336</v>
      </c>
      <c r="C33" t="s">
        <v>217</v>
      </c>
      <c r="D33" t="s">
        <v>337</v>
      </c>
      <c r="E33" t="s">
        <v>218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100</v>
      </c>
      <c r="AA33" t="n">
        <v>100</v>
      </c>
      <c r="AB33" t="n">
        <v>100</v>
      </c>
      <c r="AC33" t="n">
        <v>100</v>
      </c>
      <c r="AD33" t="n">
        <v>100</v>
      </c>
      <c r="AE33" t="n">
        <v>100</v>
      </c>
      <c r="AF33" t="n">
        <v>100</v>
      </c>
    </row>
    <row r="34">
      <c r="A34" t="s">
        <v>88</v>
      </c>
      <c r="B34" t="s">
        <v>338</v>
      </c>
      <c r="C34" t="s">
        <v>217</v>
      </c>
      <c r="D34" t="s">
        <v>339</v>
      </c>
      <c r="E34" t="s">
        <v>218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e">
        <v>#NUM!</v>
      </c>
      <c r="M34" t="e">
        <v>#NUM!</v>
      </c>
      <c r="N34" t="e">
        <v>#NUM!</v>
      </c>
      <c r="O34" t="e">
        <v>#NUM!</v>
      </c>
      <c r="P34" t="e">
        <v>#NUM!</v>
      </c>
      <c r="Q34" t="e">
        <v>#NUM!</v>
      </c>
      <c r="R34" t="e">
        <v>#NUM!</v>
      </c>
      <c r="S34" t="e">
        <v>#NUM!</v>
      </c>
      <c r="T34" t="e">
        <v>#NUM!</v>
      </c>
      <c r="U34" t="e">
        <v>#NUM!</v>
      </c>
      <c r="V34" t="e">
        <v>#NUM!</v>
      </c>
      <c r="W34" t="e">
        <v>#NUM!</v>
      </c>
      <c r="X34" t="e">
        <v>#NUM!</v>
      </c>
      <c r="Y34" t="e">
        <v>#NUM!</v>
      </c>
      <c r="Z34" t="e">
        <v>#NUM!</v>
      </c>
      <c r="AA34" t="e">
        <v>#NUM!</v>
      </c>
      <c r="AB34" t="n">
        <v>0</v>
      </c>
      <c r="AC34" t="n">
        <v>100</v>
      </c>
      <c r="AD34" t="n">
        <v>100</v>
      </c>
      <c r="AE34" t="n">
        <v>100</v>
      </c>
      <c r="AF34" t="n">
        <v>0</v>
      </c>
    </row>
    <row r="35">
      <c r="A35" t="s">
        <v>88</v>
      </c>
      <c r="B35" t="s">
        <v>340</v>
      </c>
      <c r="C35" t="s">
        <v>217</v>
      </c>
      <c r="D35" t="s">
        <v>341</v>
      </c>
      <c r="E35" t="s">
        <v>218</v>
      </c>
      <c r="F35" t="n">
        <v>53.2724521991406</v>
      </c>
      <c r="G35" t="n">
        <v>56.7341999954747</v>
      </c>
      <c r="H35" t="n">
        <v>59.9192778899575</v>
      </c>
      <c r="I35" t="n">
        <v>63.2573992208743</v>
      </c>
      <c r="J35" t="n">
        <v>65.0821318907072</v>
      </c>
      <c r="K35" t="n">
        <v>67.3215170740434</v>
      </c>
      <c r="L35" t="n">
        <v>68.9824097650148</v>
      </c>
      <c r="M35" t="n">
        <v>70.6503782222</v>
      </c>
      <c r="N35" t="n">
        <v>73.0865981608966</v>
      </c>
      <c r="O35" t="n">
        <v>76.0385638247768</v>
      </c>
      <c r="P35" t="n">
        <v>78.8802111842079</v>
      </c>
      <c r="Q35" t="n">
        <v>81.0786563119729</v>
      </c>
      <c r="R35" t="n">
        <v>82.7834220039824</v>
      </c>
      <c r="S35" t="n">
        <v>88.8075677366666</v>
      </c>
      <c r="T35" t="n">
        <v>91.0398891114681</v>
      </c>
      <c r="U35" t="n">
        <v>97.1305859182212</v>
      </c>
      <c r="V35" t="n">
        <v>101.704602429606</v>
      </c>
      <c r="W35" t="n">
        <v>103.875127481457</v>
      </c>
      <c r="X35" t="n">
        <v>103.442314450284</v>
      </c>
      <c r="Y35" t="n">
        <v>101.994443797014</v>
      </c>
      <c r="Z35" t="n">
        <v>100.179008713249</v>
      </c>
      <c r="AA35" t="n">
        <v>99.8283237352559</v>
      </c>
      <c r="AB35" t="n">
        <v>100.688912732974</v>
      </c>
      <c r="AC35" t="n">
        <v>101.197442595261</v>
      </c>
      <c r="AD35" t="n">
        <v>101.400107700592</v>
      </c>
      <c r="AE35" t="n">
        <v>100</v>
      </c>
      <c r="AF35" t="n">
        <v>100.871459694989</v>
      </c>
    </row>
    <row r="36">
      <c r="A36" t="s">
        <v>88</v>
      </c>
      <c r="B36" t="s">
        <v>342</v>
      </c>
      <c r="C36" t="s">
        <v>217</v>
      </c>
      <c r="D36" t="s">
        <v>343</v>
      </c>
      <c r="E36" t="s">
        <v>218</v>
      </c>
      <c r="F36" t="n">
        <v>0</v>
      </c>
      <c r="G36" t="n">
        <v>0</v>
      </c>
      <c r="H36" t="n">
        <v>0</v>
      </c>
      <c r="I36" t="n">
        <v>105.88134430727</v>
      </c>
      <c r="J36" t="n">
        <v>105.88134430727</v>
      </c>
      <c r="K36" t="n">
        <v>105.88134430727</v>
      </c>
      <c r="L36" t="n">
        <v>105.88134430727</v>
      </c>
      <c r="M36" t="n">
        <v>105.88134430727</v>
      </c>
      <c r="N36" t="n">
        <v>105.88134430727</v>
      </c>
      <c r="O36" t="n">
        <v>105.88134430727</v>
      </c>
      <c r="P36" t="n">
        <v>105.88134430727</v>
      </c>
      <c r="Q36" t="n">
        <v>105.88134430727</v>
      </c>
      <c r="R36" t="n">
        <v>105.88134430727</v>
      </c>
      <c r="S36" t="n">
        <v>105.88134430727</v>
      </c>
      <c r="T36" t="n">
        <v>105.88134430727</v>
      </c>
      <c r="U36" t="n">
        <v>105.88134430727</v>
      </c>
      <c r="V36" t="n">
        <v>105.88134430727</v>
      </c>
      <c r="W36" t="n">
        <v>105.88134430727</v>
      </c>
      <c r="X36" t="n">
        <v>105.88134430727</v>
      </c>
      <c r="Y36" t="n">
        <v>105.88134430727</v>
      </c>
      <c r="Z36" t="n">
        <v>101.646090534979</v>
      </c>
      <c r="AA36" t="n">
        <v>101.646090534979</v>
      </c>
      <c r="AB36" t="n">
        <v>101.646090534979</v>
      </c>
      <c r="AC36" t="n">
        <v>101.646090534979</v>
      </c>
      <c r="AD36" t="n">
        <v>101.646090534979</v>
      </c>
      <c r="AE36" t="n">
        <v>100</v>
      </c>
      <c r="AF36" t="n">
        <v>100.859598853868</v>
      </c>
    </row>
    <row r="37">
      <c r="A37" t="s">
        <v>88</v>
      </c>
      <c r="B37" t="s">
        <v>344</v>
      </c>
      <c r="C37" t="s">
        <v>217</v>
      </c>
      <c r="D37" t="s">
        <v>345</v>
      </c>
      <c r="E37" t="s">
        <v>218</v>
      </c>
      <c r="F37" t="n">
        <v>52.4639777443265</v>
      </c>
      <c r="G37" t="n">
        <v>56.0644468052116</v>
      </c>
      <c r="H37" t="n">
        <v>59.2082475606441</v>
      </c>
      <c r="I37" t="n">
        <v>62.4749094950244</v>
      </c>
      <c r="J37" t="n">
        <v>64.2701655149964</v>
      </c>
      <c r="K37" t="n">
        <v>66.5121480329614</v>
      </c>
      <c r="L37" t="n">
        <v>68.1666790785575</v>
      </c>
      <c r="M37" t="n">
        <v>69.8708460555214</v>
      </c>
      <c r="N37" t="n">
        <v>72.3117489744916</v>
      </c>
      <c r="O37" t="n">
        <v>75.2361211756659</v>
      </c>
      <c r="P37" t="n">
        <v>78.0510780904017</v>
      </c>
      <c r="Q37" t="n">
        <v>80.1171360398535</v>
      </c>
      <c r="R37" t="n">
        <v>81.7724487679496</v>
      </c>
      <c r="S37" t="n">
        <v>87.6638355667933</v>
      </c>
      <c r="T37" t="n">
        <v>89.779048757413</v>
      </c>
      <c r="U37" t="n">
        <v>95.7298214416219</v>
      </c>
      <c r="V37" t="n">
        <v>100.288384367413</v>
      </c>
      <c r="W37" t="n">
        <v>102.542055926232</v>
      </c>
      <c r="X37" t="n">
        <v>102.192083039111</v>
      </c>
      <c r="Y37" t="n">
        <v>100.631898565232</v>
      </c>
      <c r="Z37" t="n">
        <v>99.2145478812145</v>
      </c>
      <c r="AA37" t="n">
        <v>99.2145478812145</v>
      </c>
      <c r="AB37" t="n">
        <v>100.284246510662</v>
      </c>
      <c r="AC37" t="n">
        <v>100.882958430128</v>
      </c>
      <c r="AD37" t="n">
        <v>101.201201201201</v>
      </c>
      <c r="AE37" t="n">
        <v>100</v>
      </c>
      <c r="AF37" t="n">
        <v>101.020408163265</v>
      </c>
    </row>
    <row r="38">
      <c r="A38" t="s">
        <v>88</v>
      </c>
      <c r="B38" t="s">
        <v>346</v>
      </c>
      <c r="C38" t="s">
        <v>217</v>
      </c>
      <c r="D38" t="s">
        <v>347</v>
      </c>
      <c r="E38" t="s">
        <v>218</v>
      </c>
      <c r="F38" t="n">
        <v>53.5379218772032</v>
      </c>
      <c r="G38" t="n">
        <v>56.9031626809131</v>
      </c>
      <c r="H38" t="n">
        <v>60.0999695730992</v>
      </c>
      <c r="I38" t="n">
        <v>63.1892203455483</v>
      </c>
      <c r="J38" t="n">
        <v>65.0245918908547</v>
      </c>
      <c r="K38" t="n">
        <v>67.2514614761579</v>
      </c>
      <c r="L38" t="n">
        <v>68.9079014139943</v>
      </c>
      <c r="M38" t="n">
        <v>70.5485657333751</v>
      </c>
      <c r="N38" t="n">
        <v>72.9693498516772</v>
      </c>
      <c r="O38" t="n">
        <v>75.9209190591608</v>
      </c>
      <c r="P38" t="n">
        <v>78.7620345333082</v>
      </c>
      <c r="Q38" t="n">
        <v>81.0285679011732</v>
      </c>
      <c r="R38" t="n">
        <v>82.7574847127203</v>
      </c>
      <c r="S38" t="n">
        <v>88.8329349793287</v>
      </c>
      <c r="T38" t="n">
        <v>91.1317539991265</v>
      </c>
      <c r="U38" t="n">
        <v>97.2795310546231</v>
      </c>
      <c r="V38" t="n">
        <v>101.835949370999</v>
      </c>
      <c r="W38" t="n">
        <v>103.935659667308</v>
      </c>
      <c r="X38" t="n">
        <v>103.4476988238</v>
      </c>
      <c r="Y38" t="n">
        <v>102.086544891908</v>
      </c>
      <c r="Z38" t="n">
        <v>100.326432048944</v>
      </c>
      <c r="AA38" t="n">
        <v>99.9107147890723</v>
      </c>
      <c r="AB38" t="n">
        <v>100.706363257245</v>
      </c>
      <c r="AC38" t="n">
        <v>101.198413892052</v>
      </c>
      <c r="AD38" t="n">
        <v>101.405152224824</v>
      </c>
      <c r="AE38" t="n">
        <v>100</v>
      </c>
      <c r="AF38" t="n">
        <v>100.847457627119</v>
      </c>
    </row>
    <row r="39">
      <c r="A39" t="s">
        <v>88</v>
      </c>
      <c r="B39" t="s">
        <v>348</v>
      </c>
      <c r="C39" t="s">
        <v>217</v>
      </c>
      <c r="D39" t="s">
        <v>349</v>
      </c>
      <c r="E39" t="s">
        <v>218</v>
      </c>
      <c r="F39" t="n">
        <v>53.3400200428795</v>
      </c>
      <c r="G39" t="n">
        <v>56.9872009005123</v>
      </c>
      <c r="H39" t="n">
        <v>60.2042203061863</v>
      </c>
      <c r="I39" t="n">
        <v>63.2719512772022</v>
      </c>
      <c r="J39" t="n">
        <v>65.1238132658032</v>
      </c>
      <c r="K39" t="n">
        <v>67.3355654144532</v>
      </c>
      <c r="L39" t="n">
        <v>68.9630111042285</v>
      </c>
      <c r="M39" t="n">
        <v>70.59527172208</v>
      </c>
      <c r="N39" t="n">
        <v>73.1090499436378</v>
      </c>
      <c r="O39" t="n">
        <v>75.960099245061</v>
      </c>
      <c r="P39" t="n">
        <v>78.9536006931422</v>
      </c>
      <c r="Q39" t="n">
        <v>81.1266355746048</v>
      </c>
      <c r="R39" t="n">
        <v>82.8527342038517</v>
      </c>
      <c r="S39" t="n">
        <v>88.9107835864989</v>
      </c>
      <c r="T39" t="n">
        <v>91.1250368175803</v>
      </c>
      <c r="U39" t="n">
        <v>97.2821338998493</v>
      </c>
      <c r="V39" t="n">
        <v>101.754875688348</v>
      </c>
      <c r="W39" t="n">
        <v>103.946519164713</v>
      </c>
      <c r="X39" t="n">
        <v>103.654534560317</v>
      </c>
      <c r="Y39" t="n">
        <v>102.21488824698</v>
      </c>
      <c r="Z39" t="n">
        <v>100.484387881624</v>
      </c>
      <c r="AA39" t="n">
        <v>99.9910111817146</v>
      </c>
      <c r="AB39" t="n">
        <v>100.790939271168</v>
      </c>
      <c r="AC39" t="n">
        <v>101.249496774677</v>
      </c>
      <c r="AD39" t="n">
        <v>101.446480231437</v>
      </c>
      <c r="AE39" t="n">
        <v>100</v>
      </c>
      <c r="AF39" t="n">
        <v>100.882352941176</v>
      </c>
    </row>
    <row r="40">
      <c r="A40" t="s">
        <v>88</v>
      </c>
      <c r="B40" t="s">
        <v>350</v>
      </c>
      <c r="C40" t="s">
        <v>217</v>
      </c>
      <c r="D40" t="s">
        <v>351</v>
      </c>
      <c r="E40" t="s">
        <v>218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e">
        <v>#NUM!</v>
      </c>
      <c r="AB40" t="n">
        <v>0</v>
      </c>
      <c r="AC40" t="n">
        <v>0</v>
      </c>
      <c r="AD40" t="e">
        <v>#NUM!</v>
      </c>
      <c r="AE40" t="n">
        <v>0</v>
      </c>
      <c r="AF40" t="n">
        <v>0</v>
      </c>
    </row>
    <row r="41">
      <c r="A41" t="s">
        <v>88</v>
      </c>
      <c r="B41" t="s">
        <v>352</v>
      </c>
      <c r="C41" t="s">
        <v>217</v>
      </c>
      <c r="D41" t="s">
        <v>353</v>
      </c>
      <c r="E41" t="s">
        <v>218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88</v>
      </c>
      <c r="B42" t="s">
        <v>354</v>
      </c>
      <c r="C42" t="s">
        <v>217</v>
      </c>
      <c r="D42" t="s">
        <v>355</v>
      </c>
      <c r="E42" t="s">
        <v>218</v>
      </c>
      <c r="F42" t="n">
        <v>53.1285489581248</v>
      </c>
      <c r="G42" t="n">
        <v>56.5621521916936</v>
      </c>
      <c r="H42" t="n">
        <v>59.81526298565</v>
      </c>
      <c r="I42" t="n">
        <v>62.9862730211616</v>
      </c>
      <c r="J42" t="n">
        <v>64.7642441362388</v>
      </c>
      <c r="K42" t="n">
        <v>67.0289481565444</v>
      </c>
      <c r="L42" t="n">
        <v>68.6538923542788</v>
      </c>
      <c r="M42" t="n">
        <v>70.3803556590623</v>
      </c>
      <c r="N42" t="n">
        <v>72.8404978208385</v>
      </c>
      <c r="O42" t="n">
        <v>75.8042362369692</v>
      </c>
      <c r="P42" t="n">
        <v>78.6647734534586</v>
      </c>
      <c r="Q42" t="n">
        <v>80.9381942350822</v>
      </c>
      <c r="R42" t="n">
        <v>82.7389268937081</v>
      </c>
      <c r="S42" t="n">
        <v>88.798745705815</v>
      </c>
      <c r="T42" t="n">
        <v>91.0604793156881</v>
      </c>
      <c r="U42" t="n">
        <v>97.2313041958118</v>
      </c>
      <c r="V42" t="n">
        <v>101.738715648598</v>
      </c>
      <c r="W42" t="n">
        <v>103.859697615717</v>
      </c>
      <c r="X42" t="n">
        <v>103.515480479901</v>
      </c>
      <c r="Y42" t="n">
        <v>102.126010943258</v>
      </c>
      <c r="Z42" t="n">
        <v>100.428263958268</v>
      </c>
      <c r="AA42" t="n">
        <v>99.8760810636522</v>
      </c>
      <c r="AB42" t="n">
        <v>100.726224250512</v>
      </c>
      <c r="AC42" t="n">
        <v>101.231708815168</v>
      </c>
      <c r="AD42" t="n">
        <v>101.404853128991</v>
      </c>
      <c r="AE42" t="n">
        <v>100</v>
      </c>
      <c r="AF42" t="n">
        <v>100.867381876284</v>
      </c>
    </row>
    <row r="43">
      <c r="A43" t="s">
        <v>88</v>
      </c>
      <c r="B43" t="s">
        <v>356</v>
      </c>
      <c r="C43" t="s">
        <v>217</v>
      </c>
      <c r="D43" t="s">
        <v>357</v>
      </c>
      <c r="E43" t="s">
        <v>218</v>
      </c>
      <c r="F43" t="n">
        <v>53.0839789030465</v>
      </c>
      <c r="G43" t="n">
        <v>56.509940067504</v>
      </c>
      <c r="H43" t="n">
        <v>59.7560329805848</v>
      </c>
      <c r="I43" t="n">
        <v>62.9186085422314</v>
      </c>
      <c r="J43" t="n">
        <v>64.6918887412295</v>
      </c>
      <c r="K43" t="n">
        <v>66.950771374289</v>
      </c>
      <c r="L43" t="n">
        <v>68.5712015003306</v>
      </c>
      <c r="M43" t="n">
        <v>70.2928793724456</v>
      </c>
      <c r="N43" t="n">
        <v>72.7717214661843</v>
      </c>
      <c r="O43" t="n">
        <v>75.7277722390841</v>
      </c>
      <c r="P43" t="n">
        <v>78.604714292751</v>
      </c>
      <c r="Q43" t="n">
        <v>80.8945995270497</v>
      </c>
      <c r="R43" t="n">
        <v>82.6905768477016</v>
      </c>
      <c r="S43" t="n">
        <v>88.7600416632655</v>
      </c>
      <c r="T43" t="n">
        <v>91.0162183433254</v>
      </c>
      <c r="U43" t="n">
        <v>97.2033673541418</v>
      </c>
      <c r="V43" t="n">
        <v>101.736906705584</v>
      </c>
      <c r="W43" t="n">
        <v>103.854291135173</v>
      </c>
      <c r="X43" t="n">
        <v>103.510609666314</v>
      </c>
      <c r="Y43" t="n">
        <v>102.123532819864</v>
      </c>
      <c r="Z43" t="n">
        <v>100.425827031299</v>
      </c>
      <c r="AA43" t="n">
        <v>99.8736575355939</v>
      </c>
      <c r="AB43" t="n">
        <v>100.718188933483</v>
      </c>
      <c r="AC43" t="n">
        <v>101.222957671874</v>
      </c>
      <c r="AD43" t="n">
        <v>101.395939086294</v>
      </c>
      <c r="AE43" t="n">
        <v>100</v>
      </c>
      <c r="AF43" t="n">
        <v>100.880957759205</v>
      </c>
    </row>
    <row r="44">
      <c r="A44" t="s">
        <v>88</v>
      </c>
      <c r="B44" t="s">
        <v>358</v>
      </c>
      <c r="C44" t="s">
        <v>217</v>
      </c>
      <c r="D44" t="s">
        <v>359</v>
      </c>
      <c r="E44" t="s">
        <v>218</v>
      </c>
      <c r="F44" t="n">
        <v>53.2336626759734</v>
      </c>
      <c r="G44" t="n">
        <v>56.6950869728749</v>
      </c>
      <c r="H44" t="n">
        <v>59.9605438193761</v>
      </c>
      <c r="I44" t="n">
        <v>63.1128130614968</v>
      </c>
      <c r="J44" t="n">
        <v>64.9101285544275</v>
      </c>
      <c r="K44" t="n">
        <v>67.1249873540554</v>
      </c>
      <c r="L44" t="n">
        <v>68.7423104189266</v>
      </c>
      <c r="M44" t="n">
        <v>70.4388756669258</v>
      </c>
      <c r="N44" t="n">
        <v>72.8983831604159</v>
      </c>
      <c r="O44" t="n">
        <v>75.8577671202503</v>
      </c>
      <c r="P44" t="n">
        <v>78.7471761009534</v>
      </c>
      <c r="Q44" t="n">
        <v>81.0249869799066</v>
      </c>
      <c r="R44" t="n">
        <v>82.8289578361885</v>
      </c>
      <c r="S44" t="n">
        <v>88.9296742773809</v>
      </c>
      <c r="T44" t="n">
        <v>91.1841360087821</v>
      </c>
      <c r="U44" t="n">
        <v>97.322667292637</v>
      </c>
      <c r="V44" t="n">
        <v>101.773209917396</v>
      </c>
      <c r="W44" t="n">
        <v>103.914255444805</v>
      </c>
      <c r="X44" t="n">
        <v>103.521898395493</v>
      </c>
      <c r="Y44" t="n">
        <v>102.137603636861</v>
      </c>
      <c r="Z44" t="n">
        <v>100.44131480515</v>
      </c>
      <c r="AA44" t="n">
        <v>99.9344194490806</v>
      </c>
      <c r="AB44" t="n">
        <v>100.772038696558</v>
      </c>
      <c r="AC44" t="n">
        <v>101.247490636622</v>
      </c>
      <c r="AD44" t="n">
        <v>101.412120702698</v>
      </c>
      <c r="AE44" t="n">
        <v>100</v>
      </c>
      <c r="AF44" t="n">
        <v>100.849817896165</v>
      </c>
    </row>
    <row r="45">
      <c r="A45" t="s">
        <v>88</v>
      </c>
      <c r="B45" t="s">
        <v>360</v>
      </c>
      <c r="C45" t="s">
        <v>217</v>
      </c>
      <c r="D45" t="s">
        <v>361</v>
      </c>
      <c r="E45" t="s">
        <v>218</v>
      </c>
      <c r="F45" t="n">
        <v>53.2290642567343</v>
      </c>
      <c r="G45" t="n">
        <v>56.6988671559913</v>
      </c>
      <c r="H45" t="n">
        <v>59.972126241971</v>
      </c>
      <c r="I45" t="n">
        <v>63.1321114792909</v>
      </c>
      <c r="J45" t="n">
        <v>64.9340636382098</v>
      </c>
      <c r="K45" t="n">
        <v>67.1404890617202</v>
      </c>
      <c r="L45" t="n">
        <v>68.7628882341782</v>
      </c>
      <c r="M45" t="n">
        <v>70.4646279063348</v>
      </c>
      <c r="N45" t="n">
        <v>72.9316608308454</v>
      </c>
      <c r="O45" t="n">
        <v>75.8889507364864</v>
      </c>
      <c r="P45" t="n">
        <v>78.7761479218158</v>
      </c>
      <c r="Q45" t="n">
        <v>81.0509142773736</v>
      </c>
      <c r="R45" t="n">
        <v>82.8520457057596</v>
      </c>
      <c r="S45" t="n">
        <v>88.9587345011629</v>
      </c>
      <c r="T45" t="n">
        <v>91.2084695333961</v>
      </c>
      <c r="U45" t="n">
        <v>97.3523184496382</v>
      </c>
      <c r="V45" t="n">
        <v>101.800044180724</v>
      </c>
      <c r="W45" t="n">
        <v>103.930095000536</v>
      </c>
      <c r="X45" t="n">
        <v>103.536764218875</v>
      </c>
      <c r="Y45" t="n">
        <v>102.149140865061</v>
      </c>
      <c r="Z45" t="n">
        <v>100.449663109209</v>
      </c>
      <c r="AA45" t="n">
        <v>99.9416359851261</v>
      </c>
      <c r="AB45" t="n">
        <v>100.770893094054</v>
      </c>
      <c r="AC45" t="n">
        <v>101.247351217431</v>
      </c>
      <c r="AD45" t="n">
        <v>101.412979101447</v>
      </c>
      <c r="AE45" t="n">
        <v>100</v>
      </c>
      <c r="AF45" t="n">
        <v>100.844887348354</v>
      </c>
    </row>
    <row r="46">
      <c r="A46" t="s">
        <v>88</v>
      </c>
      <c r="B46" t="s">
        <v>362</v>
      </c>
      <c r="C46" t="s">
        <v>217</v>
      </c>
      <c r="D46" t="s">
        <v>363</v>
      </c>
      <c r="E46" t="s">
        <v>218</v>
      </c>
      <c r="F46" t="e">
        <v>#NUM!</v>
      </c>
      <c r="G46" t="e">
        <v>#NUM!</v>
      </c>
      <c r="H46" t="e">
        <v>#NUM!</v>
      </c>
      <c r="I46" t="e">
        <v>#NUM!</v>
      </c>
      <c r="J46" t="e">
        <v>#NUM!</v>
      </c>
      <c r="K46" t="e">
        <v>#NUM!</v>
      </c>
      <c r="L46" t="e">
        <v>#NUM!</v>
      </c>
      <c r="M46" t="e">
        <v>#NUM!</v>
      </c>
      <c r="N46" t="e">
        <v>#NUM!</v>
      </c>
      <c r="O46" t="e">
        <v>#NUM!</v>
      </c>
      <c r="P46" t="e">
        <v>#NUM!</v>
      </c>
      <c r="Q46" t="e">
        <v>#NUM!</v>
      </c>
      <c r="R46" t="e">
        <v>#NUM!</v>
      </c>
      <c r="S46" t="e">
        <v>#NUM!</v>
      </c>
      <c r="T46" t="e">
        <v>#NUM!</v>
      </c>
      <c r="U46" t="e">
        <v>#NUM!</v>
      </c>
      <c r="V46" t="e">
        <v>#NUM!</v>
      </c>
      <c r="W46" t="e">
        <v>#NUM!</v>
      </c>
      <c r="X46" t="e">
        <v>#NUM!</v>
      </c>
      <c r="Y46" t="e">
        <v>#NUM!</v>
      </c>
      <c r="Z46" t="n">
        <v>0</v>
      </c>
      <c r="AA46" t="n">
        <v>0</v>
      </c>
      <c r="AB46" t="n">
        <v>100</v>
      </c>
      <c r="AC46" t="n">
        <v>100</v>
      </c>
      <c r="AD46" t="n">
        <v>100</v>
      </c>
      <c r="AE46" t="n">
        <v>100</v>
      </c>
      <c r="AF46" t="n">
        <v>102.173913043478</v>
      </c>
    </row>
    <row r="47">
      <c r="A47" t="s">
        <v>88</v>
      </c>
      <c r="B47" t="s">
        <v>364</v>
      </c>
      <c r="C47" t="s">
        <v>217</v>
      </c>
      <c r="D47" t="s">
        <v>365</v>
      </c>
      <c r="E47" t="s">
        <v>218</v>
      </c>
      <c r="F47" t="n">
        <v>53.2476311562223</v>
      </c>
      <c r="G47" t="n">
        <v>56.7754245247505</v>
      </c>
      <c r="H47" t="n">
        <v>59.9726753938917</v>
      </c>
      <c r="I47" t="n">
        <v>63.0658219758117</v>
      </c>
      <c r="J47" t="n">
        <v>64.793652714875</v>
      </c>
      <c r="K47" t="n">
        <v>67.0796470774726</v>
      </c>
      <c r="L47" t="n">
        <v>68.6901187713994</v>
      </c>
      <c r="M47" t="n">
        <v>70.4447386454086</v>
      </c>
      <c r="N47" t="n">
        <v>72.8889955912902</v>
      </c>
      <c r="O47" t="n">
        <v>75.8321079562306</v>
      </c>
      <c r="P47" t="n">
        <v>78.7220510948065</v>
      </c>
      <c r="Q47" t="n">
        <v>80.9600624976439</v>
      </c>
      <c r="R47" t="n">
        <v>82.7649046552347</v>
      </c>
      <c r="S47" t="n">
        <v>88.8263085502869</v>
      </c>
      <c r="T47" t="n">
        <v>91.1012547529718</v>
      </c>
      <c r="U47" t="n">
        <v>97.2602128207783</v>
      </c>
      <c r="V47" t="n">
        <v>101.823246263282</v>
      </c>
      <c r="W47" t="n">
        <v>103.901271697227</v>
      </c>
      <c r="X47" t="n">
        <v>103.507109058011</v>
      </c>
      <c r="Y47" t="n">
        <v>102.125991220321</v>
      </c>
      <c r="Z47" t="n">
        <v>100.423891366649</v>
      </c>
      <c r="AA47" t="n">
        <v>99.9164152171263</v>
      </c>
      <c r="AB47" t="n">
        <v>100.826519194381</v>
      </c>
      <c r="AC47" t="n">
        <v>101.326210093472</v>
      </c>
      <c r="AD47" t="n">
        <v>101.45366444579</v>
      </c>
      <c r="AE47" t="n">
        <v>100</v>
      </c>
      <c r="AF47" t="n">
        <v>100.843170320405</v>
      </c>
    </row>
    <row r="48">
      <c r="A48" t="s">
        <v>88</v>
      </c>
      <c r="B48" t="s">
        <v>366</v>
      </c>
      <c r="C48" t="s">
        <v>217</v>
      </c>
      <c r="D48" t="s">
        <v>367</v>
      </c>
      <c r="E48" t="s">
        <v>218</v>
      </c>
      <c r="F48" t="n">
        <v>53.1451548654272</v>
      </c>
      <c r="G48" t="n">
        <v>56.5805909292061</v>
      </c>
      <c r="H48" t="n">
        <v>59.8315247553033</v>
      </c>
      <c r="I48" t="n">
        <v>62.997395310646</v>
      </c>
      <c r="J48" t="n">
        <v>64.7849491782903</v>
      </c>
      <c r="K48" t="n">
        <v>67.0466853127504</v>
      </c>
      <c r="L48" t="n">
        <v>68.6654373347875</v>
      </c>
      <c r="M48" t="n">
        <v>70.3960925421836</v>
      </c>
      <c r="N48" t="n">
        <v>72.8578741276135</v>
      </c>
      <c r="O48" t="n">
        <v>75.8067803682682</v>
      </c>
      <c r="P48" t="n">
        <v>78.6714232236289</v>
      </c>
      <c r="Q48" t="n">
        <v>80.9314996394534</v>
      </c>
      <c r="R48" t="n">
        <v>82.7370489518645</v>
      </c>
      <c r="S48" t="n">
        <v>88.7898393704313</v>
      </c>
      <c r="T48" t="n">
        <v>91.0579362573196</v>
      </c>
      <c r="U48" t="n">
        <v>97.2501192305962</v>
      </c>
      <c r="V48" t="n">
        <v>101.736846106446</v>
      </c>
      <c r="W48" t="n">
        <v>103.84689184327</v>
      </c>
      <c r="X48" t="n">
        <v>103.497879985563</v>
      </c>
      <c r="Y48" t="n">
        <v>102.125077332941</v>
      </c>
      <c r="Z48" t="n">
        <v>100.425298612091</v>
      </c>
      <c r="AA48" t="n">
        <v>99.8969219150387</v>
      </c>
      <c r="AB48" t="n">
        <v>100.758898436956</v>
      </c>
      <c r="AC48" t="n">
        <v>101.258180190217</v>
      </c>
      <c r="AD48" t="n">
        <v>101.41214599892</v>
      </c>
      <c r="AE48" t="n">
        <v>100</v>
      </c>
      <c r="AF48" t="n">
        <v>100.859081721051</v>
      </c>
    </row>
    <row r="49">
      <c r="A49" t="s">
        <v>88</v>
      </c>
      <c r="B49" t="s">
        <v>368</v>
      </c>
      <c r="C49" t="s">
        <v>217</v>
      </c>
      <c r="D49" t="s">
        <v>369</v>
      </c>
      <c r="E49" t="s">
        <v>218</v>
      </c>
      <c r="F49" t="n">
        <v>53.1534730946534</v>
      </c>
      <c r="G49" t="n">
        <v>56.5999110789811</v>
      </c>
      <c r="H49" t="n">
        <v>59.8399775450408</v>
      </c>
      <c r="I49" t="n">
        <v>62.9990139676475</v>
      </c>
      <c r="J49" t="n">
        <v>64.7942144982034</v>
      </c>
      <c r="K49" t="n">
        <v>67.0519008947847</v>
      </c>
      <c r="L49" t="n">
        <v>68.6744286035499</v>
      </c>
      <c r="M49" t="n">
        <v>70.4000380377983</v>
      </c>
      <c r="N49" t="n">
        <v>72.859771338736</v>
      </c>
      <c r="O49" t="n">
        <v>75.8099477253506</v>
      </c>
      <c r="P49" t="n">
        <v>78.6760883271321</v>
      </c>
      <c r="Q49" t="n">
        <v>80.9406464250347</v>
      </c>
      <c r="R49" t="n">
        <v>82.7425383752718</v>
      </c>
      <c r="S49" t="n">
        <v>88.7922288702075</v>
      </c>
      <c r="T49" t="n">
        <v>91.0536629810681</v>
      </c>
      <c r="U49" t="n">
        <v>97.2426553256035</v>
      </c>
      <c r="V49" t="n">
        <v>101.744049209224</v>
      </c>
      <c r="W49" t="n">
        <v>103.860142419309</v>
      </c>
      <c r="X49" t="n">
        <v>103.510314095292</v>
      </c>
      <c r="Y49" t="n">
        <v>102.142524672973</v>
      </c>
      <c r="Z49" t="n">
        <v>100.443453012208</v>
      </c>
      <c r="AA49" t="n">
        <v>99.9127719444205</v>
      </c>
      <c r="AB49" t="n">
        <v>100.764795234583</v>
      </c>
      <c r="AC49" t="n">
        <v>101.261015830655</v>
      </c>
      <c r="AD49" t="n">
        <v>101.412872841444</v>
      </c>
      <c r="AE49" t="n">
        <v>100</v>
      </c>
      <c r="AF49" t="n">
        <v>100.851401975253</v>
      </c>
    </row>
    <row r="50">
      <c r="A50" t="s">
        <v>88</v>
      </c>
      <c r="B50" t="s">
        <v>370</v>
      </c>
      <c r="C50" t="s">
        <v>217</v>
      </c>
      <c r="D50" t="s">
        <v>371</v>
      </c>
      <c r="E50" t="s">
        <v>218</v>
      </c>
      <c r="F50" t="n">
        <v>53.0476785147385</v>
      </c>
      <c r="G50" t="n">
        <v>56.3631584219097</v>
      </c>
      <c r="H50" t="n">
        <v>59.467908673964</v>
      </c>
      <c r="I50" t="n">
        <v>62.7074056445302</v>
      </c>
      <c r="J50" t="n">
        <v>64.5585467705679</v>
      </c>
      <c r="K50" t="n">
        <v>66.8001629778794</v>
      </c>
      <c r="L50" t="n">
        <v>68.3812319241014</v>
      </c>
      <c r="M50" t="n">
        <v>70.1197378204768</v>
      </c>
      <c r="N50" t="n">
        <v>72.6629407466081</v>
      </c>
      <c r="O50" t="n">
        <v>75.6040597768279</v>
      </c>
      <c r="P50" t="n">
        <v>78.3658519147943</v>
      </c>
      <c r="Q50" t="n">
        <v>80.614052584481</v>
      </c>
      <c r="R50" t="n">
        <v>82.3433969468543</v>
      </c>
      <c r="S50" t="n">
        <v>88.4004659071597</v>
      </c>
      <c r="T50" t="n">
        <v>90.7410077743554</v>
      </c>
      <c r="U50" t="n">
        <v>97.0554593462822</v>
      </c>
      <c r="V50" t="n">
        <v>101.581361595591</v>
      </c>
      <c r="W50" t="n">
        <v>103.683044938948</v>
      </c>
      <c r="X50" t="n">
        <v>103.255485990746</v>
      </c>
      <c r="Y50" t="n">
        <v>102.063159362677</v>
      </c>
      <c r="Z50" t="n">
        <v>100.362106706633</v>
      </c>
      <c r="AA50" t="n">
        <v>99.9185172847249</v>
      </c>
      <c r="AB50" t="n">
        <v>100.77426315054</v>
      </c>
      <c r="AC50" t="n">
        <v>101.2819420581</v>
      </c>
      <c r="AD50" t="n">
        <v>101.42101784534</v>
      </c>
      <c r="AE50" t="n">
        <v>100</v>
      </c>
      <c r="AF50" t="n">
        <v>100.857580398162</v>
      </c>
    </row>
    <row r="51">
      <c r="A51" t="s">
        <v>88</v>
      </c>
      <c r="B51" t="s">
        <v>372</v>
      </c>
      <c r="C51" t="s">
        <v>217</v>
      </c>
      <c r="D51" t="s">
        <v>373</v>
      </c>
      <c r="E51" t="s">
        <v>218</v>
      </c>
      <c r="F51" t="n">
        <v>53.0485923185036</v>
      </c>
      <c r="G51" t="n">
        <v>56.3641293384101</v>
      </c>
      <c r="H51" t="n">
        <v>59.468933073153</v>
      </c>
      <c r="I51" t="n">
        <v>62.708485847566</v>
      </c>
      <c r="J51" t="n">
        <v>64.5596588615163</v>
      </c>
      <c r="K51" t="n">
        <v>66.8013136830967</v>
      </c>
      <c r="L51" t="n">
        <v>68.3824098649452</v>
      </c>
      <c r="M51" t="n">
        <v>70.1209457089692</v>
      </c>
      <c r="N51" t="n">
        <v>72.6641924445277</v>
      </c>
      <c r="O51" t="n">
        <v>75.605362138711</v>
      </c>
      <c r="P51" t="n">
        <v>78.3672018515406</v>
      </c>
      <c r="Q51" t="n">
        <v>80.6154412489209</v>
      </c>
      <c r="R51" t="n">
        <v>82.3448154011254</v>
      </c>
      <c r="S51" t="n">
        <v>88.4019887010094</v>
      </c>
      <c r="T51" t="n">
        <v>90.7425708865759</v>
      </c>
      <c r="U51" t="n">
        <v>97.0571312317757</v>
      </c>
      <c r="V51" t="n">
        <v>101.583111444656</v>
      </c>
      <c r="W51" t="n">
        <v>103.684830991787</v>
      </c>
      <c r="X51" t="n">
        <v>103.257264678419</v>
      </c>
      <c r="Y51" t="n">
        <v>102.064917511232</v>
      </c>
      <c r="Z51" t="n">
        <v>100.362259017069</v>
      </c>
      <c r="AA51" t="n">
        <v>99.917193566882</v>
      </c>
      <c r="AB51" t="n">
        <v>100.7760806176</v>
      </c>
      <c r="AC51" t="n">
        <v>101.28419530979</v>
      </c>
      <c r="AD51" t="n">
        <v>101.423369745117</v>
      </c>
      <c r="AE51" t="n">
        <v>100</v>
      </c>
      <c r="AF51" t="n">
        <v>100.858632321374</v>
      </c>
    </row>
    <row r="52">
      <c r="A52" t="s">
        <v>88</v>
      </c>
      <c r="B52" t="s">
        <v>374</v>
      </c>
      <c r="C52" t="s">
        <v>217</v>
      </c>
      <c r="D52" t="s">
        <v>375</v>
      </c>
      <c r="E52" t="s">
        <v>218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100</v>
      </c>
      <c r="AA52" t="n">
        <v>100</v>
      </c>
      <c r="AB52" t="n">
        <v>100</v>
      </c>
      <c r="AC52" t="n">
        <v>100</v>
      </c>
      <c r="AD52" t="n">
        <v>100</v>
      </c>
      <c r="AE52" t="n">
        <v>100</v>
      </c>
      <c r="AF52" t="n">
        <v>100</v>
      </c>
    </row>
    <row r="53">
      <c r="A53" t="s">
        <v>88</v>
      </c>
      <c r="B53" t="s">
        <v>376</v>
      </c>
      <c r="C53" t="s">
        <v>217</v>
      </c>
      <c r="D53" t="s">
        <v>377</v>
      </c>
      <c r="E53" t="s">
        <v>218</v>
      </c>
      <c r="F53" t="n">
        <v>56.3598650457318</v>
      </c>
      <c r="G53" t="n">
        <v>59.1091267552797</v>
      </c>
      <c r="H53" t="n">
        <v>61.8583884648276</v>
      </c>
      <c r="I53" t="n">
        <v>64.3832206470655</v>
      </c>
      <c r="J53" t="n">
        <v>65.5979983951233</v>
      </c>
      <c r="K53" t="n">
        <v>67.7140628594822</v>
      </c>
      <c r="L53" t="n">
        <v>69.36562536825</v>
      </c>
      <c r="M53" t="n">
        <v>71.1217171497247</v>
      </c>
      <c r="N53" t="n">
        <v>72.8150913675753</v>
      </c>
      <c r="O53" t="n">
        <v>76.0513176505786</v>
      </c>
      <c r="P53" t="n">
        <v>78.4529382079653</v>
      </c>
      <c r="Q53" t="n">
        <v>80.6321864915199</v>
      </c>
      <c r="R53" t="n">
        <v>82.4787251134631</v>
      </c>
      <c r="S53" t="n">
        <v>88.6868011972722</v>
      </c>
      <c r="T53" t="n">
        <v>91.3742800214319</v>
      </c>
      <c r="U53" t="n">
        <v>97.4658986895274</v>
      </c>
      <c r="V53" t="n">
        <v>101.214587100663</v>
      </c>
      <c r="W53" t="n">
        <v>103.843537414966</v>
      </c>
      <c r="X53" t="n">
        <v>103.843537414966</v>
      </c>
      <c r="Y53" t="n">
        <v>102.380952380952</v>
      </c>
      <c r="Z53" t="n">
        <v>102.380952380952</v>
      </c>
      <c r="AA53" t="n">
        <v>102.380952380952</v>
      </c>
      <c r="AB53" t="n">
        <v>102.380952380952</v>
      </c>
      <c r="AC53" t="n">
        <v>102.380952380952</v>
      </c>
      <c r="AD53" t="n">
        <v>102.380952380952</v>
      </c>
      <c r="AE53" t="n">
        <v>100</v>
      </c>
      <c r="AF53" t="n">
        <v>100</v>
      </c>
    </row>
    <row r="54">
      <c r="A54" t="s">
        <v>88</v>
      </c>
      <c r="B54" t="s">
        <v>378</v>
      </c>
      <c r="C54" t="s">
        <v>217</v>
      </c>
      <c r="D54" t="s">
        <v>379</v>
      </c>
      <c r="E54" t="s">
        <v>218</v>
      </c>
      <c r="F54" t="n">
        <v>57.3208488142482</v>
      </c>
      <c r="G54" t="n">
        <v>60.1169877807969</v>
      </c>
      <c r="H54" t="n">
        <v>62.9131267473456</v>
      </c>
      <c r="I54" t="n">
        <v>65.4296518172394</v>
      </c>
      <c r="J54" t="n">
        <v>66.6413120360772</v>
      </c>
      <c r="K54" t="n">
        <v>68.7569092435717</v>
      </c>
      <c r="L54" t="n">
        <v>70.4137022373927</v>
      </c>
      <c r="M54" t="n">
        <v>72.1740447933275</v>
      </c>
      <c r="N54" t="n">
        <v>73.8722576119941</v>
      </c>
      <c r="O54" t="n">
        <v>77.1193898147191</v>
      </c>
      <c r="P54" t="n">
        <v>79.529370746429</v>
      </c>
      <c r="Q54" t="n">
        <v>81.7182525100922</v>
      </c>
      <c r="R54" t="n">
        <v>84.0040777551298</v>
      </c>
      <c r="S54" t="n">
        <v>90.3440081517434</v>
      </c>
      <c r="T54" t="n">
        <v>92.7639369415222</v>
      </c>
      <c r="U54" t="n">
        <v>98.3859937258569</v>
      </c>
      <c r="V54" t="n">
        <v>101.778614199162</v>
      </c>
      <c r="W54" t="n">
        <v>104.145558715422</v>
      </c>
      <c r="X54" t="n">
        <v>104.145558715422</v>
      </c>
      <c r="Y54" t="n">
        <v>102.85981107696</v>
      </c>
      <c r="Z54" t="n">
        <v>101.670680313064</v>
      </c>
      <c r="AA54" t="n">
        <v>101.143889223359</v>
      </c>
      <c r="AB54" t="n">
        <v>101.818181818182</v>
      </c>
      <c r="AC54" t="n">
        <v>101.818181818182</v>
      </c>
      <c r="AD54" t="n">
        <v>101.818181818182</v>
      </c>
      <c r="AE54" t="n">
        <v>100</v>
      </c>
      <c r="AF54" t="n">
        <v>100</v>
      </c>
    </row>
    <row r="55">
      <c r="A55" t="s">
        <v>88</v>
      </c>
      <c r="B55" t="s">
        <v>380</v>
      </c>
      <c r="C55" t="s">
        <v>217</v>
      </c>
      <c r="D55" t="s">
        <v>381</v>
      </c>
      <c r="E55" t="s">
        <v>218</v>
      </c>
      <c r="F55" t="n">
        <v>0</v>
      </c>
      <c r="G55" t="n">
        <v>0</v>
      </c>
      <c r="H55" t="n">
        <v>0</v>
      </c>
      <c r="I55" t="n">
        <v>86.6229980462674</v>
      </c>
      <c r="J55" t="n">
        <v>86.6229980462674</v>
      </c>
      <c r="K55" t="n">
        <v>86.6229980462674</v>
      </c>
      <c r="L55" t="n">
        <v>86.6229980462674</v>
      </c>
      <c r="M55" t="n">
        <v>86.6229980462674</v>
      </c>
      <c r="N55" t="n">
        <v>86.6229980462674</v>
      </c>
      <c r="O55" t="n">
        <v>86.6229980462674</v>
      </c>
      <c r="P55" t="n">
        <v>86.6229980462674</v>
      </c>
      <c r="Q55" t="n">
        <v>86.6229980462674</v>
      </c>
      <c r="R55" t="n">
        <v>93.8415812167897</v>
      </c>
      <c r="S55" t="n">
        <v>101.060164387312</v>
      </c>
      <c r="T55" t="n">
        <v>101.060164387312</v>
      </c>
      <c r="U55" t="n">
        <v>101.060164387312</v>
      </c>
      <c r="V55" t="n">
        <v>101.060164387312</v>
      </c>
      <c r="W55" t="n">
        <v>101.060164387312</v>
      </c>
      <c r="X55" t="n">
        <v>101.060164387312</v>
      </c>
      <c r="Y55" t="n">
        <v>101.060164387312</v>
      </c>
      <c r="Z55" t="n">
        <v>99.8351926977688</v>
      </c>
      <c r="AA55" t="n">
        <v>99.264705882353</v>
      </c>
      <c r="AB55" t="n">
        <v>100</v>
      </c>
      <c r="AC55" t="n">
        <v>100</v>
      </c>
      <c r="AD55" t="n">
        <v>100</v>
      </c>
      <c r="AE55" t="n">
        <v>100</v>
      </c>
      <c r="AF55" t="n">
        <v>100</v>
      </c>
    </row>
    <row r="56">
      <c r="A56" t="s">
        <v>88</v>
      </c>
      <c r="B56" t="s">
        <v>382</v>
      </c>
      <c r="C56" t="s">
        <v>217</v>
      </c>
      <c r="D56" t="s">
        <v>383</v>
      </c>
      <c r="E56" t="s">
        <v>218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88</v>
      </c>
      <c r="B57" t="s">
        <v>384</v>
      </c>
      <c r="C57" t="s">
        <v>217</v>
      </c>
      <c r="D57" t="s">
        <v>385</v>
      </c>
      <c r="E57" t="s">
        <v>218</v>
      </c>
      <c r="F57" t="n">
        <v>53.1942043662331</v>
      </c>
      <c r="G57" t="n">
        <v>56.6487749534343</v>
      </c>
      <c r="H57" t="n">
        <v>59.8916908997114</v>
      </c>
      <c r="I57" t="n">
        <v>63.0453191138097</v>
      </c>
      <c r="J57" t="n">
        <v>64.8368994329534</v>
      </c>
      <c r="K57" t="n">
        <v>67.0783152766284</v>
      </c>
      <c r="L57" t="n">
        <v>68.6963235400722</v>
      </c>
      <c r="M57" t="n">
        <v>70.4120923590018</v>
      </c>
      <c r="N57" t="n">
        <v>72.8727988993965</v>
      </c>
      <c r="O57" t="n">
        <v>75.8261825636301</v>
      </c>
      <c r="P57" t="n">
        <v>78.7016269945563</v>
      </c>
      <c r="Q57" t="n">
        <v>80.9695328237429</v>
      </c>
      <c r="R57" t="n">
        <v>82.7705129920076</v>
      </c>
      <c r="S57" t="n">
        <v>88.8431415897244</v>
      </c>
      <c r="T57" t="n">
        <v>91.1048525999984</v>
      </c>
      <c r="U57" t="n">
        <v>97.2703175935914</v>
      </c>
      <c r="V57" t="n">
        <v>101.75448409366</v>
      </c>
      <c r="W57" t="n">
        <v>103.877487907838</v>
      </c>
      <c r="X57" t="n">
        <v>103.504387083267</v>
      </c>
      <c r="Y57" t="n">
        <v>102.133737667322</v>
      </c>
      <c r="Z57" t="n">
        <v>100.435283049794</v>
      </c>
      <c r="AA57" t="n">
        <v>99.9229493204935</v>
      </c>
      <c r="AB57" t="n">
        <v>100.773089428152</v>
      </c>
      <c r="AC57" t="n">
        <v>101.261789245103</v>
      </c>
      <c r="AD57" t="n">
        <v>101.41621404144</v>
      </c>
      <c r="AE57" t="n">
        <v>100</v>
      </c>
      <c r="AF57" t="n">
        <v>100.850804135554</v>
      </c>
    </row>
    <row r="58">
      <c r="A58" t="s">
        <v>88</v>
      </c>
      <c r="B58" t="s">
        <v>386</v>
      </c>
      <c r="C58" t="s">
        <v>217</v>
      </c>
      <c r="D58" t="s">
        <v>387</v>
      </c>
      <c r="E58" t="s">
        <v>218</v>
      </c>
      <c r="F58" t="n">
        <v>53.1942043662331</v>
      </c>
      <c r="G58" t="n">
        <v>56.6487749534343</v>
      </c>
      <c r="H58" t="n">
        <v>59.8916908997114</v>
      </c>
      <c r="I58" t="n">
        <v>63.0453191138097</v>
      </c>
      <c r="J58" t="n">
        <v>64.8368994329534</v>
      </c>
      <c r="K58" t="n">
        <v>67.0783152766284</v>
      </c>
      <c r="L58" t="n">
        <v>68.6963235400722</v>
      </c>
      <c r="M58" t="n">
        <v>70.4120923590018</v>
      </c>
      <c r="N58" t="n">
        <v>72.8727988993965</v>
      </c>
      <c r="O58" t="n">
        <v>75.8261825636301</v>
      </c>
      <c r="P58" t="n">
        <v>78.7016269945563</v>
      </c>
      <c r="Q58" t="n">
        <v>80.9695328237429</v>
      </c>
      <c r="R58" t="n">
        <v>82.7705129920076</v>
      </c>
      <c r="S58" t="n">
        <v>88.8431415897244</v>
      </c>
      <c r="T58" t="n">
        <v>91.1048525999984</v>
      </c>
      <c r="U58" t="n">
        <v>97.2703175935914</v>
      </c>
      <c r="V58" t="n">
        <v>101.75448409366</v>
      </c>
      <c r="W58" t="n">
        <v>103.877487907838</v>
      </c>
      <c r="X58" t="n">
        <v>103.504387083267</v>
      </c>
      <c r="Y58" t="n">
        <v>102.133737667322</v>
      </c>
      <c r="Z58" t="n">
        <v>100.435283049794</v>
      </c>
      <c r="AA58" t="n">
        <v>99.9229493204935</v>
      </c>
      <c r="AB58" t="n">
        <v>100.773089428152</v>
      </c>
      <c r="AC58" t="n">
        <v>101.261789245103</v>
      </c>
      <c r="AD58" t="n">
        <v>101.41621404144</v>
      </c>
      <c r="AE58" t="n">
        <v>100</v>
      </c>
      <c r="AF58" t="n">
        <v>100.850804135554</v>
      </c>
    </row>
    <row r="59">
      <c r="A59" t="s">
        <v>88</v>
      </c>
      <c r="B59" t="s">
        <v>388</v>
      </c>
      <c r="C59" t="s">
        <v>217</v>
      </c>
      <c r="D59" t="s">
        <v>389</v>
      </c>
      <c r="E59" t="s">
        <v>218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90</v>
      </c>
      <c r="B2" t="s">
        <v>197</v>
      </c>
      <c r="C2" t="s">
        <v>217</v>
      </c>
      <c r="D2" t="s">
        <v>199</v>
      </c>
      <c r="E2" t="s">
        <v>218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90</v>
      </c>
      <c r="B3" t="s">
        <v>276</v>
      </c>
      <c r="C3" t="s">
        <v>217</v>
      </c>
      <c r="D3" t="s">
        <v>277</v>
      </c>
      <c r="E3" t="s">
        <v>218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90</v>
      </c>
      <c r="B4" t="s">
        <v>278</v>
      </c>
      <c r="C4" t="s">
        <v>217</v>
      </c>
      <c r="D4" t="s">
        <v>279</v>
      </c>
      <c r="E4" t="s">
        <v>218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90</v>
      </c>
      <c r="B5" t="s">
        <v>280</v>
      </c>
      <c r="C5" t="s">
        <v>217</v>
      </c>
      <c r="D5" t="s">
        <v>281</v>
      </c>
      <c r="E5" t="s">
        <v>218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90</v>
      </c>
      <c r="B6" t="s">
        <v>282</v>
      </c>
      <c r="C6" t="s">
        <v>217</v>
      </c>
      <c r="D6" t="s">
        <v>283</v>
      </c>
      <c r="E6" t="s">
        <v>218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90</v>
      </c>
      <c r="B7" t="s">
        <v>284</v>
      </c>
      <c r="C7" t="s">
        <v>217</v>
      </c>
      <c r="D7" t="s">
        <v>285</v>
      </c>
      <c r="E7" t="s">
        <v>218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90</v>
      </c>
      <c r="B8" t="s">
        <v>286</v>
      </c>
      <c r="C8" t="s">
        <v>217</v>
      </c>
      <c r="D8" t="s">
        <v>287</v>
      </c>
      <c r="E8" t="s">
        <v>218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90</v>
      </c>
      <c r="B9" t="s">
        <v>288</v>
      </c>
      <c r="C9" t="s">
        <v>217</v>
      </c>
      <c r="D9" t="s">
        <v>289</v>
      </c>
      <c r="E9" t="s">
        <v>218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90</v>
      </c>
      <c r="B10" t="s">
        <v>290</v>
      </c>
      <c r="C10" t="s">
        <v>217</v>
      </c>
      <c r="D10" t="s">
        <v>291</v>
      </c>
      <c r="E10" t="s">
        <v>218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90</v>
      </c>
      <c r="B11" t="s">
        <v>292</v>
      </c>
      <c r="C11" t="s">
        <v>217</v>
      </c>
      <c r="D11" t="s">
        <v>293</v>
      </c>
      <c r="E11" t="s">
        <v>218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90</v>
      </c>
      <c r="B12" t="s">
        <v>294</v>
      </c>
      <c r="C12" t="s">
        <v>217</v>
      </c>
      <c r="D12" t="s">
        <v>295</v>
      </c>
      <c r="E12" t="s">
        <v>218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90</v>
      </c>
      <c r="B13" t="s">
        <v>296</v>
      </c>
      <c r="C13" t="s">
        <v>217</v>
      </c>
      <c r="D13" t="s">
        <v>297</v>
      </c>
      <c r="E13" t="s">
        <v>218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90</v>
      </c>
      <c r="B14" t="s">
        <v>298</v>
      </c>
      <c r="C14" t="s">
        <v>217</v>
      </c>
      <c r="D14" t="s">
        <v>299</v>
      </c>
      <c r="E14" t="s">
        <v>218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90</v>
      </c>
      <c r="B15" t="s">
        <v>300</v>
      </c>
      <c r="C15" t="s">
        <v>217</v>
      </c>
      <c r="D15" t="s">
        <v>301</v>
      </c>
      <c r="E15" t="s">
        <v>218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90</v>
      </c>
      <c r="B16" t="s">
        <v>302</v>
      </c>
      <c r="C16" t="s">
        <v>217</v>
      </c>
      <c r="D16" t="s">
        <v>303</v>
      </c>
      <c r="E16" t="s">
        <v>218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90</v>
      </c>
      <c r="B17" t="s">
        <v>304</v>
      </c>
      <c r="C17" t="s">
        <v>217</v>
      </c>
      <c r="D17" t="s">
        <v>305</v>
      </c>
      <c r="E17" t="s">
        <v>218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90</v>
      </c>
      <c r="B18" t="s">
        <v>306</v>
      </c>
      <c r="C18" t="s">
        <v>217</v>
      </c>
      <c r="D18" t="s">
        <v>307</v>
      </c>
      <c r="E18" t="s">
        <v>218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90</v>
      </c>
      <c r="B19" t="s">
        <v>308</v>
      </c>
      <c r="C19" t="s">
        <v>217</v>
      </c>
      <c r="D19" t="s">
        <v>309</v>
      </c>
      <c r="E19" t="s">
        <v>218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90</v>
      </c>
      <c r="B20" t="s">
        <v>310</v>
      </c>
      <c r="C20" t="s">
        <v>217</v>
      </c>
      <c r="D20" t="s">
        <v>311</v>
      </c>
      <c r="E20" t="s">
        <v>218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90</v>
      </c>
      <c r="B21" t="s">
        <v>312</v>
      </c>
      <c r="C21" t="s">
        <v>217</v>
      </c>
      <c r="D21" t="s">
        <v>313</v>
      </c>
      <c r="E21" t="s">
        <v>218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90</v>
      </c>
      <c r="B22" t="s">
        <v>314</v>
      </c>
      <c r="C22" t="s">
        <v>217</v>
      </c>
      <c r="D22" t="s">
        <v>315</v>
      </c>
      <c r="E22" t="s">
        <v>218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90</v>
      </c>
      <c r="B23" t="s">
        <v>316</v>
      </c>
      <c r="C23" t="s">
        <v>217</v>
      </c>
      <c r="D23" t="s">
        <v>317</v>
      </c>
      <c r="E23" t="s">
        <v>218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90</v>
      </c>
      <c r="B24" t="s">
        <v>318</v>
      </c>
      <c r="C24" t="s">
        <v>217</v>
      </c>
      <c r="D24" t="s">
        <v>319</v>
      </c>
      <c r="E24" t="s">
        <v>218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90</v>
      </c>
      <c r="B25" t="s">
        <v>320</v>
      </c>
      <c r="C25" t="s">
        <v>217</v>
      </c>
      <c r="D25" t="s">
        <v>321</v>
      </c>
      <c r="E25" t="s">
        <v>218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90</v>
      </c>
      <c r="B26" t="s">
        <v>322</v>
      </c>
      <c r="C26" t="s">
        <v>217</v>
      </c>
      <c r="D26" t="s">
        <v>323</v>
      </c>
      <c r="E26" t="s">
        <v>218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90</v>
      </c>
      <c r="B27" t="s">
        <v>324</v>
      </c>
      <c r="C27" t="s">
        <v>217</v>
      </c>
      <c r="D27" t="s">
        <v>325</v>
      </c>
      <c r="E27" t="s">
        <v>218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90</v>
      </c>
      <c r="B28" t="s">
        <v>326</v>
      </c>
      <c r="C28" t="s">
        <v>217</v>
      </c>
      <c r="D28" t="s">
        <v>327</v>
      </c>
      <c r="E28" t="s">
        <v>218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90</v>
      </c>
      <c r="B29" t="s">
        <v>328</v>
      </c>
      <c r="C29" t="s">
        <v>217</v>
      </c>
      <c r="D29" t="s">
        <v>329</v>
      </c>
      <c r="E29" t="s">
        <v>218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90</v>
      </c>
      <c r="B30" t="s">
        <v>330</v>
      </c>
      <c r="C30" t="s">
        <v>217</v>
      </c>
      <c r="D30" t="s">
        <v>331</v>
      </c>
      <c r="E30" t="s">
        <v>218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90</v>
      </c>
      <c r="B31" t="s">
        <v>332</v>
      </c>
      <c r="C31" t="s">
        <v>217</v>
      </c>
      <c r="D31" t="s">
        <v>333</v>
      </c>
      <c r="E31" t="s">
        <v>218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90</v>
      </c>
      <c r="B32" t="s">
        <v>334</v>
      </c>
      <c r="C32" t="s">
        <v>217</v>
      </c>
      <c r="D32" t="s">
        <v>335</v>
      </c>
      <c r="E32" t="s">
        <v>218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90</v>
      </c>
      <c r="B33" t="s">
        <v>336</v>
      </c>
      <c r="C33" t="s">
        <v>217</v>
      </c>
      <c r="D33" t="s">
        <v>337</v>
      </c>
      <c r="E33" t="s">
        <v>218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90</v>
      </c>
      <c r="B34" t="s">
        <v>338</v>
      </c>
      <c r="C34" t="s">
        <v>217</v>
      </c>
      <c r="D34" t="s">
        <v>339</v>
      </c>
      <c r="E34" t="s">
        <v>218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90</v>
      </c>
      <c r="B35" t="s">
        <v>340</v>
      </c>
      <c r="C35" t="s">
        <v>217</v>
      </c>
      <c r="D35" t="s">
        <v>341</v>
      </c>
      <c r="E35" t="s">
        <v>218</v>
      </c>
      <c r="F35" t="n">
        <v>58.8280826689372</v>
      </c>
      <c r="G35" t="n">
        <v>63.7289612724005</v>
      </c>
      <c r="H35" t="n">
        <v>67.2376998859882</v>
      </c>
      <c r="I35" t="n">
        <v>69.4891262385793</v>
      </c>
      <c r="J35" t="n">
        <v>74.7595837175603</v>
      </c>
      <c r="K35" t="n">
        <v>77.2188894016305</v>
      </c>
      <c r="L35" t="n">
        <v>77.6592234077659</v>
      </c>
      <c r="M35" t="n">
        <v>79.0095666854249</v>
      </c>
      <c r="N35" t="n">
        <v>82.1087110481586</v>
      </c>
      <c r="O35" t="n">
        <v>84.6874731321468</v>
      </c>
      <c r="P35" t="n">
        <v>86.3821138211382</v>
      </c>
      <c r="Q35" t="n">
        <v>89.0847711927982</v>
      </c>
      <c r="R35" t="n">
        <v>91.760413499544</v>
      </c>
      <c r="S35" t="n">
        <v>96.0817457392321</v>
      </c>
      <c r="T35" t="n">
        <v>95.9606018359255</v>
      </c>
      <c r="U35" t="n">
        <v>99.6460583134574</v>
      </c>
      <c r="V35" t="n">
        <v>102.29700438193</v>
      </c>
      <c r="W35" t="n">
        <v>103.453974549661</v>
      </c>
      <c r="X35" t="n">
        <v>103.048953314168</v>
      </c>
      <c r="Y35" t="n">
        <v>102.12439887967</v>
      </c>
      <c r="Z35" t="n">
        <v>100.906417996138</v>
      </c>
      <c r="AA35" t="n">
        <v>99.7436895559813</v>
      </c>
      <c r="AB35" t="n">
        <v>100.715696751838</v>
      </c>
      <c r="AC35" t="n">
        <v>101.091395948822</v>
      </c>
      <c r="AD35" t="n">
        <v>101.24041867235</v>
      </c>
      <c r="AE35" t="n">
        <v>100</v>
      </c>
      <c r="AF35" t="n">
        <v>101.749611197512</v>
      </c>
    </row>
    <row r="36">
      <c r="A36" t="s">
        <v>90</v>
      </c>
      <c r="B36" t="s">
        <v>342</v>
      </c>
      <c r="C36" t="s">
        <v>217</v>
      </c>
      <c r="D36" t="s">
        <v>343</v>
      </c>
      <c r="E36" t="s">
        <v>218</v>
      </c>
      <c r="F36" t="n">
        <v>58.4241275856624</v>
      </c>
      <c r="G36" t="n">
        <v>63.1555518459784</v>
      </c>
      <c r="H36" t="n">
        <v>66.432316491897</v>
      </c>
      <c r="I36" t="n">
        <v>69.3919163350544</v>
      </c>
      <c r="J36" t="n">
        <v>74.780206824536</v>
      </c>
      <c r="K36" t="n">
        <v>76.9810846477723</v>
      </c>
      <c r="L36" t="n">
        <v>77.6576291848206</v>
      </c>
      <c r="M36" t="n">
        <v>78.8168204367379</v>
      </c>
      <c r="N36" t="n">
        <v>81.7611487328154</v>
      </c>
      <c r="O36" t="n">
        <v>84.4058533145275</v>
      </c>
      <c r="P36" t="n">
        <v>86.0923894327742</v>
      </c>
      <c r="Q36" t="n">
        <v>88.7827376050074</v>
      </c>
      <c r="R36" t="n">
        <v>91.4455169909523</v>
      </c>
      <c r="S36" t="n">
        <v>95.7491915426821</v>
      </c>
      <c r="T36" t="n">
        <v>95.629072199649</v>
      </c>
      <c r="U36" t="n">
        <v>99.2299808880149</v>
      </c>
      <c r="V36" t="n">
        <v>101.865203032699</v>
      </c>
      <c r="W36" t="n">
        <v>103.179167008954</v>
      </c>
      <c r="X36" t="n">
        <v>102.576479816569</v>
      </c>
      <c r="Y36" t="n">
        <v>101.526837714466</v>
      </c>
      <c r="Z36" t="n">
        <v>100.486841421369</v>
      </c>
      <c r="AA36" t="n">
        <v>99.3797575415844</v>
      </c>
      <c r="AB36" t="n">
        <v>100.347387340915</v>
      </c>
      <c r="AC36" t="n">
        <v>100.854816366524</v>
      </c>
      <c r="AD36" t="n">
        <v>101.101756264937</v>
      </c>
      <c r="AE36" t="n">
        <v>100</v>
      </c>
      <c r="AF36" t="n">
        <v>101.791044776119</v>
      </c>
    </row>
    <row r="37">
      <c r="A37" t="s">
        <v>90</v>
      </c>
      <c r="B37" t="s">
        <v>344</v>
      </c>
      <c r="C37" t="s">
        <v>217</v>
      </c>
      <c r="D37" t="s">
        <v>345</v>
      </c>
      <c r="E37" t="s">
        <v>218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90</v>
      </c>
      <c r="B38" t="s">
        <v>346</v>
      </c>
      <c r="C38" t="s">
        <v>217</v>
      </c>
      <c r="D38" t="s">
        <v>347</v>
      </c>
      <c r="E38" t="s">
        <v>218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90</v>
      </c>
      <c r="B39" t="s">
        <v>348</v>
      </c>
      <c r="C39" t="s">
        <v>217</v>
      </c>
      <c r="D39" t="s">
        <v>349</v>
      </c>
      <c r="E39" t="s">
        <v>218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90</v>
      </c>
      <c r="B40" t="s">
        <v>350</v>
      </c>
      <c r="C40" t="s">
        <v>217</v>
      </c>
      <c r="D40" t="s">
        <v>351</v>
      </c>
      <c r="E40" t="s">
        <v>218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s">
        <v>90</v>
      </c>
      <c r="B41" t="s">
        <v>352</v>
      </c>
      <c r="C41" t="s">
        <v>217</v>
      </c>
      <c r="D41" t="s">
        <v>353</v>
      </c>
      <c r="E41" t="s">
        <v>218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90</v>
      </c>
      <c r="B42" t="s">
        <v>354</v>
      </c>
      <c r="C42" t="s">
        <v>217</v>
      </c>
      <c r="D42" t="s">
        <v>355</v>
      </c>
      <c r="E42" t="s">
        <v>218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90</v>
      </c>
      <c r="B43" t="s">
        <v>356</v>
      </c>
      <c r="C43" t="s">
        <v>217</v>
      </c>
      <c r="D43" t="s">
        <v>357</v>
      </c>
      <c r="E43" t="s">
        <v>218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90</v>
      </c>
      <c r="B44" t="s">
        <v>358</v>
      </c>
      <c r="C44" t="s">
        <v>217</v>
      </c>
      <c r="D44" t="s">
        <v>359</v>
      </c>
      <c r="E44" t="s">
        <v>218</v>
      </c>
      <c r="F44" t="n">
        <v>57.3076873986905</v>
      </c>
      <c r="G44" t="n">
        <v>62.0534035351636</v>
      </c>
      <c r="H44" t="n">
        <v>65.2280576854622</v>
      </c>
      <c r="I44" t="n">
        <v>68.0965887964645</v>
      </c>
      <c r="J44" t="n">
        <v>73.7801678908709</v>
      </c>
      <c r="K44" t="n">
        <v>76.554728924329</v>
      </c>
      <c r="L44" t="n">
        <v>77.5159395849051</v>
      </c>
      <c r="M44" t="n">
        <v>78.8103070175439</v>
      </c>
      <c r="N44" t="n">
        <v>81.6521856166535</v>
      </c>
      <c r="O44" t="n">
        <v>84.1001713684999</v>
      </c>
      <c r="P44" t="n">
        <v>85.6649066463448</v>
      </c>
      <c r="Q44" t="n">
        <v>88.4072436902895</v>
      </c>
      <c r="R44" t="n">
        <v>91.0621503702229</v>
      </c>
      <c r="S44" t="n">
        <v>95.290383244038</v>
      </c>
      <c r="T44" t="n">
        <v>95.1707439859042</v>
      </c>
      <c r="U44" t="n">
        <v>99.3869525251059</v>
      </c>
      <c r="V44" t="n">
        <v>102.497900270632</v>
      </c>
      <c r="W44" t="n">
        <v>104.158014518996</v>
      </c>
      <c r="X44" t="n">
        <v>103.545461972061</v>
      </c>
      <c r="Y44" t="n">
        <v>103.14512465596</v>
      </c>
      <c r="Z44" t="n">
        <v>101.563872781585</v>
      </c>
      <c r="AA44" t="n">
        <v>100.241963359834</v>
      </c>
      <c r="AB44" t="n">
        <v>101.381888064624</v>
      </c>
      <c r="AC44" t="n">
        <v>101.837637366813</v>
      </c>
      <c r="AD44" t="n">
        <v>101.588474325822</v>
      </c>
      <c r="AE44" t="n">
        <v>100</v>
      </c>
      <c r="AF44" t="n">
        <v>101.592233009709</v>
      </c>
    </row>
    <row r="45">
      <c r="A45" t="s">
        <v>90</v>
      </c>
      <c r="B45" t="s">
        <v>360</v>
      </c>
      <c r="C45" t="s">
        <v>217</v>
      </c>
      <c r="D45" t="s">
        <v>361</v>
      </c>
      <c r="E45" t="s">
        <v>218</v>
      </c>
      <c r="F45" t="n">
        <v>57.4941286687799</v>
      </c>
      <c r="G45" t="n">
        <v>62.1659255266586</v>
      </c>
      <c r="H45" t="n">
        <v>65.2450055814312</v>
      </c>
      <c r="I45" t="n">
        <v>68.1139553912036</v>
      </c>
      <c r="J45" t="n">
        <v>73.6811081638668</v>
      </c>
      <c r="K45" t="n">
        <v>76.5544347183597</v>
      </c>
      <c r="L45" t="n">
        <v>77.5159395849051</v>
      </c>
      <c r="M45" t="n">
        <v>78.8103070175439</v>
      </c>
      <c r="N45" t="n">
        <v>81.6521856166535</v>
      </c>
      <c r="O45" t="n">
        <v>84.1001713684999</v>
      </c>
      <c r="P45" t="n">
        <v>85.6649066463448</v>
      </c>
      <c r="Q45" t="n">
        <v>88.4072436902895</v>
      </c>
      <c r="R45" t="n">
        <v>91.0621503702229</v>
      </c>
      <c r="S45" t="n">
        <v>95.290383244038</v>
      </c>
      <c r="T45" t="n">
        <v>95.1707439859042</v>
      </c>
      <c r="U45" t="n">
        <v>99.3869525251059</v>
      </c>
      <c r="V45" t="n">
        <v>102.497900270632</v>
      </c>
      <c r="W45" t="n">
        <v>104.158014518996</v>
      </c>
      <c r="X45" t="n">
        <v>103.545461972061</v>
      </c>
      <c r="Y45" t="n">
        <v>103.14512465596</v>
      </c>
      <c r="Z45" t="n">
        <v>101.563872781585</v>
      </c>
      <c r="AA45" t="n">
        <v>100.241963359834</v>
      </c>
      <c r="AB45" t="n">
        <v>101.381888064624</v>
      </c>
      <c r="AC45" t="n">
        <v>101.837637366813</v>
      </c>
      <c r="AD45" t="n">
        <v>101.588474325822</v>
      </c>
      <c r="AE45" t="n">
        <v>100</v>
      </c>
      <c r="AF45" t="n">
        <v>101.592233009709</v>
      </c>
    </row>
    <row r="46">
      <c r="A46" t="s">
        <v>90</v>
      </c>
      <c r="B46" t="s">
        <v>362</v>
      </c>
      <c r="C46" t="s">
        <v>217</v>
      </c>
      <c r="D46" t="s">
        <v>363</v>
      </c>
      <c r="E46" t="s">
        <v>218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90</v>
      </c>
      <c r="B47" t="s">
        <v>364</v>
      </c>
      <c r="C47" t="s">
        <v>217</v>
      </c>
      <c r="D47" t="s">
        <v>365</v>
      </c>
      <c r="E47" t="s">
        <v>218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s">
        <v>90</v>
      </c>
      <c r="B48" t="s">
        <v>366</v>
      </c>
      <c r="C48" t="s">
        <v>217</v>
      </c>
      <c r="D48" t="s">
        <v>367</v>
      </c>
      <c r="E48" t="s">
        <v>218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s">
        <v>90</v>
      </c>
      <c r="B49" t="s">
        <v>368</v>
      </c>
      <c r="C49" t="s">
        <v>217</v>
      </c>
      <c r="D49" t="s">
        <v>369</v>
      </c>
      <c r="E49" t="s">
        <v>218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90</v>
      </c>
      <c r="B50" t="s">
        <v>370</v>
      </c>
      <c r="C50" t="s">
        <v>217</v>
      </c>
      <c r="D50" t="s">
        <v>371</v>
      </c>
      <c r="E50" t="s">
        <v>218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90</v>
      </c>
      <c r="B51" t="s">
        <v>372</v>
      </c>
      <c r="C51" t="s">
        <v>217</v>
      </c>
      <c r="D51" t="s">
        <v>373</v>
      </c>
      <c r="E51" t="s">
        <v>218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90</v>
      </c>
      <c r="B52" t="s">
        <v>374</v>
      </c>
      <c r="C52" t="s">
        <v>217</v>
      </c>
      <c r="D52" t="s">
        <v>375</v>
      </c>
      <c r="E52" t="s">
        <v>218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90</v>
      </c>
      <c r="B53" t="s">
        <v>376</v>
      </c>
      <c r="C53" t="s">
        <v>217</v>
      </c>
      <c r="D53" t="s">
        <v>377</v>
      </c>
      <c r="E53" t="s">
        <v>218</v>
      </c>
      <c r="F53" t="n">
        <v>67.8563666658617</v>
      </c>
      <c r="G53" t="n">
        <v>73.6229622215814</v>
      </c>
      <c r="H53" t="n">
        <v>77.81462987936</v>
      </c>
      <c r="I53" t="n">
        <v>81.6557522839356</v>
      </c>
      <c r="J53" t="n">
        <v>88.5287562230508</v>
      </c>
      <c r="K53" t="n">
        <v>91.4598397498534</v>
      </c>
      <c r="L53" t="n">
        <v>92.1633088875776</v>
      </c>
      <c r="M53" t="n">
        <v>93.6032948359782</v>
      </c>
      <c r="N53" t="n">
        <v>97.1270687078858</v>
      </c>
      <c r="O53" t="n">
        <v>100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90</v>
      </c>
      <c r="B54" t="s">
        <v>378</v>
      </c>
      <c r="C54" t="s">
        <v>217</v>
      </c>
      <c r="D54" t="s">
        <v>379</v>
      </c>
      <c r="E54" t="s">
        <v>218</v>
      </c>
      <c r="F54" t="n">
        <v>67.5984507686016</v>
      </c>
      <c r="G54" t="n">
        <v>73.1612750965088</v>
      </c>
      <c r="H54" t="n">
        <v>77.325655094982</v>
      </c>
      <c r="I54" t="n">
        <v>81.1424210166904</v>
      </c>
      <c r="J54" t="n">
        <v>88.1980617178907</v>
      </c>
      <c r="K54" t="n">
        <v>91.3206369029035</v>
      </c>
      <c r="L54" t="n">
        <v>92.1633088875776</v>
      </c>
      <c r="M54" t="n">
        <v>93.6032948359782</v>
      </c>
      <c r="N54" t="n">
        <v>97.1270687078858</v>
      </c>
      <c r="O54" t="n">
        <v>100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s">
        <v>90</v>
      </c>
      <c r="B55" t="s">
        <v>380</v>
      </c>
      <c r="C55" t="s">
        <v>217</v>
      </c>
      <c r="D55" t="s">
        <v>381</v>
      </c>
      <c r="E55" t="s">
        <v>218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90</v>
      </c>
      <c r="B56" t="s">
        <v>382</v>
      </c>
      <c r="C56" t="s">
        <v>217</v>
      </c>
      <c r="D56" t="s">
        <v>383</v>
      </c>
      <c r="E56" t="s">
        <v>218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90</v>
      </c>
      <c r="B57" t="s">
        <v>384</v>
      </c>
      <c r="C57" t="s">
        <v>217</v>
      </c>
      <c r="D57" t="s">
        <v>385</v>
      </c>
      <c r="E57" t="s">
        <v>218</v>
      </c>
      <c r="F57" t="n">
        <v>57.5628763726532</v>
      </c>
      <c r="G57" t="n">
        <v>62.2570160911804</v>
      </c>
      <c r="H57" t="n">
        <v>65.583742835689</v>
      </c>
      <c r="I57" t="n">
        <v>68.5313654690346</v>
      </c>
      <c r="J57" t="n">
        <v>74.151740836423</v>
      </c>
      <c r="K57" t="n">
        <v>76.8941664042581</v>
      </c>
      <c r="L57" t="n">
        <v>77.8446177573441</v>
      </c>
      <c r="M57" t="n">
        <v>79.1223654055679</v>
      </c>
      <c r="N57" t="n">
        <v>82.0774231678487</v>
      </c>
      <c r="O57" t="n">
        <v>84.2802424655879</v>
      </c>
      <c r="P57" t="n">
        <v>85.7801355571618</v>
      </c>
      <c r="Q57" t="n">
        <v>88.5826230787407</v>
      </c>
      <c r="R57" t="n">
        <v>91.3037694549588</v>
      </c>
      <c r="S57" t="n">
        <v>95.5506752247716</v>
      </c>
      <c r="T57" t="n">
        <v>95.5505531874132</v>
      </c>
      <c r="U57" t="n">
        <v>99.7835017208838</v>
      </c>
      <c r="V57" t="n">
        <v>102.749886787739</v>
      </c>
      <c r="W57" t="n">
        <v>104.414727972156</v>
      </c>
      <c r="X57" t="n">
        <v>104.209403462706</v>
      </c>
      <c r="Y57" t="n">
        <v>103.26999261398</v>
      </c>
      <c r="Z57" t="n">
        <v>101.513927429836</v>
      </c>
      <c r="AA57" t="n">
        <v>100.143206817051</v>
      </c>
      <c r="AB57" t="n">
        <v>101.283136846219</v>
      </c>
      <c r="AC57" t="n">
        <v>101.738121069123</v>
      </c>
      <c r="AD57" t="n">
        <v>101.58840984465</v>
      </c>
      <c r="AE57" t="n">
        <v>100</v>
      </c>
      <c r="AF57" t="n">
        <v>101.592233009709</v>
      </c>
    </row>
    <row r="58">
      <c r="A58" t="s">
        <v>90</v>
      </c>
      <c r="B58" t="s">
        <v>386</v>
      </c>
      <c r="C58" t="s">
        <v>217</v>
      </c>
      <c r="D58" t="s">
        <v>387</v>
      </c>
      <c r="E58" t="s">
        <v>218</v>
      </c>
      <c r="F58" t="n">
        <v>57.5628763726532</v>
      </c>
      <c r="G58" t="n">
        <v>62.2570160911804</v>
      </c>
      <c r="H58" t="n">
        <v>65.583742835689</v>
      </c>
      <c r="I58" t="n">
        <v>68.5313654690346</v>
      </c>
      <c r="J58" t="n">
        <v>74.151740836423</v>
      </c>
      <c r="K58" t="n">
        <v>76.8941664042581</v>
      </c>
      <c r="L58" t="n">
        <v>77.8446177573441</v>
      </c>
      <c r="M58" t="n">
        <v>79.1223654055679</v>
      </c>
      <c r="N58" t="n">
        <v>82.0774231678487</v>
      </c>
      <c r="O58" t="n">
        <v>84.2802424655879</v>
      </c>
      <c r="P58" t="n">
        <v>85.7801355571618</v>
      </c>
      <c r="Q58" t="n">
        <v>88.5826230787407</v>
      </c>
      <c r="R58" t="n">
        <v>91.3037694549588</v>
      </c>
      <c r="S58" t="n">
        <v>95.5506752247716</v>
      </c>
      <c r="T58" t="n">
        <v>95.5505531874132</v>
      </c>
      <c r="U58" t="n">
        <v>99.7835017208838</v>
      </c>
      <c r="V58" t="n">
        <v>102.749886787739</v>
      </c>
      <c r="W58" t="n">
        <v>104.414727972156</v>
      </c>
      <c r="X58" t="n">
        <v>104.209403462706</v>
      </c>
      <c r="Y58" t="n">
        <v>103.26999261398</v>
      </c>
      <c r="Z58" t="n">
        <v>101.513927429836</v>
      </c>
      <c r="AA58" t="n">
        <v>100.143206817051</v>
      </c>
      <c r="AB58" t="n">
        <v>101.283136846219</v>
      </c>
      <c r="AC58" t="n">
        <v>101.738121069123</v>
      </c>
      <c r="AD58" t="n">
        <v>101.58840984465</v>
      </c>
      <c r="AE58" t="n">
        <v>100</v>
      </c>
      <c r="AF58" t="n">
        <v>101.592233009709</v>
      </c>
    </row>
    <row r="59">
      <c r="A59" t="s">
        <v>90</v>
      </c>
      <c r="B59" t="s">
        <v>388</v>
      </c>
      <c r="C59" t="s">
        <v>217</v>
      </c>
      <c r="D59" t="s">
        <v>389</v>
      </c>
      <c r="E59" t="s">
        <v>218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92</v>
      </c>
      <c r="B2" t="s">
        <v>197</v>
      </c>
      <c r="C2" t="s">
        <v>217</v>
      </c>
      <c r="D2" t="s">
        <v>199</v>
      </c>
      <c r="E2" t="s">
        <v>218</v>
      </c>
      <c r="F2" t="n">
        <v>74.2534953037218</v>
      </c>
      <c r="G2" t="n">
        <v>77.0371527015754</v>
      </c>
      <c r="H2" t="n">
        <v>78.4647966866588</v>
      </c>
      <c r="I2" t="n">
        <v>83.0850231567341</v>
      </c>
      <c r="J2" t="n">
        <v>83.6263973973107</v>
      </c>
      <c r="K2" t="n">
        <v>86.4213184390727</v>
      </c>
      <c r="L2" t="n">
        <v>88.0955385025212</v>
      </c>
      <c r="M2" t="n">
        <v>90.669675207572</v>
      </c>
      <c r="N2" t="n">
        <v>92.1775016158946</v>
      </c>
      <c r="O2" t="n">
        <v>92.8348215510653</v>
      </c>
      <c r="P2" t="n">
        <v>92.6641260257685</v>
      </c>
      <c r="Q2" t="n">
        <v>96.2062053575062</v>
      </c>
      <c r="R2" t="n">
        <v>97.1229525498632</v>
      </c>
      <c r="S2" t="n">
        <v>99.1665623657801</v>
      </c>
      <c r="T2" t="n">
        <v>99.525718897468</v>
      </c>
      <c r="U2" t="n">
        <v>99.8031891770322</v>
      </c>
      <c r="V2" t="n">
        <v>99.7828031507824</v>
      </c>
      <c r="W2" t="n">
        <v>99.2231113334569</v>
      </c>
      <c r="X2" t="n">
        <v>99.3620248006315</v>
      </c>
      <c r="Y2" t="n">
        <v>99.376996852888</v>
      </c>
      <c r="Z2" t="n">
        <v>99.1822508574117</v>
      </c>
      <c r="AA2" t="n">
        <v>99.1491698909798</v>
      </c>
      <c r="AB2" t="n">
        <v>99.3988041239062</v>
      </c>
      <c r="AC2" t="n">
        <v>99.6901680521604</v>
      </c>
      <c r="AD2" t="n">
        <v>99.9566599248772</v>
      </c>
      <c r="AE2" t="n">
        <v>100</v>
      </c>
      <c r="AF2" t="n">
        <v>101.523967858132</v>
      </c>
    </row>
    <row r="3">
      <c r="A3" t="s">
        <v>92</v>
      </c>
      <c r="B3" t="s">
        <v>276</v>
      </c>
      <c r="C3" t="s">
        <v>217</v>
      </c>
      <c r="D3" t="s">
        <v>277</v>
      </c>
      <c r="E3" t="s">
        <v>218</v>
      </c>
      <c r="F3" t="n">
        <v>79.9133525826885</v>
      </c>
      <c r="G3" t="n">
        <v>84.9997753071878</v>
      </c>
      <c r="H3" t="n">
        <v>88.5027963501507</v>
      </c>
      <c r="I3" t="n">
        <v>93.1027337903872</v>
      </c>
      <c r="J3" t="n">
        <v>94.4756773301533</v>
      </c>
      <c r="K3" t="n">
        <v>97.780713823785</v>
      </c>
      <c r="L3" t="n">
        <v>99.7021688989248</v>
      </c>
      <c r="M3" t="n">
        <v>99.8740691901299</v>
      </c>
      <c r="N3" t="n">
        <v>100.146205618441</v>
      </c>
      <c r="O3" t="n">
        <v>99.651656454893</v>
      </c>
      <c r="P3" t="n">
        <v>100.032733535026</v>
      </c>
      <c r="Q3" t="n">
        <v>103.104899883293</v>
      </c>
      <c r="R3" t="n">
        <v>105.41938721365</v>
      </c>
      <c r="S3" t="n">
        <v>107.950718172257</v>
      </c>
      <c r="T3" t="n">
        <v>106.79672604408</v>
      </c>
      <c r="U3" t="n">
        <v>107.286058122174</v>
      </c>
      <c r="V3" t="n">
        <v>107.286058122174</v>
      </c>
      <c r="W3" t="n">
        <v>106.662301970301</v>
      </c>
      <c r="X3" t="n">
        <v>105.772775570245</v>
      </c>
      <c r="Y3" t="n">
        <v>103.828747949071</v>
      </c>
      <c r="Z3" t="n">
        <v>102.0261655194</v>
      </c>
      <c r="AA3" t="n">
        <v>99.5384279989381</v>
      </c>
      <c r="AB3" t="n">
        <v>99.3683931031422</v>
      </c>
      <c r="AC3" t="n">
        <v>99.7269388514525</v>
      </c>
      <c r="AD3" t="n">
        <v>99.6881496881497</v>
      </c>
      <c r="AE3" t="n">
        <v>100</v>
      </c>
      <c r="AF3" t="n">
        <v>101.274697259401</v>
      </c>
    </row>
    <row r="4">
      <c r="A4" t="s">
        <v>92</v>
      </c>
      <c r="B4" t="s">
        <v>278</v>
      </c>
      <c r="C4" t="s">
        <v>217</v>
      </c>
      <c r="D4" t="s">
        <v>279</v>
      </c>
      <c r="E4" t="s">
        <v>218</v>
      </c>
      <c r="F4" t="n">
        <v>74.5144714245913</v>
      </c>
      <c r="G4" t="n">
        <v>78.6254046662423</v>
      </c>
      <c r="H4" t="n">
        <v>80.4391446822981</v>
      </c>
      <c r="I4" t="n">
        <v>84.1786577611954</v>
      </c>
      <c r="J4" t="n">
        <v>84.1568902334375</v>
      </c>
      <c r="K4" t="n">
        <v>86.9378273649602</v>
      </c>
      <c r="L4" t="n">
        <v>88.7977516159039</v>
      </c>
      <c r="M4" t="n">
        <v>89.2471329499925</v>
      </c>
      <c r="N4" t="n">
        <v>90.1907319389988</v>
      </c>
      <c r="O4" t="n">
        <v>90.6258188954648</v>
      </c>
      <c r="P4" t="n">
        <v>91.5235343087128</v>
      </c>
      <c r="Q4" t="n">
        <v>94.7172588934905</v>
      </c>
      <c r="R4" t="n">
        <v>96.6522123933885</v>
      </c>
      <c r="S4" t="n">
        <v>99.1874939642908</v>
      </c>
      <c r="T4" t="n">
        <v>99.0153211308962</v>
      </c>
      <c r="U4" t="n">
        <v>100.03840726069</v>
      </c>
      <c r="V4" t="n">
        <v>100.717629845741</v>
      </c>
      <c r="W4" t="n">
        <v>100.253809957316</v>
      </c>
      <c r="X4" t="n">
        <v>100.056314148486</v>
      </c>
      <c r="Y4" t="n">
        <v>99.4187656042112</v>
      </c>
      <c r="Z4" t="n">
        <v>99.0929384019569</v>
      </c>
      <c r="AA4" t="n">
        <v>98.8585045928609</v>
      </c>
      <c r="AB4" t="n">
        <v>99.280906504722</v>
      </c>
      <c r="AC4" t="n">
        <v>99.6199661640765</v>
      </c>
      <c r="AD4" t="n">
        <v>99.7926323493535</v>
      </c>
      <c r="AE4" t="n">
        <v>100</v>
      </c>
      <c r="AF4" t="n">
        <v>101.480778749381</v>
      </c>
    </row>
    <row r="5">
      <c r="A5" t="s">
        <v>92</v>
      </c>
      <c r="B5" t="s">
        <v>280</v>
      </c>
      <c r="C5" t="s">
        <v>217</v>
      </c>
      <c r="D5" t="s">
        <v>281</v>
      </c>
      <c r="E5" t="s">
        <v>218</v>
      </c>
      <c r="F5" t="n">
        <v>75.2621763453172</v>
      </c>
      <c r="G5" t="n">
        <v>79.7352566256886</v>
      </c>
      <c r="H5" t="n">
        <v>82.3282731013207</v>
      </c>
      <c r="I5" t="n">
        <v>86.3413203869095</v>
      </c>
      <c r="J5" t="n">
        <v>85.8703018535356</v>
      </c>
      <c r="K5" t="n">
        <v>88.8630156743577</v>
      </c>
      <c r="L5" t="n">
        <v>90.8691586654669</v>
      </c>
      <c r="M5" t="n">
        <v>91.3046338667391</v>
      </c>
      <c r="N5" t="n">
        <v>92.1582950776883</v>
      </c>
      <c r="O5" t="n">
        <v>92.4871765031013</v>
      </c>
      <c r="P5" t="n">
        <v>92.9891125719006</v>
      </c>
      <c r="Q5" t="n">
        <v>95.9074338392453</v>
      </c>
      <c r="R5" t="n">
        <v>97.8457409095615</v>
      </c>
      <c r="S5" t="n">
        <v>99.9168529554778</v>
      </c>
      <c r="T5" t="n">
        <v>99.7273127412036</v>
      </c>
      <c r="U5" t="n">
        <v>100.332594119113</v>
      </c>
      <c r="V5" t="n">
        <v>100.755244878332</v>
      </c>
      <c r="W5" t="n">
        <v>100.3776272655</v>
      </c>
      <c r="X5" t="n">
        <v>100.333378807371</v>
      </c>
      <c r="Y5" t="n">
        <v>99.6737729569208</v>
      </c>
      <c r="Z5" t="n">
        <v>99.2176746332088</v>
      </c>
      <c r="AA5" t="n">
        <v>98.8708751712752</v>
      </c>
      <c r="AB5" t="n">
        <v>99.2108128545184</v>
      </c>
      <c r="AC5" t="n">
        <v>99.5260438803517</v>
      </c>
      <c r="AD5" t="n">
        <v>99.6457564575646</v>
      </c>
      <c r="AE5" t="n">
        <v>100</v>
      </c>
      <c r="AF5" t="n">
        <v>101.498452012384</v>
      </c>
    </row>
    <row r="6">
      <c r="A6" t="s">
        <v>92</v>
      </c>
      <c r="B6" t="s">
        <v>282</v>
      </c>
      <c r="C6" t="s">
        <v>217</v>
      </c>
      <c r="D6" t="s">
        <v>283</v>
      </c>
      <c r="E6" t="s">
        <v>218</v>
      </c>
      <c r="F6" t="n">
        <v>79.489095506032</v>
      </c>
      <c r="G6" t="n">
        <v>83.8525842143658</v>
      </c>
      <c r="H6" t="n">
        <v>86.7590862668568</v>
      </c>
      <c r="I6" t="n">
        <v>90.8078436259768</v>
      </c>
      <c r="J6" t="n">
        <v>90.4724843347852</v>
      </c>
      <c r="K6" t="n">
        <v>93.4674355403506</v>
      </c>
      <c r="L6" t="n">
        <v>95.4618910028992</v>
      </c>
      <c r="M6" t="n">
        <v>95.9058997982616</v>
      </c>
      <c r="N6" t="n">
        <v>96.7705660624082</v>
      </c>
      <c r="O6" t="n">
        <v>96.8830899764342</v>
      </c>
      <c r="P6" t="n">
        <v>97.2462880644433</v>
      </c>
      <c r="Q6" t="n">
        <v>110.023172627655</v>
      </c>
      <c r="R6" t="n">
        <v>111.849644268114</v>
      </c>
      <c r="S6" t="n">
        <v>114.015474170954</v>
      </c>
      <c r="T6" t="n">
        <v>113.109690860758</v>
      </c>
      <c r="U6" t="n">
        <v>111.581181524802</v>
      </c>
      <c r="V6" t="n">
        <v>111.913268374578</v>
      </c>
      <c r="W6" t="n">
        <v>100.132924335149</v>
      </c>
      <c r="X6" t="n">
        <v>99.79803161162</v>
      </c>
      <c r="Y6" t="n">
        <v>98.7817583772857</v>
      </c>
      <c r="Z6" t="n">
        <v>98.5536249861142</v>
      </c>
      <c r="AA6" t="n">
        <v>98.5536249861142</v>
      </c>
      <c r="AB6" t="n">
        <v>98.982119007793</v>
      </c>
      <c r="AC6" t="n">
        <v>99.4579945799458</v>
      </c>
      <c r="AD6" t="n">
        <v>99.4579945799458</v>
      </c>
      <c r="AE6" t="n">
        <v>100</v>
      </c>
      <c r="AF6" t="n">
        <v>100.968523002421</v>
      </c>
    </row>
    <row r="7">
      <c r="A7" t="s">
        <v>92</v>
      </c>
      <c r="B7" t="s">
        <v>284</v>
      </c>
      <c r="C7" t="s">
        <v>217</v>
      </c>
      <c r="D7" t="s">
        <v>285</v>
      </c>
      <c r="E7" t="s">
        <v>218</v>
      </c>
      <c r="F7" t="n">
        <v>73.182351300666</v>
      </c>
      <c r="G7" t="n">
        <v>77.8684146673298</v>
      </c>
      <c r="H7" t="n">
        <v>80.342650864793</v>
      </c>
      <c r="I7" t="n">
        <v>84.3886836421566</v>
      </c>
      <c r="J7" t="n">
        <v>83.5683371824062</v>
      </c>
      <c r="K7" t="n">
        <v>86.5626424234696</v>
      </c>
      <c r="L7" t="n">
        <v>88.3464712803523</v>
      </c>
      <c r="M7" t="n">
        <v>88.5891813662874</v>
      </c>
      <c r="N7" t="n">
        <v>89.0593999510341</v>
      </c>
      <c r="O7" t="n">
        <v>89.9453311547355</v>
      </c>
      <c r="P7" t="n">
        <v>90.1540210182036</v>
      </c>
      <c r="Q7" t="n">
        <v>92.8047239415587</v>
      </c>
      <c r="R7" t="n">
        <v>94.5748412919427</v>
      </c>
      <c r="S7" t="n">
        <v>96.8126685225126</v>
      </c>
      <c r="T7" t="n">
        <v>96.8893214667109</v>
      </c>
      <c r="U7" t="n">
        <v>98.2389527774642</v>
      </c>
      <c r="V7" t="n">
        <v>99.2830382659204</v>
      </c>
      <c r="W7" t="n">
        <v>99.834610700731</v>
      </c>
      <c r="X7" t="n">
        <v>99.5711948413624</v>
      </c>
      <c r="Y7" t="n">
        <v>98.8694950891329</v>
      </c>
      <c r="Z7" t="n">
        <v>98.7819999607354</v>
      </c>
      <c r="AA7" t="n">
        <v>98.7243338778628</v>
      </c>
      <c r="AB7" t="n">
        <v>99.1287050523187</v>
      </c>
      <c r="AC7" t="n">
        <v>99.4974874371859</v>
      </c>
      <c r="AD7" t="n">
        <v>99.4974874371859</v>
      </c>
      <c r="AE7" t="n">
        <v>100</v>
      </c>
      <c r="AF7" t="n">
        <v>100.936599423631</v>
      </c>
    </row>
    <row r="8">
      <c r="A8" t="s">
        <v>92</v>
      </c>
      <c r="B8" t="s">
        <v>286</v>
      </c>
      <c r="C8" t="s">
        <v>217</v>
      </c>
      <c r="D8" t="s">
        <v>287</v>
      </c>
      <c r="E8" t="s">
        <v>218</v>
      </c>
      <c r="F8" t="n">
        <v>74.8754099355548</v>
      </c>
      <c r="G8" t="n">
        <v>76.9673048181474</v>
      </c>
      <c r="H8" t="n">
        <v>81.1347392583855</v>
      </c>
      <c r="I8" t="n">
        <v>83.2827845488874</v>
      </c>
      <c r="J8" t="n">
        <v>85.6183482742666</v>
      </c>
      <c r="K8" t="n">
        <v>87.3944950560053</v>
      </c>
      <c r="L8" t="n">
        <v>89.1315284981122</v>
      </c>
      <c r="M8" t="n">
        <v>89.2695030004313</v>
      </c>
      <c r="N8" t="n">
        <v>89.6520865847189</v>
      </c>
      <c r="O8" t="n">
        <v>90.0769779903336</v>
      </c>
      <c r="P8" t="n">
        <v>91.3524820732046</v>
      </c>
      <c r="Q8" t="n">
        <v>94.5449075219993</v>
      </c>
      <c r="R8" t="n">
        <v>96.6459054669327</v>
      </c>
      <c r="S8" t="n">
        <v>98.9576366730764</v>
      </c>
      <c r="T8" t="n">
        <v>98.1575749314042</v>
      </c>
      <c r="U8" t="n">
        <v>98.5038097636137</v>
      </c>
      <c r="V8" t="n">
        <v>98.6458228250859</v>
      </c>
      <c r="W8" t="n">
        <v>97.9678118453588</v>
      </c>
      <c r="X8" t="n">
        <v>98.0622841807931</v>
      </c>
      <c r="Y8" t="n">
        <v>98.1080008633948</v>
      </c>
      <c r="Z8" t="n">
        <v>98.2821364701811</v>
      </c>
      <c r="AA8" t="n">
        <v>98.4995748252036</v>
      </c>
      <c r="AB8" t="n">
        <v>99.0073045923438</v>
      </c>
      <c r="AC8" t="n">
        <v>99.428214248145</v>
      </c>
      <c r="AD8" t="n">
        <v>99.573400250941</v>
      </c>
      <c r="AE8" t="n">
        <v>100</v>
      </c>
      <c r="AF8" t="n">
        <v>101.736842105263</v>
      </c>
    </row>
    <row r="9">
      <c r="A9" t="s">
        <v>92</v>
      </c>
      <c r="B9" t="s">
        <v>288</v>
      </c>
      <c r="C9" t="s">
        <v>217</v>
      </c>
      <c r="D9" t="s">
        <v>289</v>
      </c>
      <c r="E9" t="s">
        <v>218</v>
      </c>
      <c r="F9" t="n">
        <v>69.3956173643695</v>
      </c>
      <c r="G9" t="n">
        <v>73.698511844746</v>
      </c>
      <c r="H9" t="n">
        <v>76.5231934833948</v>
      </c>
      <c r="I9" t="n">
        <v>80.4154480463697</v>
      </c>
      <c r="J9" t="n">
        <v>80.6892027631233</v>
      </c>
      <c r="K9" t="n">
        <v>83.4900835089629</v>
      </c>
      <c r="L9" t="n">
        <v>85.2245328358724</v>
      </c>
      <c r="M9" t="n">
        <v>85.974937527509</v>
      </c>
      <c r="N9" t="n">
        <v>87.3861423101575</v>
      </c>
      <c r="O9" t="n">
        <v>87.5809108294224</v>
      </c>
      <c r="P9" t="n">
        <v>88.3130396555827</v>
      </c>
      <c r="Q9" t="n">
        <v>91.2308713622649</v>
      </c>
      <c r="R9" t="n">
        <v>93.1802489554757</v>
      </c>
      <c r="S9" t="n">
        <v>96.2840559724193</v>
      </c>
      <c r="T9" t="n">
        <v>96.7034638080179</v>
      </c>
      <c r="U9" t="n">
        <v>99.7734150400184</v>
      </c>
      <c r="V9" t="n">
        <v>100.94860249632</v>
      </c>
      <c r="W9" t="n">
        <v>100.94860249632</v>
      </c>
      <c r="X9" t="n">
        <v>100.598390518883</v>
      </c>
      <c r="Y9" t="n">
        <v>99.8052363229389</v>
      </c>
      <c r="Z9" t="n">
        <v>99.8052363229389</v>
      </c>
      <c r="AA9" t="n">
        <v>99.4091837978479</v>
      </c>
      <c r="AB9" t="n">
        <v>99.882560863552</v>
      </c>
      <c r="AC9" t="n">
        <v>100.08292708394</v>
      </c>
      <c r="AD9" t="n">
        <v>100.392541707556</v>
      </c>
      <c r="AE9" t="n">
        <v>100</v>
      </c>
      <c r="AF9" t="n">
        <v>101.618122977346</v>
      </c>
    </row>
    <row r="10">
      <c r="A10" t="s">
        <v>92</v>
      </c>
      <c r="B10" t="s">
        <v>290</v>
      </c>
      <c r="C10" t="s">
        <v>217</v>
      </c>
      <c r="D10" t="s">
        <v>291</v>
      </c>
      <c r="E10" t="s">
        <v>218</v>
      </c>
      <c r="F10" t="n">
        <v>61.522609015123</v>
      </c>
      <c r="G10" t="n">
        <v>65.3585510640276</v>
      </c>
      <c r="H10" t="n">
        <v>68.0662624652516</v>
      </c>
      <c r="I10" t="n">
        <v>71.5171743734549</v>
      </c>
      <c r="J10" t="n">
        <v>72.0675887478016</v>
      </c>
      <c r="K10" t="n">
        <v>74.5785409349422</v>
      </c>
      <c r="L10" t="n">
        <v>76.162944407827</v>
      </c>
      <c r="M10" t="n">
        <v>77.2158883397324</v>
      </c>
      <c r="N10" t="n">
        <v>78.9405571922472</v>
      </c>
      <c r="O10" t="n">
        <v>79.8282685809147</v>
      </c>
      <c r="P10" t="n">
        <v>81.2317490620922</v>
      </c>
      <c r="Q10" t="n">
        <v>83.6713698692128</v>
      </c>
      <c r="R10" t="n">
        <v>85.4499173886408</v>
      </c>
      <c r="S10" t="n">
        <v>88.7937233885632</v>
      </c>
      <c r="T10" t="n">
        <v>89.2472153364108</v>
      </c>
      <c r="U10" t="n">
        <v>99.2547155855303</v>
      </c>
      <c r="V10" t="n">
        <v>101.478455115042</v>
      </c>
      <c r="W10" t="n">
        <v>102.293840802599</v>
      </c>
      <c r="X10" t="n">
        <v>101.984445442894</v>
      </c>
      <c r="Y10" t="n">
        <v>100.813434065157</v>
      </c>
      <c r="Z10" t="n">
        <v>99.7794501260272</v>
      </c>
      <c r="AA10" t="n">
        <v>99.4081284083865</v>
      </c>
      <c r="AB10" t="n">
        <v>99.9660311698622</v>
      </c>
      <c r="AC10" t="n">
        <v>100.186428718898</v>
      </c>
      <c r="AD10" t="n">
        <v>100.504572690003</v>
      </c>
      <c r="AE10" t="n">
        <v>100</v>
      </c>
      <c r="AF10" t="n">
        <v>101.55159038014</v>
      </c>
    </row>
    <row r="11">
      <c r="A11" t="s">
        <v>92</v>
      </c>
      <c r="B11" t="s">
        <v>292</v>
      </c>
      <c r="C11" t="s">
        <v>217</v>
      </c>
      <c r="D11" t="s">
        <v>293</v>
      </c>
      <c r="E11" t="s">
        <v>218</v>
      </c>
      <c r="F11" t="n">
        <v>44.1389960216765</v>
      </c>
      <c r="G11" t="n">
        <v>46.9144704165487</v>
      </c>
      <c r="H11" t="n">
        <v>49.0904662614721</v>
      </c>
      <c r="I11" t="n">
        <v>51.5668399304484</v>
      </c>
      <c r="J11" t="n">
        <v>52.2997019966434</v>
      </c>
      <c r="K11" t="n">
        <v>54.1326354778342</v>
      </c>
      <c r="L11" t="n">
        <v>55.3267377310217</v>
      </c>
      <c r="M11" t="n">
        <v>56.3965917755442</v>
      </c>
      <c r="N11" t="n">
        <v>57.9975272840113</v>
      </c>
      <c r="O11" t="n">
        <v>59.3169023122731</v>
      </c>
      <c r="P11" t="n">
        <v>60.9287746577153</v>
      </c>
      <c r="Q11" t="n">
        <v>62.6226244846674</v>
      </c>
      <c r="R11" t="n">
        <v>63.9481605864595</v>
      </c>
      <c r="S11" t="n">
        <v>66.7329998378053</v>
      </c>
      <c r="T11" t="n">
        <v>67.0983264792532</v>
      </c>
      <c r="U11" t="n">
        <v>97.7160094358056</v>
      </c>
      <c r="V11" t="n">
        <v>100.803875177406</v>
      </c>
      <c r="W11" t="n">
        <v>102.322837680079</v>
      </c>
      <c r="X11" t="n">
        <v>102.04851371847</v>
      </c>
      <c r="Y11" t="n">
        <v>100.634854653972</v>
      </c>
      <c r="Z11" t="n">
        <v>99.7383303363421</v>
      </c>
      <c r="AA11" t="n">
        <v>99.3837051618129</v>
      </c>
      <c r="AB11" t="n">
        <v>100.004853319074</v>
      </c>
      <c r="AC11" t="n">
        <v>100.234432872148</v>
      </c>
      <c r="AD11" t="n">
        <v>100.557620817844</v>
      </c>
      <c r="AE11" t="n">
        <v>100</v>
      </c>
      <c r="AF11" t="n">
        <v>101.507321274763</v>
      </c>
    </row>
    <row r="12">
      <c r="A12" t="s">
        <v>92</v>
      </c>
      <c r="B12" t="s">
        <v>294</v>
      </c>
      <c r="C12" t="s">
        <v>217</v>
      </c>
      <c r="D12" t="s">
        <v>295</v>
      </c>
      <c r="E12" t="s">
        <v>218</v>
      </c>
      <c r="F12" t="n">
        <v>81.0436132055383</v>
      </c>
      <c r="G12" t="n">
        <v>84.6004904052892</v>
      </c>
      <c r="H12" t="n">
        <v>82.3107675186504</v>
      </c>
      <c r="I12" t="n">
        <v>85.7924860136306</v>
      </c>
      <c r="J12" t="n">
        <v>86.1556514175727</v>
      </c>
      <c r="K12" t="n">
        <v>88.9036869335314</v>
      </c>
      <c r="L12" t="n">
        <v>90.5727499912451</v>
      </c>
      <c r="M12" t="n">
        <v>90.8357152545959</v>
      </c>
      <c r="N12" t="n">
        <v>91.8318574369629</v>
      </c>
      <c r="O12" t="n">
        <v>91.9451368663671</v>
      </c>
      <c r="P12" t="n">
        <v>92.5367409641668</v>
      </c>
      <c r="Q12" t="n">
        <v>95.405273692103</v>
      </c>
      <c r="R12" t="n">
        <v>97.43961249691</v>
      </c>
      <c r="S12" t="n">
        <v>99.8254136986857</v>
      </c>
      <c r="T12" t="n">
        <v>99.3883722274321</v>
      </c>
      <c r="U12" t="n">
        <v>100.052826510445</v>
      </c>
      <c r="V12" t="n">
        <v>100.383306531949</v>
      </c>
      <c r="W12" t="n">
        <v>100.095262610767</v>
      </c>
      <c r="X12" t="n">
        <v>99.8812314006226</v>
      </c>
      <c r="Y12" t="n">
        <v>99.4787163633144</v>
      </c>
      <c r="Z12" t="n">
        <v>99.2216654166392</v>
      </c>
      <c r="AA12" t="n">
        <v>98.9722080554408</v>
      </c>
      <c r="AB12" t="n">
        <v>99.2866051585395</v>
      </c>
      <c r="AC12" t="n">
        <v>99.6478350109874</v>
      </c>
      <c r="AD12" t="n">
        <v>99.8240469208211</v>
      </c>
      <c r="AE12" t="n">
        <v>100</v>
      </c>
      <c r="AF12" t="n">
        <v>101.560549313358</v>
      </c>
    </row>
    <row r="13">
      <c r="A13" t="s">
        <v>92</v>
      </c>
      <c r="B13" t="s">
        <v>296</v>
      </c>
      <c r="C13" t="s">
        <v>217</v>
      </c>
      <c r="D13" t="s">
        <v>297</v>
      </c>
      <c r="E13" t="s">
        <v>218</v>
      </c>
      <c r="F13" t="n">
        <v>72.1071027182784</v>
      </c>
      <c r="G13" t="n">
        <v>76.5687643392019</v>
      </c>
      <c r="H13" t="n">
        <v>79.0855959694637</v>
      </c>
      <c r="I13" t="n">
        <v>83.0127545073163</v>
      </c>
      <c r="J13" t="n">
        <v>82.4275689267008</v>
      </c>
      <c r="K13" t="n">
        <v>85.3545887212408</v>
      </c>
      <c r="L13" t="n">
        <v>87.1521913656564</v>
      </c>
      <c r="M13" t="n">
        <v>87.4986225635892</v>
      </c>
      <c r="N13" t="n">
        <v>88.0814610153033</v>
      </c>
      <c r="O13" t="n">
        <v>88.3698474639035</v>
      </c>
      <c r="P13" t="n">
        <v>89.3036971239917</v>
      </c>
      <c r="Q13" t="n">
        <v>92.6871003682016</v>
      </c>
      <c r="R13" t="n">
        <v>94.6798487243087</v>
      </c>
      <c r="S13" t="n">
        <v>97.3176157212713</v>
      </c>
      <c r="T13" t="n">
        <v>97.368328392309</v>
      </c>
      <c r="U13" t="n">
        <v>98.1194554970496</v>
      </c>
      <c r="V13" t="n">
        <v>98.7437574408273</v>
      </c>
      <c r="W13" t="n">
        <v>98.5352172983968</v>
      </c>
      <c r="X13" t="n">
        <v>99.2973681504286</v>
      </c>
      <c r="Y13" t="n">
        <v>98.8834374818997</v>
      </c>
      <c r="Z13" t="n">
        <v>98.6839148074003</v>
      </c>
      <c r="AA13" t="n">
        <v>98.5958041691794</v>
      </c>
      <c r="AB13" t="n">
        <v>99.0657148476287</v>
      </c>
      <c r="AC13" t="n">
        <v>99.44631858195</v>
      </c>
      <c r="AD13" t="n">
        <v>99.6922445629873</v>
      </c>
      <c r="AE13" t="n">
        <v>100</v>
      </c>
      <c r="AF13" t="n">
        <v>101.716417910448</v>
      </c>
    </row>
    <row r="14">
      <c r="A14" t="s">
        <v>92</v>
      </c>
      <c r="B14" t="s">
        <v>298</v>
      </c>
      <c r="C14" t="s">
        <v>217</v>
      </c>
      <c r="D14" t="s">
        <v>299</v>
      </c>
      <c r="E14" t="s">
        <v>218</v>
      </c>
      <c r="F14" t="n">
        <v>61.1857847094686</v>
      </c>
      <c r="G14" t="n">
        <v>64.2894114700938</v>
      </c>
      <c r="H14" t="n">
        <v>67.2895840053649</v>
      </c>
      <c r="I14" t="n">
        <v>70.3053636806753</v>
      </c>
      <c r="J14" t="n">
        <v>71.5357075450871</v>
      </c>
      <c r="K14" t="n">
        <v>73.344976412959</v>
      </c>
      <c r="L14" t="n">
        <v>75.112325242187</v>
      </c>
      <c r="M14" t="n">
        <v>75.8819187385208</v>
      </c>
      <c r="N14" t="n">
        <v>76.9456839544814</v>
      </c>
      <c r="O14" t="n">
        <v>78.0328286257378</v>
      </c>
      <c r="P14" t="n">
        <v>79.8510692927453</v>
      </c>
      <c r="Q14" t="n">
        <v>81.6225093965092</v>
      </c>
      <c r="R14" t="n">
        <v>83.3326953076742</v>
      </c>
      <c r="S14" t="n">
        <v>87.5919219567331</v>
      </c>
      <c r="T14" t="n">
        <v>88.9224321636708</v>
      </c>
      <c r="U14" t="n">
        <v>92.7266003845765</v>
      </c>
      <c r="V14" t="n">
        <v>95.1946087598314</v>
      </c>
      <c r="W14" t="n">
        <v>100.242807709216</v>
      </c>
      <c r="X14" t="n">
        <v>99.8542696948396</v>
      </c>
      <c r="Y14" t="n">
        <v>99.1101991307946</v>
      </c>
      <c r="Z14" t="n">
        <v>98.7587445239478</v>
      </c>
      <c r="AA14" t="n">
        <v>98.7587445239478</v>
      </c>
      <c r="AB14" t="n">
        <v>99.6795719787165</v>
      </c>
      <c r="AC14" t="n">
        <v>100.255754475703</v>
      </c>
      <c r="AD14" t="n">
        <v>100.255754475703</v>
      </c>
      <c r="AE14" t="n">
        <v>100</v>
      </c>
      <c r="AF14" t="n">
        <v>100.338983050847</v>
      </c>
    </row>
    <row r="15">
      <c r="A15" t="s">
        <v>92</v>
      </c>
      <c r="B15" t="s">
        <v>300</v>
      </c>
      <c r="C15" t="s">
        <v>217</v>
      </c>
      <c r="D15" t="s">
        <v>301</v>
      </c>
      <c r="E15" t="s">
        <v>218</v>
      </c>
      <c r="F15" t="n">
        <v>64.8093623637398</v>
      </c>
      <c r="G15" t="n">
        <v>68.5957789148822</v>
      </c>
      <c r="H15" t="n">
        <v>71.4330739064954</v>
      </c>
      <c r="I15" t="n">
        <v>74.8721787685934</v>
      </c>
      <c r="J15" t="n">
        <v>75.3388797938652</v>
      </c>
      <c r="K15" t="n">
        <v>77.6862336153357</v>
      </c>
      <c r="L15" t="n">
        <v>79.4904221009378</v>
      </c>
      <c r="M15" t="n">
        <v>79.9361627856159</v>
      </c>
      <c r="N15" t="n">
        <v>81.1106785741686</v>
      </c>
      <c r="O15" t="n">
        <v>82.148895259918</v>
      </c>
      <c r="P15" t="n">
        <v>83.642511537371</v>
      </c>
      <c r="Q15" t="n">
        <v>86.270834450745</v>
      </c>
      <c r="R15" t="n">
        <v>87.9699914408223</v>
      </c>
      <c r="S15" t="n">
        <v>91.1892592262462</v>
      </c>
      <c r="T15" t="n">
        <v>91.843951343768</v>
      </c>
      <c r="U15" t="n">
        <v>95.0141994104564</v>
      </c>
      <c r="V15" t="n">
        <v>96.9532647045474</v>
      </c>
      <c r="W15" t="n">
        <v>100.866176732982</v>
      </c>
      <c r="X15" t="n">
        <v>100.591710945954</v>
      </c>
      <c r="Y15" t="n">
        <v>99.8063101998289</v>
      </c>
      <c r="Z15" t="n">
        <v>99.1353434085696</v>
      </c>
      <c r="AA15" t="n">
        <v>99.0033389566274</v>
      </c>
      <c r="AB15" t="n">
        <v>99.7155931937255</v>
      </c>
      <c r="AC15" t="n">
        <v>100.092946431923</v>
      </c>
      <c r="AD15" t="n">
        <v>100.156862745098</v>
      </c>
      <c r="AE15" t="n">
        <v>100</v>
      </c>
      <c r="AF15" t="n">
        <v>100.988793671721</v>
      </c>
    </row>
    <row r="16">
      <c r="A16" t="s">
        <v>92</v>
      </c>
      <c r="B16" t="s">
        <v>302</v>
      </c>
      <c r="C16" t="s">
        <v>217</v>
      </c>
      <c r="D16" t="s">
        <v>303</v>
      </c>
      <c r="E16" t="s">
        <v>218</v>
      </c>
      <c r="F16" t="n">
        <v>68.8067315160221</v>
      </c>
      <c r="G16" t="n">
        <v>73.144547198554</v>
      </c>
      <c r="H16" t="n">
        <v>75.9470202712955</v>
      </c>
      <c r="I16" t="n">
        <v>79.7443712848603</v>
      </c>
      <c r="J16" t="n">
        <v>79.7443712848603</v>
      </c>
      <c r="K16" t="n">
        <v>82.5172570969237</v>
      </c>
      <c r="L16" t="n">
        <v>84.1010816093407</v>
      </c>
      <c r="M16" t="n">
        <v>84.402249314298</v>
      </c>
      <c r="N16" t="n">
        <v>85.7133522162677</v>
      </c>
      <c r="O16" t="n">
        <v>86.6921343786068</v>
      </c>
      <c r="P16" t="n">
        <v>87.7871929181261</v>
      </c>
      <c r="Q16" t="n">
        <v>91.0040813760709</v>
      </c>
      <c r="R16" t="n">
        <v>92.695035590829</v>
      </c>
      <c r="S16" t="n">
        <v>95.336901537036</v>
      </c>
      <c r="T16" t="n">
        <v>95.5012755052033</v>
      </c>
      <c r="U16" t="n">
        <v>97.7536640784392</v>
      </c>
      <c r="V16" t="n">
        <v>99.1140530417575</v>
      </c>
      <c r="W16" t="n">
        <v>101.29238387784</v>
      </c>
      <c r="X16" t="n">
        <v>101.29238387784</v>
      </c>
      <c r="Y16" t="n">
        <v>100.477153424095</v>
      </c>
      <c r="Z16" t="n">
        <v>99.5141136149182</v>
      </c>
      <c r="AA16" t="n">
        <v>99.2563050304236</v>
      </c>
      <c r="AB16" t="n">
        <v>99.7464596231664</v>
      </c>
      <c r="AC16" t="n">
        <v>100.0270403816</v>
      </c>
      <c r="AD16" t="n">
        <v>100.113122171946</v>
      </c>
      <c r="AE16" t="n">
        <v>100</v>
      </c>
      <c r="AF16" t="n">
        <v>101.402373247033</v>
      </c>
    </row>
    <row r="17">
      <c r="A17" t="s">
        <v>92</v>
      </c>
      <c r="B17" t="s">
        <v>304</v>
      </c>
      <c r="C17" t="s">
        <v>217</v>
      </c>
      <c r="D17" t="s">
        <v>305</v>
      </c>
      <c r="E17" t="s">
        <v>218</v>
      </c>
      <c r="F17" t="n">
        <v>71.1716300098962</v>
      </c>
      <c r="G17" t="n">
        <v>75.1700361902274</v>
      </c>
      <c r="H17" t="n">
        <v>77.3918106589041</v>
      </c>
      <c r="I17" t="n">
        <v>81.2136284692203</v>
      </c>
      <c r="J17" t="n">
        <v>81.5271946023062</v>
      </c>
      <c r="K17" t="n">
        <v>84.2202851146946</v>
      </c>
      <c r="L17" t="n">
        <v>85.9593470492164</v>
      </c>
      <c r="M17" t="n">
        <v>86.810429693268</v>
      </c>
      <c r="N17" t="n">
        <v>88.3830824051026</v>
      </c>
      <c r="O17" t="n">
        <v>88.6363290595585</v>
      </c>
      <c r="P17" t="n">
        <v>89.5693430496591</v>
      </c>
      <c r="Q17" t="n">
        <v>93.8025528111959</v>
      </c>
      <c r="R17" t="n">
        <v>95.6732589926157</v>
      </c>
      <c r="S17" t="n">
        <v>98.4036602195739</v>
      </c>
      <c r="T17" t="n">
        <v>98.3002950302677</v>
      </c>
      <c r="U17" t="n">
        <v>99.9019291651804</v>
      </c>
      <c r="V17" t="n">
        <v>100.745695458805</v>
      </c>
      <c r="W17" t="n">
        <v>100.745695458805</v>
      </c>
      <c r="X17" t="n">
        <v>100.529038049216</v>
      </c>
      <c r="Y17" t="n">
        <v>99.7280098575891</v>
      </c>
      <c r="Z17" t="n">
        <v>99.0783159822954</v>
      </c>
      <c r="AA17" t="n">
        <v>98.4370323837045</v>
      </c>
      <c r="AB17" t="n">
        <v>99.0640198511166</v>
      </c>
      <c r="AC17" t="n">
        <v>99.6774193548387</v>
      </c>
      <c r="AD17" t="n">
        <v>100</v>
      </c>
      <c r="AE17" t="n">
        <v>100</v>
      </c>
      <c r="AF17" t="n">
        <v>101.156069364162</v>
      </c>
    </row>
    <row r="18">
      <c r="A18" t="s">
        <v>92</v>
      </c>
      <c r="B18" t="s">
        <v>306</v>
      </c>
      <c r="C18" t="s">
        <v>217</v>
      </c>
      <c r="D18" t="s">
        <v>307</v>
      </c>
      <c r="E18" t="s">
        <v>218</v>
      </c>
      <c r="F18" t="n">
        <v>72.8783934527309</v>
      </c>
      <c r="G18" t="n">
        <v>76.8081107467507</v>
      </c>
      <c r="H18" t="n">
        <v>79.1457488999127</v>
      </c>
      <c r="I18" t="n">
        <v>82.8468091002683</v>
      </c>
      <c r="J18" t="n">
        <v>82.8468091002683</v>
      </c>
      <c r="K18" t="n">
        <v>85.4223575697067</v>
      </c>
      <c r="L18" t="n">
        <v>87.2918704458114</v>
      </c>
      <c r="M18" t="n">
        <v>87.94330231481</v>
      </c>
      <c r="N18" t="n">
        <v>89.3756036554421</v>
      </c>
      <c r="O18" t="n">
        <v>89.7616753774958</v>
      </c>
      <c r="P18" t="n">
        <v>90.2886519452698</v>
      </c>
      <c r="Q18" t="n">
        <v>94.0769869919244</v>
      </c>
      <c r="R18" t="n">
        <v>95.9473048247659</v>
      </c>
      <c r="S18" t="n">
        <v>99.0840436363448</v>
      </c>
      <c r="T18" t="n">
        <v>99.7611555518551</v>
      </c>
      <c r="U18" t="n">
        <v>101.85039441158</v>
      </c>
      <c r="V18" t="n">
        <v>104.017424079911</v>
      </c>
      <c r="W18" t="n">
        <v>103.602184862027</v>
      </c>
      <c r="X18" t="n">
        <v>102.677165354331</v>
      </c>
      <c r="Y18" t="n">
        <v>100.787401574803</v>
      </c>
      <c r="Z18" t="n">
        <v>100.787401574803</v>
      </c>
      <c r="AA18" t="n">
        <v>100</v>
      </c>
      <c r="AB18" t="n">
        <v>100</v>
      </c>
      <c r="AC18" t="n">
        <v>100</v>
      </c>
      <c r="AD18" t="n">
        <v>100</v>
      </c>
      <c r="AE18" t="n">
        <v>100</v>
      </c>
      <c r="AF18" t="n">
        <v>101.428571428571</v>
      </c>
    </row>
    <row r="19">
      <c r="A19" t="s">
        <v>92</v>
      </c>
      <c r="B19" t="s">
        <v>308</v>
      </c>
      <c r="C19" t="s">
        <v>217</v>
      </c>
      <c r="D19" t="s">
        <v>309</v>
      </c>
      <c r="E19" t="s">
        <v>218</v>
      </c>
      <c r="F19" t="n">
        <v>73.5990158513738</v>
      </c>
      <c r="G19" t="n">
        <v>78.084274435114</v>
      </c>
      <c r="H19" t="n">
        <v>80.3421329729969</v>
      </c>
      <c r="I19" t="n">
        <v>84.3512214447033</v>
      </c>
      <c r="J19" t="n">
        <v>84.1972958581254</v>
      </c>
      <c r="K19" t="n">
        <v>87.0919712015288</v>
      </c>
      <c r="L19" t="n">
        <v>89.0968508332399</v>
      </c>
      <c r="M19" t="n">
        <v>89.6077272715039</v>
      </c>
      <c r="N19" t="n">
        <v>90.9238750404855</v>
      </c>
      <c r="O19" t="n">
        <v>90.9238750404855</v>
      </c>
      <c r="P19" t="n">
        <v>91.2795094930559</v>
      </c>
      <c r="Q19" t="n">
        <v>94.9131481688261</v>
      </c>
      <c r="R19" t="n">
        <v>96.984922207982</v>
      </c>
      <c r="S19" t="n">
        <v>99.6665329602764</v>
      </c>
      <c r="T19" t="n">
        <v>99.1994920373136</v>
      </c>
      <c r="U19" t="n">
        <v>100.062096315899</v>
      </c>
      <c r="V19" t="n">
        <v>101.499770113541</v>
      </c>
      <c r="W19" t="n">
        <v>102.089885056062</v>
      </c>
      <c r="X19" t="n">
        <v>103.791383140329</v>
      </c>
      <c r="Y19" t="n">
        <v>102.299174756523</v>
      </c>
      <c r="Z19" t="n">
        <v>100.866986309931</v>
      </c>
      <c r="AA19" t="n">
        <v>99.0282652053233</v>
      </c>
      <c r="AB19" t="n">
        <v>99.0282652053233</v>
      </c>
      <c r="AC19" t="n">
        <v>99.4899354393808</v>
      </c>
      <c r="AD19" t="n">
        <v>99.8204667863555</v>
      </c>
      <c r="AE19" t="n">
        <v>100</v>
      </c>
      <c r="AF19" t="n">
        <v>101.364256480218</v>
      </c>
    </row>
    <row r="20">
      <c r="A20" t="s">
        <v>92</v>
      </c>
      <c r="B20" t="s">
        <v>310</v>
      </c>
      <c r="C20" t="s">
        <v>217</v>
      </c>
      <c r="D20" t="s">
        <v>311</v>
      </c>
      <c r="E20" t="s">
        <v>218</v>
      </c>
      <c r="F20" t="n">
        <v>69.1637990702572</v>
      </c>
      <c r="G20" t="n">
        <v>73.6346195642237</v>
      </c>
      <c r="H20" t="n">
        <v>77.6807894414208</v>
      </c>
      <c r="I20" t="n">
        <v>81.9024752752544</v>
      </c>
      <c r="J20" t="n">
        <v>84.9528467938859</v>
      </c>
      <c r="K20" t="n">
        <v>87.7446045083828</v>
      </c>
      <c r="L20" t="n">
        <v>90.498827278147</v>
      </c>
      <c r="M20" t="n">
        <v>93.7993876782478</v>
      </c>
      <c r="N20" t="n">
        <v>96.3341399175299</v>
      </c>
      <c r="O20" t="n">
        <v>98.7662861503545</v>
      </c>
      <c r="P20" t="n">
        <v>98.5404587307774</v>
      </c>
      <c r="Q20" t="n">
        <v>104.381420371026</v>
      </c>
      <c r="R20" t="n">
        <v>105.907127839218</v>
      </c>
      <c r="S20" t="n">
        <v>108.43264773585</v>
      </c>
      <c r="T20" t="n">
        <v>106.823705545575</v>
      </c>
      <c r="U20" t="n">
        <v>107.256790023408</v>
      </c>
      <c r="V20" t="n">
        <v>107.847736524915</v>
      </c>
      <c r="W20" t="n">
        <v>107.306282804342</v>
      </c>
      <c r="X20" t="n">
        <v>106.106659743366</v>
      </c>
      <c r="Y20" t="n">
        <v>102.83554884569</v>
      </c>
      <c r="Z20" t="n">
        <v>101.958433161616</v>
      </c>
      <c r="AA20" t="n">
        <v>99.4856034330159</v>
      </c>
      <c r="AB20" t="n">
        <v>99.3222444782819</v>
      </c>
      <c r="AC20" t="n">
        <v>99.5258779882323</v>
      </c>
      <c r="AD20" t="n">
        <v>99.9092174544574</v>
      </c>
      <c r="AE20" t="n">
        <v>100</v>
      </c>
      <c r="AF20" t="n">
        <v>101.875509649361</v>
      </c>
    </row>
    <row r="21">
      <c r="A21" t="s">
        <v>92</v>
      </c>
      <c r="B21" t="s">
        <v>312</v>
      </c>
      <c r="C21" t="s">
        <v>217</v>
      </c>
      <c r="D21" t="s">
        <v>313</v>
      </c>
      <c r="E21" t="s">
        <v>218</v>
      </c>
      <c r="F21" t="n">
        <v>73.9591350135488</v>
      </c>
      <c r="G21" t="n">
        <v>78.5952857894934</v>
      </c>
      <c r="H21" t="n">
        <v>82.7092726944329</v>
      </c>
      <c r="I21" t="n">
        <v>87.0586319215346</v>
      </c>
      <c r="J21" t="n">
        <v>90.134095873357</v>
      </c>
      <c r="K21" t="n">
        <v>92.6782377279906</v>
      </c>
      <c r="L21" t="n">
        <v>93.4883127808016</v>
      </c>
      <c r="M21" t="n">
        <v>95.7900156098732</v>
      </c>
      <c r="N21" t="n">
        <v>97.4935316193511</v>
      </c>
      <c r="O21" t="n">
        <v>99.0954822971277</v>
      </c>
      <c r="P21" t="n">
        <v>98.7982489276237</v>
      </c>
      <c r="Q21" t="n">
        <v>104.090140509675</v>
      </c>
      <c r="R21" t="n">
        <v>105.683408722604</v>
      </c>
      <c r="S21" t="n">
        <v>108.151950484584</v>
      </c>
      <c r="T21" t="n">
        <v>106.658639034378</v>
      </c>
      <c r="U21" t="n">
        <v>107.071735618258</v>
      </c>
      <c r="V21" t="n">
        <v>107.286069608597</v>
      </c>
      <c r="W21" t="n">
        <v>106.779222577087</v>
      </c>
      <c r="X21" t="n">
        <v>105.844228700369</v>
      </c>
      <c r="Y21" t="n">
        <v>103.123494699127</v>
      </c>
      <c r="Z21" t="n">
        <v>101.836373601932</v>
      </c>
      <c r="AA21" t="n">
        <v>99.5899830077717</v>
      </c>
      <c r="AB21" t="n">
        <v>99.447372053584</v>
      </c>
      <c r="AC21" t="n">
        <v>99.6497154326739</v>
      </c>
      <c r="AD21" t="n">
        <v>99.9486969012928</v>
      </c>
      <c r="AE21" t="n">
        <v>100</v>
      </c>
      <c r="AF21" t="n">
        <v>101.862607650711</v>
      </c>
    </row>
    <row r="22">
      <c r="A22" t="s">
        <v>92</v>
      </c>
      <c r="B22" t="s">
        <v>314</v>
      </c>
      <c r="C22" t="s">
        <v>217</v>
      </c>
      <c r="D22" t="s">
        <v>315</v>
      </c>
      <c r="E22" t="s">
        <v>218</v>
      </c>
      <c r="F22" t="n">
        <v>148.087742024967</v>
      </c>
      <c r="G22" t="n">
        <v>152.100959966023</v>
      </c>
      <c r="H22" t="n">
        <v>153.126359696131</v>
      </c>
      <c r="I22" t="n">
        <v>156.290127458448</v>
      </c>
      <c r="J22" t="n">
        <v>156.572749750416</v>
      </c>
      <c r="K22" t="n">
        <v>149.153452785119</v>
      </c>
      <c r="L22" t="n">
        <v>128.288019728323</v>
      </c>
      <c r="M22" t="n">
        <v>110.069602725484</v>
      </c>
      <c r="N22" t="n">
        <v>105.749297176937</v>
      </c>
      <c r="O22" t="n">
        <v>100.16555195962</v>
      </c>
      <c r="P22" t="n">
        <v>99.5856461324854</v>
      </c>
      <c r="Q22" t="n">
        <v>103.536653456155</v>
      </c>
      <c r="R22" t="n">
        <v>105.29384790749</v>
      </c>
      <c r="S22" t="n">
        <v>107.593874138685</v>
      </c>
      <c r="T22" t="n">
        <v>106.444431569872</v>
      </c>
      <c r="U22" t="n">
        <v>106.82288295457</v>
      </c>
      <c r="V22" t="n">
        <v>106.916944782825</v>
      </c>
      <c r="W22" t="n">
        <v>106.4666496745</v>
      </c>
      <c r="X22" t="n">
        <v>105.781793176996</v>
      </c>
      <c r="Y22" t="n">
        <v>103.708372897524</v>
      </c>
      <c r="Z22" t="n">
        <v>101.671734506554</v>
      </c>
      <c r="AA22" t="n">
        <v>100.001622441172</v>
      </c>
      <c r="AB22" t="n">
        <v>99.9068940334287</v>
      </c>
      <c r="AC22" t="n">
        <v>100.106707821496</v>
      </c>
      <c r="AD22" t="n">
        <v>100.168406871</v>
      </c>
      <c r="AE22" t="n">
        <v>100</v>
      </c>
      <c r="AF22" t="n">
        <v>101.826484018265</v>
      </c>
    </row>
    <row r="23">
      <c r="A23" t="s">
        <v>92</v>
      </c>
      <c r="B23" t="s">
        <v>316</v>
      </c>
      <c r="C23" t="s">
        <v>217</v>
      </c>
      <c r="D23" t="s">
        <v>317</v>
      </c>
      <c r="E23" t="s">
        <v>218</v>
      </c>
      <c r="F23" t="n">
        <v>81.0598942730393</v>
      </c>
      <c r="G23" t="n">
        <v>85.6888125382992</v>
      </c>
      <c r="H23" t="n">
        <v>86.7486232426652</v>
      </c>
      <c r="I23" t="n">
        <v>90.9457060929267</v>
      </c>
      <c r="J23" t="n">
        <v>89.8703732158531</v>
      </c>
      <c r="K23" t="n">
        <v>93.0822495931778</v>
      </c>
      <c r="L23" t="n">
        <v>95.1236774777314</v>
      </c>
      <c r="M23" t="n">
        <v>95.7302046454959</v>
      </c>
      <c r="N23" t="n">
        <v>96.6960225053387</v>
      </c>
      <c r="O23" t="n">
        <v>96.4023992133876</v>
      </c>
      <c r="P23" t="n">
        <v>96.2902599355124</v>
      </c>
      <c r="Q23" t="n">
        <v>98.704818526413</v>
      </c>
      <c r="R23" t="n">
        <v>100.841988743185</v>
      </c>
      <c r="S23" t="n">
        <v>103.000665925718</v>
      </c>
      <c r="T23" t="n">
        <v>103.596280237813</v>
      </c>
      <c r="U23" t="n">
        <v>104.777170478865</v>
      </c>
      <c r="V23" t="n">
        <v>105.612048331287</v>
      </c>
      <c r="W23" t="n">
        <v>105.021641084354</v>
      </c>
      <c r="X23" t="n">
        <v>104.15990239252</v>
      </c>
      <c r="Y23" t="n">
        <v>102.527413291989</v>
      </c>
      <c r="Z23" t="n">
        <v>100.943530871126</v>
      </c>
      <c r="AA23" t="n">
        <v>99.7228872218966</v>
      </c>
      <c r="AB23" t="n">
        <v>100.035131095781</v>
      </c>
      <c r="AC23" t="n">
        <v>100.40200810469</v>
      </c>
      <c r="AD23" t="n">
        <v>100.110987791343</v>
      </c>
      <c r="AE23" t="n">
        <v>100</v>
      </c>
      <c r="AF23" t="n">
        <v>101.913079642337</v>
      </c>
    </row>
    <row r="24">
      <c r="A24" t="s">
        <v>92</v>
      </c>
      <c r="B24" t="s">
        <v>318</v>
      </c>
      <c r="C24" t="s">
        <v>217</v>
      </c>
      <c r="D24" t="s">
        <v>319</v>
      </c>
      <c r="E24" t="s">
        <v>218</v>
      </c>
      <c r="F24" t="n">
        <v>75.8089595369143</v>
      </c>
      <c r="G24" t="n">
        <v>79.7627939045398</v>
      </c>
      <c r="H24" t="n">
        <v>82.6451685299482</v>
      </c>
      <c r="I24" t="n">
        <v>86.4393156207583</v>
      </c>
      <c r="J24" t="n">
        <v>88.3601893012196</v>
      </c>
      <c r="K24" t="n">
        <v>90.9517923061078</v>
      </c>
      <c r="L24" t="n">
        <v>92.1878926689938</v>
      </c>
      <c r="M24" t="n">
        <v>94.3916943886938</v>
      </c>
      <c r="N24" t="n">
        <v>95.3524405095979</v>
      </c>
      <c r="O24" t="n">
        <v>94.8607423134574</v>
      </c>
      <c r="P24" t="n">
        <v>94.7459257035981</v>
      </c>
      <c r="Q24" t="n">
        <v>96.8523852704928</v>
      </c>
      <c r="R24" t="n">
        <v>98.7322632684336</v>
      </c>
      <c r="S24" t="n">
        <v>100.723980394886</v>
      </c>
      <c r="T24" t="n">
        <v>100.205253715946</v>
      </c>
      <c r="U24" t="n">
        <v>101.108636281678</v>
      </c>
      <c r="V24" t="n">
        <v>101.528213314786</v>
      </c>
      <c r="W24" t="n">
        <v>101.314127792636</v>
      </c>
      <c r="X24" t="n">
        <v>100.750854287488</v>
      </c>
      <c r="Y24" t="n">
        <v>99.8015686001055</v>
      </c>
      <c r="Z24" t="n">
        <v>99.2898628742788</v>
      </c>
      <c r="AA24" t="n">
        <v>98.8796438471793</v>
      </c>
      <c r="AB24" t="n">
        <v>99.3489562035564</v>
      </c>
      <c r="AC24" t="n">
        <v>99.6673637900139</v>
      </c>
      <c r="AD24" t="n">
        <v>99.9167261479895</v>
      </c>
      <c r="AE24" t="n">
        <v>100</v>
      </c>
      <c r="AF24" t="n">
        <v>101.299089144393</v>
      </c>
    </row>
    <row r="25">
      <c r="A25" t="s">
        <v>92</v>
      </c>
      <c r="B25" t="s">
        <v>320</v>
      </c>
      <c r="C25" t="s">
        <v>217</v>
      </c>
      <c r="D25" t="s">
        <v>321</v>
      </c>
      <c r="E25" t="s">
        <v>218</v>
      </c>
      <c r="F25" t="n">
        <v>80.8871046760932</v>
      </c>
      <c r="G25" t="n">
        <v>84.5989412195468</v>
      </c>
      <c r="H25" t="n">
        <v>85.3367226836708</v>
      </c>
      <c r="I25" t="n">
        <v>89.176255924881</v>
      </c>
      <c r="J25" t="n">
        <v>91.1482124441044</v>
      </c>
      <c r="K25" t="n">
        <v>93.9010108065102</v>
      </c>
      <c r="L25" t="n">
        <v>94.1758966695269</v>
      </c>
      <c r="M25" t="n">
        <v>96.2988880281727</v>
      </c>
      <c r="N25" t="n">
        <v>97.8567490088561</v>
      </c>
      <c r="O25" t="n">
        <v>96.880400492668</v>
      </c>
      <c r="P25" t="n">
        <v>95.7936882044721</v>
      </c>
      <c r="Q25" t="n">
        <v>97.9641186225314</v>
      </c>
      <c r="R25" t="n">
        <v>99.9173552625249</v>
      </c>
      <c r="S25" t="n">
        <v>101.805599133603</v>
      </c>
      <c r="T25" t="n">
        <v>101.228710859359</v>
      </c>
      <c r="U25" t="n">
        <v>101.732631235526</v>
      </c>
      <c r="V25" t="n">
        <v>101.859243097673</v>
      </c>
      <c r="W25" t="n">
        <v>101.487945735227</v>
      </c>
      <c r="X25" t="n">
        <v>100.987594318291</v>
      </c>
      <c r="Y25" t="n">
        <v>99.7677823080894</v>
      </c>
      <c r="Z25" t="n">
        <v>99.3759214192123</v>
      </c>
      <c r="AA25" t="n">
        <v>98.9264261093629</v>
      </c>
      <c r="AB25" t="n">
        <v>99.5878955261417</v>
      </c>
      <c r="AC25" t="n">
        <v>99.9294698629311</v>
      </c>
      <c r="AD25" t="n">
        <v>100.062266500623</v>
      </c>
      <c r="AE25" t="n">
        <v>100</v>
      </c>
      <c r="AF25" t="n">
        <v>101.527883880825</v>
      </c>
    </row>
    <row r="26">
      <c r="A26" t="s">
        <v>92</v>
      </c>
      <c r="B26" t="s">
        <v>322</v>
      </c>
      <c r="C26" t="s">
        <v>217</v>
      </c>
      <c r="D26" t="s">
        <v>323</v>
      </c>
      <c r="E26" t="s">
        <v>218</v>
      </c>
      <c r="F26" t="n">
        <v>74.5441865595673</v>
      </c>
      <c r="G26" t="n">
        <v>78.5843676631774</v>
      </c>
      <c r="H26" t="n">
        <v>81.4250693733307</v>
      </c>
      <c r="I26" t="n">
        <v>85.2488337950687</v>
      </c>
      <c r="J26" t="n">
        <v>87.1736694803563</v>
      </c>
      <c r="K26" t="n">
        <v>89.7932126436837</v>
      </c>
      <c r="L26" t="n">
        <v>91.4776948104297</v>
      </c>
      <c r="M26" t="n">
        <v>93.72817933145</v>
      </c>
      <c r="N26" t="n">
        <v>94.9571327317749</v>
      </c>
      <c r="O26" t="n">
        <v>94.4811796359943</v>
      </c>
      <c r="P26" t="n">
        <v>94.2798130979807</v>
      </c>
      <c r="Q26" t="n">
        <v>96.3044669833876</v>
      </c>
      <c r="R26" t="n">
        <v>98.1151331902323</v>
      </c>
      <c r="S26" t="n">
        <v>100.108481684027</v>
      </c>
      <c r="T26" t="n">
        <v>99.7237154387962</v>
      </c>
      <c r="U26" t="n">
        <v>100.612250375522</v>
      </c>
      <c r="V26" t="n">
        <v>101.146159723033</v>
      </c>
      <c r="W26" t="n">
        <v>100.937422646345</v>
      </c>
      <c r="X26" t="n">
        <v>100.331287681022</v>
      </c>
      <c r="Y26" t="n">
        <v>99.7395640834931</v>
      </c>
      <c r="Z26" t="n">
        <v>99.3203547937791</v>
      </c>
      <c r="AA26" t="n">
        <v>98.9890320808412</v>
      </c>
      <c r="AB26" t="n">
        <v>99.4638303939072</v>
      </c>
      <c r="AC26" t="n">
        <v>99.7816843258444</v>
      </c>
      <c r="AD26" t="n">
        <v>99.9792488068064</v>
      </c>
      <c r="AE26" t="n">
        <v>100</v>
      </c>
      <c r="AF26" t="n">
        <v>101.22674465838</v>
      </c>
    </row>
    <row r="27">
      <c r="A27" t="s">
        <v>92</v>
      </c>
      <c r="B27" t="s">
        <v>324</v>
      </c>
      <c r="C27" t="s">
        <v>217</v>
      </c>
      <c r="D27" t="s">
        <v>325</v>
      </c>
      <c r="E27" t="s">
        <v>218</v>
      </c>
      <c r="F27" t="n">
        <v>75.4705744672469</v>
      </c>
      <c r="G27" t="n">
        <v>79.3603493361156</v>
      </c>
      <c r="H27" t="n">
        <v>82.6052702327463</v>
      </c>
      <c r="I27" t="n">
        <v>86.3414671987189</v>
      </c>
      <c r="J27" t="n">
        <v>88.2375935372005</v>
      </c>
      <c r="K27" t="n">
        <v>90.7655877250051</v>
      </c>
      <c r="L27" t="n">
        <v>92.2928932876854</v>
      </c>
      <c r="M27" t="n">
        <v>94.4536341133452</v>
      </c>
      <c r="N27" t="n">
        <v>94.9486416946795</v>
      </c>
      <c r="O27" t="n">
        <v>94.6234751135333</v>
      </c>
      <c r="P27" t="n">
        <v>94.9353399985527</v>
      </c>
      <c r="Q27" t="n">
        <v>97.1594379333549</v>
      </c>
      <c r="R27" t="n">
        <v>99.1219808014121</v>
      </c>
      <c r="S27" t="n">
        <v>101.14736294597</v>
      </c>
      <c r="T27" t="n">
        <v>100.359065174482</v>
      </c>
      <c r="U27" t="n">
        <v>101.639406535884</v>
      </c>
      <c r="V27" t="n">
        <v>101.986478184858</v>
      </c>
      <c r="W27" t="n">
        <v>101.789478999645</v>
      </c>
      <c r="X27" t="n">
        <v>101.258701228578</v>
      </c>
      <c r="Y27" t="n">
        <v>99.9222342367943</v>
      </c>
      <c r="Z27" t="n">
        <v>99.2174834425203</v>
      </c>
      <c r="AA27" t="n">
        <v>98.7366454585147</v>
      </c>
      <c r="AB27" t="n">
        <v>99.1293172520277</v>
      </c>
      <c r="AC27" t="n">
        <v>99.4390479730151</v>
      </c>
      <c r="AD27" t="n">
        <v>99.7665229885057</v>
      </c>
      <c r="AE27" t="n">
        <v>100</v>
      </c>
      <c r="AF27" t="n">
        <v>101.390390854318</v>
      </c>
    </row>
    <row r="28">
      <c r="A28" t="s">
        <v>92</v>
      </c>
      <c r="B28" t="s">
        <v>326</v>
      </c>
      <c r="C28" t="s">
        <v>217</v>
      </c>
      <c r="D28" t="s">
        <v>327</v>
      </c>
      <c r="E28" t="s">
        <v>218</v>
      </c>
      <c r="F28" t="n">
        <v>79.6025135811286</v>
      </c>
      <c r="G28" t="n">
        <v>82.368040154471</v>
      </c>
      <c r="H28" t="n">
        <v>84.0156459547054</v>
      </c>
      <c r="I28" t="n">
        <v>85.40524899816</v>
      </c>
      <c r="J28" t="n">
        <v>88.211836782729</v>
      </c>
      <c r="K28" t="n">
        <v>91.8097499787208</v>
      </c>
      <c r="L28" t="n">
        <v>94.0878547159137</v>
      </c>
      <c r="M28" t="n">
        <v>95.8446667548488</v>
      </c>
      <c r="N28" t="n">
        <v>97.5395366960332</v>
      </c>
      <c r="O28" t="n">
        <v>98.2849409642396</v>
      </c>
      <c r="P28" t="n">
        <v>98.0036007043753</v>
      </c>
      <c r="Q28" t="n">
        <v>99.6803486995203</v>
      </c>
      <c r="R28" t="n">
        <v>100.332752807313</v>
      </c>
      <c r="S28" t="n">
        <v>103.084494972915</v>
      </c>
      <c r="T28" t="n">
        <v>103.118895786455</v>
      </c>
      <c r="U28" t="n">
        <v>104.872386130423</v>
      </c>
      <c r="V28" t="n">
        <v>104.802934219078</v>
      </c>
      <c r="W28" t="n">
        <v>104.4846744735</v>
      </c>
      <c r="X28" t="n">
        <v>104.133947766387</v>
      </c>
      <c r="Y28" t="n">
        <v>102.823044357954</v>
      </c>
      <c r="Z28" t="n">
        <v>101.428469943084</v>
      </c>
      <c r="AA28" t="n">
        <v>99.8783740281643</v>
      </c>
      <c r="AB28" t="n">
        <v>100.265018818427</v>
      </c>
      <c r="AC28" t="n">
        <v>101.038607952766</v>
      </c>
      <c r="AD28" t="n">
        <v>101.176849911333</v>
      </c>
      <c r="AE28" t="n">
        <v>100</v>
      </c>
      <c r="AF28" t="n">
        <v>100.909090909091</v>
      </c>
    </row>
    <row r="29">
      <c r="A29" t="s">
        <v>92</v>
      </c>
      <c r="B29" t="s">
        <v>328</v>
      </c>
      <c r="C29" t="s">
        <v>217</v>
      </c>
      <c r="D29" t="s">
        <v>329</v>
      </c>
      <c r="E29" t="s">
        <v>218</v>
      </c>
      <c r="F29" t="n">
        <v>80.2131763250469</v>
      </c>
      <c r="G29" t="n">
        <v>84.3076481552737</v>
      </c>
      <c r="H29" t="n">
        <v>85.0262097156862</v>
      </c>
      <c r="I29" t="n">
        <v>88.9968201058337</v>
      </c>
      <c r="J29" t="n">
        <v>92.0150256260406</v>
      </c>
      <c r="K29" t="n">
        <v>94.8302840861191</v>
      </c>
      <c r="L29" t="n">
        <v>95.8948901137752</v>
      </c>
      <c r="M29" t="n">
        <v>99.2828046668707</v>
      </c>
      <c r="N29" t="n">
        <v>101.993368602947</v>
      </c>
      <c r="O29" t="n">
        <v>103.005923978488</v>
      </c>
      <c r="P29" t="n">
        <v>101.557619631071</v>
      </c>
      <c r="Q29" t="n">
        <v>105.34615607768</v>
      </c>
      <c r="R29" t="n">
        <v>106.884270697246</v>
      </c>
      <c r="S29" t="n">
        <v>109.386205388511</v>
      </c>
      <c r="T29" t="n">
        <v>108.616963437818</v>
      </c>
      <c r="U29" t="n">
        <v>109.616354282969</v>
      </c>
      <c r="V29" t="n">
        <v>109.505608319862</v>
      </c>
      <c r="W29" t="n">
        <v>108.975571493532</v>
      </c>
      <c r="X29" t="n">
        <v>108.551929893854</v>
      </c>
      <c r="Y29" t="n">
        <v>106.081146224512</v>
      </c>
      <c r="Z29" t="n">
        <v>102.952443899446</v>
      </c>
      <c r="AA29" t="n">
        <v>99.854220378052</v>
      </c>
      <c r="AB29" t="n">
        <v>99.9382256111238</v>
      </c>
      <c r="AC29" t="n">
        <v>100.961709256299</v>
      </c>
      <c r="AD29" t="n">
        <v>101.123864179818</v>
      </c>
      <c r="AE29" t="n">
        <v>100</v>
      </c>
      <c r="AF29" t="n">
        <v>101.046663759267</v>
      </c>
    </row>
    <row r="30">
      <c r="A30" t="s">
        <v>92</v>
      </c>
      <c r="B30" t="s">
        <v>330</v>
      </c>
      <c r="C30" t="s">
        <v>217</v>
      </c>
      <c r="D30" t="s">
        <v>331</v>
      </c>
      <c r="E30" t="s">
        <v>218</v>
      </c>
      <c r="F30" t="n">
        <v>76.8274322568861</v>
      </c>
      <c r="G30" t="n">
        <v>77.3542919441731</v>
      </c>
      <c r="H30" t="n">
        <v>80.0323609304645</v>
      </c>
      <c r="I30" t="n">
        <v>79.4155275320813</v>
      </c>
      <c r="J30" t="n">
        <v>81.9703163698459</v>
      </c>
      <c r="K30" t="n">
        <v>86.452841625663</v>
      </c>
      <c r="L30" t="n">
        <v>89.7819802691179</v>
      </c>
      <c r="M30" t="n">
        <v>90.2497999337497</v>
      </c>
      <c r="N30" t="n">
        <v>90.7256427668006</v>
      </c>
      <c r="O30" t="n">
        <v>90.7256427668006</v>
      </c>
      <c r="P30" t="n">
        <v>91.3606799303573</v>
      </c>
      <c r="Q30" t="n">
        <v>91.9986670949048</v>
      </c>
      <c r="R30" t="n">
        <v>92.2351848963094</v>
      </c>
      <c r="S30" t="n">
        <v>95.084668224567</v>
      </c>
      <c r="T30" t="n">
        <v>95.894463324033</v>
      </c>
      <c r="U30" t="n">
        <v>98.8626514585611</v>
      </c>
      <c r="V30" t="n">
        <v>98.6338027283329</v>
      </c>
      <c r="W30" t="n">
        <v>99.5155864053423</v>
      </c>
      <c r="X30" t="n">
        <v>99.2904380198099</v>
      </c>
      <c r="Y30" t="n">
        <v>99.5032792588663</v>
      </c>
      <c r="Z30" t="n">
        <v>99.6174867529941</v>
      </c>
      <c r="AA30" t="n">
        <v>99.6971170381684</v>
      </c>
      <c r="AB30" t="n">
        <v>100.032045762821</v>
      </c>
      <c r="AC30" t="n">
        <v>101.881280577616</v>
      </c>
      <c r="AD30" t="n">
        <v>102.153558052434</v>
      </c>
      <c r="AE30" t="n">
        <v>100</v>
      </c>
      <c r="AF30" t="n">
        <v>98.2097186700767</v>
      </c>
    </row>
    <row r="31">
      <c r="A31" t="s">
        <v>92</v>
      </c>
      <c r="B31" t="s">
        <v>332</v>
      </c>
      <c r="C31" t="s">
        <v>217</v>
      </c>
      <c r="D31" t="s">
        <v>333</v>
      </c>
      <c r="E31" t="s">
        <v>218</v>
      </c>
      <c r="F31" t="n">
        <v>96.2330444684395</v>
      </c>
      <c r="G31" t="n">
        <v>98.6693240752354</v>
      </c>
      <c r="H31" t="n">
        <v>95.5119057048279</v>
      </c>
      <c r="I31" t="n">
        <v>97.8799694826335</v>
      </c>
      <c r="J31" t="n">
        <v>100.192094746003</v>
      </c>
      <c r="K31" t="n">
        <v>102.66597362862</v>
      </c>
      <c r="L31" t="n">
        <v>106.116930725381</v>
      </c>
      <c r="M31" t="n">
        <v>107.728618722009</v>
      </c>
      <c r="N31" t="n">
        <v>110.73779801592</v>
      </c>
      <c r="O31" t="n">
        <v>105.200908115124</v>
      </c>
      <c r="P31" t="n">
        <v>105.905299866815</v>
      </c>
      <c r="Q31" t="n">
        <v>107.18126733509</v>
      </c>
      <c r="R31" t="n">
        <v>108.862542116817</v>
      </c>
      <c r="S31" t="n">
        <v>110.033107085815</v>
      </c>
      <c r="T31" t="n">
        <v>111.288237584893</v>
      </c>
      <c r="U31" t="n">
        <v>111.288237584893</v>
      </c>
      <c r="V31" t="n">
        <v>108.015054126514</v>
      </c>
      <c r="W31" t="n">
        <v>106.945598145063</v>
      </c>
      <c r="X31" t="n">
        <v>105.865339577941</v>
      </c>
      <c r="Y31" t="n">
        <v>104.472374583495</v>
      </c>
      <c r="Z31" t="n">
        <v>104.193036683539</v>
      </c>
      <c r="AA31" t="n">
        <v>103.889266897289</v>
      </c>
      <c r="AB31" t="n">
        <v>105.086837697258</v>
      </c>
      <c r="AC31" t="n">
        <v>105.263157894737</v>
      </c>
      <c r="AD31" t="n">
        <v>105.263157894737</v>
      </c>
      <c r="AE31" t="n">
        <v>100</v>
      </c>
      <c r="AF31" t="n">
        <v>100.904159132007</v>
      </c>
    </row>
    <row r="32">
      <c r="A32" t="s">
        <v>92</v>
      </c>
      <c r="B32" t="s">
        <v>334</v>
      </c>
      <c r="C32" t="s">
        <v>217</v>
      </c>
      <c r="D32" t="s">
        <v>335</v>
      </c>
      <c r="E32" t="s">
        <v>218</v>
      </c>
      <c r="F32" t="n">
        <v>70.9834006341061</v>
      </c>
      <c r="G32" t="n">
        <v>74.8134402366658</v>
      </c>
      <c r="H32" t="n">
        <v>77.337820121952</v>
      </c>
      <c r="I32" t="n">
        <v>81.1833470893419</v>
      </c>
      <c r="J32" t="n">
        <v>83.470201936929</v>
      </c>
      <c r="K32" t="n">
        <v>85.7160369666222</v>
      </c>
      <c r="L32" t="n">
        <v>87.7362802621318</v>
      </c>
      <c r="M32" t="n">
        <v>89.8434834998686</v>
      </c>
      <c r="N32" t="n">
        <v>91.5386435659038</v>
      </c>
      <c r="O32" t="n">
        <v>92.4921711030486</v>
      </c>
      <c r="P32" t="n">
        <v>92.1074282947997</v>
      </c>
      <c r="Q32" t="n">
        <v>96.2488114154651</v>
      </c>
      <c r="R32" t="n">
        <v>98.1298956776566</v>
      </c>
      <c r="S32" t="n">
        <v>100.163960742123</v>
      </c>
      <c r="T32" t="n">
        <v>100.587935179127</v>
      </c>
      <c r="U32" t="n">
        <v>101.065625509014</v>
      </c>
      <c r="V32" t="n">
        <v>101.222722336231</v>
      </c>
      <c r="W32" t="n">
        <v>101.015298724886</v>
      </c>
      <c r="X32" t="n">
        <v>100.826485082409</v>
      </c>
      <c r="Y32" t="n">
        <v>99.9841044229806</v>
      </c>
      <c r="Z32" t="n">
        <v>99.3327421791826</v>
      </c>
      <c r="AA32" t="n">
        <v>99.0960947886426</v>
      </c>
      <c r="AB32" t="n">
        <v>99.8577865241433</v>
      </c>
      <c r="AC32" t="n">
        <v>100.179436788204</v>
      </c>
      <c r="AD32" t="n">
        <v>100.115074798619</v>
      </c>
      <c r="AE32" t="n">
        <v>100</v>
      </c>
      <c r="AF32" t="n">
        <v>101.190476190476</v>
      </c>
    </row>
    <row r="33">
      <c r="A33" t="s">
        <v>92</v>
      </c>
      <c r="B33" t="s">
        <v>336</v>
      </c>
      <c r="C33" t="s">
        <v>217</v>
      </c>
      <c r="D33" t="s">
        <v>337</v>
      </c>
      <c r="E33" t="s">
        <v>218</v>
      </c>
      <c r="F33" t="n">
        <v>74.2401670496938</v>
      </c>
      <c r="G33" t="n">
        <v>78.1677113710324</v>
      </c>
      <c r="H33" t="n">
        <v>82.3834980517173</v>
      </c>
      <c r="I33" t="n">
        <v>86.0323734575512</v>
      </c>
      <c r="J33" t="n">
        <v>88.6417407167455</v>
      </c>
      <c r="K33" t="n">
        <v>91.2248589278163</v>
      </c>
      <c r="L33" t="n">
        <v>94.057929080854</v>
      </c>
      <c r="M33" t="n">
        <v>95.909846855503</v>
      </c>
      <c r="N33" t="n">
        <v>97.625927614349</v>
      </c>
      <c r="O33" t="n">
        <v>96.7888349874307</v>
      </c>
      <c r="P33" t="n">
        <v>96.7888349874307</v>
      </c>
      <c r="Q33" t="n">
        <v>100.015129487012</v>
      </c>
      <c r="R33" t="n">
        <v>101.679736357808</v>
      </c>
      <c r="S33" t="n">
        <v>103.570475257023</v>
      </c>
      <c r="T33" t="n">
        <v>104.166850354473</v>
      </c>
      <c r="U33" t="n">
        <v>104.166850354473</v>
      </c>
      <c r="V33" t="n">
        <v>104.166850354473</v>
      </c>
      <c r="W33" t="n">
        <v>104.166850354473</v>
      </c>
      <c r="X33" t="n">
        <v>104.166850354473</v>
      </c>
      <c r="Y33" t="n">
        <v>102.759190214547</v>
      </c>
      <c r="Z33" t="n">
        <v>101.225470957614</v>
      </c>
      <c r="AA33" t="n">
        <v>100.32967032967</v>
      </c>
      <c r="AB33" t="n">
        <v>100.32967032967</v>
      </c>
      <c r="AC33" t="n">
        <v>101.538461538462</v>
      </c>
      <c r="AD33" t="n">
        <v>101.538461538462</v>
      </c>
      <c r="AE33" t="n">
        <v>100</v>
      </c>
      <c r="AF33" t="n">
        <v>101.255230125523</v>
      </c>
    </row>
    <row r="34">
      <c r="A34" t="s">
        <v>92</v>
      </c>
      <c r="B34" t="s">
        <v>338</v>
      </c>
      <c r="C34" t="s">
        <v>217</v>
      </c>
      <c r="D34" t="s">
        <v>339</v>
      </c>
      <c r="E34" t="s">
        <v>218</v>
      </c>
      <c r="F34" t="n">
        <v>71.8622239614559</v>
      </c>
      <c r="G34" t="n">
        <v>75.3964316972652</v>
      </c>
      <c r="H34" t="n">
        <v>78.7152803219506</v>
      </c>
      <c r="I34" t="n">
        <v>82.5286742348723</v>
      </c>
      <c r="J34" t="n">
        <v>85.0677523245597</v>
      </c>
      <c r="K34" t="n">
        <v>87.3251368136192</v>
      </c>
      <c r="L34" t="n">
        <v>89.7035782172813</v>
      </c>
      <c r="M34" t="n">
        <v>91.0332072635905</v>
      </c>
      <c r="N34" t="n">
        <v>92.6218354178467</v>
      </c>
      <c r="O34" t="n">
        <v>93.3835281433224</v>
      </c>
      <c r="P34" t="n">
        <v>94.1614227016647</v>
      </c>
      <c r="Q34" t="n">
        <v>96.8281263621496</v>
      </c>
      <c r="R34" t="n">
        <v>98.4390625704366</v>
      </c>
      <c r="S34" t="n">
        <v>100.914057661581</v>
      </c>
      <c r="T34" t="n">
        <v>100.093700508772</v>
      </c>
      <c r="U34" t="n">
        <v>101.541906608653</v>
      </c>
      <c r="V34" t="n">
        <v>102.38238223049</v>
      </c>
      <c r="W34" t="n">
        <v>102.210983153096</v>
      </c>
      <c r="X34" t="n">
        <v>101.451819875118</v>
      </c>
      <c r="Y34" t="n">
        <v>100.238872986304</v>
      </c>
      <c r="Z34" t="n">
        <v>99.5894866242103</v>
      </c>
      <c r="AA34" t="n">
        <v>99.0541218486214</v>
      </c>
      <c r="AB34" t="n">
        <v>99.353239986608</v>
      </c>
      <c r="AC34" t="n">
        <v>99.5519464665812</v>
      </c>
      <c r="AD34" t="n">
        <v>99.9704273251516</v>
      </c>
      <c r="AE34" t="n">
        <v>100</v>
      </c>
      <c r="AF34" t="n">
        <v>102.10071942446</v>
      </c>
    </row>
    <row r="35">
      <c r="A35" t="s">
        <v>92</v>
      </c>
      <c r="B35" t="s">
        <v>340</v>
      </c>
      <c r="C35" t="s">
        <v>217</v>
      </c>
      <c r="D35" t="s">
        <v>341</v>
      </c>
      <c r="E35" t="s">
        <v>218</v>
      </c>
      <c r="F35" t="n">
        <v>76.2144818777884</v>
      </c>
      <c r="G35" t="n">
        <v>80.2502644788925</v>
      </c>
      <c r="H35" t="n">
        <v>84.3842469942795</v>
      </c>
      <c r="I35" t="n">
        <v>88.0520641629674</v>
      </c>
      <c r="J35" t="n">
        <v>90.512612334275</v>
      </c>
      <c r="K35" t="n">
        <v>93.0053956840552</v>
      </c>
      <c r="L35" t="n">
        <v>95.7940029303281</v>
      </c>
      <c r="M35" t="n">
        <v>97.3357976979191</v>
      </c>
      <c r="N35" t="n">
        <v>98.9731709812372</v>
      </c>
      <c r="O35" t="n">
        <v>98.4193106043709</v>
      </c>
      <c r="P35" t="n">
        <v>98.0316680141684</v>
      </c>
      <c r="Q35" t="n">
        <v>98.784110770221</v>
      </c>
      <c r="R35" t="n">
        <v>99.7106393176693</v>
      </c>
      <c r="S35" t="n">
        <v>101.353688281252</v>
      </c>
      <c r="T35" t="n">
        <v>101.678810009136</v>
      </c>
      <c r="U35" t="n">
        <v>102.43185115333</v>
      </c>
      <c r="V35" t="n">
        <v>103.218874654508</v>
      </c>
      <c r="W35" t="n">
        <v>103.280905228219</v>
      </c>
      <c r="X35" t="n">
        <v>102.879768516115</v>
      </c>
      <c r="Y35" t="n">
        <v>102.087606273086</v>
      </c>
      <c r="Z35" t="n">
        <v>101.240447576102</v>
      </c>
      <c r="AA35" t="n">
        <v>100.719384018443</v>
      </c>
      <c r="AB35" t="n">
        <v>100.405015507638</v>
      </c>
      <c r="AC35" t="n">
        <v>100.538542160865</v>
      </c>
      <c r="AD35" t="n">
        <v>100.607969528274</v>
      </c>
      <c r="AE35" t="n">
        <v>100</v>
      </c>
      <c r="AF35" t="n">
        <v>101.109646231597</v>
      </c>
    </row>
    <row r="36">
      <c r="A36" t="s">
        <v>92</v>
      </c>
      <c r="B36" t="s">
        <v>342</v>
      </c>
      <c r="C36" t="s">
        <v>217</v>
      </c>
      <c r="D36" t="s">
        <v>343</v>
      </c>
      <c r="E36" t="s">
        <v>218</v>
      </c>
      <c r="F36" t="n">
        <v>72.8111436309598</v>
      </c>
      <c r="G36" t="n">
        <v>76.8007953367659</v>
      </c>
      <c r="H36" t="n">
        <v>80.0615683655496</v>
      </c>
      <c r="I36" t="n">
        <v>83.5807581838155</v>
      </c>
      <c r="J36" t="n">
        <v>85.3991429772474</v>
      </c>
      <c r="K36" t="n">
        <v>87.7347051243086</v>
      </c>
      <c r="L36" t="n">
        <v>90.0777684659073</v>
      </c>
      <c r="M36" t="n">
        <v>91.3740968892001</v>
      </c>
      <c r="N36" t="n">
        <v>92.7710352579491</v>
      </c>
      <c r="O36" t="n">
        <v>92.909215909981</v>
      </c>
      <c r="P36" t="n">
        <v>93.6530847323188</v>
      </c>
      <c r="Q36" t="n">
        <v>95.7479853797335</v>
      </c>
      <c r="R36" t="n">
        <v>97.5637427342983</v>
      </c>
      <c r="S36" t="n">
        <v>100.174356832589</v>
      </c>
      <c r="T36" t="n">
        <v>100.500604534373</v>
      </c>
      <c r="U36" t="n">
        <v>102.344010096995</v>
      </c>
      <c r="V36" t="n">
        <v>103.394008993585</v>
      </c>
      <c r="W36" t="n">
        <v>103.469727784499</v>
      </c>
      <c r="X36" t="n">
        <v>102.870692518378</v>
      </c>
      <c r="Y36" t="n">
        <v>101.819650960081</v>
      </c>
      <c r="Z36" t="n">
        <v>100.669455871236</v>
      </c>
      <c r="AA36" t="n">
        <v>99.8499389722519</v>
      </c>
      <c r="AB36" t="n">
        <v>100.299897730423</v>
      </c>
      <c r="AC36" t="n">
        <v>100.440768373302</v>
      </c>
      <c r="AD36" t="n">
        <v>100.750293083236</v>
      </c>
      <c r="AE36" t="n">
        <v>100</v>
      </c>
      <c r="AF36" t="n">
        <v>101.514360313316</v>
      </c>
    </row>
    <row r="37">
      <c r="A37" t="s">
        <v>92</v>
      </c>
      <c r="B37" t="s">
        <v>344</v>
      </c>
      <c r="C37" t="s">
        <v>217</v>
      </c>
      <c r="D37" t="s">
        <v>345</v>
      </c>
      <c r="E37" t="s">
        <v>218</v>
      </c>
      <c r="F37" t="n">
        <v>78.4681642516575</v>
      </c>
      <c r="G37" t="n">
        <v>82.63301296963</v>
      </c>
      <c r="H37" t="n">
        <v>87.0803402968719</v>
      </c>
      <c r="I37" t="n">
        <v>90.9532199589585</v>
      </c>
      <c r="J37" t="n">
        <v>93.67661007662</v>
      </c>
      <c r="K37" t="n">
        <v>96.3532891329769</v>
      </c>
      <c r="L37" t="n">
        <v>99.3322333190953</v>
      </c>
      <c r="M37" t="n">
        <v>101.306260492206</v>
      </c>
      <c r="N37" t="n">
        <v>103.165729545213</v>
      </c>
      <c r="O37" t="n">
        <v>102.384992470665</v>
      </c>
      <c r="P37" t="n">
        <v>101.655812878388</v>
      </c>
      <c r="Q37" t="n">
        <v>101.655812878388</v>
      </c>
      <c r="R37" t="n">
        <v>102.095643328917</v>
      </c>
      <c r="S37" t="n">
        <v>102.803056145903</v>
      </c>
      <c r="T37" t="n">
        <v>103.028657678217</v>
      </c>
      <c r="U37" t="n">
        <v>103.241087900234</v>
      </c>
      <c r="V37" t="n">
        <v>103.71194259781</v>
      </c>
      <c r="W37" t="n">
        <v>103.583903162505</v>
      </c>
      <c r="X37" t="n">
        <v>103.294939326269</v>
      </c>
      <c r="Y37" t="n">
        <v>102.600649218774</v>
      </c>
      <c r="Z37" t="n">
        <v>101.799707382562</v>
      </c>
      <c r="AA37" t="n">
        <v>101.241651872943</v>
      </c>
      <c r="AB37" t="n">
        <v>100.51209005791</v>
      </c>
      <c r="AC37" t="n">
        <v>100.572889789773</v>
      </c>
      <c r="AD37" t="n">
        <v>100.55759120599</v>
      </c>
      <c r="AE37" t="n">
        <v>100</v>
      </c>
      <c r="AF37" t="n">
        <v>101.262916188289</v>
      </c>
    </row>
    <row r="38">
      <c r="A38" t="s">
        <v>92</v>
      </c>
      <c r="B38" t="s">
        <v>346</v>
      </c>
      <c r="C38" t="s">
        <v>217</v>
      </c>
      <c r="D38" t="s">
        <v>347</v>
      </c>
      <c r="E38" t="s">
        <v>218</v>
      </c>
      <c r="F38" t="n">
        <v>73.7896560555946</v>
      </c>
      <c r="G38" t="n">
        <v>77.3639666287935</v>
      </c>
      <c r="H38" t="n">
        <v>81.1735558946053</v>
      </c>
      <c r="I38" t="n">
        <v>83.972644028902</v>
      </c>
      <c r="J38" t="n">
        <v>85.9200068208583</v>
      </c>
      <c r="K38" t="n">
        <v>87.68580468954</v>
      </c>
      <c r="L38" t="n">
        <v>89.9810220687136</v>
      </c>
      <c r="M38" t="n">
        <v>90.5679219723544</v>
      </c>
      <c r="N38" t="n">
        <v>91.8003926631122</v>
      </c>
      <c r="O38" t="n">
        <v>90.6553414360242</v>
      </c>
      <c r="P38" t="n">
        <v>91.5862414665679</v>
      </c>
      <c r="Q38" t="n">
        <v>92.9679304542101</v>
      </c>
      <c r="R38" t="n">
        <v>94.0512857076687</v>
      </c>
      <c r="S38" t="n">
        <v>97.1428181085782</v>
      </c>
      <c r="T38" t="n">
        <v>97.858858536897</v>
      </c>
      <c r="U38" t="n">
        <v>99.6914214308464</v>
      </c>
      <c r="V38" t="n">
        <v>101.267936932543</v>
      </c>
      <c r="W38" t="n">
        <v>102.139326678736</v>
      </c>
      <c r="X38" t="n">
        <v>101.586100806407</v>
      </c>
      <c r="Y38" t="n">
        <v>100.773411999956</v>
      </c>
      <c r="Z38" t="n">
        <v>100.060512673024</v>
      </c>
      <c r="AA38" t="n">
        <v>99.9562829723224</v>
      </c>
      <c r="AB38" t="n">
        <v>100.144229602794</v>
      </c>
      <c r="AC38" t="n">
        <v>100.592904466606</v>
      </c>
      <c r="AD38" t="n">
        <v>100.514469453376</v>
      </c>
      <c r="AE38" t="n">
        <v>100</v>
      </c>
      <c r="AF38" t="n">
        <v>100.305966343702</v>
      </c>
    </row>
    <row r="39">
      <c r="A39" t="s">
        <v>92</v>
      </c>
      <c r="B39" t="s">
        <v>348</v>
      </c>
      <c r="C39" t="s">
        <v>217</v>
      </c>
      <c r="D39" t="s">
        <v>349</v>
      </c>
      <c r="E39" t="s">
        <v>218</v>
      </c>
      <c r="F39" t="n">
        <v>77.4336075239617</v>
      </c>
      <c r="G39" t="n">
        <v>80.3779557844677</v>
      </c>
      <c r="H39" t="n">
        <v>84.3086645939903</v>
      </c>
      <c r="I39" t="n">
        <v>87.2875245591025</v>
      </c>
      <c r="J39" t="n">
        <v>89.5547329892091</v>
      </c>
      <c r="K39" t="n">
        <v>91.3044431988181</v>
      </c>
      <c r="L39" t="n">
        <v>94.0978327142164</v>
      </c>
      <c r="M39" t="n">
        <v>95.5246756677914</v>
      </c>
      <c r="N39" t="n">
        <v>96.4174296459951</v>
      </c>
      <c r="O39" t="n">
        <v>95.3739509701727</v>
      </c>
      <c r="P39" t="n">
        <v>95.6593308354335</v>
      </c>
      <c r="Q39" t="n">
        <v>97.7026554053318</v>
      </c>
      <c r="R39" t="n">
        <v>98.9894089823636</v>
      </c>
      <c r="S39" t="n">
        <v>100.575051689175</v>
      </c>
      <c r="T39" t="n">
        <v>100.361107737486</v>
      </c>
      <c r="U39" t="n">
        <v>101.972984454268</v>
      </c>
      <c r="V39" t="n">
        <v>103.004427293767</v>
      </c>
      <c r="W39" t="n">
        <v>103.509660536165</v>
      </c>
      <c r="X39" t="n">
        <v>102.869825369485</v>
      </c>
      <c r="Y39" t="n">
        <v>101.663141200928</v>
      </c>
      <c r="Z39" t="n">
        <v>100.610532568497</v>
      </c>
      <c r="AA39" t="n">
        <v>99.8591787251642</v>
      </c>
      <c r="AB39" t="n">
        <v>100.06513927148</v>
      </c>
      <c r="AC39" t="n">
        <v>100.348950073384</v>
      </c>
      <c r="AD39" t="n">
        <v>100.241521585992</v>
      </c>
      <c r="AE39" t="n">
        <v>100</v>
      </c>
      <c r="AF39" t="n">
        <v>100.569476082005</v>
      </c>
    </row>
    <row r="40">
      <c r="A40" t="s">
        <v>92</v>
      </c>
      <c r="B40" t="s">
        <v>350</v>
      </c>
      <c r="C40" t="s">
        <v>217</v>
      </c>
      <c r="D40" t="s">
        <v>351</v>
      </c>
      <c r="E40" t="s">
        <v>218</v>
      </c>
      <c r="F40" t="n">
        <v>69.9460167559699</v>
      </c>
      <c r="G40" t="n">
        <v>74.6913973057688</v>
      </c>
      <c r="H40" t="n">
        <v>79.0622384424118</v>
      </c>
      <c r="I40" t="n">
        <v>83.6784322663635</v>
      </c>
      <c r="J40" t="n">
        <v>87.1119121581861</v>
      </c>
      <c r="K40" t="n">
        <v>90.0153174340887</v>
      </c>
      <c r="L40" t="n">
        <v>92.8923683586904</v>
      </c>
      <c r="M40" t="n">
        <v>97.0295805681472</v>
      </c>
      <c r="N40" t="n">
        <v>99.6948674316112</v>
      </c>
      <c r="O40" t="n">
        <v>102.273191176512</v>
      </c>
      <c r="P40" t="n">
        <v>102.147407900509</v>
      </c>
      <c r="Q40" t="n">
        <v>108.324096735504</v>
      </c>
      <c r="R40" t="n">
        <v>109.946671140421</v>
      </c>
      <c r="S40" t="n">
        <v>112.611583177766</v>
      </c>
      <c r="T40" t="n">
        <v>111.012080499169</v>
      </c>
      <c r="U40" t="n">
        <v>111.437814426689</v>
      </c>
      <c r="V40" t="n">
        <v>111.401347289125</v>
      </c>
      <c r="W40" t="n">
        <v>110.670946432701</v>
      </c>
      <c r="X40" t="n">
        <v>109.387016854388</v>
      </c>
      <c r="Y40" t="n">
        <v>105.971564694436</v>
      </c>
      <c r="Z40" t="n">
        <v>103.17761160701</v>
      </c>
      <c r="AA40" t="n">
        <v>100.454806645202</v>
      </c>
      <c r="AB40" t="n">
        <v>100.216413162551</v>
      </c>
      <c r="AC40" t="n">
        <v>100.519236674857</v>
      </c>
      <c r="AD40" t="n">
        <v>100.122416309619</v>
      </c>
      <c r="AE40" t="n">
        <v>100</v>
      </c>
      <c r="AF40" t="n">
        <v>102.420414719626</v>
      </c>
    </row>
    <row r="41">
      <c r="A41" t="s">
        <v>92</v>
      </c>
      <c r="B41" t="s">
        <v>352</v>
      </c>
      <c r="C41" t="s">
        <v>217</v>
      </c>
      <c r="D41" t="s">
        <v>353</v>
      </c>
      <c r="E41" t="s">
        <v>218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92</v>
      </c>
      <c r="B42" t="s">
        <v>354</v>
      </c>
      <c r="C42" t="s">
        <v>217</v>
      </c>
      <c r="D42" t="s">
        <v>355</v>
      </c>
      <c r="E42" t="s">
        <v>218</v>
      </c>
      <c r="F42" t="n">
        <v>71.0227997831563</v>
      </c>
      <c r="G42" t="n">
        <v>74.0853553293614</v>
      </c>
      <c r="H42" t="n">
        <v>77.3009750074869</v>
      </c>
      <c r="I42" t="n">
        <v>80.1542057847484</v>
      </c>
      <c r="J42" t="n">
        <v>82.1653232981655</v>
      </c>
      <c r="K42" t="n">
        <v>84.1293302823456</v>
      </c>
      <c r="L42" t="n">
        <v>86.238196194083</v>
      </c>
      <c r="M42" t="n">
        <v>87.352846699701</v>
      </c>
      <c r="N42" t="n">
        <v>88.7934948187065</v>
      </c>
      <c r="O42" t="n">
        <v>88.4642975005381</v>
      </c>
      <c r="P42" t="n">
        <v>89.0886044694904</v>
      </c>
      <c r="Q42" t="n">
        <v>90.7990113080308</v>
      </c>
      <c r="R42" t="n">
        <v>92.0209041439621</v>
      </c>
      <c r="S42" t="n">
        <v>95.1890303692992</v>
      </c>
      <c r="T42" t="n">
        <v>96.06491637151</v>
      </c>
      <c r="U42" t="n">
        <v>99.4408692211819</v>
      </c>
      <c r="V42" t="n">
        <v>101.480867630793</v>
      </c>
      <c r="W42" t="n">
        <v>102.382488242603</v>
      </c>
      <c r="X42" t="n">
        <v>101.991715386716</v>
      </c>
      <c r="Y42" t="n">
        <v>101.051935801145</v>
      </c>
      <c r="Z42" t="n">
        <v>100.094020599945</v>
      </c>
      <c r="AA42" t="n">
        <v>99.8121152435647</v>
      </c>
      <c r="AB42" t="n">
        <v>100.27147409084</v>
      </c>
      <c r="AC42" t="n">
        <v>100.645203028934</v>
      </c>
      <c r="AD42" t="n">
        <v>100.789538613373</v>
      </c>
      <c r="AE42" t="n">
        <v>100</v>
      </c>
      <c r="AF42" t="n">
        <v>101.03455410718</v>
      </c>
    </row>
    <row r="43">
      <c r="A43" t="s">
        <v>92</v>
      </c>
      <c r="B43" t="s">
        <v>356</v>
      </c>
      <c r="C43" t="s">
        <v>217</v>
      </c>
      <c r="D43" t="s">
        <v>357</v>
      </c>
      <c r="E43" t="s">
        <v>218</v>
      </c>
      <c r="F43" t="n">
        <v>76.7672312448531</v>
      </c>
      <c r="G43" t="n">
        <v>79.9297432366484</v>
      </c>
      <c r="H43" t="n">
        <v>82.8696634167774</v>
      </c>
      <c r="I43" t="n">
        <v>85.7044182917017</v>
      </c>
      <c r="J43" t="n">
        <v>87.9242505741386</v>
      </c>
      <c r="K43" t="n">
        <v>90.1190089020597</v>
      </c>
      <c r="L43" t="n">
        <v>92.139392734151</v>
      </c>
      <c r="M43" t="n">
        <v>93.322740751341</v>
      </c>
      <c r="N43" t="n">
        <v>94.9324866537758</v>
      </c>
      <c r="O43" t="n">
        <v>94.2690249651873</v>
      </c>
      <c r="P43" t="n">
        <v>93.1576110138773</v>
      </c>
      <c r="Q43" t="n">
        <v>94.4416114558531</v>
      </c>
      <c r="R43" t="n">
        <v>95.7473248178977</v>
      </c>
      <c r="S43" t="n">
        <v>97.724904331096</v>
      </c>
      <c r="T43" t="n">
        <v>98.405645800464</v>
      </c>
      <c r="U43" t="n">
        <v>100.213914123059</v>
      </c>
      <c r="V43" t="n">
        <v>101.35435664005</v>
      </c>
      <c r="W43" t="n">
        <v>101.95420687997</v>
      </c>
      <c r="X43" t="n">
        <v>101.563577734836</v>
      </c>
      <c r="Y43" t="n">
        <v>100.943447341611</v>
      </c>
      <c r="Z43" t="n">
        <v>100.304179430219</v>
      </c>
      <c r="AA43" t="n">
        <v>100.197054995086</v>
      </c>
      <c r="AB43" t="n">
        <v>100.218915375798</v>
      </c>
      <c r="AC43" t="n">
        <v>100.495444919258</v>
      </c>
      <c r="AD43" t="n">
        <v>100.686835650041</v>
      </c>
      <c r="AE43" t="n">
        <v>100</v>
      </c>
      <c r="AF43" t="n">
        <v>101.212946747097</v>
      </c>
    </row>
    <row r="44">
      <c r="A44" t="s">
        <v>92</v>
      </c>
      <c r="B44" t="s">
        <v>358</v>
      </c>
      <c r="C44" t="s">
        <v>217</v>
      </c>
      <c r="D44" t="s">
        <v>359</v>
      </c>
      <c r="E44" t="s">
        <v>218</v>
      </c>
      <c r="F44" t="n">
        <v>76.2174894467817</v>
      </c>
      <c r="G44" t="n">
        <v>79.8147778746772</v>
      </c>
      <c r="H44" t="n">
        <v>82.4547300968194</v>
      </c>
      <c r="I44" t="n">
        <v>85.7964309543552</v>
      </c>
      <c r="J44" t="n">
        <v>87.4573131907504</v>
      </c>
      <c r="K44" t="n">
        <v>90.1105309818042</v>
      </c>
      <c r="L44" t="n">
        <v>92.170383563064</v>
      </c>
      <c r="M44" t="n">
        <v>93.7448273392875</v>
      </c>
      <c r="N44" t="n">
        <v>95.1611809017632</v>
      </c>
      <c r="O44" t="n">
        <v>95.3218483196538</v>
      </c>
      <c r="P44" t="n">
        <v>95.1909528123097</v>
      </c>
      <c r="Q44" t="n">
        <v>97.5566401591262</v>
      </c>
      <c r="R44" t="n">
        <v>98.9480182774376</v>
      </c>
      <c r="S44" t="n">
        <v>101.17256943666</v>
      </c>
      <c r="T44" t="n">
        <v>101.016199167974</v>
      </c>
      <c r="U44" t="n">
        <v>102.084173219706</v>
      </c>
      <c r="V44" t="n">
        <v>102.631469809581</v>
      </c>
      <c r="W44" t="n">
        <v>102.390273153727</v>
      </c>
      <c r="X44" t="n">
        <v>101.964734559528</v>
      </c>
      <c r="Y44" t="n">
        <v>100.910739149536</v>
      </c>
      <c r="Z44" t="n">
        <v>100.140636718678</v>
      </c>
      <c r="AA44" t="n">
        <v>99.3977419312452</v>
      </c>
      <c r="AB44" t="n">
        <v>99.5954595352665</v>
      </c>
      <c r="AC44" t="n">
        <v>99.9225763236928</v>
      </c>
      <c r="AD44" t="n">
        <v>100.122824823853</v>
      </c>
      <c r="AE44" t="n">
        <v>100</v>
      </c>
      <c r="AF44" t="n">
        <v>101.39178191872</v>
      </c>
    </row>
    <row r="45">
      <c r="A45" t="s">
        <v>92</v>
      </c>
      <c r="B45" t="s">
        <v>360</v>
      </c>
      <c r="C45" t="s">
        <v>217</v>
      </c>
      <c r="D45" t="s">
        <v>361</v>
      </c>
      <c r="E45" t="s">
        <v>218</v>
      </c>
      <c r="F45" t="n">
        <v>76.486301227334</v>
      </c>
      <c r="G45" t="n">
        <v>80.1621162551075</v>
      </c>
      <c r="H45" t="n">
        <v>82.9243981043494</v>
      </c>
      <c r="I45" t="n">
        <v>86.1540245863607</v>
      </c>
      <c r="J45" t="n">
        <v>87.9261358237875</v>
      </c>
      <c r="K45" t="n">
        <v>90.5704263756286</v>
      </c>
      <c r="L45" t="n">
        <v>92.6682736710977</v>
      </c>
      <c r="M45" t="n">
        <v>94.1686013643024</v>
      </c>
      <c r="N45" t="n">
        <v>95.5788651606792</v>
      </c>
      <c r="O45" t="n">
        <v>95.6925254898763</v>
      </c>
      <c r="P45" t="n">
        <v>95.5662433942067</v>
      </c>
      <c r="Q45" t="n">
        <v>97.830417308178</v>
      </c>
      <c r="R45" t="n">
        <v>99.2746233809889</v>
      </c>
      <c r="S45" t="n">
        <v>101.523669920658</v>
      </c>
      <c r="T45" t="n">
        <v>101.308357630187</v>
      </c>
      <c r="U45" t="n">
        <v>102.487353753023</v>
      </c>
      <c r="V45" t="n">
        <v>103.117552793989</v>
      </c>
      <c r="W45" t="n">
        <v>102.918072988884</v>
      </c>
      <c r="X45" t="n">
        <v>102.367257844151</v>
      </c>
      <c r="Y45" t="n">
        <v>101.164947410594</v>
      </c>
      <c r="Z45" t="n">
        <v>100.304242461196</v>
      </c>
      <c r="AA45" t="n">
        <v>99.4425491134645</v>
      </c>
      <c r="AB45" t="n">
        <v>99.6315591363106</v>
      </c>
      <c r="AC45" t="n">
        <v>99.9651923795856</v>
      </c>
      <c r="AD45" t="n">
        <v>100.152777777778</v>
      </c>
      <c r="AE45" t="n">
        <v>100</v>
      </c>
      <c r="AF45" t="n">
        <v>101.366972749695</v>
      </c>
    </row>
    <row r="46">
      <c r="A46" t="s">
        <v>92</v>
      </c>
      <c r="B46" t="s">
        <v>362</v>
      </c>
      <c r="C46" t="s">
        <v>217</v>
      </c>
      <c r="D46" t="s">
        <v>363</v>
      </c>
      <c r="E46" t="s">
        <v>218</v>
      </c>
      <c r="F46" t="n">
        <v>84.1741232395674</v>
      </c>
      <c r="G46" t="n">
        <v>87.0209037334498</v>
      </c>
      <c r="H46" t="n">
        <v>88.1769785415029</v>
      </c>
      <c r="I46" t="n">
        <v>90.4018353636109</v>
      </c>
      <c r="J46" t="n">
        <v>93.0201086363853</v>
      </c>
      <c r="K46" t="n">
        <v>95.7275546258019</v>
      </c>
      <c r="L46" t="n">
        <v>97.182210628298</v>
      </c>
      <c r="M46" t="n">
        <v>98.4053276957022</v>
      </c>
      <c r="N46" t="n">
        <v>100.308392784554</v>
      </c>
      <c r="O46" t="n">
        <v>98.9877080445291</v>
      </c>
      <c r="P46" t="n">
        <v>96.2721417103972</v>
      </c>
      <c r="Q46" t="n">
        <v>97.137424734758</v>
      </c>
      <c r="R46" t="n">
        <v>98.5115358386195</v>
      </c>
      <c r="S46" t="n">
        <v>99.9451040523267</v>
      </c>
      <c r="T46" t="n">
        <v>100.536850817612</v>
      </c>
      <c r="U46" t="n">
        <v>101.359574637723</v>
      </c>
      <c r="V46" t="n">
        <v>101.417793807532</v>
      </c>
      <c r="W46" t="n">
        <v>101.188428273101</v>
      </c>
      <c r="X46" t="n">
        <v>100.788474011152</v>
      </c>
      <c r="Y46" t="n">
        <v>100.823530871678</v>
      </c>
      <c r="Z46" t="n">
        <v>100.715234920151</v>
      </c>
      <c r="AA46" t="n">
        <v>100.971974411936</v>
      </c>
      <c r="AB46" t="n">
        <v>100.120443002688</v>
      </c>
      <c r="AC46" t="n">
        <v>100.240635611335</v>
      </c>
      <c r="AD46" t="n">
        <v>100.484966052376</v>
      </c>
      <c r="AE46" t="n">
        <v>100</v>
      </c>
      <c r="AF46" t="n">
        <v>101.51278038602</v>
      </c>
    </row>
    <row r="47">
      <c r="A47" t="s">
        <v>92</v>
      </c>
      <c r="B47" t="s">
        <v>364</v>
      </c>
      <c r="C47" t="s">
        <v>217</v>
      </c>
      <c r="D47" t="s">
        <v>365</v>
      </c>
      <c r="E47" t="s">
        <v>218</v>
      </c>
      <c r="F47" t="n">
        <v>71.8943820564704</v>
      </c>
      <c r="G47" t="n">
        <v>75.9375112868114</v>
      </c>
      <c r="H47" t="n">
        <v>79.9613423141822</v>
      </c>
      <c r="I47" t="n">
        <v>83.5340605442912</v>
      </c>
      <c r="J47" t="n">
        <v>85.1155661054671</v>
      </c>
      <c r="K47" t="n">
        <v>88.0087509799722</v>
      </c>
      <c r="L47" t="n">
        <v>91.0662097692791</v>
      </c>
      <c r="M47" t="n">
        <v>94.4206221598745</v>
      </c>
      <c r="N47" t="n">
        <v>96.524784056241</v>
      </c>
      <c r="O47" t="n">
        <v>98.1585488321672</v>
      </c>
      <c r="P47" t="n">
        <v>98.2674875806298</v>
      </c>
      <c r="Q47" t="n">
        <v>102.835133540704</v>
      </c>
      <c r="R47" t="n">
        <v>104.202222802063</v>
      </c>
      <c r="S47" t="n">
        <v>106.868582388159</v>
      </c>
      <c r="T47" t="n">
        <v>106.310042790783</v>
      </c>
      <c r="U47" t="n">
        <v>107.548060209399</v>
      </c>
      <c r="V47" t="n">
        <v>107.814850034501</v>
      </c>
      <c r="W47" t="n">
        <v>107.456567806589</v>
      </c>
      <c r="X47" t="n">
        <v>106.479016672856</v>
      </c>
      <c r="Y47" t="n">
        <v>104.419453144147</v>
      </c>
      <c r="Z47" t="n">
        <v>102.516153666984</v>
      </c>
      <c r="AA47" t="n">
        <v>100.301030789181</v>
      </c>
      <c r="AB47" t="n">
        <v>100.197170935597</v>
      </c>
      <c r="AC47" t="n">
        <v>100.59826618896</v>
      </c>
      <c r="AD47" t="n">
        <v>100.368441112946</v>
      </c>
      <c r="AE47" t="n">
        <v>100</v>
      </c>
      <c r="AF47" t="n">
        <v>101.60913021904</v>
      </c>
    </row>
    <row r="48">
      <c r="A48" t="s">
        <v>92</v>
      </c>
      <c r="B48" t="s">
        <v>366</v>
      </c>
      <c r="C48" t="s">
        <v>217</v>
      </c>
      <c r="D48" t="s">
        <v>367</v>
      </c>
      <c r="E48" t="s">
        <v>218</v>
      </c>
      <c r="F48" t="n">
        <v>71.1610663424733</v>
      </c>
      <c r="G48" t="n">
        <v>75.0270475157537</v>
      </c>
      <c r="H48" t="n">
        <v>78.878356902289</v>
      </c>
      <c r="I48" t="n">
        <v>82.448040669291</v>
      </c>
      <c r="J48" t="n">
        <v>84.1642828961618</v>
      </c>
      <c r="K48" t="n">
        <v>86.8558916501579</v>
      </c>
      <c r="L48" t="n">
        <v>89.7097605887415</v>
      </c>
      <c r="M48" t="n">
        <v>92.5234207409201</v>
      </c>
      <c r="N48" t="n">
        <v>94.4861228324045</v>
      </c>
      <c r="O48" t="n">
        <v>95.856475447312</v>
      </c>
      <c r="P48" t="n">
        <v>96.1087139824238</v>
      </c>
      <c r="Q48" t="n">
        <v>99.8864514194565</v>
      </c>
      <c r="R48" t="n">
        <v>101.331191967957</v>
      </c>
      <c r="S48" t="n">
        <v>104.268977876193</v>
      </c>
      <c r="T48" t="n">
        <v>103.978680477547</v>
      </c>
      <c r="U48" t="n">
        <v>105.654665407142</v>
      </c>
      <c r="V48" t="n">
        <v>106.582814342911</v>
      </c>
      <c r="W48" t="n">
        <v>106.67029083372</v>
      </c>
      <c r="X48" t="n">
        <v>105.837168169527</v>
      </c>
      <c r="Y48" t="n">
        <v>103.92540549029</v>
      </c>
      <c r="Z48" t="n">
        <v>102.136102489968</v>
      </c>
      <c r="AA48" t="n">
        <v>100.259766514811</v>
      </c>
      <c r="AB48" t="n">
        <v>100.254384595947</v>
      </c>
      <c r="AC48" t="n">
        <v>100.626878676701</v>
      </c>
      <c r="AD48" t="n">
        <v>100.587320427291</v>
      </c>
      <c r="AE48" t="n">
        <v>100</v>
      </c>
      <c r="AF48" t="n">
        <v>101.501828038326</v>
      </c>
    </row>
    <row r="49">
      <c r="A49" t="s">
        <v>92</v>
      </c>
      <c r="B49" t="s">
        <v>368</v>
      </c>
      <c r="C49" t="s">
        <v>217</v>
      </c>
      <c r="D49" t="s">
        <v>369</v>
      </c>
      <c r="E49" t="s">
        <v>218</v>
      </c>
      <c r="F49" t="n">
        <v>63.7703402495594</v>
      </c>
      <c r="G49" t="n">
        <v>67.2101801590135</v>
      </c>
      <c r="H49" t="n">
        <v>70.624143084746</v>
      </c>
      <c r="I49" t="n">
        <v>74.0258036652106</v>
      </c>
      <c r="J49" t="n">
        <v>76.2524625164165</v>
      </c>
      <c r="K49" t="n">
        <v>78.4698044948951</v>
      </c>
      <c r="L49" t="n">
        <v>80.6519828525312</v>
      </c>
      <c r="M49" t="n">
        <v>82.5111833165365</v>
      </c>
      <c r="N49" t="n">
        <v>84.3513786282549</v>
      </c>
      <c r="O49" t="n">
        <v>85.5388289055757</v>
      </c>
      <c r="P49" t="n">
        <v>86.367622366487</v>
      </c>
      <c r="Q49" t="n">
        <v>88.5699376618513</v>
      </c>
      <c r="R49" t="n">
        <v>90.2199296008141</v>
      </c>
      <c r="S49" t="n">
        <v>94.3614981649352</v>
      </c>
      <c r="T49" t="n">
        <v>95.411713427846</v>
      </c>
      <c r="U49" t="n">
        <v>99.8338855389681</v>
      </c>
      <c r="V49" t="n">
        <v>103.071623034261</v>
      </c>
      <c r="W49" t="n">
        <v>104.467489960534</v>
      </c>
      <c r="X49" t="n">
        <v>103.953040732232</v>
      </c>
      <c r="Y49" t="n">
        <v>102.389002553869</v>
      </c>
      <c r="Z49" t="n">
        <v>100.705007313173</v>
      </c>
      <c r="AA49" t="n">
        <v>99.903006185159</v>
      </c>
      <c r="AB49" t="n">
        <v>100.552624515361</v>
      </c>
      <c r="AC49" t="n">
        <v>100.957838363118</v>
      </c>
      <c r="AD49" t="n">
        <v>101.124332427621</v>
      </c>
      <c r="AE49" t="n">
        <v>100</v>
      </c>
      <c r="AF49" t="n">
        <v>101.046363249681</v>
      </c>
    </row>
    <row r="50">
      <c r="A50" t="s">
        <v>92</v>
      </c>
      <c r="B50" t="s">
        <v>370</v>
      </c>
      <c r="C50" t="s">
        <v>217</v>
      </c>
      <c r="D50" t="s">
        <v>371</v>
      </c>
      <c r="E50" t="s">
        <v>218</v>
      </c>
      <c r="F50" t="n">
        <v>76.5463411242549</v>
      </c>
      <c r="G50" t="n">
        <v>79.7133476661724</v>
      </c>
      <c r="H50" t="n">
        <v>83.0024447716773</v>
      </c>
      <c r="I50" t="n">
        <v>86.4835894581403</v>
      </c>
      <c r="J50" t="n">
        <v>87.769363177518</v>
      </c>
      <c r="K50" t="n">
        <v>90.1154594335273</v>
      </c>
      <c r="L50" t="n">
        <v>92.7922505646924</v>
      </c>
      <c r="M50" t="n">
        <v>93.7180366409326</v>
      </c>
      <c r="N50" t="n">
        <v>94.7743519505039</v>
      </c>
      <c r="O50" t="n">
        <v>94.4207575395891</v>
      </c>
      <c r="P50" t="n">
        <v>94.0543733258293</v>
      </c>
      <c r="Q50" t="n">
        <v>95.7904649886543</v>
      </c>
      <c r="R50" t="n">
        <v>97.2246427303403</v>
      </c>
      <c r="S50" t="n">
        <v>99.6922732564911</v>
      </c>
      <c r="T50" t="n">
        <v>99.4556244040069</v>
      </c>
      <c r="U50" t="n">
        <v>100.670473236303</v>
      </c>
      <c r="V50" t="n">
        <v>101.488473719311</v>
      </c>
      <c r="W50" t="n">
        <v>101.488473719311</v>
      </c>
      <c r="X50" t="n">
        <v>101.232477008696</v>
      </c>
      <c r="Y50" t="n">
        <v>100.662474322836</v>
      </c>
      <c r="Z50" t="n">
        <v>100.030370873399</v>
      </c>
      <c r="AA50" t="n">
        <v>99.9726166176985</v>
      </c>
      <c r="AB50" t="n">
        <v>100.209734664776</v>
      </c>
      <c r="AC50" t="n">
        <v>100.374012918324</v>
      </c>
      <c r="AD50" t="n">
        <v>100.760172902072</v>
      </c>
      <c r="AE50" t="n">
        <v>100</v>
      </c>
      <c r="AF50" t="n">
        <v>101.567164179104</v>
      </c>
    </row>
    <row r="51">
      <c r="A51" t="s">
        <v>92</v>
      </c>
      <c r="B51" t="s">
        <v>372</v>
      </c>
      <c r="C51" t="s">
        <v>217</v>
      </c>
      <c r="D51" t="s">
        <v>373</v>
      </c>
      <c r="E51" t="s">
        <v>218</v>
      </c>
      <c r="F51" t="n">
        <v>76.3757573763733</v>
      </c>
      <c r="G51" t="n">
        <v>79.5434155164073</v>
      </c>
      <c r="H51" t="n">
        <v>82.8384698595977</v>
      </c>
      <c r="I51" t="n">
        <v>86.31499409107</v>
      </c>
      <c r="J51" t="n">
        <v>87.6010907589678</v>
      </c>
      <c r="K51" t="n">
        <v>89.9493560173349</v>
      </c>
      <c r="L51" t="n">
        <v>92.6268427676536</v>
      </c>
      <c r="M51" t="n">
        <v>93.5583100826697</v>
      </c>
      <c r="N51" t="n">
        <v>94.6129126117819</v>
      </c>
      <c r="O51" t="n">
        <v>94.2719863610685</v>
      </c>
      <c r="P51" t="n">
        <v>93.9364988651216</v>
      </c>
      <c r="Q51" t="n">
        <v>95.292245092317</v>
      </c>
      <c r="R51" t="n">
        <v>96.716400855142</v>
      </c>
      <c r="S51" t="n">
        <v>99.2089896274365</v>
      </c>
      <c r="T51" t="n">
        <v>99.0334606295111</v>
      </c>
      <c r="U51" t="n">
        <v>100.300476043694</v>
      </c>
      <c r="V51" t="n">
        <v>101.200608521009</v>
      </c>
      <c r="W51" t="n">
        <v>101.276842501063</v>
      </c>
      <c r="X51" t="n">
        <v>101.082016898303</v>
      </c>
      <c r="Y51" t="n">
        <v>100.627251178107</v>
      </c>
      <c r="Z51" t="n">
        <v>99.9961794774457</v>
      </c>
      <c r="AA51" t="n">
        <v>99.9641294199209</v>
      </c>
      <c r="AB51" t="n">
        <v>100.231719823722</v>
      </c>
      <c r="AC51" t="n">
        <v>100.404478977288</v>
      </c>
      <c r="AD51" t="n">
        <v>100.775554521483</v>
      </c>
      <c r="AE51" t="n">
        <v>100</v>
      </c>
      <c r="AF51" t="n">
        <v>101.544833762454</v>
      </c>
    </row>
    <row r="52">
      <c r="A52" t="s">
        <v>92</v>
      </c>
      <c r="B52" t="s">
        <v>374</v>
      </c>
      <c r="C52" t="s">
        <v>217</v>
      </c>
      <c r="D52" t="s">
        <v>375</v>
      </c>
      <c r="E52" t="s">
        <v>218</v>
      </c>
      <c r="F52" t="n">
        <v>78.9494073637851</v>
      </c>
      <c r="G52" t="n">
        <v>82.0934103119005</v>
      </c>
      <c r="H52" t="n">
        <v>85.2753254402687</v>
      </c>
      <c r="I52" t="n">
        <v>88.8161694031864</v>
      </c>
      <c r="J52" t="n">
        <v>90.0922637911633</v>
      </c>
      <c r="K52" t="n">
        <v>92.3969496090767</v>
      </c>
      <c r="L52" t="n">
        <v>95.0547298854799</v>
      </c>
      <c r="M52" t="n">
        <v>95.8900087069692</v>
      </c>
      <c r="N52" t="n">
        <v>96.9694459532015</v>
      </c>
      <c r="O52" t="n">
        <v>96.4195247096106</v>
      </c>
      <c r="P52" t="n">
        <v>95.8774068999983</v>
      </c>
      <c r="Q52" t="n">
        <v>100.109070508447</v>
      </c>
      <c r="R52" t="n">
        <v>101.62587460706</v>
      </c>
      <c r="S52" t="n">
        <v>104.014729641898</v>
      </c>
      <c r="T52" t="n">
        <v>103.23500902989</v>
      </c>
      <c r="U52" t="n">
        <v>103.874235091994</v>
      </c>
      <c r="V52" t="n">
        <v>104.105580827166</v>
      </c>
      <c r="W52" t="n">
        <v>103.462953785023</v>
      </c>
      <c r="X52" t="n">
        <v>102.771664561515</v>
      </c>
      <c r="Y52" t="n">
        <v>100.894556532994</v>
      </c>
      <c r="Z52" t="n">
        <v>100.251916045523</v>
      </c>
      <c r="AA52" t="n">
        <v>99.9604860570182</v>
      </c>
      <c r="AB52" t="n">
        <v>99.5622371085839</v>
      </c>
      <c r="AC52" t="n">
        <v>99.5622371085839</v>
      </c>
      <c r="AD52" t="n">
        <v>100.381679389313</v>
      </c>
      <c r="AE52" t="n">
        <v>100</v>
      </c>
      <c r="AF52" t="n">
        <v>102.013422818792</v>
      </c>
    </row>
    <row r="53">
      <c r="A53" t="s">
        <v>92</v>
      </c>
      <c r="B53" t="s">
        <v>376</v>
      </c>
      <c r="C53" t="s">
        <v>217</v>
      </c>
      <c r="D53" t="s">
        <v>377</v>
      </c>
      <c r="E53" t="s">
        <v>218</v>
      </c>
      <c r="F53" t="n">
        <v>72.4450706043761</v>
      </c>
      <c r="G53" t="n">
        <v>76.3958128125805</v>
      </c>
      <c r="H53" t="n">
        <v>79.7334939548777</v>
      </c>
      <c r="I53" t="n">
        <v>83.3484076426826</v>
      </c>
      <c r="J53" t="n">
        <v>86.4801042630278</v>
      </c>
      <c r="K53" t="n">
        <v>88.8200765963643</v>
      </c>
      <c r="L53" t="n">
        <v>91.3859486018695</v>
      </c>
      <c r="M53" t="n">
        <v>93.3903520236814</v>
      </c>
      <c r="N53" t="n">
        <v>95.0512264174631</v>
      </c>
      <c r="O53" t="n">
        <v>95.7724900013481</v>
      </c>
      <c r="P53" t="n">
        <v>95.6164452111218</v>
      </c>
      <c r="Q53" t="n">
        <v>99.6093046338982</v>
      </c>
      <c r="R53" t="n">
        <v>101.744124869811</v>
      </c>
      <c r="S53" t="n">
        <v>104.16390338771</v>
      </c>
      <c r="T53" t="n">
        <v>102.923528777378</v>
      </c>
      <c r="U53" t="n">
        <v>103.851858644782</v>
      </c>
      <c r="V53" t="n">
        <v>103.937544996799</v>
      </c>
      <c r="W53" t="n">
        <v>103.607933331904</v>
      </c>
      <c r="X53" t="n">
        <v>102.97273483055</v>
      </c>
      <c r="Y53" t="n">
        <v>101.194276543321</v>
      </c>
      <c r="Z53" t="n">
        <v>99.549223278567</v>
      </c>
      <c r="AA53" t="n">
        <v>98.1497496617175</v>
      </c>
      <c r="AB53" t="n">
        <v>98.3327510594708</v>
      </c>
      <c r="AC53" t="n">
        <v>98.5669881987263</v>
      </c>
      <c r="AD53" t="n">
        <v>99.5449374288965</v>
      </c>
      <c r="AE53" t="n">
        <v>100</v>
      </c>
      <c r="AF53" t="n">
        <v>101.765105227427</v>
      </c>
    </row>
    <row r="54">
      <c r="A54" t="s">
        <v>92</v>
      </c>
      <c r="B54" t="s">
        <v>378</v>
      </c>
      <c r="C54" t="s">
        <v>217</v>
      </c>
      <c r="D54" t="s">
        <v>379</v>
      </c>
      <c r="E54" t="s">
        <v>218</v>
      </c>
      <c r="F54" t="n">
        <v>78.8968059566402</v>
      </c>
      <c r="G54" t="n">
        <v>81.7722752852241</v>
      </c>
      <c r="H54" t="n">
        <v>84.4622565578713</v>
      </c>
      <c r="I54" t="n">
        <v>87.9691780794659</v>
      </c>
      <c r="J54" t="n">
        <v>89.9721725977239</v>
      </c>
      <c r="K54" t="n">
        <v>92.1127190488267</v>
      </c>
      <c r="L54" t="n">
        <v>94.621245995478</v>
      </c>
      <c r="M54" t="n">
        <v>96.3141442925651</v>
      </c>
      <c r="N54" t="n">
        <v>97.7573042209841</v>
      </c>
      <c r="O54" t="n">
        <v>97.5797174226588</v>
      </c>
      <c r="P54" t="n">
        <v>97.5174192417122</v>
      </c>
      <c r="Q54" t="n">
        <v>100.313012405159</v>
      </c>
      <c r="R54" t="n">
        <v>101.907798126225</v>
      </c>
      <c r="S54" t="n">
        <v>104.130357022145</v>
      </c>
      <c r="T54" t="n">
        <v>102.903732214796</v>
      </c>
      <c r="U54" t="n">
        <v>103.963158338925</v>
      </c>
      <c r="V54" t="n">
        <v>104.194473153524</v>
      </c>
      <c r="W54" t="n">
        <v>103.893042662241</v>
      </c>
      <c r="X54" t="n">
        <v>103.259548499666</v>
      </c>
      <c r="Y54" t="n">
        <v>101.283289198237</v>
      </c>
      <c r="Z54" t="n">
        <v>99.7523390268104</v>
      </c>
      <c r="AA54" t="n">
        <v>98.4444414904024</v>
      </c>
      <c r="AB54" t="n">
        <v>98.5652692798966</v>
      </c>
      <c r="AC54" t="n">
        <v>98.7518281491961</v>
      </c>
      <c r="AD54" t="n">
        <v>99.6367598982928</v>
      </c>
      <c r="AE54" t="n">
        <v>100</v>
      </c>
      <c r="AF54" t="n">
        <v>101.51397515528</v>
      </c>
    </row>
    <row r="55">
      <c r="A55" t="s">
        <v>92</v>
      </c>
      <c r="B55" t="s">
        <v>380</v>
      </c>
      <c r="C55" t="s">
        <v>217</v>
      </c>
      <c r="D55" t="s">
        <v>381</v>
      </c>
      <c r="E55" t="s">
        <v>218</v>
      </c>
      <c r="F55" t="n">
        <v>83.1070808455018</v>
      </c>
      <c r="G55" t="n">
        <v>85.795398190636</v>
      </c>
      <c r="H55" t="n">
        <v>88.4160283045417</v>
      </c>
      <c r="I55" t="n">
        <v>92.0134883749299</v>
      </c>
      <c r="J55" t="n">
        <v>93.8427015649246</v>
      </c>
      <c r="K55" t="n">
        <v>96.0189738425109</v>
      </c>
      <c r="L55" t="n">
        <v>98.4709605135965</v>
      </c>
      <c r="M55" t="n">
        <v>99.662603507943</v>
      </c>
      <c r="N55" t="n">
        <v>100.611038777952</v>
      </c>
      <c r="O55" t="n">
        <v>99.114036341082</v>
      </c>
      <c r="P55" t="n">
        <v>99.1582048064747</v>
      </c>
      <c r="Q55" t="n">
        <v>100.817527468738</v>
      </c>
      <c r="R55" t="n">
        <v>102.017532046669</v>
      </c>
      <c r="S55" t="n">
        <v>104.072007204311</v>
      </c>
      <c r="T55" t="n">
        <v>102.849254798272</v>
      </c>
      <c r="U55" t="n">
        <v>104.201348419634</v>
      </c>
      <c r="V55" t="n">
        <v>104.651323397387</v>
      </c>
      <c r="W55" t="n">
        <v>104.39377297065</v>
      </c>
      <c r="X55" t="n">
        <v>103.764051820023</v>
      </c>
      <c r="Y55" t="n">
        <v>101.561631038508</v>
      </c>
      <c r="Z55" t="n">
        <v>100.127144724405</v>
      </c>
      <c r="AA55" t="n">
        <v>98.9247445148323</v>
      </c>
      <c r="AB55" t="n">
        <v>98.9846989054473</v>
      </c>
      <c r="AC55" t="n">
        <v>99.077121593501</v>
      </c>
      <c r="AD55" t="n">
        <v>99.7989949748744</v>
      </c>
      <c r="AE55" t="n">
        <v>100</v>
      </c>
      <c r="AF55" t="n">
        <v>101.178603807797</v>
      </c>
    </row>
    <row r="56">
      <c r="A56" t="s">
        <v>92</v>
      </c>
      <c r="B56" t="s">
        <v>382</v>
      </c>
      <c r="C56" t="s">
        <v>217</v>
      </c>
      <c r="D56" t="s">
        <v>383</v>
      </c>
      <c r="E56" t="s">
        <v>218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92</v>
      </c>
      <c r="B57" t="s">
        <v>384</v>
      </c>
      <c r="C57" t="s">
        <v>217</v>
      </c>
      <c r="D57" t="s">
        <v>385</v>
      </c>
      <c r="E57" t="s">
        <v>218</v>
      </c>
      <c r="F57" t="n">
        <v>70.9893414690972</v>
      </c>
      <c r="G57" t="n">
        <v>75.0595009254383</v>
      </c>
      <c r="H57" t="n">
        <v>78.5494077993299</v>
      </c>
      <c r="I57" t="n">
        <v>82.377302419718</v>
      </c>
      <c r="J57" t="n">
        <v>84.7103258000259</v>
      </c>
      <c r="K57" t="n">
        <v>87.4057454697323</v>
      </c>
      <c r="L57" t="n">
        <v>89.8741979669036</v>
      </c>
      <c r="M57" t="n">
        <v>92.6294500235188</v>
      </c>
      <c r="N57" t="n">
        <v>94.6240934664259</v>
      </c>
      <c r="O57" t="n">
        <v>96.0492590685025</v>
      </c>
      <c r="P57" t="n">
        <v>95.9846498223489</v>
      </c>
      <c r="Q57" t="n">
        <v>100.219698413174</v>
      </c>
      <c r="R57" t="n">
        <v>101.686865380508</v>
      </c>
      <c r="S57" t="n">
        <v>104.162772621505</v>
      </c>
      <c r="T57" t="n">
        <v>103.479778427051</v>
      </c>
      <c r="U57" t="n">
        <v>104.446544330884</v>
      </c>
      <c r="V57" t="n">
        <v>104.820306789298</v>
      </c>
      <c r="W57" t="n">
        <v>104.496665817956</v>
      </c>
      <c r="X57" t="n">
        <v>103.775960843077</v>
      </c>
      <c r="Y57" t="n">
        <v>102.179693711445</v>
      </c>
      <c r="Z57" t="n">
        <v>100.92614811168</v>
      </c>
      <c r="AA57" t="n">
        <v>99.704973342375</v>
      </c>
      <c r="AB57" t="n">
        <v>99.8030350811519</v>
      </c>
      <c r="AC57" t="n">
        <v>100.140172782085</v>
      </c>
      <c r="AD57" t="n">
        <v>100.232929427236</v>
      </c>
      <c r="AE57" t="n">
        <v>100</v>
      </c>
      <c r="AF57" t="n">
        <v>101.531220708773</v>
      </c>
    </row>
    <row r="58">
      <c r="A58" t="s">
        <v>92</v>
      </c>
      <c r="B58" t="s">
        <v>386</v>
      </c>
      <c r="C58" t="s">
        <v>217</v>
      </c>
      <c r="D58" t="s">
        <v>387</v>
      </c>
      <c r="E58" t="s">
        <v>218</v>
      </c>
      <c r="F58" t="n">
        <v>70.9893414690972</v>
      </c>
      <c r="G58" t="n">
        <v>75.0595009254383</v>
      </c>
      <c r="H58" t="n">
        <v>78.5494077993299</v>
      </c>
      <c r="I58" t="n">
        <v>82.377302419718</v>
      </c>
      <c r="J58" t="n">
        <v>84.7103258000259</v>
      </c>
      <c r="K58" t="n">
        <v>87.4057454697323</v>
      </c>
      <c r="L58" t="n">
        <v>89.8741979669036</v>
      </c>
      <c r="M58" t="n">
        <v>92.6294500235188</v>
      </c>
      <c r="N58" t="n">
        <v>94.6240934664259</v>
      </c>
      <c r="O58" t="n">
        <v>96.0492590685025</v>
      </c>
      <c r="P58" t="n">
        <v>95.9846498223489</v>
      </c>
      <c r="Q58" t="n">
        <v>100.219698413174</v>
      </c>
      <c r="R58" t="n">
        <v>101.686865380508</v>
      </c>
      <c r="S58" t="n">
        <v>104.162772621505</v>
      </c>
      <c r="T58" t="n">
        <v>103.479778427051</v>
      </c>
      <c r="U58" t="n">
        <v>104.446544330884</v>
      </c>
      <c r="V58" t="n">
        <v>104.820306789298</v>
      </c>
      <c r="W58" t="n">
        <v>104.496665817956</v>
      </c>
      <c r="X58" t="n">
        <v>103.775960843077</v>
      </c>
      <c r="Y58" t="n">
        <v>102.179693711445</v>
      </c>
      <c r="Z58" t="n">
        <v>100.92614811168</v>
      </c>
      <c r="AA58" t="n">
        <v>99.704973342375</v>
      </c>
      <c r="AB58" t="n">
        <v>99.8030350811519</v>
      </c>
      <c r="AC58" t="n">
        <v>100.140172782085</v>
      </c>
      <c r="AD58" t="n">
        <v>100.232929427236</v>
      </c>
      <c r="AE58" t="n">
        <v>100</v>
      </c>
      <c r="AF58" t="n">
        <v>101.531220708773</v>
      </c>
    </row>
    <row r="59">
      <c r="A59" t="s">
        <v>92</v>
      </c>
      <c r="B59" t="s">
        <v>388</v>
      </c>
      <c r="C59" t="s">
        <v>217</v>
      </c>
      <c r="D59" t="s">
        <v>389</v>
      </c>
      <c r="E59" t="s">
        <v>218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95</v>
      </c>
      <c r="B2" t="s">
        <v>197</v>
      </c>
      <c r="C2" t="s">
        <v>217</v>
      </c>
      <c r="D2" t="s">
        <v>199</v>
      </c>
      <c r="E2" t="s">
        <v>218</v>
      </c>
      <c r="F2" t="n">
        <v>1</v>
      </c>
      <c r="G2" t="n">
        <v>1</v>
      </c>
      <c r="H2" t="n">
        <v>1</v>
      </c>
      <c r="I2" t="n">
        <v>1.1</v>
      </c>
      <c r="J2" t="n">
        <v>1.1</v>
      </c>
      <c r="K2" t="n">
        <v>1.4</v>
      </c>
      <c r="L2" t="n">
        <v>1.4</v>
      </c>
      <c r="M2" t="n">
        <v>1.3</v>
      </c>
      <c r="N2" t="n">
        <v>1.2</v>
      </c>
      <c r="O2" t="n">
        <v>1.1</v>
      </c>
      <c r="P2" t="n">
        <v>3.1</v>
      </c>
      <c r="Q2" t="n">
        <v>2.2</v>
      </c>
      <c r="R2" t="n">
        <v>9.9</v>
      </c>
      <c r="S2" t="n">
        <v>9.2</v>
      </c>
      <c r="T2" t="n">
        <v>11.4</v>
      </c>
      <c r="U2" t="n">
        <v>13</v>
      </c>
      <c r="V2" t="n">
        <v>11.5</v>
      </c>
      <c r="W2" t="n">
        <v>10.5</v>
      </c>
      <c r="X2" t="n">
        <v>10</v>
      </c>
      <c r="Y2" t="n">
        <v>10</v>
      </c>
      <c r="Z2" t="n">
        <v>10.7</v>
      </c>
      <c r="AA2" t="n">
        <v>10.4</v>
      </c>
      <c r="AB2" t="n">
        <v>10.3</v>
      </c>
      <c r="AC2" t="n">
        <v>10.6</v>
      </c>
      <c r="AD2" t="n">
        <v>11</v>
      </c>
      <c r="AE2" t="n">
        <v>11.8</v>
      </c>
      <c r="AF2" t="n">
        <v>13.6</v>
      </c>
    </row>
    <row r="3">
      <c r="A3" t="s">
        <v>95</v>
      </c>
      <c r="B3" t="s">
        <v>276</v>
      </c>
      <c r="C3" t="s">
        <v>217</v>
      </c>
      <c r="D3" t="s">
        <v>277</v>
      </c>
      <c r="E3" t="s">
        <v>218</v>
      </c>
      <c r="F3" t="n">
        <v>0.7</v>
      </c>
      <c r="G3" t="n">
        <v>0.8</v>
      </c>
      <c r="H3" t="n">
        <v>1</v>
      </c>
      <c r="I3" t="n">
        <v>1.1</v>
      </c>
      <c r="J3" t="n">
        <v>1.2</v>
      </c>
      <c r="K3" t="n">
        <v>1.5</v>
      </c>
      <c r="L3" t="n">
        <v>1.7</v>
      </c>
      <c r="M3" t="n">
        <v>1.6</v>
      </c>
      <c r="N3" t="n">
        <v>1.7</v>
      </c>
      <c r="O3" t="n">
        <v>1.8</v>
      </c>
      <c r="P3" t="n">
        <v>2.7</v>
      </c>
      <c r="Q3" t="n">
        <v>3.5</v>
      </c>
      <c r="R3" t="n">
        <v>4.5</v>
      </c>
      <c r="S3" t="n">
        <v>6.7</v>
      </c>
      <c r="T3" t="n">
        <v>7.1</v>
      </c>
      <c r="U3" t="n">
        <v>6.1</v>
      </c>
      <c r="V3" t="n">
        <v>4.9</v>
      </c>
      <c r="W3" t="n">
        <v>4.4</v>
      </c>
      <c r="X3" t="n">
        <v>3.6</v>
      </c>
      <c r="Y3" t="n">
        <v>3.4</v>
      </c>
      <c r="Z3" t="n">
        <v>3.6</v>
      </c>
      <c r="AA3" t="n">
        <v>3.3</v>
      </c>
      <c r="AB3" t="n">
        <v>3.1</v>
      </c>
      <c r="AC3" t="n">
        <v>3.4</v>
      </c>
      <c r="AD3" t="n">
        <v>3.8</v>
      </c>
      <c r="AE3" t="n">
        <v>3.5</v>
      </c>
      <c r="AF3" t="n">
        <v>3.6</v>
      </c>
    </row>
    <row r="4">
      <c r="A4" t="s">
        <v>95</v>
      </c>
      <c r="B4" t="s">
        <v>278</v>
      </c>
      <c r="C4" t="s">
        <v>217</v>
      </c>
      <c r="D4" t="s">
        <v>279</v>
      </c>
      <c r="E4" t="s">
        <v>218</v>
      </c>
      <c r="F4" t="n">
        <v>157.6</v>
      </c>
      <c r="G4" t="n">
        <v>181.1</v>
      </c>
      <c r="H4" t="n">
        <v>214.1</v>
      </c>
      <c r="I4" t="n">
        <v>245</v>
      </c>
      <c r="J4" t="n">
        <v>265</v>
      </c>
      <c r="K4" t="n">
        <v>340</v>
      </c>
      <c r="L4" t="n">
        <v>342</v>
      </c>
      <c r="M4" t="n">
        <v>291.1</v>
      </c>
      <c r="N4" t="n">
        <v>263.2</v>
      </c>
      <c r="O4" t="n">
        <v>230.3</v>
      </c>
      <c r="P4" t="n">
        <v>220.2</v>
      </c>
      <c r="Q4" t="n">
        <v>239.4</v>
      </c>
      <c r="R4" t="n">
        <v>252.7</v>
      </c>
      <c r="S4" t="n">
        <v>293.8</v>
      </c>
      <c r="T4" t="n">
        <v>279.4</v>
      </c>
      <c r="U4" t="n">
        <v>226.6</v>
      </c>
      <c r="V4" t="n">
        <v>183.2</v>
      </c>
      <c r="W4" t="n">
        <v>151.5</v>
      </c>
      <c r="X4" t="n">
        <v>122.2</v>
      </c>
      <c r="Y4" t="n">
        <v>117.2</v>
      </c>
      <c r="Z4" t="n">
        <v>89.1</v>
      </c>
      <c r="AA4" t="n">
        <v>68.8</v>
      </c>
      <c r="AB4" t="n">
        <v>54.3</v>
      </c>
      <c r="AC4" t="n">
        <v>47.3</v>
      </c>
      <c r="AD4" t="n">
        <v>41.1</v>
      </c>
      <c r="AE4" t="n">
        <v>38.5</v>
      </c>
      <c r="AF4" t="n">
        <v>39.4</v>
      </c>
    </row>
    <row r="5">
      <c r="A5" t="s">
        <v>95</v>
      </c>
      <c r="B5" t="s">
        <v>280</v>
      </c>
      <c r="C5" t="s">
        <v>217</v>
      </c>
      <c r="D5" t="s">
        <v>281</v>
      </c>
      <c r="E5" t="s">
        <v>218</v>
      </c>
      <c r="F5" t="n">
        <v>46</v>
      </c>
      <c r="G5" t="n">
        <v>43</v>
      </c>
      <c r="H5" t="n">
        <v>43.4</v>
      </c>
      <c r="I5" t="n">
        <v>44.2</v>
      </c>
      <c r="J5" t="n">
        <v>44.4</v>
      </c>
      <c r="K5" t="n">
        <v>53.1</v>
      </c>
      <c r="L5" t="n">
        <v>64.3</v>
      </c>
      <c r="M5" t="n">
        <v>63.9</v>
      </c>
      <c r="N5" t="n">
        <v>66.6</v>
      </c>
      <c r="O5" t="n">
        <v>61.2</v>
      </c>
      <c r="P5" t="n">
        <v>66.4</v>
      </c>
      <c r="Q5" t="n">
        <v>67.1</v>
      </c>
      <c r="R5" t="n">
        <v>74.3</v>
      </c>
      <c r="S5" t="n">
        <v>101.2</v>
      </c>
      <c r="T5" t="n">
        <v>97.3</v>
      </c>
      <c r="U5" t="n">
        <v>83.6</v>
      </c>
      <c r="V5" t="n">
        <v>69.5</v>
      </c>
      <c r="W5" t="n">
        <v>57.9</v>
      </c>
      <c r="X5" t="n">
        <v>49.7</v>
      </c>
      <c r="Y5" t="n">
        <v>48.8</v>
      </c>
      <c r="Z5" t="n">
        <v>37</v>
      </c>
      <c r="AA5" t="n">
        <v>27.6</v>
      </c>
      <c r="AB5" t="n">
        <v>21</v>
      </c>
      <c r="AC5" t="n">
        <v>18.7</v>
      </c>
      <c r="AD5" t="n">
        <v>15.7</v>
      </c>
      <c r="AE5" t="n">
        <v>13.9</v>
      </c>
      <c r="AF5" t="n">
        <v>13.5</v>
      </c>
    </row>
    <row r="6">
      <c r="A6" t="s">
        <v>95</v>
      </c>
      <c r="B6" t="s">
        <v>282</v>
      </c>
      <c r="C6" t="s">
        <v>217</v>
      </c>
      <c r="D6" t="s">
        <v>283</v>
      </c>
      <c r="E6" t="s">
        <v>218</v>
      </c>
      <c r="F6" t="n">
        <v>23.5</v>
      </c>
      <c r="G6" t="n">
        <v>30</v>
      </c>
      <c r="H6" t="n">
        <v>37.6</v>
      </c>
      <c r="I6" t="n">
        <v>44.7</v>
      </c>
      <c r="J6" t="n">
        <v>49.4</v>
      </c>
      <c r="K6" t="n">
        <v>64.5</v>
      </c>
      <c r="L6" t="n">
        <v>52.3</v>
      </c>
      <c r="M6" t="n">
        <v>40.5</v>
      </c>
      <c r="N6" t="n">
        <v>31.9</v>
      </c>
      <c r="O6" t="n">
        <v>25.3</v>
      </c>
      <c r="P6" t="n">
        <v>24.7</v>
      </c>
      <c r="Q6" t="n">
        <v>19.2</v>
      </c>
      <c r="R6" t="n">
        <v>19</v>
      </c>
      <c r="S6" t="n">
        <v>21.1</v>
      </c>
      <c r="T6" t="n">
        <v>16.5</v>
      </c>
      <c r="U6" t="n">
        <v>9.8</v>
      </c>
      <c r="V6" t="n">
        <v>6.9</v>
      </c>
      <c r="W6" t="n">
        <v>6</v>
      </c>
      <c r="X6" t="n">
        <v>5.3</v>
      </c>
      <c r="Y6" t="n">
        <v>5.4</v>
      </c>
      <c r="Z6" t="n">
        <v>3.7</v>
      </c>
      <c r="AA6" t="n">
        <v>2.8</v>
      </c>
      <c r="AB6" t="n">
        <v>2.1</v>
      </c>
      <c r="AC6" t="n">
        <v>1.6</v>
      </c>
      <c r="AD6" t="n">
        <v>1.3</v>
      </c>
      <c r="AE6" t="n">
        <v>1</v>
      </c>
      <c r="AF6" t="n">
        <v>0.9</v>
      </c>
    </row>
    <row r="7">
      <c r="A7" t="s">
        <v>95</v>
      </c>
      <c r="B7" t="s">
        <v>284</v>
      </c>
      <c r="C7" t="s">
        <v>217</v>
      </c>
      <c r="D7" t="s">
        <v>285</v>
      </c>
      <c r="E7" t="s">
        <v>218</v>
      </c>
      <c r="F7" t="n">
        <v>6.1</v>
      </c>
      <c r="G7" t="n">
        <v>7.3</v>
      </c>
      <c r="H7" t="n">
        <v>8.8</v>
      </c>
      <c r="I7" t="n">
        <v>10.2</v>
      </c>
      <c r="J7" t="n">
        <v>11.1</v>
      </c>
      <c r="K7" t="n">
        <v>14.3</v>
      </c>
      <c r="L7" t="n">
        <v>14.5</v>
      </c>
      <c r="M7" t="n">
        <v>14.6</v>
      </c>
      <c r="N7" t="n">
        <v>13.4</v>
      </c>
      <c r="O7" t="n">
        <v>11.8</v>
      </c>
      <c r="P7" t="n">
        <v>10.7</v>
      </c>
      <c r="Q7" t="n">
        <v>29.5</v>
      </c>
      <c r="R7" t="n">
        <v>37.7</v>
      </c>
      <c r="S7" t="n">
        <v>38.3</v>
      </c>
      <c r="T7" t="n">
        <v>29.8</v>
      </c>
      <c r="U7" t="n">
        <v>23.5</v>
      </c>
      <c r="V7" t="n">
        <v>17.7</v>
      </c>
      <c r="W7" t="n">
        <v>12</v>
      </c>
      <c r="X7" t="n">
        <v>9.9</v>
      </c>
      <c r="Y7" t="n">
        <v>10.8</v>
      </c>
      <c r="Z7" t="n">
        <v>8.5</v>
      </c>
      <c r="AA7" t="n">
        <v>7.2</v>
      </c>
      <c r="AB7" t="n">
        <v>6.4</v>
      </c>
      <c r="AC7" t="n">
        <v>5.3</v>
      </c>
      <c r="AD7" t="n">
        <v>4.3</v>
      </c>
      <c r="AE7" t="n">
        <v>3.9</v>
      </c>
      <c r="AF7" t="n">
        <v>4</v>
      </c>
    </row>
    <row r="8">
      <c r="A8" t="s">
        <v>95</v>
      </c>
      <c r="B8" t="s">
        <v>286</v>
      </c>
      <c r="C8" t="s">
        <v>217</v>
      </c>
      <c r="D8" t="s">
        <v>287</v>
      </c>
      <c r="E8" t="s">
        <v>218</v>
      </c>
      <c r="F8" t="n">
        <v>29.7</v>
      </c>
      <c r="G8" t="n">
        <v>44.5</v>
      </c>
      <c r="H8" t="n">
        <v>60.5</v>
      </c>
      <c r="I8" t="n">
        <v>75.1</v>
      </c>
      <c r="J8" t="n">
        <v>84.8</v>
      </c>
      <c r="K8" t="n">
        <v>112.9</v>
      </c>
      <c r="L8" t="n">
        <v>83.4</v>
      </c>
      <c r="M8" t="n">
        <v>59.8</v>
      </c>
      <c r="N8" t="n">
        <v>43.5</v>
      </c>
      <c r="O8" t="n">
        <v>30.2</v>
      </c>
      <c r="P8" t="n">
        <v>22.7</v>
      </c>
      <c r="Q8" t="n">
        <v>16.2</v>
      </c>
      <c r="R8" t="n">
        <v>11.7</v>
      </c>
      <c r="S8" t="n">
        <v>12.1</v>
      </c>
      <c r="T8" t="n">
        <v>9.5</v>
      </c>
      <c r="U8" t="n">
        <v>7.5</v>
      </c>
      <c r="V8" t="n">
        <v>6.1</v>
      </c>
      <c r="W8" t="n">
        <v>8.7</v>
      </c>
      <c r="X8" t="n">
        <v>6.4</v>
      </c>
      <c r="Y8" t="n">
        <v>5</v>
      </c>
      <c r="Z8" t="n">
        <v>4</v>
      </c>
      <c r="AA8" t="n">
        <v>3.1</v>
      </c>
      <c r="AB8" t="n">
        <v>2.4</v>
      </c>
      <c r="AC8" t="n">
        <v>1.9</v>
      </c>
      <c r="AD8" t="n">
        <v>1.8</v>
      </c>
      <c r="AE8" t="n">
        <v>1.8</v>
      </c>
      <c r="AF8" t="n">
        <v>1.9</v>
      </c>
    </row>
    <row r="9">
      <c r="A9" t="s">
        <v>95</v>
      </c>
      <c r="B9" t="s">
        <v>288</v>
      </c>
      <c r="C9" t="s">
        <v>217</v>
      </c>
      <c r="D9" t="s">
        <v>289</v>
      </c>
      <c r="E9" t="s">
        <v>218</v>
      </c>
      <c r="F9" t="n">
        <v>7.8</v>
      </c>
      <c r="G9" t="n">
        <v>7.1</v>
      </c>
      <c r="H9" t="n">
        <v>7</v>
      </c>
      <c r="I9" t="n">
        <v>7</v>
      </c>
      <c r="J9" t="n">
        <v>7</v>
      </c>
      <c r="K9" t="n">
        <v>8.2</v>
      </c>
      <c r="L9" t="n">
        <v>14.3</v>
      </c>
      <c r="M9" t="n">
        <v>12.3</v>
      </c>
      <c r="N9" t="n">
        <v>11.3</v>
      </c>
      <c r="O9" t="n">
        <v>12.1</v>
      </c>
      <c r="P9" t="n">
        <v>10.4</v>
      </c>
      <c r="Q9" t="n">
        <v>9</v>
      </c>
      <c r="R9" t="n">
        <v>8.5</v>
      </c>
      <c r="S9" t="n">
        <v>8.9</v>
      </c>
      <c r="T9" t="n">
        <v>9.9</v>
      </c>
      <c r="U9" t="n">
        <v>7.2</v>
      </c>
      <c r="V9" t="n">
        <v>5.7</v>
      </c>
      <c r="W9" t="n">
        <v>4.8</v>
      </c>
      <c r="X9" t="n">
        <v>4.2</v>
      </c>
      <c r="Y9" t="n">
        <v>3.7</v>
      </c>
      <c r="Z9" t="n">
        <v>2.3</v>
      </c>
      <c r="AA9" t="n">
        <v>2.1</v>
      </c>
      <c r="AB9" t="n">
        <v>2</v>
      </c>
      <c r="AC9" t="n">
        <v>2</v>
      </c>
      <c r="AD9" t="n">
        <v>2.2</v>
      </c>
      <c r="AE9" t="n">
        <v>2.2</v>
      </c>
      <c r="AF9" t="n">
        <v>2.3</v>
      </c>
    </row>
    <row r="10">
      <c r="A10" t="s">
        <v>95</v>
      </c>
      <c r="B10" t="s">
        <v>290</v>
      </c>
      <c r="C10" t="s">
        <v>217</v>
      </c>
      <c r="D10" t="s">
        <v>291</v>
      </c>
      <c r="E10" t="s">
        <v>218</v>
      </c>
      <c r="F10" t="n">
        <v>10.7</v>
      </c>
      <c r="G10" t="n">
        <v>9.7</v>
      </c>
      <c r="H10" t="n">
        <v>9.6</v>
      </c>
      <c r="I10" t="n">
        <v>9.6</v>
      </c>
      <c r="J10" t="n">
        <v>9.6</v>
      </c>
      <c r="K10" t="n">
        <v>11.3</v>
      </c>
      <c r="L10" t="n">
        <v>19.6</v>
      </c>
      <c r="M10" t="n">
        <v>16.9</v>
      </c>
      <c r="N10" t="n">
        <v>15.5</v>
      </c>
      <c r="O10" t="n">
        <v>16.6</v>
      </c>
      <c r="P10" t="n">
        <v>15.1</v>
      </c>
      <c r="Q10" t="n">
        <v>15.4</v>
      </c>
      <c r="R10" t="n">
        <v>16.6</v>
      </c>
      <c r="S10" t="n">
        <v>18.6</v>
      </c>
      <c r="T10" t="n">
        <v>32</v>
      </c>
      <c r="U10" t="n">
        <v>21.1</v>
      </c>
      <c r="V10" t="n">
        <v>16.5</v>
      </c>
      <c r="W10" t="n">
        <v>13</v>
      </c>
      <c r="X10" t="n">
        <v>12.3</v>
      </c>
      <c r="Y10" t="n">
        <v>10.8</v>
      </c>
      <c r="Z10" t="n">
        <v>7.9</v>
      </c>
      <c r="AA10" t="n">
        <v>6.6</v>
      </c>
      <c r="AB10" t="n">
        <v>5.7</v>
      </c>
      <c r="AC10" t="n">
        <v>5.6</v>
      </c>
      <c r="AD10" t="n">
        <v>5.8</v>
      </c>
      <c r="AE10" t="n">
        <v>5.7</v>
      </c>
      <c r="AF10" t="n">
        <v>6</v>
      </c>
    </row>
    <row r="11">
      <c r="A11" t="s">
        <v>95</v>
      </c>
      <c r="B11" t="s">
        <v>292</v>
      </c>
      <c r="C11" t="s">
        <v>217</v>
      </c>
      <c r="D11" t="s">
        <v>293</v>
      </c>
      <c r="E11" t="s">
        <v>218</v>
      </c>
      <c r="F11" t="n">
        <v>2.9</v>
      </c>
      <c r="G11" t="n">
        <v>2.6</v>
      </c>
      <c r="H11" t="n">
        <v>2.6</v>
      </c>
      <c r="I11" t="n">
        <v>2.6</v>
      </c>
      <c r="J11" t="n">
        <v>2.6</v>
      </c>
      <c r="K11" t="n">
        <v>3.1</v>
      </c>
      <c r="L11" t="n">
        <v>5.3</v>
      </c>
      <c r="M11" t="n">
        <v>4.6</v>
      </c>
      <c r="N11" t="n">
        <v>4.2</v>
      </c>
      <c r="O11" t="n">
        <v>4.5</v>
      </c>
      <c r="P11" t="n">
        <v>4.7</v>
      </c>
      <c r="Q11" t="n">
        <v>6.4</v>
      </c>
      <c r="R11" t="n">
        <v>8.1</v>
      </c>
      <c r="S11" t="n">
        <v>9.7</v>
      </c>
      <c r="T11" t="n">
        <v>22.1</v>
      </c>
      <c r="U11" t="n">
        <v>13.9</v>
      </c>
      <c r="V11" t="n">
        <v>10.8</v>
      </c>
      <c r="W11" t="n">
        <v>8.2</v>
      </c>
      <c r="X11" t="n">
        <v>8.1</v>
      </c>
      <c r="Y11" t="n">
        <v>7.1</v>
      </c>
      <c r="Z11" t="n">
        <v>5.6</v>
      </c>
      <c r="AA11" t="n">
        <v>4.5</v>
      </c>
      <c r="AB11" t="n">
        <v>3.7</v>
      </c>
      <c r="AC11" t="n">
        <v>3.6</v>
      </c>
      <c r="AD11" t="n">
        <v>3.6</v>
      </c>
      <c r="AE11" t="n">
        <v>3.5</v>
      </c>
      <c r="AF11" t="n">
        <v>3.7</v>
      </c>
    </row>
    <row r="12">
      <c r="A12" t="s">
        <v>95</v>
      </c>
      <c r="B12" t="s">
        <v>294</v>
      </c>
      <c r="C12" t="s">
        <v>217</v>
      </c>
      <c r="D12" t="s">
        <v>295</v>
      </c>
      <c r="E12" t="s">
        <v>218</v>
      </c>
      <c r="F12" t="n">
        <v>6.9</v>
      </c>
      <c r="G12" t="n">
        <v>7</v>
      </c>
      <c r="H12" t="n">
        <v>7.7</v>
      </c>
      <c r="I12" t="n">
        <v>8.3</v>
      </c>
      <c r="J12" t="n">
        <v>8.7</v>
      </c>
      <c r="K12" t="n">
        <v>10.8</v>
      </c>
      <c r="L12" t="n">
        <v>16.4</v>
      </c>
      <c r="M12" t="n">
        <v>16.7</v>
      </c>
      <c r="N12" t="n">
        <v>18.8</v>
      </c>
      <c r="O12" t="n">
        <v>18.6</v>
      </c>
      <c r="P12" t="n">
        <v>19.1</v>
      </c>
      <c r="Q12" t="n">
        <v>20.9</v>
      </c>
      <c r="R12" t="n">
        <v>23.1</v>
      </c>
      <c r="S12" t="n">
        <v>25.3</v>
      </c>
      <c r="T12" t="n">
        <v>23.2</v>
      </c>
      <c r="U12" t="n">
        <v>19.4</v>
      </c>
      <c r="V12" t="n">
        <v>17.4</v>
      </c>
      <c r="W12" t="n">
        <v>13.4</v>
      </c>
      <c r="X12" t="n">
        <v>10.9</v>
      </c>
      <c r="Y12" t="n">
        <v>9.9</v>
      </c>
      <c r="Z12" t="n">
        <v>7.5</v>
      </c>
      <c r="AA12" t="n">
        <v>5.7</v>
      </c>
      <c r="AB12" t="n">
        <v>4.4</v>
      </c>
      <c r="AC12" t="n">
        <v>3.5</v>
      </c>
      <c r="AD12" t="n">
        <v>2.9</v>
      </c>
      <c r="AE12" t="n">
        <v>2.4</v>
      </c>
      <c r="AF12" t="n">
        <v>2.2</v>
      </c>
    </row>
    <row r="13">
      <c r="A13" t="s">
        <v>95</v>
      </c>
      <c r="B13" t="s">
        <v>296</v>
      </c>
      <c r="C13" t="s">
        <v>217</v>
      </c>
      <c r="D13" t="s">
        <v>297</v>
      </c>
      <c r="E13" t="s">
        <v>218</v>
      </c>
      <c r="F13" t="n">
        <v>12.9</v>
      </c>
      <c r="G13" t="n">
        <v>16.9</v>
      </c>
      <c r="H13" t="n">
        <v>21.5</v>
      </c>
      <c r="I13" t="n">
        <v>25.7</v>
      </c>
      <c r="J13" t="n">
        <v>28.5</v>
      </c>
      <c r="K13" t="n">
        <v>37.4</v>
      </c>
      <c r="L13" t="n">
        <v>36.3</v>
      </c>
      <c r="M13" t="n">
        <v>32</v>
      </c>
      <c r="N13" t="n">
        <v>29.5</v>
      </c>
      <c r="O13" t="n">
        <v>28.3</v>
      </c>
      <c r="P13" t="n">
        <v>28.6</v>
      </c>
      <c r="Q13" t="n">
        <v>39.6</v>
      </c>
      <c r="R13" t="n">
        <v>41.4</v>
      </c>
      <c r="S13" t="n">
        <v>45.2</v>
      </c>
      <c r="T13" t="n">
        <v>41.5</v>
      </c>
      <c r="U13" t="n">
        <v>37.6</v>
      </c>
      <c r="V13" t="n">
        <v>29.5</v>
      </c>
      <c r="W13" t="n">
        <v>25</v>
      </c>
      <c r="X13" t="n">
        <v>15.5</v>
      </c>
      <c r="Y13" t="n">
        <v>14.4</v>
      </c>
      <c r="Z13" t="n">
        <v>11.4</v>
      </c>
      <c r="AA13" t="n">
        <v>8.8</v>
      </c>
      <c r="AB13" t="n">
        <v>6.9</v>
      </c>
      <c r="AC13" t="n">
        <v>6.4</v>
      </c>
      <c r="AD13" t="n">
        <v>5.8</v>
      </c>
      <c r="AE13" t="n">
        <v>6.6</v>
      </c>
      <c r="AF13" t="n">
        <v>7.9</v>
      </c>
    </row>
    <row r="14">
      <c r="A14" t="s">
        <v>95</v>
      </c>
      <c r="B14" t="s">
        <v>298</v>
      </c>
      <c r="C14" t="s">
        <v>217</v>
      </c>
      <c r="D14" t="s">
        <v>299</v>
      </c>
      <c r="E14" t="s">
        <v>218</v>
      </c>
      <c r="F14" t="n">
        <v>6</v>
      </c>
      <c r="G14" t="n">
        <v>7.5</v>
      </c>
      <c r="H14" t="n">
        <v>9.3</v>
      </c>
      <c r="I14" t="n">
        <v>10.9</v>
      </c>
      <c r="J14" t="n">
        <v>12</v>
      </c>
      <c r="K14" t="n">
        <v>15.7</v>
      </c>
      <c r="L14" t="n">
        <v>34.9</v>
      </c>
      <c r="M14" t="n">
        <v>26.7</v>
      </c>
      <c r="N14" t="n">
        <v>24.9</v>
      </c>
      <c r="O14" t="n">
        <v>19.7</v>
      </c>
      <c r="P14" t="n">
        <v>14.2</v>
      </c>
      <c r="Q14" t="n">
        <v>11.1</v>
      </c>
      <c r="R14" t="n">
        <v>8.2</v>
      </c>
      <c r="S14" t="n">
        <v>6.5</v>
      </c>
      <c r="T14" t="n">
        <v>4.9</v>
      </c>
      <c r="U14" t="n">
        <v>3.9</v>
      </c>
      <c r="V14" t="n">
        <v>3</v>
      </c>
      <c r="W14" t="n">
        <v>1.5</v>
      </c>
      <c r="X14" t="n">
        <v>1.3</v>
      </c>
      <c r="Y14" t="n">
        <v>1.7</v>
      </c>
      <c r="Z14" t="n">
        <v>1.2</v>
      </c>
      <c r="AA14" t="n">
        <v>1</v>
      </c>
      <c r="AB14" t="n">
        <v>0.8</v>
      </c>
      <c r="AC14" t="n">
        <v>0.6</v>
      </c>
      <c r="AD14" t="n">
        <v>0.4</v>
      </c>
      <c r="AE14" t="n">
        <v>0.3</v>
      </c>
      <c r="AF14" t="n">
        <v>0.2</v>
      </c>
    </row>
    <row r="15">
      <c r="A15" t="s">
        <v>95</v>
      </c>
      <c r="B15" t="s">
        <v>300</v>
      </c>
      <c r="C15" t="s">
        <v>217</v>
      </c>
      <c r="D15" t="s">
        <v>301</v>
      </c>
      <c r="E15" t="s">
        <v>218</v>
      </c>
      <c r="F15" t="n">
        <v>10.5</v>
      </c>
      <c r="G15" t="n">
        <v>11.5</v>
      </c>
      <c r="H15" t="n">
        <v>13.1</v>
      </c>
      <c r="I15" t="n">
        <v>14.6</v>
      </c>
      <c r="J15" t="n">
        <v>15.6</v>
      </c>
      <c r="K15" t="n">
        <v>19.8</v>
      </c>
      <c r="L15" t="n">
        <v>38.5</v>
      </c>
      <c r="M15" t="n">
        <v>29.9</v>
      </c>
      <c r="N15" t="n">
        <v>27.9</v>
      </c>
      <c r="O15" t="n">
        <v>22.7</v>
      </c>
      <c r="P15" t="n">
        <v>17.9</v>
      </c>
      <c r="Q15" t="n">
        <v>16.6</v>
      </c>
      <c r="R15" t="n">
        <v>13.6</v>
      </c>
      <c r="S15" t="n">
        <v>14.2</v>
      </c>
      <c r="T15" t="n">
        <v>11.6</v>
      </c>
      <c r="U15" t="n">
        <v>9.1</v>
      </c>
      <c r="V15" t="n">
        <v>7.6</v>
      </c>
      <c r="W15" t="n">
        <v>4.7</v>
      </c>
      <c r="X15" t="n">
        <v>3.9</v>
      </c>
      <c r="Y15" t="n">
        <v>5.5</v>
      </c>
      <c r="Z15" t="n">
        <v>4</v>
      </c>
      <c r="AA15" t="n">
        <v>3.1</v>
      </c>
      <c r="AB15" t="n">
        <v>2.4</v>
      </c>
      <c r="AC15" t="n">
        <v>1.9</v>
      </c>
      <c r="AD15" t="n">
        <v>1.6</v>
      </c>
      <c r="AE15" t="n">
        <v>1.4</v>
      </c>
      <c r="AF15" t="n">
        <v>1.3</v>
      </c>
    </row>
    <row r="16">
      <c r="A16" t="s">
        <v>95</v>
      </c>
      <c r="B16" t="s">
        <v>302</v>
      </c>
      <c r="C16" t="s">
        <v>217</v>
      </c>
      <c r="D16" t="s">
        <v>303</v>
      </c>
      <c r="E16" t="s">
        <v>218</v>
      </c>
      <c r="F16" t="n">
        <v>4.5</v>
      </c>
      <c r="G16" t="n">
        <v>4</v>
      </c>
      <c r="H16" t="n">
        <v>3.8</v>
      </c>
      <c r="I16" t="n">
        <v>3.7</v>
      </c>
      <c r="J16" t="n">
        <v>3.6</v>
      </c>
      <c r="K16" t="n">
        <v>4.1</v>
      </c>
      <c r="L16" t="n">
        <v>3.6</v>
      </c>
      <c r="M16" t="n">
        <v>3.2</v>
      </c>
      <c r="N16" t="n">
        <v>3</v>
      </c>
      <c r="O16" t="n">
        <v>3</v>
      </c>
      <c r="P16" t="n">
        <v>3.7</v>
      </c>
      <c r="Q16" t="n">
        <v>5.5</v>
      </c>
      <c r="R16" t="n">
        <v>5.4</v>
      </c>
      <c r="S16" t="n">
        <v>7.7</v>
      </c>
      <c r="T16" t="n">
        <v>6.7</v>
      </c>
      <c r="U16" t="n">
        <v>5.2</v>
      </c>
      <c r="V16" t="n">
        <v>4.6</v>
      </c>
      <c r="W16" t="n">
        <v>3.2</v>
      </c>
      <c r="X16" t="n">
        <v>2.6</v>
      </c>
      <c r="Y16" t="n">
        <v>3.8</v>
      </c>
      <c r="Z16" t="n">
        <v>2.8</v>
      </c>
      <c r="AA16" t="n">
        <v>2.1</v>
      </c>
      <c r="AB16" t="n">
        <v>1.6</v>
      </c>
      <c r="AC16" t="n">
        <v>1.3</v>
      </c>
      <c r="AD16" t="n">
        <v>1.2</v>
      </c>
      <c r="AE16" t="n">
        <v>1.1</v>
      </c>
      <c r="AF16" t="n">
        <v>1.1</v>
      </c>
    </row>
    <row r="17">
      <c r="A17" t="s">
        <v>95</v>
      </c>
      <c r="B17" t="s">
        <v>304</v>
      </c>
      <c r="C17" t="s">
        <v>217</v>
      </c>
      <c r="D17" t="s">
        <v>305</v>
      </c>
      <c r="E17" t="s">
        <v>218</v>
      </c>
      <c r="F17" t="n">
        <v>2.7</v>
      </c>
      <c r="G17" t="n">
        <v>3.2</v>
      </c>
      <c r="H17" t="n">
        <v>3.8</v>
      </c>
      <c r="I17" t="n">
        <v>4.4</v>
      </c>
      <c r="J17" t="n">
        <v>4.8</v>
      </c>
      <c r="K17" t="n">
        <v>6.2</v>
      </c>
      <c r="L17" t="n">
        <v>6.4</v>
      </c>
      <c r="M17" t="n">
        <v>6.4</v>
      </c>
      <c r="N17" t="n">
        <v>6.3</v>
      </c>
      <c r="O17" t="n">
        <v>6.6</v>
      </c>
      <c r="P17" t="n">
        <v>5.9</v>
      </c>
      <c r="Q17" t="n">
        <v>5.9</v>
      </c>
      <c r="R17" t="n">
        <v>6</v>
      </c>
      <c r="S17" t="n">
        <v>6.7</v>
      </c>
      <c r="T17" t="n">
        <v>7</v>
      </c>
      <c r="U17" t="n">
        <v>5.5</v>
      </c>
      <c r="V17" t="n">
        <v>4.6</v>
      </c>
      <c r="W17" t="n">
        <v>3.6</v>
      </c>
      <c r="X17" t="n">
        <v>2.9</v>
      </c>
      <c r="Y17" t="n">
        <v>2.3</v>
      </c>
      <c r="Z17" t="n">
        <v>1.7</v>
      </c>
      <c r="AA17" t="n">
        <v>1.3</v>
      </c>
      <c r="AB17" t="n">
        <v>1</v>
      </c>
      <c r="AC17" t="n">
        <v>0.9</v>
      </c>
      <c r="AD17" t="n">
        <v>0.7</v>
      </c>
      <c r="AE17" t="n">
        <v>0.7</v>
      </c>
      <c r="AF17" t="n">
        <v>0.7</v>
      </c>
    </row>
    <row r="18">
      <c r="A18" t="s">
        <v>95</v>
      </c>
      <c r="B18" t="s">
        <v>306</v>
      </c>
      <c r="C18" t="s">
        <v>217</v>
      </c>
      <c r="D18" t="s">
        <v>307</v>
      </c>
      <c r="E18" t="s">
        <v>218</v>
      </c>
      <c r="F18" t="n">
        <v>3.2</v>
      </c>
      <c r="G18" t="n">
        <v>3.8</v>
      </c>
      <c r="H18" t="n">
        <v>4.6</v>
      </c>
      <c r="I18" t="n">
        <v>5.3</v>
      </c>
      <c r="J18" t="n">
        <v>5.7</v>
      </c>
      <c r="K18" t="n">
        <v>7.4</v>
      </c>
      <c r="L18" t="n">
        <v>7.9</v>
      </c>
      <c r="M18" t="n">
        <v>8</v>
      </c>
      <c r="N18" t="n">
        <v>7.2</v>
      </c>
      <c r="O18" t="n">
        <v>6.4</v>
      </c>
      <c r="P18" t="n">
        <v>6.4</v>
      </c>
      <c r="Q18" t="n">
        <v>6</v>
      </c>
      <c r="R18" t="n">
        <v>6.3</v>
      </c>
      <c r="S18" t="n">
        <v>7.4</v>
      </c>
      <c r="T18" t="n">
        <v>7.8</v>
      </c>
      <c r="U18" t="n">
        <v>7.1</v>
      </c>
      <c r="V18" t="n">
        <v>5.5</v>
      </c>
      <c r="W18" t="n">
        <v>5.8</v>
      </c>
      <c r="X18" t="n">
        <v>4.3</v>
      </c>
      <c r="Y18" t="n">
        <v>3.2</v>
      </c>
      <c r="Z18" t="n">
        <v>2.3</v>
      </c>
      <c r="AA18" t="n">
        <v>1.6</v>
      </c>
      <c r="AB18" t="n">
        <v>1.1</v>
      </c>
      <c r="AC18" t="n">
        <v>0.8</v>
      </c>
      <c r="AD18" t="n">
        <v>0.6</v>
      </c>
      <c r="AE18" t="n">
        <v>0.4</v>
      </c>
      <c r="AF18" t="n">
        <v>0.3</v>
      </c>
    </row>
    <row r="19">
      <c r="A19" t="s">
        <v>95</v>
      </c>
      <c r="B19" t="s">
        <v>308</v>
      </c>
      <c r="C19" t="s">
        <v>217</v>
      </c>
      <c r="D19" t="s">
        <v>309</v>
      </c>
      <c r="E19" t="s">
        <v>218</v>
      </c>
      <c r="F19" t="n">
        <v>5.4</v>
      </c>
      <c r="G19" t="n">
        <v>4.2</v>
      </c>
      <c r="H19" t="n">
        <v>3.5</v>
      </c>
      <c r="I19" t="n">
        <v>2.9</v>
      </c>
      <c r="J19" t="n">
        <v>2.4</v>
      </c>
      <c r="K19" t="n">
        <v>2.3</v>
      </c>
      <c r="L19" t="n">
        <v>2.4</v>
      </c>
      <c r="M19" t="n">
        <v>2.4</v>
      </c>
      <c r="N19" t="n">
        <v>2.6</v>
      </c>
      <c r="O19" t="n">
        <v>2.6</v>
      </c>
      <c r="P19" t="n">
        <v>2.7</v>
      </c>
      <c r="Q19" t="n">
        <v>3</v>
      </c>
      <c r="R19" t="n">
        <v>3</v>
      </c>
      <c r="S19" t="n">
        <v>3.7</v>
      </c>
      <c r="T19" t="n">
        <v>3.2</v>
      </c>
      <c r="U19" t="n">
        <v>2.4</v>
      </c>
      <c r="V19" t="n">
        <v>1.9</v>
      </c>
      <c r="W19" t="n">
        <v>1.4</v>
      </c>
      <c r="X19" t="n">
        <v>1.1</v>
      </c>
      <c r="Y19" t="n">
        <v>1.1</v>
      </c>
      <c r="Z19" t="n">
        <v>1.1</v>
      </c>
      <c r="AA19" t="n">
        <v>1</v>
      </c>
      <c r="AB19" t="n">
        <v>0.9</v>
      </c>
      <c r="AC19" t="n">
        <v>0.7</v>
      </c>
      <c r="AD19" t="n">
        <v>0.6</v>
      </c>
      <c r="AE19" t="n">
        <v>0.7</v>
      </c>
      <c r="AF19" t="n">
        <v>0.7</v>
      </c>
    </row>
    <row r="20">
      <c r="A20" t="s">
        <v>95</v>
      </c>
      <c r="B20" t="s">
        <v>310</v>
      </c>
      <c r="C20" t="s">
        <v>217</v>
      </c>
      <c r="D20" t="s">
        <v>311</v>
      </c>
      <c r="E20" t="s">
        <v>218</v>
      </c>
      <c r="F20" t="n">
        <v>11.5</v>
      </c>
      <c r="G20" t="n">
        <v>9.8</v>
      </c>
      <c r="H20" t="n">
        <v>9</v>
      </c>
      <c r="I20" t="n">
        <v>8.4</v>
      </c>
      <c r="J20" t="n">
        <v>7.9</v>
      </c>
      <c r="K20" t="n">
        <v>8.8</v>
      </c>
      <c r="L20" t="n">
        <v>9.5</v>
      </c>
      <c r="M20" t="n">
        <v>21.7</v>
      </c>
      <c r="N20" t="n">
        <v>18.5</v>
      </c>
      <c r="O20" t="n">
        <v>14.4</v>
      </c>
      <c r="P20" t="n">
        <v>12.2</v>
      </c>
      <c r="Q20" t="n">
        <v>10.8</v>
      </c>
      <c r="R20" t="n">
        <v>9.4</v>
      </c>
      <c r="S20" t="n">
        <v>8.4</v>
      </c>
      <c r="T20" t="n">
        <v>8</v>
      </c>
      <c r="U20" t="n">
        <v>5.9</v>
      </c>
      <c r="V20" t="n">
        <v>5.8</v>
      </c>
      <c r="W20" t="n">
        <v>4.9</v>
      </c>
      <c r="X20" t="n">
        <v>3.6</v>
      </c>
      <c r="Y20" t="n">
        <v>3.6</v>
      </c>
      <c r="Z20" t="n">
        <v>96.5</v>
      </c>
      <c r="AA20" t="n">
        <v>76.8</v>
      </c>
      <c r="AB20" t="n">
        <v>63</v>
      </c>
      <c r="AC20" t="n">
        <v>141.2</v>
      </c>
      <c r="AD20" t="n">
        <v>210.5</v>
      </c>
      <c r="AE20" t="n">
        <v>390.8</v>
      </c>
      <c r="AF20" t="n">
        <v>580.7</v>
      </c>
    </row>
    <row r="21">
      <c r="A21" t="s">
        <v>95</v>
      </c>
      <c r="B21" t="s">
        <v>312</v>
      </c>
      <c r="C21" t="s">
        <v>217</v>
      </c>
      <c r="D21" t="s">
        <v>313</v>
      </c>
      <c r="E21" t="s">
        <v>218</v>
      </c>
      <c r="F21" t="n">
        <v>16</v>
      </c>
      <c r="G21" t="n">
        <v>13.9</v>
      </c>
      <c r="H21" t="n">
        <v>13.1</v>
      </c>
      <c r="I21" t="n">
        <v>12.5</v>
      </c>
      <c r="J21" t="n">
        <v>12</v>
      </c>
      <c r="K21" t="n">
        <v>13.6</v>
      </c>
      <c r="L21" t="n">
        <v>17.5</v>
      </c>
      <c r="M21" t="n">
        <v>28.9</v>
      </c>
      <c r="N21" t="n">
        <v>24.4</v>
      </c>
      <c r="O21" t="n">
        <v>19.7</v>
      </c>
      <c r="P21" t="n">
        <v>17.6</v>
      </c>
      <c r="Q21" t="n">
        <v>19.2</v>
      </c>
      <c r="R21" t="n">
        <v>18.4</v>
      </c>
      <c r="S21" t="n">
        <v>16.9</v>
      </c>
      <c r="T21" t="n">
        <v>17.5</v>
      </c>
      <c r="U21" t="n">
        <v>20.3</v>
      </c>
      <c r="V21" t="n">
        <v>24.7</v>
      </c>
      <c r="W21" t="n">
        <v>29.4</v>
      </c>
      <c r="X21" t="n">
        <v>26.9</v>
      </c>
      <c r="Y21" t="n">
        <v>32.2</v>
      </c>
      <c r="Z21" t="n">
        <v>125.3</v>
      </c>
      <c r="AA21" t="n">
        <v>105.1</v>
      </c>
      <c r="AB21" t="n">
        <v>90.9</v>
      </c>
      <c r="AC21" t="n">
        <v>169.8</v>
      </c>
      <c r="AD21" t="n">
        <v>239.7</v>
      </c>
      <c r="AE21" t="n">
        <v>419.4</v>
      </c>
      <c r="AF21" t="n">
        <v>612.3</v>
      </c>
    </row>
    <row r="22">
      <c r="A22" t="s">
        <v>95</v>
      </c>
      <c r="B22" t="s">
        <v>314</v>
      </c>
      <c r="C22" t="s">
        <v>217</v>
      </c>
      <c r="D22" t="s">
        <v>315</v>
      </c>
      <c r="E22" t="s">
        <v>218</v>
      </c>
      <c r="F22" t="n">
        <v>4.5</v>
      </c>
      <c r="G22" t="n">
        <v>4.1</v>
      </c>
      <c r="H22" t="n">
        <v>4.1</v>
      </c>
      <c r="I22" t="n">
        <v>4.1</v>
      </c>
      <c r="J22" t="n">
        <v>4.1</v>
      </c>
      <c r="K22" t="n">
        <v>4.8</v>
      </c>
      <c r="L22" t="n">
        <v>8</v>
      </c>
      <c r="M22" t="n">
        <v>7.2</v>
      </c>
      <c r="N22" t="n">
        <v>5.9</v>
      </c>
      <c r="O22" t="n">
        <v>5.3</v>
      </c>
      <c r="P22" t="n">
        <v>5.4</v>
      </c>
      <c r="Q22" t="n">
        <v>8.4</v>
      </c>
      <c r="R22" t="n">
        <v>9</v>
      </c>
      <c r="S22" t="n">
        <v>8.5</v>
      </c>
      <c r="T22" t="n">
        <v>9.5</v>
      </c>
      <c r="U22" t="n">
        <v>14.4</v>
      </c>
      <c r="V22" t="n">
        <v>18.9</v>
      </c>
      <c r="W22" t="n">
        <v>24.5</v>
      </c>
      <c r="X22" t="n">
        <v>23.3</v>
      </c>
      <c r="Y22" t="n">
        <v>28.6</v>
      </c>
      <c r="Z22" t="n">
        <v>28.8</v>
      </c>
      <c r="AA22" t="n">
        <v>28.3</v>
      </c>
      <c r="AB22" t="n">
        <v>27.9</v>
      </c>
      <c r="AC22" t="n">
        <v>28.6</v>
      </c>
      <c r="AD22" t="n">
        <v>29.2</v>
      </c>
      <c r="AE22" t="n">
        <v>28.6</v>
      </c>
      <c r="AF22" t="n">
        <v>31.6</v>
      </c>
    </row>
    <row r="23">
      <c r="A23" t="s">
        <v>95</v>
      </c>
      <c r="B23" t="s">
        <v>316</v>
      </c>
      <c r="C23" t="s">
        <v>217</v>
      </c>
      <c r="D23" t="s">
        <v>317</v>
      </c>
      <c r="E23" t="s">
        <v>218</v>
      </c>
      <c r="F23" t="n">
        <v>8.6</v>
      </c>
      <c r="G23" t="n">
        <v>9.6</v>
      </c>
      <c r="H23" t="n">
        <v>11.2</v>
      </c>
      <c r="I23" t="n">
        <v>12.6</v>
      </c>
      <c r="J23" t="n">
        <v>13.6</v>
      </c>
      <c r="K23" t="n">
        <v>17.3</v>
      </c>
      <c r="L23" t="n">
        <v>41.1</v>
      </c>
      <c r="M23" t="n">
        <v>83.2</v>
      </c>
      <c r="N23" t="n">
        <v>77.1</v>
      </c>
      <c r="O23" t="n">
        <v>72.2</v>
      </c>
      <c r="P23" t="n">
        <v>66.2</v>
      </c>
      <c r="Q23" t="n">
        <v>72.4</v>
      </c>
      <c r="R23" t="n">
        <v>82.6</v>
      </c>
      <c r="S23" t="n">
        <v>116.8</v>
      </c>
      <c r="T23" t="n">
        <v>100.5</v>
      </c>
      <c r="U23" t="n">
        <v>72.8</v>
      </c>
      <c r="V23" t="n">
        <v>52.5</v>
      </c>
      <c r="W23" t="n">
        <v>39.8</v>
      </c>
      <c r="X23" t="n">
        <v>31.6</v>
      </c>
      <c r="Y23" t="n">
        <v>25</v>
      </c>
      <c r="Z23" t="n">
        <v>19</v>
      </c>
      <c r="AA23" t="n">
        <v>14.7</v>
      </c>
      <c r="AB23" t="n">
        <v>11.6</v>
      </c>
      <c r="AC23" t="n">
        <v>8.4</v>
      </c>
      <c r="AD23" t="n">
        <v>5.9</v>
      </c>
      <c r="AE23" t="n">
        <v>4</v>
      </c>
      <c r="AF23" t="n">
        <v>2.7</v>
      </c>
    </row>
    <row r="24">
      <c r="A24" t="s">
        <v>95</v>
      </c>
      <c r="B24" t="s">
        <v>318</v>
      </c>
      <c r="C24" t="s">
        <v>217</v>
      </c>
      <c r="D24" t="s">
        <v>319</v>
      </c>
      <c r="E24" t="s">
        <v>218</v>
      </c>
      <c r="F24" t="n">
        <v>125.6</v>
      </c>
      <c r="G24" t="n">
        <v>145.4</v>
      </c>
      <c r="H24" t="n">
        <v>172.6</v>
      </c>
      <c r="I24" t="n">
        <v>198.1</v>
      </c>
      <c r="J24" t="n">
        <v>214.8</v>
      </c>
      <c r="K24" t="n">
        <v>275.8</v>
      </c>
      <c r="L24" t="n">
        <v>284.5</v>
      </c>
      <c r="M24" t="n">
        <v>315.1</v>
      </c>
      <c r="N24" t="n">
        <v>378.8</v>
      </c>
      <c r="O24" t="n">
        <v>393.5</v>
      </c>
      <c r="P24" t="n">
        <v>488.2</v>
      </c>
      <c r="Q24" t="n">
        <v>658.2</v>
      </c>
      <c r="R24" t="n">
        <v>704.5</v>
      </c>
      <c r="S24" t="n">
        <v>709.1</v>
      </c>
      <c r="T24" t="n">
        <v>675.2</v>
      </c>
      <c r="U24" t="n">
        <v>526.1</v>
      </c>
      <c r="V24" t="n">
        <v>436.5</v>
      </c>
      <c r="W24" t="n">
        <v>346.1</v>
      </c>
      <c r="X24" t="n">
        <v>278.5</v>
      </c>
      <c r="Y24" t="n">
        <v>264.3</v>
      </c>
      <c r="Z24" t="n">
        <v>246.6</v>
      </c>
      <c r="AA24" t="n">
        <v>237.6</v>
      </c>
      <c r="AB24" t="n">
        <v>233.5</v>
      </c>
      <c r="AC24" t="n">
        <v>203.5</v>
      </c>
      <c r="AD24" t="n">
        <v>185.9</v>
      </c>
      <c r="AE24" t="n">
        <v>169.5</v>
      </c>
      <c r="AF24" t="n">
        <v>169.8</v>
      </c>
    </row>
    <row r="25">
      <c r="A25" t="s">
        <v>95</v>
      </c>
      <c r="B25" t="s">
        <v>320</v>
      </c>
      <c r="C25" t="s">
        <v>217</v>
      </c>
      <c r="D25" t="s">
        <v>321</v>
      </c>
      <c r="E25" t="s">
        <v>218</v>
      </c>
      <c r="F25" t="n">
        <v>5.4</v>
      </c>
      <c r="G25" t="n">
        <v>6.6</v>
      </c>
      <c r="H25" t="n">
        <v>8</v>
      </c>
      <c r="I25" t="n">
        <v>9.4</v>
      </c>
      <c r="J25" t="n">
        <v>10.3</v>
      </c>
      <c r="K25" t="n">
        <v>13.3</v>
      </c>
      <c r="L25" t="n">
        <v>25.5</v>
      </c>
      <c r="M25" t="n">
        <v>31.5</v>
      </c>
      <c r="N25" t="n">
        <v>31.2</v>
      </c>
      <c r="O25" t="n">
        <v>30.8</v>
      </c>
      <c r="P25" t="n">
        <v>34</v>
      </c>
      <c r="Q25" t="n">
        <v>46</v>
      </c>
      <c r="R25" t="n">
        <v>51.9</v>
      </c>
      <c r="S25" t="n">
        <v>55.3</v>
      </c>
      <c r="T25" t="n">
        <v>52.5</v>
      </c>
      <c r="U25" t="n">
        <v>41.2</v>
      </c>
      <c r="V25" t="n">
        <v>31.3</v>
      </c>
      <c r="W25" t="n">
        <v>22.9</v>
      </c>
      <c r="X25" t="n">
        <v>17.9</v>
      </c>
      <c r="Y25" t="n">
        <v>15.4</v>
      </c>
      <c r="Z25" t="n">
        <v>13.5</v>
      </c>
      <c r="AA25" t="n">
        <v>16.3</v>
      </c>
      <c r="AB25" t="n">
        <v>18.7</v>
      </c>
      <c r="AC25" t="n">
        <v>15.9</v>
      </c>
      <c r="AD25" t="n">
        <v>12.6</v>
      </c>
      <c r="AE25" t="n">
        <v>9.8</v>
      </c>
      <c r="AF25" t="n">
        <v>8.3</v>
      </c>
    </row>
    <row r="26">
      <c r="A26" t="s">
        <v>95</v>
      </c>
      <c r="B26" t="s">
        <v>322</v>
      </c>
      <c r="C26" t="s">
        <v>217</v>
      </c>
      <c r="D26" t="s">
        <v>323</v>
      </c>
      <c r="E26" t="s">
        <v>218</v>
      </c>
      <c r="F26" t="n">
        <v>43.7</v>
      </c>
      <c r="G26" t="n">
        <v>48.6</v>
      </c>
      <c r="H26" t="n">
        <v>56.2</v>
      </c>
      <c r="I26" t="n">
        <v>63.4</v>
      </c>
      <c r="J26" t="n">
        <v>68.1</v>
      </c>
      <c r="K26" t="n">
        <v>86.6</v>
      </c>
      <c r="L26" t="n">
        <v>106.8</v>
      </c>
      <c r="M26" t="n">
        <v>125.1</v>
      </c>
      <c r="N26" t="n">
        <v>164.5</v>
      </c>
      <c r="O26" t="n">
        <v>200.7</v>
      </c>
      <c r="P26" t="n">
        <v>254.2</v>
      </c>
      <c r="Q26" t="n">
        <v>375.3</v>
      </c>
      <c r="R26" t="n">
        <v>410.5</v>
      </c>
      <c r="S26" t="n">
        <v>423.9</v>
      </c>
      <c r="T26" t="n">
        <v>411.3</v>
      </c>
      <c r="U26" t="n">
        <v>325.5</v>
      </c>
      <c r="V26" t="n">
        <v>259.5</v>
      </c>
      <c r="W26" t="n">
        <v>202.9</v>
      </c>
      <c r="X26" t="n">
        <v>157.9</v>
      </c>
      <c r="Y26" t="n">
        <v>149.3</v>
      </c>
      <c r="Z26" t="n">
        <v>141.6</v>
      </c>
      <c r="AA26" t="n">
        <v>126.7</v>
      </c>
      <c r="AB26" t="n">
        <v>116.9</v>
      </c>
      <c r="AC26" t="n">
        <v>102.4</v>
      </c>
      <c r="AD26" t="n">
        <v>91</v>
      </c>
      <c r="AE26" t="n">
        <v>88.1</v>
      </c>
      <c r="AF26" t="n">
        <v>93.1</v>
      </c>
    </row>
    <row r="27">
      <c r="A27" t="s">
        <v>95</v>
      </c>
      <c r="B27" t="s">
        <v>324</v>
      </c>
      <c r="C27" t="s">
        <v>217</v>
      </c>
      <c r="D27" t="s">
        <v>325</v>
      </c>
      <c r="E27" t="s">
        <v>218</v>
      </c>
      <c r="F27" t="n">
        <v>76.5</v>
      </c>
      <c r="G27" t="n">
        <v>90.2</v>
      </c>
      <c r="H27" t="n">
        <v>108.4</v>
      </c>
      <c r="I27" t="n">
        <v>125.3</v>
      </c>
      <c r="J27" t="n">
        <v>136.4</v>
      </c>
      <c r="K27" t="n">
        <v>175.9</v>
      </c>
      <c r="L27" t="n">
        <v>152.2</v>
      </c>
      <c r="M27" t="n">
        <v>158.5</v>
      </c>
      <c r="N27" t="n">
        <v>183.1</v>
      </c>
      <c r="O27" t="n">
        <v>162</v>
      </c>
      <c r="P27" t="n">
        <v>200</v>
      </c>
      <c r="Q27" t="n">
        <v>236.9</v>
      </c>
      <c r="R27" t="n">
        <v>242.1</v>
      </c>
      <c r="S27" t="n">
        <v>229.9</v>
      </c>
      <c r="T27" t="n">
        <v>211.4</v>
      </c>
      <c r="U27" t="n">
        <v>159.4</v>
      </c>
      <c r="V27" t="n">
        <v>145.7</v>
      </c>
      <c r="W27" t="n">
        <v>120.3</v>
      </c>
      <c r="X27" t="n">
        <v>102.7</v>
      </c>
      <c r="Y27" t="n">
        <v>99.6</v>
      </c>
      <c r="Z27" t="n">
        <v>91.5</v>
      </c>
      <c r="AA27" t="n">
        <v>94.6</v>
      </c>
      <c r="AB27" t="n">
        <v>97.9</v>
      </c>
      <c r="AC27" t="n">
        <v>85.2</v>
      </c>
      <c r="AD27" t="n">
        <v>82.3</v>
      </c>
      <c r="AE27" t="n">
        <v>71.6</v>
      </c>
      <c r="AF27" t="n">
        <v>68.4</v>
      </c>
    </row>
    <row r="28">
      <c r="A28" t="s">
        <v>95</v>
      </c>
      <c r="B28" t="s">
        <v>326</v>
      </c>
      <c r="C28" t="s">
        <v>217</v>
      </c>
      <c r="D28" t="s">
        <v>327</v>
      </c>
      <c r="E28" t="s">
        <v>218</v>
      </c>
      <c r="F28" t="n">
        <v>34.1</v>
      </c>
      <c r="G28" t="n">
        <v>46.1</v>
      </c>
      <c r="H28" t="n">
        <v>59.7</v>
      </c>
      <c r="I28" t="n">
        <v>72.1</v>
      </c>
      <c r="J28" t="n">
        <v>80.5</v>
      </c>
      <c r="K28" t="n">
        <v>106</v>
      </c>
      <c r="L28" t="n">
        <v>165.1</v>
      </c>
      <c r="M28" t="n">
        <v>175.8</v>
      </c>
      <c r="N28" t="n">
        <v>172.4</v>
      </c>
      <c r="O28" t="n">
        <v>176.1</v>
      </c>
      <c r="P28" t="n">
        <v>145.2</v>
      </c>
      <c r="Q28" t="n">
        <v>122.2</v>
      </c>
      <c r="R28" t="n">
        <v>117.7</v>
      </c>
      <c r="S28" t="n">
        <v>100.1</v>
      </c>
      <c r="T28" t="n">
        <v>90.1</v>
      </c>
      <c r="U28" t="n">
        <v>68.5</v>
      </c>
      <c r="V28" t="n">
        <v>51.1</v>
      </c>
      <c r="W28" t="n">
        <v>37.5</v>
      </c>
      <c r="X28" t="n">
        <v>32.2</v>
      </c>
      <c r="Y28" t="n">
        <v>27.1</v>
      </c>
      <c r="Z28" t="n">
        <v>24.3</v>
      </c>
      <c r="AA28" t="n">
        <v>25.2</v>
      </c>
      <c r="AB28" t="n">
        <v>29.8</v>
      </c>
      <c r="AC28" t="n">
        <v>32.8</v>
      </c>
      <c r="AD28" t="n">
        <v>27.8</v>
      </c>
      <c r="AE28" t="n">
        <v>22.9</v>
      </c>
      <c r="AF28" t="n">
        <v>19.9</v>
      </c>
    </row>
    <row r="29">
      <c r="A29" t="s">
        <v>95</v>
      </c>
      <c r="B29" t="s">
        <v>328</v>
      </c>
      <c r="C29" t="s">
        <v>217</v>
      </c>
      <c r="D29" t="s">
        <v>329</v>
      </c>
      <c r="E29" t="s">
        <v>218</v>
      </c>
      <c r="F29" t="n">
        <v>8.7</v>
      </c>
      <c r="G29" t="n">
        <v>10.5</v>
      </c>
      <c r="H29" t="n">
        <v>12.9</v>
      </c>
      <c r="I29" t="n">
        <v>15</v>
      </c>
      <c r="J29" t="n">
        <v>16.4</v>
      </c>
      <c r="K29" t="n">
        <v>21.3</v>
      </c>
      <c r="L29" t="n">
        <v>40.4</v>
      </c>
      <c r="M29" t="n">
        <v>33.1</v>
      </c>
      <c r="N29" t="n">
        <v>29.9</v>
      </c>
      <c r="O29" t="n">
        <v>33.5</v>
      </c>
      <c r="P29" t="n">
        <v>36.4</v>
      </c>
      <c r="Q29" t="n">
        <v>39.2</v>
      </c>
      <c r="R29" t="n">
        <v>35.4</v>
      </c>
      <c r="S29" t="n">
        <v>32.8</v>
      </c>
      <c r="T29" t="n">
        <v>29.6</v>
      </c>
      <c r="U29" t="n">
        <v>23.5</v>
      </c>
      <c r="V29" t="n">
        <v>17.5</v>
      </c>
      <c r="W29" t="n">
        <v>12.8</v>
      </c>
      <c r="X29" t="n">
        <v>10.4</v>
      </c>
      <c r="Y29" t="n">
        <v>9.5</v>
      </c>
      <c r="Z29" t="n">
        <v>7.1</v>
      </c>
      <c r="AA29" t="n">
        <v>5.2</v>
      </c>
      <c r="AB29" t="n">
        <v>7.3</v>
      </c>
      <c r="AC29" t="n">
        <v>8.2</v>
      </c>
      <c r="AD29" t="n">
        <v>8.4</v>
      </c>
      <c r="AE29" t="n">
        <v>8.2</v>
      </c>
      <c r="AF29" t="n">
        <v>8</v>
      </c>
    </row>
    <row r="30">
      <c r="A30" t="s">
        <v>95</v>
      </c>
      <c r="B30" t="s">
        <v>330</v>
      </c>
      <c r="C30" t="s">
        <v>217</v>
      </c>
      <c r="D30" t="s">
        <v>331</v>
      </c>
      <c r="E30" t="s">
        <v>218</v>
      </c>
      <c r="F30" t="n">
        <v>3</v>
      </c>
      <c r="G30" t="n">
        <v>3</v>
      </c>
      <c r="H30" t="n">
        <v>3.2</v>
      </c>
      <c r="I30" t="n">
        <v>3.4</v>
      </c>
      <c r="J30" t="n">
        <v>3.6</v>
      </c>
      <c r="K30" t="n">
        <v>4.4</v>
      </c>
      <c r="L30" t="n">
        <v>21.5</v>
      </c>
      <c r="M30" t="n">
        <v>21.1</v>
      </c>
      <c r="N30" t="n">
        <v>16.7</v>
      </c>
      <c r="O30" t="n">
        <v>15.8</v>
      </c>
      <c r="P30" t="n">
        <v>12.5</v>
      </c>
      <c r="Q30" t="n">
        <v>10.5</v>
      </c>
      <c r="R30" t="n">
        <v>7.4</v>
      </c>
      <c r="S30" t="n">
        <v>6.7</v>
      </c>
      <c r="T30" t="n">
        <v>5.3</v>
      </c>
      <c r="U30" t="n">
        <v>3.9</v>
      </c>
      <c r="V30" t="n">
        <v>2.8</v>
      </c>
      <c r="W30" t="n">
        <v>1.4</v>
      </c>
      <c r="X30" t="n">
        <v>3.4</v>
      </c>
      <c r="Y30" t="n">
        <v>2.6</v>
      </c>
      <c r="Z30" t="n">
        <v>1.9</v>
      </c>
      <c r="AA30" t="n">
        <v>1.3</v>
      </c>
      <c r="AB30" t="n">
        <v>1</v>
      </c>
      <c r="AC30" t="n">
        <v>0.7</v>
      </c>
      <c r="AD30" t="n">
        <v>0.5</v>
      </c>
      <c r="AE30" t="n">
        <v>0.3</v>
      </c>
      <c r="AF30" t="n">
        <v>0.2</v>
      </c>
    </row>
    <row r="31">
      <c r="A31" t="s">
        <v>95</v>
      </c>
      <c r="B31" t="s">
        <v>332</v>
      </c>
      <c r="C31" t="s">
        <v>217</v>
      </c>
      <c r="D31" t="s">
        <v>333</v>
      </c>
      <c r="E31" t="s">
        <v>218</v>
      </c>
      <c r="F31" t="n">
        <v>7.5</v>
      </c>
      <c r="G31" t="n">
        <v>6.4</v>
      </c>
      <c r="H31" t="n">
        <v>5.8</v>
      </c>
      <c r="I31" t="n">
        <v>5.4</v>
      </c>
      <c r="J31" t="n">
        <v>5.1</v>
      </c>
      <c r="K31" t="n">
        <v>5.7</v>
      </c>
      <c r="L31" t="n">
        <v>31.7</v>
      </c>
      <c r="M31" t="n">
        <v>37.8</v>
      </c>
      <c r="N31" t="n">
        <v>28.6</v>
      </c>
      <c r="O31" t="n">
        <v>19.8</v>
      </c>
      <c r="P31" t="n">
        <v>14.1</v>
      </c>
      <c r="Q31" t="n">
        <v>10.7</v>
      </c>
      <c r="R31" t="n">
        <v>10.7</v>
      </c>
      <c r="S31" t="n">
        <v>8.7</v>
      </c>
      <c r="T31" t="n">
        <v>8.1</v>
      </c>
      <c r="U31" t="n">
        <v>4.8</v>
      </c>
      <c r="V31" t="n">
        <v>3.2</v>
      </c>
      <c r="W31" t="n">
        <v>2.6</v>
      </c>
      <c r="X31" t="n">
        <v>2.1</v>
      </c>
      <c r="Y31" t="n">
        <v>1.5</v>
      </c>
      <c r="Z31" t="n">
        <v>2.2</v>
      </c>
      <c r="AA31" t="n">
        <v>2.8</v>
      </c>
      <c r="AB31" t="n">
        <v>3.4</v>
      </c>
      <c r="AC31" t="n">
        <v>4.2</v>
      </c>
      <c r="AD31" t="n">
        <v>3.1</v>
      </c>
      <c r="AE31" t="n">
        <v>2.2</v>
      </c>
      <c r="AF31" t="n">
        <v>1.6</v>
      </c>
    </row>
    <row r="32">
      <c r="A32" t="s">
        <v>95</v>
      </c>
      <c r="B32" t="s">
        <v>334</v>
      </c>
      <c r="C32" t="s">
        <v>217</v>
      </c>
      <c r="D32" t="s">
        <v>335</v>
      </c>
      <c r="E32" t="s">
        <v>218</v>
      </c>
      <c r="F32" t="n">
        <v>4.4</v>
      </c>
      <c r="G32" t="n">
        <v>3.8</v>
      </c>
      <c r="H32" t="n">
        <v>3.6</v>
      </c>
      <c r="I32" t="n">
        <v>3.4</v>
      </c>
      <c r="J32" t="n">
        <v>3.3</v>
      </c>
      <c r="K32" t="n">
        <v>3.7</v>
      </c>
      <c r="L32" t="n">
        <v>5.9</v>
      </c>
      <c r="M32" t="n">
        <v>4.6</v>
      </c>
      <c r="N32" t="n">
        <v>5.4</v>
      </c>
      <c r="O32" t="n">
        <v>9</v>
      </c>
      <c r="P32" t="n">
        <v>7.1</v>
      </c>
      <c r="Q32" t="n">
        <v>6.4</v>
      </c>
      <c r="R32" t="n">
        <v>7.2</v>
      </c>
      <c r="S32" t="n">
        <v>6.8</v>
      </c>
      <c r="T32" t="n">
        <v>9.5</v>
      </c>
      <c r="U32" t="n">
        <v>8.3</v>
      </c>
      <c r="V32" t="n">
        <v>7.1</v>
      </c>
      <c r="W32" t="n">
        <v>5.6</v>
      </c>
      <c r="X32" t="n">
        <v>5.2</v>
      </c>
      <c r="Y32" t="n">
        <v>5.2</v>
      </c>
      <c r="Z32" t="n">
        <v>6.2</v>
      </c>
      <c r="AA32" t="n">
        <v>10.1</v>
      </c>
      <c r="AB32" t="n">
        <v>13.1</v>
      </c>
      <c r="AC32" t="n">
        <v>15.6</v>
      </c>
      <c r="AD32" t="n">
        <v>12.1</v>
      </c>
      <c r="AE32" t="n">
        <v>9.2</v>
      </c>
      <c r="AF32" t="n">
        <v>7.5</v>
      </c>
    </row>
    <row r="33">
      <c r="A33" t="s">
        <v>95</v>
      </c>
      <c r="B33" t="s">
        <v>336</v>
      </c>
      <c r="C33" t="s">
        <v>217</v>
      </c>
      <c r="D33" t="s">
        <v>337</v>
      </c>
      <c r="E33" t="s">
        <v>218</v>
      </c>
      <c r="F33" t="n">
        <v>10.5</v>
      </c>
      <c r="G33" t="n">
        <v>22.4</v>
      </c>
      <c r="H33" t="n">
        <v>34.2</v>
      </c>
      <c r="I33" t="n">
        <v>44.9</v>
      </c>
      <c r="J33" t="n">
        <v>52.1</v>
      </c>
      <c r="K33" t="n">
        <v>70.9</v>
      </c>
      <c r="L33" t="n">
        <v>65.6</v>
      </c>
      <c r="M33" t="n">
        <v>79.2</v>
      </c>
      <c r="N33" t="n">
        <v>91.8</v>
      </c>
      <c r="O33" t="n">
        <v>98</v>
      </c>
      <c r="P33" t="n">
        <v>75.1</v>
      </c>
      <c r="Q33" t="n">
        <v>55.4</v>
      </c>
      <c r="R33" t="n">
        <v>57</v>
      </c>
      <c r="S33" t="n">
        <v>45.1</v>
      </c>
      <c r="T33" t="n">
        <v>37.6</v>
      </c>
      <c r="U33" t="n">
        <v>28</v>
      </c>
      <c r="V33" t="n">
        <v>20.5</v>
      </c>
      <c r="W33" t="n">
        <v>15.1</v>
      </c>
      <c r="X33" t="n">
        <v>11.1</v>
      </c>
      <c r="Y33" t="n">
        <v>8.3</v>
      </c>
      <c r="Z33" t="n">
        <v>6.9</v>
      </c>
      <c r="AA33" t="n">
        <v>5.8</v>
      </c>
      <c r="AB33" t="n">
        <v>5</v>
      </c>
      <c r="AC33" t="n">
        <v>4.1</v>
      </c>
      <c r="AD33" t="n">
        <v>3.7</v>
      </c>
      <c r="AE33" t="n">
        <v>3</v>
      </c>
      <c r="AF33" t="n">
        <v>2.6</v>
      </c>
    </row>
    <row r="34">
      <c r="A34" t="s">
        <v>95</v>
      </c>
      <c r="B34" t="s">
        <v>338</v>
      </c>
      <c r="C34" t="s">
        <v>217</v>
      </c>
      <c r="D34" t="s">
        <v>339</v>
      </c>
      <c r="E34" t="s">
        <v>218</v>
      </c>
      <c r="F34" t="n">
        <v>25.2</v>
      </c>
      <c r="G34" t="n">
        <v>31.1</v>
      </c>
      <c r="H34" t="n">
        <v>38.4</v>
      </c>
      <c r="I34" t="n">
        <v>45.2</v>
      </c>
      <c r="J34" t="n">
        <v>49.6</v>
      </c>
      <c r="K34" t="n">
        <v>64.5</v>
      </c>
      <c r="L34" t="n">
        <v>69.1</v>
      </c>
      <c r="M34" t="n">
        <v>65.5</v>
      </c>
      <c r="N34" t="n">
        <v>67.3</v>
      </c>
      <c r="O34" t="n">
        <v>75.5</v>
      </c>
      <c r="P34" t="n">
        <v>72.1</v>
      </c>
      <c r="Q34" t="n">
        <v>107.7</v>
      </c>
      <c r="R34" t="n">
        <v>132</v>
      </c>
      <c r="S34" t="n">
        <v>176.1</v>
      </c>
      <c r="T34" t="n">
        <v>180.6</v>
      </c>
      <c r="U34" t="n">
        <v>129</v>
      </c>
      <c r="V34" t="n">
        <v>92.6</v>
      </c>
      <c r="W34" t="n">
        <v>66.2</v>
      </c>
      <c r="X34" t="n">
        <v>47.5</v>
      </c>
      <c r="Y34" t="n">
        <v>34.5</v>
      </c>
      <c r="Z34" t="n">
        <v>62.8</v>
      </c>
      <c r="AA34" t="n">
        <v>76.5</v>
      </c>
      <c r="AB34" t="n">
        <v>87.5</v>
      </c>
      <c r="AC34" t="n">
        <v>75.3</v>
      </c>
      <c r="AD34" t="n">
        <v>70.5</v>
      </c>
      <c r="AE34" t="n">
        <v>64</v>
      </c>
      <c r="AF34" t="n">
        <v>64</v>
      </c>
    </row>
    <row r="35">
      <c r="A35" t="s">
        <v>95</v>
      </c>
      <c r="B35" t="s">
        <v>340</v>
      </c>
      <c r="C35" t="s">
        <v>217</v>
      </c>
      <c r="D35" t="s">
        <v>341</v>
      </c>
      <c r="E35" t="s">
        <v>218</v>
      </c>
      <c r="F35" t="n">
        <v>74.2</v>
      </c>
      <c r="G35" t="n">
        <v>113.1</v>
      </c>
      <c r="H35" t="n">
        <v>154.5</v>
      </c>
      <c r="I35" t="n">
        <v>192.2</v>
      </c>
      <c r="J35" t="n">
        <v>217.3</v>
      </c>
      <c r="K35" t="n">
        <v>289.6</v>
      </c>
      <c r="L35" t="n">
        <v>315.5</v>
      </c>
      <c r="M35" t="n">
        <v>369.3</v>
      </c>
      <c r="N35" t="n">
        <v>418.4</v>
      </c>
      <c r="O35" t="n">
        <v>454.2</v>
      </c>
      <c r="P35" t="n">
        <v>389.3</v>
      </c>
      <c r="Q35" t="n">
        <v>404.6</v>
      </c>
      <c r="R35" t="n">
        <v>456</v>
      </c>
      <c r="S35" t="n">
        <v>412.6</v>
      </c>
      <c r="T35" t="n">
        <v>404.3</v>
      </c>
      <c r="U35" t="n">
        <v>358.2</v>
      </c>
      <c r="V35" t="n">
        <v>302.1</v>
      </c>
      <c r="W35" t="n">
        <v>242.9</v>
      </c>
      <c r="X35" t="n">
        <v>192.5</v>
      </c>
      <c r="Y35" t="n">
        <v>177.7</v>
      </c>
      <c r="Z35" t="n">
        <v>163.4</v>
      </c>
      <c r="AA35" t="n">
        <v>172.8</v>
      </c>
      <c r="AB35" t="n">
        <v>182.5</v>
      </c>
      <c r="AC35" t="n">
        <v>148.6</v>
      </c>
      <c r="AD35" t="n">
        <v>121.2</v>
      </c>
      <c r="AE35" t="n">
        <v>110.2</v>
      </c>
      <c r="AF35" t="n">
        <v>111</v>
      </c>
    </row>
    <row r="36">
      <c r="A36" t="s">
        <v>95</v>
      </c>
      <c r="B36" t="s">
        <v>342</v>
      </c>
      <c r="C36" t="s">
        <v>217</v>
      </c>
      <c r="D36" t="s">
        <v>343</v>
      </c>
      <c r="E36" t="s">
        <v>218</v>
      </c>
      <c r="F36" t="n">
        <v>24.5</v>
      </c>
      <c r="G36" t="n">
        <v>33.2</v>
      </c>
      <c r="H36" t="n">
        <v>42.9</v>
      </c>
      <c r="I36" t="n">
        <v>51.9</v>
      </c>
      <c r="J36" t="n">
        <v>57.8</v>
      </c>
      <c r="K36" t="n">
        <v>76.1</v>
      </c>
      <c r="L36" t="n">
        <v>85</v>
      </c>
      <c r="M36" t="n">
        <v>97.6</v>
      </c>
      <c r="N36" t="n">
        <v>115.3</v>
      </c>
      <c r="O36" t="n">
        <v>124.1</v>
      </c>
      <c r="P36" t="n">
        <v>104.8</v>
      </c>
      <c r="Q36" t="n">
        <v>116.3</v>
      </c>
      <c r="R36" t="n">
        <v>126.9</v>
      </c>
      <c r="S36" t="n">
        <v>124.5</v>
      </c>
      <c r="T36" t="n">
        <v>123</v>
      </c>
      <c r="U36" t="n">
        <v>97.4</v>
      </c>
      <c r="V36" t="n">
        <v>79.6</v>
      </c>
      <c r="W36" t="n">
        <v>61.7</v>
      </c>
      <c r="X36" t="n">
        <v>49.3</v>
      </c>
      <c r="Y36" t="n">
        <v>39.1</v>
      </c>
      <c r="Z36" t="n">
        <v>30.6</v>
      </c>
      <c r="AA36" t="n">
        <v>25.2</v>
      </c>
      <c r="AB36" t="n">
        <v>22.2</v>
      </c>
      <c r="AC36" t="n">
        <v>21.4</v>
      </c>
      <c r="AD36" t="n">
        <v>21.2</v>
      </c>
      <c r="AE36" t="n">
        <v>25.6</v>
      </c>
      <c r="AF36" t="n">
        <v>32.4</v>
      </c>
    </row>
    <row r="37">
      <c r="A37" t="s">
        <v>95</v>
      </c>
      <c r="B37" t="s">
        <v>344</v>
      </c>
      <c r="C37" t="s">
        <v>217</v>
      </c>
      <c r="D37" t="s">
        <v>345</v>
      </c>
      <c r="E37" t="s">
        <v>218</v>
      </c>
      <c r="F37" t="n">
        <v>16.5</v>
      </c>
      <c r="G37" t="n">
        <v>24.7</v>
      </c>
      <c r="H37" t="n">
        <v>33.5</v>
      </c>
      <c r="I37" t="n">
        <v>41.5</v>
      </c>
      <c r="J37" t="n">
        <v>46.8</v>
      </c>
      <c r="K37" t="n">
        <v>62.3</v>
      </c>
      <c r="L37" t="n">
        <v>57.4</v>
      </c>
      <c r="M37" t="n">
        <v>68.6</v>
      </c>
      <c r="N37" t="n">
        <v>79.2</v>
      </c>
      <c r="O37" t="n">
        <v>84.4</v>
      </c>
      <c r="P37" t="n">
        <v>89.5</v>
      </c>
      <c r="Q37" t="n">
        <v>103.7</v>
      </c>
      <c r="R37" t="n">
        <v>127.6</v>
      </c>
      <c r="S37" t="n">
        <v>120.4</v>
      </c>
      <c r="T37" t="n">
        <v>114.3</v>
      </c>
      <c r="U37" t="n">
        <v>102.5</v>
      </c>
      <c r="V37" t="n">
        <v>84.3</v>
      </c>
      <c r="W37" t="n">
        <v>68.9</v>
      </c>
      <c r="X37" t="n">
        <v>55.5</v>
      </c>
      <c r="Y37" t="n">
        <v>48.9</v>
      </c>
      <c r="Z37" t="n">
        <v>46.7</v>
      </c>
      <c r="AA37" t="n">
        <v>46.4</v>
      </c>
      <c r="AB37" t="n">
        <v>46.7</v>
      </c>
      <c r="AC37" t="n">
        <v>42.7</v>
      </c>
      <c r="AD37" t="n">
        <v>37</v>
      </c>
      <c r="AE37" t="n">
        <v>33.3</v>
      </c>
      <c r="AF37" t="n">
        <v>33</v>
      </c>
    </row>
    <row r="38">
      <c r="A38" t="s">
        <v>95</v>
      </c>
      <c r="B38" t="s">
        <v>346</v>
      </c>
      <c r="C38" t="s">
        <v>217</v>
      </c>
      <c r="D38" t="s">
        <v>347</v>
      </c>
      <c r="E38" t="s">
        <v>218</v>
      </c>
      <c r="F38" t="n">
        <v>33.2</v>
      </c>
      <c r="G38" t="n">
        <v>55.2</v>
      </c>
      <c r="H38" t="n">
        <v>78.1</v>
      </c>
      <c r="I38" t="n">
        <v>98.8</v>
      </c>
      <c r="J38" t="n">
        <v>112.7</v>
      </c>
      <c r="K38" t="n">
        <v>151.2</v>
      </c>
      <c r="L38" t="n">
        <v>173.1</v>
      </c>
      <c r="M38" t="n">
        <v>203.1</v>
      </c>
      <c r="N38" t="n">
        <v>223.9</v>
      </c>
      <c r="O38" t="n">
        <v>245.7</v>
      </c>
      <c r="P38" t="n">
        <v>195</v>
      </c>
      <c r="Q38" t="n">
        <v>184.6</v>
      </c>
      <c r="R38" t="n">
        <v>201.5</v>
      </c>
      <c r="S38" t="n">
        <v>167.7</v>
      </c>
      <c r="T38" t="n">
        <v>167</v>
      </c>
      <c r="U38" t="n">
        <v>158.3</v>
      </c>
      <c r="V38" t="n">
        <v>138.2</v>
      </c>
      <c r="W38" t="n">
        <v>112.3</v>
      </c>
      <c r="X38" t="n">
        <v>87.7</v>
      </c>
      <c r="Y38" t="n">
        <v>89.7</v>
      </c>
      <c r="Z38" t="n">
        <v>86.1</v>
      </c>
      <c r="AA38" t="n">
        <v>101.2</v>
      </c>
      <c r="AB38" t="n">
        <v>113.6</v>
      </c>
      <c r="AC38" t="n">
        <v>84.5</v>
      </c>
      <c r="AD38" t="n">
        <v>63</v>
      </c>
      <c r="AE38" t="n">
        <v>51.3</v>
      </c>
      <c r="AF38" t="n">
        <v>45.6</v>
      </c>
    </row>
    <row r="39">
      <c r="A39" t="s">
        <v>95</v>
      </c>
      <c r="B39" t="s">
        <v>348</v>
      </c>
      <c r="C39" t="s">
        <v>217</v>
      </c>
      <c r="D39" t="s">
        <v>349</v>
      </c>
      <c r="E39" t="s">
        <v>218</v>
      </c>
      <c r="F39" t="n">
        <v>128.6</v>
      </c>
      <c r="G39" t="n">
        <v>144.5</v>
      </c>
      <c r="H39" t="n">
        <v>168.5</v>
      </c>
      <c r="I39" t="n">
        <v>191.1</v>
      </c>
      <c r="J39" t="n">
        <v>205.6</v>
      </c>
      <c r="K39" t="n">
        <v>262.5</v>
      </c>
      <c r="L39" t="n">
        <v>262.1</v>
      </c>
      <c r="M39" t="n">
        <v>218.4</v>
      </c>
      <c r="N39" t="n">
        <v>182.8</v>
      </c>
      <c r="O39" t="n">
        <v>153.5</v>
      </c>
      <c r="P39" t="n">
        <v>165.1</v>
      </c>
      <c r="Q39" t="n">
        <v>163.3</v>
      </c>
      <c r="R39" t="n">
        <v>164.2</v>
      </c>
      <c r="S39" t="n">
        <v>170.1</v>
      </c>
      <c r="T39" t="n">
        <v>158.6</v>
      </c>
      <c r="U39" t="n">
        <v>120.3</v>
      </c>
      <c r="V39" t="n">
        <v>105.4</v>
      </c>
      <c r="W39" t="n">
        <v>88.2</v>
      </c>
      <c r="X39" t="n">
        <v>80.2</v>
      </c>
      <c r="Y39" t="n">
        <v>93.7</v>
      </c>
      <c r="Z39" t="n">
        <v>85.7</v>
      </c>
      <c r="AA39" t="n">
        <v>101.4</v>
      </c>
      <c r="AB39" t="n">
        <v>114.3</v>
      </c>
      <c r="AC39" t="n">
        <v>152</v>
      </c>
      <c r="AD39" t="n">
        <v>164.4</v>
      </c>
      <c r="AE39" t="n">
        <v>188.4</v>
      </c>
      <c r="AF39" t="n">
        <v>225.4</v>
      </c>
    </row>
    <row r="40">
      <c r="A40" t="s">
        <v>95</v>
      </c>
      <c r="B40" t="s">
        <v>350</v>
      </c>
      <c r="C40" t="s">
        <v>217</v>
      </c>
      <c r="D40" t="s">
        <v>351</v>
      </c>
      <c r="E40" t="s">
        <v>218</v>
      </c>
      <c r="F40" t="n">
        <v>3.8</v>
      </c>
      <c r="G40" t="n">
        <v>3.1</v>
      </c>
      <c r="H40" t="n">
        <v>2.8</v>
      </c>
      <c r="I40" t="n">
        <v>2.5</v>
      </c>
      <c r="J40" t="n">
        <v>2.2</v>
      </c>
      <c r="K40" t="n">
        <v>2.4</v>
      </c>
      <c r="L40" t="n">
        <v>13.5</v>
      </c>
      <c r="M40" t="n">
        <v>24.7</v>
      </c>
      <c r="N40" t="n">
        <v>24.4</v>
      </c>
      <c r="O40" t="n">
        <v>22.9</v>
      </c>
      <c r="P40" t="n">
        <v>16.5</v>
      </c>
      <c r="Q40" t="n">
        <v>12.2</v>
      </c>
      <c r="R40" t="n">
        <v>12.3</v>
      </c>
      <c r="S40" t="n">
        <v>9.4</v>
      </c>
      <c r="T40" t="n">
        <v>8</v>
      </c>
      <c r="U40" t="n">
        <v>7.4</v>
      </c>
      <c r="V40" t="n">
        <v>7.8</v>
      </c>
      <c r="W40" t="n">
        <v>6.3</v>
      </c>
      <c r="X40" t="n">
        <v>5</v>
      </c>
      <c r="Y40" t="n">
        <v>4.9</v>
      </c>
      <c r="Z40" t="n">
        <v>4.2</v>
      </c>
      <c r="AA40" t="n">
        <v>3.4</v>
      </c>
      <c r="AB40" t="n">
        <v>2.9</v>
      </c>
      <c r="AC40" t="n">
        <v>0</v>
      </c>
      <c r="AD40" t="n">
        <v>0</v>
      </c>
      <c r="AE40" t="n">
        <v>0</v>
      </c>
      <c r="AF40" t="n">
        <v>0</v>
      </c>
    </row>
    <row r="41">
      <c r="A41" t="s">
        <v>95</v>
      </c>
      <c r="B41" t="s">
        <v>352</v>
      </c>
      <c r="C41" t="s">
        <v>217</v>
      </c>
      <c r="D41" t="s">
        <v>353</v>
      </c>
      <c r="E41" t="s">
        <v>218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95</v>
      </c>
      <c r="B42" t="s">
        <v>354</v>
      </c>
      <c r="C42" t="s">
        <v>217</v>
      </c>
      <c r="D42" t="s">
        <v>355</v>
      </c>
      <c r="E42" t="s">
        <v>218</v>
      </c>
      <c r="F42" t="n">
        <v>105.6</v>
      </c>
      <c r="G42" t="n">
        <v>162.4</v>
      </c>
      <c r="H42" t="n">
        <v>224.8</v>
      </c>
      <c r="I42" t="n">
        <v>281.7</v>
      </c>
      <c r="J42" t="n">
        <v>320</v>
      </c>
      <c r="K42" t="n">
        <v>425.9</v>
      </c>
      <c r="L42" t="n">
        <v>452.3</v>
      </c>
      <c r="M42" t="n">
        <v>422</v>
      </c>
      <c r="N42" t="n">
        <v>500.3</v>
      </c>
      <c r="O42" t="n">
        <v>532.8</v>
      </c>
      <c r="P42" t="n">
        <v>419.5</v>
      </c>
      <c r="Q42" t="n">
        <v>386.6</v>
      </c>
      <c r="R42" t="n">
        <v>419</v>
      </c>
      <c r="S42" t="n">
        <v>435.6</v>
      </c>
      <c r="T42" t="n">
        <v>442.7</v>
      </c>
      <c r="U42" t="n">
        <v>346.7</v>
      </c>
      <c r="V42" t="n">
        <v>276.1</v>
      </c>
      <c r="W42" t="n">
        <v>221.2</v>
      </c>
      <c r="X42" t="n">
        <v>184.9</v>
      </c>
      <c r="Y42" t="n">
        <v>176.6</v>
      </c>
      <c r="Z42" t="n">
        <v>166</v>
      </c>
      <c r="AA42" t="n">
        <v>156.4</v>
      </c>
      <c r="AB42" t="n">
        <v>150.8</v>
      </c>
      <c r="AC42" t="n">
        <v>129.8</v>
      </c>
      <c r="AD42" t="n">
        <v>107.6</v>
      </c>
      <c r="AE42" t="n">
        <v>110.8</v>
      </c>
      <c r="AF42" t="n">
        <v>122.9</v>
      </c>
    </row>
    <row r="43">
      <c r="A43" t="s">
        <v>95</v>
      </c>
      <c r="B43" t="s">
        <v>356</v>
      </c>
      <c r="C43" t="s">
        <v>217</v>
      </c>
      <c r="D43" t="s">
        <v>357</v>
      </c>
      <c r="E43" t="s">
        <v>218</v>
      </c>
      <c r="F43" t="n">
        <v>123.5</v>
      </c>
      <c r="G43" t="n">
        <v>184</v>
      </c>
      <c r="H43" t="n">
        <v>251.1</v>
      </c>
      <c r="I43" t="n">
        <v>312.4</v>
      </c>
      <c r="J43" t="n">
        <v>353.5</v>
      </c>
      <c r="K43" t="n">
        <v>469.3</v>
      </c>
      <c r="L43" t="n">
        <v>501.5</v>
      </c>
      <c r="M43" t="n">
        <v>469.1</v>
      </c>
      <c r="N43" t="n">
        <v>558.8</v>
      </c>
      <c r="O43" t="n">
        <v>604.9</v>
      </c>
      <c r="P43" t="n">
        <v>474.8</v>
      </c>
      <c r="Q43" t="n">
        <v>435.4</v>
      </c>
      <c r="R43" t="n">
        <v>464.5</v>
      </c>
      <c r="S43" t="n">
        <v>615.5</v>
      </c>
      <c r="T43" t="n">
        <v>713.6</v>
      </c>
      <c r="U43" t="n">
        <v>566.9</v>
      </c>
      <c r="V43" t="n">
        <v>455.8</v>
      </c>
      <c r="W43" t="n">
        <v>361.9</v>
      </c>
      <c r="X43" t="n">
        <v>288.4</v>
      </c>
      <c r="Y43" t="n">
        <v>264</v>
      </c>
      <c r="Z43" t="n">
        <v>275.2</v>
      </c>
      <c r="AA43" t="n">
        <v>271.3</v>
      </c>
      <c r="AB43" t="n">
        <v>271.2</v>
      </c>
      <c r="AC43" t="n">
        <v>240.2</v>
      </c>
      <c r="AD43" t="n">
        <v>233.5</v>
      </c>
      <c r="AE43" t="n">
        <v>237.2</v>
      </c>
      <c r="AF43" t="n">
        <v>260.6</v>
      </c>
    </row>
    <row r="44">
      <c r="A44" t="s">
        <v>95</v>
      </c>
      <c r="B44" t="s">
        <v>358</v>
      </c>
      <c r="C44" t="s">
        <v>217</v>
      </c>
      <c r="D44" t="s">
        <v>359</v>
      </c>
      <c r="E44" t="s">
        <v>218</v>
      </c>
      <c r="F44" t="n">
        <v>770.3</v>
      </c>
      <c r="G44" t="n">
        <v>1001.4</v>
      </c>
      <c r="H44" t="n">
        <v>1273.2</v>
      </c>
      <c r="I44" t="n">
        <v>1523.3</v>
      </c>
      <c r="J44" t="n">
        <v>1688.9</v>
      </c>
      <c r="K44" t="n">
        <v>2211.3</v>
      </c>
      <c r="L44" t="n">
        <v>2313.7</v>
      </c>
      <c r="M44" t="n">
        <v>2270.7</v>
      </c>
      <c r="N44" t="n">
        <v>2369.3</v>
      </c>
      <c r="O44" t="n">
        <v>2378.1</v>
      </c>
      <c r="P44" t="n">
        <v>2202.7</v>
      </c>
      <c r="Q44" t="n">
        <v>2371.7</v>
      </c>
      <c r="R44" t="n">
        <v>2557</v>
      </c>
      <c r="S44" t="n">
        <v>2765.2</v>
      </c>
      <c r="T44" t="n">
        <v>2771.6</v>
      </c>
      <c r="U44" t="n">
        <v>2204.4</v>
      </c>
      <c r="V44" t="n">
        <v>1798.6</v>
      </c>
      <c r="W44" t="n">
        <v>1442.2</v>
      </c>
      <c r="X44" t="n">
        <v>1169.5</v>
      </c>
      <c r="Y44" t="n">
        <v>1094.7</v>
      </c>
      <c r="Z44" t="n">
        <v>1148.7</v>
      </c>
      <c r="AA44" t="n">
        <v>1125.7</v>
      </c>
      <c r="AB44" t="n">
        <v>1123.7</v>
      </c>
      <c r="AC44" t="n">
        <v>1125.1</v>
      </c>
      <c r="AD44" t="n">
        <v>1136.8</v>
      </c>
      <c r="AE44" t="n">
        <v>1300.9</v>
      </c>
      <c r="AF44" t="n">
        <v>1555.1</v>
      </c>
    </row>
    <row r="45">
      <c r="A45" t="s">
        <v>95</v>
      </c>
      <c r="B45" t="s">
        <v>360</v>
      </c>
      <c r="C45" t="s">
        <v>217</v>
      </c>
      <c r="D45" t="s">
        <v>361</v>
      </c>
      <c r="E45" t="s">
        <v>218</v>
      </c>
      <c r="F45" t="n">
        <v>769.3</v>
      </c>
      <c r="G45" t="n">
        <v>1000.4</v>
      </c>
      <c r="H45" t="n">
        <v>1272.2</v>
      </c>
      <c r="I45" t="n">
        <v>1522.2</v>
      </c>
      <c r="J45" t="n">
        <v>1687.8</v>
      </c>
      <c r="K45" t="n">
        <v>2209.9</v>
      </c>
      <c r="L45" t="n">
        <v>2312.3</v>
      </c>
      <c r="M45" t="n">
        <v>2269.4</v>
      </c>
      <c r="N45" t="n">
        <v>2368.1</v>
      </c>
      <c r="O45" t="n">
        <v>2377</v>
      </c>
      <c r="P45" t="n">
        <v>2199.6</v>
      </c>
      <c r="Q45" t="n">
        <v>2369.5</v>
      </c>
      <c r="R45" t="n">
        <v>2547.1</v>
      </c>
      <c r="S45" t="n">
        <v>2756</v>
      </c>
      <c r="T45" t="n">
        <v>2760.2</v>
      </c>
      <c r="U45" t="n">
        <v>2191.4</v>
      </c>
      <c r="V45" t="n">
        <v>1787.1</v>
      </c>
      <c r="W45" t="n">
        <v>1431.7</v>
      </c>
      <c r="X45" t="n">
        <v>1159.5</v>
      </c>
      <c r="Y45" t="n">
        <v>1084.7</v>
      </c>
      <c r="Z45" t="n">
        <v>1138</v>
      </c>
      <c r="AA45" t="n">
        <v>1115.3</v>
      </c>
      <c r="AB45" t="n">
        <v>1113.4</v>
      </c>
      <c r="AC45" t="n">
        <v>1114.5</v>
      </c>
      <c r="AD45" t="n">
        <v>1125.8</v>
      </c>
      <c r="AE45" t="n">
        <v>1289.1</v>
      </c>
      <c r="AF45" t="n">
        <v>1541.5</v>
      </c>
    </row>
    <row r="46">
      <c r="A46" t="s">
        <v>95</v>
      </c>
      <c r="B46" t="s">
        <v>362</v>
      </c>
      <c r="C46" t="s">
        <v>217</v>
      </c>
      <c r="D46" t="s">
        <v>363</v>
      </c>
      <c r="E46" t="s">
        <v>218</v>
      </c>
      <c r="F46" t="n">
        <v>17.9</v>
      </c>
      <c r="G46" t="n">
        <v>21.6</v>
      </c>
      <c r="H46" t="n">
        <v>26.3</v>
      </c>
      <c r="I46" t="n">
        <v>30.7</v>
      </c>
      <c r="J46" t="n">
        <v>33.5</v>
      </c>
      <c r="K46" t="n">
        <v>43.4</v>
      </c>
      <c r="L46" t="n">
        <v>49.2</v>
      </c>
      <c r="M46" t="n">
        <v>47.1</v>
      </c>
      <c r="N46" t="n">
        <v>58.5</v>
      </c>
      <c r="O46" t="n">
        <v>72.1</v>
      </c>
      <c r="P46" t="n">
        <v>55.3</v>
      </c>
      <c r="Q46" t="n">
        <v>48.8</v>
      </c>
      <c r="R46" t="n">
        <v>45.5</v>
      </c>
      <c r="S46" t="n">
        <v>179.9</v>
      </c>
      <c r="T46" t="n">
        <v>270.9</v>
      </c>
      <c r="U46" t="n">
        <v>220.2</v>
      </c>
      <c r="V46" t="n">
        <v>179.7</v>
      </c>
      <c r="W46" t="n">
        <v>140.7</v>
      </c>
      <c r="X46" t="n">
        <v>103.5</v>
      </c>
      <c r="Y46" t="n">
        <v>87.4</v>
      </c>
      <c r="Z46" t="n">
        <v>109.2</v>
      </c>
      <c r="AA46" t="n">
        <v>114.9</v>
      </c>
      <c r="AB46" t="n">
        <v>120.4</v>
      </c>
      <c r="AC46" t="n">
        <v>110.4</v>
      </c>
      <c r="AD46" t="n">
        <v>125.9</v>
      </c>
      <c r="AE46" t="n">
        <v>126.4</v>
      </c>
      <c r="AF46" t="n">
        <v>137.7</v>
      </c>
    </row>
    <row r="47">
      <c r="A47" t="s">
        <v>95</v>
      </c>
      <c r="B47" t="s">
        <v>364</v>
      </c>
      <c r="C47" t="s">
        <v>217</v>
      </c>
      <c r="D47" t="s">
        <v>365</v>
      </c>
      <c r="E47" t="s">
        <v>218</v>
      </c>
      <c r="F47" t="n">
        <v>119.2</v>
      </c>
      <c r="G47" t="n">
        <v>209.6</v>
      </c>
      <c r="H47" t="n">
        <v>293.3</v>
      </c>
      <c r="I47" t="n">
        <v>375.8</v>
      </c>
      <c r="J47" t="n">
        <v>416.5</v>
      </c>
      <c r="K47" t="n">
        <v>497.3</v>
      </c>
      <c r="L47" t="n">
        <v>573.5</v>
      </c>
      <c r="M47" t="n">
        <v>574.4</v>
      </c>
      <c r="N47" t="n">
        <v>632</v>
      </c>
      <c r="O47" t="n">
        <v>677.7</v>
      </c>
      <c r="P47" t="n">
        <v>695.3</v>
      </c>
      <c r="Q47" t="n">
        <v>933.9</v>
      </c>
      <c r="R47" t="n">
        <v>965.5</v>
      </c>
      <c r="S47" t="n">
        <v>1189.8</v>
      </c>
      <c r="T47" t="n">
        <v>1569.4</v>
      </c>
      <c r="U47" t="n">
        <v>1322.6</v>
      </c>
      <c r="V47" t="n">
        <v>1083.8</v>
      </c>
      <c r="W47" t="n">
        <v>837.1</v>
      </c>
      <c r="X47" t="n">
        <v>712.5</v>
      </c>
      <c r="Y47" t="n">
        <v>588.3</v>
      </c>
      <c r="Z47" t="n">
        <v>607</v>
      </c>
      <c r="AA47" t="n">
        <v>599.4</v>
      </c>
      <c r="AB47" t="n">
        <v>560.9</v>
      </c>
      <c r="AC47" t="n">
        <v>521.4</v>
      </c>
      <c r="AD47" t="n">
        <v>476</v>
      </c>
      <c r="AE47" t="n">
        <v>462.3</v>
      </c>
      <c r="AF47" t="n">
        <v>474.5</v>
      </c>
    </row>
    <row r="48">
      <c r="A48" t="s">
        <v>95</v>
      </c>
      <c r="B48" t="s">
        <v>366</v>
      </c>
      <c r="C48" t="s">
        <v>217</v>
      </c>
      <c r="D48" t="s">
        <v>367</v>
      </c>
      <c r="E48" t="s">
        <v>218</v>
      </c>
      <c r="F48" t="n">
        <v>220.5</v>
      </c>
      <c r="G48" t="n">
        <v>341.4</v>
      </c>
      <c r="H48" t="n">
        <v>466.8</v>
      </c>
      <c r="I48" t="n">
        <v>586.8</v>
      </c>
      <c r="J48" t="n">
        <v>658.4</v>
      </c>
      <c r="K48" t="n">
        <v>805.4</v>
      </c>
      <c r="L48" t="n">
        <v>901.2</v>
      </c>
      <c r="M48" t="n">
        <v>895.5</v>
      </c>
      <c r="N48" t="n">
        <v>971.2</v>
      </c>
      <c r="O48" t="n">
        <v>1052.8</v>
      </c>
      <c r="P48" t="n">
        <v>1028.2</v>
      </c>
      <c r="Q48" t="n">
        <v>1415.1</v>
      </c>
      <c r="R48" t="n">
        <v>1380.6</v>
      </c>
      <c r="S48" t="n">
        <v>1577.6</v>
      </c>
      <c r="T48" t="n">
        <v>1881.8</v>
      </c>
      <c r="U48" t="n">
        <v>1582.8</v>
      </c>
      <c r="V48" t="n">
        <v>1303</v>
      </c>
      <c r="W48" t="n">
        <v>1017.2</v>
      </c>
      <c r="X48" t="n">
        <v>868.7</v>
      </c>
      <c r="Y48" t="n">
        <v>727</v>
      </c>
      <c r="Z48" t="n">
        <v>744.8</v>
      </c>
      <c r="AA48" t="n">
        <v>730.4</v>
      </c>
      <c r="AB48" t="n">
        <v>676.2</v>
      </c>
      <c r="AC48" t="n">
        <v>634.1</v>
      </c>
      <c r="AD48" t="n">
        <v>587.1</v>
      </c>
      <c r="AE48" t="n">
        <v>573.5</v>
      </c>
      <c r="AF48" t="n">
        <v>588.6</v>
      </c>
    </row>
    <row r="49">
      <c r="A49" t="s">
        <v>95</v>
      </c>
      <c r="B49" t="s">
        <v>368</v>
      </c>
      <c r="C49" t="s">
        <v>217</v>
      </c>
      <c r="D49" t="s">
        <v>369</v>
      </c>
      <c r="E49" t="s">
        <v>218</v>
      </c>
      <c r="F49" t="n">
        <v>80.3</v>
      </c>
      <c r="G49" t="n">
        <v>106.8</v>
      </c>
      <c r="H49" t="n">
        <v>143.1</v>
      </c>
      <c r="I49" t="n">
        <v>175.6</v>
      </c>
      <c r="J49" t="n">
        <v>204.1</v>
      </c>
      <c r="K49" t="n">
        <v>261.9</v>
      </c>
      <c r="L49" t="n">
        <v>265.5</v>
      </c>
      <c r="M49" t="n">
        <v>253.4</v>
      </c>
      <c r="N49" t="n">
        <v>272.4</v>
      </c>
      <c r="O49" t="n">
        <v>309.5</v>
      </c>
      <c r="P49" t="n">
        <v>272.9</v>
      </c>
      <c r="Q49" t="n">
        <v>387.8</v>
      </c>
      <c r="R49" t="n">
        <v>330.9</v>
      </c>
      <c r="S49" t="n">
        <v>308.1</v>
      </c>
      <c r="T49" t="n">
        <v>247.9</v>
      </c>
      <c r="U49" t="n">
        <v>204.4</v>
      </c>
      <c r="V49" t="n">
        <v>171.7</v>
      </c>
      <c r="W49" t="n">
        <v>139.6</v>
      </c>
      <c r="X49" t="n">
        <v>120.2</v>
      </c>
      <c r="Y49" t="n">
        <v>107.3</v>
      </c>
      <c r="Z49" t="n">
        <v>97.4</v>
      </c>
      <c r="AA49" t="n">
        <v>85.1</v>
      </c>
      <c r="AB49" t="n">
        <v>70.4</v>
      </c>
      <c r="AC49" t="n">
        <v>65.6</v>
      </c>
      <c r="AD49" t="n">
        <v>63.9</v>
      </c>
      <c r="AE49" t="n">
        <v>63.4</v>
      </c>
      <c r="AF49" t="n">
        <v>63</v>
      </c>
    </row>
    <row r="50">
      <c r="A50" t="s">
        <v>95</v>
      </c>
      <c r="B50" t="s">
        <v>370</v>
      </c>
      <c r="C50" t="s">
        <v>217</v>
      </c>
      <c r="D50" t="s">
        <v>371</v>
      </c>
      <c r="E50" t="s">
        <v>218</v>
      </c>
      <c r="F50" t="n">
        <v>21</v>
      </c>
      <c r="G50" t="n">
        <v>25.1</v>
      </c>
      <c r="H50" t="n">
        <v>30.5</v>
      </c>
      <c r="I50" t="n">
        <v>35.5</v>
      </c>
      <c r="J50" t="n">
        <v>37.8</v>
      </c>
      <c r="K50" t="n">
        <v>46.2</v>
      </c>
      <c r="L50" t="n">
        <v>62.2</v>
      </c>
      <c r="M50" t="n">
        <v>67.6</v>
      </c>
      <c r="N50" t="n">
        <v>66.8</v>
      </c>
      <c r="O50" t="n">
        <v>65.6</v>
      </c>
      <c r="P50" t="n">
        <v>60</v>
      </c>
      <c r="Q50" t="n">
        <v>93.3</v>
      </c>
      <c r="R50" t="n">
        <v>84.2</v>
      </c>
      <c r="S50" t="n">
        <v>79.7</v>
      </c>
      <c r="T50" t="n">
        <v>64.4</v>
      </c>
      <c r="U50" t="n">
        <v>55.7</v>
      </c>
      <c r="V50" t="n">
        <v>47.6</v>
      </c>
      <c r="W50" t="n">
        <v>40.4</v>
      </c>
      <c r="X50" t="n">
        <v>35.9</v>
      </c>
      <c r="Y50" t="n">
        <v>31.5</v>
      </c>
      <c r="Z50" t="n">
        <v>40.5</v>
      </c>
      <c r="AA50" t="n">
        <v>45.9</v>
      </c>
      <c r="AB50" t="n">
        <v>44.8</v>
      </c>
      <c r="AC50" t="n">
        <v>47.2</v>
      </c>
      <c r="AD50" t="n">
        <v>47.1</v>
      </c>
      <c r="AE50" t="n">
        <v>47.7</v>
      </c>
      <c r="AF50" t="n">
        <v>51.1</v>
      </c>
    </row>
    <row r="51">
      <c r="A51" t="s">
        <v>95</v>
      </c>
      <c r="B51" t="s">
        <v>372</v>
      </c>
      <c r="C51" t="s">
        <v>217</v>
      </c>
      <c r="D51" t="s">
        <v>373</v>
      </c>
      <c r="E51" t="s">
        <v>218</v>
      </c>
      <c r="F51" t="n">
        <v>17.3</v>
      </c>
      <c r="G51" t="n">
        <v>18.8</v>
      </c>
      <c r="H51" t="n">
        <v>21.4</v>
      </c>
      <c r="I51" t="n">
        <v>23.9</v>
      </c>
      <c r="J51" t="n">
        <v>25.4</v>
      </c>
      <c r="K51" t="n">
        <v>32.2</v>
      </c>
      <c r="L51" t="n">
        <v>44.6</v>
      </c>
      <c r="M51" t="n">
        <v>49</v>
      </c>
      <c r="N51" t="n">
        <v>48.4</v>
      </c>
      <c r="O51" t="n">
        <v>47.3</v>
      </c>
      <c r="P51" t="n">
        <v>42.6</v>
      </c>
      <c r="Q51" t="n">
        <v>69.1</v>
      </c>
      <c r="R51" t="n">
        <v>61.3</v>
      </c>
      <c r="S51" t="n">
        <v>56.7</v>
      </c>
      <c r="T51" t="n">
        <v>45.5</v>
      </c>
      <c r="U51" t="n">
        <v>37.9</v>
      </c>
      <c r="V51" t="n">
        <v>32.7</v>
      </c>
      <c r="W51" t="n">
        <v>28.1</v>
      </c>
      <c r="X51" t="n">
        <v>25</v>
      </c>
      <c r="Y51" t="n">
        <v>22.5</v>
      </c>
      <c r="Z51" t="n">
        <v>21.6</v>
      </c>
      <c r="AA51" t="n">
        <v>20.4</v>
      </c>
      <c r="AB51" t="n">
        <v>20.8</v>
      </c>
      <c r="AC51" t="n">
        <v>22.7</v>
      </c>
      <c r="AD51" t="n">
        <v>24.2</v>
      </c>
      <c r="AE51" t="n">
        <v>25.4</v>
      </c>
      <c r="AF51" t="n">
        <v>28.8</v>
      </c>
    </row>
    <row r="52">
      <c r="A52" t="s">
        <v>95</v>
      </c>
      <c r="B52" t="s">
        <v>374</v>
      </c>
      <c r="C52" t="s">
        <v>217</v>
      </c>
      <c r="D52" t="s">
        <v>375</v>
      </c>
      <c r="E52" t="s">
        <v>218</v>
      </c>
      <c r="F52" t="n">
        <v>3.7</v>
      </c>
      <c r="G52" t="n">
        <v>6.3</v>
      </c>
      <c r="H52" t="n">
        <v>9.1</v>
      </c>
      <c r="I52" t="n">
        <v>11.6</v>
      </c>
      <c r="J52" t="n">
        <v>12.4</v>
      </c>
      <c r="K52" t="n">
        <v>14</v>
      </c>
      <c r="L52" t="n">
        <v>17.6</v>
      </c>
      <c r="M52" t="n">
        <v>18.6</v>
      </c>
      <c r="N52" t="n">
        <v>18.4</v>
      </c>
      <c r="O52" t="n">
        <v>18.3</v>
      </c>
      <c r="P52" t="n">
        <v>17.4</v>
      </c>
      <c r="Q52" t="n">
        <v>24.2</v>
      </c>
      <c r="R52" t="n">
        <v>22.9</v>
      </c>
      <c r="S52" t="n">
        <v>23</v>
      </c>
      <c r="T52" t="n">
        <v>18.9</v>
      </c>
      <c r="U52" t="n">
        <v>17.8</v>
      </c>
      <c r="V52" t="n">
        <v>14.9</v>
      </c>
      <c r="W52" t="n">
        <v>12.3</v>
      </c>
      <c r="X52" t="n">
        <v>10.9</v>
      </c>
      <c r="Y52" t="n">
        <v>9</v>
      </c>
      <c r="Z52" t="n">
        <v>18.9</v>
      </c>
      <c r="AA52" t="n">
        <v>25.5</v>
      </c>
      <c r="AB52" t="n">
        <v>24</v>
      </c>
      <c r="AC52" t="n">
        <v>24.5</v>
      </c>
      <c r="AD52" t="n">
        <v>22.9</v>
      </c>
      <c r="AE52" t="n">
        <v>22.3</v>
      </c>
      <c r="AF52" t="n">
        <v>22.3</v>
      </c>
    </row>
    <row r="53">
      <c r="A53" t="s">
        <v>95</v>
      </c>
      <c r="B53" t="s">
        <v>376</v>
      </c>
      <c r="C53" t="s">
        <v>217</v>
      </c>
      <c r="D53" t="s">
        <v>377</v>
      </c>
      <c r="E53" t="s">
        <v>218</v>
      </c>
      <c r="F53" t="n">
        <v>11.8</v>
      </c>
      <c r="G53" t="n">
        <v>11.4</v>
      </c>
      <c r="H53" t="n">
        <v>11.7</v>
      </c>
      <c r="I53" t="n">
        <v>12.1</v>
      </c>
      <c r="J53" t="n">
        <v>12.3</v>
      </c>
      <c r="K53" t="n">
        <v>14.9</v>
      </c>
      <c r="L53" t="n">
        <v>14.8</v>
      </c>
      <c r="M53" t="n">
        <v>15.5</v>
      </c>
      <c r="N53" t="n">
        <v>27.1</v>
      </c>
      <c r="O53" t="n">
        <v>30.5</v>
      </c>
      <c r="P53" t="n">
        <v>22.6</v>
      </c>
      <c r="Q53" t="n">
        <v>19.3</v>
      </c>
      <c r="R53" t="n">
        <v>15.9</v>
      </c>
      <c r="S53" t="n">
        <v>13.7</v>
      </c>
      <c r="T53" t="n">
        <v>11</v>
      </c>
      <c r="U53" t="n">
        <v>9.4</v>
      </c>
      <c r="V53" t="n">
        <v>10.7</v>
      </c>
      <c r="W53" t="n">
        <v>11</v>
      </c>
      <c r="X53" t="n">
        <v>13.5</v>
      </c>
      <c r="Y53" t="n">
        <v>10.9</v>
      </c>
      <c r="Z53" t="n">
        <v>10.4</v>
      </c>
      <c r="AA53" t="n">
        <v>10.2</v>
      </c>
      <c r="AB53" t="n">
        <v>9.1</v>
      </c>
      <c r="AC53" t="n">
        <v>8.6</v>
      </c>
      <c r="AD53" t="n">
        <v>7.9</v>
      </c>
      <c r="AE53" t="n">
        <v>7.7</v>
      </c>
      <c r="AF53" t="n">
        <v>7.9</v>
      </c>
    </row>
    <row r="54">
      <c r="A54" t="s">
        <v>95</v>
      </c>
      <c r="B54" t="s">
        <v>378</v>
      </c>
      <c r="C54" t="s">
        <v>217</v>
      </c>
      <c r="D54" t="s">
        <v>379</v>
      </c>
      <c r="E54" t="s">
        <v>218</v>
      </c>
      <c r="F54" t="n">
        <v>75.2</v>
      </c>
      <c r="G54" t="n">
        <v>130.8</v>
      </c>
      <c r="H54" t="n">
        <v>188</v>
      </c>
      <c r="I54" t="n">
        <v>239.9</v>
      </c>
      <c r="J54" t="n">
        <v>274.7</v>
      </c>
      <c r="K54" t="n">
        <v>369.8</v>
      </c>
      <c r="L54" t="n">
        <v>312.2</v>
      </c>
      <c r="M54" t="n">
        <v>251.4</v>
      </c>
      <c r="N54" t="n">
        <v>223.2</v>
      </c>
      <c r="O54" t="n">
        <v>195.3</v>
      </c>
      <c r="P54" t="n">
        <v>158.2</v>
      </c>
      <c r="Q54" t="n">
        <v>143.6</v>
      </c>
      <c r="R54" t="n">
        <v>150</v>
      </c>
      <c r="S54" t="n">
        <v>138.3</v>
      </c>
      <c r="T54" t="n">
        <v>133.3</v>
      </c>
      <c r="U54" t="n">
        <v>96.6</v>
      </c>
      <c r="V54" t="n">
        <v>78.3</v>
      </c>
      <c r="W54" t="n">
        <v>63.8</v>
      </c>
      <c r="X54" t="n">
        <v>55.9</v>
      </c>
      <c r="Y54" t="n">
        <v>45.6</v>
      </c>
      <c r="Z54" t="n">
        <v>43</v>
      </c>
      <c r="AA54" t="n">
        <v>38.6</v>
      </c>
      <c r="AB54" t="n">
        <v>34.7</v>
      </c>
      <c r="AC54" t="n">
        <v>33.2</v>
      </c>
      <c r="AD54" t="n">
        <v>32</v>
      </c>
      <c r="AE54" t="n">
        <v>31.5</v>
      </c>
      <c r="AF54" t="n">
        <v>32.8</v>
      </c>
    </row>
    <row r="55">
      <c r="A55" t="s">
        <v>95</v>
      </c>
      <c r="B55" t="s">
        <v>380</v>
      </c>
      <c r="C55" t="s">
        <v>217</v>
      </c>
      <c r="D55" t="s">
        <v>381</v>
      </c>
      <c r="E55" t="s">
        <v>218</v>
      </c>
      <c r="F55" t="n">
        <v>63.4</v>
      </c>
      <c r="G55" t="n">
        <v>119.4</v>
      </c>
      <c r="H55" t="n">
        <v>176.3</v>
      </c>
      <c r="I55" t="n">
        <v>227.8</v>
      </c>
      <c r="J55" t="n">
        <v>262.4</v>
      </c>
      <c r="K55" t="n">
        <v>354.9</v>
      </c>
      <c r="L55" t="n">
        <v>297.4</v>
      </c>
      <c r="M55" t="n">
        <v>235.9</v>
      </c>
      <c r="N55" t="n">
        <v>196.1</v>
      </c>
      <c r="O55" t="n">
        <v>164.8</v>
      </c>
      <c r="P55" t="n">
        <v>135.6</v>
      </c>
      <c r="Q55" t="n">
        <v>124.3</v>
      </c>
      <c r="R55" t="n">
        <v>134.1</v>
      </c>
      <c r="S55" t="n">
        <v>124.6</v>
      </c>
      <c r="T55" t="n">
        <v>122.3</v>
      </c>
      <c r="U55" t="n">
        <v>87.2</v>
      </c>
      <c r="V55" t="n">
        <v>67.6</v>
      </c>
      <c r="W55" t="n">
        <v>52.8</v>
      </c>
      <c r="X55" t="n">
        <v>42.4</v>
      </c>
      <c r="Y55" t="n">
        <v>34.7</v>
      </c>
      <c r="Z55" t="n">
        <v>32.6</v>
      </c>
      <c r="AA55" t="n">
        <v>28.4</v>
      </c>
      <c r="AB55" t="n">
        <v>25.6</v>
      </c>
      <c r="AC55" t="n">
        <v>24.6</v>
      </c>
      <c r="AD55" t="n">
        <v>24.1</v>
      </c>
      <c r="AE55" t="n">
        <v>23.8</v>
      </c>
      <c r="AF55" t="n">
        <v>24.9</v>
      </c>
    </row>
    <row r="56">
      <c r="A56" t="s">
        <v>95</v>
      </c>
      <c r="B56" t="s">
        <v>382</v>
      </c>
      <c r="C56" t="s">
        <v>217</v>
      </c>
      <c r="D56" t="s">
        <v>383</v>
      </c>
      <c r="E56" t="s">
        <v>218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95</v>
      </c>
      <c r="B57" t="s">
        <v>384</v>
      </c>
      <c r="C57" t="s">
        <v>217</v>
      </c>
      <c r="D57" t="s">
        <v>385</v>
      </c>
      <c r="E57" t="s">
        <v>218</v>
      </c>
      <c r="F57" t="n">
        <v>994.6</v>
      </c>
      <c r="G57" t="n">
        <v>1346</v>
      </c>
      <c r="H57" t="n">
        <v>1742.9</v>
      </c>
      <c r="I57" t="n">
        <v>2112.7</v>
      </c>
      <c r="J57" t="n">
        <v>2349.5</v>
      </c>
      <c r="K57" t="n">
        <v>3019.1</v>
      </c>
      <c r="L57" t="n">
        <v>3228.4</v>
      </c>
      <c r="M57" t="n">
        <v>3190.8</v>
      </c>
      <c r="N57" t="n">
        <v>3364.9</v>
      </c>
      <c r="O57" t="n">
        <v>3453.8</v>
      </c>
      <c r="P57" t="n">
        <v>3247.4</v>
      </c>
      <c r="Q57" t="n">
        <v>3798.9</v>
      </c>
      <c r="R57" t="n">
        <v>3949.9</v>
      </c>
      <c r="S57" t="n">
        <v>4352.2</v>
      </c>
      <c r="T57" t="n">
        <v>4661.3</v>
      </c>
      <c r="U57" t="n">
        <v>3794.5</v>
      </c>
      <c r="V57" t="n">
        <v>3109.5</v>
      </c>
      <c r="W57" t="n">
        <v>2465.6</v>
      </c>
      <c r="X57" t="n">
        <v>2043.1</v>
      </c>
      <c r="Y57" t="n">
        <v>1826.7</v>
      </c>
      <c r="Z57" t="n">
        <v>1897.8</v>
      </c>
      <c r="AA57" t="n">
        <v>1859.5</v>
      </c>
      <c r="AB57" t="n">
        <v>1802.7</v>
      </c>
      <c r="AC57" t="n">
        <v>1759.3</v>
      </c>
      <c r="AD57" t="n">
        <v>1723.8</v>
      </c>
      <c r="AE57" t="n">
        <v>1874.3</v>
      </c>
      <c r="AF57" t="n">
        <v>2143.7</v>
      </c>
    </row>
    <row r="58">
      <c r="A58" t="s">
        <v>95</v>
      </c>
      <c r="B58" t="s">
        <v>386</v>
      </c>
      <c r="C58" t="s">
        <v>217</v>
      </c>
      <c r="D58" t="s">
        <v>387</v>
      </c>
      <c r="E58" t="s">
        <v>218</v>
      </c>
      <c r="F58" t="n">
        <v>994.6</v>
      </c>
      <c r="G58" t="n">
        <v>1346</v>
      </c>
      <c r="H58" t="n">
        <v>1742.9</v>
      </c>
      <c r="I58" t="n">
        <v>2112.7</v>
      </c>
      <c r="J58" t="n">
        <v>2349.5</v>
      </c>
      <c r="K58" t="n">
        <v>3019.1</v>
      </c>
      <c r="L58" t="n">
        <v>3228.4</v>
      </c>
      <c r="M58" t="n">
        <v>3190.8</v>
      </c>
      <c r="N58" t="n">
        <v>3364.9</v>
      </c>
      <c r="O58" t="n">
        <v>3453.8</v>
      </c>
      <c r="P58" t="n">
        <v>3247.4</v>
      </c>
      <c r="Q58" t="n">
        <v>3798.9</v>
      </c>
      <c r="R58" t="n">
        <v>3949.9</v>
      </c>
      <c r="S58" t="n">
        <v>4352.2</v>
      </c>
      <c r="T58" t="n">
        <v>4661.3</v>
      </c>
      <c r="U58" t="n">
        <v>3794.5</v>
      </c>
      <c r="V58" t="n">
        <v>3109.5</v>
      </c>
      <c r="W58" t="n">
        <v>2465.6</v>
      </c>
      <c r="X58" t="n">
        <v>2043.1</v>
      </c>
      <c r="Y58" t="n">
        <v>1826.7</v>
      </c>
      <c r="Z58" t="n">
        <v>1897.8</v>
      </c>
      <c r="AA58" t="n">
        <v>1859.5</v>
      </c>
      <c r="AB58" t="n">
        <v>1802.7</v>
      </c>
      <c r="AC58" t="n">
        <v>1759.3</v>
      </c>
      <c r="AD58" t="n">
        <v>1723.8</v>
      </c>
      <c r="AE58" t="n">
        <v>1874.3</v>
      </c>
      <c r="AF58" t="n">
        <v>2143.7</v>
      </c>
    </row>
    <row r="59">
      <c r="A59" t="s">
        <v>95</v>
      </c>
      <c r="B59" t="s">
        <v>388</v>
      </c>
      <c r="C59" t="s">
        <v>217</v>
      </c>
      <c r="D59" t="s">
        <v>389</v>
      </c>
      <c r="E59" t="s">
        <v>218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97</v>
      </c>
      <c r="B2" t="s">
        <v>197</v>
      </c>
      <c r="C2" t="s">
        <v>217</v>
      </c>
      <c r="D2" t="s">
        <v>199</v>
      </c>
      <c r="E2" t="s">
        <v>218</v>
      </c>
      <c r="F2" t="n">
        <v>60.5</v>
      </c>
      <c r="G2" t="n">
        <v>71.8</v>
      </c>
      <c r="H2" t="n">
        <v>87.1</v>
      </c>
      <c r="I2" t="n">
        <v>101.5</v>
      </c>
      <c r="J2" t="n">
        <v>113.7</v>
      </c>
      <c r="K2" t="n">
        <v>140.9</v>
      </c>
      <c r="L2" t="n">
        <v>149.5</v>
      </c>
      <c r="M2" t="n">
        <v>146</v>
      </c>
      <c r="N2" t="n">
        <v>146.9</v>
      </c>
      <c r="O2" t="n">
        <v>138</v>
      </c>
      <c r="P2" t="n">
        <v>184.1</v>
      </c>
      <c r="Q2" t="n">
        <v>203.1</v>
      </c>
      <c r="R2" t="n">
        <v>292.8</v>
      </c>
      <c r="S2" t="n">
        <v>368.9</v>
      </c>
      <c r="T2" t="n">
        <v>450.1</v>
      </c>
      <c r="U2" t="n">
        <v>488.6</v>
      </c>
      <c r="V2" t="n">
        <v>500</v>
      </c>
      <c r="W2" t="n">
        <v>508.4</v>
      </c>
      <c r="X2" t="n">
        <v>528.1</v>
      </c>
      <c r="Y2" t="n">
        <v>553.4</v>
      </c>
      <c r="Z2" t="n">
        <v>599.5</v>
      </c>
      <c r="AA2" t="n">
        <v>612.7</v>
      </c>
      <c r="AB2" t="n">
        <v>626.8</v>
      </c>
      <c r="AC2" t="n">
        <v>652</v>
      </c>
      <c r="AD2" t="n">
        <v>677</v>
      </c>
      <c r="AE2" t="n">
        <v>699.1</v>
      </c>
      <c r="AF2" t="n">
        <v>772.2</v>
      </c>
    </row>
    <row r="3">
      <c r="A3" t="s">
        <v>97</v>
      </c>
      <c r="B3" t="s">
        <v>276</v>
      </c>
      <c r="C3" t="s">
        <v>217</v>
      </c>
      <c r="D3" t="s">
        <v>277</v>
      </c>
      <c r="E3" t="s">
        <v>218</v>
      </c>
      <c r="F3" t="n">
        <v>0.1</v>
      </c>
      <c r="G3" t="n">
        <v>0.2</v>
      </c>
      <c r="H3" t="n">
        <v>0.3</v>
      </c>
      <c r="I3" t="n">
        <v>0.4</v>
      </c>
      <c r="J3" t="n">
        <v>0.5</v>
      </c>
      <c r="K3" t="n">
        <v>0.7</v>
      </c>
      <c r="L3" t="n">
        <v>0.9</v>
      </c>
      <c r="M3" t="n">
        <v>0.9</v>
      </c>
      <c r="N3" t="n">
        <v>1</v>
      </c>
      <c r="O3" t="n">
        <v>1.1</v>
      </c>
      <c r="P3" t="n">
        <v>1.4</v>
      </c>
      <c r="Q3" t="n">
        <v>1.7</v>
      </c>
      <c r="R3" t="n">
        <v>2.2</v>
      </c>
      <c r="S3" t="n">
        <v>3</v>
      </c>
      <c r="T3" t="n">
        <v>3.4</v>
      </c>
      <c r="U3" t="n">
        <v>3.5</v>
      </c>
      <c r="V3" t="n">
        <v>3.3</v>
      </c>
      <c r="W3" t="n">
        <v>3.3</v>
      </c>
      <c r="X3" t="n">
        <v>3</v>
      </c>
      <c r="Y3" t="n">
        <v>3.1</v>
      </c>
      <c r="Z3" t="n">
        <v>2.8</v>
      </c>
      <c r="AA3" t="n">
        <v>2.8</v>
      </c>
      <c r="AB3" t="n">
        <v>2.8</v>
      </c>
      <c r="AC3" t="n">
        <v>3</v>
      </c>
      <c r="AD3" t="n">
        <v>3.5</v>
      </c>
      <c r="AE3" t="n">
        <v>3.5</v>
      </c>
      <c r="AF3" t="n">
        <v>3.7</v>
      </c>
    </row>
    <row r="4">
      <c r="A4" t="s">
        <v>97</v>
      </c>
      <c r="B4" t="s">
        <v>278</v>
      </c>
      <c r="C4" t="s">
        <v>217</v>
      </c>
      <c r="D4" t="s">
        <v>279</v>
      </c>
      <c r="E4" t="s">
        <v>218</v>
      </c>
      <c r="F4" t="n">
        <v>80.4</v>
      </c>
      <c r="G4" t="n">
        <v>92.8</v>
      </c>
      <c r="H4" t="n">
        <v>110</v>
      </c>
      <c r="I4" t="n">
        <v>125.5</v>
      </c>
      <c r="J4" t="n">
        <v>139.2</v>
      </c>
      <c r="K4" t="n">
        <v>170.2</v>
      </c>
      <c r="L4" t="n">
        <v>192.9</v>
      </c>
      <c r="M4" t="n">
        <v>185.9</v>
      </c>
      <c r="N4" t="n">
        <v>184.1</v>
      </c>
      <c r="O4" t="n">
        <v>175.9</v>
      </c>
      <c r="P4" t="n">
        <v>171</v>
      </c>
      <c r="Q4" t="n">
        <v>184.8</v>
      </c>
      <c r="R4" t="n">
        <v>194.8</v>
      </c>
      <c r="S4" t="n">
        <v>213.7</v>
      </c>
      <c r="T4" t="n">
        <v>221.9</v>
      </c>
      <c r="U4" t="n">
        <v>206.3</v>
      </c>
      <c r="V4" t="n">
        <v>191.9</v>
      </c>
      <c r="W4" t="n">
        <v>177.4</v>
      </c>
      <c r="X4" t="n">
        <v>163.9</v>
      </c>
      <c r="Y4" t="n">
        <v>161.5</v>
      </c>
      <c r="Z4" t="n">
        <v>159</v>
      </c>
      <c r="AA4" t="n">
        <v>155</v>
      </c>
      <c r="AB4" t="n">
        <v>152.3</v>
      </c>
      <c r="AC4" t="n">
        <v>156</v>
      </c>
      <c r="AD4" t="n">
        <v>155.8</v>
      </c>
      <c r="AE4" t="n">
        <v>159.1</v>
      </c>
      <c r="AF4" t="n">
        <v>173.3</v>
      </c>
    </row>
    <row r="5">
      <c r="A5" t="s">
        <v>97</v>
      </c>
      <c r="B5" t="s">
        <v>280</v>
      </c>
      <c r="C5" t="s">
        <v>217</v>
      </c>
      <c r="D5" t="s">
        <v>281</v>
      </c>
      <c r="E5" t="s">
        <v>218</v>
      </c>
      <c r="F5" t="n">
        <v>16.3</v>
      </c>
      <c r="G5" t="n">
        <v>17</v>
      </c>
      <c r="H5" t="n">
        <v>18.6</v>
      </c>
      <c r="I5" t="n">
        <v>19.9</v>
      </c>
      <c r="J5" t="n">
        <v>21</v>
      </c>
      <c r="K5" t="n">
        <v>24.2</v>
      </c>
      <c r="L5" t="n">
        <v>28.5</v>
      </c>
      <c r="M5" t="n">
        <v>29.6</v>
      </c>
      <c r="N5" t="n">
        <v>31.5</v>
      </c>
      <c r="O5" t="n">
        <v>30.6</v>
      </c>
      <c r="P5" t="n">
        <v>32.3</v>
      </c>
      <c r="Q5" t="n">
        <v>33.1</v>
      </c>
      <c r="R5" t="n">
        <v>35.7</v>
      </c>
      <c r="S5" t="n">
        <v>44.4</v>
      </c>
      <c r="T5" t="n">
        <v>45.2</v>
      </c>
      <c r="U5" t="n">
        <v>45.4</v>
      </c>
      <c r="V5" t="n">
        <v>43.7</v>
      </c>
      <c r="W5" t="n">
        <v>41.6</v>
      </c>
      <c r="X5" t="n">
        <v>39.7</v>
      </c>
      <c r="Y5" t="n">
        <v>40.4</v>
      </c>
      <c r="Z5" t="n">
        <v>42</v>
      </c>
      <c r="AA5" t="n">
        <v>40.5</v>
      </c>
      <c r="AB5" t="n">
        <v>39.2</v>
      </c>
      <c r="AC5" t="n">
        <v>44.1</v>
      </c>
      <c r="AD5" t="n">
        <v>44.8</v>
      </c>
      <c r="AE5" t="n">
        <v>45.7</v>
      </c>
      <c r="AF5" t="n">
        <v>49.6</v>
      </c>
    </row>
    <row r="6">
      <c r="A6" t="s">
        <v>97</v>
      </c>
      <c r="B6" t="s">
        <v>282</v>
      </c>
      <c r="C6" t="s">
        <v>217</v>
      </c>
      <c r="D6" t="s">
        <v>283</v>
      </c>
      <c r="E6" t="s">
        <v>218</v>
      </c>
      <c r="F6" t="n">
        <v>13.1</v>
      </c>
      <c r="G6" t="n">
        <v>13.4</v>
      </c>
      <c r="H6" t="n">
        <v>14.2</v>
      </c>
      <c r="I6" t="n">
        <v>14.8</v>
      </c>
      <c r="J6" t="n">
        <v>15.4</v>
      </c>
      <c r="K6" t="n">
        <v>17.3</v>
      </c>
      <c r="L6" t="n">
        <v>16.1</v>
      </c>
      <c r="M6" t="n">
        <v>14.4</v>
      </c>
      <c r="N6" t="n">
        <v>13</v>
      </c>
      <c r="O6" t="n">
        <v>11.3</v>
      </c>
      <c r="P6" t="n">
        <v>10.4</v>
      </c>
      <c r="Q6" t="n">
        <v>9.1</v>
      </c>
      <c r="R6" t="n">
        <v>8.6</v>
      </c>
      <c r="S6" t="n">
        <v>8.4</v>
      </c>
      <c r="T6" t="n">
        <v>7.5</v>
      </c>
      <c r="U6" t="n">
        <v>6.2</v>
      </c>
      <c r="V6" t="n">
        <v>5.4</v>
      </c>
      <c r="W6" t="n">
        <v>4.8</v>
      </c>
      <c r="X6" t="n">
        <v>4.3</v>
      </c>
      <c r="Y6" t="n">
        <v>4</v>
      </c>
      <c r="Z6" t="n">
        <v>3.7</v>
      </c>
      <c r="AA6" t="n">
        <v>3.7</v>
      </c>
      <c r="AB6" t="n">
        <v>3.8</v>
      </c>
      <c r="AC6" t="n">
        <v>3.4</v>
      </c>
      <c r="AD6" t="n">
        <v>3</v>
      </c>
      <c r="AE6" t="n">
        <v>2.5</v>
      </c>
      <c r="AF6" t="n">
        <v>2.1</v>
      </c>
    </row>
    <row r="7">
      <c r="A7" t="s">
        <v>97</v>
      </c>
      <c r="B7" t="s">
        <v>284</v>
      </c>
      <c r="C7" t="s">
        <v>217</v>
      </c>
      <c r="D7" t="s">
        <v>285</v>
      </c>
      <c r="E7" t="s">
        <v>218</v>
      </c>
      <c r="F7" t="n">
        <v>4.3</v>
      </c>
      <c r="G7" t="n">
        <v>4.8</v>
      </c>
      <c r="H7" t="n">
        <v>5.5</v>
      </c>
      <c r="I7" t="n">
        <v>6.1</v>
      </c>
      <c r="J7" t="n">
        <v>6.7</v>
      </c>
      <c r="K7" t="n">
        <v>8</v>
      </c>
      <c r="L7" t="n">
        <v>8.8</v>
      </c>
      <c r="M7" t="n">
        <v>9.7</v>
      </c>
      <c r="N7" t="n">
        <v>9.5</v>
      </c>
      <c r="O7" t="n">
        <v>9</v>
      </c>
      <c r="P7" t="n">
        <v>9.2</v>
      </c>
      <c r="Q7" t="n">
        <v>19.9</v>
      </c>
      <c r="R7" t="n">
        <v>26.2</v>
      </c>
      <c r="S7" t="n">
        <v>28.5</v>
      </c>
      <c r="T7" t="n">
        <v>25.6</v>
      </c>
      <c r="U7" t="n">
        <v>23.5</v>
      </c>
      <c r="V7" t="n">
        <v>20.9</v>
      </c>
      <c r="W7" t="n">
        <v>17.5</v>
      </c>
      <c r="X7" t="n">
        <v>16.2</v>
      </c>
      <c r="Y7" t="n">
        <v>17.2</v>
      </c>
      <c r="Z7" t="n">
        <v>17.6</v>
      </c>
      <c r="AA7" t="n">
        <v>19.3</v>
      </c>
      <c r="AB7" t="n">
        <v>21</v>
      </c>
      <c r="AC7" t="n">
        <v>19.1</v>
      </c>
      <c r="AD7" t="n">
        <v>17.2</v>
      </c>
      <c r="AE7" t="n">
        <v>16.6</v>
      </c>
      <c r="AF7" t="n">
        <v>17.1</v>
      </c>
    </row>
    <row r="8">
      <c r="A8" t="s">
        <v>97</v>
      </c>
      <c r="B8" t="s">
        <v>286</v>
      </c>
      <c r="C8" t="s">
        <v>217</v>
      </c>
      <c r="D8" t="s">
        <v>287</v>
      </c>
      <c r="E8" t="s">
        <v>218</v>
      </c>
      <c r="F8" t="n">
        <v>9.1</v>
      </c>
      <c r="G8" t="n">
        <v>15.2</v>
      </c>
      <c r="H8" t="n">
        <v>22.4</v>
      </c>
      <c r="I8" t="n">
        <v>29.4</v>
      </c>
      <c r="J8" t="n">
        <v>35.4</v>
      </c>
      <c r="K8" t="n">
        <v>47.3</v>
      </c>
      <c r="L8" t="n">
        <v>42.3</v>
      </c>
      <c r="M8" t="n">
        <v>36.7</v>
      </c>
      <c r="N8" t="n">
        <v>32.3</v>
      </c>
      <c r="O8" t="n">
        <v>27.1</v>
      </c>
      <c r="P8" t="n">
        <v>23.3</v>
      </c>
      <c r="Q8" t="n">
        <v>20</v>
      </c>
      <c r="R8" t="n">
        <v>17.3</v>
      </c>
      <c r="S8" t="n">
        <v>16.1</v>
      </c>
      <c r="T8" t="n">
        <v>14.2</v>
      </c>
      <c r="U8" t="n">
        <v>12.7</v>
      </c>
      <c r="V8" t="n">
        <v>11.4</v>
      </c>
      <c r="W8" t="n">
        <v>12</v>
      </c>
      <c r="X8" t="n">
        <v>10.6</v>
      </c>
      <c r="Y8" t="n">
        <v>9.4</v>
      </c>
      <c r="Z8" t="n">
        <v>8.4</v>
      </c>
      <c r="AA8" t="n">
        <v>7.4</v>
      </c>
      <c r="AB8" t="n">
        <v>6.5</v>
      </c>
      <c r="AC8" t="n">
        <v>5.8</v>
      </c>
      <c r="AD8" t="n">
        <v>5.3</v>
      </c>
      <c r="AE8" t="n">
        <v>4.9</v>
      </c>
      <c r="AF8" t="n">
        <v>4.8</v>
      </c>
    </row>
    <row r="9">
      <c r="A9" t="s">
        <v>97</v>
      </c>
      <c r="B9" t="s">
        <v>288</v>
      </c>
      <c r="C9" t="s">
        <v>217</v>
      </c>
      <c r="D9" t="s">
        <v>289</v>
      </c>
      <c r="E9" t="s">
        <v>218</v>
      </c>
      <c r="F9" t="n">
        <v>3</v>
      </c>
      <c r="G9" t="n">
        <v>4.2</v>
      </c>
      <c r="H9" t="n">
        <v>5.6</v>
      </c>
      <c r="I9" t="n">
        <v>6.9</v>
      </c>
      <c r="J9" t="n">
        <v>8.1</v>
      </c>
      <c r="K9" t="n">
        <v>10.5</v>
      </c>
      <c r="L9" t="n">
        <v>18</v>
      </c>
      <c r="M9" t="n">
        <v>17.8</v>
      </c>
      <c r="N9" t="n">
        <v>18.2</v>
      </c>
      <c r="O9" t="n">
        <v>19.8</v>
      </c>
      <c r="P9" t="n">
        <v>18.7</v>
      </c>
      <c r="Q9" t="n">
        <v>17.8</v>
      </c>
      <c r="R9" t="n">
        <v>17.5</v>
      </c>
      <c r="S9" t="n">
        <v>18.2</v>
      </c>
      <c r="T9" t="n">
        <v>19.5</v>
      </c>
      <c r="U9" t="n">
        <v>17</v>
      </c>
      <c r="V9" t="n">
        <v>15.7</v>
      </c>
      <c r="W9" t="n">
        <v>14.7</v>
      </c>
      <c r="X9" t="n">
        <v>14</v>
      </c>
      <c r="Y9" t="n">
        <v>13.2</v>
      </c>
      <c r="Z9" t="n">
        <v>11.1</v>
      </c>
      <c r="AA9" t="n">
        <v>10.5</v>
      </c>
      <c r="AB9" t="n">
        <v>10</v>
      </c>
      <c r="AC9" t="n">
        <v>9.9</v>
      </c>
      <c r="AD9" t="n">
        <v>9.9</v>
      </c>
      <c r="AE9" t="n">
        <v>9.7</v>
      </c>
      <c r="AF9" t="n">
        <v>10.3</v>
      </c>
    </row>
    <row r="10">
      <c r="A10" t="s">
        <v>97</v>
      </c>
      <c r="B10" t="s">
        <v>290</v>
      </c>
      <c r="C10" t="s">
        <v>217</v>
      </c>
      <c r="D10" t="s">
        <v>291</v>
      </c>
      <c r="E10" t="s">
        <v>218</v>
      </c>
      <c r="F10" t="n">
        <v>4.1</v>
      </c>
      <c r="G10" t="n">
        <v>5.7</v>
      </c>
      <c r="H10" t="n">
        <v>7.7</v>
      </c>
      <c r="I10" t="n">
        <v>9.5</v>
      </c>
      <c r="J10" t="n">
        <v>11.1</v>
      </c>
      <c r="K10" t="n">
        <v>14.4</v>
      </c>
      <c r="L10" t="n">
        <v>24.7</v>
      </c>
      <c r="M10" t="n">
        <v>24.5</v>
      </c>
      <c r="N10" t="n">
        <v>25</v>
      </c>
      <c r="O10" t="n">
        <v>27.2</v>
      </c>
      <c r="P10" t="n">
        <v>26.6</v>
      </c>
      <c r="Q10" t="n">
        <v>27.8</v>
      </c>
      <c r="R10" t="n">
        <v>29.9</v>
      </c>
      <c r="S10" t="n">
        <v>33.1</v>
      </c>
      <c r="T10" t="n">
        <v>48.3</v>
      </c>
      <c r="U10" t="n">
        <v>39.1</v>
      </c>
      <c r="V10" t="n">
        <v>36.2</v>
      </c>
      <c r="W10" t="n">
        <v>33.2</v>
      </c>
      <c r="X10" t="n">
        <v>33.6</v>
      </c>
      <c r="Y10" t="n">
        <v>32.3</v>
      </c>
      <c r="Z10" t="n">
        <v>30.9</v>
      </c>
      <c r="AA10" t="n">
        <v>30.9</v>
      </c>
      <c r="AB10" t="n">
        <v>31.1</v>
      </c>
      <c r="AC10" t="n">
        <v>34.4</v>
      </c>
      <c r="AD10" t="n">
        <v>37.5</v>
      </c>
      <c r="AE10" t="n">
        <v>39.8</v>
      </c>
      <c r="AF10" t="n">
        <v>45.2</v>
      </c>
    </row>
    <row r="11">
      <c r="A11" t="s">
        <v>97</v>
      </c>
      <c r="B11" t="s">
        <v>292</v>
      </c>
      <c r="C11" t="s">
        <v>217</v>
      </c>
      <c r="D11" t="s">
        <v>293</v>
      </c>
      <c r="E11" t="s">
        <v>218</v>
      </c>
      <c r="F11" t="n">
        <v>1.1</v>
      </c>
      <c r="G11" t="n">
        <v>1.5</v>
      </c>
      <c r="H11" t="n">
        <v>2.1</v>
      </c>
      <c r="I11" t="n">
        <v>2.6</v>
      </c>
      <c r="J11" t="n">
        <v>3</v>
      </c>
      <c r="K11" t="n">
        <v>3.9</v>
      </c>
      <c r="L11" t="n">
        <v>6.7</v>
      </c>
      <c r="M11" t="n">
        <v>6.7</v>
      </c>
      <c r="N11" t="n">
        <v>6.8</v>
      </c>
      <c r="O11" t="n">
        <v>7.4</v>
      </c>
      <c r="P11" t="n">
        <v>7.9</v>
      </c>
      <c r="Q11" t="n">
        <v>10</v>
      </c>
      <c r="R11" t="n">
        <v>12.4</v>
      </c>
      <c r="S11" t="n">
        <v>14.9</v>
      </c>
      <c r="T11" t="n">
        <v>28.8</v>
      </c>
      <c r="U11" t="n">
        <v>22.1</v>
      </c>
      <c r="V11" t="n">
        <v>20.5</v>
      </c>
      <c r="W11" t="n">
        <v>18.5</v>
      </c>
      <c r="X11" t="n">
        <v>19.6</v>
      </c>
      <c r="Y11" t="n">
        <v>19.1</v>
      </c>
      <c r="Z11" t="n">
        <v>19.8</v>
      </c>
      <c r="AA11" t="n">
        <v>20.4</v>
      </c>
      <c r="AB11" t="n">
        <v>21.1</v>
      </c>
      <c r="AC11" t="n">
        <v>24.5</v>
      </c>
      <c r="AD11" t="n">
        <v>27.6</v>
      </c>
      <c r="AE11" t="n">
        <v>30.1</v>
      </c>
      <c r="AF11" t="n">
        <v>34.9</v>
      </c>
    </row>
    <row r="12">
      <c r="A12" t="s">
        <v>97</v>
      </c>
      <c r="B12" t="s">
        <v>294</v>
      </c>
      <c r="C12" t="s">
        <v>217</v>
      </c>
      <c r="D12" t="s">
        <v>295</v>
      </c>
      <c r="E12" t="s">
        <v>218</v>
      </c>
      <c r="F12" t="n">
        <v>9.1</v>
      </c>
      <c r="G12" t="n">
        <v>9</v>
      </c>
      <c r="H12" t="n">
        <v>9.4</v>
      </c>
      <c r="I12" t="n">
        <v>9.5</v>
      </c>
      <c r="J12" t="n">
        <v>9.7</v>
      </c>
      <c r="K12" t="n">
        <v>10.7</v>
      </c>
      <c r="L12" t="n">
        <v>13.5</v>
      </c>
      <c r="M12" t="n">
        <v>14</v>
      </c>
      <c r="N12" t="n">
        <v>15.5</v>
      </c>
      <c r="O12" t="n">
        <v>15.6</v>
      </c>
      <c r="P12" t="n">
        <v>16</v>
      </c>
      <c r="Q12" t="n">
        <v>17.1</v>
      </c>
      <c r="R12" t="n">
        <v>18.7</v>
      </c>
      <c r="S12" t="n">
        <v>20.2</v>
      </c>
      <c r="T12" t="n">
        <v>20</v>
      </c>
      <c r="U12" t="n">
        <v>19.4</v>
      </c>
      <c r="V12" t="n">
        <v>19.3</v>
      </c>
      <c r="W12" t="n">
        <v>17.5</v>
      </c>
      <c r="X12" t="n">
        <v>16.1</v>
      </c>
      <c r="Y12" t="n">
        <v>15.6</v>
      </c>
      <c r="Z12" t="n">
        <v>15.2</v>
      </c>
      <c r="AA12" t="n">
        <v>14.5</v>
      </c>
      <c r="AB12" t="n">
        <v>14</v>
      </c>
      <c r="AC12" t="n">
        <v>13.4</v>
      </c>
      <c r="AD12" t="n">
        <v>13</v>
      </c>
      <c r="AE12" t="n">
        <v>12.5</v>
      </c>
      <c r="AF12" t="n">
        <v>12.7</v>
      </c>
    </row>
    <row r="13">
      <c r="A13" t="s">
        <v>97</v>
      </c>
      <c r="B13" t="s">
        <v>296</v>
      </c>
      <c r="C13" t="s">
        <v>217</v>
      </c>
      <c r="D13" t="s">
        <v>297</v>
      </c>
      <c r="E13" t="s">
        <v>218</v>
      </c>
      <c r="F13" t="n">
        <v>13.7</v>
      </c>
      <c r="G13" t="n">
        <v>15.5</v>
      </c>
      <c r="H13" t="n">
        <v>18.1</v>
      </c>
      <c r="I13" t="n">
        <v>20.4</v>
      </c>
      <c r="J13" t="n">
        <v>22.4</v>
      </c>
      <c r="K13" t="n">
        <v>27.2</v>
      </c>
      <c r="L13" t="n">
        <v>28.2</v>
      </c>
      <c r="M13" t="n">
        <v>27.1</v>
      </c>
      <c r="N13" t="n">
        <v>26.5</v>
      </c>
      <c r="O13" t="n">
        <v>25.7</v>
      </c>
      <c r="P13" t="n">
        <v>25.4</v>
      </c>
      <c r="Q13" t="n">
        <v>30</v>
      </c>
      <c r="R13" t="n">
        <v>31.5</v>
      </c>
      <c r="S13" t="n">
        <v>34.2</v>
      </c>
      <c r="T13" t="n">
        <v>33.5</v>
      </c>
      <c r="U13" t="n">
        <v>34.6</v>
      </c>
      <c r="V13" t="n">
        <v>31.7</v>
      </c>
      <c r="W13" t="n">
        <v>30</v>
      </c>
      <c r="X13" t="n">
        <v>24.6</v>
      </c>
      <c r="Y13" t="n">
        <v>23.4</v>
      </c>
      <c r="Z13" t="n">
        <v>22.8</v>
      </c>
      <c r="AA13" t="n">
        <v>21</v>
      </c>
      <c r="AB13" t="n">
        <v>19.4</v>
      </c>
      <c r="AC13" t="n">
        <v>19.8</v>
      </c>
      <c r="AD13" t="n">
        <v>19.9</v>
      </c>
      <c r="AE13" t="n">
        <v>22.3</v>
      </c>
      <c r="AF13" t="n">
        <v>26.4</v>
      </c>
    </row>
    <row r="14">
      <c r="A14" t="s">
        <v>97</v>
      </c>
      <c r="B14" t="s">
        <v>298</v>
      </c>
      <c r="C14" t="s">
        <v>217</v>
      </c>
      <c r="D14" t="s">
        <v>299</v>
      </c>
      <c r="E14" t="s">
        <v>218</v>
      </c>
      <c r="F14" t="n">
        <v>1.1</v>
      </c>
      <c r="G14" t="n">
        <v>2.2</v>
      </c>
      <c r="H14" t="n">
        <v>3.5</v>
      </c>
      <c r="I14" t="n">
        <v>4.7</v>
      </c>
      <c r="J14" t="n">
        <v>5.8</v>
      </c>
      <c r="K14" t="n">
        <v>7.9</v>
      </c>
      <c r="L14" t="n">
        <v>16.4</v>
      </c>
      <c r="M14" t="n">
        <v>15</v>
      </c>
      <c r="N14" t="n">
        <v>15.4</v>
      </c>
      <c r="O14" t="n">
        <v>13.9</v>
      </c>
      <c r="P14" t="n">
        <v>11.9</v>
      </c>
      <c r="Q14" t="n">
        <v>10.6</v>
      </c>
      <c r="R14" t="n">
        <v>9.3</v>
      </c>
      <c r="S14" t="n">
        <v>8.3</v>
      </c>
      <c r="T14" t="n">
        <v>7.3</v>
      </c>
      <c r="U14" t="n">
        <v>6.5</v>
      </c>
      <c r="V14" t="n">
        <v>5.8</v>
      </c>
      <c r="W14" t="n">
        <v>4.6</v>
      </c>
      <c r="X14" t="n">
        <v>4.2</v>
      </c>
      <c r="Y14" t="n">
        <v>4.5</v>
      </c>
      <c r="Z14" t="n">
        <v>4.4</v>
      </c>
      <c r="AA14" t="n">
        <v>4.5</v>
      </c>
      <c r="AB14" t="n">
        <v>4.7</v>
      </c>
      <c r="AC14" t="n">
        <v>4.2</v>
      </c>
      <c r="AD14" t="n">
        <v>3.7</v>
      </c>
      <c r="AE14" t="n">
        <v>3.3</v>
      </c>
      <c r="AF14" t="n">
        <v>3</v>
      </c>
    </row>
    <row r="15">
      <c r="A15" t="s">
        <v>97</v>
      </c>
      <c r="B15" t="s">
        <v>300</v>
      </c>
      <c r="C15" t="s">
        <v>217</v>
      </c>
      <c r="D15" t="s">
        <v>301</v>
      </c>
      <c r="E15" t="s">
        <v>218</v>
      </c>
      <c r="F15" t="n">
        <v>3.7</v>
      </c>
      <c r="G15" t="n">
        <v>4.8</v>
      </c>
      <c r="H15" t="n">
        <v>6.1</v>
      </c>
      <c r="I15" t="n">
        <v>7.3</v>
      </c>
      <c r="J15" t="n">
        <v>8.4</v>
      </c>
      <c r="K15" t="n">
        <v>10.7</v>
      </c>
      <c r="L15" t="n">
        <v>19.1</v>
      </c>
      <c r="M15" t="n">
        <v>17.6</v>
      </c>
      <c r="N15" t="n">
        <v>17.9</v>
      </c>
      <c r="O15" t="n">
        <v>16.3</v>
      </c>
      <c r="P15" t="n">
        <v>14.5</v>
      </c>
      <c r="Q15" t="n">
        <v>13.8</v>
      </c>
      <c r="R15" t="n">
        <v>12.6</v>
      </c>
      <c r="S15" t="n">
        <v>12.4</v>
      </c>
      <c r="T15" t="n">
        <v>11.3</v>
      </c>
      <c r="U15" t="n">
        <v>10.2</v>
      </c>
      <c r="V15" t="n">
        <v>9.4</v>
      </c>
      <c r="W15" t="n">
        <v>7.7</v>
      </c>
      <c r="X15" t="n">
        <v>7</v>
      </c>
      <c r="Y15" t="n">
        <v>8</v>
      </c>
      <c r="Z15" t="n">
        <v>7.8</v>
      </c>
      <c r="AA15" t="n">
        <v>7.8</v>
      </c>
      <c r="AB15" t="n">
        <v>8</v>
      </c>
      <c r="AC15" t="n">
        <v>7.6</v>
      </c>
      <c r="AD15" t="n">
        <v>7.5</v>
      </c>
      <c r="AE15" t="n">
        <v>7.4</v>
      </c>
      <c r="AF15" t="n">
        <v>7.8</v>
      </c>
    </row>
    <row r="16">
      <c r="A16" t="s">
        <v>97</v>
      </c>
      <c r="B16" t="s">
        <v>302</v>
      </c>
      <c r="C16" t="s">
        <v>217</v>
      </c>
      <c r="D16" t="s">
        <v>303</v>
      </c>
      <c r="E16" t="s">
        <v>218</v>
      </c>
      <c r="F16" t="n">
        <v>2.6</v>
      </c>
      <c r="G16" t="n">
        <v>2.6</v>
      </c>
      <c r="H16" t="n">
        <v>2.6</v>
      </c>
      <c r="I16" t="n">
        <v>2.6</v>
      </c>
      <c r="J16" t="n">
        <v>2.6</v>
      </c>
      <c r="K16" t="n">
        <v>2.8</v>
      </c>
      <c r="L16" t="n">
        <v>2.7</v>
      </c>
      <c r="M16" t="n">
        <v>2.6</v>
      </c>
      <c r="N16" t="n">
        <v>2.5</v>
      </c>
      <c r="O16" t="n">
        <v>2.4</v>
      </c>
      <c r="P16" t="n">
        <v>2.6</v>
      </c>
      <c r="Q16" t="n">
        <v>3.2</v>
      </c>
      <c r="R16" t="n">
        <v>3.3</v>
      </c>
      <c r="S16" t="n">
        <v>4.1</v>
      </c>
      <c r="T16" t="n">
        <v>4</v>
      </c>
      <c r="U16" t="n">
        <v>3.7</v>
      </c>
      <c r="V16" t="n">
        <v>3.6</v>
      </c>
      <c r="W16" t="n">
        <v>3.1</v>
      </c>
      <c r="X16" t="n">
        <v>2.8</v>
      </c>
      <c r="Y16" t="n">
        <v>3.5</v>
      </c>
      <c r="Z16" t="n">
        <v>3.4</v>
      </c>
      <c r="AA16" t="n">
        <v>3.3</v>
      </c>
      <c r="AB16" t="n">
        <v>3.3</v>
      </c>
      <c r="AC16" t="n">
        <v>3.4</v>
      </c>
      <c r="AD16" t="n">
        <v>3.8</v>
      </c>
      <c r="AE16" t="n">
        <v>4.1</v>
      </c>
      <c r="AF16" t="n">
        <v>4.8</v>
      </c>
    </row>
    <row r="17">
      <c r="A17" t="s">
        <v>97</v>
      </c>
      <c r="B17" t="s">
        <v>304</v>
      </c>
      <c r="C17" t="s">
        <v>217</v>
      </c>
      <c r="D17" t="s">
        <v>305</v>
      </c>
      <c r="E17" t="s">
        <v>218</v>
      </c>
      <c r="F17" t="n">
        <v>1.4</v>
      </c>
      <c r="G17" t="n">
        <v>1.6</v>
      </c>
      <c r="H17" t="n">
        <v>1.7</v>
      </c>
      <c r="I17" t="n">
        <v>1.9</v>
      </c>
      <c r="J17" t="n">
        <v>2.1</v>
      </c>
      <c r="K17" t="n">
        <v>2.4</v>
      </c>
      <c r="L17" t="n">
        <v>2.6</v>
      </c>
      <c r="M17" t="n">
        <v>2.7</v>
      </c>
      <c r="N17" t="n">
        <v>2.7</v>
      </c>
      <c r="O17" t="n">
        <v>2.8</v>
      </c>
      <c r="P17" t="n">
        <v>2.6</v>
      </c>
      <c r="Q17" t="n">
        <v>2.6</v>
      </c>
      <c r="R17" t="n">
        <v>2.7</v>
      </c>
      <c r="S17" t="n">
        <v>2.9</v>
      </c>
      <c r="T17" t="n">
        <v>3</v>
      </c>
      <c r="U17" t="n">
        <v>2.8</v>
      </c>
      <c r="V17" t="n">
        <v>2.6</v>
      </c>
      <c r="W17" t="n">
        <v>2.4</v>
      </c>
      <c r="X17" t="n">
        <v>2.2</v>
      </c>
      <c r="Y17" t="n">
        <v>2</v>
      </c>
      <c r="Z17" t="n">
        <v>1.9</v>
      </c>
      <c r="AA17" t="n">
        <v>1.7</v>
      </c>
      <c r="AB17" t="n">
        <v>1.6</v>
      </c>
      <c r="AC17" t="n">
        <v>1.5</v>
      </c>
      <c r="AD17" t="n">
        <v>1.3</v>
      </c>
      <c r="AE17" t="n">
        <v>1.3</v>
      </c>
      <c r="AF17" t="n">
        <v>1.3</v>
      </c>
    </row>
    <row r="18">
      <c r="A18" t="s">
        <v>97</v>
      </c>
      <c r="B18" t="s">
        <v>306</v>
      </c>
      <c r="C18" t="s">
        <v>217</v>
      </c>
      <c r="D18" t="s">
        <v>307</v>
      </c>
      <c r="E18" t="s">
        <v>218</v>
      </c>
      <c r="F18" t="n">
        <v>2.2</v>
      </c>
      <c r="G18" t="n">
        <v>2.4</v>
      </c>
      <c r="H18" t="n">
        <v>2.7</v>
      </c>
      <c r="I18" t="n">
        <v>3</v>
      </c>
      <c r="J18" t="n">
        <v>3.2</v>
      </c>
      <c r="K18" t="n">
        <v>3.8</v>
      </c>
      <c r="L18" t="n">
        <v>4.2</v>
      </c>
      <c r="M18" t="n">
        <v>4.3</v>
      </c>
      <c r="N18" t="n">
        <v>4.3</v>
      </c>
      <c r="O18" t="n">
        <v>4</v>
      </c>
      <c r="P18" t="n">
        <v>4</v>
      </c>
      <c r="Q18" t="n">
        <v>3.9</v>
      </c>
      <c r="R18" t="n">
        <v>3.9</v>
      </c>
      <c r="S18" t="n">
        <v>4.3</v>
      </c>
      <c r="T18" t="n">
        <v>4.5</v>
      </c>
      <c r="U18" t="n">
        <v>4.5</v>
      </c>
      <c r="V18" t="n">
        <v>4.1</v>
      </c>
      <c r="W18" t="n">
        <v>4.3</v>
      </c>
      <c r="X18" t="n">
        <v>3.8</v>
      </c>
      <c r="Y18" t="n">
        <v>3.3</v>
      </c>
      <c r="Z18" t="n">
        <v>2.9</v>
      </c>
      <c r="AA18" t="n">
        <v>2.6</v>
      </c>
      <c r="AB18" t="n">
        <v>2.3</v>
      </c>
      <c r="AC18" t="n">
        <v>2</v>
      </c>
      <c r="AD18" t="n">
        <v>1.7</v>
      </c>
      <c r="AE18" t="n">
        <v>1.5</v>
      </c>
      <c r="AF18" t="n">
        <v>1.4</v>
      </c>
    </row>
    <row r="19">
      <c r="A19" t="s">
        <v>97</v>
      </c>
      <c r="B19" t="s">
        <v>308</v>
      </c>
      <c r="C19" t="s">
        <v>217</v>
      </c>
      <c r="D19" t="s">
        <v>309</v>
      </c>
      <c r="E19" t="s">
        <v>218</v>
      </c>
      <c r="F19" t="n">
        <v>3.4</v>
      </c>
      <c r="G19" t="n">
        <v>3.4</v>
      </c>
      <c r="H19" t="n">
        <v>3.6</v>
      </c>
      <c r="I19" t="n">
        <v>3.7</v>
      </c>
      <c r="J19" t="n">
        <v>3.8</v>
      </c>
      <c r="K19" t="n">
        <v>4.2</v>
      </c>
      <c r="L19" t="n">
        <v>4.9</v>
      </c>
      <c r="M19" t="n">
        <v>5.3</v>
      </c>
      <c r="N19" t="n">
        <v>5.9</v>
      </c>
      <c r="O19" t="n">
        <v>6.3</v>
      </c>
      <c r="P19" t="n">
        <v>6.7</v>
      </c>
      <c r="Q19" t="n">
        <v>7.5</v>
      </c>
      <c r="R19" t="n">
        <v>7.7</v>
      </c>
      <c r="S19" t="n">
        <v>9.2</v>
      </c>
      <c r="T19" t="n">
        <v>8.8</v>
      </c>
      <c r="U19" t="n">
        <v>7.9</v>
      </c>
      <c r="V19" t="n">
        <v>7.2</v>
      </c>
      <c r="W19" t="n">
        <v>6.4</v>
      </c>
      <c r="X19" t="n">
        <v>5.8</v>
      </c>
      <c r="Y19" t="n">
        <v>5.9</v>
      </c>
      <c r="Z19" t="n">
        <v>5.8</v>
      </c>
      <c r="AA19" t="n">
        <v>5.6</v>
      </c>
      <c r="AB19" t="n">
        <v>5.4</v>
      </c>
      <c r="AC19" t="n">
        <v>4.9</v>
      </c>
      <c r="AD19" t="n">
        <v>4.6</v>
      </c>
      <c r="AE19" t="n">
        <v>4.6</v>
      </c>
      <c r="AF19" t="n">
        <v>4.9</v>
      </c>
    </row>
    <row r="20">
      <c r="A20" t="s">
        <v>97</v>
      </c>
      <c r="B20" t="s">
        <v>310</v>
      </c>
      <c r="C20" t="s">
        <v>217</v>
      </c>
      <c r="D20" t="s">
        <v>311</v>
      </c>
      <c r="E20" t="s">
        <v>218</v>
      </c>
      <c r="F20" t="n">
        <v>9.5</v>
      </c>
      <c r="G20" t="n">
        <v>9.1</v>
      </c>
      <c r="H20" t="n">
        <v>9.1</v>
      </c>
      <c r="I20" t="n">
        <v>8.9</v>
      </c>
      <c r="J20" t="n">
        <v>8.7</v>
      </c>
      <c r="K20" t="n">
        <v>9.1</v>
      </c>
      <c r="L20" t="n">
        <v>9.6</v>
      </c>
      <c r="M20" t="n">
        <v>15.3</v>
      </c>
      <c r="N20" t="n">
        <v>14.8</v>
      </c>
      <c r="O20" t="n">
        <v>13.1</v>
      </c>
      <c r="P20" t="n">
        <v>11.6</v>
      </c>
      <c r="Q20" t="n">
        <v>12</v>
      </c>
      <c r="R20" t="n">
        <v>10.7</v>
      </c>
      <c r="S20" t="n">
        <v>10.1</v>
      </c>
      <c r="T20" t="n">
        <v>9.6</v>
      </c>
      <c r="U20" t="n">
        <v>8.5</v>
      </c>
      <c r="V20" t="n">
        <v>8.4</v>
      </c>
      <c r="W20" t="n">
        <v>7.8</v>
      </c>
      <c r="X20" t="n">
        <v>6.9</v>
      </c>
      <c r="Y20" t="n">
        <v>6.6</v>
      </c>
      <c r="Z20" t="n">
        <v>12.2</v>
      </c>
      <c r="AA20" t="n">
        <v>11.5</v>
      </c>
      <c r="AB20" t="n">
        <v>10.9</v>
      </c>
      <c r="AC20" t="n">
        <v>16.1</v>
      </c>
      <c r="AD20" t="n">
        <v>21.4</v>
      </c>
      <c r="AE20" t="n">
        <v>35</v>
      </c>
      <c r="AF20" t="n">
        <v>51.7</v>
      </c>
    </row>
    <row r="21">
      <c r="A21" t="s">
        <v>97</v>
      </c>
      <c r="B21" t="s">
        <v>312</v>
      </c>
      <c r="C21" t="s">
        <v>217</v>
      </c>
      <c r="D21" t="s">
        <v>313</v>
      </c>
      <c r="E21" t="s">
        <v>218</v>
      </c>
      <c r="F21" t="n">
        <v>9.6</v>
      </c>
      <c r="G21" t="n">
        <v>9.2</v>
      </c>
      <c r="H21" t="n">
        <v>9.3</v>
      </c>
      <c r="I21" t="n">
        <v>9.2</v>
      </c>
      <c r="J21" t="n">
        <v>9.1</v>
      </c>
      <c r="K21" t="n">
        <v>9.7</v>
      </c>
      <c r="L21" t="n">
        <v>10.6</v>
      </c>
      <c r="M21" t="n">
        <v>16.4</v>
      </c>
      <c r="N21" t="n">
        <v>15.8</v>
      </c>
      <c r="O21" t="n">
        <v>14.1</v>
      </c>
      <c r="P21" t="n">
        <v>13.4</v>
      </c>
      <c r="Q21" t="n">
        <v>13.7</v>
      </c>
      <c r="R21" t="n">
        <v>12.3</v>
      </c>
      <c r="S21" t="n">
        <v>11.5</v>
      </c>
      <c r="T21" t="n">
        <v>11</v>
      </c>
      <c r="U21" t="n">
        <v>17.7</v>
      </c>
      <c r="V21" t="n">
        <v>16.8</v>
      </c>
      <c r="W21" t="n">
        <v>15.5</v>
      </c>
      <c r="X21" t="n">
        <v>13.9</v>
      </c>
      <c r="Y21" t="n">
        <v>13.8</v>
      </c>
      <c r="Z21" t="n">
        <v>20.5</v>
      </c>
      <c r="AA21" t="n">
        <v>20.3</v>
      </c>
      <c r="AB21" t="n">
        <v>20.6</v>
      </c>
      <c r="AC21" t="n">
        <v>27.3</v>
      </c>
      <c r="AD21" t="n">
        <v>34.3</v>
      </c>
      <c r="AE21" t="n">
        <v>49.1</v>
      </c>
      <c r="AF21" t="n">
        <v>68.1</v>
      </c>
    </row>
    <row r="22">
      <c r="A22" t="s">
        <v>97</v>
      </c>
      <c r="B22" t="s">
        <v>314</v>
      </c>
      <c r="C22" t="s">
        <v>217</v>
      </c>
      <c r="D22" t="s">
        <v>315</v>
      </c>
      <c r="E22" t="s">
        <v>218</v>
      </c>
      <c r="F22" t="n">
        <v>0.1</v>
      </c>
      <c r="G22" t="n">
        <v>0.1</v>
      </c>
      <c r="H22" t="n">
        <v>0.2</v>
      </c>
      <c r="I22" t="n">
        <v>0.3</v>
      </c>
      <c r="J22" t="n">
        <v>0.4</v>
      </c>
      <c r="K22" t="n">
        <v>0.6</v>
      </c>
      <c r="L22" t="n">
        <v>1</v>
      </c>
      <c r="M22" t="n">
        <v>1.1</v>
      </c>
      <c r="N22" t="n">
        <v>1</v>
      </c>
      <c r="O22" t="n">
        <v>1</v>
      </c>
      <c r="P22" t="n">
        <v>1.8</v>
      </c>
      <c r="Q22" t="n">
        <v>1.7</v>
      </c>
      <c r="R22" t="n">
        <v>1.6</v>
      </c>
      <c r="S22" t="n">
        <v>1.4</v>
      </c>
      <c r="T22" t="n">
        <v>1.4</v>
      </c>
      <c r="U22" t="n">
        <v>9.2</v>
      </c>
      <c r="V22" t="n">
        <v>8.4</v>
      </c>
      <c r="W22" t="n">
        <v>7.7</v>
      </c>
      <c r="X22" t="n">
        <v>7</v>
      </c>
      <c r="Y22" t="n">
        <v>7.2</v>
      </c>
      <c r="Z22" t="n">
        <v>8.3</v>
      </c>
      <c r="AA22" t="n">
        <v>8.8</v>
      </c>
      <c r="AB22" t="n">
        <v>9.7</v>
      </c>
      <c r="AC22" t="n">
        <v>11.2</v>
      </c>
      <c r="AD22" t="n">
        <v>12.9</v>
      </c>
      <c r="AE22" t="n">
        <v>14.1</v>
      </c>
      <c r="AF22" t="n">
        <v>16.4</v>
      </c>
    </row>
    <row r="23">
      <c r="A23" t="s">
        <v>97</v>
      </c>
      <c r="B23" t="s">
        <v>316</v>
      </c>
      <c r="C23" t="s">
        <v>217</v>
      </c>
      <c r="D23" t="s">
        <v>317</v>
      </c>
      <c r="E23" t="s">
        <v>218</v>
      </c>
      <c r="F23" t="n">
        <v>21.6</v>
      </c>
      <c r="G23" t="n">
        <v>21.5</v>
      </c>
      <c r="H23" t="n">
        <v>22.4</v>
      </c>
      <c r="I23" t="n">
        <v>22.9</v>
      </c>
      <c r="J23" t="n">
        <v>23.3</v>
      </c>
      <c r="K23" t="n">
        <v>25.8</v>
      </c>
      <c r="L23" t="n">
        <v>42.6</v>
      </c>
      <c r="M23" t="n">
        <v>74.2</v>
      </c>
      <c r="N23" t="n">
        <v>76.9</v>
      </c>
      <c r="O23" t="n">
        <v>77.5</v>
      </c>
      <c r="P23" t="n">
        <v>76.3</v>
      </c>
      <c r="Q23" t="n">
        <v>83</v>
      </c>
      <c r="R23" t="n">
        <v>93.1</v>
      </c>
      <c r="S23" t="n">
        <v>120.6</v>
      </c>
      <c r="T23" t="n">
        <v>116.3</v>
      </c>
      <c r="U23" t="n">
        <v>101.8</v>
      </c>
      <c r="V23" t="n">
        <v>88.9</v>
      </c>
      <c r="W23" t="n">
        <v>79.3</v>
      </c>
      <c r="X23" t="n">
        <v>72</v>
      </c>
      <c r="Y23" t="n">
        <v>64.9</v>
      </c>
      <c r="Z23" t="n">
        <v>57.1</v>
      </c>
      <c r="AA23" t="n">
        <v>51</v>
      </c>
      <c r="AB23" t="n">
        <v>45.7</v>
      </c>
      <c r="AC23" t="n">
        <v>39.7</v>
      </c>
      <c r="AD23" t="n">
        <v>34.2</v>
      </c>
      <c r="AE23" t="n">
        <v>29.4</v>
      </c>
      <c r="AF23" t="n">
        <v>26</v>
      </c>
    </row>
    <row r="24">
      <c r="A24" t="s">
        <v>97</v>
      </c>
      <c r="B24" t="s">
        <v>318</v>
      </c>
      <c r="C24" t="s">
        <v>217</v>
      </c>
      <c r="D24" t="s">
        <v>319</v>
      </c>
      <c r="E24" t="s">
        <v>218</v>
      </c>
      <c r="F24" t="n">
        <v>271.2</v>
      </c>
      <c r="G24" t="n">
        <v>273.7</v>
      </c>
      <c r="H24" t="n">
        <v>289.3</v>
      </c>
      <c r="I24" t="n">
        <v>299.4</v>
      </c>
      <c r="J24" t="n">
        <v>308.1</v>
      </c>
      <c r="K24" t="n">
        <v>344.8</v>
      </c>
      <c r="L24" t="n">
        <v>363.3</v>
      </c>
      <c r="M24" t="n">
        <v>387.4</v>
      </c>
      <c r="N24" t="n">
        <v>436.4</v>
      </c>
      <c r="O24" t="n">
        <v>453.9</v>
      </c>
      <c r="P24" t="n">
        <v>529.6</v>
      </c>
      <c r="Q24" t="n">
        <v>616.2</v>
      </c>
      <c r="R24" t="n">
        <v>698.4</v>
      </c>
      <c r="S24" t="n">
        <v>751.5</v>
      </c>
      <c r="T24" t="n">
        <v>771.2</v>
      </c>
      <c r="U24" t="n">
        <v>720.8</v>
      </c>
      <c r="V24" t="n">
        <v>691.3</v>
      </c>
      <c r="W24" t="n">
        <v>637.1</v>
      </c>
      <c r="X24" t="n">
        <v>586.7</v>
      </c>
      <c r="Y24" t="n">
        <v>582.3</v>
      </c>
      <c r="Z24" t="n">
        <v>559.3</v>
      </c>
      <c r="AA24" t="n">
        <v>542.1</v>
      </c>
      <c r="AB24" t="n">
        <v>528.7</v>
      </c>
      <c r="AC24" t="n">
        <v>493.4</v>
      </c>
      <c r="AD24" t="n">
        <v>465</v>
      </c>
      <c r="AE24" t="n">
        <v>438.7</v>
      </c>
      <c r="AF24" t="n">
        <v>438.2</v>
      </c>
    </row>
    <row r="25">
      <c r="A25" t="s">
        <v>97</v>
      </c>
      <c r="B25" t="s">
        <v>320</v>
      </c>
      <c r="C25" t="s">
        <v>217</v>
      </c>
      <c r="D25" t="s">
        <v>321</v>
      </c>
      <c r="E25" t="s">
        <v>218</v>
      </c>
      <c r="F25" t="n">
        <v>10.9</v>
      </c>
      <c r="G25" t="n">
        <v>11.8</v>
      </c>
      <c r="H25" t="n">
        <v>13.3</v>
      </c>
      <c r="I25" t="n">
        <v>14.6</v>
      </c>
      <c r="J25" t="n">
        <v>15.7</v>
      </c>
      <c r="K25" t="n">
        <v>18.6</v>
      </c>
      <c r="L25" t="n">
        <v>29.3</v>
      </c>
      <c r="M25" t="n">
        <v>36.2</v>
      </c>
      <c r="N25" t="n">
        <v>38.6</v>
      </c>
      <c r="O25" t="n">
        <v>39.7</v>
      </c>
      <c r="P25" t="n">
        <v>44.3</v>
      </c>
      <c r="Q25" t="n">
        <v>51.7</v>
      </c>
      <c r="R25" t="n">
        <v>61</v>
      </c>
      <c r="S25" t="n">
        <v>68.5</v>
      </c>
      <c r="T25" t="n">
        <v>70.5</v>
      </c>
      <c r="U25" t="n">
        <v>66.3</v>
      </c>
      <c r="V25" t="n">
        <v>60.1</v>
      </c>
      <c r="W25" t="n">
        <v>52.9</v>
      </c>
      <c r="X25" t="n">
        <v>48</v>
      </c>
      <c r="Y25" t="n">
        <v>45.4</v>
      </c>
      <c r="Z25" t="n">
        <v>42.1</v>
      </c>
      <c r="AA25" t="n">
        <v>44.4</v>
      </c>
      <c r="AB25" t="n">
        <v>46.7</v>
      </c>
      <c r="AC25" t="n">
        <v>43.5</v>
      </c>
      <c r="AD25" t="n">
        <v>39.2</v>
      </c>
      <c r="AE25" t="n">
        <v>34.9</v>
      </c>
      <c r="AF25" t="n">
        <v>32.6</v>
      </c>
    </row>
    <row r="26">
      <c r="A26" t="s">
        <v>97</v>
      </c>
      <c r="B26" t="s">
        <v>322</v>
      </c>
      <c r="C26" t="s">
        <v>217</v>
      </c>
      <c r="D26" t="s">
        <v>323</v>
      </c>
      <c r="E26" t="s">
        <v>218</v>
      </c>
      <c r="F26" t="n">
        <v>91.4</v>
      </c>
      <c r="G26" t="n">
        <v>93.1</v>
      </c>
      <c r="H26" t="n">
        <v>99.3</v>
      </c>
      <c r="I26" t="n">
        <v>103.7</v>
      </c>
      <c r="J26" t="n">
        <v>107.5</v>
      </c>
      <c r="K26" t="n">
        <v>121.4</v>
      </c>
      <c r="L26" t="n">
        <v>139</v>
      </c>
      <c r="M26" t="n">
        <v>155.2</v>
      </c>
      <c r="N26" t="n">
        <v>188.9</v>
      </c>
      <c r="O26" t="n">
        <v>220.1</v>
      </c>
      <c r="P26" t="n">
        <v>272.2</v>
      </c>
      <c r="Q26" t="n">
        <v>342</v>
      </c>
      <c r="R26" t="n">
        <v>403.7</v>
      </c>
      <c r="S26" t="n">
        <v>448.4</v>
      </c>
      <c r="T26" t="n">
        <v>470.6</v>
      </c>
      <c r="U26" t="n">
        <v>447.2</v>
      </c>
      <c r="V26" t="n">
        <v>421.5</v>
      </c>
      <c r="W26" t="n">
        <v>387.2</v>
      </c>
      <c r="X26" t="n">
        <v>352.1</v>
      </c>
      <c r="Y26" t="n">
        <v>350.7</v>
      </c>
      <c r="Z26" t="n">
        <v>339.8</v>
      </c>
      <c r="AA26" t="n">
        <v>320.7</v>
      </c>
      <c r="AB26" t="n">
        <v>304.7</v>
      </c>
      <c r="AC26" t="n">
        <v>284</v>
      </c>
      <c r="AD26" t="n">
        <v>265</v>
      </c>
      <c r="AE26" t="n">
        <v>254.2</v>
      </c>
      <c r="AF26" t="n">
        <v>258.7</v>
      </c>
    </row>
    <row r="27">
      <c r="A27" t="s">
        <v>97</v>
      </c>
      <c r="B27" t="s">
        <v>324</v>
      </c>
      <c r="C27" t="s">
        <v>217</v>
      </c>
      <c r="D27" t="s">
        <v>325</v>
      </c>
      <c r="E27" t="s">
        <v>218</v>
      </c>
      <c r="F27" t="n">
        <v>168.9</v>
      </c>
      <c r="G27" t="n">
        <v>168.8</v>
      </c>
      <c r="H27" t="n">
        <v>176.7</v>
      </c>
      <c r="I27" t="n">
        <v>181.1</v>
      </c>
      <c r="J27" t="n">
        <v>184.9</v>
      </c>
      <c r="K27" t="n">
        <v>204.8</v>
      </c>
      <c r="L27" t="n">
        <v>195</v>
      </c>
      <c r="M27" t="n">
        <v>196</v>
      </c>
      <c r="N27" t="n">
        <v>208.9</v>
      </c>
      <c r="O27" t="n">
        <v>194.1</v>
      </c>
      <c r="P27" t="n">
        <v>213.1</v>
      </c>
      <c r="Q27" t="n">
        <v>222.5</v>
      </c>
      <c r="R27" t="n">
        <v>233.7</v>
      </c>
      <c r="S27" t="n">
        <v>234.6</v>
      </c>
      <c r="T27" t="n">
        <v>230.1</v>
      </c>
      <c r="U27" t="n">
        <v>207.3</v>
      </c>
      <c r="V27" t="n">
        <v>209.7</v>
      </c>
      <c r="W27" t="n">
        <v>197</v>
      </c>
      <c r="X27" t="n">
        <v>186.6</v>
      </c>
      <c r="Y27" t="n">
        <v>186.2</v>
      </c>
      <c r="Z27" t="n">
        <v>177.4</v>
      </c>
      <c r="AA27" t="n">
        <v>177</v>
      </c>
      <c r="AB27" t="n">
        <v>177.3</v>
      </c>
      <c r="AC27" t="n">
        <v>165.9</v>
      </c>
      <c r="AD27" t="n">
        <v>160.8</v>
      </c>
      <c r="AE27" t="n">
        <v>149.6</v>
      </c>
      <c r="AF27" t="n">
        <v>146.9</v>
      </c>
    </row>
    <row r="28">
      <c r="A28" t="s">
        <v>97</v>
      </c>
      <c r="B28" t="s">
        <v>326</v>
      </c>
      <c r="C28" t="s">
        <v>217</v>
      </c>
      <c r="D28" t="s">
        <v>327</v>
      </c>
      <c r="E28" t="s">
        <v>218</v>
      </c>
      <c r="F28" t="n">
        <v>82.5</v>
      </c>
      <c r="G28" t="n">
        <v>76.4</v>
      </c>
      <c r="H28" t="n">
        <v>73.9</v>
      </c>
      <c r="I28" t="n">
        <v>69.4</v>
      </c>
      <c r="J28" t="n">
        <v>65.6</v>
      </c>
      <c r="K28" t="n">
        <v>64.9</v>
      </c>
      <c r="L28" t="n">
        <v>81.6</v>
      </c>
      <c r="M28" t="n">
        <v>78.4</v>
      </c>
      <c r="N28" t="n">
        <v>74.4</v>
      </c>
      <c r="O28" t="n">
        <v>73.3</v>
      </c>
      <c r="P28" t="n">
        <v>69.6</v>
      </c>
      <c r="Q28" t="n">
        <v>67.6</v>
      </c>
      <c r="R28" t="n">
        <v>62.6</v>
      </c>
      <c r="S28" t="n">
        <v>59.1</v>
      </c>
      <c r="T28" t="n">
        <v>57.1</v>
      </c>
      <c r="U28" t="n">
        <v>52.3</v>
      </c>
      <c r="V28" t="n">
        <v>46.9</v>
      </c>
      <c r="W28" t="n">
        <v>41.4</v>
      </c>
      <c r="X28" t="n">
        <v>38.1</v>
      </c>
      <c r="Y28" t="n">
        <v>36.2</v>
      </c>
      <c r="Z28" t="n">
        <v>34</v>
      </c>
      <c r="AA28" t="n">
        <v>34.9</v>
      </c>
      <c r="AB28" t="n">
        <v>38.2</v>
      </c>
      <c r="AC28" t="n">
        <v>40.2</v>
      </c>
      <c r="AD28" t="n">
        <v>37.4</v>
      </c>
      <c r="AE28" t="n">
        <v>34.3</v>
      </c>
      <c r="AF28" t="n">
        <v>32.7</v>
      </c>
    </row>
    <row r="29">
      <c r="A29" t="s">
        <v>97</v>
      </c>
      <c r="B29" t="s">
        <v>328</v>
      </c>
      <c r="C29" t="s">
        <v>217</v>
      </c>
      <c r="D29" t="s">
        <v>329</v>
      </c>
      <c r="E29" t="s">
        <v>218</v>
      </c>
      <c r="F29" t="n">
        <v>38.8</v>
      </c>
      <c r="G29" t="n">
        <v>36.1</v>
      </c>
      <c r="H29" t="n">
        <v>35.1</v>
      </c>
      <c r="I29" t="n">
        <v>33.2</v>
      </c>
      <c r="J29" t="n">
        <v>31.6</v>
      </c>
      <c r="K29" t="n">
        <v>31.6</v>
      </c>
      <c r="L29" t="n">
        <v>37.9</v>
      </c>
      <c r="M29" t="n">
        <v>34.5</v>
      </c>
      <c r="N29" t="n">
        <v>32.6</v>
      </c>
      <c r="O29" t="n">
        <v>32.3</v>
      </c>
      <c r="P29" t="n">
        <v>32.5</v>
      </c>
      <c r="Q29" t="n">
        <v>34.2</v>
      </c>
      <c r="R29" t="n">
        <v>32.3</v>
      </c>
      <c r="S29" t="n">
        <v>31.2</v>
      </c>
      <c r="T29" t="n">
        <v>29.6</v>
      </c>
      <c r="U29" t="n">
        <v>27.3</v>
      </c>
      <c r="V29" t="n">
        <v>24.2</v>
      </c>
      <c r="W29" t="n">
        <v>21.3</v>
      </c>
      <c r="X29" t="n">
        <v>19.3</v>
      </c>
      <c r="Y29" t="n">
        <v>18.3</v>
      </c>
      <c r="Z29" t="n">
        <v>16.1</v>
      </c>
      <c r="AA29" t="n">
        <v>14.1</v>
      </c>
      <c r="AB29" t="n">
        <v>14.7</v>
      </c>
      <c r="AC29" t="n">
        <v>14.8</v>
      </c>
      <c r="AD29" t="n">
        <v>14.6</v>
      </c>
      <c r="AE29" t="n">
        <v>14.2</v>
      </c>
      <c r="AF29" t="n">
        <v>14.1</v>
      </c>
    </row>
    <row r="30">
      <c r="A30" t="s">
        <v>97</v>
      </c>
      <c r="B30" t="s">
        <v>330</v>
      </c>
      <c r="C30" t="s">
        <v>217</v>
      </c>
      <c r="D30" t="s">
        <v>331</v>
      </c>
      <c r="E30" t="s">
        <v>218</v>
      </c>
      <c r="F30" t="n">
        <v>36.2</v>
      </c>
      <c r="G30" t="n">
        <v>32.7</v>
      </c>
      <c r="H30" t="n">
        <v>30.5</v>
      </c>
      <c r="I30" t="n">
        <v>27.5</v>
      </c>
      <c r="J30" t="n">
        <v>25</v>
      </c>
      <c r="K30" t="n">
        <v>23.1</v>
      </c>
      <c r="L30" t="n">
        <v>30.3</v>
      </c>
      <c r="M30" t="n">
        <v>29.3</v>
      </c>
      <c r="N30" t="n">
        <v>26.5</v>
      </c>
      <c r="O30" t="n">
        <v>24.4</v>
      </c>
      <c r="P30" t="n">
        <v>21.9</v>
      </c>
      <c r="Q30" t="n">
        <v>19.7</v>
      </c>
      <c r="R30" t="n">
        <v>16.9</v>
      </c>
      <c r="S30" t="n">
        <v>15</v>
      </c>
      <c r="T30" t="n">
        <v>13.1</v>
      </c>
      <c r="U30" t="n">
        <v>11.4</v>
      </c>
      <c r="V30" t="n">
        <v>9.9</v>
      </c>
      <c r="W30" t="n">
        <v>8.4</v>
      </c>
      <c r="X30" t="n">
        <v>7.5</v>
      </c>
      <c r="Y30" t="n">
        <v>6.6</v>
      </c>
      <c r="Z30" t="n">
        <v>5.8</v>
      </c>
      <c r="AA30" t="n">
        <v>5</v>
      </c>
      <c r="AB30" t="n">
        <v>4.4</v>
      </c>
      <c r="AC30" t="n">
        <v>3.8</v>
      </c>
      <c r="AD30" t="n">
        <v>3.3</v>
      </c>
      <c r="AE30" t="n">
        <v>2.8</v>
      </c>
      <c r="AF30" t="n">
        <v>2.5</v>
      </c>
    </row>
    <row r="31">
      <c r="A31" t="s">
        <v>97</v>
      </c>
      <c r="B31" t="s">
        <v>332</v>
      </c>
      <c r="C31" t="s">
        <v>217</v>
      </c>
      <c r="D31" t="s">
        <v>333</v>
      </c>
      <c r="E31" t="s">
        <v>218</v>
      </c>
      <c r="F31" t="n">
        <v>3</v>
      </c>
      <c r="G31" t="n">
        <v>2.7</v>
      </c>
      <c r="H31" t="n">
        <v>2.6</v>
      </c>
      <c r="I31" t="n">
        <v>2.4</v>
      </c>
      <c r="J31" t="n">
        <v>2.2</v>
      </c>
      <c r="K31" t="n">
        <v>2.1</v>
      </c>
      <c r="L31" t="n">
        <v>4.3</v>
      </c>
      <c r="M31" t="n">
        <v>5</v>
      </c>
      <c r="N31" t="n">
        <v>4.5</v>
      </c>
      <c r="O31" t="n">
        <v>3.8</v>
      </c>
      <c r="P31" t="n">
        <v>3.2</v>
      </c>
      <c r="Q31" t="n">
        <v>2.8</v>
      </c>
      <c r="R31" t="n">
        <v>2.6</v>
      </c>
      <c r="S31" t="n">
        <v>2.4</v>
      </c>
      <c r="T31" t="n">
        <v>2.3</v>
      </c>
      <c r="U31" t="n">
        <v>1.8</v>
      </c>
      <c r="V31" t="n">
        <v>1.5</v>
      </c>
      <c r="W31" t="n">
        <v>1.4</v>
      </c>
      <c r="X31" t="n">
        <v>1.2</v>
      </c>
      <c r="Y31" t="n">
        <v>1.1</v>
      </c>
      <c r="Z31" t="n">
        <v>1</v>
      </c>
      <c r="AA31" t="n">
        <v>1.1</v>
      </c>
      <c r="AB31" t="n">
        <v>1.1</v>
      </c>
      <c r="AC31" t="n">
        <v>1.3</v>
      </c>
      <c r="AD31" t="n">
        <v>1.1</v>
      </c>
      <c r="AE31" t="n">
        <v>1</v>
      </c>
      <c r="AF31" t="n">
        <v>0.9</v>
      </c>
    </row>
    <row r="32">
      <c r="A32" t="s">
        <v>97</v>
      </c>
      <c r="B32" t="s">
        <v>334</v>
      </c>
      <c r="C32" t="s">
        <v>217</v>
      </c>
      <c r="D32" t="s">
        <v>335</v>
      </c>
      <c r="E32" t="s">
        <v>218</v>
      </c>
      <c r="F32" t="n">
        <v>2.9</v>
      </c>
      <c r="G32" t="n">
        <v>2.8</v>
      </c>
      <c r="H32" t="n">
        <v>2.9</v>
      </c>
      <c r="I32" t="n">
        <v>2.9</v>
      </c>
      <c r="J32" t="n">
        <v>2.9</v>
      </c>
      <c r="K32" t="n">
        <v>3.1</v>
      </c>
      <c r="L32" t="n">
        <v>4.1</v>
      </c>
      <c r="M32" t="n">
        <v>3.7</v>
      </c>
      <c r="N32" t="n">
        <v>4.1</v>
      </c>
      <c r="O32" t="n">
        <v>5.6</v>
      </c>
      <c r="P32" t="n">
        <v>5.3</v>
      </c>
      <c r="Q32" t="n">
        <v>5.1</v>
      </c>
      <c r="R32" t="n">
        <v>5.2</v>
      </c>
      <c r="S32" t="n">
        <v>5.4</v>
      </c>
      <c r="T32" t="n">
        <v>7.3</v>
      </c>
      <c r="U32" t="n">
        <v>7.6</v>
      </c>
      <c r="V32" t="n">
        <v>7.6</v>
      </c>
      <c r="W32" t="n">
        <v>7</v>
      </c>
      <c r="X32" t="n">
        <v>7.2</v>
      </c>
      <c r="Y32" t="n">
        <v>7.7</v>
      </c>
      <c r="Z32" t="n">
        <v>8.8</v>
      </c>
      <c r="AA32" t="n">
        <v>12.6</v>
      </c>
      <c r="AB32" t="n">
        <v>16.1</v>
      </c>
      <c r="AC32" t="n">
        <v>18.6</v>
      </c>
      <c r="AD32" t="n">
        <v>16.9</v>
      </c>
      <c r="AE32" t="n">
        <v>15</v>
      </c>
      <c r="AF32" t="n">
        <v>14</v>
      </c>
    </row>
    <row r="33">
      <c r="A33" t="s">
        <v>97</v>
      </c>
      <c r="B33" t="s">
        <v>336</v>
      </c>
      <c r="C33" t="s">
        <v>217</v>
      </c>
      <c r="D33" t="s">
        <v>337</v>
      </c>
      <c r="E33" t="s">
        <v>218</v>
      </c>
      <c r="F33" t="n">
        <v>1.6</v>
      </c>
      <c r="G33" t="n">
        <v>2.1</v>
      </c>
      <c r="H33" t="n">
        <v>2.8</v>
      </c>
      <c r="I33" t="n">
        <v>3.4</v>
      </c>
      <c r="J33" t="n">
        <v>3.9</v>
      </c>
      <c r="K33" t="n">
        <v>5</v>
      </c>
      <c r="L33" t="n">
        <v>5</v>
      </c>
      <c r="M33" t="n">
        <v>5.9</v>
      </c>
      <c r="N33" t="n">
        <v>6.7</v>
      </c>
      <c r="O33" t="n">
        <v>7.2</v>
      </c>
      <c r="P33" t="n">
        <v>6.7</v>
      </c>
      <c r="Q33" t="n">
        <v>5.8</v>
      </c>
      <c r="R33" t="n">
        <v>5.6</v>
      </c>
      <c r="S33" t="n">
        <v>5.1</v>
      </c>
      <c r="T33" t="n">
        <v>4.8</v>
      </c>
      <c r="U33" t="n">
        <v>4.2</v>
      </c>
      <c r="V33" t="n">
        <v>3.7</v>
      </c>
      <c r="W33" t="n">
        <v>3.3</v>
      </c>
      <c r="X33" t="n">
        <v>2.9</v>
      </c>
      <c r="Y33" t="n">
        <v>2.5</v>
      </c>
      <c r="Z33" t="n">
        <v>2.3</v>
      </c>
      <c r="AA33" t="n">
        <v>2.1</v>
      </c>
      <c r="AB33" t="n">
        <v>1.9</v>
      </c>
      <c r="AC33" t="n">
        <v>1.7</v>
      </c>
      <c r="AD33" t="n">
        <v>1.5</v>
      </c>
      <c r="AE33" t="n">
        <v>1.3</v>
      </c>
      <c r="AF33" t="n">
        <v>1.2</v>
      </c>
    </row>
    <row r="34">
      <c r="A34" t="s">
        <v>97</v>
      </c>
      <c r="B34" t="s">
        <v>338</v>
      </c>
      <c r="C34" t="s">
        <v>217</v>
      </c>
      <c r="D34" t="s">
        <v>339</v>
      </c>
      <c r="E34" t="s">
        <v>218</v>
      </c>
      <c r="F34" t="n">
        <v>535.9</v>
      </c>
      <c r="G34" t="n">
        <v>501.4</v>
      </c>
      <c r="H34" t="n">
        <v>488.6</v>
      </c>
      <c r="I34" t="n">
        <v>464.2</v>
      </c>
      <c r="J34" t="n">
        <v>443.6</v>
      </c>
      <c r="K34" t="n">
        <v>446.4</v>
      </c>
      <c r="L34" t="n">
        <v>439.2</v>
      </c>
      <c r="M34" t="n">
        <v>411.6</v>
      </c>
      <c r="N34" t="n">
        <v>398.9</v>
      </c>
      <c r="O34" t="n">
        <v>389.2</v>
      </c>
      <c r="P34" t="n">
        <v>346.3</v>
      </c>
      <c r="Q34" t="n">
        <v>370.9</v>
      </c>
      <c r="R34" t="n">
        <v>458.1</v>
      </c>
      <c r="S34" t="n">
        <v>601.3</v>
      </c>
      <c r="T34" t="n">
        <v>610</v>
      </c>
      <c r="U34" t="n">
        <v>528.6</v>
      </c>
      <c r="V34" t="n">
        <v>460.4</v>
      </c>
      <c r="W34" t="n">
        <v>399.6</v>
      </c>
      <c r="X34" t="n">
        <v>347.4</v>
      </c>
      <c r="Y34" t="n">
        <v>303.9</v>
      </c>
      <c r="Z34" t="n">
        <v>344.8</v>
      </c>
      <c r="AA34" t="n">
        <v>366.1</v>
      </c>
      <c r="AB34" t="n">
        <v>386.7</v>
      </c>
      <c r="AC34" t="n">
        <v>361.9</v>
      </c>
      <c r="AD34" t="n">
        <v>348.7</v>
      </c>
      <c r="AE34" t="n">
        <v>330.8</v>
      </c>
      <c r="AF34" t="n">
        <v>335.1</v>
      </c>
    </row>
    <row r="35">
      <c r="A35" t="s">
        <v>97</v>
      </c>
      <c r="B35" t="s">
        <v>340</v>
      </c>
      <c r="C35" t="s">
        <v>217</v>
      </c>
      <c r="D35" t="s">
        <v>341</v>
      </c>
      <c r="E35" t="s">
        <v>218</v>
      </c>
      <c r="F35" t="n">
        <v>205.2</v>
      </c>
      <c r="G35" t="n">
        <v>345.7</v>
      </c>
      <c r="H35" t="n">
        <v>509.1</v>
      </c>
      <c r="I35" t="n">
        <v>671.7</v>
      </c>
      <c r="J35" t="n">
        <v>809.7</v>
      </c>
      <c r="K35" t="n">
        <v>1081.5</v>
      </c>
      <c r="L35" t="n">
        <v>1127.4</v>
      </c>
      <c r="M35" t="n">
        <v>1337</v>
      </c>
      <c r="N35" t="n">
        <v>1580.8</v>
      </c>
      <c r="O35" t="n">
        <v>1724.9</v>
      </c>
      <c r="P35" t="n">
        <v>1958.1</v>
      </c>
      <c r="Q35" t="n">
        <v>2305.4</v>
      </c>
      <c r="R35" t="n">
        <v>2584.3</v>
      </c>
      <c r="S35" t="n">
        <v>2856.1</v>
      </c>
      <c r="T35" t="n">
        <v>3035.3</v>
      </c>
      <c r="U35" t="n">
        <v>3293.3</v>
      </c>
      <c r="V35" t="n">
        <v>3228.6</v>
      </c>
      <c r="W35" t="n">
        <v>3078.3</v>
      </c>
      <c r="X35" t="n">
        <v>2879.9</v>
      </c>
      <c r="Y35" t="n">
        <v>2792.9</v>
      </c>
      <c r="Z35" t="n">
        <v>2696.8</v>
      </c>
      <c r="AA35" t="n">
        <v>2658.4</v>
      </c>
      <c r="AB35" t="n">
        <v>2636.6</v>
      </c>
      <c r="AC35" t="n">
        <v>2542.3</v>
      </c>
      <c r="AD35" t="n">
        <v>2386.3</v>
      </c>
      <c r="AE35" t="n">
        <v>2273.3</v>
      </c>
      <c r="AF35" t="n">
        <v>2294.2</v>
      </c>
    </row>
    <row r="36">
      <c r="A36" t="s">
        <v>97</v>
      </c>
      <c r="B36" t="s">
        <v>342</v>
      </c>
      <c r="C36" t="s">
        <v>217</v>
      </c>
      <c r="D36" t="s">
        <v>343</v>
      </c>
      <c r="E36" t="s">
        <v>218</v>
      </c>
      <c r="F36" t="n">
        <v>88.1</v>
      </c>
      <c r="G36" t="n">
        <v>90.8</v>
      </c>
      <c r="H36" t="n">
        <v>97.5</v>
      </c>
      <c r="I36" t="n">
        <v>102.6</v>
      </c>
      <c r="J36" t="n">
        <v>106.9</v>
      </c>
      <c r="K36" t="n">
        <v>121.8</v>
      </c>
      <c r="L36" t="n">
        <v>129.4</v>
      </c>
      <c r="M36" t="n">
        <v>138.9</v>
      </c>
      <c r="N36" t="n">
        <v>174.1</v>
      </c>
      <c r="O36" t="n">
        <v>189.5</v>
      </c>
      <c r="P36" t="n">
        <v>200.4</v>
      </c>
      <c r="Q36" t="n">
        <v>246.3</v>
      </c>
      <c r="R36" t="n">
        <v>287.8</v>
      </c>
      <c r="S36" t="n">
        <v>308.2</v>
      </c>
      <c r="T36" t="n">
        <v>326.5</v>
      </c>
      <c r="U36" t="n">
        <v>309.3</v>
      </c>
      <c r="V36" t="n">
        <v>300.3</v>
      </c>
      <c r="W36" t="n">
        <v>274.7</v>
      </c>
      <c r="X36" t="n">
        <v>255.7</v>
      </c>
      <c r="Y36" t="n">
        <v>234.3</v>
      </c>
      <c r="Z36" t="n">
        <v>210.7</v>
      </c>
      <c r="AA36" t="n">
        <v>192.9</v>
      </c>
      <c r="AB36" t="n">
        <v>180.3</v>
      </c>
      <c r="AC36" t="n">
        <v>174.9</v>
      </c>
      <c r="AD36" t="n">
        <v>172.2</v>
      </c>
      <c r="AE36" t="n">
        <v>179.3</v>
      </c>
      <c r="AF36" t="n">
        <v>201.2</v>
      </c>
    </row>
    <row r="37">
      <c r="A37" t="s">
        <v>97</v>
      </c>
      <c r="B37" t="s">
        <v>344</v>
      </c>
      <c r="C37" t="s">
        <v>217</v>
      </c>
      <c r="D37" t="s">
        <v>345</v>
      </c>
      <c r="E37" t="s">
        <v>218</v>
      </c>
      <c r="F37" t="n">
        <v>109.1</v>
      </c>
      <c r="G37" t="n">
        <v>244.6</v>
      </c>
      <c r="H37" t="n">
        <v>398.5</v>
      </c>
      <c r="I37" t="n">
        <v>553.2</v>
      </c>
      <c r="J37" t="n">
        <v>684.6</v>
      </c>
      <c r="K37" t="n">
        <v>936.6</v>
      </c>
      <c r="L37" t="n">
        <v>971.1</v>
      </c>
      <c r="M37" t="n">
        <v>1166.8</v>
      </c>
      <c r="N37" t="n">
        <v>1371.4</v>
      </c>
      <c r="O37" t="n">
        <v>1496.6</v>
      </c>
      <c r="P37" t="n">
        <v>1720.6</v>
      </c>
      <c r="Q37" t="n">
        <v>2023.5</v>
      </c>
      <c r="R37" t="n">
        <v>2260.9</v>
      </c>
      <c r="S37" t="n">
        <v>2513.8</v>
      </c>
      <c r="T37" t="n">
        <v>2673</v>
      </c>
      <c r="U37" t="n">
        <v>2945.8</v>
      </c>
      <c r="V37" t="n">
        <v>2890.6</v>
      </c>
      <c r="W37" t="n">
        <v>2768.4</v>
      </c>
      <c r="X37" t="n">
        <v>2592.3</v>
      </c>
      <c r="Y37" t="n">
        <v>2525.3</v>
      </c>
      <c r="Z37" t="n">
        <v>2452.9</v>
      </c>
      <c r="AA37" t="n">
        <v>2428.2</v>
      </c>
      <c r="AB37" t="n">
        <v>2415.2</v>
      </c>
      <c r="AC37" t="n">
        <v>2331.2</v>
      </c>
      <c r="AD37" t="n">
        <v>2182.4</v>
      </c>
      <c r="AE37" t="n">
        <v>2065.4</v>
      </c>
      <c r="AF37" t="n">
        <v>2066</v>
      </c>
    </row>
    <row r="38">
      <c r="A38" t="s">
        <v>97</v>
      </c>
      <c r="B38" t="s">
        <v>346</v>
      </c>
      <c r="C38" t="s">
        <v>217</v>
      </c>
      <c r="D38" t="s">
        <v>347</v>
      </c>
      <c r="E38" t="s">
        <v>218</v>
      </c>
      <c r="F38" t="n">
        <v>8</v>
      </c>
      <c r="G38" t="n">
        <v>10.3</v>
      </c>
      <c r="H38" t="n">
        <v>13.1</v>
      </c>
      <c r="I38" t="n">
        <v>15.9</v>
      </c>
      <c r="J38" t="n">
        <v>18.2</v>
      </c>
      <c r="K38" t="n">
        <v>23.1</v>
      </c>
      <c r="L38" t="n">
        <v>26.9</v>
      </c>
      <c r="M38" t="n">
        <v>31.3</v>
      </c>
      <c r="N38" t="n">
        <v>35.3</v>
      </c>
      <c r="O38" t="n">
        <v>38.8</v>
      </c>
      <c r="P38" t="n">
        <v>37.1</v>
      </c>
      <c r="Q38" t="n">
        <v>35.6</v>
      </c>
      <c r="R38" t="n">
        <v>35.6</v>
      </c>
      <c r="S38" t="n">
        <v>34.1</v>
      </c>
      <c r="T38" t="n">
        <v>35.8</v>
      </c>
      <c r="U38" t="n">
        <v>38.2</v>
      </c>
      <c r="V38" t="n">
        <v>37.7</v>
      </c>
      <c r="W38" t="n">
        <v>35.2</v>
      </c>
      <c r="X38" t="n">
        <v>31.9</v>
      </c>
      <c r="Y38" t="n">
        <v>33.3</v>
      </c>
      <c r="Z38" t="n">
        <v>33.2</v>
      </c>
      <c r="AA38" t="n">
        <v>37.3</v>
      </c>
      <c r="AB38" t="n">
        <v>41.1</v>
      </c>
      <c r="AC38" t="n">
        <v>36.2</v>
      </c>
      <c r="AD38" t="n">
        <v>31.7</v>
      </c>
      <c r="AE38" t="n">
        <v>28.6</v>
      </c>
      <c r="AF38" t="n">
        <v>27</v>
      </c>
    </row>
    <row r="39">
      <c r="A39" t="s">
        <v>97</v>
      </c>
      <c r="B39" t="s">
        <v>348</v>
      </c>
      <c r="C39" t="s">
        <v>217</v>
      </c>
      <c r="D39" t="s">
        <v>349</v>
      </c>
      <c r="E39" t="s">
        <v>218</v>
      </c>
      <c r="F39" t="n">
        <v>116.1</v>
      </c>
      <c r="G39" t="n">
        <v>173.6</v>
      </c>
      <c r="H39" t="n">
        <v>242.2</v>
      </c>
      <c r="I39" t="n">
        <v>309.7</v>
      </c>
      <c r="J39" t="n">
        <v>367.1</v>
      </c>
      <c r="K39" t="n">
        <v>482.3</v>
      </c>
      <c r="L39" t="n">
        <v>526.1</v>
      </c>
      <c r="M39" t="n">
        <v>498.7</v>
      </c>
      <c r="N39" t="n">
        <v>472.1</v>
      </c>
      <c r="O39" t="n">
        <v>434.7</v>
      </c>
      <c r="P39" t="n">
        <v>394.6</v>
      </c>
      <c r="Q39" t="n">
        <v>414.7</v>
      </c>
      <c r="R39" t="n">
        <v>437.4</v>
      </c>
      <c r="S39" t="n">
        <v>470.6</v>
      </c>
      <c r="T39" t="n">
        <v>471.1</v>
      </c>
      <c r="U39" t="n">
        <v>480.1</v>
      </c>
      <c r="V39" t="n">
        <v>488.2</v>
      </c>
      <c r="W39" t="n">
        <v>493.1</v>
      </c>
      <c r="X39" t="n">
        <v>489.1</v>
      </c>
      <c r="Y39" t="n">
        <v>492.2</v>
      </c>
      <c r="Z39" t="n">
        <v>464.9</v>
      </c>
      <c r="AA39" t="n">
        <v>420.6</v>
      </c>
      <c r="AB39" t="n">
        <v>382.2</v>
      </c>
      <c r="AC39" t="n">
        <v>346.3</v>
      </c>
      <c r="AD39" t="n">
        <v>317.5</v>
      </c>
      <c r="AE39" t="n">
        <v>342.2</v>
      </c>
      <c r="AF39" t="n">
        <v>389.3</v>
      </c>
    </row>
    <row r="40">
      <c r="A40" t="s">
        <v>97</v>
      </c>
      <c r="B40" t="s">
        <v>350</v>
      </c>
      <c r="C40" t="s">
        <v>217</v>
      </c>
      <c r="D40" t="s">
        <v>351</v>
      </c>
      <c r="E40" t="s">
        <v>218</v>
      </c>
      <c r="F40" t="n">
        <v>7.4</v>
      </c>
      <c r="G40" t="n">
        <v>9.4</v>
      </c>
      <c r="H40" t="n">
        <v>12</v>
      </c>
      <c r="I40" t="n">
        <v>14.5</v>
      </c>
      <c r="J40" t="n">
        <v>16.6</v>
      </c>
      <c r="K40" t="n">
        <v>21.1</v>
      </c>
      <c r="L40" t="n">
        <v>119.3</v>
      </c>
      <c r="M40" t="n">
        <v>232.6</v>
      </c>
      <c r="N40" t="n">
        <v>260</v>
      </c>
      <c r="O40" t="n">
        <v>270.1</v>
      </c>
      <c r="P40" t="n">
        <v>227.8</v>
      </c>
      <c r="Q40" t="n">
        <v>195.9</v>
      </c>
      <c r="R40" t="n">
        <v>173.8</v>
      </c>
      <c r="S40" t="n">
        <v>156.1</v>
      </c>
      <c r="T40" t="n">
        <v>157.1</v>
      </c>
      <c r="U40" t="n">
        <v>152.8</v>
      </c>
      <c r="V40" t="n">
        <v>206.3</v>
      </c>
      <c r="W40" t="n">
        <v>199.7</v>
      </c>
      <c r="X40" t="n">
        <v>187.8</v>
      </c>
      <c r="Y40" t="n">
        <v>168.3</v>
      </c>
      <c r="Z40" t="n">
        <v>147.2</v>
      </c>
      <c r="AA40" t="n">
        <v>128.7</v>
      </c>
      <c r="AB40" t="n">
        <v>112.4</v>
      </c>
      <c r="AC40" t="n">
        <v>171</v>
      </c>
      <c r="AD40" t="n">
        <v>242.9</v>
      </c>
      <c r="AE40" t="n">
        <v>424.5</v>
      </c>
      <c r="AF40" t="n">
        <v>642.9</v>
      </c>
    </row>
    <row r="41">
      <c r="A41" t="s">
        <v>97</v>
      </c>
      <c r="B41" t="s">
        <v>352</v>
      </c>
      <c r="C41" t="s">
        <v>217</v>
      </c>
      <c r="D41" t="s">
        <v>353</v>
      </c>
      <c r="E41" t="s">
        <v>218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97</v>
      </c>
      <c r="B42" t="s">
        <v>354</v>
      </c>
      <c r="C42" t="s">
        <v>217</v>
      </c>
      <c r="D42" t="s">
        <v>355</v>
      </c>
      <c r="E42" t="s">
        <v>218</v>
      </c>
      <c r="F42" t="n">
        <v>194.4</v>
      </c>
      <c r="G42" t="n">
        <v>229</v>
      </c>
      <c r="H42" t="n">
        <v>277</v>
      </c>
      <c r="I42" t="n">
        <v>321.9</v>
      </c>
      <c r="J42" t="n">
        <v>360.3</v>
      </c>
      <c r="K42" t="n">
        <v>445.1</v>
      </c>
      <c r="L42" t="n">
        <v>492</v>
      </c>
      <c r="M42" t="n">
        <v>499.7</v>
      </c>
      <c r="N42" t="n">
        <v>568.1</v>
      </c>
      <c r="O42" t="n">
        <v>600.5</v>
      </c>
      <c r="P42" t="n">
        <v>606.2</v>
      </c>
      <c r="Q42" t="n">
        <v>603.3</v>
      </c>
      <c r="R42" t="n">
        <v>637.4</v>
      </c>
      <c r="S42" t="n">
        <v>596.1</v>
      </c>
      <c r="T42" t="n">
        <v>605.4</v>
      </c>
      <c r="U42" t="n">
        <v>569.8</v>
      </c>
      <c r="V42" t="n">
        <v>539.9</v>
      </c>
      <c r="W42" t="n">
        <v>507.1</v>
      </c>
      <c r="X42" t="n">
        <v>460.4</v>
      </c>
      <c r="Y42" t="n">
        <v>435.5</v>
      </c>
      <c r="Z42" t="n">
        <v>395.8</v>
      </c>
      <c r="AA42" t="n">
        <v>359.3</v>
      </c>
      <c r="AB42" t="n">
        <v>327.5</v>
      </c>
      <c r="AC42" t="n">
        <v>293</v>
      </c>
      <c r="AD42" t="n">
        <v>241.9</v>
      </c>
      <c r="AE42" t="n">
        <v>225.5</v>
      </c>
      <c r="AF42" t="n">
        <v>222.4</v>
      </c>
    </row>
    <row r="43">
      <c r="A43" t="s">
        <v>97</v>
      </c>
      <c r="B43" t="s">
        <v>356</v>
      </c>
      <c r="C43" t="s">
        <v>217</v>
      </c>
      <c r="D43" t="s">
        <v>357</v>
      </c>
      <c r="E43" t="s">
        <v>218</v>
      </c>
      <c r="F43" t="n">
        <v>263.6</v>
      </c>
      <c r="G43" t="n">
        <v>309.2</v>
      </c>
      <c r="H43" t="n">
        <v>372.4</v>
      </c>
      <c r="I43" t="n">
        <v>431.4</v>
      </c>
      <c r="J43" t="n">
        <v>481.7</v>
      </c>
      <c r="K43" t="n">
        <v>594</v>
      </c>
      <c r="L43" t="n">
        <v>662.3</v>
      </c>
      <c r="M43" t="n">
        <v>668.7</v>
      </c>
      <c r="N43" t="n">
        <v>773.3</v>
      </c>
      <c r="O43" t="n">
        <v>857.3</v>
      </c>
      <c r="P43" t="n">
        <v>1057.7</v>
      </c>
      <c r="Q43" t="n">
        <v>1169.5</v>
      </c>
      <c r="R43" t="n">
        <v>1384.4</v>
      </c>
      <c r="S43" t="n">
        <v>1520.9</v>
      </c>
      <c r="T43" t="n">
        <v>1649.7</v>
      </c>
      <c r="U43" t="n">
        <v>1535.3</v>
      </c>
      <c r="V43" t="n">
        <v>1437.7</v>
      </c>
      <c r="W43" t="n">
        <v>1309.9</v>
      </c>
      <c r="X43" t="n">
        <v>1162.7</v>
      </c>
      <c r="Y43" t="n">
        <v>1075.3</v>
      </c>
      <c r="Z43" t="n">
        <v>1065.3</v>
      </c>
      <c r="AA43" t="n">
        <v>1023.7</v>
      </c>
      <c r="AB43" t="n">
        <v>989.9</v>
      </c>
      <c r="AC43" t="n">
        <v>922.4</v>
      </c>
      <c r="AD43" t="n">
        <v>902.4</v>
      </c>
      <c r="AE43" t="n">
        <v>886.1</v>
      </c>
      <c r="AF43" t="n">
        <v>933.5</v>
      </c>
    </row>
    <row r="44">
      <c r="A44" t="s">
        <v>97</v>
      </c>
      <c r="B44" t="s">
        <v>358</v>
      </c>
      <c r="C44" t="s">
        <v>217</v>
      </c>
      <c r="D44" t="s">
        <v>359</v>
      </c>
      <c r="E44" t="s">
        <v>218</v>
      </c>
      <c r="F44" t="n">
        <v>1982.4</v>
      </c>
      <c r="G44" t="n">
        <v>2277.4</v>
      </c>
      <c r="H44" t="n">
        <v>2693.7</v>
      </c>
      <c r="I44" t="n">
        <v>3077</v>
      </c>
      <c r="J44" t="n">
        <v>3403.5</v>
      </c>
      <c r="K44" t="n">
        <v>4158.2</v>
      </c>
      <c r="L44" t="n">
        <v>4395.7</v>
      </c>
      <c r="M44" t="n">
        <v>4582.7</v>
      </c>
      <c r="N44" t="n">
        <v>5017.4</v>
      </c>
      <c r="O44" t="n">
        <v>5210.7</v>
      </c>
      <c r="P44" t="n">
        <v>5650.8</v>
      </c>
      <c r="Q44" t="n">
        <v>6212.2</v>
      </c>
      <c r="R44" t="n">
        <v>6969</v>
      </c>
      <c r="S44" t="n">
        <v>7706</v>
      </c>
      <c r="T44" t="n">
        <v>8114.4</v>
      </c>
      <c r="U44" t="n">
        <v>8051.5</v>
      </c>
      <c r="V44" t="n">
        <v>7715.2</v>
      </c>
      <c r="W44" t="n">
        <v>7245.9</v>
      </c>
      <c r="X44" t="n">
        <v>6738</v>
      </c>
      <c r="Y44" t="n">
        <v>6487.4</v>
      </c>
      <c r="Z44" t="n">
        <v>6375.2</v>
      </c>
      <c r="AA44" t="n">
        <v>6226.1</v>
      </c>
      <c r="AB44" t="n">
        <v>6120.9</v>
      </c>
      <c r="AC44" t="n">
        <v>5874.5</v>
      </c>
      <c r="AD44" t="n">
        <v>5634.4</v>
      </c>
      <c r="AE44" t="n">
        <v>5501.9</v>
      </c>
      <c r="AF44" t="n">
        <v>5722.7</v>
      </c>
    </row>
    <row r="45">
      <c r="A45" t="s">
        <v>97</v>
      </c>
      <c r="B45" t="s">
        <v>360</v>
      </c>
      <c r="C45" t="s">
        <v>217</v>
      </c>
      <c r="D45" t="s">
        <v>361</v>
      </c>
      <c r="E45" t="s">
        <v>218</v>
      </c>
      <c r="F45" t="n">
        <v>1921.9</v>
      </c>
      <c r="G45" t="n">
        <v>2205.6</v>
      </c>
      <c r="H45" t="n">
        <v>2606.6</v>
      </c>
      <c r="I45" t="n">
        <v>2975.5</v>
      </c>
      <c r="J45" t="n">
        <v>3289.8</v>
      </c>
      <c r="K45" t="n">
        <v>4017.3</v>
      </c>
      <c r="L45" t="n">
        <v>4246.2</v>
      </c>
      <c r="M45" t="n">
        <v>4436.7</v>
      </c>
      <c r="N45" t="n">
        <v>4870.5</v>
      </c>
      <c r="O45" t="n">
        <v>5072.7</v>
      </c>
      <c r="P45" t="n">
        <v>5466.7</v>
      </c>
      <c r="Q45" t="n">
        <v>6009.1</v>
      </c>
      <c r="R45" t="n">
        <v>6676.2</v>
      </c>
      <c r="S45" t="n">
        <v>7337.1</v>
      </c>
      <c r="T45" t="n">
        <v>7664.3</v>
      </c>
      <c r="U45" t="n">
        <v>7562.9</v>
      </c>
      <c r="V45" t="n">
        <v>7215.2</v>
      </c>
      <c r="W45" t="n">
        <v>6737.5</v>
      </c>
      <c r="X45" t="n">
        <v>6209.9</v>
      </c>
      <c r="Y45" t="n">
        <v>5934</v>
      </c>
      <c r="Z45" t="n">
        <v>5775.7</v>
      </c>
      <c r="AA45" t="n">
        <v>5613.4</v>
      </c>
      <c r="AB45" t="n">
        <v>5494.1</v>
      </c>
      <c r="AC45" t="n">
        <v>5222.5</v>
      </c>
      <c r="AD45" t="n">
        <v>4957.4</v>
      </c>
      <c r="AE45" t="n">
        <v>4802.8</v>
      </c>
      <c r="AF45" t="n">
        <v>4950.5</v>
      </c>
    </row>
    <row r="46">
      <c r="A46" t="s">
        <v>97</v>
      </c>
      <c r="B46" t="s">
        <v>362</v>
      </c>
      <c r="C46" t="s">
        <v>217</v>
      </c>
      <c r="D46" t="s">
        <v>363</v>
      </c>
      <c r="E46" t="s">
        <v>218</v>
      </c>
      <c r="F46" t="n">
        <v>69.2</v>
      </c>
      <c r="G46" t="n">
        <v>80.2</v>
      </c>
      <c r="H46" t="n">
        <v>95.4</v>
      </c>
      <c r="I46" t="n">
        <v>109.5</v>
      </c>
      <c r="J46" t="n">
        <v>121.4</v>
      </c>
      <c r="K46" t="n">
        <v>148.9</v>
      </c>
      <c r="L46" t="n">
        <v>170.3</v>
      </c>
      <c r="M46" t="n">
        <v>169</v>
      </c>
      <c r="N46" t="n">
        <v>205.2</v>
      </c>
      <c r="O46" t="n">
        <v>256.8</v>
      </c>
      <c r="P46" t="n">
        <v>451.5</v>
      </c>
      <c r="Q46" t="n">
        <v>566.2</v>
      </c>
      <c r="R46" t="n">
        <v>747</v>
      </c>
      <c r="S46" t="n">
        <v>924.8</v>
      </c>
      <c r="T46" t="n">
        <v>1044.3</v>
      </c>
      <c r="U46" t="n">
        <v>965.5</v>
      </c>
      <c r="V46" t="n">
        <v>897.8</v>
      </c>
      <c r="W46" t="n">
        <v>802.8</v>
      </c>
      <c r="X46" t="n">
        <v>702.3</v>
      </c>
      <c r="Y46" t="n">
        <v>639.8</v>
      </c>
      <c r="Z46" t="n">
        <v>669.5</v>
      </c>
      <c r="AA46" t="n">
        <v>664.4</v>
      </c>
      <c r="AB46" t="n">
        <v>662.4</v>
      </c>
      <c r="AC46" t="n">
        <v>629.4</v>
      </c>
      <c r="AD46" t="n">
        <v>660.5</v>
      </c>
      <c r="AE46" t="n">
        <v>660.6</v>
      </c>
      <c r="AF46" t="n">
        <v>711.1</v>
      </c>
    </row>
    <row r="47">
      <c r="A47" t="s">
        <v>97</v>
      </c>
      <c r="B47" t="s">
        <v>364</v>
      </c>
      <c r="C47" t="s">
        <v>217</v>
      </c>
      <c r="D47" t="s">
        <v>365</v>
      </c>
      <c r="E47" t="s">
        <v>218</v>
      </c>
      <c r="F47" t="n">
        <v>44</v>
      </c>
      <c r="G47" t="n">
        <v>51.5</v>
      </c>
      <c r="H47" t="n">
        <v>60.7</v>
      </c>
      <c r="I47" t="n">
        <v>69.9</v>
      </c>
      <c r="J47" t="n">
        <v>76.3</v>
      </c>
      <c r="K47" t="n">
        <v>86.9</v>
      </c>
      <c r="L47" t="n">
        <v>98.4</v>
      </c>
      <c r="M47" t="n">
        <v>101.8</v>
      </c>
      <c r="N47" t="n">
        <v>111.1</v>
      </c>
      <c r="O47" t="n">
        <v>117.2</v>
      </c>
      <c r="P47" t="n">
        <v>120.1</v>
      </c>
      <c r="Q47" t="n">
        <v>150.2</v>
      </c>
      <c r="R47" t="n">
        <v>164.3</v>
      </c>
      <c r="S47" t="n">
        <v>194.7</v>
      </c>
      <c r="T47" t="n">
        <v>237.3</v>
      </c>
      <c r="U47" t="n">
        <v>257.7</v>
      </c>
      <c r="V47" t="n">
        <v>260.1</v>
      </c>
      <c r="W47" t="n">
        <v>234.4</v>
      </c>
      <c r="X47" t="n">
        <v>221.1</v>
      </c>
      <c r="Y47" t="n">
        <v>203.4</v>
      </c>
      <c r="Z47" t="n">
        <v>191.2</v>
      </c>
      <c r="AA47" t="n">
        <v>175.1</v>
      </c>
      <c r="AB47" t="n">
        <v>176</v>
      </c>
      <c r="AC47" t="n">
        <v>166.7</v>
      </c>
      <c r="AD47" t="n">
        <v>165.8</v>
      </c>
      <c r="AE47" t="n">
        <v>173.4</v>
      </c>
      <c r="AF47" t="n">
        <v>189.5</v>
      </c>
    </row>
    <row r="48">
      <c r="A48" t="s">
        <v>97</v>
      </c>
      <c r="B48" t="s">
        <v>366</v>
      </c>
      <c r="C48" t="s">
        <v>217</v>
      </c>
      <c r="D48" t="s">
        <v>367</v>
      </c>
      <c r="E48" t="s">
        <v>218</v>
      </c>
      <c r="F48" t="n">
        <v>200.9</v>
      </c>
      <c r="G48" t="n">
        <v>239.4</v>
      </c>
      <c r="H48" t="n">
        <v>294.5</v>
      </c>
      <c r="I48" t="n">
        <v>346.7</v>
      </c>
      <c r="J48" t="n">
        <v>394.1</v>
      </c>
      <c r="K48" t="n">
        <v>478.7</v>
      </c>
      <c r="L48" t="n">
        <v>543.9</v>
      </c>
      <c r="M48" t="n">
        <v>569.7</v>
      </c>
      <c r="N48" t="n">
        <v>613.4</v>
      </c>
      <c r="O48" t="n">
        <v>655.3</v>
      </c>
      <c r="P48" t="n">
        <v>744.4</v>
      </c>
      <c r="Q48" t="n">
        <v>776.3</v>
      </c>
      <c r="R48" t="n">
        <v>781.9</v>
      </c>
      <c r="S48" t="n">
        <v>810.2</v>
      </c>
      <c r="T48" t="n">
        <v>808</v>
      </c>
      <c r="U48" t="n">
        <v>796</v>
      </c>
      <c r="V48" t="n">
        <v>756.8</v>
      </c>
      <c r="W48" t="n">
        <v>688.9</v>
      </c>
      <c r="X48" t="n">
        <v>639.9</v>
      </c>
      <c r="Y48" t="n">
        <v>589.5</v>
      </c>
      <c r="Z48" t="n">
        <v>546.5</v>
      </c>
      <c r="AA48" t="n">
        <v>497.9</v>
      </c>
      <c r="AB48" t="n">
        <v>472.7</v>
      </c>
      <c r="AC48" t="n">
        <v>448.9</v>
      </c>
      <c r="AD48" t="n">
        <v>439.6</v>
      </c>
      <c r="AE48" t="n">
        <v>438.8</v>
      </c>
      <c r="AF48" t="n">
        <v>459</v>
      </c>
    </row>
    <row r="49">
      <c r="A49" t="s">
        <v>97</v>
      </c>
      <c r="B49" t="s">
        <v>368</v>
      </c>
      <c r="C49" t="s">
        <v>217</v>
      </c>
      <c r="D49" t="s">
        <v>369</v>
      </c>
      <c r="E49" t="s">
        <v>218</v>
      </c>
      <c r="F49" t="n">
        <v>115.4</v>
      </c>
      <c r="G49" t="n">
        <v>137.7</v>
      </c>
      <c r="H49" t="n">
        <v>171.9</v>
      </c>
      <c r="I49" t="n">
        <v>203.9</v>
      </c>
      <c r="J49" t="n">
        <v>236.3</v>
      </c>
      <c r="K49" t="n">
        <v>291.6</v>
      </c>
      <c r="L49" t="n">
        <v>313.4</v>
      </c>
      <c r="M49" t="n">
        <v>318.2</v>
      </c>
      <c r="N49" t="n">
        <v>344.2</v>
      </c>
      <c r="O49" t="n">
        <v>376.9</v>
      </c>
      <c r="P49" t="n">
        <v>382.4</v>
      </c>
      <c r="Q49" t="n">
        <v>400.1</v>
      </c>
      <c r="R49" t="n">
        <v>401.9</v>
      </c>
      <c r="S49" t="n">
        <v>406.8</v>
      </c>
      <c r="T49" t="n">
        <v>381.8</v>
      </c>
      <c r="U49" t="n">
        <v>346.2</v>
      </c>
      <c r="V49" t="n">
        <v>317.2</v>
      </c>
      <c r="W49" t="n">
        <v>288.7</v>
      </c>
      <c r="X49" t="n">
        <v>264.3</v>
      </c>
      <c r="Y49" t="n">
        <v>242.7</v>
      </c>
      <c r="Z49" t="n">
        <v>220.4</v>
      </c>
      <c r="AA49" t="n">
        <v>195.9</v>
      </c>
      <c r="AB49" t="n">
        <v>174.6</v>
      </c>
      <c r="AC49" t="n">
        <v>161.1</v>
      </c>
      <c r="AD49" t="n">
        <v>153.1</v>
      </c>
      <c r="AE49" t="n">
        <v>146.3</v>
      </c>
      <c r="AF49" t="n">
        <v>143.6</v>
      </c>
    </row>
    <row r="50">
      <c r="A50" t="s">
        <v>97</v>
      </c>
      <c r="B50" t="s">
        <v>370</v>
      </c>
      <c r="C50" t="s">
        <v>217</v>
      </c>
      <c r="D50" t="s">
        <v>371</v>
      </c>
      <c r="E50" t="s">
        <v>218</v>
      </c>
      <c r="F50" t="n">
        <v>41.6</v>
      </c>
      <c r="G50" t="n">
        <v>50.2</v>
      </c>
      <c r="H50" t="n">
        <v>61.9</v>
      </c>
      <c r="I50" t="n">
        <v>72.8</v>
      </c>
      <c r="J50" t="n">
        <v>81.5</v>
      </c>
      <c r="K50" t="n">
        <v>100.2</v>
      </c>
      <c r="L50" t="n">
        <v>132.2</v>
      </c>
      <c r="M50" t="n">
        <v>149.6</v>
      </c>
      <c r="N50" t="n">
        <v>158</v>
      </c>
      <c r="O50" t="n">
        <v>161.2</v>
      </c>
      <c r="P50" t="n">
        <v>241.9</v>
      </c>
      <c r="Q50" t="n">
        <v>226</v>
      </c>
      <c r="R50" t="n">
        <v>215.6</v>
      </c>
      <c r="S50" t="n">
        <v>208.9</v>
      </c>
      <c r="T50" t="n">
        <v>188.9</v>
      </c>
      <c r="U50" t="n">
        <v>192.1</v>
      </c>
      <c r="V50" t="n">
        <v>179.4</v>
      </c>
      <c r="W50" t="n">
        <v>165.9</v>
      </c>
      <c r="X50" t="n">
        <v>154.4</v>
      </c>
      <c r="Y50" t="n">
        <v>143.4</v>
      </c>
      <c r="Z50" t="n">
        <v>134.9</v>
      </c>
      <c r="AA50" t="n">
        <v>126.9</v>
      </c>
      <c r="AB50" t="n">
        <v>122.1</v>
      </c>
      <c r="AC50" t="n">
        <v>121.1</v>
      </c>
      <c r="AD50" t="n">
        <v>120.6</v>
      </c>
      <c r="AE50" t="n">
        <v>119.1</v>
      </c>
      <c r="AF50" t="n">
        <v>125.8</v>
      </c>
    </row>
    <row r="51">
      <c r="A51" t="s">
        <v>97</v>
      </c>
      <c r="B51" t="s">
        <v>372</v>
      </c>
      <c r="C51" t="s">
        <v>217</v>
      </c>
      <c r="D51" t="s">
        <v>373</v>
      </c>
      <c r="E51" t="s">
        <v>218</v>
      </c>
      <c r="F51" t="n">
        <v>37.9</v>
      </c>
      <c r="G51" t="n">
        <v>44.9</v>
      </c>
      <c r="H51" t="n">
        <v>54.5</v>
      </c>
      <c r="I51" t="n">
        <v>63.4</v>
      </c>
      <c r="J51" t="n">
        <v>71</v>
      </c>
      <c r="K51" t="n">
        <v>88</v>
      </c>
      <c r="L51" t="n">
        <v>117.2</v>
      </c>
      <c r="M51" t="n">
        <v>133.2</v>
      </c>
      <c r="N51" t="n">
        <v>140.8</v>
      </c>
      <c r="O51" t="n">
        <v>143.6</v>
      </c>
      <c r="P51" t="n">
        <v>223.7</v>
      </c>
      <c r="Q51" t="n">
        <v>206.6</v>
      </c>
      <c r="R51" t="n">
        <v>195.8</v>
      </c>
      <c r="S51" t="n">
        <v>188.4</v>
      </c>
      <c r="T51" t="n">
        <v>169.7</v>
      </c>
      <c r="U51" t="n">
        <v>157.1</v>
      </c>
      <c r="V51" t="n">
        <v>146.7</v>
      </c>
      <c r="W51" t="n">
        <v>136</v>
      </c>
      <c r="X51" t="n">
        <v>127</v>
      </c>
      <c r="Y51" t="n">
        <v>118.6</v>
      </c>
      <c r="Z51" t="n">
        <v>112.4</v>
      </c>
      <c r="AA51" t="n">
        <v>106.2</v>
      </c>
      <c r="AB51" t="n">
        <v>103</v>
      </c>
      <c r="AC51" t="n">
        <v>103.2</v>
      </c>
      <c r="AD51" t="n">
        <v>103.8</v>
      </c>
      <c r="AE51" t="n">
        <v>103.1</v>
      </c>
      <c r="AF51" t="n">
        <v>109.6</v>
      </c>
    </row>
    <row r="52">
      <c r="A52" t="s">
        <v>97</v>
      </c>
      <c r="B52" t="s">
        <v>374</v>
      </c>
      <c r="C52" t="s">
        <v>217</v>
      </c>
      <c r="D52" t="s">
        <v>375</v>
      </c>
      <c r="E52" t="s">
        <v>218</v>
      </c>
      <c r="F52" t="n">
        <v>3.7</v>
      </c>
      <c r="G52" t="n">
        <v>5.3</v>
      </c>
      <c r="H52" t="n">
        <v>7.4</v>
      </c>
      <c r="I52" t="n">
        <v>9.4</v>
      </c>
      <c r="J52" t="n">
        <v>10.5</v>
      </c>
      <c r="K52" t="n">
        <v>12.2</v>
      </c>
      <c r="L52" t="n">
        <v>15</v>
      </c>
      <c r="M52" t="n">
        <v>16.4</v>
      </c>
      <c r="N52" t="n">
        <v>17.2</v>
      </c>
      <c r="O52" t="n">
        <v>17.6</v>
      </c>
      <c r="P52" t="n">
        <v>18.2</v>
      </c>
      <c r="Q52" t="n">
        <v>19.4</v>
      </c>
      <c r="R52" t="n">
        <v>19.8</v>
      </c>
      <c r="S52" t="n">
        <v>20.5</v>
      </c>
      <c r="T52" t="n">
        <v>19.2</v>
      </c>
      <c r="U52" t="n">
        <v>35</v>
      </c>
      <c r="V52" t="n">
        <v>32.7</v>
      </c>
      <c r="W52" t="n">
        <v>29.9</v>
      </c>
      <c r="X52" t="n">
        <v>27.4</v>
      </c>
      <c r="Y52" t="n">
        <v>24.8</v>
      </c>
      <c r="Z52" t="n">
        <v>22.5</v>
      </c>
      <c r="AA52" t="n">
        <v>20.7</v>
      </c>
      <c r="AB52" t="n">
        <v>19.1</v>
      </c>
      <c r="AC52" t="n">
        <v>17.9</v>
      </c>
      <c r="AD52" t="n">
        <v>16.8</v>
      </c>
      <c r="AE52" t="n">
        <v>16</v>
      </c>
      <c r="AF52" t="n">
        <v>16.2</v>
      </c>
    </row>
    <row r="53">
      <c r="A53" t="s">
        <v>97</v>
      </c>
      <c r="B53" t="s">
        <v>376</v>
      </c>
      <c r="C53" t="s">
        <v>217</v>
      </c>
      <c r="D53" t="s">
        <v>377</v>
      </c>
      <c r="E53" t="s">
        <v>218</v>
      </c>
      <c r="F53" t="n">
        <v>164.1</v>
      </c>
      <c r="G53" t="n">
        <v>168.8</v>
      </c>
      <c r="H53" t="n">
        <v>180.4</v>
      </c>
      <c r="I53" t="n">
        <v>189.5</v>
      </c>
      <c r="J53" t="n">
        <v>197.2</v>
      </c>
      <c r="K53" t="n">
        <v>223.3</v>
      </c>
      <c r="L53" t="n">
        <v>231.7</v>
      </c>
      <c r="M53" t="n">
        <v>242.5</v>
      </c>
      <c r="N53" t="n">
        <v>337.5</v>
      </c>
      <c r="O53" t="n">
        <v>375.8</v>
      </c>
      <c r="P53" t="n">
        <v>364.8</v>
      </c>
      <c r="Q53" t="n">
        <v>322.5</v>
      </c>
      <c r="R53" t="n">
        <v>290.4</v>
      </c>
      <c r="S53" t="n">
        <v>264</v>
      </c>
      <c r="T53" t="n">
        <v>241.9</v>
      </c>
      <c r="U53" t="n">
        <v>242.8</v>
      </c>
      <c r="V53" t="n">
        <v>221.2</v>
      </c>
      <c r="W53" t="n">
        <v>199.5</v>
      </c>
      <c r="X53" t="n">
        <v>181.7</v>
      </c>
      <c r="Y53" t="n">
        <v>164.4</v>
      </c>
      <c r="Z53" t="n">
        <v>148.8</v>
      </c>
      <c r="AA53" t="n">
        <v>137.4</v>
      </c>
      <c r="AB53" t="n">
        <v>127.7</v>
      </c>
      <c r="AC53" t="n">
        <v>121</v>
      </c>
      <c r="AD53" t="n">
        <v>115</v>
      </c>
      <c r="AE53" t="n">
        <v>109.6</v>
      </c>
      <c r="AF53" t="n">
        <v>112.3</v>
      </c>
    </row>
    <row r="54">
      <c r="A54" t="s">
        <v>97</v>
      </c>
      <c r="B54" t="s">
        <v>378</v>
      </c>
      <c r="C54" t="s">
        <v>217</v>
      </c>
      <c r="D54" t="s">
        <v>379</v>
      </c>
      <c r="E54" t="s">
        <v>218</v>
      </c>
      <c r="F54" t="n">
        <v>335.7</v>
      </c>
      <c r="G54" t="n">
        <v>401.9</v>
      </c>
      <c r="H54" t="n">
        <v>489.1</v>
      </c>
      <c r="I54" t="n">
        <v>571.7</v>
      </c>
      <c r="J54" t="n">
        <v>641.9</v>
      </c>
      <c r="K54" t="n">
        <v>797</v>
      </c>
      <c r="L54" t="n">
        <v>799.3</v>
      </c>
      <c r="M54" t="n">
        <v>777.5</v>
      </c>
      <c r="N54" t="n">
        <v>856.8</v>
      </c>
      <c r="O54" t="n">
        <v>870.8</v>
      </c>
      <c r="P54" t="n">
        <v>848.7</v>
      </c>
      <c r="Q54" t="n">
        <v>781.6</v>
      </c>
      <c r="R54" t="n">
        <v>748.6</v>
      </c>
      <c r="S54" t="n">
        <v>728.8</v>
      </c>
      <c r="T54" t="n">
        <v>717.3</v>
      </c>
      <c r="U54" t="n">
        <v>623.2</v>
      </c>
      <c r="V54" t="n">
        <v>561.2</v>
      </c>
      <c r="W54" t="n">
        <v>502.6</v>
      </c>
      <c r="X54" t="n">
        <v>453.2</v>
      </c>
      <c r="Y54" t="n">
        <v>407.9</v>
      </c>
      <c r="Z54" t="n">
        <v>371.2</v>
      </c>
      <c r="AA54" t="n">
        <v>338.5</v>
      </c>
      <c r="AB54" t="n">
        <v>310.4</v>
      </c>
      <c r="AC54" t="n">
        <v>290</v>
      </c>
      <c r="AD54" t="n">
        <v>272.3</v>
      </c>
      <c r="AE54" t="n">
        <v>256.3</v>
      </c>
      <c r="AF54" t="n">
        <v>256.4</v>
      </c>
    </row>
    <row r="55">
      <c r="A55" t="s">
        <v>97</v>
      </c>
      <c r="B55" t="s">
        <v>380</v>
      </c>
      <c r="C55" t="s">
        <v>217</v>
      </c>
      <c r="D55" t="s">
        <v>381</v>
      </c>
      <c r="E55" t="s">
        <v>218</v>
      </c>
      <c r="F55" t="n">
        <v>171.6</v>
      </c>
      <c r="G55" t="n">
        <v>233.1</v>
      </c>
      <c r="H55" t="n">
        <v>308.7</v>
      </c>
      <c r="I55" t="n">
        <v>382.2</v>
      </c>
      <c r="J55" t="n">
        <v>444.7</v>
      </c>
      <c r="K55" t="n">
        <v>573.7</v>
      </c>
      <c r="L55" t="n">
        <v>567.6</v>
      </c>
      <c r="M55" t="n">
        <v>535</v>
      </c>
      <c r="N55" t="n">
        <v>519.3</v>
      </c>
      <c r="O55" t="n">
        <v>495</v>
      </c>
      <c r="P55" t="n">
        <v>483.9</v>
      </c>
      <c r="Q55" t="n">
        <v>459.1</v>
      </c>
      <c r="R55" t="n">
        <v>458.2</v>
      </c>
      <c r="S55" t="n">
        <v>464.8</v>
      </c>
      <c r="T55" t="n">
        <v>475.4</v>
      </c>
      <c r="U55" t="n">
        <v>380.4</v>
      </c>
      <c r="V55" t="n">
        <v>340</v>
      </c>
      <c r="W55" t="n">
        <v>303.1</v>
      </c>
      <c r="X55" t="n">
        <v>271.5</v>
      </c>
      <c r="Y55" t="n">
        <v>243.5</v>
      </c>
      <c r="Z55" t="n">
        <v>222.4</v>
      </c>
      <c r="AA55" t="n">
        <v>201.1</v>
      </c>
      <c r="AB55" t="n">
        <v>182.7</v>
      </c>
      <c r="AC55" t="n">
        <v>169</v>
      </c>
      <c r="AD55" t="n">
        <v>157.3</v>
      </c>
      <c r="AE55" t="n">
        <v>146.7</v>
      </c>
      <c r="AF55" t="n">
        <v>144.1</v>
      </c>
    </row>
    <row r="56">
      <c r="A56" t="s">
        <v>97</v>
      </c>
      <c r="B56" t="s">
        <v>382</v>
      </c>
      <c r="C56" t="s">
        <v>217</v>
      </c>
      <c r="D56" t="s">
        <v>383</v>
      </c>
      <c r="E56" t="s">
        <v>218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97</v>
      </c>
      <c r="B57" t="s">
        <v>384</v>
      </c>
      <c r="C57" t="s">
        <v>217</v>
      </c>
      <c r="D57" t="s">
        <v>385</v>
      </c>
      <c r="E57" t="s">
        <v>218</v>
      </c>
      <c r="F57" t="n">
        <v>2190.8</v>
      </c>
      <c r="G57" t="n">
        <v>2526.2</v>
      </c>
      <c r="H57" t="n">
        <v>3000.2</v>
      </c>
      <c r="I57" t="n">
        <v>3438.1</v>
      </c>
      <c r="J57" t="n">
        <v>3814.2</v>
      </c>
      <c r="K57" t="n">
        <v>4658</v>
      </c>
      <c r="L57" t="n">
        <v>5059</v>
      </c>
      <c r="M57" t="n">
        <v>5384.9</v>
      </c>
      <c r="N57" t="n">
        <v>5890.7</v>
      </c>
      <c r="O57" t="n">
        <v>6136.1</v>
      </c>
      <c r="P57" t="n">
        <v>6623</v>
      </c>
      <c r="Q57" t="n">
        <v>7184.4</v>
      </c>
      <c r="R57" t="n">
        <v>7924.6</v>
      </c>
      <c r="S57" t="n">
        <v>8672.5</v>
      </c>
      <c r="T57" t="n">
        <v>9079.5</v>
      </c>
      <c r="U57" t="n">
        <v>9000.3</v>
      </c>
      <c r="V57" t="n">
        <v>8678.2</v>
      </c>
      <c r="W57" t="n">
        <v>8134.6</v>
      </c>
      <c r="X57" t="n">
        <v>7565.6</v>
      </c>
      <c r="Y57" t="n">
        <v>7245.2</v>
      </c>
      <c r="Z57" t="n">
        <v>7068.9</v>
      </c>
      <c r="AA57" t="n">
        <v>6852.7</v>
      </c>
      <c r="AB57" t="n">
        <v>6706</v>
      </c>
      <c r="AC57" t="n">
        <v>6494.4</v>
      </c>
      <c r="AD57" t="n">
        <v>6316.8</v>
      </c>
      <c r="AE57" t="n">
        <v>6365.2</v>
      </c>
      <c r="AF57" t="n">
        <v>6824.5</v>
      </c>
    </row>
    <row r="58">
      <c r="A58" t="s">
        <v>97</v>
      </c>
      <c r="B58" t="s">
        <v>386</v>
      </c>
      <c r="C58" t="s">
        <v>217</v>
      </c>
      <c r="D58" t="s">
        <v>387</v>
      </c>
      <c r="E58" t="s">
        <v>218</v>
      </c>
      <c r="F58" t="n">
        <v>2190.8</v>
      </c>
      <c r="G58" t="n">
        <v>2526.2</v>
      </c>
      <c r="H58" t="n">
        <v>3000.2</v>
      </c>
      <c r="I58" t="n">
        <v>3438.1</v>
      </c>
      <c r="J58" t="n">
        <v>3814.2</v>
      </c>
      <c r="K58" t="n">
        <v>4658</v>
      </c>
      <c r="L58" t="n">
        <v>5059</v>
      </c>
      <c r="M58" t="n">
        <v>5384.9</v>
      </c>
      <c r="N58" t="n">
        <v>5890.7</v>
      </c>
      <c r="O58" t="n">
        <v>6136.1</v>
      </c>
      <c r="P58" t="n">
        <v>6623</v>
      </c>
      <c r="Q58" t="n">
        <v>7184.4</v>
      </c>
      <c r="R58" t="n">
        <v>7924.6</v>
      </c>
      <c r="S58" t="n">
        <v>8672.5</v>
      </c>
      <c r="T58" t="n">
        <v>9079.5</v>
      </c>
      <c r="U58" t="n">
        <v>9000.3</v>
      </c>
      <c r="V58" t="n">
        <v>8678.2</v>
      </c>
      <c r="W58" t="n">
        <v>8134.6</v>
      </c>
      <c r="X58" t="n">
        <v>7565.6</v>
      </c>
      <c r="Y58" t="n">
        <v>7245.2</v>
      </c>
      <c r="Z58" t="n">
        <v>7068.9</v>
      </c>
      <c r="AA58" t="n">
        <v>6852.7</v>
      </c>
      <c r="AB58" t="n">
        <v>6706</v>
      </c>
      <c r="AC58" t="n">
        <v>6494.4</v>
      </c>
      <c r="AD58" t="n">
        <v>6316.8</v>
      </c>
      <c r="AE58" t="n">
        <v>6365.2</v>
      </c>
      <c r="AF58" t="n">
        <v>6824.5</v>
      </c>
    </row>
    <row r="59">
      <c r="A59" t="s">
        <v>97</v>
      </c>
      <c r="B59" t="s">
        <v>388</v>
      </c>
      <c r="C59" t="s">
        <v>217</v>
      </c>
      <c r="D59" t="s">
        <v>389</v>
      </c>
      <c r="E59" t="s">
        <v>218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99</v>
      </c>
      <c r="B2" t="s">
        <v>197</v>
      </c>
      <c r="C2" t="s">
        <v>217</v>
      </c>
      <c r="D2" t="s">
        <v>199</v>
      </c>
      <c r="E2" t="s">
        <v>218</v>
      </c>
      <c r="F2" t="n">
        <v>0</v>
      </c>
      <c r="G2" t="n">
        <v>0</v>
      </c>
      <c r="H2" t="n">
        <v>0.1</v>
      </c>
      <c r="I2" t="n">
        <v>0.1</v>
      </c>
      <c r="J2" t="n">
        <v>0.1</v>
      </c>
      <c r="K2" t="n">
        <v>0.2</v>
      </c>
      <c r="L2" t="n">
        <v>0.2</v>
      </c>
      <c r="M2" t="n">
        <v>0.3</v>
      </c>
      <c r="N2" t="n">
        <v>0.2</v>
      </c>
      <c r="O2" t="n">
        <v>0.1</v>
      </c>
      <c r="P2" t="n">
        <v>0.1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99</v>
      </c>
      <c r="B3" t="s">
        <v>276</v>
      </c>
      <c r="C3" t="s">
        <v>217</v>
      </c>
      <c r="D3" t="s">
        <v>277</v>
      </c>
      <c r="E3" t="s">
        <v>218</v>
      </c>
      <c r="F3" t="n">
        <v>0.1</v>
      </c>
      <c r="G3" t="n">
        <v>0.2</v>
      </c>
      <c r="H3" t="n">
        <v>0.2</v>
      </c>
      <c r="I3" t="n">
        <v>0.3</v>
      </c>
      <c r="J3" t="n">
        <v>0.4</v>
      </c>
      <c r="K3" t="n">
        <v>0.5</v>
      </c>
      <c r="L3" t="n">
        <v>0.6</v>
      </c>
      <c r="M3" t="n">
        <v>0.8</v>
      </c>
      <c r="N3" t="n">
        <v>0.9</v>
      </c>
      <c r="O3" t="n">
        <v>0.9</v>
      </c>
      <c r="P3" t="n">
        <v>1</v>
      </c>
      <c r="Q3" t="n">
        <v>1.8</v>
      </c>
      <c r="R3" t="n">
        <v>4.2</v>
      </c>
      <c r="S3" t="n">
        <v>4.6</v>
      </c>
      <c r="T3" t="n">
        <v>5.1</v>
      </c>
      <c r="U3" t="n">
        <v>5.3</v>
      </c>
      <c r="V3" t="n">
        <v>4.6</v>
      </c>
      <c r="W3" t="n">
        <v>6.8</v>
      </c>
      <c r="X3" t="n">
        <v>6.7</v>
      </c>
      <c r="Y3" t="n">
        <v>4.8</v>
      </c>
      <c r="Z3" t="n">
        <v>3.7</v>
      </c>
      <c r="AA3" t="n">
        <v>3.1</v>
      </c>
      <c r="AB3" t="n">
        <v>2.7</v>
      </c>
      <c r="AC3" t="n">
        <v>2.8</v>
      </c>
      <c r="AD3" t="n">
        <v>3.2</v>
      </c>
      <c r="AE3" t="n">
        <v>2.6</v>
      </c>
      <c r="AF3" t="n">
        <v>2.3</v>
      </c>
    </row>
    <row r="4">
      <c r="A4" t="s">
        <v>99</v>
      </c>
      <c r="B4" t="s">
        <v>278</v>
      </c>
      <c r="C4" t="s">
        <v>217</v>
      </c>
      <c r="D4" t="s">
        <v>279</v>
      </c>
      <c r="E4" t="s">
        <v>218</v>
      </c>
      <c r="F4" t="n">
        <v>12.7</v>
      </c>
      <c r="G4" t="n">
        <v>22.4</v>
      </c>
      <c r="H4" t="n">
        <v>30.6</v>
      </c>
      <c r="I4" t="n">
        <v>39.3</v>
      </c>
      <c r="J4" t="n">
        <v>48.2</v>
      </c>
      <c r="K4" t="n">
        <v>66.4</v>
      </c>
      <c r="L4" t="n">
        <v>68.6</v>
      </c>
      <c r="M4" t="n">
        <v>75.7</v>
      </c>
      <c r="N4" t="n">
        <v>82.5</v>
      </c>
      <c r="O4" t="n">
        <v>85.4</v>
      </c>
      <c r="P4" t="n">
        <v>112</v>
      </c>
      <c r="Q4" t="n">
        <v>127.1</v>
      </c>
      <c r="R4" t="n">
        <v>138.7</v>
      </c>
      <c r="S4" t="n">
        <v>143.9</v>
      </c>
      <c r="T4" t="n">
        <v>145.1</v>
      </c>
      <c r="U4" t="n">
        <v>154.7</v>
      </c>
      <c r="V4" t="n">
        <v>147.1</v>
      </c>
      <c r="W4" t="n">
        <v>137.8</v>
      </c>
      <c r="X4" t="n">
        <v>131.4</v>
      </c>
      <c r="Y4" t="n">
        <v>127.8</v>
      </c>
      <c r="Z4" t="n">
        <v>127.3</v>
      </c>
      <c r="AA4" t="n">
        <v>133.9</v>
      </c>
      <c r="AB4" t="n">
        <v>140.7</v>
      </c>
      <c r="AC4" t="n">
        <v>154.1</v>
      </c>
      <c r="AD4" t="n">
        <v>168.8</v>
      </c>
      <c r="AE4" t="n">
        <v>172.8</v>
      </c>
      <c r="AF4" t="n">
        <v>176.1</v>
      </c>
    </row>
    <row r="5">
      <c r="A5" t="s">
        <v>99</v>
      </c>
      <c r="B5" t="s">
        <v>280</v>
      </c>
      <c r="C5" t="s">
        <v>217</v>
      </c>
      <c r="D5" t="s">
        <v>281</v>
      </c>
      <c r="E5" t="s">
        <v>218</v>
      </c>
      <c r="F5" t="n">
        <v>2.5</v>
      </c>
      <c r="G5" t="n">
        <v>4.3</v>
      </c>
      <c r="H5" t="n">
        <v>5.6</v>
      </c>
      <c r="I5" t="n">
        <v>7.3</v>
      </c>
      <c r="J5" t="n">
        <v>8.9</v>
      </c>
      <c r="K5" t="n">
        <v>11.6</v>
      </c>
      <c r="L5" t="n">
        <v>13.1</v>
      </c>
      <c r="M5" t="n">
        <v>17.4</v>
      </c>
      <c r="N5" t="n">
        <v>20.4</v>
      </c>
      <c r="O5" t="n">
        <v>21</v>
      </c>
      <c r="P5" t="n">
        <v>20.6</v>
      </c>
      <c r="Q5" t="n">
        <v>21.5</v>
      </c>
      <c r="R5" t="n">
        <v>23.8</v>
      </c>
      <c r="S5" t="n">
        <v>25.8</v>
      </c>
      <c r="T5" t="n">
        <v>28</v>
      </c>
      <c r="U5" t="n">
        <v>34.1</v>
      </c>
      <c r="V5" t="n">
        <v>32.8</v>
      </c>
      <c r="W5" t="n">
        <v>31</v>
      </c>
      <c r="X5" t="n">
        <v>28.7</v>
      </c>
      <c r="Y5" t="n">
        <v>29.1</v>
      </c>
      <c r="Z5" t="n">
        <v>28.1</v>
      </c>
      <c r="AA5" t="n">
        <v>28.2</v>
      </c>
      <c r="AB5" t="n">
        <v>28.9</v>
      </c>
      <c r="AC5" t="n">
        <v>34</v>
      </c>
      <c r="AD5" t="n">
        <v>35.7</v>
      </c>
      <c r="AE5" t="n">
        <v>36.4</v>
      </c>
      <c r="AF5" t="n">
        <v>36.9</v>
      </c>
    </row>
    <row r="6">
      <c r="A6" t="s">
        <v>99</v>
      </c>
      <c r="B6" t="s">
        <v>282</v>
      </c>
      <c r="C6" t="s">
        <v>217</v>
      </c>
      <c r="D6" t="s">
        <v>283</v>
      </c>
      <c r="E6" t="s">
        <v>218</v>
      </c>
      <c r="F6" t="n">
        <v>1.1</v>
      </c>
      <c r="G6" t="n">
        <v>2.1</v>
      </c>
      <c r="H6" t="n">
        <v>3.2</v>
      </c>
      <c r="I6" t="n">
        <v>4.1</v>
      </c>
      <c r="J6" t="n">
        <v>5.1</v>
      </c>
      <c r="K6" t="n">
        <v>8</v>
      </c>
      <c r="L6" t="n">
        <v>6.7</v>
      </c>
      <c r="M6" t="n">
        <v>6.4</v>
      </c>
      <c r="N6" t="n">
        <v>6.1</v>
      </c>
      <c r="O6" t="n">
        <v>6.1</v>
      </c>
      <c r="P6" t="n">
        <v>7.1</v>
      </c>
      <c r="Q6" t="n">
        <v>9.5</v>
      </c>
      <c r="R6" t="n">
        <v>12.9</v>
      </c>
      <c r="S6" t="n">
        <v>11.2</v>
      </c>
      <c r="T6" t="n">
        <v>10.8</v>
      </c>
      <c r="U6" t="n">
        <v>10.8</v>
      </c>
      <c r="V6" t="n">
        <v>10.1</v>
      </c>
      <c r="W6" t="n">
        <v>9.2</v>
      </c>
      <c r="X6" t="n">
        <v>8.9</v>
      </c>
      <c r="Y6" t="n">
        <v>8.4</v>
      </c>
      <c r="Z6" t="n">
        <v>8.3</v>
      </c>
      <c r="AA6" t="n">
        <v>8.3</v>
      </c>
      <c r="AB6" t="n">
        <v>8.5</v>
      </c>
      <c r="AC6" t="n">
        <v>8.6</v>
      </c>
      <c r="AD6" t="n">
        <v>8.6</v>
      </c>
      <c r="AE6" t="n">
        <v>8.9</v>
      </c>
      <c r="AF6" t="n">
        <v>9</v>
      </c>
    </row>
    <row r="7">
      <c r="A7" t="s">
        <v>99</v>
      </c>
      <c r="B7" t="s">
        <v>284</v>
      </c>
      <c r="C7" t="s">
        <v>217</v>
      </c>
      <c r="D7" t="s">
        <v>285</v>
      </c>
      <c r="E7" t="s">
        <v>218</v>
      </c>
      <c r="F7" t="n">
        <v>2.5</v>
      </c>
      <c r="G7" t="n">
        <v>4.2</v>
      </c>
      <c r="H7" t="n">
        <v>5.1</v>
      </c>
      <c r="I7" t="n">
        <v>6.6</v>
      </c>
      <c r="J7" t="n">
        <v>8.1</v>
      </c>
      <c r="K7" t="n">
        <v>9.6</v>
      </c>
      <c r="L7" t="n">
        <v>11.8</v>
      </c>
      <c r="M7" t="n">
        <v>13.3</v>
      </c>
      <c r="N7" t="n">
        <v>14.4</v>
      </c>
      <c r="O7" t="n">
        <v>15.3</v>
      </c>
      <c r="P7" t="n">
        <v>17</v>
      </c>
      <c r="Q7" t="n">
        <v>19.2</v>
      </c>
      <c r="R7" t="n">
        <v>22</v>
      </c>
      <c r="S7" t="n">
        <v>27</v>
      </c>
      <c r="T7" t="n">
        <v>30.8</v>
      </c>
      <c r="U7" t="n">
        <v>30.7</v>
      </c>
      <c r="V7" t="n">
        <v>29.4</v>
      </c>
      <c r="W7" t="n">
        <v>28.2</v>
      </c>
      <c r="X7" t="n">
        <v>26.8</v>
      </c>
      <c r="Y7" t="n">
        <v>26.6</v>
      </c>
      <c r="Z7" t="n">
        <v>26.7</v>
      </c>
      <c r="AA7" t="n">
        <v>28.5</v>
      </c>
      <c r="AB7" t="n">
        <v>30.4</v>
      </c>
      <c r="AC7" t="n">
        <v>31</v>
      </c>
      <c r="AD7" t="n">
        <v>30.9</v>
      </c>
      <c r="AE7" t="n">
        <v>31.4</v>
      </c>
      <c r="AF7" t="n">
        <v>31.6</v>
      </c>
    </row>
    <row r="8">
      <c r="A8" t="s">
        <v>99</v>
      </c>
      <c r="B8" t="s">
        <v>286</v>
      </c>
      <c r="C8" t="s">
        <v>217</v>
      </c>
      <c r="D8" t="s">
        <v>287</v>
      </c>
      <c r="E8" t="s">
        <v>218</v>
      </c>
      <c r="F8" t="n">
        <v>1.2</v>
      </c>
      <c r="G8" t="n">
        <v>2.6</v>
      </c>
      <c r="H8" t="n">
        <v>4.7</v>
      </c>
      <c r="I8" t="n">
        <v>6</v>
      </c>
      <c r="J8" t="n">
        <v>7.5</v>
      </c>
      <c r="K8" t="n">
        <v>13.4</v>
      </c>
      <c r="L8" t="n">
        <v>9</v>
      </c>
      <c r="M8" t="n">
        <v>6.2</v>
      </c>
      <c r="N8" t="n">
        <v>4.5</v>
      </c>
      <c r="O8" t="n">
        <v>3.5</v>
      </c>
      <c r="P8" t="n">
        <v>2.9</v>
      </c>
      <c r="Q8" t="n">
        <v>2.7</v>
      </c>
      <c r="R8" t="n">
        <v>3.4</v>
      </c>
      <c r="S8" t="n">
        <v>3.3</v>
      </c>
      <c r="T8" t="n">
        <v>3.2</v>
      </c>
      <c r="U8" t="n">
        <v>3.3</v>
      </c>
      <c r="V8" t="n">
        <v>3.2</v>
      </c>
      <c r="W8" t="n">
        <v>3.3</v>
      </c>
      <c r="X8" t="n">
        <v>3.4</v>
      </c>
      <c r="Y8" t="n">
        <v>3.6</v>
      </c>
      <c r="Z8" t="n">
        <v>4</v>
      </c>
      <c r="AA8" t="n">
        <v>7.3</v>
      </c>
      <c r="AB8" t="n">
        <v>9.1</v>
      </c>
      <c r="AC8" t="n">
        <v>7.9</v>
      </c>
      <c r="AD8" t="n">
        <v>9.2</v>
      </c>
      <c r="AE8" t="n">
        <v>9.9</v>
      </c>
      <c r="AF8" t="n">
        <v>10.5</v>
      </c>
    </row>
    <row r="9">
      <c r="A9" t="s">
        <v>99</v>
      </c>
      <c r="B9" t="s">
        <v>288</v>
      </c>
      <c r="C9" t="s">
        <v>217</v>
      </c>
      <c r="D9" t="s">
        <v>289</v>
      </c>
      <c r="E9" t="s">
        <v>218</v>
      </c>
      <c r="F9" t="n">
        <v>0.4</v>
      </c>
      <c r="G9" t="n">
        <v>0.6</v>
      </c>
      <c r="H9" t="n">
        <v>0.8</v>
      </c>
      <c r="I9" t="n">
        <v>1.1</v>
      </c>
      <c r="J9" t="n">
        <v>1.3</v>
      </c>
      <c r="K9" t="n">
        <v>1.7</v>
      </c>
      <c r="L9" t="n">
        <v>2.1</v>
      </c>
      <c r="M9" t="n">
        <v>2.5</v>
      </c>
      <c r="N9" t="n">
        <v>2.8</v>
      </c>
      <c r="O9" t="n">
        <v>3.2</v>
      </c>
      <c r="P9" t="n">
        <v>3.2</v>
      </c>
      <c r="Q9" t="n">
        <v>3.5</v>
      </c>
      <c r="R9" t="n">
        <v>4.2</v>
      </c>
      <c r="S9" t="n">
        <v>6.1</v>
      </c>
      <c r="T9" t="n">
        <v>5.3</v>
      </c>
      <c r="U9" t="n">
        <v>5.3</v>
      </c>
      <c r="V9" t="n">
        <v>4.9</v>
      </c>
      <c r="W9" t="n">
        <v>4.8</v>
      </c>
      <c r="X9" t="n">
        <v>5</v>
      </c>
      <c r="Y9" t="n">
        <v>4.6</v>
      </c>
      <c r="Z9" t="n">
        <v>4.4</v>
      </c>
      <c r="AA9" t="n">
        <v>4.4</v>
      </c>
      <c r="AB9" t="n">
        <v>4.5</v>
      </c>
      <c r="AC9" t="n">
        <v>4.7</v>
      </c>
      <c r="AD9" t="n">
        <v>4.9</v>
      </c>
      <c r="AE9" t="n">
        <v>5.1</v>
      </c>
      <c r="AF9" t="n">
        <v>5.3</v>
      </c>
    </row>
    <row r="10">
      <c r="A10" t="s">
        <v>99</v>
      </c>
      <c r="B10" t="s">
        <v>290</v>
      </c>
      <c r="C10" t="s">
        <v>217</v>
      </c>
      <c r="D10" t="s">
        <v>291</v>
      </c>
      <c r="E10" t="s">
        <v>218</v>
      </c>
      <c r="F10" t="n">
        <v>0.5</v>
      </c>
      <c r="G10" t="n">
        <v>0.8</v>
      </c>
      <c r="H10" t="n">
        <v>1.1</v>
      </c>
      <c r="I10" t="n">
        <v>1.5</v>
      </c>
      <c r="J10" t="n">
        <v>1.7</v>
      </c>
      <c r="K10" t="n">
        <v>2.3</v>
      </c>
      <c r="L10" t="n">
        <v>2.8</v>
      </c>
      <c r="M10" t="n">
        <v>3.3</v>
      </c>
      <c r="N10" t="n">
        <v>3.7</v>
      </c>
      <c r="O10" t="n">
        <v>4.3</v>
      </c>
      <c r="P10" t="n">
        <v>4.8</v>
      </c>
      <c r="Q10" t="n">
        <v>5</v>
      </c>
      <c r="R10" t="n">
        <v>6.8</v>
      </c>
      <c r="S10" t="n">
        <v>8.5</v>
      </c>
      <c r="T10" t="n">
        <v>8.6</v>
      </c>
      <c r="U10" t="n">
        <v>9</v>
      </c>
      <c r="V10" t="n">
        <v>7.9</v>
      </c>
      <c r="W10" t="n">
        <v>7.6</v>
      </c>
      <c r="X10" t="n">
        <v>9.4</v>
      </c>
      <c r="Y10" t="n">
        <v>8.2</v>
      </c>
      <c r="Z10" t="n">
        <v>8.6</v>
      </c>
      <c r="AA10" t="n">
        <v>8.3</v>
      </c>
      <c r="AB10" t="n">
        <v>8.1</v>
      </c>
      <c r="AC10" t="n">
        <v>9.8</v>
      </c>
      <c r="AD10" t="n">
        <v>11.2</v>
      </c>
      <c r="AE10" t="n">
        <v>12.4</v>
      </c>
      <c r="AF10" t="n">
        <v>13.5</v>
      </c>
    </row>
    <row r="11">
      <c r="A11" t="s">
        <v>99</v>
      </c>
      <c r="B11" t="s">
        <v>292</v>
      </c>
      <c r="C11" t="s">
        <v>217</v>
      </c>
      <c r="D11" t="s">
        <v>293</v>
      </c>
      <c r="E11" t="s">
        <v>218</v>
      </c>
      <c r="F11" t="n">
        <v>0.1</v>
      </c>
      <c r="G11" t="n">
        <v>0.2</v>
      </c>
      <c r="H11" t="n">
        <v>0.3</v>
      </c>
      <c r="I11" t="n">
        <v>0.4</v>
      </c>
      <c r="J11" t="n">
        <v>0.4</v>
      </c>
      <c r="K11" t="n">
        <v>0.6</v>
      </c>
      <c r="L11" t="n">
        <v>0.7</v>
      </c>
      <c r="M11" t="n">
        <v>0.8</v>
      </c>
      <c r="N11" t="n">
        <v>0.9</v>
      </c>
      <c r="O11" t="n">
        <v>1.1</v>
      </c>
      <c r="P11" t="n">
        <v>1.6</v>
      </c>
      <c r="Q11" t="n">
        <v>1.5</v>
      </c>
      <c r="R11" t="n">
        <v>2.6</v>
      </c>
      <c r="S11" t="n">
        <v>2.4</v>
      </c>
      <c r="T11" t="n">
        <v>3.3</v>
      </c>
      <c r="U11" t="n">
        <v>3.7</v>
      </c>
      <c r="V11" t="n">
        <v>3</v>
      </c>
      <c r="W11" t="n">
        <v>2.8</v>
      </c>
      <c r="X11" t="n">
        <v>4.4</v>
      </c>
      <c r="Y11" t="n">
        <v>3.6</v>
      </c>
      <c r="Z11" t="n">
        <v>4.2</v>
      </c>
      <c r="AA11" t="n">
        <v>3.9</v>
      </c>
      <c r="AB11" t="n">
        <v>3.6</v>
      </c>
      <c r="AC11" t="n">
        <v>5.1</v>
      </c>
      <c r="AD11" t="n">
        <v>6.3</v>
      </c>
      <c r="AE11" t="n">
        <v>7.3</v>
      </c>
      <c r="AF11" t="n">
        <v>8.2</v>
      </c>
    </row>
    <row r="12">
      <c r="A12" t="s">
        <v>99</v>
      </c>
      <c r="B12" t="s">
        <v>294</v>
      </c>
      <c r="C12" t="s">
        <v>217</v>
      </c>
      <c r="D12" t="s">
        <v>295</v>
      </c>
      <c r="E12" t="s">
        <v>218</v>
      </c>
      <c r="F12" t="n">
        <v>0.2</v>
      </c>
      <c r="G12" t="n">
        <v>0.4</v>
      </c>
      <c r="H12" t="n">
        <v>0.5</v>
      </c>
      <c r="I12" t="n">
        <v>0.7</v>
      </c>
      <c r="J12" t="n">
        <v>0.9</v>
      </c>
      <c r="K12" t="n">
        <v>1.3</v>
      </c>
      <c r="L12" t="n">
        <v>1.4</v>
      </c>
      <c r="M12" t="n">
        <v>2.4</v>
      </c>
      <c r="N12" t="n">
        <v>3.2</v>
      </c>
      <c r="O12" t="n">
        <v>3.3</v>
      </c>
      <c r="P12" t="n">
        <v>3.2</v>
      </c>
      <c r="Q12" t="n">
        <v>3</v>
      </c>
      <c r="R12" t="n">
        <v>4.3</v>
      </c>
      <c r="S12" t="n">
        <v>6.1</v>
      </c>
      <c r="T12" t="n">
        <v>5.5</v>
      </c>
      <c r="U12" t="n">
        <v>5.3</v>
      </c>
      <c r="V12" t="n">
        <v>5</v>
      </c>
      <c r="W12" t="n">
        <v>4.3</v>
      </c>
      <c r="X12" t="n">
        <v>4.8</v>
      </c>
      <c r="Y12" t="n">
        <v>4.1</v>
      </c>
      <c r="Z12" t="n">
        <v>3.3</v>
      </c>
      <c r="AA12" t="n">
        <v>3.9</v>
      </c>
      <c r="AB12" t="n">
        <v>4.1</v>
      </c>
      <c r="AC12" t="n">
        <v>4</v>
      </c>
      <c r="AD12" t="n">
        <v>10.9</v>
      </c>
      <c r="AE12" t="n">
        <v>8.3</v>
      </c>
      <c r="AF12" t="n">
        <v>6.8</v>
      </c>
    </row>
    <row r="13">
      <c r="A13" t="s">
        <v>99</v>
      </c>
      <c r="B13" t="s">
        <v>296</v>
      </c>
      <c r="C13" t="s">
        <v>217</v>
      </c>
      <c r="D13" t="s">
        <v>297</v>
      </c>
      <c r="E13" t="s">
        <v>218</v>
      </c>
      <c r="F13" t="n">
        <v>1.2</v>
      </c>
      <c r="G13" t="n">
        <v>2.1</v>
      </c>
      <c r="H13" t="n">
        <v>2.9</v>
      </c>
      <c r="I13" t="n">
        <v>3.7</v>
      </c>
      <c r="J13" t="n">
        <v>4.5</v>
      </c>
      <c r="K13" t="n">
        <v>6.3</v>
      </c>
      <c r="L13" t="n">
        <v>6.4</v>
      </c>
      <c r="M13" t="n">
        <v>7.4</v>
      </c>
      <c r="N13" t="n">
        <v>8.3</v>
      </c>
      <c r="O13" t="n">
        <v>8.8</v>
      </c>
      <c r="P13" t="n">
        <v>15.6</v>
      </c>
      <c r="Q13" t="n">
        <v>17.2</v>
      </c>
      <c r="R13" t="n">
        <v>19</v>
      </c>
      <c r="S13" t="n">
        <v>17.5</v>
      </c>
      <c r="T13" t="n">
        <v>15.2</v>
      </c>
      <c r="U13" t="n">
        <v>18.6</v>
      </c>
      <c r="V13" t="n">
        <v>18</v>
      </c>
      <c r="W13" t="n">
        <v>15.7</v>
      </c>
      <c r="X13" t="n">
        <v>13.2</v>
      </c>
      <c r="Y13" t="n">
        <v>12.6</v>
      </c>
      <c r="Z13" t="n">
        <v>12.9</v>
      </c>
      <c r="AA13" t="n">
        <v>12</v>
      </c>
      <c r="AB13" t="n">
        <v>11.9</v>
      </c>
      <c r="AC13" t="n">
        <v>12.9</v>
      </c>
      <c r="AD13" t="n">
        <v>13.7</v>
      </c>
      <c r="AE13" t="n">
        <v>14.6</v>
      </c>
      <c r="AF13" t="n">
        <v>15.3</v>
      </c>
    </row>
    <row r="14">
      <c r="A14" t="s">
        <v>99</v>
      </c>
      <c r="B14" t="s">
        <v>298</v>
      </c>
      <c r="C14" t="s">
        <v>217</v>
      </c>
      <c r="D14" t="s">
        <v>299</v>
      </c>
      <c r="E14" t="s">
        <v>218</v>
      </c>
      <c r="F14" t="n">
        <v>2.2</v>
      </c>
      <c r="G14" t="n">
        <v>3.7</v>
      </c>
      <c r="H14" t="n">
        <v>4.6</v>
      </c>
      <c r="I14" t="n">
        <v>5.9</v>
      </c>
      <c r="J14" t="n">
        <v>7.1</v>
      </c>
      <c r="K14" t="n">
        <v>8.5</v>
      </c>
      <c r="L14" t="n">
        <v>10.9</v>
      </c>
      <c r="M14" t="n">
        <v>11.5</v>
      </c>
      <c r="N14" t="n">
        <v>13.1</v>
      </c>
      <c r="O14" t="n">
        <v>13.6</v>
      </c>
      <c r="P14" t="n">
        <v>29.1</v>
      </c>
      <c r="Q14" t="n">
        <v>31.7</v>
      </c>
      <c r="R14" t="n">
        <v>28.6</v>
      </c>
      <c r="S14" t="n">
        <v>26.2</v>
      </c>
      <c r="T14" t="n">
        <v>24.3</v>
      </c>
      <c r="U14" t="n">
        <v>24.4</v>
      </c>
      <c r="V14" t="n">
        <v>23.4</v>
      </c>
      <c r="W14" t="n">
        <v>22.3</v>
      </c>
      <c r="X14" t="n">
        <v>21.4</v>
      </c>
      <c r="Y14" t="n">
        <v>20.8</v>
      </c>
      <c r="Z14" t="n">
        <v>20.7</v>
      </c>
      <c r="AA14" t="n">
        <v>21.4</v>
      </c>
      <c r="AB14" t="n">
        <v>22.6</v>
      </c>
      <c r="AC14" t="n">
        <v>24.1</v>
      </c>
      <c r="AD14" t="n">
        <v>24.8</v>
      </c>
      <c r="AE14" t="n">
        <v>25.4</v>
      </c>
      <c r="AF14" t="n">
        <v>25.6</v>
      </c>
    </row>
    <row r="15">
      <c r="A15" t="s">
        <v>99</v>
      </c>
      <c r="B15" t="s">
        <v>300</v>
      </c>
      <c r="C15" t="s">
        <v>217</v>
      </c>
      <c r="D15" t="s">
        <v>301</v>
      </c>
      <c r="E15" t="s">
        <v>218</v>
      </c>
      <c r="F15" t="n">
        <v>2.3</v>
      </c>
      <c r="G15" t="n">
        <v>3.9</v>
      </c>
      <c r="H15" t="n">
        <v>4.9</v>
      </c>
      <c r="I15" t="n">
        <v>6.2</v>
      </c>
      <c r="J15" t="n">
        <v>7.5</v>
      </c>
      <c r="K15" t="n">
        <v>9.1</v>
      </c>
      <c r="L15" t="n">
        <v>11.5</v>
      </c>
      <c r="M15" t="n">
        <v>12.2</v>
      </c>
      <c r="N15" t="n">
        <v>13.9</v>
      </c>
      <c r="O15" t="n">
        <v>14.5</v>
      </c>
      <c r="P15" t="n">
        <v>30.6</v>
      </c>
      <c r="Q15" t="n">
        <v>35.7</v>
      </c>
      <c r="R15" t="n">
        <v>31.9</v>
      </c>
      <c r="S15" t="n">
        <v>28.7</v>
      </c>
      <c r="T15" t="n">
        <v>26.4</v>
      </c>
      <c r="U15" t="n">
        <v>26.7</v>
      </c>
      <c r="V15" t="n">
        <v>25.3</v>
      </c>
      <c r="W15" t="n">
        <v>24</v>
      </c>
      <c r="X15" t="n">
        <v>22.7</v>
      </c>
      <c r="Y15" t="n">
        <v>22</v>
      </c>
      <c r="Z15" t="n">
        <v>22.2</v>
      </c>
      <c r="AA15" t="n">
        <v>22.7</v>
      </c>
      <c r="AB15" t="n">
        <v>23.8</v>
      </c>
      <c r="AC15" t="n">
        <v>26.6</v>
      </c>
      <c r="AD15" t="n">
        <v>28.7</v>
      </c>
      <c r="AE15" t="n">
        <v>30.2</v>
      </c>
      <c r="AF15" t="n">
        <v>31.1</v>
      </c>
    </row>
    <row r="16">
      <c r="A16" t="s">
        <v>99</v>
      </c>
      <c r="B16" t="s">
        <v>302</v>
      </c>
      <c r="C16" t="s">
        <v>217</v>
      </c>
      <c r="D16" t="s">
        <v>303</v>
      </c>
      <c r="E16" t="s">
        <v>218</v>
      </c>
      <c r="F16" t="n">
        <v>0.1</v>
      </c>
      <c r="G16" t="n">
        <v>0.2</v>
      </c>
      <c r="H16" t="n">
        <v>0.3</v>
      </c>
      <c r="I16" t="n">
        <v>0.3</v>
      </c>
      <c r="J16" t="n">
        <v>0.4</v>
      </c>
      <c r="K16" t="n">
        <v>0.6</v>
      </c>
      <c r="L16" t="n">
        <v>0.6</v>
      </c>
      <c r="M16" t="n">
        <v>0.7</v>
      </c>
      <c r="N16" t="n">
        <v>0.8</v>
      </c>
      <c r="O16" t="n">
        <v>0.9</v>
      </c>
      <c r="P16" t="n">
        <v>1.5</v>
      </c>
      <c r="Q16" t="n">
        <v>4</v>
      </c>
      <c r="R16" t="n">
        <v>3.3</v>
      </c>
      <c r="S16" t="n">
        <v>2.5</v>
      </c>
      <c r="T16" t="n">
        <v>2.1</v>
      </c>
      <c r="U16" t="n">
        <v>2.3</v>
      </c>
      <c r="V16" t="n">
        <v>1.9</v>
      </c>
      <c r="W16" t="n">
        <v>1.7</v>
      </c>
      <c r="X16" t="n">
        <v>1.3</v>
      </c>
      <c r="Y16" t="n">
        <v>1.2</v>
      </c>
      <c r="Z16" t="n">
        <v>1.5</v>
      </c>
      <c r="AA16" t="n">
        <v>1.3</v>
      </c>
      <c r="AB16" t="n">
        <v>1.2</v>
      </c>
      <c r="AC16" t="n">
        <v>2.5</v>
      </c>
      <c r="AD16" t="n">
        <v>3.9</v>
      </c>
      <c r="AE16" t="n">
        <v>4.8</v>
      </c>
      <c r="AF16" t="n">
        <v>5.5</v>
      </c>
    </row>
    <row r="17">
      <c r="A17" t="s">
        <v>99</v>
      </c>
      <c r="B17" t="s">
        <v>304</v>
      </c>
      <c r="C17" t="s">
        <v>217</v>
      </c>
      <c r="D17" t="s">
        <v>305</v>
      </c>
      <c r="E17" t="s">
        <v>218</v>
      </c>
      <c r="F17" t="n">
        <v>0.4</v>
      </c>
      <c r="G17" t="n">
        <v>0.6</v>
      </c>
      <c r="H17" t="n">
        <v>0.8</v>
      </c>
      <c r="I17" t="n">
        <v>1</v>
      </c>
      <c r="J17" t="n">
        <v>1.2</v>
      </c>
      <c r="K17" t="n">
        <v>1.5</v>
      </c>
      <c r="L17" t="n">
        <v>1.8</v>
      </c>
      <c r="M17" t="n">
        <v>2.1</v>
      </c>
      <c r="N17" t="n">
        <v>2.3</v>
      </c>
      <c r="O17" t="n">
        <v>2.5</v>
      </c>
      <c r="P17" t="n">
        <v>3.2</v>
      </c>
      <c r="Q17" t="n">
        <v>4</v>
      </c>
      <c r="R17" t="n">
        <v>4.2</v>
      </c>
      <c r="S17" t="n">
        <v>4.5</v>
      </c>
      <c r="T17" t="n">
        <v>4.3</v>
      </c>
      <c r="U17" t="n">
        <v>4.3</v>
      </c>
      <c r="V17" t="n">
        <v>4.2</v>
      </c>
      <c r="W17" t="n">
        <v>4</v>
      </c>
      <c r="X17" t="n">
        <v>3.8</v>
      </c>
      <c r="Y17" t="n">
        <v>3.7</v>
      </c>
      <c r="Z17" t="n">
        <v>3.6</v>
      </c>
      <c r="AA17" t="n">
        <v>4.9</v>
      </c>
      <c r="AB17" t="n">
        <v>5.7</v>
      </c>
      <c r="AC17" t="n">
        <v>8.5</v>
      </c>
      <c r="AD17" t="n">
        <v>8.8</v>
      </c>
      <c r="AE17" t="n">
        <v>9.2</v>
      </c>
      <c r="AF17" t="n">
        <v>9.6</v>
      </c>
    </row>
    <row r="18">
      <c r="A18" t="s">
        <v>99</v>
      </c>
      <c r="B18" t="s">
        <v>306</v>
      </c>
      <c r="C18" t="s">
        <v>217</v>
      </c>
      <c r="D18" t="s">
        <v>307</v>
      </c>
      <c r="E18" t="s">
        <v>218</v>
      </c>
      <c r="F18" t="n">
        <v>0.2</v>
      </c>
      <c r="G18" t="n">
        <v>0.4</v>
      </c>
      <c r="H18" t="n">
        <v>0.5</v>
      </c>
      <c r="I18" t="n">
        <v>0.6</v>
      </c>
      <c r="J18" t="n">
        <v>0.8</v>
      </c>
      <c r="K18" t="n">
        <v>1</v>
      </c>
      <c r="L18" t="n">
        <v>1.1</v>
      </c>
      <c r="M18" t="n">
        <v>1.4</v>
      </c>
      <c r="N18" t="n">
        <v>1.5</v>
      </c>
      <c r="O18" t="n">
        <v>1.6</v>
      </c>
      <c r="P18" t="n">
        <v>1.8</v>
      </c>
      <c r="Q18" t="n">
        <v>2.4</v>
      </c>
      <c r="R18" t="n">
        <v>2.3</v>
      </c>
      <c r="S18" t="n">
        <v>2.9</v>
      </c>
      <c r="T18" t="n">
        <v>3.6</v>
      </c>
      <c r="U18" t="n">
        <v>3.3</v>
      </c>
      <c r="V18" t="n">
        <v>2.8</v>
      </c>
      <c r="W18" t="n">
        <v>2.4</v>
      </c>
      <c r="X18" t="n">
        <v>2.2</v>
      </c>
      <c r="Y18" t="n">
        <v>2</v>
      </c>
      <c r="Z18" t="n">
        <v>2</v>
      </c>
      <c r="AA18" t="n">
        <v>2.1</v>
      </c>
      <c r="AB18" t="n">
        <v>2.2</v>
      </c>
      <c r="AC18" t="n">
        <v>2.4</v>
      </c>
      <c r="AD18" t="n">
        <v>2.4</v>
      </c>
      <c r="AE18" t="n">
        <v>2.5</v>
      </c>
      <c r="AF18" t="n">
        <v>2.6</v>
      </c>
    </row>
    <row r="19">
      <c r="A19" t="s">
        <v>99</v>
      </c>
      <c r="B19" t="s">
        <v>308</v>
      </c>
      <c r="C19" t="s">
        <v>217</v>
      </c>
      <c r="D19" t="s">
        <v>309</v>
      </c>
      <c r="E19" t="s">
        <v>218</v>
      </c>
      <c r="F19" t="n">
        <v>0.6</v>
      </c>
      <c r="G19" t="n">
        <v>1</v>
      </c>
      <c r="H19" t="n">
        <v>1.3</v>
      </c>
      <c r="I19" t="n">
        <v>1.6</v>
      </c>
      <c r="J19" t="n">
        <v>2</v>
      </c>
      <c r="K19" t="n">
        <v>2.3</v>
      </c>
      <c r="L19" t="n">
        <v>3</v>
      </c>
      <c r="M19" t="n">
        <v>3.6</v>
      </c>
      <c r="N19" t="n">
        <v>4.2</v>
      </c>
      <c r="O19" t="n">
        <v>4.5</v>
      </c>
      <c r="P19" t="n">
        <v>5.2</v>
      </c>
      <c r="Q19" t="n">
        <v>6.9</v>
      </c>
      <c r="R19" t="n">
        <v>8.1</v>
      </c>
      <c r="S19" t="n">
        <v>8.4</v>
      </c>
      <c r="T19" t="n">
        <v>8.7</v>
      </c>
      <c r="U19" t="n">
        <v>8.6</v>
      </c>
      <c r="V19" t="n">
        <v>8.4</v>
      </c>
      <c r="W19" t="n">
        <v>8.1</v>
      </c>
      <c r="X19" t="n">
        <v>7.5</v>
      </c>
      <c r="Y19" t="n">
        <v>7.5</v>
      </c>
      <c r="Z19" t="n">
        <v>7.6</v>
      </c>
      <c r="AA19" t="n">
        <v>7.7</v>
      </c>
      <c r="AB19" t="n">
        <v>8</v>
      </c>
      <c r="AC19" t="n">
        <v>8.4</v>
      </c>
      <c r="AD19" t="n">
        <v>8.7</v>
      </c>
      <c r="AE19" t="n">
        <v>9</v>
      </c>
      <c r="AF19" t="n">
        <v>9.2</v>
      </c>
    </row>
    <row r="20">
      <c r="A20" t="s">
        <v>99</v>
      </c>
      <c r="B20" t="s">
        <v>310</v>
      </c>
      <c r="C20" t="s">
        <v>217</v>
      </c>
      <c r="D20" t="s">
        <v>311</v>
      </c>
      <c r="E20" t="s">
        <v>218</v>
      </c>
      <c r="F20" t="n">
        <v>2.7</v>
      </c>
      <c r="G20" t="n">
        <v>4.6</v>
      </c>
      <c r="H20" t="n">
        <v>6</v>
      </c>
      <c r="I20" t="n">
        <v>7.7</v>
      </c>
      <c r="J20" t="n">
        <v>9.4</v>
      </c>
      <c r="K20" t="n">
        <v>12.1</v>
      </c>
      <c r="L20" t="n">
        <v>13.4</v>
      </c>
      <c r="M20" t="n">
        <v>13.7</v>
      </c>
      <c r="N20" t="n">
        <v>14.8</v>
      </c>
      <c r="O20" t="n">
        <v>15.8</v>
      </c>
      <c r="P20" t="n">
        <v>17.7</v>
      </c>
      <c r="Q20" t="n">
        <v>19</v>
      </c>
      <c r="R20" t="n">
        <v>19.2</v>
      </c>
      <c r="S20" t="n">
        <v>19.6</v>
      </c>
      <c r="T20" t="n">
        <v>20.8</v>
      </c>
      <c r="U20" t="n">
        <v>21.6</v>
      </c>
      <c r="V20" t="n">
        <v>22.8</v>
      </c>
      <c r="W20" t="n">
        <v>24.1</v>
      </c>
      <c r="X20" t="n">
        <v>24.8</v>
      </c>
      <c r="Y20" t="n">
        <v>31.6</v>
      </c>
      <c r="Z20" t="n">
        <v>33.6</v>
      </c>
      <c r="AA20" t="n">
        <v>37.1</v>
      </c>
      <c r="AB20" t="n">
        <v>38.7</v>
      </c>
      <c r="AC20" t="n">
        <v>40.4</v>
      </c>
      <c r="AD20" t="n">
        <v>49.3</v>
      </c>
      <c r="AE20" t="n">
        <v>54.4</v>
      </c>
      <c r="AF20" t="n">
        <v>58.3</v>
      </c>
    </row>
    <row r="21">
      <c r="A21" t="s">
        <v>99</v>
      </c>
      <c r="B21" t="s">
        <v>312</v>
      </c>
      <c r="C21" t="s">
        <v>217</v>
      </c>
      <c r="D21" t="s">
        <v>313</v>
      </c>
      <c r="E21" t="s">
        <v>218</v>
      </c>
      <c r="F21" t="n">
        <v>3.1</v>
      </c>
      <c r="G21" t="n">
        <v>5.4</v>
      </c>
      <c r="H21" t="n">
        <v>7</v>
      </c>
      <c r="I21" t="n">
        <v>9</v>
      </c>
      <c r="J21" t="n">
        <v>11</v>
      </c>
      <c r="K21" t="n">
        <v>14.1</v>
      </c>
      <c r="L21" t="n">
        <v>16.9</v>
      </c>
      <c r="M21" t="n">
        <v>17.6</v>
      </c>
      <c r="N21" t="n">
        <v>18.5</v>
      </c>
      <c r="O21" t="n">
        <v>18.9</v>
      </c>
      <c r="P21" t="n">
        <v>22.4</v>
      </c>
      <c r="Q21" t="n">
        <v>100.5</v>
      </c>
      <c r="R21" t="n">
        <v>136.2</v>
      </c>
      <c r="S21" t="n">
        <v>94.4</v>
      </c>
      <c r="T21" t="n">
        <v>72.8</v>
      </c>
      <c r="U21" t="n">
        <v>58.5</v>
      </c>
      <c r="V21" t="n">
        <v>48.4</v>
      </c>
      <c r="W21" t="n">
        <v>42.7</v>
      </c>
      <c r="X21" t="n">
        <v>38.3</v>
      </c>
      <c r="Y21" t="n">
        <v>46</v>
      </c>
      <c r="Z21" t="n">
        <v>50.7</v>
      </c>
      <c r="AA21" t="n">
        <v>52.6</v>
      </c>
      <c r="AB21" t="n">
        <v>53.1</v>
      </c>
      <c r="AC21" t="n">
        <v>53.8</v>
      </c>
      <c r="AD21" t="n">
        <v>62.4</v>
      </c>
      <c r="AE21" t="n">
        <v>67.4</v>
      </c>
      <c r="AF21" t="n">
        <v>72.3</v>
      </c>
    </row>
    <row r="22">
      <c r="A22" t="s">
        <v>99</v>
      </c>
      <c r="B22" t="s">
        <v>314</v>
      </c>
      <c r="C22" t="s">
        <v>217</v>
      </c>
      <c r="D22" t="s">
        <v>315</v>
      </c>
      <c r="E22" t="s">
        <v>218</v>
      </c>
      <c r="F22" t="n">
        <v>0.4</v>
      </c>
      <c r="G22" t="n">
        <v>0.8</v>
      </c>
      <c r="H22" t="n">
        <v>1</v>
      </c>
      <c r="I22" t="n">
        <v>1.3</v>
      </c>
      <c r="J22" t="n">
        <v>1.6</v>
      </c>
      <c r="K22" t="n">
        <v>2</v>
      </c>
      <c r="L22" t="n">
        <v>3.5</v>
      </c>
      <c r="M22" t="n">
        <v>3.9</v>
      </c>
      <c r="N22" t="n">
        <v>3.7</v>
      </c>
      <c r="O22" t="n">
        <v>3.1</v>
      </c>
      <c r="P22" t="n">
        <v>4.7</v>
      </c>
      <c r="Q22" t="n">
        <v>81.5</v>
      </c>
      <c r="R22" t="n">
        <v>117</v>
      </c>
      <c r="S22" t="n">
        <v>74.8</v>
      </c>
      <c r="T22" t="n">
        <v>52</v>
      </c>
      <c r="U22" t="n">
        <v>36.9</v>
      </c>
      <c r="V22" t="n">
        <v>25.6</v>
      </c>
      <c r="W22" t="n">
        <v>18.6</v>
      </c>
      <c r="X22" t="n">
        <v>13.5</v>
      </c>
      <c r="Y22" t="n">
        <v>14.4</v>
      </c>
      <c r="Z22" t="n">
        <v>17.1</v>
      </c>
      <c r="AA22" t="n">
        <v>15.5</v>
      </c>
      <c r="AB22" t="n">
        <v>14.4</v>
      </c>
      <c r="AC22" t="n">
        <v>13.4</v>
      </c>
      <c r="AD22" t="n">
        <v>13.1</v>
      </c>
      <c r="AE22" t="n">
        <v>13</v>
      </c>
      <c r="AF22" t="n">
        <v>14</v>
      </c>
    </row>
    <row r="23">
      <c r="A23" t="s">
        <v>99</v>
      </c>
      <c r="B23" t="s">
        <v>316</v>
      </c>
      <c r="C23" t="s">
        <v>217</v>
      </c>
      <c r="D23" t="s">
        <v>317</v>
      </c>
      <c r="E23" t="s">
        <v>218</v>
      </c>
      <c r="F23" t="n">
        <v>1.2</v>
      </c>
      <c r="G23" t="n">
        <v>1.5</v>
      </c>
      <c r="H23" t="n">
        <v>1.8</v>
      </c>
      <c r="I23" t="n">
        <v>2.2</v>
      </c>
      <c r="J23" t="n">
        <v>2.6</v>
      </c>
      <c r="K23" t="n">
        <v>3.5</v>
      </c>
      <c r="L23" t="n">
        <v>4.9</v>
      </c>
      <c r="M23" t="n">
        <v>9.5</v>
      </c>
      <c r="N23" t="n">
        <v>11.7</v>
      </c>
      <c r="O23" t="n">
        <v>12</v>
      </c>
      <c r="P23" t="n">
        <v>16.2</v>
      </c>
      <c r="Q23" t="n">
        <v>24.9</v>
      </c>
      <c r="R23" t="n">
        <v>32.4</v>
      </c>
      <c r="S23" t="n">
        <v>28.9</v>
      </c>
      <c r="T23" t="n">
        <v>22.9</v>
      </c>
      <c r="U23" t="n">
        <v>20.1</v>
      </c>
      <c r="V23" t="n">
        <v>16</v>
      </c>
      <c r="W23" t="n">
        <v>17.6</v>
      </c>
      <c r="X23" t="n">
        <v>16.4</v>
      </c>
      <c r="Y23" t="n">
        <v>12.6</v>
      </c>
      <c r="Z23" t="n">
        <v>11.1</v>
      </c>
      <c r="AA23" t="n">
        <v>10.5</v>
      </c>
      <c r="AB23" t="n">
        <v>10.2</v>
      </c>
      <c r="AC23" t="n">
        <v>12.9</v>
      </c>
      <c r="AD23" t="n">
        <v>15</v>
      </c>
      <c r="AE23" t="n">
        <v>17.9</v>
      </c>
      <c r="AF23" t="n">
        <v>20</v>
      </c>
    </row>
    <row r="24">
      <c r="A24" t="s">
        <v>99</v>
      </c>
      <c r="B24" t="s">
        <v>318</v>
      </c>
      <c r="C24" t="s">
        <v>217</v>
      </c>
      <c r="D24" t="s">
        <v>319</v>
      </c>
      <c r="E24" t="s">
        <v>218</v>
      </c>
      <c r="F24" t="n">
        <v>13.6</v>
      </c>
      <c r="G24" t="n">
        <v>17.6</v>
      </c>
      <c r="H24" t="n">
        <v>19</v>
      </c>
      <c r="I24" t="n">
        <v>23.3</v>
      </c>
      <c r="J24" t="n">
        <v>27.5</v>
      </c>
      <c r="K24" t="n">
        <v>30.4</v>
      </c>
      <c r="L24" t="n">
        <v>55.4</v>
      </c>
      <c r="M24" t="n">
        <v>122.9</v>
      </c>
      <c r="N24" t="n">
        <v>150.3</v>
      </c>
      <c r="O24" t="n">
        <v>178.2</v>
      </c>
      <c r="P24" t="n">
        <v>250.5</v>
      </c>
      <c r="Q24" t="n">
        <v>321.3</v>
      </c>
      <c r="R24" t="n">
        <v>366.5</v>
      </c>
      <c r="S24" t="n">
        <v>357.6</v>
      </c>
      <c r="T24" t="n">
        <v>331.1</v>
      </c>
      <c r="U24" t="n">
        <v>402.4</v>
      </c>
      <c r="V24" t="n">
        <v>444.6</v>
      </c>
      <c r="W24" t="n">
        <v>400.4</v>
      </c>
      <c r="X24" t="n">
        <v>379</v>
      </c>
      <c r="Y24" t="n">
        <v>321.8</v>
      </c>
      <c r="Z24" t="n">
        <v>357.6</v>
      </c>
      <c r="AA24" t="n">
        <v>377.7</v>
      </c>
      <c r="AB24" t="n">
        <v>395.7</v>
      </c>
      <c r="AC24" t="n">
        <v>358.4</v>
      </c>
      <c r="AD24" t="n">
        <v>348.7</v>
      </c>
      <c r="AE24" t="n">
        <v>334.2</v>
      </c>
      <c r="AF24" t="n">
        <v>332.5</v>
      </c>
    </row>
    <row r="25">
      <c r="A25" t="s">
        <v>99</v>
      </c>
      <c r="B25" t="s">
        <v>320</v>
      </c>
      <c r="C25" t="s">
        <v>217</v>
      </c>
      <c r="D25" t="s">
        <v>321</v>
      </c>
      <c r="E25" t="s">
        <v>218</v>
      </c>
      <c r="F25" t="n">
        <v>0.1</v>
      </c>
      <c r="G25" t="n">
        <v>0.1</v>
      </c>
      <c r="H25" t="n">
        <v>0</v>
      </c>
      <c r="I25" t="n">
        <v>0</v>
      </c>
      <c r="J25" t="n">
        <v>0</v>
      </c>
      <c r="K25" t="n">
        <v>0</v>
      </c>
      <c r="L25" t="n">
        <v>1.9</v>
      </c>
      <c r="M25" t="n">
        <v>4.5</v>
      </c>
      <c r="N25" t="n">
        <v>9.9</v>
      </c>
      <c r="O25" t="n">
        <v>9.6</v>
      </c>
      <c r="P25" t="n">
        <v>12.2</v>
      </c>
      <c r="Q25" t="n">
        <v>16.2</v>
      </c>
      <c r="R25" t="n">
        <v>20.1</v>
      </c>
      <c r="S25" t="n">
        <v>20.4</v>
      </c>
      <c r="T25" t="n">
        <v>17.9</v>
      </c>
      <c r="U25" t="n">
        <v>22.7</v>
      </c>
      <c r="V25" t="n">
        <v>22.3</v>
      </c>
      <c r="W25" t="n">
        <v>18.1</v>
      </c>
      <c r="X25" t="n">
        <v>15</v>
      </c>
      <c r="Y25" t="n">
        <v>12.2</v>
      </c>
      <c r="Z25" t="n">
        <v>13.2</v>
      </c>
      <c r="AA25" t="n">
        <v>21</v>
      </c>
      <c r="AB25" t="n">
        <v>25.9</v>
      </c>
      <c r="AC25" t="n">
        <v>21.2</v>
      </c>
      <c r="AD25" t="n">
        <v>16.3</v>
      </c>
      <c r="AE25" t="n">
        <v>15</v>
      </c>
      <c r="AF25" t="n">
        <v>14.8</v>
      </c>
    </row>
    <row r="26">
      <c r="A26" t="s">
        <v>99</v>
      </c>
      <c r="B26" t="s">
        <v>322</v>
      </c>
      <c r="C26" t="s">
        <v>217</v>
      </c>
      <c r="D26" t="s">
        <v>323</v>
      </c>
      <c r="E26" t="s">
        <v>218</v>
      </c>
      <c r="F26" t="n">
        <v>5</v>
      </c>
      <c r="G26" t="n">
        <v>6.6</v>
      </c>
      <c r="H26" t="n">
        <v>7.2</v>
      </c>
      <c r="I26" t="n">
        <v>8.9</v>
      </c>
      <c r="J26" t="n">
        <v>10.5</v>
      </c>
      <c r="K26" t="n">
        <v>11.6</v>
      </c>
      <c r="L26" t="n">
        <v>22.5</v>
      </c>
      <c r="M26" t="n">
        <v>50.2</v>
      </c>
      <c r="N26" t="n">
        <v>69.2</v>
      </c>
      <c r="O26" t="n">
        <v>97.3</v>
      </c>
      <c r="P26" t="n">
        <v>139.7</v>
      </c>
      <c r="Q26" t="n">
        <v>192.8</v>
      </c>
      <c r="R26" t="n">
        <v>223.8</v>
      </c>
      <c r="S26" t="n">
        <v>220.3</v>
      </c>
      <c r="T26" t="n">
        <v>203</v>
      </c>
      <c r="U26" t="n">
        <v>236.6</v>
      </c>
      <c r="V26" t="n">
        <v>241.4</v>
      </c>
      <c r="W26" t="n">
        <v>216</v>
      </c>
      <c r="X26" t="n">
        <v>205.8</v>
      </c>
      <c r="Y26" t="n">
        <v>172.1</v>
      </c>
      <c r="Z26" t="n">
        <v>203.7</v>
      </c>
      <c r="AA26" t="n">
        <v>200.4</v>
      </c>
      <c r="AB26" t="n">
        <v>201.3</v>
      </c>
      <c r="AC26" t="n">
        <v>184</v>
      </c>
      <c r="AD26" t="n">
        <v>177.6</v>
      </c>
      <c r="AE26" t="n">
        <v>177.5</v>
      </c>
      <c r="AF26" t="n">
        <v>182.5</v>
      </c>
    </row>
    <row r="27">
      <c r="A27" t="s">
        <v>99</v>
      </c>
      <c r="B27" t="s">
        <v>324</v>
      </c>
      <c r="C27" t="s">
        <v>217</v>
      </c>
      <c r="D27" t="s">
        <v>325</v>
      </c>
      <c r="E27" t="s">
        <v>218</v>
      </c>
      <c r="F27" t="n">
        <v>8.5</v>
      </c>
      <c r="G27" t="n">
        <v>10.9</v>
      </c>
      <c r="H27" t="n">
        <v>11.8</v>
      </c>
      <c r="I27" t="n">
        <v>14.4</v>
      </c>
      <c r="J27" t="n">
        <v>17</v>
      </c>
      <c r="K27" t="n">
        <v>18.8</v>
      </c>
      <c r="L27" t="n">
        <v>31</v>
      </c>
      <c r="M27" t="n">
        <v>68.2</v>
      </c>
      <c r="N27" t="n">
        <v>71.2</v>
      </c>
      <c r="O27" t="n">
        <v>71.3</v>
      </c>
      <c r="P27" t="n">
        <v>98.6</v>
      </c>
      <c r="Q27" t="n">
        <v>112.3</v>
      </c>
      <c r="R27" t="n">
        <v>122.6</v>
      </c>
      <c r="S27" t="n">
        <v>116.9</v>
      </c>
      <c r="T27" t="n">
        <v>110.2</v>
      </c>
      <c r="U27" t="n">
        <v>143.1</v>
      </c>
      <c r="V27" t="n">
        <v>180.9</v>
      </c>
      <c r="W27" t="n">
        <v>166.3</v>
      </c>
      <c r="X27" t="n">
        <v>158.2</v>
      </c>
      <c r="Y27" t="n">
        <v>137.5</v>
      </c>
      <c r="Z27" t="n">
        <v>140.7</v>
      </c>
      <c r="AA27" t="n">
        <v>156.3</v>
      </c>
      <c r="AB27" t="n">
        <v>168.5</v>
      </c>
      <c r="AC27" t="n">
        <v>153.2</v>
      </c>
      <c r="AD27" t="n">
        <v>154.8</v>
      </c>
      <c r="AE27" t="n">
        <v>141.7</v>
      </c>
      <c r="AF27" t="n">
        <v>135.2</v>
      </c>
    </row>
    <row r="28">
      <c r="A28" t="s">
        <v>99</v>
      </c>
      <c r="B28" t="s">
        <v>326</v>
      </c>
      <c r="C28" t="s">
        <v>217</v>
      </c>
      <c r="D28" t="s">
        <v>327</v>
      </c>
      <c r="E28" t="s">
        <v>218</v>
      </c>
      <c r="F28" t="n">
        <v>6.3</v>
      </c>
      <c r="G28" t="n">
        <v>9.5</v>
      </c>
      <c r="H28" t="n">
        <v>10.6</v>
      </c>
      <c r="I28" t="n">
        <v>14.4</v>
      </c>
      <c r="J28" t="n">
        <v>18.9</v>
      </c>
      <c r="K28" t="n">
        <v>20.9</v>
      </c>
      <c r="L28" t="n">
        <v>35.5</v>
      </c>
      <c r="M28" t="n">
        <v>73.3</v>
      </c>
      <c r="N28" t="n">
        <v>60.7</v>
      </c>
      <c r="O28" t="n">
        <v>50.9</v>
      </c>
      <c r="P28" t="n">
        <v>48</v>
      </c>
      <c r="Q28" t="n">
        <v>49</v>
      </c>
      <c r="R28" t="n">
        <v>51.3</v>
      </c>
      <c r="S28" t="n">
        <v>51.6</v>
      </c>
      <c r="T28" t="n">
        <v>53.2</v>
      </c>
      <c r="U28" t="n">
        <v>52.2</v>
      </c>
      <c r="V28" t="n">
        <v>49.8</v>
      </c>
      <c r="W28" t="n">
        <v>47</v>
      </c>
      <c r="X28" t="n">
        <v>44.6</v>
      </c>
      <c r="Y28" t="n">
        <v>43.1</v>
      </c>
      <c r="Z28" t="n">
        <v>47.3</v>
      </c>
      <c r="AA28" t="n">
        <v>53.1</v>
      </c>
      <c r="AB28" t="n">
        <v>57.6</v>
      </c>
      <c r="AC28" t="n">
        <v>63.4</v>
      </c>
      <c r="AD28" t="n">
        <v>60.2</v>
      </c>
      <c r="AE28" t="n">
        <v>56.1</v>
      </c>
      <c r="AF28" t="n">
        <v>53.3</v>
      </c>
    </row>
    <row r="29">
      <c r="A29" t="s">
        <v>99</v>
      </c>
      <c r="B29" t="s">
        <v>328</v>
      </c>
      <c r="C29" t="s">
        <v>217</v>
      </c>
      <c r="D29" t="s">
        <v>329</v>
      </c>
      <c r="E29" t="s">
        <v>218</v>
      </c>
      <c r="F29" t="n">
        <v>1.1</v>
      </c>
      <c r="G29" t="n">
        <v>1.5</v>
      </c>
      <c r="H29" t="n">
        <v>1.7</v>
      </c>
      <c r="I29" t="n">
        <v>2.1</v>
      </c>
      <c r="J29" t="n">
        <v>2.5</v>
      </c>
      <c r="K29" t="n">
        <v>3.4</v>
      </c>
      <c r="L29" t="n">
        <v>6.4</v>
      </c>
      <c r="M29" t="n">
        <v>5.8</v>
      </c>
      <c r="N29" t="n">
        <v>5.8</v>
      </c>
      <c r="O29" t="n">
        <v>6.6</v>
      </c>
      <c r="P29" t="n">
        <v>10.6</v>
      </c>
      <c r="Q29" t="n">
        <v>14.2</v>
      </c>
      <c r="R29" t="n">
        <v>12.8</v>
      </c>
      <c r="S29" t="n">
        <v>12.9</v>
      </c>
      <c r="T29" t="n">
        <v>12.5</v>
      </c>
      <c r="U29" t="n">
        <v>11.5</v>
      </c>
      <c r="V29" t="n">
        <v>10.1</v>
      </c>
      <c r="W29" t="n">
        <v>9</v>
      </c>
      <c r="X29" t="n">
        <v>8.4</v>
      </c>
      <c r="Y29" t="n">
        <v>8.5</v>
      </c>
      <c r="Z29" t="n">
        <v>8.2</v>
      </c>
      <c r="AA29" t="n">
        <v>8.2</v>
      </c>
      <c r="AB29" t="n">
        <v>9.7</v>
      </c>
      <c r="AC29" t="n">
        <v>10.4</v>
      </c>
      <c r="AD29" t="n">
        <v>10.6</v>
      </c>
      <c r="AE29" t="n">
        <v>10.7</v>
      </c>
      <c r="AF29" t="n">
        <v>10.6</v>
      </c>
    </row>
    <row r="30">
      <c r="A30" t="s">
        <v>99</v>
      </c>
      <c r="B30" t="s">
        <v>330</v>
      </c>
      <c r="C30" t="s">
        <v>217</v>
      </c>
      <c r="D30" t="s">
        <v>331</v>
      </c>
      <c r="E30" t="s">
        <v>218</v>
      </c>
      <c r="F30" t="n">
        <v>1.9</v>
      </c>
      <c r="G30" t="n">
        <v>3.1</v>
      </c>
      <c r="H30" t="n">
        <v>3.3</v>
      </c>
      <c r="I30" t="n">
        <v>4.7</v>
      </c>
      <c r="J30" t="n">
        <v>6.4</v>
      </c>
      <c r="K30" t="n">
        <v>6.1</v>
      </c>
      <c r="L30" t="n">
        <v>9.7</v>
      </c>
      <c r="M30" t="n">
        <v>8.9</v>
      </c>
      <c r="N30" t="n">
        <v>8.8</v>
      </c>
      <c r="O30" t="n">
        <v>9</v>
      </c>
      <c r="P30" t="n">
        <v>9</v>
      </c>
      <c r="Q30" t="n">
        <v>9.7</v>
      </c>
      <c r="R30" t="n">
        <v>10.2</v>
      </c>
      <c r="S30" t="n">
        <v>11</v>
      </c>
      <c r="T30" t="n">
        <v>11.9</v>
      </c>
      <c r="U30" t="n">
        <v>13.1</v>
      </c>
      <c r="V30" t="n">
        <v>13.7</v>
      </c>
      <c r="W30" t="n">
        <v>13.8</v>
      </c>
      <c r="X30" t="n">
        <v>13.9</v>
      </c>
      <c r="Y30" t="n">
        <v>13.7</v>
      </c>
      <c r="Z30" t="n">
        <v>13.8</v>
      </c>
      <c r="AA30" t="n">
        <v>14.4</v>
      </c>
      <c r="AB30" t="n">
        <v>15.2</v>
      </c>
      <c r="AC30" t="n">
        <v>15.8</v>
      </c>
      <c r="AD30" t="n">
        <v>16.1</v>
      </c>
      <c r="AE30" t="n">
        <v>16.3</v>
      </c>
      <c r="AF30" t="n">
        <v>16.3</v>
      </c>
    </row>
    <row r="31">
      <c r="A31" t="s">
        <v>99</v>
      </c>
      <c r="B31" t="s">
        <v>332</v>
      </c>
      <c r="C31" t="s">
        <v>217</v>
      </c>
      <c r="D31" t="s">
        <v>333</v>
      </c>
      <c r="E31" t="s">
        <v>218</v>
      </c>
      <c r="F31" t="n">
        <v>0.8</v>
      </c>
      <c r="G31" t="n">
        <v>1</v>
      </c>
      <c r="H31" t="n">
        <v>1.5</v>
      </c>
      <c r="I31" t="n">
        <v>1.8</v>
      </c>
      <c r="J31" t="n">
        <v>2.2</v>
      </c>
      <c r="K31" t="n">
        <v>3.6</v>
      </c>
      <c r="L31" t="n">
        <v>7.3</v>
      </c>
      <c r="M31" t="n">
        <v>44.3</v>
      </c>
      <c r="N31" t="n">
        <v>30.6</v>
      </c>
      <c r="O31" t="n">
        <v>19.1</v>
      </c>
      <c r="P31" t="n">
        <v>13.1</v>
      </c>
      <c r="Q31" t="n">
        <v>10.3</v>
      </c>
      <c r="R31" t="n">
        <v>12.2</v>
      </c>
      <c r="S31" t="n">
        <v>11.4</v>
      </c>
      <c r="T31" t="n">
        <v>11.4</v>
      </c>
      <c r="U31" t="n">
        <v>9.2</v>
      </c>
      <c r="V31" t="n">
        <v>7.4</v>
      </c>
      <c r="W31" t="n">
        <v>6.3</v>
      </c>
      <c r="X31" t="n">
        <v>4.9</v>
      </c>
      <c r="Y31" t="n">
        <v>3.4</v>
      </c>
      <c r="Z31" t="n">
        <v>6.9</v>
      </c>
      <c r="AA31" t="n">
        <v>9.6</v>
      </c>
      <c r="AB31" t="n">
        <v>10.3</v>
      </c>
      <c r="AC31" t="n">
        <v>13.7</v>
      </c>
      <c r="AD31" t="n">
        <v>10.7</v>
      </c>
      <c r="AE31" t="n">
        <v>7</v>
      </c>
      <c r="AF31" t="n">
        <v>4.8</v>
      </c>
    </row>
    <row r="32">
      <c r="A32" t="s">
        <v>99</v>
      </c>
      <c r="B32" t="s">
        <v>334</v>
      </c>
      <c r="C32" t="s">
        <v>217</v>
      </c>
      <c r="D32" t="s">
        <v>335</v>
      </c>
      <c r="E32" t="s">
        <v>218</v>
      </c>
      <c r="F32" t="n">
        <v>2.4</v>
      </c>
      <c r="G32" t="n">
        <v>3.7</v>
      </c>
      <c r="H32" t="n">
        <v>3.8</v>
      </c>
      <c r="I32" t="n">
        <v>5.4</v>
      </c>
      <c r="J32" t="n">
        <v>7.3</v>
      </c>
      <c r="K32" t="n">
        <v>7</v>
      </c>
      <c r="L32" t="n">
        <v>11.2</v>
      </c>
      <c r="M32" t="n">
        <v>10.2</v>
      </c>
      <c r="N32" t="n">
        <v>10.4</v>
      </c>
      <c r="O32" t="n">
        <v>11.1</v>
      </c>
      <c r="P32" t="n">
        <v>11</v>
      </c>
      <c r="Q32" t="n">
        <v>11.7</v>
      </c>
      <c r="R32" t="n">
        <v>12.6</v>
      </c>
      <c r="S32" t="n">
        <v>13.3</v>
      </c>
      <c r="T32" t="n">
        <v>14.9</v>
      </c>
      <c r="U32" t="n">
        <v>16.5</v>
      </c>
      <c r="V32" t="n">
        <v>17.2</v>
      </c>
      <c r="W32" t="n">
        <v>16.7</v>
      </c>
      <c r="X32" t="n">
        <v>16.5</v>
      </c>
      <c r="Y32" t="n">
        <v>16.8</v>
      </c>
      <c r="Z32" t="n">
        <v>17.6</v>
      </c>
      <c r="AA32" t="n">
        <v>20.1</v>
      </c>
      <c r="AB32" t="n">
        <v>21.6</v>
      </c>
      <c r="AC32" t="n">
        <v>22.7</v>
      </c>
      <c r="AD32" t="n">
        <v>21.9</v>
      </c>
      <c r="AE32" t="n">
        <v>21.3</v>
      </c>
      <c r="AF32" t="n">
        <v>20.8</v>
      </c>
    </row>
    <row r="33">
      <c r="A33" t="s">
        <v>99</v>
      </c>
      <c r="B33" t="s">
        <v>336</v>
      </c>
      <c r="C33" t="s">
        <v>217</v>
      </c>
      <c r="D33" t="s">
        <v>337</v>
      </c>
      <c r="E33" t="s">
        <v>218</v>
      </c>
      <c r="F33" t="n">
        <v>0.1</v>
      </c>
      <c r="G33" t="n">
        <v>0.2</v>
      </c>
      <c r="H33" t="n">
        <v>0.3</v>
      </c>
      <c r="I33" t="n">
        <v>0.4</v>
      </c>
      <c r="J33" t="n">
        <v>0.5</v>
      </c>
      <c r="K33" t="n">
        <v>0.8</v>
      </c>
      <c r="L33" t="n">
        <v>0.9</v>
      </c>
      <c r="M33" t="n">
        <v>4.1</v>
      </c>
      <c r="N33" t="n">
        <v>5.1</v>
      </c>
      <c r="O33" t="n">
        <v>5.1</v>
      </c>
      <c r="P33" t="n">
        <v>4.3</v>
      </c>
      <c r="Q33" t="n">
        <v>3.1</v>
      </c>
      <c r="R33" t="n">
        <v>3.5</v>
      </c>
      <c r="S33" t="n">
        <v>3</v>
      </c>
      <c r="T33" t="n">
        <v>2.5</v>
      </c>
      <c r="U33" t="n">
        <v>1.9</v>
      </c>
      <c r="V33" t="n">
        <v>1.4</v>
      </c>
      <c r="W33" t="n">
        <v>1.2</v>
      </c>
      <c r="X33" t="n">
        <v>0.9</v>
      </c>
      <c r="Y33" t="n">
        <v>0.7</v>
      </c>
      <c r="Z33" t="n">
        <v>0.8</v>
      </c>
      <c r="AA33" t="n">
        <v>0.8</v>
      </c>
      <c r="AB33" t="n">
        <v>0.8</v>
      </c>
      <c r="AC33" t="n">
        <v>0.8</v>
      </c>
      <c r="AD33" t="n">
        <v>0.9</v>
      </c>
      <c r="AE33" t="n">
        <v>0.8</v>
      </c>
      <c r="AF33" t="n">
        <v>0.8</v>
      </c>
    </row>
    <row r="34">
      <c r="A34" t="s">
        <v>99</v>
      </c>
      <c r="B34" t="s">
        <v>338</v>
      </c>
      <c r="C34" t="s">
        <v>217</v>
      </c>
      <c r="D34" t="s">
        <v>339</v>
      </c>
      <c r="E34" t="s">
        <v>218</v>
      </c>
      <c r="F34" t="n">
        <v>3</v>
      </c>
      <c r="G34" t="n">
        <v>5.7</v>
      </c>
      <c r="H34" t="n">
        <v>10.6</v>
      </c>
      <c r="I34" t="n">
        <v>13.5</v>
      </c>
      <c r="J34" t="n">
        <v>16.6</v>
      </c>
      <c r="K34" t="n">
        <v>31.2</v>
      </c>
      <c r="L34" t="n">
        <v>30.5</v>
      </c>
      <c r="M34" t="n">
        <v>53.9</v>
      </c>
      <c r="N34" t="n">
        <v>68.6</v>
      </c>
      <c r="O34" t="n">
        <v>77.9</v>
      </c>
      <c r="P34" t="n">
        <v>107.5</v>
      </c>
      <c r="Q34" t="n">
        <v>65.6</v>
      </c>
      <c r="R34" t="n">
        <v>40.1</v>
      </c>
      <c r="S34" t="n">
        <v>56.1</v>
      </c>
      <c r="T34" t="n">
        <v>54.4</v>
      </c>
      <c r="U34" t="n">
        <v>101.1</v>
      </c>
      <c r="V34" t="n">
        <v>133.8</v>
      </c>
      <c r="W34" t="n">
        <v>127.9</v>
      </c>
      <c r="X34" t="n">
        <v>123.9</v>
      </c>
      <c r="Y34" t="n">
        <v>89</v>
      </c>
      <c r="Z34" t="n">
        <v>128.1</v>
      </c>
      <c r="AA34" t="n">
        <v>137.7</v>
      </c>
      <c r="AB34" t="n">
        <v>145.9</v>
      </c>
      <c r="AC34" t="n">
        <v>117.4</v>
      </c>
      <c r="AD34" t="n">
        <v>106.6</v>
      </c>
      <c r="AE34" t="n">
        <v>93.8</v>
      </c>
      <c r="AF34" t="n">
        <v>88.8</v>
      </c>
    </row>
    <row r="35">
      <c r="A35" t="s">
        <v>99</v>
      </c>
      <c r="B35" t="s">
        <v>340</v>
      </c>
      <c r="C35" t="s">
        <v>217</v>
      </c>
      <c r="D35" t="s">
        <v>341</v>
      </c>
      <c r="E35" t="s">
        <v>218</v>
      </c>
      <c r="F35" t="n">
        <v>36.2</v>
      </c>
      <c r="G35" t="n">
        <v>61.2</v>
      </c>
      <c r="H35" t="n">
        <v>76.3</v>
      </c>
      <c r="I35" t="n">
        <v>105.1</v>
      </c>
      <c r="J35" t="n">
        <v>138.8</v>
      </c>
      <c r="K35" t="n">
        <v>162.9</v>
      </c>
      <c r="L35" t="n">
        <v>198.2</v>
      </c>
      <c r="M35" t="n">
        <v>251.4</v>
      </c>
      <c r="N35" t="n">
        <v>297</v>
      </c>
      <c r="O35" t="n">
        <v>319.9</v>
      </c>
      <c r="P35" t="n">
        <v>390.8</v>
      </c>
      <c r="Q35" t="n">
        <v>459</v>
      </c>
      <c r="R35" t="n">
        <v>520</v>
      </c>
      <c r="S35" t="n">
        <v>534</v>
      </c>
      <c r="T35" t="n">
        <v>543.1</v>
      </c>
      <c r="U35" t="n">
        <v>490.8</v>
      </c>
      <c r="V35" t="n">
        <v>427.6</v>
      </c>
      <c r="W35" t="n">
        <v>376.1</v>
      </c>
      <c r="X35" t="n">
        <v>327.2</v>
      </c>
      <c r="Y35" t="n">
        <v>307.4</v>
      </c>
      <c r="Z35" t="n">
        <v>307.4</v>
      </c>
      <c r="AA35" t="n">
        <v>335.9</v>
      </c>
      <c r="AB35" t="n">
        <v>355.5</v>
      </c>
      <c r="AC35" t="n">
        <v>356.7</v>
      </c>
      <c r="AD35" t="n">
        <v>353.9</v>
      </c>
      <c r="AE35" t="n">
        <v>368.8</v>
      </c>
      <c r="AF35" t="n">
        <v>379.3</v>
      </c>
    </row>
    <row r="36">
      <c r="A36" t="s">
        <v>99</v>
      </c>
      <c r="B36" t="s">
        <v>342</v>
      </c>
      <c r="C36" t="s">
        <v>217</v>
      </c>
      <c r="D36" t="s">
        <v>343</v>
      </c>
      <c r="E36" t="s">
        <v>218</v>
      </c>
      <c r="F36" t="n">
        <v>9.3</v>
      </c>
      <c r="G36" t="n">
        <v>15.7</v>
      </c>
      <c r="H36" t="n">
        <v>20.2</v>
      </c>
      <c r="I36" t="n">
        <v>27.3</v>
      </c>
      <c r="J36" t="n">
        <v>35.4</v>
      </c>
      <c r="K36" t="n">
        <v>46.7</v>
      </c>
      <c r="L36" t="n">
        <v>53.2</v>
      </c>
      <c r="M36" t="n">
        <v>65.9</v>
      </c>
      <c r="N36" t="n">
        <v>78.4</v>
      </c>
      <c r="O36" t="n">
        <v>89</v>
      </c>
      <c r="P36" t="n">
        <v>140.4</v>
      </c>
      <c r="Q36" t="n">
        <v>194.2</v>
      </c>
      <c r="R36" t="n">
        <v>243.2</v>
      </c>
      <c r="S36" t="n">
        <v>253.6</v>
      </c>
      <c r="T36" t="n">
        <v>262.5</v>
      </c>
      <c r="U36" t="n">
        <v>187</v>
      </c>
      <c r="V36" t="n">
        <v>137.1</v>
      </c>
      <c r="W36" t="n">
        <v>103</v>
      </c>
      <c r="X36" t="n">
        <v>79.2</v>
      </c>
      <c r="Y36" t="n">
        <v>65.3</v>
      </c>
      <c r="Z36" t="n">
        <v>59.1</v>
      </c>
      <c r="AA36" t="n">
        <v>57.4</v>
      </c>
      <c r="AB36" t="n">
        <v>58.4</v>
      </c>
      <c r="AC36" t="n">
        <v>58.9</v>
      </c>
      <c r="AD36" t="n">
        <v>59.9</v>
      </c>
      <c r="AE36" t="n">
        <v>73.2</v>
      </c>
      <c r="AF36" t="n">
        <v>83.2</v>
      </c>
    </row>
    <row r="37">
      <c r="A37" t="s">
        <v>99</v>
      </c>
      <c r="B37" t="s">
        <v>344</v>
      </c>
      <c r="C37" t="s">
        <v>217</v>
      </c>
      <c r="D37" t="s">
        <v>345</v>
      </c>
      <c r="E37" t="s">
        <v>218</v>
      </c>
      <c r="F37" t="n">
        <v>12.2</v>
      </c>
      <c r="G37" t="n">
        <v>20.3</v>
      </c>
      <c r="H37" t="n">
        <v>22.6</v>
      </c>
      <c r="I37" t="n">
        <v>31.9</v>
      </c>
      <c r="J37" t="n">
        <v>42.7</v>
      </c>
      <c r="K37" t="n">
        <v>44.5</v>
      </c>
      <c r="L37" t="n">
        <v>66.1</v>
      </c>
      <c r="M37" t="n">
        <v>92.8</v>
      </c>
      <c r="N37" t="n">
        <v>101.8</v>
      </c>
      <c r="O37" t="n">
        <v>102.4</v>
      </c>
      <c r="P37" t="n">
        <v>144</v>
      </c>
      <c r="Q37" t="n">
        <v>162.3</v>
      </c>
      <c r="R37" t="n">
        <v>170.6</v>
      </c>
      <c r="S37" t="n">
        <v>178.5</v>
      </c>
      <c r="T37" t="n">
        <v>172.2</v>
      </c>
      <c r="U37" t="n">
        <v>178.3</v>
      </c>
      <c r="V37" t="n">
        <v>165.6</v>
      </c>
      <c r="W37" t="n">
        <v>153.8</v>
      </c>
      <c r="X37" t="n">
        <v>134</v>
      </c>
      <c r="Y37" t="n">
        <v>128.4</v>
      </c>
      <c r="Z37" t="n">
        <v>129</v>
      </c>
      <c r="AA37" t="n">
        <v>136.4</v>
      </c>
      <c r="AB37" t="n">
        <v>139.3</v>
      </c>
      <c r="AC37" t="n">
        <v>141</v>
      </c>
      <c r="AD37" t="n">
        <v>137.5</v>
      </c>
      <c r="AE37" t="n">
        <v>137.6</v>
      </c>
      <c r="AF37" t="n">
        <v>138</v>
      </c>
    </row>
    <row r="38">
      <c r="A38" t="s">
        <v>99</v>
      </c>
      <c r="B38" t="s">
        <v>346</v>
      </c>
      <c r="C38" t="s">
        <v>217</v>
      </c>
      <c r="D38" t="s">
        <v>347</v>
      </c>
      <c r="E38" t="s">
        <v>218</v>
      </c>
      <c r="F38" t="n">
        <v>14.7</v>
      </c>
      <c r="G38" t="n">
        <v>25.2</v>
      </c>
      <c r="H38" t="n">
        <v>33.5</v>
      </c>
      <c r="I38" t="n">
        <v>45.9</v>
      </c>
      <c r="J38" t="n">
        <v>60.7</v>
      </c>
      <c r="K38" t="n">
        <v>71.7</v>
      </c>
      <c r="L38" t="n">
        <v>78.9</v>
      </c>
      <c r="M38" t="n">
        <v>92.7</v>
      </c>
      <c r="N38" t="n">
        <v>116.8</v>
      </c>
      <c r="O38" t="n">
        <v>128.5</v>
      </c>
      <c r="P38" t="n">
        <v>106.4</v>
      </c>
      <c r="Q38" t="n">
        <v>102.5</v>
      </c>
      <c r="R38" t="n">
        <v>106.2</v>
      </c>
      <c r="S38" t="n">
        <v>101.9</v>
      </c>
      <c r="T38" t="n">
        <v>108.4</v>
      </c>
      <c r="U38" t="n">
        <v>125.5</v>
      </c>
      <c r="V38" t="n">
        <v>124.9</v>
      </c>
      <c r="W38" t="n">
        <v>119.3</v>
      </c>
      <c r="X38" t="n">
        <v>114</v>
      </c>
      <c r="Y38" t="n">
        <v>113.7</v>
      </c>
      <c r="Z38" t="n">
        <v>119.3</v>
      </c>
      <c r="AA38" t="n">
        <v>142.1</v>
      </c>
      <c r="AB38" t="n">
        <v>157.8</v>
      </c>
      <c r="AC38" t="n">
        <v>156.8</v>
      </c>
      <c r="AD38" t="n">
        <v>156.5</v>
      </c>
      <c r="AE38" t="n">
        <v>158</v>
      </c>
      <c r="AF38" t="n">
        <v>158.1</v>
      </c>
    </row>
    <row r="39">
      <c r="A39" t="s">
        <v>99</v>
      </c>
      <c r="B39" t="s">
        <v>348</v>
      </c>
      <c r="C39" t="s">
        <v>217</v>
      </c>
      <c r="D39" t="s">
        <v>349</v>
      </c>
      <c r="E39" t="s">
        <v>218</v>
      </c>
      <c r="F39" t="n">
        <v>24</v>
      </c>
      <c r="G39" t="n">
        <v>40.1</v>
      </c>
      <c r="H39" t="n">
        <v>50.7</v>
      </c>
      <c r="I39" t="n">
        <v>65.2</v>
      </c>
      <c r="J39" t="n">
        <v>79.2</v>
      </c>
      <c r="K39" t="n">
        <v>98.4</v>
      </c>
      <c r="L39" t="n">
        <v>119.3</v>
      </c>
      <c r="M39" t="n">
        <v>196.8</v>
      </c>
      <c r="N39" t="n">
        <v>179.4</v>
      </c>
      <c r="O39" t="n">
        <v>242.4</v>
      </c>
      <c r="P39" t="n">
        <v>252.8</v>
      </c>
      <c r="Q39" t="n">
        <v>282.5</v>
      </c>
      <c r="R39" t="n">
        <v>342.2</v>
      </c>
      <c r="S39" t="n">
        <v>410</v>
      </c>
      <c r="T39" t="n">
        <v>429.9</v>
      </c>
      <c r="U39" t="n">
        <v>518.5</v>
      </c>
      <c r="V39" t="n">
        <v>529.3</v>
      </c>
      <c r="W39" t="n">
        <v>542.8</v>
      </c>
      <c r="X39" t="n">
        <v>521.8</v>
      </c>
      <c r="Y39" t="n">
        <v>531.8</v>
      </c>
      <c r="Z39" t="n">
        <v>516.6</v>
      </c>
      <c r="AA39" t="n">
        <v>556.8</v>
      </c>
      <c r="AB39" t="n">
        <v>570.1</v>
      </c>
      <c r="AC39" t="n">
        <v>642.4</v>
      </c>
      <c r="AD39" t="n">
        <v>732.5</v>
      </c>
      <c r="AE39" t="n">
        <v>798.2</v>
      </c>
      <c r="AF39" t="n">
        <v>857.5</v>
      </c>
    </row>
    <row r="40">
      <c r="A40" t="s">
        <v>99</v>
      </c>
      <c r="B40" t="s">
        <v>350</v>
      </c>
      <c r="C40" t="s">
        <v>217</v>
      </c>
      <c r="D40" t="s">
        <v>351</v>
      </c>
      <c r="E40" t="s">
        <v>218</v>
      </c>
      <c r="F40" t="n">
        <v>0.7</v>
      </c>
      <c r="G40" t="n">
        <v>0.9</v>
      </c>
      <c r="H40" t="n">
        <v>1.2</v>
      </c>
      <c r="I40" t="n">
        <v>1.5</v>
      </c>
      <c r="J40" t="n">
        <v>1.8</v>
      </c>
      <c r="K40" t="n">
        <v>2.9</v>
      </c>
      <c r="L40" t="n">
        <v>17.9</v>
      </c>
      <c r="M40" t="n">
        <v>65.6</v>
      </c>
      <c r="N40" t="n">
        <v>77.2</v>
      </c>
      <c r="O40" t="n">
        <v>84.3</v>
      </c>
      <c r="P40" t="n">
        <v>52.9</v>
      </c>
      <c r="Q40" t="n">
        <v>33.9</v>
      </c>
      <c r="R40" t="n">
        <v>28</v>
      </c>
      <c r="S40" t="n">
        <v>20.1</v>
      </c>
      <c r="T40" t="n">
        <v>14.6</v>
      </c>
      <c r="U40" t="n">
        <v>42.1</v>
      </c>
      <c r="V40" t="n">
        <v>32.7</v>
      </c>
      <c r="W40" t="n">
        <v>22.9</v>
      </c>
      <c r="X40" t="n">
        <v>16.4</v>
      </c>
      <c r="Y40" t="n">
        <v>12.1</v>
      </c>
      <c r="Z40" t="n">
        <v>26.1</v>
      </c>
      <c r="AA40" t="n">
        <v>34.6</v>
      </c>
      <c r="AB40" t="n">
        <v>40.2</v>
      </c>
      <c r="AC40" t="n">
        <v>36</v>
      </c>
      <c r="AD40" t="n">
        <v>39.2</v>
      </c>
      <c r="AE40" t="n">
        <v>48.2</v>
      </c>
      <c r="AF40" t="n">
        <v>55.5</v>
      </c>
    </row>
    <row r="41">
      <c r="A41" t="s">
        <v>99</v>
      </c>
      <c r="B41" t="s">
        <v>352</v>
      </c>
      <c r="C41" t="s">
        <v>217</v>
      </c>
      <c r="D41" t="s">
        <v>353</v>
      </c>
      <c r="E41" t="s">
        <v>218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99</v>
      </c>
      <c r="B42" t="s">
        <v>354</v>
      </c>
      <c r="C42" t="s">
        <v>217</v>
      </c>
      <c r="D42" t="s">
        <v>355</v>
      </c>
      <c r="E42" t="s">
        <v>218</v>
      </c>
      <c r="F42" t="n">
        <v>21.7</v>
      </c>
      <c r="G42" t="n">
        <v>35.8</v>
      </c>
      <c r="H42" t="n">
        <v>52.9</v>
      </c>
      <c r="I42" t="n">
        <v>69.6</v>
      </c>
      <c r="J42" t="n">
        <v>89.4</v>
      </c>
      <c r="K42" t="n">
        <v>136.9</v>
      </c>
      <c r="L42" t="n">
        <v>144.6</v>
      </c>
      <c r="M42" t="n">
        <v>139.5</v>
      </c>
      <c r="N42" t="n">
        <v>190.1</v>
      </c>
      <c r="O42" t="n">
        <v>221.8</v>
      </c>
      <c r="P42" t="n">
        <v>205</v>
      </c>
      <c r="Q42" t="n">
        <v>199.6</v>
      </c>
      <c r="R42" t="n">
        <v>250.3</v>
      </c>
      <c r="S42" t="n">
        <v>260.4</v>
      </c>
      <c r="T42" t="n">
        <v>254.4</v>
      </c>
      <c r="U42" t="n">
        <v>251.9</v>
      </c>
      <c r="V42" t="n">
        <v>253.2</v>
      </c>
      <c r="W42" t="n">
        <v>240.4</v>
      </c>
      <c r="X42" t="n">
        <v>208.3</v>
      </c>
      <c r="Y42" t="n">
        <v>165.4</v>
      </c>
      <c r="Z42" t="n">
        <v>191.3</v>
      </c>
      <c r="AA42" t="n">
        <v>201.1</v>
      </c>
      <c r="AB42" t="n">
        <v>206.8</v>
      </c>
      <c r="AC42" t="n">
        <v>194.5</v>
      </c>
      <c r="AD42" t="n">
        <v>198.1</v>
      </c>
      <c r="AE42" t="n">
        <v>212.8</v>
      </c>
      <c r="AF42" t="n">
        <v>226.4</v>
      </c>
    </row>
    <row r="43">
      <c r="A43" t="s">
        <v>99</v>
      </c>
      <c r="B43" t="s">
        <v>356</v>
      </c>
      <c r="C43" t="s">
        <v>217</v>
      </c>
      <c r="D43" t="s">
        <v>357</v>
      </c>
      <c r="E43" t="s">
        <v>218</v>
      </c>
      <c r="F43" t="n">
        <v>25.1</v>
      </c>
      <c r="G43" t="n">
        <v>40.8</v>
      </c>
      <c r="H43" t="n">
        <v>58.8</v>
      </c>
      <c r="I43" t="n">
        <v>77.5</v>
      </c>
      <c r="J43" t="n">
        <v>99.7</v>
      </c>
      <c r="K43" t="n">
        <v>149.3</v>
      </c>
      <c r="L43" t="n">
        <v>160.9</v>
      </c>
      <c r="M43" t="n">
        <v>201.3</v>
      </c>
      <c r="N43" t="n">
        <v>239.6</v>
      </c>
      <c r="O43" t="n">
        <v>265.3</v>
      </c>
      <c r="P43" t="n">
        <v>249.9</v>
      </c>
      <c r="Q43" t="n">
        <v>247.6</v>
      </c>
      <c r="R43" t="n">
        <v>302.3</v>
      </c>
      <c r="S43" t="n">
        <v>335</v>
      </c>
      <c r="T43" t="n">
        <v>331.4</v>
      </c>
      <c r="U43" t="n">
        <v>333.5</v>
      </c>
      <c r="V43" t="n">
        <v>334.2</v>
      </c>
      <c r="W43" t="n">
        <v>314.1</v>
      </c>
      <c r="X43" t="n">
        <v>263.8</v>
      </c>
      <c r="Y43" t="n">
        <v>213.5</v>
      </c>
      <c r="Z43" t="n">
        <v>239.8</v>
      </c>
      <c r="AA43" t="n">
        <v>247.6</v>
      </c>
      <c r="AB43" t="n">
        <v>250.8</v>
      </c>
      <c r="AC43" t="n">
        <v>236</v>
      </c>
      <c r="AD43" t="n">
        <v>242.1</v>
      </c>
      <c r="AE43" t="n">
        <v>255.1</v>
      </c>
      <c r="AF43" t="n">
        <v>268.3</v>
      </c>
    </row>
    <row r="44">
      <c r="A44" t="s">
        <v>99</v>
      </c>
      <c r="B44" t="s">
        <v>358</v>
      </c>
      <c r="C44" t="s">
        <v>217</v>
      </c>
      <c r="D44" t="s">
        <v>359</v>
      </c>
      <c r="E44" t="s">
        <v>218</v>
      </c>
      <c r="F44" t="n">
        <v>135.2</v>
      </c>
      <c r="G44" t="n">
        <v>221.9</v>
      </c>
      <c r="H44" t="n">
        <v>291.3</v>
      </c>
      <c r="I44" t="n">
        <v>382.6</v>
      </c>
      <c r="J44" t="n">
        <v>483.1</v>
      </c>
      <c r="K44" t="n">
        <v>640.7</v>
      </c>
      <c r="L44" t="n">
        <v>751.6</v>
      </c>
      <c r="M44" t="n">
        <v>1075.4</v>
      </c>
      <c r="N44" t="n">
        <v>1189.8</v>
      </c>
      <c r="O44" t="n">
        <v>1341.4</v>
      </c>
      <c r="P44" t="n">
        <v>1523.5</v>
      </c>
      <c r="Q44" t="n">
        <v>1744.3</v>
      </c>
      <c r="R44" t="n">
        <v>1995</v>
      </c>
      <c r="S44" t="n">
        <v>2074.5</v>
      </c>
      <c r="T44" t="n">
        <v>2045.8</v>
      </c>
      <c r="U44" t="n">
        <v>2191.6</v>
      </c>
      <c r="V44" t="n">
        <v>2187.8</v>
      </c>
      <c r="W44" t="n">
        <v>2058.3</v>
      </c>
      <c r="X44" t="n">
        <v>1897.8</v>
      </c>
      <c r="Y44" t="n">
        <v>1742.2</v>
      </c>
      <c r="Z44" t="n">
        <v>1832.2</v>
      </c>
      <c r="AA44" t="n">
        <v>1949.7</v>
      </c>
      <c r="AB44" t="n">
        <v>2023</v>
      </c>
      <c r="AC44" t="n">
        <v>2039</v>
      </c>
      <c r="AD44" t="n">
        <v>2134.5</v>
      </c>
      <c r="AE44" t="n">
        <v>2208.2</v>
      </c>
      <c r="AF44" t="n">
        <v>2292.4</v>
      </c>
    </row>
    <row r="45">
      <c r="A45" t="s">
        <v>99</v>
      </c>
      <c r="B45" t="s">
        <v>360</v>
      </c>
      <c r="C45" t="s">
        <v>217</v>
      </c>
      <c r="D45" t="s">
        <v>361</v>
      </c>
      <c r="E45" t="s">
        <v>218</v>
      </c>
      <c r="F45" t="n">
        <v>135.2</v>
      </c>
      <c r="G45" t="n">
        <v>221.9</v>
      </c>
      <c r="H45" t="n">
        <v>291.2</v>
      </c>
      <c r="I45" t="n">
        <v>382.5</v>
      </c>
      <c r="J45" t="n">
        <v>483</v>
      </c>
      <c r="K45" t="n">
        <v>640.5</v>
      </c>
      <c r="L45" t="n">
        <v>751.4</v>
      </c>
      <c r="M45" t="n">
        <v>1075.1</v>
      </c>
      <c r="N45" t="n">
        <v>1189.6</v>
      </c>
      <c r="O45" t="n">
        <v>1341.3</v>
      </c>
      <c r="P45" t="n">
        <v>1523.4</v>
      </c>
      <c r="Q45" t="n">
        <v>1744.3</v>
      </c>
      <c r="R45" t="n">
        <v>1995</v>
      </c>
      <c r="S45" t="n">
        <v>2074.5</v>
      </c>
      <c r="T45" t="n">
        <v>2045.8</v>
      </c>
      <c r="U45" t="n">
        <v>2191.6</v>
      </c>
      <c r="V45" t="n">
        <v>2187.8</v>
      </c>
      <c r="W45" t="n">
        <v>2058.3</v>
      </c>
      <c r="X45" t="n">
        <v>1897.8</v>
      </c>
      <c r="Y45" t="n">
        <v>1742.2</v>
      </c>
      <c r="Z45" t="n">
        <v>1832.2</v>
      </c>
      <c r="AA45" t="n">
        <v>1949.7</v>
      </c>
      <c r="AB45" t="n">
        <v>2023</v>
      </c>
      <c r="AC45" t="n">
        <v>2039</v>
      </c>
      <c r="AD45" t="n">
        <v>2134.5</v>
      </c>
      <c r="AE45" t="n">
        <v>2208.2</v>
      </c>
      <c r="AF45" t="n">
        <v>2292.4</v>
      </c>
    </row>
    <row r="46">
      <c r="A46" t="s">
        <v>99</v>
      </c>
      <c r="B46" t="s">
        <v>362</v>
      </c>
      <c r="C46" t="s">
        <v>217</v>
      </c>
      <c r="D46" t="s">
        <v>363</v>
      </c>
      <c r="E46" t="s">
        <v>218</v>
      </c>
      <c r="F46" t="n">
        <v>3.4</v>
      </c>
      <c r="G46" t="n">
        <v>5</v>
      </c>
      <c r="H46" t="n">
        <v>5.9</v>
      </c>
      <c r="I46" t="n">
        <v>7.9</v>
      </c>
      <c r="J46" t="n">
        <v>10.3</v>
      </c>
      <c r="K46" t="n">
        <v>12.4</v>
      </c>
      <c r="L46" t="n">
        <v>16.3</v>
      </c>
      <c r="M46" t="n">
        <v>61.8</v>
      </c>
      <c r="N46" t="n">
        <v>49.5</v>
      </c>
      <c r="O46" t="n">
        <v>43.5</v>
      </c>
      <c r="P46" t="n">
        <v>44.9</v>
      </c>
      <c r="Q46" t="n">
        <v>48</v>
      </c>
      <c r="R46" t="n">
        <v>52</v>
      </c>
      <c r="S46" t="n">
        <v>74.6</v>
      </c>
      <c r="T46" t="n">
        <v>77</v>
      </c>
      <c r="U46" t="n">
        <v>81.6</v>
      </c>
      <c r="V46" t="n">
        <v>81</v>
      </c>
      <c r="W46" t="n">
        <v>73.7</v>
      </c>
      <c r="X46" t="n">
        <v>55.5</v>
      </c>
      <c r="Y46" t="n">
        <v>48.1</v>
      </c>
      <c r="Z46" t="n">
        <v>48.5</v>
      </c>
      <c r="AA46" t="n">
        <v>46.5</v>
      </c>
      <c r="AB46" t="n">
        <v>44</v>
      </c>
      <c r="AC46" t="n">
        <v>41.5</v>
      </c>
      <c r="AD46" t="n">
        <v>44</v>
      </c>
      <c r="AE46" t="n">
        <v>42.3</v>
      </c>
      <c r="AF46" t="n">
        <v>41.9</v>
      </c>
    </row>
    <row r="47">
      <c r="A47" t="s">
        <v>99</v>
      </c>
      <c r="B47" t="s">
        <v>364</v>
      </c>
      <c r="C47" t="s">
        <v>217</v>
      </c>
      <c r="D47" t="s">
        <v>365</v>
      </c>
      <c r="E47" t="s">
        <v>218</v>
      </c>
      <c r="F47" t="n">
        <v>19.4</v>
      </c>
      <c r="G47" t="n">
        <v>40.4</v>
      </c>
      <c r="H47" t="n">
        <v>58.6</v>
      </c>
      <c r="I47" t="n">
        <v>76.9</v>
      </c>
      <c r="J47" t="n">
        <v>73.7</v>
      </c>
      <c r="K47" t="n">
        <v>87.3</v>
      </c>
      <c r="L47" t="n">
        <v>95.8</v>
      </c>
      <c r="M47" t="n">
        <v>138.5</v>
      </c>
      <c r="N47" t="n">
        <v>179.3</v>
      </c>
      <c r="O47" t="n">
        <v>203.9</v>
      </c>
      <c r="P47" t="n">
        <v>232.5</v>
      </c>
      <c r="Q47" t="n">
        <v>325.4</v>
      </c>
      <c r="R47" t="n">
        <v>344.8</v>
      </c>
      <c r="S47" t="n">
        <v>363.8</v>
      </c>
      <c r="T47" t="n">
        <v>469.3</v>
      </c>
      <c r="U47" t="n">
        <v>453.5</v>
      </c>
      <c r="V47" t="n">
        <v>392</v>
      </c>
      <c r="W47" t="n">
        <v>298.9</v>
      </c>
      <c r="X47" t="n">
        <v>247.2</v>
      </c>
      <c r="Y47" t="n">
        <v>199.2</v>
      </c>
      <c r="Z47" t="n">
        <v>178.7</v>
      </c>
      <c r="AA47" t="n">
        <v>159.7</v>
      </c>
      <c r="AB47" t="n">
        <v>182.5</v>
      </c>
      <c r="AC47" t="n">
        <v>178.5</v>
      </c>
      <c r="AD47" t="n">
        <v>178.1</v>
      </c>
      <c r="AE47" t="n">
        <v>185.8</v>
      </c>
      <c r="AF47" t="n">
        <v>197.1</v>
      </c>
    </row>
    <row r="48">
      <c r="A48" t="s">
        <v>99</v>
      </c>
      <c r="B48" t="s">
        <v>366</v>
      </c>
      <c r="C48" t="s">
        <v>217</v>
      </c>
      <c r="D48" t="s">
        <v>367</v>
      </c>
      <c r="E48" t="s">
        <v>218</v>
      </c>
      <c r="F48" t="n">
        <v>63.7</v>
      </c>
      <c r="G48" t="n">
        <v>89.6</v>
      </c>
      <c r="H48" t="n">
        <v>117.3</v>
      </c>
      <c r="I48" t="n">
        <v>147.2</v>
      </c>
      <c r="J48" t="n">
        <v>158.6</v>
      </c>
      <c r="K48" t="n">
        <v>198.5</v>
      </c>
      <c r="L48" t="n">
        <v>211.7</v>
      </c>
      <c r="M48" t="n">
        <v>265.4</v>
      </c>
      <c r="N48" t="n">
        <v>290.7</v>
      </c>
      <c r="O48" t="n">
        <v>335.7</v>
      </c>
      <c r="P48" t="n">
        <v>415</v>
      </c>
      <c r="Q48" t="n">
        <v>550.9</v>
      </c>
      <c r="R48" t="n">
        <v>584.3</v>
      </c>
      <c r="S48" t="n">
        <v>604.1</v>
      </c>
      <c r="T48" t="n">
        <v>711.9</v>
      </c>
      <c r="U48" t="n">
        <v>635.3</v>
      </c>
      <c r="V48" t="n">
        <v>532</v>
      </c>
      <c r="W48" t="n">
        <v>408.7</v>
      </c>
      <c r="X48" t="n">
        <v>335.5</v>
      </c>
      <c r="Y48" t="n">
        <v>276.5</v>
      </c>
      <c r="Z48" t="n">
        <v>261.3</v>
      </c>
      <c r="AA48" t="n">
        <v>247.3</v>
      </c>
      <c r="AB48" t="n">
        <v>275.4</v>
      </c>
      <c r="AC48" t="n">
        <v>278.7</v>
      </c>
      <c r="AD48" t="n">
        <v>281.9</v>
      </c>
      <c r="AE48" t="n">
        <v>292.5</v>
      </c>
      <c r="AF48" t="n">
        <v>306.6</v>
      </c>
    </row>
    <row r="49">
      <c r="A49" t="s">
        <v>99</v>
      </c>
      <c r="B49" t="s">
        <v>368</v>
      </c>
      <c r="C49" t="s">
        <v>217</v>
      </c>
      <c r="D49" t="s">
        <v>369</v>
      </c>
      <c r="E49" t="s">
        <v>218</v>
      </c>
      <c r="F49" t="n">
        <v>39.2</v>
      </c>
      <c r="G49" t="n">
        <v>43.2</v>
      </c>
      <c r="H49" t="n">
        <v>52</v>
      </c>
      <c r="I49" t="n">
        <v>62.3</v>
      </c>
      <c r="J49" t="n">
        <v>75.7</v>
      </c>
      <c r="K49" t="n">
        <v>99.8</v>
      </c>
      <c r="L49" t="n">
        <v>102.8</v>
      </c>
      <c r="M49" t="n">
        <v>112.2</v>
      </c>
      <c r="N49" t="n">
        <v>95.9</v>
      </c>
      <c r="O49" t="n">
        <v>114.6</v>
      </c>
      <c r="P49" t="n">
        <v>139.9</v>
      </c>
      <c r="Q49" t="n">
        <v>165.8</v>
      </c>
      <c r="R49" t="n">
        <v>170</v>
      </c>
      <c r="S49" t="n">
        <v>167.4</v>
      </c>
      <c r="T49" t="n">
        <v>171.4</v>
      </c>
      <c r="U49" t="n">
        <v>127.6</v>
      </c>
      <c r="V49" t="n">
        <v>97</v>
      </c>
      <c r="W49" t="n">
        <v>75.5</v>
      </c>
      <c r="X49" t="n">
        <v>60.2</v>
      </c>
      <c r="Y49" t="n">
        <v>53.8</v>
      </c>
      <c r="Z49" t="n">
        <v>49.9</v>
      </c>
      <c r="AA49" t="n">
        <v>47.9</v>
      </c>
      <c r="AB49" t="n">
        <v>48.2</v>
      </c>
      <c r="AC49" t="n">
        <v>49.7</v>
      </c>
      <c r="AD49" t="n">
        <v>51</v>
      </c>
      <c r="AE49" t="n">
        <v>52</v>
      </c>
      <c r="AF49" t="n">
        <v>52.1</v>
      </c>
    </row>
    <row r="50">
      <c r="A50" t="s">
        <v>99</v>
      </c>
      <c r="B50" t="s">
        <v>370</v>
      </c>
      <c r="C50" t="s">
        <v>217</v>
      </c>
      <c r="D50" t="s">
        <v>371</v>
      </c>
      <c r="E50" t="s">
        <v>218</v>
      </c>
      <c r="F50" t="n">
        <v>5.2</v>
      </c>
      <c r="G50" t="n">
        <v>6</v>
      </c>
      <c r="H50" t="n">
        <v>6.7</v>
      </c>
      <c r="I50" t="n">
        <v>8</v>
      </c>
      <c r="J50" t="n">
        <v>9.2</v>
      </c>
      <c r="K50" t="n">
        <v>11.4</v>
      </c>
      <c r="L50" t="n">
        <v>13.1</v>
      </c>
      <c r="M50" t="n">
        <v>14.7</v>
      </c>
      <c r="N50" t="n">
        <v>15.5</v>
      </c>
      <c r="O50" t="n">
        <v>17.1</v>
      </c>
      <c r="P50" t="n">
        <v>42.5</v>
      </c>
      <c r="Q50" t="n">
        <v>59.8</v>
      </c>
      <c r="R50" t="n">
        <v>69.5</v>
      </c>
      <c r="S50" t="n">
        <v>72.8</v>
      </c>
      <c r="T50" t="n">
        <v>71.3</v>
      </c>
      <c r="U50" t="n">
        <v>54.2</v>
      </c>
      <c r="V50" t="n">
        <v>43</v>
      </c>
      <c r="W50" t="n">
        <v>34.3</v>
      </c>
      <c r="X50" t="n">
        <v>28.2</v>
      </c>
      <c r="Y50" t="n">
        <v>23.6</v>
      </c>
      <c r="Z50" t="n">
        <v>32.6</v>
      </c>
      <c r="AA50" t="n">
        <v>39.6</v>
      </c>
      <c r="AB50" t="n">
        <v>44.7</v>
      </c>
      <c r="AC50" t="n">
        <v>50.6</v>
      </c>
      <c r="AD50" t="n">
        <v>52.7</v>
      </c>
      <c r="AE50" t="n">
        <v>54.7</v>
      </c>
      <c r="AF50" t="n">
        <v>57.4</v>
      </c>
    </row>
    <row r="51">
      <c r="A51" t="s">
        <v>99</v>
      </c>
      <c r="B51" t="s">
        <v>372</v>
      </c>
      <c r="C51" t="s">
        <v>217</v>
      </c>
      <c r="D51" t="s">
        <v>373</v>
      </c>
      <c r="E51" t="s">
        <v>218</v>
      </c>
      <c r="F51" t="n">
        <v>4.8</v>
      </c>
      <c r="G51" t="n">
        <v>5.6</v>
      </c>
      <c r="H51" t="n">
        <v>6.1</v>
      </c>
      <c r="I51" t="n">
        <v>7.3</v>
      </c>
      <c r="J51" t="n">
        <v>8.5</v>
      </c>
      <c r="K51" t="n">
        <v>10.7</v>
      </c>
      <c r="L51" t="n">
        <v>12.5</v>
      </c>
      <c r="M51" t="n">
        <v>14.1</v>
      </c>
      <c r="N51" t="n">
        <v>15.7</v>
      </c>
      <c r="O51" t="n">
        <v>17.9</v>
      </c>
      <c r="P51" t="n">
        <v>42.2</v>
      </c>
      <c r="Q51" t="n">
        <v>58</v>
      </c>
      <c r="R51" t="n">
        <v>67.3</v>
      </c>
      <c r="S51" t="n">
        <v>70.3</v>
      </c>
      <c r="T51" t="n">
        <v>69</v>
      </c>
      <c r="U51" t="n">
        <v>52.3</v>
      </c>
      <c r="V51" t="n">
        <v>40.9</v>
      </c>
      <c r="W51" t="n">
        <v>32.8</v>
      </c>
      <c r="X51" t="n">
        <v>27.1</v>
      </c>
      <c r="Y51" t="n">
        <v>22.8</v>
      </c>
      <c r="Z51" t="n">
        <v>32</v>
      </c>
      <c r="AA51" t="n">
        <v>39.2</v>
      </c>
      <c r="AB51" t="n">
        <v>44.4</v>
      </c>
      <c r="AC51" t="n">
        <v>50.3</v>
      </c>
      <c r="AD51" t="n">
        <v>52.5</v>
      </c>
      <c r="AE51" t="n">
        <v>54.5</v>
      </c>
      <c r="AF51" t="n">
        <v>57.1</v>
      </c>
    </row>
    <row r="52">
      <c r="A52" t="s">
        <v>99</v>
      </c>
      <c r="B52" t="s">
        <v>374</v>
      </c>
      <c r="C52" t="s">
        <v>217</v>
      </c>
      <c r="D52" t="s">
        <v>375</v>
      </c>
      <c r="E52" t="s">
        <v>218</v>
      </c>
      <c r="F52" t="n">
        <v>0.4</v>
      </c>
      <c r="G52" t="n">
        <v>0.5</v>
      </c>
      <c r="H52" t="n">
        <v>0.6</v>
      </c>
      <c r="I52" t="n">
        <v>0.7</v>
      </c>
      <c r="J52" t="n">
        <v>0.7</v>
      </c>
      <c r="K52" t="n">
        <v>0.7</v>
      </c>
      <c r="L52" t="n">
        <v>0.6</v>
      </c>
      <c r="M52" t="n">
        <v>0.6</v>
      </c>
      <c r="N52" t="n">
        <v>-0.2</v>
      </c>
      <c r="O52" t="n">
        <v>-0.8</v>
      </c>
      <c r="P52" t="n">
        <v>0.3</v>
      </c>
      <c r="Q52" t="n">
        <v>1.8</v>
      </c>
      <c r="R52" t="n">
        <v>2.2</v>
      </c>
      <c r="S52" t="n">
        <v>2.5</v>
      </c>
      <c r="T52" t="n">
        <v>2.3</v>
      </c>
      <c r="U52" t="n">
        <v>1.9</v>
      </c>
      <c r="V52" t="n">
        <v>2.1</v>
      </c>
      <c r="W52" t="n">
        <v>1.5</v>
      </c>
      <c r="X52" t="n">
        <v>1.1</v>
      </c>
      <c r="Y52" t="n">
        <v>0.8</v>
      </c>
      <c r="Z52" t="n">
        <v>0.6</v>
      </c>
      <c r="AA52" t="n">
        <v>0.4</v>
      </c>
      <c r="AB52" t="n">
        <v>0.3</v>
      </c>
      <c r="AC52" t="n">
        <v>0.3</v>
      </c>
      <c r="AD52" t="n">
        <v>0.2</v>
      </c>
      <c r="AE52" t="n">
        <v>0.2</v>
      </c>
      <c r="AF52" t="n">
        <v>0.3</v>
      </c>
    </row>
    <row r="53">
      <c r="A53" t="s">
        <v>99</v>
      </c>
      <c r="B53" t="s">
        <v>376</v>
      </c>
      <c r="C53" t="s">
        <v>217</v>
      </c>
      <c r="D53" t="s">
        <v>377</v>
      </c>
      <c r="E53" t="s">
        <v>218</v>
      </c>
      <c r="F53" t="n">
        <v>3.2</v>
      </c>
      <c r="G53" t="n">
        <v>6</v>
      </c>
      <c r="H53" t="n">
        <v>8.5</v>
      </c>
      <c r="I53" t="n">
        <v>10.7</v>
      </c>
      <c r="J53" t="n">
        <v>12.9</v>
      </c>
      <c r="K53" t="n">
        <v>20.6</v>
      </c>
      <c r="L53" t="n">
        <v>22.5</v>
      </c>
      <c r="M53" t="n">
        <v>32.7</v>
      </c>
      <c r="N53" t="n">
        <v>38.4</v>
      </c>
      <c r="O53" t="n">
        <v>43.9</v>
      </c>
      <c r="P53" t="n">
        <v>30.8</v>
      </c>
      <c r="Q53" t="n">
        <v>24.4</v>
      </c>
      <c r="R53" t="n">
        <v>20.3</v>
      </c>
      <c r="S53" t="n">
        <v>17.5</v>
      </c>
      <c r="T53" t="n">
        <v>15.5</v>
      </c>
      <c r="U53" t="n">
        <v>13.3</v>
      </c>
      <c r="V53" t="n">
        <v>12.5</v>
      </c>
      <c r="W53" t="n">
        <v>10.2</v>
      </c>
      <c r="X53" t="n">
        <v>8.8</v>
      </c>
      <c r="Y53" t="n">
        <v>8</v>
      </c>
      <c r="Z53" t="n">
        <v>7.5</v>
      </c>
      <c r="AA53" t="n">
        <v>7.6</v>
      </c>
      <c r="AB53" t="n">
        <v>7.8</v>
      </c>
      <c r="AC53" t="n">
        <v>8.1</v>
      </c>
      <c r="AD53" t="n">
        <v>8.2</v>
      </c>
      <c r="AE53" t="n">
        <v>8.3</v>
      </c>
      <c r="AF53" t="n">
        <v>9.1</v>
      </c>
    </row>
    <row r="54">
      <c r="A54" t="s">
        <v>99</v>
      </c>
      <c r="B54" t="s">
        <v>378</v>
      </c>
      <c r="C54" t="s">
        <v>217</v>
      </c>
      <c r="D54" t="s">
        <v>379</v>
      </c>
      <c r="E54" t="s">
        <v>218</v>
      </c>
      <c r="F54" t="n">
        <v>9.9</v>
      </c>
      <c r="G54" t="n">
        <v>17.5</v>
      </c>
      <c r="H54" t="n">
        <v>25.6</v>
      </c>
      <c r="I54" t="n">
        <v>32.7</v>
      </c>
      <c r="J54" t="n">
        <v>40.1</v>
      </c>
      <c r="K54" t="n">
        <v>62.9</v>
      </c>
      <c r="L54" t="n">
        <v>60.6</v>
      </c>
      <c r="M54" t="n">
        <v>71.9</v>
      </c>
      <c r="N54" t="n">
        <v>80.4</v>
      </c>
      <c r="O54" t="n">
        <v>89.5</v>
      </c>
      <c r="P54" t="n">
        <v>72.3</v>
      </c>
      <c r="Q54" t="n">
        <v>65</v>
      </c>
      <c r="R54" t="n">
        <v>61.1</v>
      </c>
      <c r="S54" t="n">
        <v>58.4</v>
      </c>
      <c r="T54" t="n">
        <v>56.8</v>
      </c>
      <c r="U54" t="n">
        <v>54.5</v>
      </c>
      <c r="V54" t="n">
        <v>52.4</v>
      </c>
      <c r="W54" t="n">
        <v>45.1</v>
      </c>
      <c r="X54" t="n">
        <v>44.7</v>
      </c>
      <c r="Y54" t="n">
        <v>44.4</v>
      </c>
      <c r="Z54" t="n">
        <v>42.6</v>
      </c>
      <c r="AA54" t="n">
        <v>40.8</v>
      </c>
      <c r="AB54" t="n">
        <v>40.7</v>
      </c>
      <c r="AC54" t="n">
        <v>41.1</v>
      </c>
      <c r="AD54" t="n">
        <v>41.1</v>
      </c>
      <c r="AE54" t="n">
        <v>41.3</v>
      </c>
      <c r="AF54" t="n">
        <v>42</v>
      </c>
    </row>
    <row r="55">
      <c r="A55" t="s">
        <v>99</v>
      </c>
      <c r="B55" t="s">
        <v>380</v>
      </c>
      <c r="C55" t="s">
        <v>217</v>
      </c>
      <c r="D55" t="s">
        <v>381</v>
      </c>
      <c r="E55" t="s">
        <v>218</v>
      </c>
      <c r="F55" t="n">
        <v>6.7</v>
      </c>
      <c r="G55" t="n">
        <v>11.5</v>
      </c>
      <c r="H55" t="n">
        <v>17.1</v>
      </c>
      <c r="I55" t="n">
        <v>22</v>
      </c>
      <c r="J55" t="n">
        <v>27.2</v>
      </c>
      <c r="K55" t="n">
        <v>42.3</v>
      </c>
      <c r="L55" t="n">
        <v>38.1</v>
      </c>
      <c r="M55" t="n">
        <v>39.2</v>
      </c>
      <c r="N55" t="n">
        <v>42</v>
      </c>
      <c r="O55" t="n">
        <v>45.6</v>
      </c>
      <c r="P55" t="n">
        <v>41.5</v>
      </c>
      <c r="Q55" t="n">
        <v>40.6</v>
      </c>
      <c r="R55" t="n">
        <v>40.8</v>
      </c>
      <c r="S55" t="n">
        <v>40.9</v>
      </c>
      <c r="T55" t="n">
        <v>41.3</v>
      </c>
      <c r="U55" t="n">
        <v>41.2</v>
      </c>
      <c r="V55" t="n">
        <v>39.9</v>
      </c>
      <c r="W55" t="n">
        <v>34.9</v>
      </c>
      <c r="X55" t="n">
        <v>35.9</v>
      </c>
      <c r="Y55" t="n">
        <v>36.4</v>
      </c>
      <c r="Z55" t="n">
        <v>35.1</v>
      </c>
      <c r="AA55" t="n">
        <v>33.2</v>
      </c>
      <c r="AB55" t="n">
        <v>32.9</v>
      </c>
      <c r="AC55" t="n">
        <v>33</v>
      </c>
      <c r="AD55" t="n">
        <v>32.9</v>
      </c>
      <c r="AE55" t="n">
        <v>33</v>
      </c>
      <c r="AF55" t="n">
        <v>32.9</v>
      </c>
    </row>
    <row r="56">
      <c r="A56" t="s">
        <v>99</v>
      </c>
      <c r="B56" t="s">
        <v>382</v>
      </c>
      <c r="C56" t="s">
        <v>217</v>
      </c>
      <c r="D56" t="s">
        <v>383</v>
      </c>
      <c r="E56" t="s">
        <v>218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99</v>
      </c>
      <c r="B57" t="s">
        <v>384</v>
      </c>
      <c r="C57" t="s">
        <v>217</v>
      </c>
      <c r="D57" t="s">
        <v>385</v>
      </c>
      <c r="E57" t="s">
        <v>218</v>
      </c>
      <c r="F57" t="n">
        <v>199.7</v>
      </c>
      <c r="G57" t="n">
        <v>312.4</v>
      </c>
      <c r="H57" t="n">
        <v>409.8</v>
      </c>
      <c r="I57" t="n">
        <v>531.3</v>
      </c>
      <c r="J57" t="n">
        <v>643.5</v>
      </c>
      <c r="K57" t="n">
        <v>842.1</v>
      </c>
      <c r="L57" t="n">
        <v>981.2</v>
      </c>
      <c r="M57" t="n">
        <v>1406.4</v>
      </c>
      <c r="N57" t="n">
        <v>1557.7</v>
      </c>
      <c r="O57" t="n">
        <v>1761.3</v>
      </c>
      <c r="P57" t="n">
        <v>1991.3</v>
      </c>
      <c r="Q57" t="n">
        <v>2329.2</v>
      </c>
      <c r="R57" t="n">
        <v>2607.3</v>
      </c>
      <c r="S57" t="n">
        <v>2698.6</v>
      </c>
      <c r="T57" t="n">
        <v>2772.4</v>
      </c>
      <c r="U57" t="n">
        <v>2869</v>
      </c>
      <c r="V57" t="n">
        <v>2752.5</v>
      </c>
      <c r="W57" t="n">
        <v>2489.9</v>
      </c>
      <c r="X57" t="n">
        <v>2249.8</v>
      </c>
      <c r="Y57" t="n">
        <v>2030.9</v>
      </c>
      <c r="Z57" t="n">
        <v>2119.5</v>
      </c>
      <c r="AA57" t="n">
        <v>2231.5</v>
      </c>
      <c r="AB57" t="n">
        <v>2338.6</v>
      </c>
      <c r="AC57" t="n">
        <v>2353.8</v>
      </c>
      <c r="AD57" t="n">
        <v>2455.5</v>
      </c>
      <c r="AE57" t="n">
        <v>2548.9</v>
      </c>
      <c r="AF57" t="n">
        <v>2654.5</v>
      </c>
    </row>
    <row r="58">
      <c r="A58" t="s">
        <v>99</v>
      </c>
      <c r="B58" t="s">
        <v>386</v>
      </c>
      <c r="C58" t="s">
        <v>217</v>
      </c>
      <c r="D58" t="s">
        <v>387</v>
      </c>
      <c r="E58" t="s">
        <v>218</v>
      </c>
      <c r="F58" t="n">
        <v>199.7</v>
      </c>
      <c r="G58" t="n">
        <v>312.4</v>
      </c>
      <c r="H58" t="n">
        <v>409.8</v>
      </c>
      <c r="I58" t="n">
        <v>531.3</v>
      </c>
      <c r="J58" t="n">
        <v>643.5</v>
      </c>
      <c r="K58" t="n">
        <v>842.1</v>
      </c>
      <c r="L58" t="n">
        <v>981.2</v>
      </c>
      <c r="M58" t="n">
        <v>1406.4</v>
      </c>
      <c r="N58" t="n">
        <v>1557.7</v>
      </c>
      <c r="O58" t="n">
        <v>1761.3</v>
      </c>
      <c r="P58" t="n">
        <v>1991.3</v>
      </c>
      <c r="Q58" t="n">
        <v>2329.2</v>
      </c>
      <c r="R58" t="n">
        <v>2607.3</v>
      </c>
      <c r="S58" t="n">
        <v>2698.6</v>
      </c>
      <c r="T58" t="n">
        <v>2772.4</v>
      </c>
      <c r="U58" t="n">
        <v>2869</v>
      </c>
      <c r="V58" t="n">
        <v>2752.5</v>
      </c>
      <c r="W58" t="n">
        <v>2489.9</v>
      </c>
      <c r="X58" t="n">
        <v>2249.8</v>
      </c>
      <c r="Y58" t="n">
        <v>2030.9</v>
      </c>
      <c r="Z58" t="n">
        <v>2119.5</v>
      </c>
      <c r="AA58" t="n">
        <v>2231.5</v>
      </c>
      <c r="AB58" t="n">
        <v>2338.6</v>
      </c>
      <c r="AC58" t="n">
        <v>2353.8</v>
      </c>
      <c r="AD58" t="n">
        <v>2455.5</v>
      </c>
      <c r="AE58" t="n">
        <v>2548.9</v>
      </c>
      <c r="AF58" t="n">
        <v>2654.5</v>
      </c>
    </row>
    <row r="59">
      <c r="A59" t="s">
        <v>99</v>
      </c>
      <c r="B59" t="s">
        <v>388</v>
      </c>
      <c r="C59" t="s">
        <v>217</v>
      </c>
      <c r="D59" t="s">
        <v>389</v>
      </c>
      <c r="E59" t="s">
        <v>218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101</v>
      </c>
      <c r="B2" t="s">
        <v>197</v>
      </c>
      <c r="C2" t="s">
        <v>217</v>
      </c>
      <c r="D2" t="s">
        <v>199</v>
      </c>
      <c r="E2" t="s">
        <v>218</v>
      </c>
      <c r="F2" t="n">
        <v>631.7</v>
      </c>
      <c r="G2" t="n">
        <v>696.6</v>
      </c>
      <c r="H2" t="n">
        <v>816.2</v>
      </c>
      <c r="I2" t="n">
        <v>923.8</v>
      </c>
      <c r="J2" t="n">
        <v>1071.9</v>
      </c>
      <c r="K2" t="n">
        <v>1223.4</v>
      </c>
      <c r="L2" t="n">
        <v>1541.5</v>
      </c>
      <c r="M2" t="n">
        <v>1787.9</v>
      </c>
      <c r="N2" t="n">
        <v>2005.5</v>
      </c>
      <c r="O2" t="n">
        <v>2074.6</v>
      </c>
      <c r="P2" t="n">
        <v>2123.4</v>
      </c>
      <c r="Q2" t="n">
        <v>2257.6</v>
      </c>
      <c r="R2" t="n">
        <v>2622.6</v>
      </c>
      <c r="S2" t="n">
        <v>2857.6</v>
      </c>
      <c r="T2" t="n">
        <v>2868</v>
      </c>
      <c r="U2" t="n">
        <v>2707.9</v>
      </c>
      <c r="V2" t="n">
        <v>2463.6</v>
      </c>
      <c r="W2" t="n">
        <v>2256</v>
      </c>
      <c r="X2" t="n">
        <v>2138.9</v>
      </c>
      <c r="Y2" t="n">
        <v>2011.3</v>
      </c>
      <c r="Z2" t="n">
        <v>1934.7</v>
      </c>
      <c r="AA2" t="n">
        <v>1939.9</v>
      </c>
      <c r="AB2" t="n">
        <v>1974.1</v>
      </c>
      <c r="AC2" t="n">
        <v>1996.4</v>
      </c>
      <c r="AD2" t="n">
        <v>2029.9</v>
      </c>
      <c r="AE2" t="n">
        <v>1984.9</v>
      </c>
      <c r="AF2" t="n">
        <v>2026.6</v>
      </c>
    </row>
    <row r="3">
      <c r="A3" t="s">
        <v>101</v>
      </c>
      <c r="B3" t="s">
        <v>276</v>
      </c>
      <c r="C3" t="s">
        <v>217</v>
      </c>
      <c r="D3" t="s">
        <v>277</v>
      </c>
      <c r="E3" t="s">
        <v>218</v>
      </c>
      <c r="F3" t="n">
        <v>20.4</v>
      </c>
      <c r="G3" t="n">
        <v>19.1</v>
      </c>
      <c r="H3" t="n">
        <v>18.6</v>
      </c>
      <c r="I3" t="n">
        <v>18.7</v>
      </c>
      <c r="J3" t="n">
        <v>20</v>
      </c>
      <c r="K3" t="n">
        <v>21.2</v>
      </c>
      <c r="L3" t="n">
        <v>27.6</v>
      </c>
      <c r="M3" t="n">
        <v>26.8</v>
      </c>
      <c r="N3" t="n">
        <v>28.3</v>
      </c>
      <c r="O3" t="n">
        <v>28.4</v>
      </c>
      <c r="P3" t="n">
        <v>31.6</v>
      </c>
      <c r="Q3" t="n">
        <v>31.5</v>
      </c>
      <c r="R3" t="n">
        <v>29.2</v>
      </c>
      <c r="S3" t="n">
        <v>30.3</v>
      </c>
      <c r="T3" t="n">
        <v>29.4</v>
      </c>
      <c r="U3" t="n">
        <v>23.6</v>
      </c>
      <c r="V3" t="n">
        <v>15.4</v>
      </c>
      <c r="W3" t="n">
        <v>13.2</v>
      </c>
      <c r="X3" t="n">
        <v>9.9</v>
      </c>
      <c r="Y3" t="n">
        <v>14.2</v>
      </c>
      <c r="Z3" t="n">
        <v>13.8</v>
      </c>
      <c r="AA3" t="n">
        <v>8.2</v>
      </c>
      <c r="AB3" t="n">
        <v>3.5</v>
      </c>
      <c r="AC3" t="n">
        <v>4.7</v>
      </c>
      <c r="AD3" t="n">
        <v>4.9</v>
      </c>
      <c r="AE3" t="n">
        <v>4.9</v>
      </c>
      <c r="AF3" t="n">
        <v>5.2</v>
      </c>
    </row>
    <row r="4">
      <c r="A4" t="s">
        <v>101</v>
      </c>
      <c r="B4" t="s">
        <v>278</v>
      </c>
      <c r="C4" t="s">
        <v>217</v>
      </c>
      <c r="D4" t="s">
        <v>279</v>
      </c>
      <c r="E4" t="s">
        <v>218</v>
      </c>
      <c r="F4" t="n">
        <v>366</v>
      </c>
      <c r="G4" t="n">
        <v>457.2</v>
      </c>
      <c r="H4" t="n">
        <v>617.6</v>
      </c>
      <c r="I4" t="n">
        <v>721.4</v>
      </c>
      <c r="J4" t="n">
        <v>879.1</v>
      </c>
      <c r="K4" t="n">
        <v>1017.3</v>
      </c>
      <c r="L4" t="n">
        <v>955.9</v>
      </c>
      <c r="M4" t="n">
        <v>867.1</v>
      </c>
      <c r="N4" t="n">
        <v>782.8</v>
      </c>
      <c r="O4" t="n">
        <v>689.3</v>
      </c>
      <c r="P4" t="n">
        <v>588.3</v>
      </c>
      <c r="Q4" t="n">
        <v>533</v>
      </c>
      <c r="R4" t="n">
        <v>529.2</v>
      </c>
      <c r="S4" t="n">
        <v>491.4</v>
      </c>
      <c r="T4" t="n">
        <v>445.3</v>
      </c>
      <c r="U4" t="n">
        <v>385</v>
      </c>
      <c r="V4" t="n">
        <v>309.3</v>
      </c>
      <c r="W4" t="n">
        <v>232.7</v>
      </c>
      <c r="X4" t="n">
        <v>184.6</v>
      </c>
      <c r="Y4" t="n">
        <v>170.2</v>
      </c>
      <c r="Z4" t="n">
        <v>148.1</v>
      </c>
      <c r="AA4" t="n">
        <v>135.8</v>
      </c>
      <c r="AB4" t="n">
        <v>127</v>
      </c>
      <c r="AC4" t="n">
        <v>118.3</v>
      </c>
      <c r="AD4" t="n">
        <v>130.9</v>
      </c>
      <c r="AE4" t="n">
        <v>133.2</v>
      </c>
      <c r="AF4" t="n">
        <v>145.8</v>
      </c>
    </row>
    <row r="5">
      <c r="A5" t="s">
        <v>101</v>
      </c>
      <c r="B5" t="s">
        <v>280</v>
      </c>
      <c r="C5" t="s">
        <v>217</v>
      </c>
      <c r="D5" t="s">
        <v>281</v>
      </c>
      <c r="E5" t="s">
        <v>218</v>
      </c>
      <c r="F5" t="n">
        <v>57.1</v>
      </c>
      <c r="G5" t="n">
        <v>56.2</v>
      </c>
      <c r="H5" t="n">
        <v>58.7</v>
      </c>
      <c r="I5" t="n">
        <v>61.5</v>
      </c>
      <c r="J5" t="n">
        <v>68.2</v>
      </c>
      <c r="K5" t="n">
        <v>74.3</v>
      </c>
      <c r="L5" t="n">
        <v>91.8</v>
      </c>
      <c r="M5" t="n">
        <v>109.2</v>
      </c>
      <c r="N5" t="n">
        <v>105.8</v>
      </c>
      <c r="O5" t="n">
        <v>109.2</v>
      </c>
      <c r="P5" t="n">
        <v>102.9</v>
      </c>
      <c r="Q5" t="n">
        <v>105.4</v>
      </c>
      <c r="R5" t="n">
        <v>107.7</v>
      </c>
      <c r="S5" t="n">
        <v>108.6</v>
      </c>
      <c r="T5" t="n">
        <v>99.5</v>
      </c>
      <c r="U5" t="n">
        <v>98.8</v>
      </c>
      <c r="V5" t="n">
        <v>83.2</v>
      </c>
      <c r="W5" t="n">
        <v>69</v>
      </c>
      <c r="X5" t="n">
        <v>58.9</v>
      </c>
      <c r="Y5" t="n">
        <v>53</v>
      </c>
      <c r="Z5" t="n">
        <v>52.6</v>
      </c>
      <c r="AA5" t="n">
        <v>52.8</v>
      </c>
      <c r="AB5" t="n">
        <v>53.6</v>
      </c>
      <c r="AC5" t="n">
        <v>50.7</v>
      </c>
      <c r="AD5" t="n">
        <v>49.6</v>
      </c>
      <c r="AE5" t="n">
        <v>52.1</v>
      </c>
      <c r="AF5" t="n">
        <v>58.6</v>
      </c>
    </row>
    <row r="6">
      <c r="A6" t="s">
        <v>101</v>
      </c>
      <c r="B6" t="s">
        <v>282</v>
      </c>
      <c r="C6" t="s">
        <v>217</v>
      </c>
      <c r="D6" t="s">
        <v>283</v>
      </c>
      <c r="E6" t="s">
        <v>218</v>
      </c>
      <c r="F6" t="n">
        <v>38.1</v>
      </c>
      <c r="G6" t="n">
        <v>34.8</v>
      </c>
      <c r="H6" t="n">
        <v>32.4</v>
      </c>
      <c r="I6" t="n">
        <v>31.9</v>
      </c>
      <c r="J6" t="n">
        <v>33.2</v>
      </c>
      <c r="K6" t="n">
        <v>34.4</v>
      </c>
      <c r="L6" t="n">
        <v>37.6</v>
      </c>
      <c r="M6" t="n">
        <v>48.6</v>
      </c>
      <c r="N6" t="n">
        <v>48.2</v>
      </c>
      <c r="O6" t="n">
        <v>49.5</v>
      </c>
      <c r="P6" t="n">
        <v>43.5</v>
      </c>
      <c r="Q6" t="n">
        <v>23.5</v>
      </c>
      <c r="R6" t="n">
        <v>20.5</v>
      </c>
      <c r="S6" t="n">
        <v>19.2</v>
      </c>
      <c r="T6" t="n">
        <v>17.7</v>
      </c>
      <c r="U6" t="n">
        <v>11.6</v>
      </c>
      <c r="V6" t="n">
        <v>9.6</v>
      </c>
      <c r="W6" t="n">
        <v>7.9</v>
      </c>
      <c r="X6" t="n">
        <v>6.5</v>
      </c>
      <c r="Y6" t="n">
        <v>5.7</v>
      </c>
      <c r="Z6" t="n">
        <v>4</v>
      </c>
      <c r="AA6" t="n">
        <v>3.9</v>
      </c>
      <c r="AB6" t="n">
        <v>3.8</v>
      </c>
      <c r="AC6" t="n">
        <v>0</v>
      </c>
      <c r="AD6" t="n">
        <v>0.2</v>
      </c>
      <c r="AE6" t="n">
        <v>0</v>
      </c>
      <c r="AF6" t="n">
        <v>0</v>
      </c>
    </row>
    <row r="7">
      <c r="A7" t="s">
        <v>101</v>
      </c>
      <c r="B7" t="s">
        <v>284</v>
      </c>
      <c r="C7" t="s">
        <v>217</v>
      </c>
      <c r="D7" t="s">
        <v>285</v>
      </c>
      <c r="E7" t="s">
        <v>218</v>
      </c>
      <c r="F7" t="n">
        <v>35.3</v>
      </c>
      <c r="G7" t="n">
        <v>31.8</v>
      </c>
      <c r="H7" t="n">
        <v>29</v>
      </c>
      <c r="I7" t="n">
        <v>28.1</v>
      </c>
      <c r="J7" t="n">
        <v>28.8</v>
      </c>
      <c r="K7" t="n">
        <v>29.5</v>
      </c>
      <c r="L7" t="n">
        <v>32.2</v>
      </c>
      <c r="M7" t="n">
        <v>15.9</v>
      </c>
      <c r="N7" t="n">
        <v>17</v>
      </c>
      <c r="O7" t="n">
        <v>18.6</v>
      </c>
      <c r="P7" t="n">
        <v>19</v>
      </c>
      <c r="Q7" t="n">
        <v>19.4</v>
      </c>
      <c r="R7" t="n">
        <v>23.6</v>
      </c>
      <c r="S7" t="n">
        <v>24</v>
      </c>
      <c r="T7" t="n">
        <v>24.8</v>
      </c>
      <c r="U7" t="n">
        <v>21.5</v>
      </c>
      <c r="V7" t="n">
        <v>16.3</v>
      </c>
      <c r="W7" t="n">
        <v>12</v>
      </c>
      <c r="X7" t="n">
        <v>8.8</v>
      </c>
      <c r="Y7" t="n">
        <v>9.4</v>
      </c>
      <c r="Z7" t="n">
        <v>7.8</v>
      </c>
      <c r="AA7" t="n">
        <v>7.5</v>
      </c>
      <c r="AB7" t="n">
        <v>7.3</v>
      </c>
      <c r="AC7" t="n">
        <v>6.4</v>
      </c>
      <c r="AD7" t="n">
        <v>5.9</v>
      </c>
      <c r="AE7" t="n">
        <v>6.3</v>
      </c>
      <c r="AF7" t="n">
        <v>7.3</v>
      </c>
    </row>
    <row r="8">
      <c r="A8" t="s">
        <v>101</v>
      </c>
      <c r="B8" t="s">
        <v>286</v>
      </c>
      <c r="C8" t="s">
        <v>217</v>
      </c>
      <c r="D8" t="s">
        <v>287</v>
      </c>
      <c r="E8" t="s">
        <v>218</v>
      </c>
      <c r="F8" t="n">
        <v>3.2</v>
      </c>
      <c r="G8" t="n">
        <v>2.8</v>
      </c>
      <c r="H8" t="n">
        <v>2.4</v>
      </c>
      <c r="I8" t="n">
        <v>2.3</v>
      </c>
      <c r="J8" t="n">
        <v>2.2</v>
      </c>
      <c r="K8" t="n">
        <v>2.2</v>
      </c>
      <c r="L8" t="n">
        <v>2.2</v>
      </c>
      <c r="M8" t="n">
        <v>3.3</v>
      </c>
      <c r="N8" t="n">
        <v>3.1</v>
      </c>
      <c r="O8" t="n">
        <v>3.1</v>
      </c>
      <c r="P8" t="n">
        <v>3.3</v>
      </c>
      <c r="Q8" t="n">
        <v>3.3</v>
      </c>
      <c r="R8" t="n">
        <v>3.2</v>
      </c>
      <c r="S8" t="n">
        <v>3.9</v>
      </c>
      <c r="T8" t="n">
        <v>4.3</v>
      </c>
      <c r="U8" t="n">
        <v>4</v>
      </c>
      <c r="V8" t="n">
        <v>3.4</v>
      </c>
      <c r="W8" t="n">
        <v>2.1</v>
      </c>
      <c r="X8" t="n">
        <v>1.9</v>
      </c>
      <c r="Y8" t="n">
        <v>2.2</v>
      </c>
      <c r="Z8" t="n">
        <v>2.6</v>
      </c>
      <c r="AA8" t="n">
        <v>3</v>
      </c>
      <c r="AB8" t="n">
        <v>3.4</v>
      </c>
      <c r="AC8" t="n">
        <v>2.9</v>
      </c>
      <c r="AD8" t="n">
        <v>15</v>
      </c>
      <c r="AE8" t="n">
        <v>12.1</v>
      </c>
      <c r="AF8" t="n">
        <v>10</v>
      </c>
    </row>
    <row r="9">
      <c r="A9" t="s">
        <v>101</v>
      </c>
      <c r="B9" t="s">
        <v>288</v>
      </c>
      <c r="C9" t="s">
        <v>217</v>
      </c>
      <c r="D9" t="s">
        <v>289</v>
      </c>
      <c r="E9" t="s">
        <v>218</v>
      </c>
      <c r="F9" t="n">
        <v>13.2</v>
      </c>
      <c r="G9" t="n">
        <v>11.9</v>
      </c>
      <c r="H9" t="n">
        <v>10.9</v>
      </c>
      <c r="I9" t="n">
        <v>10.6</v>
      </c>
      <c r="J9" t="n">
        <v>10.9</v>
      </c>
      <c r="K9" t="n">
        <v>11.2</v>
      </c>
      <c r="L9" t="n">
        <v>14.2</v>
      </c>
      <c r="M9" t="n">
        <v>15.9</v>
      </c>
      <c r="N9" t="n">
        <v>15.2</v>
      </c>
      <c r="O9" t="n">
        <v>17.5</v>
      </c>
      <c r="P9" t="n">
        <v>15.5</v>
      </c>
      <c r="Q9" t="n">
        <v>14.8</v>
      </c>
      <c r="R9" t="n">
        <v>16.8</v>
      </c>
      <c r="S9" t="n">
        <v>20.4</v>
      </c>
      <c r="T9" t="n">
        <v>19.4</v>
      </c>
      <c r="U9" t="n">
        <v>17.6</v>
      </c>
      <c r="V9" t="n">
        <v>16.3</v>
      </c>
      <c r="W9" t="n">
        <v>13.3</v>
      </c>
      <c r="X9" t="n">
        <v>11.7</v>
      </c>
      <c r="Y9" t="n">
        <v>10.4</v>
      </c>
      <c r="Z9" t="n">
        <v>7.9</v>
      </c>
      <c r="AA9" t="n">
        <v>7.3</v>
      </c>
      <c r="AB9" t="n">
        <v>6.8</v>
      </c>
      <c r="AC9" t="n">
        <v>6.7</v>
      </c>
      <c r="AD9" t="n">
        <v>6.6</v>
      </c>
      <c r="AE9" t="n">
        <v>5.1</v>
      </c>
      <c r="AF9" t="n">
        <v>4</v>
      </c>
    </row>
    <row r="10">
      <c r="A10" t="s">
        <v>101</v>
      </c>
      <c r="B10" t="s">
        <v>290</v>
      </c>
      <c r="C10" t="s">
        <v>217</v>
      </c>
      <c r="D10" t="s">
        <v>291</v>
      </c>
      <c r="E10" t="s">
        <v>218</v>
      </c>
      <c r="F10" t="n">
        <v>18.1</v>
      </c>
      <c r="G10" t="n">
        <v>16.3</v>
      </c>
      <c r="H10" t="n">
        <v>14.9</v>
      </c>
      <c r="I10" t="n">
        <v>14.5</v>
      </c>
      <c r="J10" t="n">
        <v>14.9</v>
      </c>
      <c r="K10" t="n">
        <v>15.3</v>
      </c>
      <c r="L10" t="n">
        <v>19.4</v>
      </c>
      <c r="M10" t="n">
        <v>21.8</v>
      </c>
      <c r="N10" t="n">
        <v>20.8</v>
      </c>
      <c r="O10" t="n">
        <v>23.9</v>
      </c>
      <c r="P10" t="n">
        <v>20.5</v>
      </c>
      <c r="Q10" t="n">
        <v>19</v>
      </c>
      <c r="R10" t="n">
        <v>20.5</v>
      </c>
      <c r="S10" t="n">
        <v>24.6</v>
      </c>
      <c r="T10" t="n">
        <v>22.9</v>
      </c>
      <c r="U10" t="n">
        <v>20.7</v>
      </c>
      <c r="V10" t="n">
        <v>19.9</v>
      </c>
      <c r="W10" t="n">
        <v>17.1</v>
      </c>
      <c r="X10" t="n">
        <v>15.5</v>
      </c>
      <c r="Y10" t="n">
        <v>13.9</v>
      </c>
      <c r="Z10" t="n">
        <v>11.3</v>
      </c>
      <c r="AA10" t="n">
        <v>10.4</v>
      </c>
      <c r="AB10" t="n">
        <v>9.7</v>
      </c>
      <c r="AC10" t="n">
        <v>8.4</v>
      </c>
      <c r="AD10" t="n">
        <v>8.3</v>
      </c>
      <c r="AE10" t="n">
        <v>6.3</v>
      </c>
      <c r="AF10" t="n">
        <v>4.8</v>
      </c>
    </row>
    <row r="11">
      <c r="A11" t="s">
        <v>101</v>
      </c>
      <c r="B11" t="s">
        <v>292</v>
      </c>
      <c r="C11" t="s">
        <v>217</v>
      </c>
      <c r="D11" t="s">
        <v>293</v>
      </c>
      <c r="E11" t="s">
        <v>218</v>
      </c>
      <c r="F11" t="n">
        <v>4.9</v>
      </c>
      <c r="G11" t="n">
        <v>4.4</v>
      </c>
      <c r="H11" t="n">
        <v>4</v>
      </c>
      <c r="I11" t="n">
        <v>3.9</v>
      </c>
      <c r="J11" t="n">
        <v>4</v>
      </c>
      <c r="K11" t="n">
        <v>4.1</v>
      </c>
      <c r="L11" t="n">
        <v>5.2</v>
      </c>
      <c r="M11" t="n">
        <v>5.9</v>
      </c>
      <c r="N11" t="n">
        <v>5.6</v>
      </c>
      <c r="O11" t="n">
        <v>6.4</v>
      </c>
      <c r="P11" t="n">
        <v>5</v>
      </c>
      <c r="Q11" t="n">
        <v>4.2</v>
      </c>
      <c r="R11" t="n">
        <v>3.7</v>
      </c>
      <c r="S11" t="n">
        <v>4.2</v>
      </c>
      <c r="T11" t="n">
        <v>3.5</v>
      </c>
      <c r="U11" t="n">
        <v>3.1</v>
      </c>
      <c r="V11" t="n">
        <v>3.6</v>
      </c>
      <c r="W11" t="n">
        <v>3.8</v>
      </c>
      <c r="X11" t="n">
        <v>3.8</v>
      </c>
      <c r="Y11" t="n">
        <v>3.5</v>
      </c>
      <c r="Z11" t="n">
        <v>3.4</v>
      </c>
      <c r="AA11" t="n">
        <v>3.1</v>
      </c>
      <c r="AB11" t="n">
        <v>2.9</v>
      </c>
      <c r="AC11" t="n">
        <v>1.7</v>
      </c>
      <c r="AD11" t="n">
        <v>1.7</v>
      </c>
      <c r="AE11" t="n">
        <v>1.2</v>
      </c>
      <c r="AF11" t="n">
        <v>0.8</v>
      </c>
    </row>
    <row r="12">
      <c r="A12" t="s">
        <v>101</v>
      </c>
      <c r="B12" t="s">
        <v>294</v>
      </c>
      <c r="C12" t="s">
        <v>217</v>
      </c>
      <c r="D12" t="s">
        <v>295</v>
      </c>
      <c r="E12" t="s">
        <v>218</v>
      </c>
      <c r="F12" t="n">
        <v>141.7</v>
      </c>
      <c r="G12" t="n">
        <v>247.5</v>
      </c>
      <c r="H12" t="n">
        <v>414.6</v>
      </c>
      <c r="I12" t="n">
        <v>517.1</v>
      </c>
      <c r="J12" t="n">
        <v>661.5</v>
      </c>
      <c r="K12" t="n">
        <v>787.3</v>
      </c>
      <c r="L12" t="n">
        <v>669.9</v>
      </c>
      <c r="M12" t="n">
        <v>559.8</v>
      </c>
      <c r="N12" t="n">
        <v>473.3</v>
      </c>
      <c r="O12" t="n">
        <v>375.7</v>
      </c>
      <c r="P12" t="n">
        <v>295.5</v>
      </c>
      <c r="Q12" t="n">
        <v>253.6</v>
      </c>
      <c r="R12" t="n">
        <v>241</v>
      </c>
      <c r="S12" t="n">
        <v>206.8</v>
      </c>
      <c r="T12" t="n">
        <v>173.8</v>
      </c>
      <c r="U12" t="n">
        <v>141.9</v>
      </c>
      <c r="V12" t="n">
        <v>115.1</v>
      </c>
      <c r="W12" t="n">
        <v>78.8</v>
      </c>
      <c r="X12" t="n">
        <v>57.2</v>
      </c>
      <c r="Y12" t="n">
        <v>49.8</v>
      </c>
      <c r="Z12" t="n">
        <v>41.3</v>
      </c>
      <c r="AA12" t="n">
        <v>32.1</v>
      </c>
      <c r="AB12" t="n">
        <v>25</v>
      </c>
      <c r="AC12" t="n">
        <v>24.9</v>
      </c>
      <c r="AD12" t="n">
        <v>24.4</v>
      </c>
      <c r="AE12" t="n">
        <v>23.5</v>
      </c>
      <c r="AF12" t="n">
        <v>24.3</v>
      </c>
    </row>
    <row r="13">
      <c r="A13" t="s">
        <v>101</v>
      </c>
      <c r="B13" t="s">
        <v>296</v>
      </c>
      <c r="C13" t="s">
        <v>217</v>
      </c>
      <c r="D13" t="s">
        <v>297</v>
      </c>
      <c r="E13" t="s">
        <v>218</v>
      </c>
      <c r="F13" t="n">
        <v>24</v>
      </c>
      <c r="G13" t="n">
        <v>24</v>
      </c>
      <c r="H13" t="n">
        <v>25.5</v>
      </c>
      <c r="I13" t="n">
        <v>27</v>
      </c>
      <c r="J13" t="n">
        <v>30.2</v>
      </c>
      <c r="K13" t="n">
        <v>33.1</v>
      </c>
      <c r="L13" t="n">
        <v>48.6</v>
      </c>
      <c r="M13" t="n">
        <v>57.8</v>
      </c>
      <c r="N13" t="n">
        <v>60.4</v>
      </c>
      <c r="O13" t="n">
        <v>54.3</v>
      </c>
      <c r="P13" t="n">
        <v>50.1</v>
      </c>
      <c r="Q13" t="n">
        <v>53.3</v>
      </c>
      <c r="R13" t="n">
        <v>58.1</v>
      </c>
      <c r="S13" t="n">
        <v>52.3</v>
      </c>
      <c r="T13" t="n">
        <v>51.3</v>
      </c>
      <c r="U13" t="n">
        <v>40.7</v>
      </c>
      <c r="V13" t="n">
        <v>34</v>
      </c>
      <c r="W13" t="n">
        <v>22</v>
      </c>
      <c r="X13" t="n">
        <v>14.4</v>
      </c>
      <c r="Y13" t="n">
        <v>13.8</v>
      </c>
      <c r="Z13" t="n">
        <v>12.8</v>
      </c>
      <c r="AA13" t="n">
        <v>11.9</v>
      </c>
      <c r="AB13" t="n">
        <v>11.2</v>
      </c>
      <c r="AC13" t="n">
        <v>11.1</v>
      </c>
      <c r="AD13" t="n">
        <v>12.2</v>
      </c>
      <c r="AE13" t="n">
        <v>15.6</v>
      </c>
      <c r="AF13" t="n">
        <v>20.2</v>
      </c>
    </row>
    <row r="14">
      <c r="A14" t="s">
        <v>101</v>
      </c>
      <c r="B14" t="s">
        <v>298</v>
      </c>
      <c r="C14" t="s">
        <v>217</v>
      </c>
      <c r="D14" t="s">
        <v>299</v>
      </c>
      <c r="E14" t="s">
        <v>218</v>
      </c>
      <c r="F14" t="n">
        <v>1.4</v>
      </c>
      <c r="G14" t="n">
        <v>1.3</v>
      </c>
      <c r="H14" t="n">
        <v>1.4</v>
      </c>
      <c r="I14" t="n">
        <v>1.5</v>
      </c>
      <c r="J14" t="n">
        <v>1.6</v>
      </c>
      <c r="K14" t="n">
        <v>1.8</v>
      </c>
      <c r="L14" t="n">
        <v>2.4</v>
      </c>
      <c r="M14" t="n">
        <v>1.8</v>
      </c>
      <c r="N14" t="n">
        <v>1.7</v>
      </c>
      <c r="O14" t="n">
        <v>1.6</v>
      </c>
      <c r="P14" t="n">
        <v>1.3</v>
      </c>
      <c r="Q14" t="n">
        <v>1.1</v>
      </c>
      <c r="R14" t="n">
        <v>0.9</v>
      </c>
      <c r="S14" t="n">
        <v>0.9</v>
      </c>
      <c r="T14" t="n">
        <v>0.4</v>
      </c>
      <c r="U14" t="n">
        <v>1.5</v>
      </c>
      <c r="V14" t="n">
        <v>1.1</v>
      </c>
      <c r="W14" t="n">
        <v>0</v>
      </c>
      <c r="X14" t="n">
        <v>0.2</v>
      </c>
      <c r="Y14" t="n">
        <v>0.4</v>
      </c>
      <c r="Z14" t="n">
        <v>0.3</v>
      </c>
      <c r="AA14" t="n">
        <v>0.5</v>
      </c>
      <c r="AB14" t="n">
        <v>0.7</v>
      </c>
      <c r="AC14" t="n">
        <v>0.6</v>
      </c>
      <c r="AD14" t="n">
        <v>0</v>
      </c>
      <c r="AE14" t="n">
        <v>0</v>
      </c>
      <c r="AF14" t="n">
        <v>0</v>
      </c>
    </row>
    <row r="15">
      <c r="A15" t="s">
        <v>101</v>
      </c>
      <c r="B15" t="s">
        <v>300</v>
      </c>
      <c r="C15" t="s">
        <v>217</v>
      </c>
      <c r="D15" t="s">
        <v>301</v>
      </c>
      <c r="E15" t="s">
        <v>218</v>
      </c>
      <c r="F15" t="n">
        <v>6.3</v>
      </c>
      <c r="G15" t="n">
        <v>6.1</v>
      </c>
      <c r="H15" t="n">
        <v>6.5</v>
      </c>
      <c r="I15" t="n">
        <v>6.9</v>
      </c>
      <c r="J15" t="n">
        <v>7.6</v>
      </c>
      <c r="K15" t="n">
        <v>8.4</v>
      </c>
      <c r="L15" t="n">
        <v>11.4</v>
      </c>
      <c r="M15" t="n">
        <v>10.8</v>
      </c>
      <c r="N15" t="n">
        <v>9.9</v>
      </c>
      <c r="O15" t="n">
        <v>8.7</v>
      </c>
      <c r="P15" t="n">
        <v>7</v>
      </c>
      <c r="Q15" t="n">
        <v>7.7</v>
      </c>
      <c r="R15" t="n">
        <v>7.8</v>
      </c>
      <c r="S15" t="n">
        <v>8.4</v>
      </c>
      <c r="T15" t="n">
        <v>7.2</v>
      </c>
      <c r="U15" t="n">
        <v>8.2</v>
      </c>
      <c r="V15" t="n">
        <v>5.8</v>
      </c>
      <c r="W15" t="n">
        <v>3.9</v>
      </c>
      <c r="X15" t="n">
        <v>2.2</v>
      </c>
      <c r="Y15" t="n">
        <v>2.8</v>
      </c>
      <c r="Z15" t="n">
        <v>1.5</v>
      </c>
      <c r="AA15" t="n">
        <v>1.4</v>
      </c>
      <c r="AB15" t="n">
        <v>1.4</v>
      </c>
      <c r="AC15" t="n">
        <v>2</v>
      </c>
      <c r="AD15" t="n">
        <v>2.6</v>
      </c>
      <c r="AE15" t="n">
        <v>2.8</v>
      </c>
      <c r="AF15" t="n">
        <v>3.1</v>
      </c>
    </row>
    <row r="16">
      <c r="A16" t="s">
        <v>101</v>
      </c>
      <c r="B16" t="s">
        <v>302</v>
      </c>
      <c r="C16" t="s">
        <v>217</v>
      </c>
      <c r="D16" t="s">
        <v>303</v>
      </c>
      <c r="E16" t="s">
        <v>218</v>
      </c>
      <c r="F16" t="n">
        <v>4.9</v>
      </c>
      <c r="G16" t="n">
        <v>4.8</v>
      </c>
      <c r="H16" t="n">
        <v>5.1</v>
      </c>
      <c r="I16" t="n">
        <v>5.4</v>
      </c>
      <c r="J16" t="n">
        <v>6</v>
      </c>
      <c r="K16" t="n">
        <v>6.6</v>
      </c>
      <c r="L16" t="n">
        <v>9</v>
      </c>
      <c r="M16" t="n">
        <v>9</v>
      </c>
      <c r="N16" t="n">
        <v>8.2</v>
      </c>
      <c r="O16" t="n">
        <v>7.1</v>
      </c>
      <c r="P16" t="n">
        <v>5.7</v>
      </c>
      <c r="Q16" t="n">
        <v>6.6</v>
      </c>
      <c r="R16" t="n">
        <v>6.9</v>
      </c>
      <c r="S16" t="n">
        <v>7.5</v>
      </c>
      <c r="T16" t="n">
        <v>6.8</v>
      </c>
      <c r="U16" t="n">
        <v>6.7</v>
      </c>
      <c r="V16" t="n">
        <v>4.7</v>
      </c>
      <c r="W16" t="n">
        <v>3.9</v>
      </c>
      <c r="X16" t="n">
        <v>2</v>
      </c>
      <c r="Y16" t="n">
        <v>2.4</v>
      </c>
      <c r="Z16" t="n">
        <v>1.2</v>
      </c>
      <c r="AA16" t="n">
        <v>0.9</v>
      </c>
      <c r="AB16" t="n">
        <v>0.7</v>
      </c>
      <c r="AC16" t="n">
        <v>1.4</v>
      </c>
      <c r="AD16" t="n">
        <v>2.6</v>
      </c>
      <c r="AE16" t="n">
        <v>2.8</v>
      </c>
      <c r="AF16" t="n">
        <v>3.1</v>
      </c>
    </row>
    <row r="17">
      <c r="A17" t="s">
        <v>101</v>
      </c>
      <c r="B17" t="s">
        <v>304</v>
      </c>
      <c r="C17" t="s">
        <v>217</v>
      </c>
      <c r="D17" t="s">
        <v>305</v>
      </c>
      <c r="E17" t="s">
        <v>218</v>
      </c>
      <c r="F17" t="n">
        <v>6.8</v>
      </c>
      <c r="G17" t="n">
        <v>6.4</v>
      </c>
      <c r="H17" t="n">
        <v>6.3</v>
      </c>
      <c r="I17" t="n">
        <v>6.3</v>
      </c>
      <c r="J17" t="n">
        <v>6.8</v>
      </c>
      <c r="K17" t="n">
        <v>7.2</v>
      </c>
      <c r="L17" t="n">
        <v>9.7</v>
      </c>
      <c r="M17" t="n">
        <v>9.6</v>
      </c>
      <c r="N17" t="n">
        <v>9.3</v>
      </c>
      <c r="O17" t="n">
        <v>9</v>
      </c>
      <c r="P17" t="n">
        <v>9.3</v>
      </c>
      <c r="Q17" t="n">
        <v>12</v>
      </c>
      <c r="R17" t="n">
        <v>11.7</v>
      </c>
      <c r="S17" t="n">
        <v>10.7</v>
      </c>
      <c r="T17" t="n">
        <v>12.7</v>
      </c>
      <c r="U17" t="n">
        <v>11.6</v>
      </c>
      <c r="V17" t="n">
        <v>9.7</v>
      </c>
      <c r="W17" t="n">
        <v>9.1</v>
      </c>
      <c r="X17" t="n">
        <v>12.4</v>
      </c>
      <c r="Y17" t="n">
        <v>12</v>
      </c>
      <c r="Z17" t="n">
        <v>10.7</v>
      </c>
      <c r="AA17" t="n">
        <v>9.6</v>
      </c>
      <c r="AB17" t="n">
        <v>8.7</v>
      </c>
      <c r="AC17" t="n">
        <v>7.8</v>
      </c>
      <c r="AD17" t="n">
        <v>6.8</v>
      </c>
      <c r="AE17" t="n">
        <v>5.7</v>
      </c>
      <c r="AF17" t="n">
        <v>4.9</v>
      </c>
    </row>
    <row r="18">
      <c r="A18" t="s">
        <v>101</v>
      </c>
      <c r="B18" t="s">
        <v>306</v>
      </c>
      <c r="C18" t="s">
        <v>217</v>
      </c>
      <c r="D18" t="s">
        <v>307</v>
      </c>
      <c r="E18" t="s">
        <v>218</v>
      </c>
      <c r="F18" t="n">
        <v>19</v>
      </c>
      <c r="G18" t="n">
        <v>16.1</v>
      </c>
      <c r="H18" t="n">
        <v>12.9</v>
      </c>
      <c r="I18" t="n">
        <v>11.5</v>
      </c>
      <c r="J18" t="n">
        <v>10.6</v>
      </c>
      <c r="K18" t="n">
        <v>9.8</v>
      </c>
      <c r="L18" t="n">
        <v>13.2</v>
      </c>
      <c r="M18" t="n">
        <v>12.1</v>
      </c>
      <c r="N18" t="n">
        <v>13.8</v>
      </c>
      <c r="O18" t="n">
        <v>15.5</v>
      </c>
      <c r="P18" t="n">
        <v>13.3</v>
      </c>
      <c r="Q18" t="n">
        <v>12.2</v>
      </c>
      <c r="R18" t="n">
        <v>11.6</v>
      </c>
      <c r="S18" t="n">
        <v>9.6</v>
      </c>
      <c r="T18" t="n">
        <v>7.6</v>
      </c>
      <c r="U18" t="n">
        <v>5.1</v>
      </c>
      <c r="V18" t="n">
        <v>2.9</v>
      </c>
      <c r="W18" t="n">
        <v>2.5</v>
      </c>
      <c r="X18" t="n">
        <v>1.5</v>
      </c>
      <c r="Y18" t="n">
        <v>1.3</v>
      </c>
      <c r="Z18" t="n">
        <v>1.2</v>
      </c>
      <c r="AA18" t="n">
        <v>1.1</v>
      </c>
      <c r="AB18" t="n">
        <v>1</v>
      </c>
      <c r="AC18" t="n">
        <v>0.7</v>
      </c>
      <c r="AD18" t="n">
        <v>0.6</v>
      </c>
      <c r="AE18" t="n">
        <v>1.1</v>
      </c>
      <c r="AF18" t="n">
        <v>1.8</v>
      </c>
    </row>
    <row r="19">
      <c r="A19" t="s">
        <v>101</v>
      </c>
      <c r="B19" t="s">
        <v>308</v>
      </c>
      <c r="C19" t="s">
        <v>217</v>
      </c>
      <c r="D19" t="s">
        <v>309</v>
      </c>
      <c r="E19" t="s">
        <v>218</v>
      </c>
      <c r="F19" t="n">
        <v>16.4</v>
      </c>
      <c r="G19" t="n">
        <v>15.2</v>
      </c>
      <c r="H19" t="n">
        <v>14.4</v>
      </c>
      <c r="I19" t="n">
        <v>14.3</v>
      </c>
      <c r="J19" t="n">
        <v>15.1</v>
      </c>
      <c r="K19" t="n">
        <v>15.8</v>
      </c>
      <c r="L19" t="n">
        <v>19.9</v>
      </c>
      <c r="M19" t="n">
        <v>18.2</v>
      </c>
      <c r="N19" t="n">
        <v>21.2</v>
      </c>
      <c r="O19" t="n">
        <v>21.8</v>
      </c>
      <c r="P19" t="n">
        <v>23.9</v>
      </c>
      <c r="Q19" t="n">
        <v>23.6</v>
      </c>
      <c r="R19" t="n">
        <v>23.5</v>
      </c>
      <c r="S19" t="n">
        <v>23.3</v>
      </c>
      <c r="T19" t="n">
        <v>23.5</v>
      </c>
      <c r="U19" t="n">
        <v>20.9</v>
      </c>
      <c r="V19" t="n">
        <v>9.4</v>
      </c>
      <c r="W19" t="n">
        <v>8.3</v>
      </c>
      <c r="X19" t="n">
        <v>5.3</v>
      </c>
      <c r="Y19" t="n">
        <v>6.3</v>
      </c>
      <c r="Z19" t="n">
        <v>2.3</v>
      </c>
      <c r="AA19" t="n">
        <v>2.1</v>
      </c>
      <c r="AB19" t="n">
        <v>1.9</v>
      </c>
      <c r="AC19" t="n">
        <v>3.4</v>
      </c>
      <c r="AD19" t="n">
        <v>5.3</v>
      </c>
      <c r="AE19" t="n">
        <v>7.7</v>
      </c>
      <c r="AF19" t="n">
        <v>10.8</v>
      </c>
    </row>
    <row r="20">
      <c r="A20" t="s">
        <v>101</v>
      </c>
      <c r="B20" t="s">
        <v>310</v>
      </c>
      <c r="C20" t="s">
        <v>217</v>
      </c>
      <c r="D20" t="s">
        <v>311</v>
      </c>
      <c r="E20" t="s">
        <v>218</v>
      </c>
      <c r="F20" t="n">
        <v>11.4</v>
      </c>
      <c r="G20" t="n">
        <v>12.1</v>
      </c>
      <c r="H20" t="n">
        <v>13.8</v>
      </c>
      <c r="I20" t="n">
        <v>15.1</v>
      </c>
      <c r="J20" t="n">
        <v>17.4</v>
      </c>
      <c r="K20" t="n">
        <v>19.5</v>
      </c>
      <c r="L20" t="n">
        <v>18.1</v>
      </c>
      <c r="M20" t="n">
        <v>83.1</v>
      </c>
      <c r="N20" t="n">
        <v>70.9</v>
      </c>
      <c r="O20" t="n">
        <v>56.8</v>
      </c>
      <c r="P20" t="n">
        <v>53.5</v>
      </c>
      <c r="Q20" t="n">
        <v>47.5</v>
      </c>
      <c r="R20" t="n">
        <v>41.9</v>
      </c>
      <c r="S20" t="n">
        <v>43.3</v>
      </c>
      <c r="T20" t="n">
        <v>45</v>
      </c>
      <c r="U20" t="n">
        <v>38.9</v>
      </c>
      <c r="V20" t="n">
        <v>34</v>
      </c>
      <c r="W20" t="n">
        <v>30.5</v>
      </c>
      <c r="X20" t="n">
        <v>24.5</v>
      </c>
      <c r="Y20" t="n">
        <v>24.8</v>
      </c>
      <c r="Z20" t="n">
        <v>23.4</v>
      </c>
      <c r="AA20" t="n">
        <v>21.6</v>
      </c>
      <c r="AB20" t="n">
        <v>20.4</v>
      </c>
      <c r="AC20" t="n">
        <v>20.3</v>
      </c>
      <c r="AD20" t="n">
        <v>19.4</v>
      </c>
      <c r="AE20" t="n">
        <v>20.2</v>
      </c>
      <c r="AF20" t="n">
        <v>22</v>
      </c>
    </row>
    <row r="21">
      <c r="A21" t="s">
        <v>101</v>
      </c>
      <c r="B21" t="s">
        <v>312</v>
      </c>
      <c r="C21" t="s">
        <v>217</v>
      </c>
      <c r="D21" t="s">
        <v>313</v>
      </c>
      <c r="E21" t="s">
        <v>218</v>
      </c>
      <c r="F21" t="n">
        <v>53.5</v>
      </c>
      <c r="G21" t="n">
        <v>51.3</v>
      </c>
      <c r="H21" t="n">
        <v>51.4</v>
      </c>
      <c r="I21" t="n">
        <v>52.7</v>
      </c>
      <c r="J21" t="n">
        <v>57.2</v>
      </c>
      <c r="K21" t="n">
        <v>61.4</v>
      </c>
      <c r="L21" t="n">
        <v>81.7</v>
      </c>
      <c r="M21" t="n">
        <v>157.3</v>
      </c>
      <c r="N21" t="n">
        <v>157.7</v>
      </c>
      <c r="O21" t="n">
        <v>152.4</v>
      </c>
      <c r="P21" t="n">
        <v>145.2</v>
      </c>
      <c r="Q21" t="n">
        <v>138.7</v>
      </c>
      <c r="R21" t="n">
        <v>132</v>
      </c>
      <c r="S21" t="n">
        <v>141</v>
      </c>
      <c r="T21" t="n">
        <v>153</v>
      </c>
      <c r="U21" t="n">
        <v>138.7</v>
      </c>
      <c r="V21" t="n">
        <v>127.6</v>
      </c>
      <c r="W21" t="n">
        <v>121.5</v>
      </c>
      <c r="X21" t="n">
        <v>107.1</v>
      </c>
      <c r="Y21" t="n">
        <v>111.1</v>
      </c>
      <c r="Z21" t="n">
        <v>103.9</v>
      </c>
      <c r="AA21" t="n">
        <v>92.2</v>
      </c>
      <c r="AB21" t="n">
        <v>93.9</v>
      </c>
      <c r="AC21" t="n">
        <v>93.6</v>
      </c>
      <c r="AD21" t="n">
        <v>97</v>
      </c>
      <c r="AE21" t="n">
        <v>105.2</v>
      </c>
      <c r="AF21" t="n">
        <v>118.3</v>
      </c>
    </row>
    <row r="22">
      <c r="A22" t="s">
        <v>101</v>
      </c>
      <c r="B22" t="s">
        <v>314</v>
      </c>
      <c r="C22" t="s">
        <v>217</v>
      </c>
      <c r="D22" t="s">
        <v>315</v>
      </c>
      <c r="E22" t="s">
        <v>218</v>
      </c>
      <c r="F22" t="n">
        <v>42.1</v>
      </c>
      <c r="G22" t="n">
        <v>39.2</v>
      </c>
      <c r="H22" t="n">
        <v>37.6</v>
      </c>
      <c r="I22" t="n">
        <v>37.6</v>
      </c>
      <c r="J22" t="n">
        <v>39.8</v>
      </c>
      <c r="K22" t="n">
        <v>41.9</v>
      </c>
      <c r="L22" t="n">
        <v>63.6</v>
      </c>
      <c r="M22" t="n">
        <v>74.2</v>
      </c>
      <c r="N22" t="n">
        <v>86.8</v>
      </c>
      <c r="O22" t="n">
        <v>95.6</v>
      </c>
      <c r="P22" t="n">
        <v>91.7</v>
      </c>
      <c r="Q22" t="n">
        <v>91.2</v>
      </c>
      <c r="R22" t="n">
        <v>90.1</v>
      </c>
      <c r="S22" t="n">
        <v>97.7</v>
      </c>
      <c r="T22" t="n">
        <v>108</v>
      </c>
      <c r="U22" t="n">
        <v>99.8</v>
      </c>
      <c r="V22" t="n">
        <v>93.6</v>
      </c>
      <c r="W22" t="n">
        <v>91</v>
      </c>
      <c r="X22" t="n">
        <v>82.6</v>
      </c>
      <c r="Y22" t="n">
        <v>86.3</v>
      </c>
      <c r="Z22" t="n">
        <v>80.5</v>
      </c>
      <c r="AA22" t="n">
        <v>70.6</v>
      </c>
      <c r="AB22" t="n">
        <v>73.5</v>
      </c>
      <c r="AC22" t="n">
        <v>73.3</v>
      </c>
      <c r="AD22" t="n">
        <v>77.6</v>
      </c>
      <c r="AE22" t="n">
        <v>85</v>
      </c>
      <c r="AF22" t="n">
        <v>96.3</v>
      </c>
    </row>
    <row r="23">
      <c r="A23" t="s">
        <v>101</v>
      </c>
      <c r="B23" t="s">
        <v>316</v>
      </c>
      <c r="C23" t="s">
        <v>217</v>
      </c>
      <c r="D23" t="s">
        <v>317</v>
      </c>
      <c r="E23" t="s">
        <v>218</v>
      </c>
      <c r="F23" t="n">
        <v>170.4</v>
      </c>
      <c r="G23" t="n">
        <v>173.4</v>
      </c>
      <c r="H23" t="n">
        <v>188.3</v>
      </c>
      <c r="I23" t="n">
        <v>202.1</v>
      </c>
      <c r="J23" t="n">
        <v>228.5</v>
      </c>
      <c r="K23" t="n">
        <v>252.7</v>
      </c>
      <c r="L23" t="n">
        <v>481.9</v>
      </c>
      <c r="M23" t="n">
        <v>391.5</v>
      </c>
      <c r="N23" t="n">
        <v>541.3</v>
      </c>
      <c r="O23" t="n">
        <v>557.7</v>
      </c>
      <c r="P23" t="n">
        <v>553.2</v>
      </c>
      <c r="Q23" t="n">
        <v>605.3</v>
      </c>
      <c r="R23" t="n">
        <v>725</v>
      </c>
      <c r="S23" t="n">
        <v>756</v>
      </c>
      <c r="T23" t="n">
        <v>692.3</v>
      </c>
      <c r="U23" t="n">
        <v>563.1</v>
      </c>
      <c r="V23" t="n">
        <v>466.6</v>
      </c>
      <c r="W23" t="n">
        <v>394.3</v>
      </c>
      <c r="X23" t="n">
        <v>340.4</v>
      </c>
      <c r="Y23" t="n">
        <v>298.8</v>
      </c>
      <c r="Z23" t="n">
        <v>253</v>
      </c>
      <c r="AA23" t="n">
        <v>222.3</v>
      </c>
      <c r="AB23" t="n">
        <v>198.9</v>
      </c>
      <c r="AC23" t="n">
        <v>170.1</v>
      </c>
      <c r="AD23" t="n">
        <v>144.6</v>
      </c>
      <c r="AE23" t="n">
        <v>123.6</v>
      </c>
      <c r="AF23" t="n">
        <v>111.1</v>
      </c>
    </row>
    <row r="24">
      <c r="A24" t="s">
        <v>101</v>
      </c>
      <c r="B24" t="s">
        <v>318</v>
      </c>
      <c r="C24" t="s">
        <v>217</v>
      </c>
      <c r="D24" t="s">
        <v>319</v>
      </c>
      <c r="E24" t="s">
        <v>218</v>
      </c>
      <c r="F24" t="n">
        <v>873.5</v>
      </c>
      <c r="G24" t="n">
        <v>767.6</v>
      </c>
      <c r="H24" t="n">
        <v>668.1</v>
      </c>
      <c r="I24" t="n">
        <v>628.8</v>
      </c>
      <c r="J24" t="n">
        <v>622.7</v>
      </c>
      <c r="K24" t="n">
        <v>620.4</v>
      </c>
      <c r="L24" t="n">
        <v>1047.1</v>
      </c>
      <c r="M24" t="n">
        <v>1062.2</v>
      </c>
      <c r="N24" t="n">
        <v>1266.8</v>
      </c>
      <c r="O24" t="n">
        <v>1296.1</v>
      </c>
      <c r="P24" t="n">
        <v>1382.3</v>
      </c>
      <c r="Q24" t="n">
        <v>1554.4</v>
      </c>
      <c r="R24" t="n">
        <v>1738.7</v>
      </c>
      <c r="S24" t="n">
        <v>1833</v>
      </c>
      <c r="T24" t="n">
        <v>1808.1</v>
      </c>
      <c r="U24" t="n">
        <v>1557.6</v>
      </c>
      <c r="V24" t="n">
        <v>1359.4</v>
      </c>
      <c r="W24" t="n">
        <v>1135.1</v>
      </c>
      <c r="X24" t="n">
        <v>976.1</v>
      </c>
      <c r="Y24" t="n">
        <v>991.9</v>
      </c>
      <c r="Z24" t="n">
        <v>970.7</v>
      </c>
      <c r="AA24" t="n">
        <v>1008.5</v>
      </c>
      <c r="AB24" t="n">
        <v>1052.3</v>
      </c>
      <c r="AC24" t="n">
        <v>968.1</v>
      </c>
      <c r="AD24" t="n">
        <v>895.2</v>
      </c>
      <c r="AE24" t="n">
        <v>835.5</v>
      </c>
      <c r="AF24" t="n">
        <v>835.7</v>
      </c>
    </row>
    <row r="25">
      <c r="A25" t="s">
        <v>101</v>
      </c>
      <c r="B25" t="s">
        <v>320</v>
      </c>
      <c r="C25" t="s">
        <v>217</v>
      </c>
      <c r="D25" t="s">
        <v>321</v>
      </c>
      <c r="E25" t="s">
        <v>218</v>
      </c>
      <c r="F25" t="n">
        <v>23.8</v>
      </c>
      <c r="G25" t="n">
        <v>34.5</v>
      </c>
      <c r="H25" t="n">
        <v>52</v>
      </c>
      <c r="I25" t="n">
        <v>62.9</v>
      </c>
      <c r="J25" t="n">
        <v>78.8</v>
      </c>
      <c r="K25" t="n">
        <v>92.7</v>
      </c>
      <c r="L25" t="n">
        <v>375.8</v>
      </c>
      <c r="M25" t="n">
        <v>355.5</v>
      </c>
      <c r="N25" t="n">
        <v>388.6</v>
      </c>
      <c r="O25" t="n">
        <v>386.6</v>
      </c>
      <c r="P25" t="n">
        <v>396.7</v>
      </c>
      <c r="Q25" t="n">
        <v>449.7</v>
      </c>
      <c r="R25" t="n">
        <v>521.1</v>
      </c>
      <c r="S25" t="n">
        <v>570.1</v>
      </c>
      <c r="T25" t="n">
        <v>564</v>
      </c>
      <c r="U25" t="n">
        <v>488.5</v>
      </c>
      <c r="V25" t="n">
        <v>406.3</v>
      </c>
      <c r="W25" t="n">
        <v>325.3</v>
      </c>
      <c r="X25" t="n">
        <v>275.7</v>
      </c>
      <c r="Y25" t="n">
        <v>259.3</v>
      </c>
      <c r="Z25" t="n">
        <v>242</v>
      </c>
      <c r="AA25" t="n">
        <v>267.6</v>
      </c>
      <c r="AB25" t="n">
        <v>292.4</v>
      </c>
      <c r="AC25" t="n">
        <v>274.5</v>
      </c>
      <c r="AD25" t="n">
        <v>241.8</v>
      </c>
      <c r="AE25" t="n">
        <v>217.9</v>
      </c>
      <c r="AF25" t="n">
        <v>209.4</v>
      </c>
    </row>
    <row r="26">
      <c r="A26" t="s">
        <v>101</v>
      </c>
      <c r="B26" t="s">
        <v>322</v>
      </c>
      <c r="C26" t="s">
        <v>217</v>
      </c>
      <c r="D26" t="s">
        <v>323</v>
      </c>
      <c r="E26" t="s">
        <v>218</v>
      </c>
      <c r="F26" t="n">
        <v>315.9</v>
      </c>
      <c r="G26" t="n">
        <v>280.6</v>
      </c>
      <c r="H26" t="n">
        <v>249.1</v>
      </c>
      <c r="I26" t="n">
        <v>237.5</v>
      </c>
      <c r="J26" t="n">
        <v>238.8</v>
      </c>
      <c r="K26" t="n">
        <v>241</v>
      </c>
      <c r="L26" t="n">
        <v>333.6</v>
      </c>
      <c r="M26" t="n">
        <v>379.3</v>
      </c>
      <c r="N26" t="n">
        <v>540.4</v>
      </c>
      <c r="O26" t="n">
        <v>581.3</v>
      </c>
      <c r="P26" t="n">
        <v>615.6</v>
      </c>
      <c r="Q26" t="n">
        <v>711.3</v>
      </c>
      <c r="R26" t="n">
        <v>795.9</v>
      </c>
      <c r="S26" t="n">
        <v>842.4</v>
      </c>
      <c r="T26" t="n">
        <v>841</v>
      </c>
      <c r="U26" t="n">
        <v>732.1</v>
      </c>
      <c r="V26" t="n">
        <v>631.8</v>
      </c>
      <c r="W26" t="n">
        <v>529.6</v>
      </c>
      <c r="X26" t="n">
        <v>448</v>
      </c>
      <c r="Y26" t="n">
        <v>475.6</v>
      </c>
      <c r="Z26" t="n">
        <v>482.2</v>
      </c>
      <c r="AA26" t="n">
        <v>467.7</v>
      </c>
      <c r="AB26" t="n">
        <v>460.9</v>
      </c>
      <c r="AC26" t="n">
        <v>425.7</v>
      </c>
      <c r="AD26" t="n">
        <v>399.5</v>
      </c>
      <c r="AE26" t="n">
        <v>386.8</v>
      </c>
      <c r="AF26" t="n">
        <v>402.2</v>
      </c>
    </row>
    <row r="27">
      <c r="A27" t="s">
        <v>101</v>
      </c>
      <c r="B27" t="s">
        <v>324</v>
      </c>
      <c r="C27" t="s">
        <v>217</v>
      </c>
      <c r="D27" t="s">
        <v>325</v>
      </c>
      <c r="E27" t="s">
        <v>218</v>
      </c>
      <c r="F27" t="n">
        <v>533.8</v>
      </c>
      <c r="G27" t="n">
        <v>452.5</v>
      </c>
      <c r="H27" t="n">
        <v>367</v>
      </c>
      <c r="I27" t="n">
        <v>328.4</v>
      </c>
      <c r="J27" t="n">
        <v>305.1</v>
      </c>
      <c r="K27" t="n">
        <v>286.7</v>
      </c>
      <c r="L27" t="n">
        <v>337.7</v>
      </c>
      <c r="M27" t="n">
        <v>327.4</v>
      </c>
      <c r="N27" t="n">
        <v>337.8</v>
      </c>
      <c r="O27" t="n">
        <v>328.2</v>
      </c>
      <c r="P27" t="n">
        <v>370</v>
      </c>
      <c r="Q27" t="n">
        <v>393.4</v>
      </c>
      <c r="R27" t="n">
        <v>421.7</v>
      </c>
      <c r="S27" t="n">
        <v>420.5</v>
      </c>
      <c r="T27" t="n">
        <v>403.1</v>
      </c>
      <c r="U27" t="n">
        <v>337</v>
      </c>
      <c r="V27" t="n">
        <v>321.3</v>
      </c>
      <c r="W27" t="n">
        <v>280.2</v>
      </c>
      <c r="X27" t="n">
        <v>252.4</v>
      </c>
      <c r="Y27" t="n">
        <v>257</v>
      </c>
      <c r="Z27" t="n">
        <v>246.5</v>
      </c>
      <c r="AA27" t="n">
        <v>273.2</v>
      </c>
      <c r="AB27" t="n">
        <v>299</v>
      </c>
      <c r="AC27" t="n">
        <v>267.9</v>
      </c>
      <c r="AD27" t="n">
        <v>253.9</v>
      </c>
      <c r="AE27" t="n">
        <v>230.8</v>
      </c>
      <c r="AF27" t="n">
        <v>224.1</v>
      </c>
    </row>
    <row r="28">
      <c r="A28" t="s">
        <v>101</v>
      </c>
      <c r="B28" t="s">
        <v>326</v>
      </c>
      <c r="C28" t="s">
        <v>217</v>
      </c>
      <c r="D28" t="s">
        <v>327</v>
      </c>
      <c r="E28" t="s">
        <v>218</v>
      </c>
      <c r="F28" t="n">
        <v>2562.8</v>
      </c>
      <c r="G28" t="n">
        <v>3499.8</v>
      </c>
      <c r="H28" t="n">
        <v>4233.7</v>
      </c>
      <c r="I28" t="n">
        <v>6026.7</v>
      </c>
      <c r="J28" t="n">
        <v>7305.9</v>
      </c>
      <c r="K28" t="n">
        <v>9233.2</v>
      </c>
      <c r="L28" t="n">
        <v>12226.1</v>
      </c>
      <c r="M28" t="n">
        <v>14695.8</v>
      </c>
      <c r="N28" t="n">
        <v>17452.1</v>
      </c>
      <c r="O28" t="n">
        <v>18270.4</v>
      </c>
      <c r="P28" t="n">
        <v>19486.8</v>
      </c>
      <c r="Q28" t="n">
        <v>23723.9</v>
      </c>
      <c r="R28" t="n">
        <v>28664.8</v>
      </c>
      <c r="S28" t="n">
        <v>33524.7</v>
      </c>
      <c r="T28" t="n">
        <v>36054.2</v>
      </c>
      <c r="U28" t="n">
        <v>34764</v>
      </c>
      <c r="V28" t="n">
        <v>31725.8</v>
      </c>
      <c r="W28" t="n">
        <v>29191.4</v>
      </c>
      <c r="X28" t="n">
        <v>26977.3</v>
      </c>
      <c r="Y28" t="n">
        <v>25141.6</v>
      </c>
      <c r="Z28" t="n">
        <v>23309.3</v>
      </c>
      <c r="AA28" t="n">
        <v>21508.6</v>
      </c>
      <c r="AB28" t="n">
        <v>20316.7</v>
      </c>
      <c r="AC28" t="n">
        <v>19559.2</v>
      </c>
      <c r="AD28" t="n">
        <v>18549.6</v>
      </c>
      <c r="AE28" t="n">
        <v>17130.3</v>
      </c>
      <c r="AF28" t="n">
        <v>15897.7</v>
      </c>
    </row>
    <row r="29">
      <c r="A29" t="s">
        <v>101</v>
      </c>
      <c r="B29" t="s">
        <v>328</v>
      </c>
      <c r="C29" t="s">
        <v>217</v>
      </c>
      <c r="D29" t="s">
        <v>329</v>
      </c>
      <c r="E29" t="s">
        <v>218</v>
      </c>
      <c r="F29" t="n">
        <v>1058.2</v>
      </c>
      <c r="G29" t="n">
        <v>1138.9</v>
      </c>
      <c r="H29" t="n">
        <v>1264.5</v>
      </c>
      <c r="I29" t="n">
        <v>1408.8</v>
      </c>
      <c r="J29" t="n">
        <v>1622.6</v>
      </c>
      <c r="K29" t="n">
        <v>1832.1</v>
      </c>
      <c r="L29" t="n">
        <v>3426.3</v>
      </c>
      <c r="M29" t="n">
        <v>3369</v>
      </c>
      <c r="N29" t="n">
        <v>3459.6</v>
      </c>
      <c r="O29" t="n">
        <v>3701.7</v>
      </c>
      <c r="P29" t="n">
        <v>4266.1</v>
      </c>
      <c r="Q29" t="n">
        <v>5432.8</v>
      </c>
      <c r="R29" t="n">
        <v>5693.1</v>
      </c>
      <c r="S29" t="n">
        <v>6027.9</v>
      </c>
      <c r="T29" t="n">
        <v>6188.7</v>
      </c>
      <c r="U29" t="n">
        <v>5843</v>
      </c>
      <c r="V29" t="n">
        <v>5183.9</v>
      </c>
      <c r="W29" t="n">
        <v>4549.2</v>
      </c>
      <c r="X29" t="n">
        <v>4119</v>
      </c>
      <c r="Y29" t="n">
        <v>3858.9</v>
      </c>
      <c r="Z29" t="n">
        <v>3299.5</v>
      </c>
      <c r="AA29" t="n">
        <v>2772</v>
      </c>
      <c r="AB29" t="n">
        <v>2747</v>
      </c>
      <c r="AC29" t="n">
        <v>2717.5</v>
      </c>
      <c r="AD29" t="n">
        <v>2608.5</v>
      </c>
      <c r="AE29" t="n">
        <v>2464.1</v>
      </c>
      <c r="AF29" t="n">
        <v>2402.4</v>
      </c>
    </row>
    <row r="30">
      <c r="A30" t="s">
        <v>101</v>
      </c>
      <c r="B30" t="s">
        <v>330</v>
      </c>
      <c r="C30" t="s">
        <v>217</v>
      </c>
      <c r="D30" t="s">
        <v>331</v>
      </c>
      <c r="E30" t="s">
        <v>218</v>
      </c>
      <c r="F30" t="n">
        <v>1225.4</v>
      </c>
      <c r="G30" t="n">
        <v>2094.6</v>
      </c>
      <c r="H30" t="n">
        <v>2728.2</v>
      </c>
      <c r="I30" t="n">
        <v>4380</v>
      </c>
      <c r="J30" t="n">
        <v>5443.3</v>
      </c>
      <c r="K30" t="n">
        <v>7155.5</v>
      </c>
      <c r="L30" t="n">
        <v>8350.7</v>
      </c>
      <c r="M30" t="n">
        <v>10653.1</v>
      </c>
      <c r="N30" t="n">
        <v>13329.1</v>
      </c>
      <c r="O30" t="n">
        <v>13959.2</v>
      </c>
      <c r="P30" t="n">
        <v>14083.5</v>
      </c>
      <c r="Q30" t="n">
        <v>17212</v>
      </c>
      <c r="R30" t="n">
        <v>21903.8</v>
      </c>
      <c r="S30" t="n">
        <v>26442.3</v>
      </c>
      <c r="T30" t="n">
        <v>28771.5</v>
      </c>
      <c r="U30" t="n">
        <v>27903.6</v>
      </c>
      <c r="V30" t="n">
        <v>25597.4</v>
      </c>
      <c r="W30" t="n">
        <v>23784.5</v>
      </c>
      <c r="X30" t="n">
        <v>22045.6</v>
      </c>
      <c r="Y30" t="n">
        <v>20498.2</v>
      </c>
      <c r="Z30" t="n">
        <v>19210.1</v>
      </c>
      <c r="AA30" t="n">
        <v>17795.6</v>
      </c>
      <c r="AB30" t="n">
        <v>16488.5</v>
      </c>
      <c r="AC30" t="n">
        <v>15704.9</v>
      </c>
      <c r="AD30" t="n">
        <v>14895.7</v>
      </c>
      <c r="AE30" t="n">
        <v>13726.3</v>
      </c>
      <c r="AF30" t="n">
        <v>12629</v>
      </c>
    </row>
    <row r="31">
      <c r="A31" t="s">
        <v>101</v>
      </c>
      <c r="B31" t="s">
        <v>332</v>
      </c>
      <c r="C31" t="s">
        <v>217</v>
      </c>
      <c r="D31" t="s">
        <v>333</v>
      </c>
      <c r="E31" t="s">
        <v>218</v>
      </c>
      <c r="F31" t="n">
        <v>181.9</v>
      </c>
      <c r="G31" t="n">
        <v>177.9</v>
      </c>
      <c r="H31" t="n">
        <v>165.3</v>
      </c>
      <c r="I31" t="n">
        <v>166.4</v>
      </c>
      <c r="J31" t="n">
        <v>171</v>
      </c>
      <c r="K31" t="n">
        <v>178.7</v>
      </c>
      <c r="L31" t="n">
        <v>372.8</v>
      </c>
      <c r="M31" t="n">
        <v>602.8</v>
      </c>
      <c r="N31" t="n">
        <v>587.9</v>
      </c>
      <c r="O31" t="n">
        <v>519.4</v>
      </c>
      <c r="P31" t="n">
        <v>1036.7</v>
      </c>
      <c r="Q31" t="n">
        <v>969.4</v>
      </c>
      <c r="R31" t="n">
        <v>929.5</v>
      </c>
      <c r="S31" t="n">
        <v>883.9</v>
      </c>
      <c r="T31" t="n">
        <v>841</v>
      </c>
      <c r="U31" t="n">
        <v>761.5</v>
      </c>
      <c r="V31" t="n">
        <v>694.9</v>
      </c>
      <c r="W31" t="n">
        <v>634</v>
      </c>
      <c r="X31" t="n">
        <v>588.1</v>
      </c>
      <c r="Y31" t="n">
        <v>543.6</v>
      </c>
      <c r="Z31" t="n">
        <v>516.3</v>
      </c>
      <c r="AA31" t="n">
        <v>497</v>
      </c>
      <c r="AB31" t="n">
        <v>481.4</v>
      </c>
      <c r="AC31" t="n">
        <v>468.1</v>
      </c>
      <c r="AD31" t="n">
        <v>436.1</v>
      </c>
      <c r="AE31" t="n">
        <v>399.4</v>
      </c>
      <c r="AF31" t="n">
        <v>372.2</v>
      </c>
    </row>
    <row r="32">
      <c r="A32" t="s">
        <v>101</v>
      </c>
      <c r="B32" t="s">
        <v>334</v>
      </c>
      <c r="C32" t="s">
        <v>217</v>
      </c>
      <c r="D32" t="s">
        <v>335</v>
      </c>
      <c r="E32" t="s">
        <v>218</v>
      </c>
      <c r="F32" t="n">
        <v>96.3</v>
      </c>
      <c r="G32" t="n">
        <v>87.5</v>
      </c>
      <c r="H32" t="n">
        <v>74.8</v>
      </c>
      <c r="I32" t="n">
        <v>70.6</v>
      </c>
      <c r="J32" t="n">
        <v>68.1</v>
      </c>
      <c r="K32" t="n">
        <v>65.9</v>
      </c>
      <c r="L32" t="n">
        <v>72.4</v>
      </c>
      <c r="M32" t="n">
        <v>66.1</v>
      </c>
      <c r="N32" t="n">
        <v>70</v>
      </c>
      <c r="O32" t="n">
        <v>84</v>
      </c>
      <c r="P32" t="n">
        <v>86.8</v>
      </c>
      <c r="Q32" t="n">
        <v>96.4</v>
      </c>
      <c r="R32" t="n">
        <v>114.8</v>
      </c>
      <c r="S32" t="n">
        <v>143.4</v>
      </c>
      <c r="T32" t="n">
        <v>223.8</v>
      </c>
      <c r="U32" t="n">
        <v>230.7</v>
      </c>
      <c r="V32" t="n">
        <v>228.8</v>
      </c>
      <c r="W32" t="n">
        <v>206.5</v>
      </c>
      <c r="X32" t="n">
        <v>210.4</v>
      </c>
      <c r="Y32" t="n">
        <v>228.9</v>
      </c>
      <c r="Z32" t="n">
        <v>272.2</v>
      </c>
      <c r="AA32" t="n">
        <v>433.3</v>
      </c>
      <c r="AB32" t="n">
        <v>589.4</v>
      </c>
      <c r="AC32" t="n">
        <v>659.5</v>
      </c>
      <c r="AD32" t="n">
        <v>600.7</v>
      </c>
      <c r="AE32" t="n">
        <v>533.1</v>
      </c>
      <c r="AF32" t="n">
        <v>487.3</v>
      </c>
    </row>
    <row r="33">
      <c r="A33" t="s">
        <v>101</v>
      </c>
      <c r="B33" t="s">
        <v>336</v>
      </c>
      <c r="C33" t="s">
        <v>217</v>
      </c>
      <c r="D33" t="s">
        <v>337</v>
      </c>
      <c r="E33" t="s">
        <v>218</v>
      </c>
      <c r="F33" t="n">
        <v>1</v>
      </c>
      <c r="G33" t="n">
        <v>0.9</v>
      </c>
      <c r="H33" t="n">
        <v>0.9</v>
      </c>
      <c r="I33" t="n">
        <v>0.9</v>
      </c>
      <c r="J33" t="n">
        <v>0.9</v>
      </c>
      <c r="K33" t="n">
        <v>1</v>
      </c>
      <c r="L33" t="n">
        <v>3.9</v>
      </c>
      <c r="M33" t="n">
        <v>4.8</v>
      </c>
      <c r="N33" t="n">
        <v>5.5</v>
      </c>
      <c r="O33" t="n">
        <v>6.1</v>
      </c>
      <c r="P33" t="n">
        <v>13.7</v>
      </c>
      <c r="Q33" t="n">
        <v>13.3</v>
      </c>
      <c r="R33" t="n">
        <v>23.6</v>
      </c>
      <c r="S33" t="n">
        <v>27.2</v>
      </c>
      <c r="T33" t="n">
        <v>29.2</v>
      </c>
      <c r="U33" t="n">
        <v>25.2</v>
      </c>
      <c r="V33" t="n">
        <v>20.8</v>
      </c>
      <c r="W33" t="n">
        <v>17.2</v>
      </c>
      <c r="X33" t="n">
        <v>14.2</v>
      </c>
      <c r="Y33" t="n">
        <v>12</v>
      </c>
      <c r="Z33" t="n">
        <v>11.2</v>
      </c>
      <c r="AA33" t="n">
        <v>10.7</v>
      </c>
      <c r="AB33" t="n">
        <v>10.4</v>
      </c>
      <c r="AC33" t="n">
        <v>9.2</v>
      </c>
      <c r="AD33" t="n">
        <v>8.6</v>
      </c>
      <c r="AE33" t="n">
        <v>7.4</v>
      </c>
      <c r="AF33" t="n">
        <v>6.8</v>
      </c>
    </row>
    <row r="34">
      <c r="A34" t="s">
        <v>101</v>
      </c>
      <c r="B34" t="s">
        <v>338</v>
      </c>
      <c r="C34" t="s">
        <v>217</v>
      </c>
      <c r="D34" t="s">
        <v>339</v>
      </c>
      <c r="E34" t="s">
        <v>218</v>
      </c>
      <c r="F34" t="n">
        <v>56.4</v>
      </c>
      <c r="G34" t="n">
        <v>60</v>
      </c>
      <c r="H34" t="n">
        <v>69.1</v>
      </c>
      <c r="I34" t="n">
        <v>75.8</v>
      </c>
      <c r="J34" t="n">
        <v>87.7</v>
      </c>
      <c r="K34" t="n">
        <v>98.2</v>
      </c>
      <c r="L34" t="n">
        <v>139.5</v>
      </c>
      <c r="M34" t="n">
        <v>131.8</v>
      </c>
      <c r="N34" t="n">
        <v>122.3</v>
      </c>
      <c r="O34" t="n">
        <v>118.5</v>
      </c>
      <c r="P34" t="n">
        <v>111.4</v>
      </c>
      <c r="Q34" t="n">
        <v>113.2</v>
      </c>
      <c r="R34" t="n">
        <v>122.3</v>
      </c>
      <c r="S34" t="n">
        <v>143.7</v>
      </c>
      <c r="T34" t="n">
        <v>176.1</v>
      </c>
      <c r="U34" t="n">
        <v>180.5</v>
      </c>
      <c r="V34" t="n">
        <v>182.2</v>
      </c>
      <c r="W34" t="n">
        <v>169.4</v>
      </c>
      <c r="X34" t="n">
        <v>162</v>
      </c>
      <c r="Y34" t="n">
        <v>211.5</v>
      </c>
      <c r="Z34" t="n">
        <v>185.2</v>
      </c>
      <c r="AA34" t="n">
        <v>166.9</v>
      </c>
      <c r="AB34" t="n">
        <v>153.4</v>
      </c>
      <c r="AC34" t="n">
        <v>129.2</v>
      </c>
      <c r="AD34" t="n">
        <v>109.7</v>
      </c>
      <c r="AE34" t="n">
        <v>93.3</v>
      </c>
      <c r="AF34" t="n">
        <v>83.3</v>
      </c>
    </row>
    <row r="35">
      <c r="A35" t="s">
        <v>101</v>
      </c>
      <c r="B35" t="s">
        <v>340</v>
      </c>
      <c r="C35" t="s">
        <v>217</v>
      </c>
      <c r="D35" t="s">
        <v>341</v>
      </c>
      <c r="E35" t="s">
        <v>218</v>
      </c>
      <c r="F35" t="n">
        <v>45</v>
      </c>
      <c r="G35" t="n">
        <v>48.8</v>
      </c>
      <c r="H35" t="n">
        <v>56.8</v>
      </c>
      <c r="I35" t="n">
        <v>62.9</v>
      </c>
      <c r="J35" t="n">
        <v>73</v>
      </c>
      <c r="K35" t="n">
        <v>82.2</v>
      </c>
      <c r="L35" t="n">
        <v>128.1</v>
      </c>
      <c r="M35" t="n">
        <v>204.5</v>
      </c>
      <c r="N35" t="n">
        <v>236.5</v>
      </c>
      <c r="O35" t="n">
        <v>235</v>
      </c>
      <c r="P35" t="n">
        <v>202.3</v>
      </c>
      <c r="Q35" t="n">
        <v>177.8</v>
      </c>
      <c r="R35" t="n">
        <v>163.2</v>
      </c>
      <c r="S35" t="n">
        <v>154.5</v>
      </c>
      <c r="T35" t="n">
        <v>145.5</v>
      </c>
      <c r="U35" t="n">
        <v>123.3</v>
      </c>
      <c r="V35" t="n">
        <v>102.3</v>
      </c>
      <c r="W35" t="n">
        <v>83.2</v>
      </c>
      <c r="X35" t="n">
        <v>68.4</v>
      </c>
      <c r="Y35" t="n">
        <v>63.3</v>
      </c>
      <c r="Z35" t="n">
        <v>58</v>
      </c>
      <c r="AA35" t="n">
        <v>54.1</v>
      </c>
      <c r="AB35" t="n">
        <v>51.6</v>
      </c>
      <c r="AC35" t="n">
        <v>45.3</v>
      </c>
      <c r="AD35" t="n">
        <v>39.9</v>
      </c>
      <c r="AE35" t="n">
        <v>38.1</v>
      </c>
      <c r="AF35" t="n">
        <v>38.3</v>
      </c>
    </row>
    <row r="36">
      <c r="A36" t="s">
        <v>101</v>
      </c>
      <c r="B36" t="s">
        <v>342</v>
      </c>
      <c r="C36" t="s">
        <v>217</v>
      </c>
      <c r="D36" t="s">
        <v>343</v>
      </c>
      <c r="E36" t="s">
        <v>218</v>
      </c>
      <c r="F36" t="n">
        <v>31.7</v>
      </c>
      <c r="G36" t="n">
        <v>34.5</v>
      </c>
      <c r="H36" t="n">
        <v>40.1</v>
      </c>
      <c r="I36" t="n">
        <v>44.5</v>
      </c>
      <c r="J36" t="n">
        <v>51.7</v>
      </c>
      <c r="K36" t="n">
        <v>58.3</v>
      </c>
      <c r="L36" t="n">
        <v>68.7</v>
      </c>
      <c r="M36" t="n">
        <v>96.8</v>
      </c>
      <c r="N36" t="n">
        <v>124.1</v>
      </c>
      <c r="O36" t="n">
        <v>121</v>
      </c>
      <c r="P36" t="n">
        <v>99.3</v>
      </c>
      <c r="Q36" t="n">
        <v>90</v>
      </c>
      <c r="R36" t="n">
        <v>86.6</v>
      </c>
      <c r="S36" t="n">
        <v>87.2</v>
      </c>
      <c r="T36" t="n">
        <v>85.6</v>
      </c>
      <c r="U36" t="n">
        <v>70.2</v>
      </c>
      <c r="V36" t="n">
        <v>57.1</v>
      </c>
      <c r="W36" t="n">
        <v>45.6</v>
      </c>
      <c r="X36" t="n">
        <v>37.1</v>
      </c>
      <c r="Y36" t="n">
        <v>32.8</v>
      </c>
      <c r="Z36" t="n">
        <v>27.2</v>
      </c>
      <c r="AA36" t="n">
        <v>22.7</v>
      </c>
      <c r="AB36" t="n">
        <v>19.2</v>
      </c>
      <c r="AC36" t="n">
        <v>16.2</v>
      </c>
      <c r="AD36" t="n">
        <v>14.4</v>
      </c>
      <c r="AE36" t="n">
        <v>14.6</v>
      </c>
      <c r="AF36" t="n">
        <v>15.1</v>
      </c>
    </row>
    <row r="37">
      <c r="A37" t="s">
        <v>101</v>
      </c>
      <c r="B37" t="s">
        <v>344</v>
      </c>
      <c r="C37" t="s">
        <v>217</v>
      </c>
      <c r="D37" t="s">
        <v>345</v>
      </c>
      <c r="E37" t="s">
        <v>218</v>
      </c>
      <c r="F37" t="n">
        <v>9.4</v>
      </c>
      <c r="G37" t="n">
        <v>8.8</v>
      </c>
      <c r="H37" t="n">
        <v>8.6</v>
      </c>
      <c r="I37" t="n">
        <v>8.7</v>
      </c>
      <c r="J37" t="n">
        <v>9.3</v>
      </c>
      <c r="K37" t="n">
        <v>9.8</v>
      </c>
      <c r="L37" t="n">
        <v>37.9</v>
      </c>
      <c r="M37" t="n">
        <v>47.3</v>
      </c>
      <c r="N37" t="n">
        <v>53.7</v>
      </c>
      <c r="O37" t="n">
        <v>60</v>
      </c>
      <c r="P37" t="n">
        <v>60.5</v>
      </c>
      <c r="Q37" t="n">
        <v>51.5</v>
      </c>
      <c r="R37" t="n">
        <v>44.5</v>
      </c>
      <c r="S37" t="n">
        <v>39.3</v>
      </c>
      <c r="T37" t="n">
        <v>34.4</v>
      </c>
      <c r="U37" t="n">
        <v>29.7</v>
      </c>
      <c r="V37" t="n">
        <v>24.7</v>
      </c>
      <c r="W37" t="n">
        <v>20.4</v>
      </c>
      <c r="X37" t="n">
        <v>17</v>
      </c>
      <c r="Y37" t="n">
        <v>14.9</v>
      </c>
      <c r="Z37" t="n">
        <v>15.8</v>
      </c>
      <c r="AA37" t="n">
        <v>14.9</v>
      </c>
      <c r="AB37" t="n">
        <v>14.4</v>
      </c>
      <c r="AC37" t="n">
        <v>13.2</v>
      </c>
      <c r="AD37" t="n">
        <v>11.4</v>
      </c>
      <c r="AE37" t="n">
        <v>9.8</v>
      </c>
      <c r="AF37" t="n">
        <v>8.9</v>
      </c>
    </row>
    <row r="38">
      <c r="A38" t="s">
        <v>101</v>
      </c>
      <c r="B38" t="s">
        <v>346</v>
      </c>
      <c r="C38" t="s">
        <v>217</v>
      </c>
      <c r="D38" t="s">
        <v>347</v>
      </c>
      <c r="E38" t="s">
        <v>218</v>
      </c>
      <c r="F38" t="n">
        <v>3.9</v>
      </c>
      <c r="G38" t="n">
        <v>5.5</v>
      </c>
      <c r="H38" t="n">
        <v>8.1</v>
      </c>
      <c r="I38" t="n">
        <v>9.7</v>
      </c>
      <c r="J38" t="n">
        <v>12</v>
      </c>
      <c r="K38" t="n">
        <v>14.1</v>
      </c>
      <c r="L38" t="n">
        <v>21.5</v>
      </c>
      <c r="M38" t="n">
        <v>60.4</v>
      </c>
      <c r="N38" t="n">
        <v>58.7</v>
      </c>
      <c r="O38" t="n">
        <v>54</v>
      </c>
      <c r="P38" t="n">
        <v>42.5</v>
      </c>
      <c r="Q38" t="n">
        <v>36.3</v>
      </c>
      <c r="R38" t="n">
        <v>32.1</v>
      </c>
      <c r="S38" t="n">
        <v>28</v>
      </c>
      <c r="T38" t="n">
        <v>25.5</v>
      </c>
      <c r="U38" t="n">
        <v>23.4</v>
      </c>
      <c r="V38" t="n">
        <v>20.5</v>
      </c>
      <c r="W38" t="n">
        <v>17.2</v>
      </c>
      <c r="X38" t="n">
        <v>14.3</v>
      </c>
      <c r="Y38" t="n">
        <v>15.6</v>
      </c>
      <c r="Z38" t="n">
        <v>15</v>
      </c>
      <c r="AA38" t="n">
        <v>16.5</v>
      </c>
      <c r="AB38" t="n">
        <v>18</v>
      </c>
      <c r="AC38" t="n">
        <v>15.9</v>
      </c>
      <c r="AD38" t="n">
        <v>14.1</v>
      </c>
      <c r="AE38" t="n">
        <v>13.7</v>
      </c>
      <c r="AF38" t="n">
        <v>14.3</v>
      </c>
    </row>
    <row r="39">
      <c r="A39" t="s">
        <v>101</v>
      </c>
      <c r="B39" t="s">
        <v>348</v>
      </c>
      <c r="C39" t="s">
        <v>217</v>
      </c>
      <c r="D39" t="s">
        <v>349</v>
      </c>
      <c r="E39" t="s">
        <v>218</v>
      </c>
      <c r="F39" t="n">
        <v>16.2</v>
      </c>
      <c r="G39" t="n">
        <v>15.3</v>
      </c>
      <c r="H39" t="n">
        <v>14.8</v>
      </c>
      <c r="I39" t="n">
        <v>15.1</v>
      </c>
      <c r="J39" t="n">
        <v>16.1</v>
      </c>
      <c r="K39" t="n">
        <v>17.1</v>
      </c>
      <c r="L39" t="n">
        <v>19.9</v>
      </c>
      <c r="M39" t="n">
        <v>26.3</v>
      </c>
      <c r="N39" t="n">
        <v>26.2</v>
      </c>
      <c r="O39" t="n">
        <v>22.3</v>
      </c>
      <c r="P39" t="n">
        <v>18.6</v>
      </c>
      <c r="Q39" t="n">
        <v>16.3</v>
      </c>
      <c r="R39" t="n">
        <v>14.2</v>
      </c>
      <c r="S39" t="n">
        <v>11.8</v>
      </c>
      <c r="T39" t="n">
        <v>10.2</v>
      </c>
      <c r="U39" t="n">
        <v>11.5</v>
      </c>
      <c r="V39" t="n">
        <v>10.3</v>
      </c>
      <c r="W39" t="n">
        <v>9.2</v>
      </c>
      <c r="X39" t="n">
        <v>9.4</v>
      </c>
      <c r="Y39" t="n">
        <v>9.6</v>
      </c>
      <c r="Z39" t="n">
        <v>9.3</v>
      </c>
      <c r="AA39" t="n">
        <v>8.6</v>
      </c>
      <c r="AB39" t="n">
        <v>8</v>
      </c>
      <c r="AC39" t="n">
        <v>7.5</v>
      </c>
      <c r="AD39" t="n">
        <v>6.7</v>
      </c>
      <c r="AE39" t="n">
        <v>6.5</v>
      </c>
      <c r="AF39" t="n">
        <v>6.9</v>
      </c>
    </row>
    <row r="40">
      <c r="A40" t="s">
        <v>101</v>
      </c>
      <c r="B40" t="s">
        <v>350</v>
      </c>
      <c r="C40" t="s">
        <v>217</v>
      </c>
      <c r="D40" t="s">
        <v>351</v>
      </c>
      <c r="E40" t="s">
        <v>218</v>
      </c>
      <c r="F40" t="n">
        <v>3.5</v>
      </c>
      <c r="G40" t="n">
        <v>3.4</v>
      </c>
      <c r="H40" t="n">
        <v>3.5</v>
      </c>
      <c r="I40" t="n">
        <v>3.6</v>
      </c>
      <c r="J40" t="n">
        <v>3.9</v>
      </c>
      <c r="K40" t="n">
        <v>4.3</v>
      </c>
      <c r="L40" t="n">
        <v>50.2</v>
      </c>
      <c r="M40" t="n">
        <v>59.6</v>
      </c>
      <c r="N40" t="n">
        <v>65.8</v>
      </c>
      <c r="O40" t="n">
        <v>68.3</v>
      </c>
      <c r="P40" t="n">
        <v>52.4</v>
      </c>
      <c r="Q40" t="n">
        <v>42.7</v>
      </c>
      <c r="R40" t="n">
        <v>36.9</v>
      </c>
      <c r="S40" t="n">
        <v>30.3</v>
      </c>
      <c r="T40" t="n">
        <v>24.6</v>
      </c>
      <c r="U40" t="n">
        <v>20.9</v>
      </c>
      <c r="V40" t="n">
        <v>17</v>
      </c>
      <c r="W40" t="n">
        <v>13.5</v>
      </c>
      <c r="X40" t="n">
        <v>10.9</v>
      </c>
      <c r="Y40" t="n">
        <v>10.6</v>
      </c>
      <c r="Z40" t="n">
        <v>9.3</v>
      </c>
      <c r="AA40" t="n">
        <v>7.9</v>
      </c>
      <c r="AB40" t="n">
        <v>6.8</v>
      </c>
      <c r="AC40" t="n">
        <v>5.3</v>
      </c>
      <c r="AD40" t="n">
        <v>3.7</v>
      </c>
      <c r="AE40" t="n">
        <v>0</v>
      </c>
      <c r="AF40" t="n">
        <v>0</v>
      </c>
    </row>
    <row r="41">
      <c r="A41" t="s">
        <v>101</v>
      </c>
      <c r="B41" t="s">
        <v>352</v>
      </c>
      <c r="C41" t="s">
        <v>217</v>
      </c>
      <c r="D41" t="s">
        <v>353</v>
      </c>
      <c r="E41" t="s">
        <v>218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101</v>
      </c>
      <c r="B42" t="s">
        <v>354</v>
      </c>
      <c r="C42" t="s">
        <v>217</v>
      </c>
      <c r="D42" t="s">
        <v>355</v>
      </c>
      <c r="E42" t="s">
        <v>218</v>
      </c>
      <c r="F42" t="n">
        <v>38</v>
      </c>
      <c r="G42" t="n">
        <v>61.5</v>
      </c>
      <c r="H42" t="n">
        <v>99.9</v>
      </c>
      <c r="I42" t="n">
        <v>123.1</v>
      </c>
      <c r="J42" t="n">
        <v>157.6</v>
      </c>
      <c r="K42" t="n">
        <v>186.4</v>
      </c>
      <c r="L42" t="n">
        <v>272.2</v>
      </c>
      <c r="M42" t="n">
        <v>312.8</v>
      </c>
      <c r="N42" t="n">
        <v>364.5</v>
      </c>
      <c r="O42" t="n">
        <v>370.6</v>
      </c>
      <c r="P42" t="n">
        <v>331.9</v>
      </c>
      <c r="Q42" t="n">
        <v>317.9</v>
      </c>
      <c r="R42" t="n">
        <v>309.6</v>
      </c>
      <c r="S42" t="n">
        <v>276.5</v>
      </c>
      <c r="T42" t="n">
        <v>264.1</v>
      </c>
      <c r="U42" t="n">
        <v>229.2</v>
      </c>
      <c r="V42" t="n">
        <v>197.2</v>
      </c>
      <c r="W42" t="n">
        <v>168.7</v>
      </c>
      <c r="X42" t="n">
        <v>142</v>
      </c>
      <c r="Y42" t="n">
        <v>126.7</v>
      </c>
      <c r="Z42" t="n">
        <v>110.8</v>
      </c>
      <c r="AA42" t="n">
        <v>97.4</v>
      </c>
      <c r="AB42" t="n">
        <v>87.3</v>
      </c>
      <c r="AC42" t="n">
        <v>75.4</v>
      </c>
      <c r="AD42" t="n">
        <v>91.5</v>
      </c>
      <c r="AE42" t="n">
        <v>100.8</v>
      </c>
      <c r="AF42" t="n">
        <v>119.4</v>
      </c>
    </row>
    <row r="43">
      <c r="A43" t="s">
        <v>101</v>
      </c>
      <c r="B43" t="s">
        <v>356</v>
      </c>
      <c r="C43" t="s">
        <v>217</v>
      </c>
      <c r="D43" t="s">
        <v>357</v>
      </c>
      <c r="E43" t="s">
        <v>218</v>
      </c>
      <c r="F43" t="n">
        <v>292.3</v>
      </c>
      <c r="G43" t="n">
        <v>345.1</v>
      </c>
      <c r="H43" t="n">
        <v>407.7</v>
      </c>
      <c r="I43" t="n">
        <v>496.4</v>
      </c>
      <c r="J43" t="n">
        <v>581.3</v>
      </c>
      <c r="K43" t="n">
        <v>680.1</v>
      </c>
      <c r="L43" t="n">
        <v>847.9</v>
      </c>
      <c r="M43" t="n">
        <v>877.9</v>
      </c>
      <c r="N43" t="n">
        <v>1001.5</v>
      </c>
      <c r="O43" t="n">
        <v>1100.4</v>
      </c>
      <c r="P43" t="n">
        <v>1477.4</v>
      </c>
      <c r="Q43" t="n">
        <v>1912.9</v>
      </c>
      <c r="R43" t="n">
        <v>2649.7</v>
      </c>
      <c r="S43" t="n">
        <v>3069.5</v>
      </c>
      <c r="T43" t="n">
        <v>3066</v>
      </c>
      <c r="U43" t="n">
        <v>2776.9</v>
      </c>
      <c r="V43" t="n">
        <v>2566.1</v>
      </c>
      <c r="W43" t="n">
        <v>2115.7</v>
      </c>
      <c r="X43" t="n">
        <v>1715.8</v>
      </c>
      <c r="Y43" t="n">
        <v>1533.2</v>
      </c>
      <c r="Z43" t="n">
        <v>1259.9</v>
      </c>
      <c r="AA43" t="n">
        <v>1003.5</v>
      </c>
      <c r="AB43" t="n">
        <v>805.6</v>
      </c>
      <c r="AC43" t="n">
        <v>690.4</v>
      </c>
      <c r="AD43" t="n">
        <v>629.9</v>
      </c>
      <c r="AE43" t="n">
        <v>562.9</v>
      </c>
      <c r="AF43" t="n">
        <v>525.7</v>
      </c>
    </row>
    <row r="44">
      <c r="A44" t="s">
        <v>101</v>
      </c>
      <c r="B44" t="s">
        <v>358</v>
      </c>
      <c r="C44" t="s">
        <v>217</v>
      </c>
      <c r="D44" t="s">
        <v>359</v>
      </c>
      <c r="E44" t="s">
        <v>218</v>
      </c>
      <c r="F44" t="n">
        <v>5212.5</v>
      </c>
      <c r="G44" t="n">
        <v>6306</v>
      </c>
      <c r="H44" t="n">
        <v>7393.3</v>
      </c>
      <c r="I44" t="n">
        <v>9527.5</v>
      </c>
      <c r="J44" t="n">
        <v>11318.4</v>
      </c>
      <c r="K44" t="n">
        <v>13748.5</v>
      </c>
      <c r="L44" t="n">
        <v>17941.4</v>
      </c>
      <c r="M44" t="n">
        <v>20667.9</v>
      </c>
      <c r="N44" t="n">
        <v>24093.6</v>
      </c>
      <c r="O44" t="n">
        <v>24991.9</v>
      </c>
      <c r="P44" t="n">
        <v>26536.8</v>
      </c>
      <c r="Q44" t="n">
        <v>31476.2</v>
      </c>
      <c r="R44" t="n">
        <v>37788.8</v>
      </c>
      <c r="S44" t="n">
        <v>43405.4</v>
      </c>
      <c r="T44" t="n">
        <v>45810.3</v>
      </c>
      <c r="U44" t="n">
        <v>43534.2</v>
      </c>
      <c r="V44" t="n">
        <v>39594.3</v>
      </c>
      <c r="W44" t="n">
        <v>35954.7</v>
      </c>
      <c r="X44" t="n">
        <v>32905.2</v>
      </c>
      <c r="Y44" t="n">
        <v>30747.6</v>
      </c>
      <c r="Z44" t="n">
        <v>28410.5</v>
      </c>
      <c r="AA44" t="n">
        <v>26293</v>
      </c>
      <c r="AB44" t="n">
        <v>24914</v>
      </c>
      <c r="AC44" t="n">
        <v>23898.1</v>
      </c>
      <c r="AD44" t="n">
        <v>22743</v>
      </c>
      <c r="AE44" t="n">
        <v>21112</v>
      </c>
      <c r="AF44" t="n">
        <v>19883.9</v>
      </c>
    </row>
    <row r="45">
      <c r="A45" t="s">
        <v>101</v>
      </c>
      <c r="B45" t="s">
        <v>360</v>
      </c>
      <c r="C45" t="s">
        <v>217</v>
      </c>
      <c r="D45" t="s">
        <v>361</v>
      </c>
      <c r="E45" t="s">
        <v>218</v>
      </c>
      <c r="F45" t="n">
        <v>4580.8</v>
      </c>
      <c r="G45" t="n">
        <v>5609.4</v>
      </c>
      <c r="H45" t="n">
        <v>6577.1</v>
      </c>
      <c r="I45" t="n">
        <v>8603.7</v>
      </c>
      <c r="J45" t="n">
        <v>10246.5</v>
      </c>
      <c r="K45" t="n">
        <v>12525.1</v>
      </c>
      <c r="L45" t="n">
        <v>16399.9</v>
      </c>
      <c r="M45" t="n">
        <v>18880</v>
      </c>
      <c r="N45" t="n">
        <v>22088.1</v>
      </c>
      <c r="O45" t="n">
        <v>22917.3</v>
      </c>
      <c r="P45" t="n">
        <v>24413.4</v>
      </c>
      <c r="Q45" t="n">
        <v>29218.6</v>
      </c>
      <c r="R45" t="n">
        <v>35166.2</v>
      </c>
      <c r="S45" t="n">
        <v>40547.8</v>
      </c>
      <c r="T45" t="n">
        <v>42942.3</v>
      </c>
      <c r="U45" t="n">
        <v>40826.3</v>
      </c>
      <c r="V45" t="n">
        <v>37130.7</v>
      </c>
      <c r="W45" t="n">
        <v>33698.7</v>
      </c>
      <c r="X45" t="n">
        <v>30766.3</v>
      </c>
      <c r="Y45" t="n">
        <v>28736.3</v>
      </c>
      <c r="Z45" t="n">
        <v>26475.8</v>
      </c>
      <c r="AA45" t="n">
        <v>24353.1</v>
      </c>
      <c r="AB45" t="n">
        <v>22939.9</v>
      </c>
      <c r="AC45" t="n">
        <v>21901.7</v>
      </c>
      <c r="AD45" t="n">
        <v>20713.1</v>
      </c>
      <c r="AE45" t="n">
        <v>19127.1</v>
      </c>
      <c r="AF45" t="n">
        <v>17857.3</v>
      </c>
    </row>
    <row r="46">
      <c r="A46" t="s">
        <v>101</v>
      </c>
      <c r="B46" t="s">
        <v>362</v>
      </c>
      <c r="C46" t="s">
        <v>217</v>
      </c>
      <c r="D46" t="s">
        <v>363</v>
      </c>
      <c r="E46" t="s">
        <v>218</v>
      </c>
      <c r="F46" t="n">
        <v>254.3</v>
      </c>
      <c r="G46" t="n">
        <v>283.6</v>
      </c>
      <c r="H46" t="n">
        <v>307.8</v>
      </c>
      <c r="I46" t="n">
        <v>373.3</v>
      </c>
      <c r="J46" t="n">
        <v>423.7</v>
      </c>
      <c r="K46" t="n">
        <v>493.7</v>
      </c>
      <c r="L46" t="n">
        <v>575.7</v>
      </c>
      <c r="M46" t="n">
        <v>565.1</v>
      </c>
      <c r="N46" t="n">
        <v>637</v>
      </c>
      <c r="O46" t="n">
        <v>729.8</v>
      </c>
      <c r="P46" t="n">
        <v>1145.5</v>
      </c>
      <c r="Q46" t="n">
        <v>1595</v>
      </c>
      <c r="R46" t="n">
        <v>2340.1</v>
      </c>
      <c r="S46" t="n">
        <v>2793</v>
      </c>
      <c r="T46" t="n">
        <v>2801.9</v>
      </c>
      <c r="U46" t="n">
        <v>2547.7</v>
      </c>
      <c r="V46" t="n">
        <v>2368.9</v>
      </c>
      <c r="W46" t="n">
        <v>1947</v>
      </c>
      <c r="X46" t="n">
        <v>1573.8</v>
      </c>
      <c r="Y46" t="n">
        <v>1406.5</v>
      </c>
      <c r="Z46" t="n">
        <v>1149.1</v>
      </c>
      <c r="AA46" t="n">
        <v>906.1</v>
      </c>
      <c r="AB46" t="n">
        <v>718.3</v>
      </c>
      <c r="AC46" t="n">
        <v>615</v>
      </c>
      <c r="AD46" t="n">
        <v>538.4</v>
      </c>
      <c r="AE46" t="n">
        <v>462.1</v>
      </c>
      <c r="AF46" t="n">
        <v>406.3</v>
      </c>
    </row>
    <row r="47">
      <c r="A47" t="s">
        <v>101</v>
      </c>
      <c r="B47" t="s">
        <v>364</v>
      </c>
      <c r="C47" t="s">
        <v>217</v>
      </c>
      <c r="D47" t="s">
        <v>365</v>
      </c>
      <c r="E47" t="s">
        <v>218</v>
      </c>
      <c r="F47" t="n">
        <v>12091.9</v>
      </c>
      <c r="G47" t="n">
        <v>11930.2</v>
      </c>
      <c r="H47" t="n">
        <v>11844.1</v>
      </c>
      <c r="I47" t="n">
        <v>11985.7</v>
      </c>
      <c r="J47" t="n">
        <v>12026.3</v>
      </c>
      <c r="K47" t="n">
        <v>12219.9</v>
      </c>
      <c r="L47" t="n">
        <v>12518.1</v>
      </c>
      <c r="M47" t="n">
        <v>12104.8</v>
      </c>
      <c r="N47" t="n">
        <v>13189.4</v>
      </c>
      <c r="O47" t="n">
        <v>13278.3</v>
      </c>
      <c r="P47" t="n">
        <v>12923.1</v>
      </c>
      <c r="Q47" t="n">
        <v>12868.6</v>
      </c>
      <c r="R47" t="n">
        <v>13322.3</v>
      </c>
      <c r="S47" t="n">
        <v>14837.8</v>
      </c>
      <c r="T47" t="n">
        <v>16378.1</v>
      </c>
      <c r="U47" t="n">
        <v>691.1</v>
      </c>
      <c r="V47" t="n">
        <v>622.6</v>
      </c>
      <c r="W47" t="n">
        <v>565.2</v>
      </c>
      <c r="X47" t="n">
        <v>537.6</v>
      </c>
      <c r="Y47" t="n">
        <v>846.6</v>
      </c>
      <c r="Z47" t="n">
        <v>990.1</v>
      </c>
      <c r="AA47" t="n">
        <v>1100.3</v>
      </c>
      <c r="AB47" t="n">
        <v>1129.7</v>
      </c>
      <c r="AC47" t="n">
        <v>1046.6</v>
      </c>
      <c r="AD47" t="n">
        <v>942.9</v>
      </c>
      <c r="AE47" t="n">
        <v>853</v>
      </c>
      <c r="AF47" t="n">
        <v>782.1</v>
      </c>
    </row>
    <row r="48">
      <c r="A48" t="s">
        <v>101</v>
      </c>
      <c r="B48" t="s">
        <v>366</v>
      </c>
      <c r="C48" t="s">
        <v>217</v>
      </c>
      <c r="D48" t="s">
        <v>367</v>
      </c>
      <c r="E48" t="s">
        <v>218</v>
      </c>
      <c r="F48" t="n">
        <v>12173.6</v>
      </c>
      <c r="G48" t="n">
        <v>12031.5</v>
      </c>
      <c r="H48" t="n">
        <v>11978.4</v>
      </c>
      <c r="I48" t="n">
        <v>12142.3</v>
      </c>
      <c r="J48" t="n">
        <v>12218.4</v>
      </c>
      <c r="K48" t="n">
        <v>12441.9</v>
      </c>
      <c r="L48" t="n">
        <v>12770.3</v>
      </c>
      <c r="M48" t="n">
        <v>12357.8</v>
      </c>
      <c r="N48" t="n">
        <v>13452.6</v>
      </c>
      <c r="O48" t="n">
        <v>13553.6</v>
      </c>
      <c r="P48" t="n">
        <v>13374.4</v>
      </c>
      <c r="Q48" t="n">
        <v>13358.7</v>
      </c>
      <c r="R48" t="n">
        <v>13770.1</v>
      </c>
      <c r="S48" t="n">
        <v>15255.2</v>
      </c>
      <c r="T48" t="n">
        <v>16753.6</v>
      </c>
      <c r="U48" t="n">
        <v>1006</v>
      </c>
      <c r="V48" t="n">
        <v>878.3</v>
      </c>
      <c r="W48" t="n">
        <v>772.8</v>
      </c>
      <c r="X48" t="n">
        <v>709.6</v>
      </c>
      <c r="Y48" t="n">
        <v>988.7</v>
      </c>
      <c r="Z48" t="n">
        <v>1109.9</v>
      </c>
      <c r="AA48" t="n">
        <v>1204.9</v>
      </c>
      <c r="AB48" t="n">
        <v>1217.6</v>
      </c>
      <c r="AC48" t="n">
        <v>1122</v>
      </c>
      <c r="AD48" t="n">
        <v>1008.1</v>
      </c>
      <c r="AE48" t="n">
        <v>908.8</v>
      </c>
      <c r="AF48" t="n">
        <v>835.2</v>
      </c>
    </row>
    <row r="49">
      <c r="A49" t="s">
        <v>101</v>
      </c>
      <c r="B49" t="s">
        <v>368</v>
      </c>
      <c r="C49" t="s">
        <v>217</v>
      </c>
      <c r="D49" t="s">
        <v>369</v>
      </c>
      <c r="E49" t="s">
        <v>218</v>
      </c>
      <c r="F49" t="n">
        <v>61.3</v>
      </c>
      <c r="G49" t="n">
        <v>74</v>
      </c>
      <c r="H49" t="n">
        <v>95.4</v>
      </c>
      <c r="I49" t="n">
        <v>110.3</v>
      </c>
      <c r="J49" t="n">
        <v>135.6</v>
      </c>
      <c r="K49" t="n">
        <v>156.5</v>
      </c>
      <c r="L49" t="n">
        <v>180.8</v>
      </c>
      <c r="M49" t="n">
        <v>180.8</v>
      </c>
      <c r="N49" t="n">
        <v>173.1</v>
      </c>
      <c r="O49" t="n">
        <v>184.7</v>
      </c>
      <c r="P49" t="n">
        <v>328.3</v>
      </c>
      <c r="Q49" t="n">
        <v>365.4</v>
      </c>
      <c r="R49" t="n">
        <v>334.3</v>
      </c>
      <c r="S49" t="n">
        <v>311.8</v>
      </c>
      <c r="T49" t="n">
        <v>280.9</v>
      </c>
      <c r="U49" t="n">
        <v>230.7</v>
      </c>
      <c r="V49" t="n">
        <v>185.6</v>
      </c>
      <c r="W49" t="n">
        <v>149.7</v>
      </c>
      <c r="X49" t="n">
        <v>122.6</v>
      </c>
      <c r="Y49" t="n">
        <v>100.2</v>
      </c>
      <c r="Z49" t="n">
        <v>81.8</v>
      </c>
      <c r="AA49" t="n">
        <v>66.8</v>
      </c>
      <c r="AB49" t="n">
        <v>55</v>
      </c>
      <c r="AC49" t="n">
        <v>46.2</v>
      </c>
      <c r="AD49" t="n">
        <v>39.4</v>
      </c>
      <c r="AE49" t="n">
        <v>33.2</v>
      </c>
      <c r="AF49" t="n">
        <v>28.6</v>
      </c>
    </row>
    <row r="50">
      <c r="A50" t="s">
        <v>101</v>
      </c>
      <c r="B50" t="s">
        <v>370</v>
      </c>
      <c r="C50" t="s">
        <v>217</v>
      </c>
      <c r="D50" t="s">
        <v>371</v>
      </c>
      <c r="E50" t="s">
        <v>218</v>
      </c>
      <c r="F50" t="n">
        <v>20.5</v>
      </c>
      <c r="G50" t="n">
        <v>27.4</v>
      </c>
      <c r="H50" t="n">
        <v>38.8</v>
      </c>
      <c r="I50" t="n">
        <v>46.3</v>
      </c>
      <c r="J50" t="n">
        <v>56.4</v>
      </c>
      <c r="K50" t="n">
        <v>65.6</v>
      </c>
      <c r="L50" t="n">
        <v>71.4</v>
      </c>
      <c r="M50" t="n">
        <v>72.1</v>
      </c>
      <c r="N50" t="n">
        <v>90.1</v>
      </c>
      <c r="O50" t="n">
        <v>90.6</v>
      </c>
      <c r="P50" t="n">
        <v>123</v>
      </c>
      <c r="Q50" t="n">
        <v>124.7</v>
      </c>
      <c r="R50" t="n">
        <v>113.4</v>
      </c>
      <c r="S50" t="n">
        <v>105.5</v>
      </c>
      <c r="T50" t="n">
        <v>94.5</v>
      </c>
      <c r="U50" t="n">
        <v>84.2</v>
      </c>
      <c r="V50" t="n">
        <v>70.1</v>
      </c>
      <c r="W50" t="n">
        <v>57.8</v>
      </c>
      <c r="X50" t="n">
        <v>49.3</v>
      </c>
      <c r="Y50" t="n">
        <v>41.8</v>
      </c>
      <c r="Z50" t="n">
        <v>38.1</v>
      </c>
      <c r="AA50" t="n">
        <v>37.8</v>
      </c>
      <c r="AB50" t="n">
        <v>33</v>
      </c>
      <c r="AC50" t="n">
        <v>29.2</v>
      </c>
      <c r="AD50" t="n">
        <v>25.8</v>
      </c>
      <c r="AE50" t="n">
        <v>22.6</v>
      </c>
      <c r="AF50" t="n">
        <v>24.6</v>
      </c>
    </row>
    <row r="51">
      <c r="A51" t="s">
        <v>101</v>
      </c>
      <c r="B51" t="s">
        <v>372</v>
      </c>
      <c r="C51" t="s">
        <v>217</v>
      </c>
      <c r="D51" t="s">
        <v>373</v>
      </c>
      <c r="E51" t="s">
        <v>218</v>
      </c>
      <c r="F51" t="n">
        <v>18.7</v>
      </c>
      <c r="G51" t="n">
        <v>24.8</v>
      </c>
      <c r="H51" t="n">
        <v>35.1</v>
      </c>
      <c r="I51" t="n">
        <v>41.7</v>
      </c>
      <c r="J51" t="n">
        <v>51.4</v>
      </c>
      <c r="K51" t="n">
        <v>60</v>
      </c>
      <c r="L51" t="n">
        <v>65.5</v>
      </c>
      <c r="M51" t="n">
        <v>66.4</v>
      </c>
      <c r="N51" t="n">
        <v>83.1</v>
      </c>
      <c r="O51" t="n">
        <v>83.4</v>
      </c>
      <c r="P51" t="n">
        <v>106</v>
      </c>
      <c r="Q51" t="n">
        <v>107.1</v>
      </c>
      <c r="R51" t="n">
        <v>96.3</v>
      </c>
      <c r="S51" t="n">
        <v>88.1</v>
      </c>
      <c r="T51" t="n">
        <v>78</v>
      </c>
      <c r="U51" t="n">
        <v>65</v>
      </c>
      <c r="V51" t="n">
        <v>53.9</v>
      </c>
      <c r="W51" t="n">
        <v>44.4</v>
      </c>
      <c r="X51" t="n">
        <v>38</v>
      </c>
      <c r="Y51" t="n">
        <v>32.3</v>
      </c>
      <c r="Z51" t="n">
        <v>30.1</v>
      </c>
      <c r="AA51" t="n">
        <v>30.9</v>
      </c>
      <c r="AB51" t="n">
        <v>26.9</v>
      </c>
      <c r="AC51" t="n">
        <v>23.8</v>
      </c>
      <c r="AD51" t="n">
        <v>21</v>
      </c>
      <c r="AE51" t="n">
        <v>18.3</v>
      </c>
      <c r="AF51" t="n">
        <v>20.5</v>
      </c>
    </row>
    <row r="52">
      <c r="A52" t="s">
        <v>101</v>
      </c>
      <c r="B52" t="s">
        <v>374</v>
      </c>
      <c r="C52" t="s">
        <v>217</v>
      </c>
      <c r="D52" t="s">
        <v>375</v>
      </c>
      <c r="E52" t="s">
        <v>218</v>
      </c>
      <c r="F52" t="n">
        <v>1.8</v>
      </c>
      <c r="G52" t="n">
        <v>2.6</v>
      </c>
      <c r="H52" t="n">
        <v>3.7</v>
      </c>
      <c r="I52" t="n">
        <v>4.6</v>
      </c>
      <c r="J52" t="n">
        <v>5</v>
      </c>
      <c r="K52" t="n">
        <v>5.6</v>
      </c>
      <c r="L52" t="n">
        <v>5.9</v>
      </c>
      <c r="M52" t="n">
        <v>5.7</v>
      </c>
      <c r="N52" t="n">
        <v>7</v>
      </c>
      <c r="O52" t="n">
        <v>7.2</v>
      </c>
      <c r="P52" t="n">
        <v>17</v>
      </c>
      <c r="Q52" t="n">
        <v>17.6</v>
      </c>
      <c r="R52" t="n">
        <v>17.1</v>
      </c>
      <c r="S52" t="n">
        <v>17.4</v>
      </c>
      <c r="T52" t="n">
        <v>16.5</v>
      </c>
      <c r="U52" t="n">
        <v>19.2</v>
      </c>
      <c r="V52" t="n">
        <v>16.2</v>
      </c>
      <c r="W52" t="n">
        <v>13.4</v>
      </c>
      <c r="X52" t="n">
        <v>11.3</v>
      </c>
      <c r="Y52" t="n">
        <v>9.5</v>
      </c>
      <c r="Z52" t="n">
        <v>8</v>
      </c>
      <c r="AA52" t="n">
        <v>6.9</v>
      </c>
      <c r="AB52" t="n">
        <v>6.1</v>
      </c>
      <c r="AC52" t="n">
        <v>5.4</v>
      </c>
      <c r="AD52" t="n">
        <v>4.8</v>
      </c>
      <c r="AE52" t="n">
        <v>4.3</v>
      </c>
      <c r="AF52" t="n">
        <v>4.1</v>
      </c>
    </row>
    <row r="53">
      <c r="A53" t="s">
        <v>101</v>
      </c>
      <c r="B53" t="s">
        <v>376</v>
      </c>
      <c r="C53" t="s">
        <v>217</v>
      </c>
      <c r="D53" t="s">
        <v>377</v>
      </c>
      <c r="E53" t="s">
        <v>218</v>
      </c>
      <c r="F53" t="n">
        <v>61.8</v>
      </c>
      <c r="G53" t="n">
        <v>71.7</v>
      </c>
      <c r="H53" t="n">
        <v>90.7</v>
      </c>
      <c r="I53" t="n">
        <v>105.6</v>
      </c>
      <c r="J53" t="n">
        <v>124.6</v>
      </c>
      <c r="K53" t="n">
        <v>144.7</v>
      </c>
      <c r="L53" t="n">
        <v>161.1</v>
      </c>
      <c r="M53" t="n">
        <v>190.4</v>
      </c>
      <c r="N53" t="n">
        <v>253.5</v>
      </c>
      <c r="O53" t="n">
        <v>254</v>
      </c>
      <c r="P53" t="n">
        <v>260.5</v>
      </c>
      <c r="Q53" t="n">
        <v>277.9</v>
      </c>
      <c r="R53" t="n">
        <v>267.3</v>
      </c>
      <c r="S53" t="n">
        <v>268.2</v>
      </c>
      <c r="T53" t="n">
        <v>251.9</v>
      </c>
      <c r="U53" t="n">
        <v>229.6</v>
      </c>
      <c r="V53" t="n">
        <v>205.6</v>
      </c>
      <c r="W53" t="n">
        <v>183.6</v>
      </c>
      <c r="X53" t="n">
        <v>173.7</v>
      </c>
      <c r="Y53" t="n">
        <v>155.5</v>
      </c>
      <c r="Z53" t="n">
        <v>135.3</v>
      </c>
      <c r="AA53" t="n">
        <v>120</v>
      </c>
      <c r="AB53" t="n">
        <v>108.5</v>
      </c>
      <c r="AC53" t="n">
        <v>98.1</v>
      </c>
      <c r="AD53" t="n">
        <v>90.1</v>
      </c>
      <c r="AE53" t="n">
        <v>81.3</v>
      </c>
      <c r="AF53" t="n">
        <v>78.5</v>
      </c>
    </row>
    <row r="54">
      <c r="A54" t="s">
        <v>101</v>
      </c>
      <c r="B54" t="s">
        <v>378</v>
      </c>
      <c r="C54" t="s">
        <v>217</v>
      </c>
      <c r="D54" t="s">
        <v>379</v>
      </c>
      <c r="E54" t="s">
        <v>218</v>
      </c>
      <c r="F54" t="n">
        <v>124.3</v>
      </c>
      <c r="G54" t="n">
        <v>171.8</v>
      </c>
      <c r="H54" t="n">
        <v>251</v>
      </c>
      <c r="I54" t="n">
        <v>303.1</v>
      </c>
      <c r="J54" t="n">
        <v>375</v>
      </c>
      <c r="K54" t="n">
        <v>441.3</v>
      </c>
      <c r="L54" t="n">
        <v>444.2</v>
      </c>
      <c r="M54" t="n">
        <v>438.8</v>
      </c>
      <c r="N54" t="n">
        <v>472.6</v>
      </c>
      <c r="O54" t="n">
        <v>446.8</v>
      </c>
      <c r="P54" t="n">
        <v>416.3</v>
      </c>
      <c r="Q54" t="n">
        <v>411.6</v>
      </c>
      <c r="R54" t="n">
        <v>397.9</v>
      </c>
      <c r="S54" t="n">
        <v>391.9</v>
      </c>
      <c r="T54" t="n">
        <v>362.2</v>
      </c>
      <c r="U54" t="n">
        <v>302.1</v>
      </c>
      <c r="V54" t="n">
        <v>265.7</v>
      </c>
      <c r="W54" t="n">
        <v>233</v>
      </c>
      <c r="X54" t="n">
        <v>215.3</v>
      </c>
      <c r="Y54" t="n">
        <v>190.9</v>
      </c>
      <c r="Z54" t="n">
        <v>164.6</v>
      </c>
      <c r="AA54" t="n">
        <v>144.4</v>
      </c>
      <c r="AB54" t="n">
        <v>129</v>
      </c>
      <c r="AC54" t="n">
        <v>115.3</v>
      </c>
      <c r="AD54" t="n">
        <v>104.7</v>
      </c>
      <c r="AE54" t="n">
        <v>93.6</v>
      </c>
      <c r="AF54" t="n">
        <v>89.3</v>
      </c>
    </row>
    <row r="55">
      <c r="A55" t="s">
        <v>101</v>
      </c>
      <c r="B55" t="s">
        <v>380</v>
      </c>
      <c r="C55" t="s">
        <v>217</v>
      </c>
      <c r="D55" t="s">
        <v>381</v>
      </c>
      <c r="E55" t="s">
        <v>218</v>
      </c>
      <c r="F55" t="n">
        <v>62.5</v>
      </c>
      <c r="G55" t="n">
        <v>100.1</v>
      </c>
      <c r="H55" t="n">
        <v>160.3</v>
      </c>
      <c r="I55" t="n">
        <v>197.5</v>
      </c>
      <c r="J55" t="n">
        <v>250.4</v>
      </c>
      <c r="K55" t="n">
        <v>296.6</v>
      </c>
      <c r="L55" t="n">
        <v>283.1</v>
      </c>
      <c r="M55" t="n">
        <v>248.4</v>
      </c>
      <c r="N55" t="n">
        <v>219.1</v>
      </c>
      <c r="O55" t="n">
        <v>192.8</v>
      </c>
      <c r="P55" t="n">
        <v>155.8</v>
      </c>
      <c r="Q55" t="n">
        <v>133.7</v>
      </c>
      <c r="R55" t="n">
        <v>130.6</v>
      </c>
      <c r="S55" t="n">
        <v>123.7</v>
      </c>
      <c r="T55" t="n">
        <v>110.3</v>
      </c>
      <c r="U55" t="n">
        <v>72.5</v>
      </c>
      <c r="V55" t="n">
        <v>60.1</v>
      </c>
      <c r="W55" t="n">
        <v>49.4</v>
      </c>
      <c r="X55" t="n">
        <v>41.6</v>
      </c>
      <c r="Y55" t="n">
        <v>35.4</v>
      </c>
      <c r="Z55" t="n">
        <v>29.3</v>
      </c>
      <c r="AA55" t="n">
        <v>24.4</v>
      </c>
      <c r="AB55" t="n">
        <v>20.5</v>
      </c>
      <c r="AC55" t="n">
        <v>17.2</v>
      </c>
      <c r="AD55" t="n">
        <v>14.6</v>
      </c>
      <c r="AE55" t="n">
        <v>12.3</v>
      </c>
      <c r="AF55" t="n">
        <v>10.8</v>
      </c>
    </row>
    <row r="56">
      <c r="A56" t="s">
        <v>101</v>
      </c>
      <c r="B56" t="s">
        <v>382</v>
      </c>
      <c r="C56" t="s">
        <v>217</v>
      </c>
      <c r="D56" t="s">
        <v>383</v>
      </c>
      <c r="E56" t="s">
        <v>218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101</v>
      </c>
      <c r="B57" t="s">
        <v>384</v>
      </c>
      <c r="C57" t="s">
        <v>217</v>
      </c>
      <c r="D57" t="s">
        <v>385</v>
      </c>
      <c r="E57" t="s">
        <v>218</v>
      </c>
      <c r="F57" t="n">
        <v>17389.7</v>
      </c>
      <c r="G57" t="n">
        <v>18341</v>
      </c>
      <c r="H57" t="n">
        <v>19375.1</v>
      </c>
      <c r="I57" t="n">
        <v>21673.4</v>
      </c>
      <c r="J57" t="n">
        <v>23540.6</v>
      </c>
      <c r="K57" t="n">
        <v>26194.8</v>
      </c>
      <c r="L57" t="n">
        <v>30761.9</v>
      </c>
      <c r="M57" t="n">
        <v>33085.2</v>
      </c>
      <c r="N57" t="n">
        <v>37612</v>
      </c>
      <c r="O57" t="n">
        <v>38613.8</v>
      </c>
      <c r="P57" t="n">
        <v>39963.6</v>
      </c>
      <c r="Q57" t="n">
        <v>44877.6</v>
      </c>
      <c r="R57" t="n">
        <v>51595.7</v>
      </c>
      <c r="S57" t="n">
        <v>58690.8</v>
      </c>
      <c r="T57" t="n">
        <v>62588.4</v>
      </c>
      <c r="U57" t="n">
        <v>44561.1</v>
      </c>
      <c r="V57" t="n">
        <v>40489.6</v>
      </c>
      <c r="W57" t="n">
        <v>36740.9</v>
      </c>
      <c r="X57" t="n">
        <v>33625.6</v>
      </c>
      <c r="Y57" t="n">
        <v>31746.8</v>
      </c>
      <c r="Z57" t="n">
        <v>29529.8</v>
      </c>
      <c r="AA57" t="n">
        <v>27505.8</v>
      </c>
      <c r="AB57" t="n">
        <v>26138.5</v>
      </c>
      <c r="AC57" t="n">
        <v>25025.4</v>
      </c>
      <c r="AD57" t="n">
        <v>23754.8</v>
      </c>
      <c r="AE57" t="n">
        <v>22020.8</v>
      </c>
      <c r="AF57" t="n">
        <v>20719.2</v>
      </c>
    </row>
    <row r="58">
      <c r="A58" t="s">
        <v>101</v>
      </c>
      <c r="B58" t="s">
        <v>386</v>
      </c>
      <c r="C58" t="s">
        <v>217</v>
      </c>
      <c r="D58" t="s">
        <v>387</v>
      </c>
      <c r="E58" t="s">
        <v>218</v>
      </c>
      <c r="F58" t="n">
        <v>17389.7</v>
      </c>
      <c r="G58" t="n">
        <v>18341</v>
      </c>
      <c r="H58" t="n">
        <v>19375.1</v>
      </c>
      <c r="I58" t="n">
        <v>21673.4</v>
      </c>
      <c r="J58" t="n">
        <v>23540.6</v>
      </c>
      <c r="K58" t="n">
        <v>26194.8</v>
      </c>
      <c r="L58" t="n">
        <v>30761.9</v>
      </c>
      <c r="M58" t="n">
        <v>33085.2</v>
      </c>
      <c r="N58" t="n">
        <v>37612</v>
      </c>
      <c r="O58" t="n">
        <v>38613.8</v>
      </c>
      <c r="P58" t="n">
        <v>39963.6</v>
      </c>
      <c r="Q58" t="n">
        <v>44877.6</v>
      </c>
      <c r="R58" t="n">
        <v>51595.7</v>
      </c>
      <c r="S58" t="n">
        <v>58690.8</v>
      </c>
      <c r="T58" t="n">
        <v>62588.4</v>
      </c>
      <c r="U58" t="n">
        <v>44561.1</v>
      </c>
      <c r="V58" t="n">
        <v>40489.6</v>
      </c>
      <c r="W58" t="n">
        <v>36740.9</v>
      </c>
      <c r="X58" t="n">
        <v>33625.6</v>
      </c>
      <c r="Y58" t="n">
        <v>31746.8</v>
      </c>
      <c r="Z58" t="n">
        <v>29529.8</v>
      </c>
      <c r="AA58" t="n">
        <v>27505.8</v>
      </c>
      <c r="AB58" t="n">
        <v>26138.5</v>
      </c>
      <c r="AC58" t="n">
        <v>25025.4</v>
      </c>
      <c r="AD58" t="n">
        <v>23754.8</v>
      </c>
      <c r="AE58" t="n">
        <v>22020.8</v>
      </c>
      <c r="AF58" t="n">
        <v>20719.2</v>
      </c>
    </row>
    <row r="59">
      <c r="A59" t="s">
        <v>101</v>
      </c>
      <c r="B59" t="s">
        <v>388</v>
      </c>
      <c r="C59" t="s">
        <v>217</v>
      </c>
      <c r="D59" t="s">
        <v>389</v>
      </c>
      <c r="E59" t="s">
        <v>218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103</v>
      </c>
      <c r="B2" t="s">
        <v>197</v>
      </c>
      <c r="C2" t="s">
        <v>217</v>
      </c>
      <c r="D2" t="s">
        <v>199</v>
      </c>
      <c r="E2" t="s">
        <v>218</v>
      </c>
      <c r="F2" t="n">
        <v>1487.2</v>
      </c>
      <c r="G2" t="n">
        <v>1580.2</v>
      </c>
      <c r="H2" t="n">
        <v>1640.4</v>
      </c>
      <c r="I2" t="n">
        <v>1817.2</v>
      </c>
      <c r="J2" t="n">
        <v>1915.6</v>
      </c>
      <c r="K2" t="n">
        <v>2163.3</v>
      </c>
      <c r="L2" t="n">
        <v>2249.6</v>
      </c>
      <c r="M2" t="n">
        <v>2245.7</v>
      </c>
      <c r="N2" t="n">
        <v>2460.8</v>
      </c>
      <c r="O2" t="n">
        <v>2725.8</v>
      </c>
      <c r="P2" t="n">
        <v>2928.9</v>
      </c>
      <c r="Q2" t="n">
        <v>2956</v>
      </c>
      <c r="R2" t="n">
        <v>3310.2</v>
      </c>
      <c r="S2" t="n">
        <v>3905.7</v>
      </c>
      <c r="T2" t="n">
        <v>4168.8</v>
      </c>
      <c r="U2" t="n">
        <v>4321.9</v>
      </c>
      <c r="V2" t="n">
        <v>4227.2</v>
      </c>
      <c r="W2" t="n">
        <v>4138.1</v>
      </c>
      <c r="X2" t="n">
        <v>4090.8</v>
      </c>
      <c r="Y2" t="n">
        <v>4046.8</v>
      </c>
      <c r="Z2" t="n">
        <v>4048.7</v>
      </c>
      <c r="AA2" t="n">
        <v>4043.5</v>
      </c>
      <c r="AB2" t="n">
        <v>4077.3</v>
      </c>
      <c r="AC2" t="n">
        <v>4134.6</v>
      </c>
      <c r="AD2" t="n">
        <v>4184.6</v>
      </c>
      <c r="AE2" t="n">
        <v>4385.5</v>
      </c>
      <c r="AF2" t="n">
        <v>4741.1</v>
      </c>
    </row>
    <row r="3">
      <c r="A3" t="s">
        <v>103</v>
      </c>
      <c r="B3" t="s">
        <v>276</v>
      </c>
      <c r="C3" t="s">
        <v>217</v>
      </c>
      <c r="D3" t="s">
        <v>277</v>
      </c>
      <c r="E3" t="s">
        <v>218</v>
      </c>
      <c r="F3" t="n">
        <v>392.4</v>
      </c>
      <c r="G3" t="n">
        <v>400.1</v>
      </c>
      <c r="H3" t="n">
        <v>393.3</v>
      </c>
      <c r="I3" t="n">
        <v>405.7</v>
      </c>
      <c r="J3" t="n">
        <v>391.7</v>
      </c>
      <c r="K3" t="n">
        <v>406.9</v>
      </c>
      <c r="L3" t="n">
        <v>414.2</v>
      </c>
      <c r="M3" t="n">
        <v>421.6</v>
      </c>
      <c r="N3" t="n">
        <v>443.3</v>
      </c>
      <c r="O3" t="n">
        <v>471.4</v>
      </c>
      <c r="P3" t="n">
        <v>491.7</v>
      </c>
      <c r="Q3" t="n">
        <v>541.1</v>
      </c>
      <c r="R3" t="n">
        <v>639.4</v>
      </c>
      <c r="S3" t="n">
        <v>647.3</v>
      </c>
      <c r="T3" t="n">
        <v>620.4</v>
      </c>
      <c r="U3" t="n">
        <v>584.9</v>
      </c>
      <c r="V3" t="n">
        <v>541.1</v>
      </c>
      <c r="W3" t="n">
        <v>507.9</v>
      </c>
      <c r="X3" t="n">
        <v>469.9</v>
      </c>
      <c r="Y3" t="n">
        <v>451.6</v>
      </c>
      <c r="Z3" t="n">
        <v>445.2</v>
      </c>
      <c r="AA3" t="n">
        <v>420</v>
      </c>
      <c r="AB3" t="n">
        <v>401.9</v>
      </c>
      <c r="AC3" t="n">
        <v>407.7</v>
      </c>
      <c r="AD3" t="n">
        <v>444.1</v>
      </c>
      <c r="AE3" t="n">
        <v>441.2</v>
      </c>
      <c r="AF3" t="n">
        <v>453.9</v>
      </c>
    </row>
    <row r="4">
      <c r="A4" t="s">
        <v>103</v>
      </c>
      <c r="B4" t="s">
        <v>278</v>
      </c>
      <c r="C4" t="s">
        <v>217</v>
      </c>
      <c r="D4" t="s">
        <v>279</v>
      </c>
      <c r="E4" t="s">
        <v>218</v>
      </c>
      <c r="F4" t="n">
        <v>4935.9</v>
      </c>
      <c r="G4" t="n">
        <v>5467.4</v>
      </c>
      <c r="H4" t="n">
        <v>5882.3</v>
      </c>
      <c r="I4" t="n">
        <v>6696.6</v>
      </c>
      <c r="J4" t="n">
        <v>7209.7</v>
      </c>
      <c r="K4" t="n">
        <v>8276.1</v>
      </c>
      <c r="L4" t="n">
        <v>9060.8</v>
      </c>
      <c r="M4" t="n">
        <v>9413.9</v>
      </c>
      <c r="N4" t="n">
        <v>9561.3</v>
      </c>
      <c r="O4" t="n">
        <v>9923.4</v>
      </c>
      <c r="P4" t="n">
        <v>10035.2</v>
      </c>
      <c r="Q4" t="n">
        <v>10366.2</v>
      </c>
      <c r="R4" t="n">
        <v>11018</v>
      </c>
      <c r="S4" t="n">
        <v>12111</v>
      </c>
      <c r="T4" t="n">
        <v>12150.3</v>
      </c>
      <c r="U4" t="n">
        <v>12027.5</v>
      </c>
      <c r="V4" t="n">
        <v>11655.6</v>
      </c>
      <c r="W4" t="n">
        <v>12515.1</v>
      </c>
      <c r="X4" t="n">
        <v>11648.7</v>
      </c>
      <c r="Y4" t="n">
        <v>11361.9</v>
      </c>
      <c r="Z4" t="n">
        <v>11062.5</v>
      </c>
      <c r="AA4" t="n">
        <v>10629.9</v>
      </c>
      <c r="AB4" t="n">
        <v>10351.8</v>
      </c>
      <c r="AC4" t="n">
        <v>10248.6</v>
      </c>
      <c r="AD4" t="n">
        <v>10059.3</v>
      </c>
      <c r="AE4" t="n">
        <v>10131.1</v>
      </c>
      <c r="AF4" t="n">
        <v>10529.4</v>
      </c>
    </row>
    <row r="5">
      <c r="A5" t="s">
        <v>103</v>
      </c>
      <c r="B5" t="s">
        <v>280</v>
      </c>
      <c r="C5" t="s">
        <v>217</v>
      </c>
      <c r="D5" t="s">
        <v>281</v>
      </c>
      <c r="E5" t="s">
        <v>218</v>
      </c>
      <c r="F5" t="n">
        <v>1082.6</v>
      </c>
      <c r="G5" t="n">
        <v>1194.3</v>
      </c>
      <c r="H5" t="n">
        <v>1279.8</v>
      </c>
      <c r="I5" t="n">
        <v>1456.5</v>
      </c>
      <c r="J5" t="n">
        <v>1567.7</v>
      </c>
      <c r="K5" t="n">
        <v>1797.9</v>
      </c>
      <c r="L5" t="n">
        <v>1938.8</v>
      </c>
      <c r="M5" t="n">
        <v>2017.9</v>
      </c>
      <c r="N5" t="n">
        <v>2090.3</v>
      </c>
      <c r="O5" t="n">
        <v>2241.8</v>
      </c>
      <c r="P5" t="n">
        <v>2266.1</v>
      </c>
      <c r="Q5" t="n">
        <v>2337.3</v>
      </c>
      <c r="R5" t="n">
        <v>2634.2</v>
      </c>
      <c r="S5" t="n">
        <v>2923.7</v>
      </c>
      <c r="T5" t="n">
        <v>2931.9</v>
      </c>
      <c r="U5" t="n">
        <v>2907.8</v>
      </c>
      <c r="V5" t="n">
        <v>2788.4</v>
      </c>
      <c r="W5" t="n">
        <v>2655.8</v>
      </c>
      <c r="X5" t="n">
        <v>2564.5</v>
      </c>
      <c r="Y5" t="n">
        <v>2582.6</v>
      </c>
      <c r="Z5" t="n">
        <v>2618.3</v>
      </c>
      <c r="AA5" t="n">
        <v>2594.8</v>
      </c>
      <c r="AB5" t="n">
        <v>2601.4</v>
      </c>
      <c r="AC5" t="n">
        <v>2735.3</v>
      </c>
      <c r="AD5" t="n">
        <v>2709.3</v>
      </c>
      <c r="AE5" t="n">
        <v>2751.1</v>
      </c>
      <c r="AF5" t="n">
        <v>2872.5</v>
      </c>
    </row>
    <row r="6">
      <c r="A6" t="s">
        <v>103</v>
      </c>
      <c r="B6" t="s">
        <v>282</v>
      </c>
      <c r="C6" t="s">
        <v>217</v>
      </c>
      <c r="D6" t="s">
        <v>283</v>
      </c>
      <c r="E6" t="s">
        <v>218</v>
      </c>
      <c r="F6" t="n">
        <v>951</v>
      </c>
      <c r="G6" t="n">
        <v>990.4</v>
      </c>
      <c r="H6" t="n">
        <v>1006.2</v>
      </c>
      <c r="I6" t="n">
        <v>1076.3</v>
      </c>
      <c r="J6" t="n">
        <v>1091.3</v>
      </c>
      <c r="K6" t="n">
        <v>1188.7</v>
      </c>
      <c r="L6" t="n">
        <v>1266.1</v>
      </c>
      <c r="M6" t="n">
        <v>1222.9</v>
      </c>
      <c r="N6" t="n">
        <v>1182.2</v>
      </c>
      <c r="O6" t="n">
        <v>1170.9</v>
      </c>
      <c r="P6" t="n">
        <v>1113.3</v>
      </c>
      <c r="Q6" t="n">
        <v>1002.2</v>
      </c>
      <c r="R6" t="n">
        <v>961.3</v>
      </c>
      <c r="S6" t="n">
        <v>912.2</v>
      </c>
      <c r="T6" t="n">
        <v>847.3</v>
      </c>
      <c r="U6" t="n">
        <v>741.8</v>
      </c>
      <c r="V6" t="n">
        <v>684.8</v>
      </c>
      <c r="W6" t="n">
        <v>604.5</v>
      </c>
      <c r="X6" t="n">
        <v>553.9</v>
      </c>
      <c r="Y6" t="n">
        <v>516.8</v>
      </c>
      <c r="Z6" t="n">
        <v>487.7</v>
      </c>
      <c r="AA6" t="n">
        <v>480.9</v>
      </c>
      <c r="AB6" t="n">
        <v>478.9</v>
      </c>
      <c r="AC6" t="n">
        <v>442.5</v>
      </c>
      <c r="AD6" t="n">
        <v>408.2</v>
      </c>
      <c r="AE6" t="n">
        <v>380.3</v>
      </c>
      <c r="AF6" t="n">
        <v>358</v>
      </c>
    </row>
    <row r="7">
      <c r="A7" t="s">
        <v>103</v>
      </c>
      <c r="B7" t="s">
        <v>284</v>
      </c>
      <c r="C7" t="s">
        <v>217</v>
      </c>
      <c r="D7" t="s">
        <v>285</v>
      </c>
      <c r="E7" t="s">
        <v>218</v>
      </c>
      <c r="F7" t="n">
        <v>372.6</v>
      </c>
      <c r="G7" t="n">
        <v>449.1</v>
      </c>
      <c r="H7" t="n">
        <v>514.5</v>
      </c>
      <c r="I7" t="n">
        <v>628.1</v>
      </c>
      <c r="J7" t="n">
        <v>715.4</v>
      </c>
      <c r="K7" t="n">
        <v>857.9</v>
      </c>
      <c r="L7" t="n">
        <v>890.1</v>
      </c>
      <c r="M7" t="n">
        <v>945.6</v>
      </c>
      <c r="N7" t="n">
        <v>918.2</v>
      </c>
      <c r="O7" t="n">
        <v>908.4</v>
      </c>
      <c r="P7" t="n">
        <v>826.5</v>
      </c>
      <c r="Q7" t="n">
        <v>885.5</v>
      </c>
      <c r="R7" t="n">
        <v>978</v>
      </c>
      <c r="S7" t="n">
        <v>996.7</v>
      </c>
      <c r="T7" t="n">
        <v>952</v>
      </c>
      <c r="U7" t="n">
        <v>910.5</v>
      </c>
      <c r="V7" t="n">
        <v>853.2</v>
      </c>
      <c r="W7" t="n">
        <v>782.4</v>
      </c>
      <c r="X7" t="n">
        <v>725.7</v>
      </c>
      <c r="Y7" t="n">
        <v>710</v>
      </c>
      <c r="Z7" t="n">
        <v>691.7</v>
      </c>
      <c r="AA7" t="n">
        <v>689.8</v>
      </c>
      <c r="AB7" t="n">
        <v>695.5</v>
      </c>
      <c r="AC7" t="n">
        <v>680.7</v>
      </c>
      <c r="AD7" t="n">
        <v>648.7</v>
      </c>
      <c r="AE7" t="n">
        <v>645.3</v>
      </c>
      <c r="AF7" t="n">
        <v>659.4</v>
      </c>
    </row>
    <row r="8">
      <c r="A8" t="s">
        <v>103</v>
      </c>
      <c r="B8" t="s">
        <v>286</v>
      </c>
      <c r="C8" t="s">
        <v>217</v>
      </c>
      <c r="D8" t="s">
        <v>287</v>
      </c>
      <c r="E8" t="s">
        <v>218</v>
      </c>
      <c r="F8" t="n">
        <v>306.1</v>
      </c>
      <c r="G8" t="n">
        <v>319.3</v>
      </c>
      <c r="H8" t="n">
        <v>346.3</v>
      </c>
      <c r="I8" t="n">
        <v>368.7</v>
      </c>
      <c r="J8" t="n">
        <v>392.1</v>
      </c>
      <c r="K8" t="n">
        <v>443.2</v>
      </c>
      <c r="L8" t="n">
        <v>466.7</v>
      </c>
      <c r="M8" t="n">
        <v>479.1</v>
      </c>
      <c r="N8" t="n">
        <v>494.5</v>
      </c>
      <c r="O8" t="n">
        <v>476.7</v>
      </c>
      <c r="P8" t="n">
        <v>760.8</v>
      </c>
      <c r="Q8" t="n">
        <v>725</v>
      </c>
      <c r="R8" t="n">
        <v>710.6</v>
      </c>
      <c r="S8" t="n">
        <v>1089.9</v>
      </c>
      <c r="T8" t="n">
        <v>1149.4</v>
      </c>
      <c r="U8" t="n">
        <v>1316.5</v>
      </c>
      <c r="V8" t="n">
        <v>1482.9</v>
      </c>
      <c r="W8" t="n">
        <v>2995.1</v>
      </c>
      <c r="X8" t="n">
        <v>2801.2</v>
      </c>
      <c r="Y8" t="n">
        <v>2680.2</v>
      </c>
      <c r="Z8" t="n">
        <v>2599.1</v>
      </c>
      <c r="AA8" t="n">
        <v>2430.2</v>
      </c>
      <c r="AB8" t="n">
        <v>2295.8</v>
      </c>
      <c r="AC8" t="n">
        <v>2160.3</v>
      </c>
      <c r="AD8" t="n">
        <v>2113</v>
      </c>
      <c r="AE8" t="n">
        <v>2122.5</v>
      </c>
      <c r="AF8" t="n">
        <v>2195.7</v>
      </c>
    </row>
    <row r="9">
      <c r="A9" t="s">
        <v>103</v>
      </c>
      <c r="B9" t="s">
        <v>288</v>
      </c>
      <c r="C9" t="s">
        <v>217</v>
      </c>
      <c r="D9" t="s">
        <v>289</v>
      </c>
      <c r="E9" t="s">
        <v>218</v>
      </c>
      <c r="F9" t="n">
        <v>148.5</v>
      </c>
      <c r="G9" t="n">
        <v>178.1</v>
      </c>
      <c r="H9" t="n">
        <v>203.1</v>
      </c>
      <c r="I9" t="n">
        <v>245.8</v>
      </c>
      <c r="J9" t="n">
        <v>277</v>
      </c>
      <c r="K9" t="n">
        <v>327.7</v>
      </c>
      <c r="L9" t="n">
        <v>413</v>
      </c>
      <c r="M9" t="n">
        <v>413.9</v>
      </c>
      <c r="N9" t="n">
        <v>406.7</v>
      </c>
      <c r="O9" t="n">
        <v>449</v>
      </c>
      <c r="P9" t="n">
        <v>449.8</v>
      </c>
      <c r="Q9" t="n">
        <v>468.5</v>
      </c>
      <c r="R9" t="n">
        <v>516.3</v>
      </c>
      <c r="S9" t="n">
        <v>564.7</v>
      </c>
      <c r="T9" t="n">
        <v>609.4</v>
      </c>
      <c r="U9" t="n">
        <v>558.4</v>
      </c>
      <c r="V9" t="n">
        <v>531</v>
      </c>
      <c r="W9" t="n">
        <v>508.7</v>
      </c>
      <c r="X9" t="n">
        <v>491.3</v>
      </c>
      <c r="Y9" t="n">
        <v>474.8</v>
      </c>
      <c r="Z9" t="n">
        <v>420.5</v>
      </c>
      <c r="AA9" t="n">
        <v>403.5</v>
      </c>
      <c r="AB9" t="n">
        <v>395.1</v>
      </c>
      <c r="AC9" t="n">
        <v>390</v>
      </c>
      <c r="AD9" t="n">
        <v>390.2</v>
      </c>
      <c r="AE9" t="n">
        <v>382.6</v>
      </c>
      <c r="AF9" t="n">
        <v>389.8</v>
      </c>
    </row>
    <row r="10">
      <c r="A10" t="s">
        <v>103</v>
      </c>
      <c r="B10" t="s">
        <v>290</v>
      </c>
      <c r="C10" t="s">
        <v>217</v>
      </c>
      <c r="D10" t="s">
        <v>291</v>
      </c>
      <c r="E10" t="s">
        <v>218</v>
      </c>
      <c r="F10" t="n">
        <v>203.3</v>
      </c>
      <c r="G10" t="n">
        <v>243.8</v>
      </c>
      <c r="H10" t="n">
        <v>278</v>
      </c>
      <c r="I10" t="n">
        <v>336.4</v>
      </c>
      <c r="J10" t="n">
        <v>379.1</v>
      </c>
      <c r="K10" t="n">
        <v>448.5</v>
      </c>
      <c r="L10" t="n">
        <v>565.2</v>
      </c>
      <c r="M10" t="n">
        <v>566.4</v>
      </c>
      <c r="N10" t="n">
        <v>556.5</v>
      </c>
      <c r="O10" t="n">
        <v>614.4</v>
      </c>
      <c r="P10" t="n">
        <v>610.7</v>
      </c>
      <c r="Q10" t="n">
        <v>645.7</v>
      </c>
      <c r="R10" t="n">
        <v>725.6</v>
      </c>
      <c r="S10" t="n">
        <v>832.3</v>
      </c>
      <c r="T10" t="n">
        <v>988.4</v>
      </c>
      <c r="U10" t="n">
        <v>877.4</v>
      </c>
      <c r="V10" t="n">
        <v>832.2</v>
      </c>
      <c r="W10" t="n">
        <v>785.4</v>
      </c>
      <c r="X10" t="n">
        <v>773.3</v>
      </c>
      <c r="Y10" t="n">
        <v>749.3</v>
      </c>
      <c r="Z10" t="n">
        <v>695</v>
      </c>
      <c r="AA10" t="n">
        <v>677.1</v>
      </c>
      <c r="AB10" t="n">
        <v>672.8</v>
      </c>
      <c r="AC10" t="n">
        <v>695.3</v>
      </c>
      <c r="AD10" t="n">
        <v>720.2</v>
      </c>
      <c r="AE10" t="n">
        <v>730.9</v>
      </c>
      <c r="AF10" t="n">
        <v>772.8</v>
      </c>
    </row>
    <row r="11">
      <c r="A11" t="s">
        <v>103</v>
      </c>
      <c r="B11" t="s">
        <v>292</v>
      </c>
      <c r="C11" t="s">
        <v>217</v>
      </c>
      <c r="D11" t="s">
        <v>293</v>
      </c>
      <c r="E11" t="s">
        <v>218</v>
      </c>
      <c r="F11" t="n">
        <v>54.8</v>
      </c>
      <c r="G11" t="n">
        <v>65.7</v>
      </c>
      <c r="H11" t="n">
        <v>74.9</v>
      </c>
      <c r="I11" t="n">
        <v>90.6</v>
      </c>
      <c r="J11" t="n">
        <v>102.1</v>
      </c>
      <c r="K11" t="n">
        <v>120.8</v>
      </c>
      <c r="L11" t="n">
        <v>152.2</v>
      </c>
      <c r="M11" t="n">
        <v>152.5</v>
      </c>
      <c r="N11" t="n">
        <v>149.8</v>
      </c>
      <c r="O11" t="n">
        <v>165.4</v>
      </c>
      <c r="P11" t="n">
        <v>160.9</v>
      </c>
      <c r="Q11" t="n">
        <v>177.2</v>
      </c>
      <c r="R11" t="n">
        <v>209.3</v>
      </c>
      <c r="S11" t="n">
        <v>267.6</v>
      </c>
      <c r="T11" t="n">
        <v>379</v>
      </c>
      <c r="U11" t="n">
        <v>319</v>
      </c>
      <c r="V11" t="n">
        <v>301.2</v>
      </c>
      <c r="W11" t="n">
        <v>276.7</v>
      </c>
      <c r="X11" t="n">
        <v>282</v>
      </c>
      <c r="Y11" t="n">
        <v>274.5</v>
      </c>
      <c r="Z11" t="n">
        <v>274.5</v>
      </c>
      <c r="AA11" t="n">
        <v>273.6</v>
      </c>
      <c r="AB11" t="n">
        <v>277.7</v>
      </c>
      <c r="AC11" t="n">
        <v>305.3</v>
      </c>
      <c r="AD11" t="n">
        <v>330</v>
      </c>
      <c r="AE11" t="n">
        <v>348.3</v>
      </c>
      <c r="AF11" t="n">
        <v>383</v>
      </c>
    </row>
    <row r="12">
      <c r="A12" t="s">
        <v>103</v>
      </c>
      <c r="B12" t="s">
        <v>294</v>
      </c>
      <c r="C12" t="s">
        <v>217</v>
      </c>
      <c r="D12" t="s">
        <v>295</v>
      </c>
      <c r="E12" t="s">
        <v>218</v>
      </c>
      <c r="F12" t="n">
        <v>384.9</v>
      </c>
      <c r="G12" t="n">
        <v>471.8</v>
      </c>
      <c r="H12" t="n">
        <v>546.4</v>
      </c>
      <c r="I12" t="n">
        <v>672.9</v>
      </c>
      <c r="J12" t="n">
        <v>769.9</v>
      </c>
      <c r="K12" t="n">
        <v>926</v>
      </c>
      <c r="L12" t="n">
        <v>1025.4</v>
      </c>
      <c r="M12" t="n">
        <v>1096.4</v>
      </c>
      <c r="N12" t="n">
        <v>1155</v>
      </c>
      <c r="O12" t="n">
        <v>1203.9</v>
      </c>
      <c r="P12" t="n">
        <v>1199.4</v>
      </c>
      <c r="Q12" t="n">
        <v>1255.6</v>
      </c>
      <c r="R12" t="n">
        <v>1392</v>
      </c>
      <c r="S12" t="n">
        <v>1477.2</v>
      </c>
      <c r="T12" t="n">
        <v>1480.6</v>
      </c>
      <c r="U12" t="n">
        <v>1459.3</v>
      </c>
      <c r="V12" t="n">
        <v>1422.6</v>
      </c>
      <c r="W12" t="n">
        <v>1322.2</v>
      </c>
      <c r="X12" t="n">
        <v>1244.8</v>
      </c>
      <c r="Y12" t="n">
        <v>1222.3</v>
      </c>
      <c r="Z12" t="n">
        <v>1186.3</v>
      </c>
      <c r="AA12" t="n">
        <v>1136.8</v>
      </c>
      <c r="AB12" t="n">
        <v>1100.2</v>
      </c>
      <c r="AC12" t="n">
        <v>1075.4</v>
      </c>
      <c r="AD12" t="n">
        <v>1051.1</v>
      </c>
      <c r="AE12" t="n">
        <v>1020.1</v>
      </c>
      <c r="AF12" t="n">
        <v>1018.4</v>
      </c>
    </row>
    <row r="13">
      <c r="A13" t="s">
        <v>103</v>
      </c>
      <c r="B13" t="s">
        <v>296</v>
      </c>
      <c r="C13" t="s">
        <v>217</v>
      </c>
      <c r="D13" t="s">
        <v>297</v>
      </c>
      <c r="E13" t="s">
        <v>218</v>
      </c>
      <c r="F13" t="n">
        <v>955.6</v>
      </c>
      <c r="G13" t="n">
        <v>1081.5</v>
      </c>
      <c r="H13" t="n">
        <v>1177.1</v>
      </c>
      <c r="I13" t="n">
        <v>1362.8</v>
      </c>
      <c r="J13" t="n">
        <v>1481.3</v>
      </c>
      <c r="K13" t="n">
        <v>1718.1</v>
      </c>
      <c r="L13" t="n">
        <v>1877.8</v>
      </c>
      <c r="M13" t="n">
        <v>1962.2</v>
      </c>
      <c r="N13" t="n">
        <v>2048.6</v>
      </c>
      <c r="O13" t="n">
        <v>2156.3</v>
      </c>
      <c r="P13" t="n">
        <v>2122</v>
      </c>
      <c r="Q13" t="n">
        <v>2315</v>
      </c>
      <c r="R13" t="n">
        <v>2403.3</v>
      </c>
      <c r="S13" t="n">
        <v>2556.7</v>
      </c>
      <c r="T13" t="n">
        <v>2506.5</v>
      </c>
      <c r="U13" t="n">
        <v>2590.1</v>
      </c>
      <c r="V13" t="n">
        <v>2431</v>
      </c>
      <c r="W13" t="n">
        <v>2316.1</v>
      </c>
      <c r="X13" t="n">
        <v>2010.9</v>
      </c>
      <c r="Y13" t="n">
        <v>1931.9</v>
      </c>
      <c r="Z13" t="n">
        <v>1872.9</v>
      </c>
      <c r="AA13" t="n">
        <v>1781.2</v>
      </c>
      <c r="AB13" t="n">
        <v>1716.3</v>
      </c>
      <c r="AC13" t="n">
        <v>1697.7</v>
      </c>
      <c r="AD13" t="n">
        <v>1661.6</v>
      </c>
      <c r="AE13" t="n">
        <v>1742.7</v>
      </c>
      <c r="AF13" t="n">
        <v>1897.1</v>
      </c>
    </row>
    <row r="14">
      <c r="A14" t="s">
        <v>103</v>
      </c>
      <c r="B14" t="s">
        <v>298</v>
      </c>
      <c r="C14" t="s">
        <v>217</v>
      </c>
      <c r="D14" t="s">
        <v>299</v>
      </c>
      <c r="E14" t="s">
        <v>218</v>
      </c>
      <c r="F14" t="n">
        <v>30.4</v>
      </c>
      <c r="G14" t="n">
        <v>35.3</v>
      </c>
      <c r="H14" t="n">
        <v>40</v>
      </c>
      <c r="I14" t="n">
        <v>47.1</v>
      </c>
      <c r="J14" t="n">
        <v>52.8</v>
      </c>
      <c r="K14" t="n">
        <v>62.7</v>
      </c>
      <c r="L14" t="n">
        <v>172.8</v>
      </c>
      <c r="M14" t="n">
        <v>173.4</v>
      </c>
      <c r="N14" t="n">
        <v>179.4</v>
      </c>
      <c r="O14" t="n">
        <v>175.2</v>
      </c>
      <c r="P14" t="n">
        <v>168.4</v>
      </c>
      <c r="Q14" t="n">
        <v>175.1</v>
      </c>
      <c r="R14" t="n">
        <v>169.6</v>
      </c>
      <c r="S14" t="n">
        <v>170.5</v>
      </c>
      <c r="T14" t="n">
        <v>159.8</v>
      </c>
      <c r="U14" t="n">
        <v>154.5</v>
      </c>
      <c r="V14" t="n">
        <v>146</v>
      </c>
      <c r="W14" t="n">
        <v>112.2</v>
      </c>
      <c r="X14" t="n">
        <v>107.9</v>
      </c>
      <c r="Y14" t="n">
        <v>117.6</v>
      </c>
      <c r="Z14" t="n">
        <v>111</v>
      </c>
      <c r="AA14" t="n">
        <v>104.2</v>
      </c>
      <c r="AB14" t="n">
        <v>99.3</v>
      </c>
      <c r="AC14" t="n">
        <v>94.7</v>
      </c>
      <c r="AD14" t="n">
        <v>89.5</v>
      </c>
      <c r="AE14" t="n">
        <v>85</v>
      </c>
      <c r="AF14" t="n">
        <v>83.9</v>
      </c>
    </row>
    <row r="15">
      <c r="A15" t="s">
        <v>103</v>
      </c>
      <c r="B15" t="s">
        <v>300</v>
      </c>
      <c r="C15" t="s">
        <v>217</v>
      </c>
      <c r="D15" t="s">
        <v>301</v>
      </c>
      <c r="E15" t="s">
        <v>218</v>
      </c>
      <c r="F15" t="n">
        <v>210.5</v>
      </c>
      <c r="G15" t="n">
        <v>231.1</v>
      </c>
      <c r="H15" t="n">
        <v>246.3</v>
      </c>
      <c r="I15" t="n">
        <v>277.5</v>
      </c>
      <c r="J15" t="n">
        <v>295.6</v>
      </c>
      <c r="K15" t="n">
        <v>336.8</v>
      </c>
      <c r="L15" t="n">
        <v>448.8</v>
      </c>
      <c r="M15" t="n">
        <v>504.5</v>
      </c>
      <c r="N15" t="n">
        <v>503.6</v>
      </c>
      <c r="O15" t="n">
        <v>498.1</v>
      </c>
      <c r="P15" t="n">
        <v>478.7</v>
      </c>
      <c r="Q15" t="n">
        <v>497.5</v>
      </c>
      <c r="R15" t="n">
        <v>486</v>
      </c>
      <c r="S15" t="n">
        <v>511.3</v>
      </c>
      <c r="T15" t="n">
        <v>483.8</v>
      </c>
      <c r="U15" t="n">
        <v>455.3</v>
      </c>
      <c r="V15" t="n">
        <v>437.8</v>
      </c>
      <c r="W15" t="n">
        <v>371.9</v>
      </c>
      <c r="X15" t="n">
        <v>349.1</v>
      </c>
      <c r="Y15" t="n">
        <v>382.6</v>
      </c>
      <c r="Z15" t="n">
        <v>363.1</v>
      </c>
      <c r="AA15" t="n">
        <v>344.4</v>
      </c>
      <c r="AB15" t="n">
        <v>332.7</v>
      </c>
      <c r="AC15" t="n">
        <v>328</v>
      </c>
      <c r="AD15" t="n">
        <v>333.4</v>
      </c>
      <c r="AE15" t="n">
        <v>338.9</v>
      </c>
      <c r="AF15" t="n">
        <v>357.4</v>
      </c>
    </row>
    <row r="16">
      <c r="A16" t="s">
        <v>103</v>
      </c>
      <c r="B16" t="s">
        <v>302</v>
      </c>
      <c r="C16" t="s">
        <v>217</v>
      </c>
      <c r="D16" t="s">
        <v>303</v>
      </c>
      <c r="E16" t="s">
        <v>218</v>
      </c>
      <c r="F16" t="n">
        <v>180.1</v>
      </c>
      <c r="G16" t="n">
        <v>195.8</v>
      </c>
      <c r="H16" t="n">
        <v>206.3</v>
      </c>
      <c r="I16" t="n">
        <v>230.4</v>
      </c>
      <c r="J16" t="n">
        <v>242.8</v>
      </c>
      <c r="K16" t="n">
        <v>274.1</v>
      </c>
      <c r="L16" t="n">
        <v>276</v>
      </c>
      <c r="M16" t="n">
        <v>331.1</v>
      </c>
      <c r="N16" t="n">
        <v>324.2</v>
      </c>
      <c r="O16" t="n">
        <v>322.9</v>
      </c>
      <c r="P16" t="n">
        <v>310.3</v>
      </c>
      <c r="Q16" t="n">
        <v>322.4</v>
      </c>
      <c r="R16" t="n">
        <v>316.4</v>
      </c>
      <c r="S16" t="n">
        <v>340.8</v>
      </c>
      <c r="T16" t="n">
        <v>324</v>
      </c>
      <c r="U16" t="n">
        <v>300.8</v>
      </c>
      <c r="V16" t="n">
        <v>291.8</v>
      </c>
      <c r="W16" t="n">
        <v>259.7</v>
      </c>
      <c r="X16" t="n">
        <v>241.2</v>
      </c>
      <c r="Y16" t="n">
        <v>265</v>
      </c>
      <c r="Z16" t="n">
        <v>252.1</v>
      </c>
      <c r="AA16" t="n">
        <v>240.2</v>
      </c>
      <c r="AB16" t="n">
        <v>233.4</v>
      </c>
      <c r="AC16" t="n">
        <v>233.3</v>
      </c>
      <c r="AD16" t="n">
        <v>243.9</v>
      </c>
      <c r="AE16" t="n">
        <v>253.9</v>
      </c>
      <c r="AF16" t="n">
        <v>273.5</v>
      </c>
    </row>
    <row r="17">
      <c r="A17" t="s">
        <v>103</v>
      </c>
      <c r="B17" t="s">
        <v>304</v>
      </c>
      <c r="C17" t="s">
        <v>217</v>
      </c>
      <c r="D17" t="s">
        <v>305</v>
      </c>
      <c r="E17" t="s">
        <v>218</v>
      </c>
      <c r="F17" t="n">
        <v>129.6</v>
      </c>
      <c r="G17" t="n">
        <v>133.4</v>
      </c>
      <c r="H17" t="n">
        <v>132.6</v>
      </c>
      <c r="I17" t="n">
        <v>138.9</v>
      </c>
      <c r="J17" t="n">
        <v>136.4</v>
      </c>
      <c r="K17" t="n">
        <v>145</v>
      </c>
      <c r="L17" t="n">
        <v>145.5</v>
      </c>
      <c r="M17" t="n">
        <v>147.9</v>
      </c>
      <c r="N17" t="n">
        <v>145.4</v>
      </c>
      <c r="O17" t="n">
        <v>150.6</v>
      </c>
      <c r="P17" t="n">
        <v>155.4</v>
      </c>
      <c r="Q17" t="n">
        <v>171.6</v>
      </c>
      <c r="R17" t="n">
        <v>186.6</v>
      </c>
      <c r="S17" t="n">
        <v>211.7</v>
      </c>
      <c r="T17" t="n">
        <v>227.5</v>
      </c>
      <c r="U17" t="n">
        <v>218.9</v>
      </c>
      <c r="V17" t="n">
        <v>217.3</v>
      </c>
      <c r="W17" t="n">
        <v>205.3</v>
      </c>
      <c r="X17" t="n">
        <v>194.2</v>
      </c>
      <c r="Y17" t="n">
        <v>182.6</v>
      </c>
      <c r="Z17" t="n">
        <v>173.3</v>
      </c>
      <c r="AA17" t="n">
        <v>162.6</v>
      </c>
      <c r="AB17" t="n">
        <v>154.5</v>
      </c>
      <c r="AC17" t="n">
        <v>146.8</v>
      </c>
      <c r="AD17" t="n">
        <v>138.6</v>
      </c>
      <c r="AE17" t="n">
        <v>133</v>
      </c>
      <c r="AF17" t="n">
        <v>131.1</v>
      </c>
    </row>
    <row r="18">
      <c r="A18" t="s">
        <v>103</v>
      </c>
      <c r="B18" t="s">
        <v>306</v>
      </c>
      <c r="C18" t="s">
        <v>217</v>
      </c>
      <c r="D18" t="s">
        <v>307</v>
      </c>
      <c r="E18" t="s">
        <v>218</v>
      </c>
      <c r="F18" t="n">
        <v>121.9</v>
      </c>
      <c r="G18" t="n">
        <v>127.6</v>
      </c>
      <c r="H18" t="n">
        <v>129.2</v>
      </c>
      <c r="I18" t="n">
        <v>138.2</v>
      </c>
      <c r="J18" t="n">
        <v>139.3</v>
      </c>
      <c r="K18" t="n">
        <v>151.4</v>
      </c>
      <c r="L18" t="n">
        <v>156.7</v>
      </c>
      <c r="M18" t="n">
        <v>164.1</v>
      </c>
      <c r="N18" t="n">
        <v>161.6</v>
      </c>
      <c r="O18" t="n">
        <v>169.8</v>
      </c>
      <c r="P18" t="n">
        <v>168.6</v>
      </c>
      <c r="Q18" t="n">
        <v>170.5</v>
      </c>
      <c r="R18" t="n">
        <v>175.7</v>
      </c>
      <c r="S18" t="n">
        <v>188.2</v>
      </c>
      <c r="T18" t="n">
        <v>190.9</v>
      </c>
      <c r="U18" t="n">
        <v>194.3</v>
      </c>
      <c r="V18" t="n">
        <v>181.3</v>
      </c>
      <c r="W18" t="n">
        <v>190.6</v>
      </c>
      <c r="X18" t="n">
        <v>173.3</v>
      </c>
      <c r="Y18" t="n">
        <v>158.1</v>
      </c>
      <c r="Z18" t="n">
        <v>144.6</v>
      </c>
      <c r="AA18" t="n">
        <v>132</v>
      </c>
      <c r="AB18" t="n">
        <v>121.8</v>
      </c>
      <c r="AC18" t="n">
        <v>111.3</v>
      </c>
      <c r="AD18" t="n">
        <v>101.4</v>
      </c>
      <c r="AE18" t="n">
        <v>92.8</v>
      </c>
      <c r="AF18" t="n">
        <v>86.7</v>
      </c>
    </row>
    <row r="19">
      <c r="A19" t="s">
        <v>103</v>
      </c>
      <c r="B19" t="s">
        <v>308</v>
      </c>
      <c r="C19" t="s">
        <v>217</v>
      </c>
      <c r="D19" t="s">
        <v>309</v>
      </c>
      <c r="E19" t="s">
        <v>218</v>
      </c>
      <c r="F19" t="n">
        <v>217.8</v>
      </c>
      <c r="G19" t="n">
        <v>225.1</v>
      </c>
      <c r="H19" t="n">
        <v>225.9</v>
      </c>
      <c r="I19" t="n">
        <v>240.3</v>
      </c>
      <c r="J19" t="n">
        <v>241.6</v>
      </c>
      <c r="K19" t="n">
        <v>262.6</v>
      </c>
      <c r="L19" t="n">
        <v>279.7</v>
      </c>
      <c r="M19" t="n">
        <v>306.9</v>
      </c>
      <c r="N19" t="n">
        <v>305.4</v>
      </c>
      <c r="O19" t="n">
        <v>332.5</v>
      </c>
      <c r="P19" t="n">
        <v>333.7</v>
      </c>
      <c r="Q19" t="n">
        <v>360.3</v>
      </c>
      <c r="R19" t="n">
        <v>364.7</v>
      </c>
      <c r="S19" t="n">
        <v>411.1</v>
      </c>
      <c r="T19" t="n">
        <v>392</v>
      </c>
      <c r="U19" t="n">
        <v>355.6</v>
      </c>
      <c r="V19" t="n">
        <v>324.1</v>
      </c>
      <c r="W19" t="n">
        <v>285.8</v>
      </c>
      <c r="X19" t="n">
        <v>257.8</v>
      </c>
      <c r="Y19" t="n">
        <v>245.5</v>
      </c>
      <c r="Z19" t="n">
        <v>230.5</v>
      </c>
      <c r="AA19" t="n">
        <v>200.1</v>
      </c>
      <c r="AB19" t="n">
        <v>181.9</v>
      </c>
      <c r="AC19" t="n">
        <v>175.3</v>
      </c>
      <c r="AD19" t="n">
        <v>173.8</v>
      </c>
      <c r="AE19" t="n">
        <v>173.5</v>
      </c>
      <c r="AF19" t="n">
        <v>180.3</v>
      </c>
    </row>
    <row r="20">
      <c r="A20" t="s">
        <v>103</v>
      </c>
      <c r="B20" t="s">
        <v>310</v>
      </c>
      <c r="C20" t="s">
        <v>217</v>
      </c>
      <c r="D20" t="s">
        <v>311</v>
      </c>
      <c r="E20" t="s">
        <v>218</v>
      </c>
      <c r="F20" t="n">
        <v>906.9</v>
      </c>
      <c r="G20" t="n">
        <v>896.8</v>
      </c>
      <c r="H20" t="n">
        <v>843.8</v>
      </c>
      <c r="I20" t="n">
        <v>811.9</v>
      </c>
      <c r="J20" t="n">
        <v>721</v>
      </c>
      <c r="K20" t="n">
        <v>670.5</v>
      </c>
      <c r="L20" t="n">
        <v>620.5</v>
      </c>
      <c r="M20" t="n">
        <v>610.7</v>
      </c>
      <c r="N20" t="n">
        <v>560.1</v>
      </c>
      <c r="O20" t="n">
        <v>515</v>
      </c>
      <c r="P20" t="n">
        <v>464.2</v>
      </c>
      <c r="Q20" t="n">
        <v>438.1</v>
      </c>
      <c r="R20" t="n">
        <v>412.6</v>
      </c>
      <c r="S20" t="n">
        <v>391.3</v>
      </c>
      <c r="T20" t="n">
        <v>362.5</v>
      </c>
      <c r="U20" t="n">
        <v>370.3</v>
      </c>
      <c r="V20" t="n">
        <v>344.5</v>
      </c>
      <c r="W20" t="n">
        <v>312.3</v>
      </c>
      <c r="X20" t="n">
        <v>281.9</v>
      </c>
      <c r="Y20" t="n">
        <v>258.3</v>
      </c>
      <c r="Z20" t="n">
        <v>527.3</v>
      </c>
      <c r="AA20" t="n">
        <v>502.3</v>
      </c>
      <c r="AB20" t="n">
        <v>484.1</v>
      </c>
      <c r="AC20" t="n">
        <v>738.3</v>
      </c>
      <c r="AD20" t="n">
        <v>1008.4</v>
      </c>
      <c r="AE20" t="n">
        <v>1662.7</v>
      </c>
      <c r="AF20" t="n">
        <v>2463.6</v>
      </c>
    </row>
    <row r="21">
      <c r="A21" t="s">
        <v>103</v>
      </c>
      <c r="B21" t="s">
        <v>312</v>
      </c>
      <c r="C21" t="s">
        <v>217</v>
      </c>
      <c r="D21" t="s">
        <v>313</v>
      </c>
      <c r="E21" t="s">
        <v>218</v>
      </c>
      <c r="F21" t="n">
        <v>956.1</v>
      </c>
      <c r="G21" t="n">
        <v>948.3</v>
      </c>
      <c r="H21" t="n">
        <v>897.7</v>
      </c>
      <c r="I21" t="n">
        <v>870.3</v>
      </c>
      <c r="J21" t="n">
        <v>782.3</v>
      </c>
      <c r="K21" t="n">
        <v>738.4</v>
      </c>
      <c r="L21" t="n">
        <v>713.5</v>
      </c>
      <c r="M21" t="n">
        <v>706.4</v>
      </c>
      <c r="N21" t="n">
        <v>652.7</v>
      </c>
      <c r="O21" t="n">
        <v>610.6</v>
      </c>
      <c r="P21" t="n">
        <v>552.2</v>
      </c>
      <c r="Q21" t="n">
        <v>550.7</v>
      </c>
      <c r="R21" t="n">
        <v>535.4</v>
      </c>
      <c r="S21" t="n">
        <v>517.1</v>
      </c>
      <c r="T21" t="n">
        <v>495.7</v>
      </c>
      <c r="U21" t="n">
        <v>557.4</v>
      </c>
      <c r="V21" t="n">
        <v>597.9</v>
      </c>
      <c r="W21" t="n">
        <v>650.1</v>
      </c>
      <c r="X21" t="n">
        <v>643</v>
      </c>
      <c r="Y21" t="n">
        <v>699.2</v>
      </c>
      <c r="Z21" t="n">
        <v>985.3</v>
      </c>
      <c r="AA21" t="n">
        <v>972.9</v>
      </c>
      <c r="AB21" t="n">
        <v>962.4</v>
      </c>
      <c r="AC21" t="n">
        <v>1227.8</v>
      </c>
      <c r="AD21" t="n">
        <v>1507.5</v>
      </c>
      <c r="AE21" t="n">
        <v>2166.6</v>
      </c>
      <c r="AF21" t="n">
        <v>3000</v>
      </c>
    </row>
    <row r="22">
      <c r="A22" t="s">
        <v>103</v>
      </c>
      <c r="B22" t="s">
        <v>314</v>
      </c>
      <c r="C22" t="s">
        <v>217</v>
      </c>
      <c r="D22" t="s">
        <v>315</v>
      </c>
      <c r="E22" t="s">
        <v>218</v>
      </c>
      <c r="F22" t="n">
        <v>49.2</v>
      </c>
      <c r="G22" t="n">
        <v>51.5</v>
      </c>
      <c r="H22" t="n">
        <v>53.9</v>
      </c>
      <c r="I22" t="n">
        <v>58.4</v>
      </c>
      <c r="J22" t="n">
        <v>61.3</v>
      </c>
      <c r="K22" t="n">
        <v>67.9</v>
      </c>
      <c r="L22" t="n">
        <v>93</v>
      </c>
      <c r="M22" t="n">
        <v>95.7</v>
      </c>
      <c r="N22" t="n">
        <v>92.6</v>
      </c>
      <c r="O22" t="n">
        <v>95.6</v>
      </c>
      <c r="P22" t="n">
        <v>88</v>
      </c>
      <c r="Q22" t="n">
        <v>112.6</v>
      </c>
      <c r="R22" t="n">
        <v>122.8</v>
      </c>
      <c r="S22" t="n">
        <v>125.8</v>
      </c>
      <c r="T22" t="n">
        <v>133.2</v>
      </c>
      <c r="U22" t="n">
        <v>187.1</v>
      </c>
      <c r="V22" t="n">
        <v>253.4</v>
      </c>
      <c r="W22" t="n">
        <v>337.8</v>
      </c>
      <c r="X22" t="n">
        <v>361.1</v>
      </c>
      <c r="Y22" t="n">
        <v>440.9</v>
      </c>
      <c r="Z22" t="n">
        <v>458</v>
      </c>
      <c r="AA22" t="n">
        <v>470.6</v>
      </c>
      <c r="AB22" t="n">
        <v>478.3</v>
      </c>
      <c r="AC22" t="n">
        <v>489.5</v>
      </c>
      <c r="AD22" t="n">
        <v>499.1</v>
      </c>
      <c r="AE22" t="n">
        <v>503.9</v>
      </c>
      <c r="AF22" t="n">
        <v>536.4</v>
      </c>
    </row>
    <row r="23">
      <c r="A23" t="s">
        <v>103</v>
      </c>
      <c r="B23" t="s">
        <v>316</v>
      </c>
      <c r="C23" t="s">
        <v>217</v>
      </c>
      <c r="D23" t="s">
        <v>317</v>
      </c>
      <c r="E23" t="s">
        <v>218</v>
      </c>
      <c r="F23" t="n">
        <v>632.7</v>
      </c>
      <c r="G23" t="n">
        <v>721.4</v>
      </c>
      <c r="H23" t="n">
        <v>792.9</v>
      </c>
      <c r="I23" t="n">
        <v>938.4</v>
      </c>
      <c r="J23" t="n">
        <v>1047.6</v>
      </c>
      <c r="K23" t="n">
        <v>1228</v>
      </c>
      <c r="L23" t="n">
        <v>1517.4</v>
      </c>
      <c r="M23" t="n">
        <v>1741.9</v>
      </c>
      <c r="N23" t="n">
        <v>1925.3</v>
      </c>
      <c r="O23" t="n">
        <v>2156.3</v>
      </c>
      <c r="P23" t="n">
        <v>2208.8</v>
      </c>
      <c r="Q23" t="n">
        <v>2504.1</v>
      </c>
      <c r="R23" t="n">
        <v>3074.1</v>
      </c>
      <c r="S23" t="n">
        <v>3768.7</v>
      </c>
      <c r="T23" t="n">
        <v>3804</v>
      </c>
      <c r="U23" t="n">
        <v>3342.3</v>
      </c>
      <c r="V23" t="n">
        <v>2909.3</v>
      </c>
      <c r="W23" t="n">
        <v>2579.3</v>
      </c>
      <c r="X23" t="n">
        <v>2328.3</v>
      </c>
      <c r="Y23" t="n">
        <v>2094.1</v>
      </c>
      <c r="Z23" t="n">
        <v>1869</v>
      </c>
      <c r="AA23" t="n">
        <v>1674.7</v>
      </c>
      <c r="AB23" t="n">
        <v>1525.2</v>
      </c>
      <c r="AC23" t="n">
        <v>1334.1</v>
      </c>
      <c r="AD23" t="n">
        <v>1115.5</v>
      </c>
      <c r="AE23" t="n">
        <v>968</v>
      </c>
      <c r="AF23" t="n">
        <v>842.9</v>
      </c>
    </row>
    <row r="24">
      <c r="A24" t="s">
        <v>103</v>
      </c>
      <c r="B24" t="s">
        <v>318</v>
      </c>
      <c r="C24" t="s">
        <v>217</v>
      </c>
      <c r="D24" t="s">
        <v>319</v>
      </c>
      <c r="E24" t="s">
        <v>218</v>
      </c>
      <c r="F24" t="n">
        <v>1286.7</v>
      </c>
      <c r="G24" t="n">
        <v>1306.6</v>
      </c>
      <c r="H24" t="n">
        <v>1290.6</v>
      </c>
      <c r="I24" t="n">
        <v>1347.9</v>
      </c>
      <c r="J24" t="n">
        <v>1339.5</v>
      </c>
      <c r="K24" t="n">
        <v>1407.8</v>
      </c>
      <c r="L24" t="n">
        <v>1483.7</v>
      </c>
      <c r="M24" t="n">
        <v>1724</v>
      </c>
      <c r="N24" t="n">
        <v>1990.2</v>
      </c>
      <c r="O24" t="n">
        <v>2333.9</v>
      </c>
      <c r="P24" t="n">
        <v>2919.4</v>
      </c>
      <c r="Q24" t="n">
        <v>3726.5</v>
      </c>
      <c r="R24" t="n">
        <v>4615.8</v>
      </c>
      <c r="S24" t="n">
        <v>4923.3</v>
      </c>
      <c r="T24" t="n">
        <v>4967.9</v>
      </c>
      <c r="U24" t="n">
        <v>4616.8</v>
      </c>
      <c r="V24" t="n">
        <v>4384.1</v>
      </c>
      <c r="W24" t="n">
        <v>4022.1</v>
      </c>
      <c r="X24" t="n">
        <v>3690.9</v>
      </c>
      <c r="Y24" t="n">
        <v>3694</v>
      </c>
      <c r="Z24" t="n">
        <v>3572.5</v>
      </c>
      <c r="AA24" t="n">
        <v>3488.2</v>
      </c>
      <c r="AB24" t="n">
        <v>3445.6</v>
      </c>
      <c r="AC24" t="n">
        <v>3246.7</v>
      </c>
      <c r="AD24" t="n">
        <v>3104.6</v>
      </c>
      <c r="AE24" t="n">
        <v>2984</v>
      </c>
      <c r="AF24" t="n">
        <v>2938.6</v>
      </c>
    </row>
    <row r="25">
      <c r="A25" t="s">
        <v>103</v>
      </c>
      <c r="B25" t="s">
        <v>320</v>
      </c>
      <c r="C25" t="s">
        <v>217</v>
      </c>
      <c r="D25" t="s">
        <v>321</v>
      </c>
      <c r="E25" t="s">
        <v>218</v>
      </c>
      <c r="F25" t="n">
        <v>125.3</v>
      </c>
      <c r="G25" t="n">
        <v>122.9</v>
      </c>
      <c r="H25" t="n">
        <v>117.6</v>
      </c>
      <c r="I25" t="n">
        <v>118.4</v>
      </c>
      <c r="J25" t="n">
        <v>113.4</v>
      </c>
      <c r="K25" t="n">
        <v>116.2</v>
      </c>
      <c r="L25" t="n">
        <v>134.6</v>
      </c>
      <c r="M25" t="n">
        <v>150.3</v>
      </c>
      <c r="N25" t="n">
        <v>169.5</v>
      </c>
      <c r="O25" t="n">
        <v>201.6</v>
      </c>
      <c r="P25" t="n">
        <v>240.9</v>
      </c>
      <c r="Q25" t="n">
        <v>315.8</v>
      </c>
      <c r="R25" t="n">
        <v>413</v>
      </c>
      <c r="S25" t="n">
        <v>459.4</v>
      </c>
      <c r="T25" t="n">
        <v>467.3</v>
      </c>
      <c r="U25" t="n">
        <v>438.4</v>
      </c>
      <c r="V25" t="n">
        <v>393</v>
      </c>
      <c r="W25" t="n">
        <v>345.2</v>
      </c>
      <c r="X25" t="n">
        <v>311.3</v>
      </c>
      <c r="Y25" t="n">
        <v>296.1</v>
      </c>
      <c r="Z25" t="n">
        <v>277.5</v>
      </c>
      <c r="AA25" t="n">
        <v>286.9</v>
      </c>
      <c r="AB25" t="n">
        <v>298.1</v>
      </c>
      <c r="AC25" t="n">
        <v>282.4</v>
      </c>
      <c r="AD25" t="n">
        <v>257.6</v>
      </c>
      <c r="AE25" t="n">
        <v>238.5</v>
      </c>
      <c r="AF25" t="n">
        <v>224.7</v>
      </c>
    </row>
    <row r="26">
      <c r="A26" t="s">
        <v>103</v>
      </c>
      <c r="B26" t="s">
        <v>322</v>
      </c>
      <c r="C26" t="s">
        <v>217</v>
      </c>
      <c r="D26" t="s">
        <v>323</v>
      </c>
      <c r="E26" t="s">
        <v>218</v>
      </c>
      <c r="F26" t="n">
        <v>422.4</v>
      </c>
      <c r="G26" t="n">
        <v>438.9</v>
      </c>
      <c r="H26" t="n">
        <v>441.3</v>
      </c>
      <c r="I26" t="n">
        <v>471.2</v>
      </c>
      <c r="J26" t="n">
        <v>476.4</v>
      </c>
      <c r="K26" t="n">
        <v>507.2</v>
      </c>
      <c r="L26" t="n">
        <v>594.7</v>
      </c>
      <c r="M26" t="n">
        <v>724.1</v>
      </c>
      <c r="N26" t="n">
        <v>810</v>
      </c>
      <c r="O26" t="n">
        <v>1056.1</v>
      </c>
      <c r="P26" t="n">
        <v>1316.6</v>
      </c>
      <c r="Q26" t="n">
        <v>1790.5</v>
      </c>
      <c r="R26" t="n">
        <v>2334</v>
      </c>
      <c r="S26" t="n">
        <v>2536.1</v>
      </c>
      <c r="T26" t="n">
        <v>2594.7</v>
      </c>
      <c r="U26" t="n">
        <v>2453.6</v>
      </c>
      <c r="V26" t="n">
        <v>2280.4</v>
      </c>
      <c r="W26" t="n">
        <v>2078.7</v>
      </c>
      <c r="X26" t="n">
        <v>1878.8</v>
      </c>
      <c r="Y26" t="n">
        <v>1905.8</v>
      </c>
      <c r="Z26" t="n">
        <v>1867.6</v>
      </c>
      <c r="AA26" t="n">
        <v>1774.6</v>
      </c>
      <c r="AB26" t="n">
        <v>1710.5</v>
      </c>
      <c r="AC26" t="n">
        <v>1621.9</v>
      </c>
      <c r="AD26" t="n">
        <v>1546</v>
      </c>
      <c r="AE26" t="n">
        <v>1517.8</v>
      </c>
      <c r="AF26" t="n">
        <v>1531.8</v>
      </c>
    </row>
    <row r="27">
      <c r="A27" t="s">
        <v>103</v>
      </c>
      <c r="B27" t="s">
        <v>324</v>
      </c>
      <c r="C27" t="s">
        <v>217</v>
      </c>
      <c r="D27" t="s">
        <v>325</v>
      </c>
      <c r="E27" t="s">
        <v>218</v>
      </c>
      <c r="F27" t="n">
        <v>739</v>
      </c>
      <c r="G27" t="n">
        <v>744.8</v>
      </c>
      <c r="H27" t="n">
        <v>731.7</v>
      </c>
      <c r="I27" t="n">
        <v>758.3</v>
      </c>
      <c r="J27" t="n">
        <v>749.7</v>
      </c>
      <c r="K27" t="n">
        <v>784.4</v>
      </c>
      <c r="L27" t="n">
        <v>754.4</v>
      </c>
      <c r="M27" t="n">
        <v>849.6</v>
      </c>
      <c r="N27" t="n">
        <v>1010.7</v>
      </c>
      <c r="O27" t="n">
        <v>1076.2</v>
      </c>
      <c r="P27" t="n">
        <v>1361.9</v>
      </c>
      <c r="Q27" t="n">
        <v>1620.2</v>
      </c>
      <c r="R27" t="n">
        <v>1868.8</v>
      </c>
      <c r="S27" t="n">
        <v>1927.8</v>
      </c>
      <c r="T27" t="n">
        <v>1905.9</v>
      </c>
      <c r="U27" t="n">
        <v>1724.8</v>
      </c>
      <c r="V27" t="n">
        <v>1710.7</v>
      </c>
      <c r="W27" t="n">
        <v>1598.2</v>
      </c>
      <c r="X27" t="n">
        <v>1500.8</v>
      </c>
      <c r="Y27" t="n">
        <v>1492.1</v>
      </c>
      <c r="Z27" t="n">
        <v>1427.4</v>
      </c>
      <c r="AA27" t="n">
        <v>1426.7</v>
      </c>
      <c r="AB27" t="n">
        <v>1437</v>
      </c>
      <c r="AC27" t="n">
        <v>1342.4</v>
      </c>
      <c r="AD27" t="n">
        <v>1301</v>
      </c>
      <c r="AE27" t="n">
        <v>1227.7</v>
      </c>
      <c r="AF27" t="n">
        <v>1182.1</v>
      </c>
    </row>
    <row r="28">
      <c r="A28" t="s">
        <v>103</v>
      </c>
      <c r="B28" t="s">
        <v>326</v>
      </c>
      <c r="C28" t="s">
        <v>217</v>
      </c>
      <c r="D28" t="s">
        <v>327</v>
      </c>
      <c r="E28" t="s">
        <v>218</v>
      </c>
      <c r="F28" t="n">
        <v>773.7</v>
      </c>
      <c r="G28" t="n">
        <v>762.3</v>
      </c>
      <c r="H28" t="n">
        <v>755.4</v>
      </c>
      <c r="I28" t="n">
        <v>780.1</v>
      </c>
      <c r="J28" t="n">
        <v>806.2</v>
      </c>
      <c r="K28" t="n">
        <v>880.9</v>
      </c>
      <c r="L28" t="n">
        <v>981.6</v>
      </c>
      <c r="M28" t="n">
        <v>1203.5</v>
      </c>
      <c r="N28" t="n">
        <v>1426.7</v>
      </c>
      <c r="O28" t="n">
        <v>1603.4</v>
      </c>
      <c r="P28" t="n">
        <v>1507.4</v>
      </c>
      <c r="Q28" t="n">
        <v>1402.8</v>
      </c>
      <c r="R28" t="n">
        <v>1331.2</v>
      </c>
      <c r="S28" t="n">
        <v>1348.3</v>
      </c>
      <c r="T28" t="n">
        <v>1498.4</v>
      </c>
      <c r="U28" t="n">
        <v>1075.5</v>
      </c>
      <c r="V28" t="n">
        <v>944</v>
      </c>
      <c r="W28" t="n">
        <v>810.9</v>
      </c>
      <c r="X28" t="n">
        <v>729.2</v>
      </c>
      <c r="Y28" t="n">
        <v>663.1</v>
      </c>
      <c r="Z28" t="n">
        <v>619.9</v>
      </c>
      <c r="AA28" t="n">
        <v>640.1</v>
      </c>
      <c r="AB28" t="n">
        <v>670.5</v>
      </c>
      <c r="AC28" t="n">
        <v>687.7</v>
      </c>
      <c r="AD28" t="n">
        <v>616.7</v>
      </c>
      <c r="AE28" t="n">
        <v>550</v>
      </c>
      <c r="AF28" t="n">
        <v>495.3</v>
      </c>
    </row>
    <row r="29">
      <c r="A29" t="s">
        <v>103</v>
      </c>
      <c r="B29" t="s">
        <v>328</v>
      </c>
      <c r="C29" t="s">
        <v>217</v>
      </c>
      <c r="D29" t="s">
        <v>329</v>
      </c>
      <c r="E29" t="s">
        <v>218</v>
      </c>
      <c r="F29" t="n">
        <v>418</v>
      </c>
      <c r="G29" t="n">
        <v>382.2</v>
      </c>
      <c r="H29" t="n">
        <v>346.6</v>
      </c>
      <c r="I29" t="n">
        <v>319.3</v>
      </c>
      <c r="J29" t="n">
        <v>283</v>
      </c>
      <c r="K29" t="n">
        <v>260.9</v>
      </c>
      <c r="L29" t="n">
        <v>263</v>
      </c>
      <c r="M29" t="n">
        <v>270.4</v>
      </c>
      <c r="N29" t="n">
        <v>265.4</v>
      </c>
      <c r="O29" t="n">
        <v>293.8</v>
      </c>
      <c r="P29" t="n">
        <v>304.5</v>
      </c>
      <c r="Q29" t="n">
        <v>312.8</v>
      </c>
      <c r="R29" t="n">
        <v>318.3</v>
      </c>
      <c r="S29" t="n">
        <v>338.3</v>
      </c>
      <c r="T29" t="n">
        <v>377.4</v>
      </c>
      <c r="U29" t="n">
        <v>316.5</v>
      </c>
      <c r="V29" t="n">
        <v>274.7</v>
      </c>
      <c r="W29" t="n">
        <v>237.9</v>
      </c>
      <c r="X29" t="n">
        <v>207.2</v>
      </c>
      <c r="Y29" t="n">
        <v>182.2</v>
      </c>
      <c r="Z29" t="n">
        <v>160.4</v>
      </c>
      <c r="AA29" t="n">
        <v>140.3</v>
      </c>
      <c r="AB29" t="n">
        <v>127.9</v>
      </c>
      <c r="AC29" t="n">
        <v>114.5</v>
      </c>
      <c r="AD29" t="n">
        <v>102.6</v>
      </c>
      <c r="AE29" t="n">
        <v>92.1</v>
      </c>
      <c r="AF29" t="n">
        <v>83.3</v>
      </c>
    </row>
    <row r="30">
      <c r="A30" t="s">
        <v>103</v>
      </c>
      <c r="B30" t="s">
        <v>330</v>
      </c>
      <c r="C30" t="s">
        <v>217</v>
      </c>
      <c r="D30" t="s">
        <v>331</v>
      </c>
      <c r="E30" t="s">
        <v>218</v>
      </c>
      <c r="F30" t="n">
        <v>239.6</v>
      </c>
      <c r="G30" t="n">
        <v>267.4</v>
      </c>
      <c r="H30" t="n">
        <v>299.1</v>
      </c>
      <c r="I30" t="n">
        <v>349.2</v>
      </c>
      <c r="J30" t="n">
        <v>411.8</v>
      </c>
      <c r="K30" t="n">
        <v>502.8</v>
      </c>
      <c r="L30" t="n">
        <v>582.1</v>
      </c>
      <c r="M30" t="n">
        <v>791.5</v>
      </c>
      <c r="N30" t="n">
        <v>1011.5</v>
      </c>
      <c r="O30" t="n">
        <v>1118.5</v>
      </c>
      <c r="P30" t="n">
        <v>998</v>
      </c>
      <c r="Q30" t="n">
        <v>888</v>
      </c>
      <c r="R30" t="n">
        <v>778.4</v>
      </c>
      <c r="S30" t="n">
        <v>705.7</v>
      </c>
      <c r="T30" t="n">
        <v>623.1</v>
      </c>
      <c r="U30" t="n">
        <v>299.9</v>
      </c>
      <c r="V30" t="n">
        <v>244.7</v>
      </c>
      <c r="W30" t="n">
        <v>193.6</v>
      </c>
      <c r="X30" t="n">
        <v>163.9</v>
      </c>
      <c r="Y30" t="n">
        <v>132.6</v>
      </c>
      <c r="Z30" t="n">
        <v>108.5</v>
      </c>
      <c r="AA30" t="n">
        <v>88.5</v>
      </c>
      <c r="AB30" t="n">
        <v>72.6</v>
      </c>
      <c r="AC30" t="n">
        <v>59.3</v>
      </c>
      <c r="AD30" t="n">
        <v>48.4</v>
      </c>
      <c r="AE30" t="n">
        <v>39.8</v>
      </c>
      <c r="AF30" t="n">
        <v>32.9</v>
      </c>
    </row>
    <row r="31">
      <c r="A31" t="s">
        <v>103</v>
      </c>
      <c r="B31" t="s">
        <v>332</v>
      </c>
      <c r="C31" t="s">
        <v>217</v>
      </c>
      <c r="D31" t="s">
        <v>333</v>
      </c>
      <c r="E31" t="s">
        <v>218</v>
      </c>
      <c r="F31" t="n">
        <v>76.6</v>
      </c>
      <c r="G31" t="n">
        <v>68.7</v>
      </c>
      <c r="H31" t="n">
        <v>61.7</v>
      </c>
      <c r="I31" t="n">
        <v>56.1</v>
      </c>
      <c r="J31" t="n">
        <v>49.2</v>
      </c>
      <c r="K31" t="n">
        <v>44.7</v>
      </c>
      <c r="L31" t="n">
        <v>60.1</v>
      </c>
      <c r="M31" t="n">
        <v>58.6</v>
      </c>
      <c r="N31" t="n">
        <v>51.2</v>
      </c>
      <c r="O31" t="n">
        <v>44.3</v>
      </c>
      <c r="P31" t="n">
        <v>39.2</v>
      </c>
      <c r="Q31" t="n">
        <v>35</v>
      </c>
      <c r="R31" t="n">
        <v>32.3</v>
      </c>
      <c r="S31" t="n">
        <v>30.2</v>
      </c>
      <c r="T31" t="n">
        <v>29.3</v>
      </c>
      <c r="U31" t="n">
        <v>14.5</v>
      </c>
      <c r="V31" t="n">
        <v>12.1</v>
      </c>
      <c r="W31" t="n">
        <v>10.4</v>
      </c>
      <c r="X31" t="n">
        <v>9</v>
      </c>
      <c r="Y31" t="n">
        <v>8.3</v>
      </c>
      <c r="Z31" t="n">
        <v>7.3</v>
      </c>
      <c r="AA31" t="n">
        <v>7.1</v>
      </c>
      <c r="AB31" t="n">
        <v>7</v>
      </c>
      <c r="AC31" t="n">
        <v>7</v>
      </c>
      <c r="AD31" t="n">
        <v>6.1</v>
      </c>
      <c r="AE31" t="n">
        <v>5.3</v>
      </c>
      <c r="AF31" t="n">
        <v>4.6</v>
      </c>
    </row>
    <row r="32">
      <c r="A32" t="s">
        <v>103</v>
      </c>
      <c r="B32" t="s">
        <v>334</v>
      </c>
      <c r="C32" t="s">
        <v>217</v>
      </c>
      <c r="D32" t="s">
        <v>335</v>
      </c>
      <c r="E32" t="s">
        <v>218</v>
      </c>
      <c r="F32" t="n">
        <v>34.7</v>
      </c>
      <c r="G32" t="n">
        <v>34.5</v>
      </c>
      <c r="H32" t="n">
        <v>34</v>
      </c>
      <c r="I32" t="n">
        <v>35.1</v>
      </c>
      <c r="J32" t="n">
        <v>35.3</v>
      </c>
      <c r="K32" t="n">
        <v>37.6</v>
      </c>
      <c r="L32" t="n">
        <v>43</v>
      </c>
      <c r="M32" t="n">
        <v>50.4</v>
      </c>
      <c r="N32" t="n">
        <v>66.5</v>
      </c>
      <c r="O32" t="n">
        <v>115.8</v>
      </c>
      <c r="P32" t="n">
        <v>119</v>
      </c>
      <c r="Q32" t="n">
        <v>121.6</v>
      </c>
      <c r="R32" t="n">
        <v>136.3</v>
      </c>
      <c r="S32" t="n">
        <v>188.7</v>
      </c>
      <c r="T32" t="n">
        <v>364.2</v>
      </c>
      <c r="U32" t="n">
        <v>350.2</v>
      </c>
      <c r="V32" t="n">
        <v>329.4</v>
      </c>
      <c r="W32" t="n">
        <v>295.5</v>
      </c>
      <c r="X32" t="n">
        <v>284.4</v>
      </c>
      <c r="Y32" t="n">
        <v>282.8</v>
      </c>
      <c r="Z32" t="n">
        <v>291.4</v>
      </c>
      <c r="AA32" t="n">
        <v>356.4</v>
      </c>
      <c r="AB32" t="n">
        <v>418.9</v>
      </c>
      <c r="AC32" t="n">
        <v>467.3</v>
      </c>
      <c r="AD32" t="n">
        <v>423.4</v>
      </c>
      <c r="AE32" t="n">
        <v>380.3</v>
      </c>
      <c r="AF32" t="n">
        <v>345</v>
      </c>
    </row>
    <row r="33">
      <c r="A33" t="s">
        <v>103</v>
      </c>
      <c r="B33" t="s">
        <v>336</v>
      </c>
      <c r="C33" t="s">
        <v>217</v>
      </c>
      <c r="D33" t="s">
        <v>337</v>
      </c>
      <c r="E33" t="s">
        <v>218</v>
      </c>
      <c r="F33" t="n">
        <v>4.8</v>
      </c>
      <c r="G33" t="n">
        <v>9.5</v>
      </c>
      <c r="H33" t="n">
        <v>14</v>
      </c>
      <c r="I33" t="n">
        <v>20.4</v>
      </c>
      <c r="J33" t="n">
        <v>26.9</v>
      </c>
      <c r="K33" t="n">
        <v>34.9</v>
      </c>
      <c r="L33" t="n">
        <v>33.4</v>
      </c>
      <c r="M33" t="n">
        <v>32.6</v>
      </c>
      <c r="N33" t="n">
        <v>32.1</v>
      </c>
      <c r="O33" t="n">
        <v>31</v>
      </c>
      <c r="P33" t="n">
        <v>46.7</v>
      </c>
      <c r="Q33" t="n">
        <v>45.4</v>
      </c>
      <c r="R33" t="n">
        <v>65.9</v>
      </c>
      <c r="S33" t="n">
        <v>85.4</v>
      </c>
      <c r="T33" t="n">
        <v>104.4</v>
      </c>
      <c r="U33" t="n">
        <v>94.4</v>
      </c>
      <c r="V33" t="n">
        <v>83.1</v>
      </c>
      <c r="W33" t="n">
        <v>73.5</v>
      </c>
      <c r="X33" t="n">
        <v>64.7</v>
      </c>
      <c r="Y33" t="n">
        <v>57.2</v>
      </c>
      <c r="Z33" t="n">
        <v>52.3</v>
      </c>
      <c r="AA33" t="n">
        <v>47.8</v>
      </c>
      <c r="AB33" t="n">
        <v>44.1</v>
      </c>
      <c r="AC33" t="n">
        <v>39.6</v>
      </c>
      <c r="AD33" t="n">
        <v>36.2</v>
      </c>
      <c r="AE33" t="n">
        <v>32.5</v>
      </c>
      <c r="AF33" t="n">
        <v>29.5</v>
      </c>
    </row>
    <row r="34">
      <c r="A34" t="s">
        <v>103</v>
      </c>
      <c r="B34" t="s">
        <v>338</v>
      </c>
      <c r="C34" t="s">
        <v>217</v>
      </c>
      <c r="D34" t="s">
        <v>339</v>
      </c>
      <c r="E34" t="s">
        <v>218</v>
      </c>
      <c r="F34" t="n">
        <v>569.8</v>
      </c>
      <c r="G34" t="n">
        <v>579.1</v>
      </c>
      <c r="H34" t="n">
        <v>579.9</v>
      </c>
      <c r="I34" t="n">
        <v>602.7</v>
      </c>
      <c r="J34" t="n">
        <v>606.3</v>
      </c>
      <c r="K34" t="n">
        <v>635.7</v>
      </c>
      <c r="L34" t="n">
        <v>662.5</v>
      </c>
      <c r="M34" t="n">
        <v>675.5</v>
      </c>
      <c r="N34" t="n">
        <v>707</v>
      </c>
      <c r="O34" t="n">
        <v>772.4</v>
      </c>
      <c r="P34" t="n">
        <v>1015</v>
      </c>
      <c r="Q34" t="n">
        <v>1364.3</v>
      </c>
      <c r="R34" t="n">
        <v>1622.5</v>
      </c>
      <c r="S34" t="n">
        <v>2109</v>
      </c>
      <c r="T34" t="n">
        <v>2298</v>
      </c>
      <c r="U34" t="n">
        <v>2298</v>
      </c>
      <c r="V34" t="n">
        <v>2248.6</v>
      </c>
      <c r="W34" t="n">
        <v>2107.7</v>
      </c>
      <c r="X34" t="n">
        <v>1972.8</v>
      </c>
      <c r="Y34" t="n">
        <v>2139.1</v>
      </c>
      <c r="Z34" t="n">
        <v>2209.9</v>
      </c>
      <c r="AA34" t="n">
        <v>2190.5</v>
      </c>
      <c r="AB34" t="n">
        <v>2218.1</v>
      </c>
      <c r="AC34" t="n">
        <v>2039.2</v>
      </c>
      <c r="AD34" t="n">
        <v>1942.7</v>
      </c>
      <c r="AE34" t="n">
        <v>1809</v>
      </c>
      <c r="AF34" t="n">
        <v>1766.1</v>
      </c>
    </row>
    <row r="35">
      <c r="A35" t="s">
        <v>103</v>
      </c>
      <c r="B35" t="s">
        <v>340</v>
      </c>
      <c r="C35" t="s">
        <v>217</v>
      </c>
      <c r="D35" t="s">
        <v>341</v>
      </c>
      <c r="E35" t="s">
        <v>218</v>
      </c>
      <c r="F35" t="n">
        <v>297.5</v>
      </c>
      <c r="G35" t="n">
        <v>388.9</v>
      </c>
      <c r="H35" t="n">
        <v>478</v>
      </c>
      <c r="I35" t="n">
        <v>607.2</v>
      </c>
      <c r="J35" t="n">
        <v>724.8</v>
      </c>
      <c r="K35" t="n">
        <v>889.2</v>
      </c>
      <c r="L35" t="n">
        <v>1016.6</v>
      </c>
      <c r="M35" t="n">
        <v>1171.3</v>
      </c>
      <c r="N35" t="n">
        <v>1252.4</v>
      </c>
      <c r="O35" t="n">
        <v>1308.2</v>
      </c>
      <c r="P35" t="n">
        <v>1329.5</v>
      </c>
      <c r="Q35" t="n">
        <v>1489.2</v>
      </c>
      <c r="R35" t="n">
        <v>1643.3</v>
      </c>
      <c r="S35" t="n">
        <v>2009.7</v>
      </c>
      <c r="T35" t="n">
        <v>2301.1</v>
      </c>
      <c r="U35" t="n">
        <v>2190.6</v>
      </c>
      <c r="V35" t="n">
        <v>2048.9</v>
      </c>
      <c r="W35" t="n">
        <v>1875.2</v>
      </c>
      <c r="X35" t="n">
        <v>1710</v>
      </c>
      <c r="Y35" t="n">
        <v>1605.2</v>
      </c>
      <c r="Z35" t="n">
        <v>1513.8</v>
      </c>
      <c r="AA35" t="n">
        <v>1405.4</v>
      </c>
      <c r="AB35" t="n">
        <v>1329</v>
      </c>
      <c r="AC35" t="n">
        <v>1245.3</v>
      </c>
      <c r="AD35" t="n">
        <v>1169.5</v>
      </c>
      <c r="AE35" t="n">
        <v>1125.8</v>
      </c>
      <c r="AF35" t="n">
        <v>1130.4</v>
      </c>
    </row>
    <row r="36">
      <c r="A36" t="s">
        <v>103</v>
      </c>
      <c r="B36" t="s">
        <v>342</v>
      </c>
      <c r="C36" t="s">
        <v>217</v>
      </c>
      <c r="D36" t="s">
        <v>343</v>
      </c>
      <c r="E36" t="s">
        <v>218</v>
      </c>
      <c r="F36" t="n">
        <v>230.8</v>
      </c>
      <c r="G36" t="n">
        <v>269.5</v>
      </c>
      <c r="H36" t="n">
        <v>306.8</v>
      </c>
      <c r="I36" t="n">
        <v>362.7</v>
      </c>
      <c r="J36" t="n">
        <v>407.8</v>
      </c>
      <c r="K36" t="n">
        <v>479.8</v>
      </c>
      <c r="L36" t="n">
        <v>607.4</v>
      </c>
      <c r="M36" t="n">
        <v>736.9</v>
      </c>
      <c r="N36" t="n">
        <v>807.3</v>
      </c>
      <c r="O36" t="n">
        <v>854.2</v>
      </c>
      <c r="P36" t="n">
        <v>875.4</v>
      </c>
      <c r="Q36" t="n">
        <v>1021.7</v>
      </c>
      <c r="R36" t="n">
        <v>1158.7</v>
      </c>
      <c r="S36" t="n">
        <v>1481.4</v>
      </c>
      <c r="T36" t="n">
        <v>1708.5</v>
      </c>
      <c r="U36" t="n">
        <v>1623.3</v>
      </c>
      <c r="V36" t="n">
        <v>1525.8</v>
      </c>
      <c r="W36" t="n">
        <v>1398.4</v>
      </c>
      <c r="X36" t="n">
        <v>1278.4</v>
      </c>
      <c r="Y36" t="n">
        <v>1192.2</v>
      </c>
      <c r="Z36" t="n">
        <v>1094.1</v>
      </c>
      <c r="AA36" t="n">
        <v>997.6</v>
      </c>
      <c r="AB36" t="n">
        <v>927.5</v>
      </c>
      <c r="AC36" t="n">
        <v>864.8</v>
      </c>
      <c r="AD36" t="n">
        <v>821.4</v>
      </c>
      <c r="AE36" t="n">
        <v>799.9</v>
      </c>
      <c r="AF36" t="n">
        <v>816.6</v>
      </c>
    </row>
    <row r="37">
      <c r="A37" t="s">
        <v>103</v>
      </c>
      <c r="B37" t="s">
        <v>344</v>
      </c>
      <c r="C37" t="s">
        <v>217</v>
      </c>
      <c r="D37" t="s">
        <v>345</v>
      </c>
      <c r="E37" t="s">
        <v>218</v>
      </c>
      <c r="F37" t="n">
        <v>47.9</v>
      </c>
      <c r="G37" t="n">
        <v>94.8</v>
      </c>
      <c r="H37" t="n">
        <v>141</v>
      </c>
      <c r="I37" t="n">
        <v>205.4</v>
      </c>
      <c r="J37" t="n">
        <v>269.9</v>
      </c>
      <c r="K37" t="n">
        <v>350.8</v>
      </c>
      <c r="L37" t="n">
        <v>336.9</v>
      </c>
      <c r="M37" t="n">
        <v>330.3</v>
      </c>
      <c r="N37" t="n">
        <v>328.1</v>
      </c>
      <c r="O37" t="n">
        <v>318.3</v>
      </c>
      <c r="P37" t="n">
        <v>325</v>
      </c>
      <c r="Q37" t="n">
        <v>331.8</v>
      </c>
      <c r="R37" t="n">
        <v>342.1</v>
      </c>
      <c r="S37" t="n">
        <v>389.1</v>
      </c>
      <c r="T37" t="n">
        <v>434.2</v>
      </c>
      <c r="U37" t="n">
        <v>411.3</v>
      </c>
      <c r="V37" t="n">
        <v>374.5</v>
      </c>
      <c r="W37" t="n">
        <v>339.1</v>
      </c>
      <c r="X37" t="n">
        <v>305.1</v>
      </c>
      <c r="Y37" t="n">
        <v>283.2</v>
      </c>
      <c r="Z37" t="n">
        <v>294.7</v>
      </c>
      <c r="AA37" t="n">
        <v>281.3</v>
      </c>
      <c r="AB37" t="n">
        <v>271.8</v>
      </c>
      <c r="AC37" t="n">
        <v>258.2</v>
      </c>
      <c r="AD37" t="n">
        <v>233.4</v>
      </c>
      <c r="AE37" t="n">
        <v>213.3</v>
      </c>
      <c r="AF37" t="n">
        <v>201</v>
      </c>
    </row>
    <row r="38">
      <c r="A38" t="s">
        <v>103</v>
      </c>
      <c r="B38" t="s">
        <v>346</v>
      </c>
      <c r="C38" t="s">
        <v>217</v>
      </c>
      <c r="D38" t="s">
        <v>347</v>
      </c>
      <c r="E38" t="s">
        <v>218</v>
      </c>
      <c r="F38" t="n">
        <v>18.8</v>
      </c>
      <c r="G38" t="n">
        <v>24.6</v>
      </c>
      <c r="H38" t="n">
        <v>30.2</v>
      </c>
      <c r="I38" t="n">
        <v>39.1</v>
      </c>
      <c r="J38" t="n">
        <v>47.1</v>
      </c>
      <c r="K38" t="n">
        <v>58.6</v>
      </c>
      <c r="L38" t="n">
        <v>72.3</v>
      </c>
      <c r="M38" t="n">
        <v>104.1</v>
      </c>
      <c r="N38" t="n">
        <v>117</v>
      </c>
      <c r="O38" t="n">
        <v>135.7</v>
      </c>
      <c r="P38" t="n">
        <v>129.1</v>
      </c>
      <c r="Q38" t="n">
        <v>135.7</v>
      </c>
      <c r="R38" t="n">
        <v>142.5</v>
      </c>
      <c r="S38" t="n">
        <v>139.2</v>
      </c>
      <c r="T38" t="n">
        <v>158.4</v>
      </c>
      <c r="U38" t="n">
        <v>156</v>
      </c>
      <c r="V38" t="n">
        <v>148.6</v>
      </c>
      <c r="W38" t="n">
        <v>137.7</v>
      </c>
      <c r="X38" t="n">
        <v>126.5</v>
      </c>
      <c r="Y38" t="n">
        <v>129.8</v>
      </c>
      <c r="Z38" t="n">
        <v>125</v>
      </c>
      <c r="AA38" t="n">
        <v>126.5</v>
      </c>
      <c r="AB38" t="n">
        <v>129.7</v>
      </c>
      <c r="AC38" t="n">
        <v>122.3</v>
      </c>
      <c r="AD38" t="n">
        <v>114.7</v>
      </c>
      <c r="AE38" t="n">
        <v>112.6</v>
      </c>
      <c r="AF38" t="n">
        <v>112.8</v>
      </c>
    </row>
    <row r="39">
      <c r="A39" t="s">
        <v>103</v>
      </c>
      <c r="B39" t="s">
        <v>348</v>
      </c>
      <c r="C39" t="s">
        <v>217</v>
      </c>
      <c r="D39" t="s">
        <v>349</v>
      </c>
      <c r="E39" t="s">
        <v>218</v>
      </c>
      <c r="F39" t="n">
        <v>146.7</v>
      </c>
      <c r="G39" t="n">
        <v>191.8</v>
      </c>
      <c r="H39" t="n">
        <v>238.9</v>
      </c>
      <c r="I39" t="n">
        <v>298.3</v>
      </c>
      <c r="J39" t="n">
        <v>367.1</v>
      </c>
      <c r="K39" t="n">
        <v>453.3</v>
      </c>
      <c r="L39" t="n">
        <v>529.1</v>
      </c>
      <c r="M39" t="n">
        <v>498.5</v>
      </c>
      <c r="N39" t="n">
        <v>469.2</v>
      </c>
      <c r="O39" t="n">
        <v>427.3</v>
      </c>
      <c r="P39" t="n">
        <v>428.1</v>
      </c>
      <c r="Q39" t="n">
        <v>443.9</v>
      </c>
      <c r="R39" t="n">
        <v>460.5</v>
      </c>
      <c r="S39" t="n">
        <v>500</v>
      </c>
      <c r="T39" t="n">
        <v>502</v>
      </c>
      <c r="U39" t="n">
        <v>493.9</v>
      </c>
      <c r="V39" t="n">
        <v>484.7</v>
      </c>
      <c r="W39" t="n">
        <v>477.3</v>
      </c>
      <c r="X39" t="n">
        <v>465.6</v>
      </c>
      <c r="Y39" t="n">
        <v>460.4</v>
      </c>
      <c r="Z39" t="n">
        <v>430.2</v>
      </c>
      <c r="AA39" t="n">
        <v>388.9</v>
      </c>
      <c r="AB39" t="n">
        <v>354.4</v>
      </c>
      <c r="AC39" t="n">
        <v>319.9</v>
      </c>
      <c r="AD39" t="n">
        <v>291.9</v>
      </c>
      <c r="AE39" t="n">
        <v>305.2</v>
      </c>
      <c r="AF39" t="n">
        <v>326.7</v>
      </c>
    </row>
    <row r="40">
      <c r="A40" t="s">
        <v>103</v>
      </c>
      <c r="B40" t="s">
        <v>350</v>
      </c>
      <c r="C40" t="s">
        <v>217</v>
      </c>
      <c r="D40" t="s">
        <v>351</v>
      </c>
      <c r="E40" t="s">
        <v>218</v>
      </c>
      <c r="F40" t="n">
        <v>14.1</v>
      </c>
      <c r="G40" t="n">
        <v>13.8</v>
      </c>
      <c r="H40" t="n">
        <v>13.7</v>
      </c>
      <c r="I40" t="n">
        <v>13.8</v>
      </c>
      <c r="J40" t="n">
        <v>13.8</v>
      </c>
      <c r="K40" t="n">
        <v>14.3</v>
      </c>
      <c r="L40" t="n">
        <v>66.3</v>
      </c>
      <c r="M40" t="n">
        <v>102.2</v>
      </c>
      <c r="N40" t="n">
        <v>106.6</v>
      </c>
      <c r="O40" t="n">
        <v>111.1</v>
      </c>
      <c r="P40" t="n">
        <v>102.3</v>
      </c>
      <c r="Q40" t="n">
        <v>94.6</v>
      </c>
      <c r="R40" t="n">
        <v>90</v>
      </c>
      <c r="S40" t="n">
        <v>87.7</v>
      </c>
      <c r="T40" t="n">
        <v>84</v>
      </c>
      <c r="U40" t="n">
        <v>90.9</v>
      </c>
      <c r="V40" t="n">
        <v>86.2</v>
      </c>
      <c r="W40" t="n">
        <v>78.9</v>
      </c>
      <c r="X40" t="n">
        <v>72</v>
      </c>
      <c r="Y40" t="n">
        <v>74</v>
      </c>
      <c r="Z40" t="n">
        <v>71.5</v>
      </c>
      <c r="AA40" t="n">
        <v>66.6</v>
      </c>
      <c r="AB40" t="n">
        <v>63.6</v>
      </c>
      <c r="AC40" t="n">
        <v>60.3</v>
      </c>
      <c r="AD40" t="n">
        <v>58</v>
      </c>
      <c r="AE40" t="n">
        <v>41.8</v>
      </c>
      <c r="AF40" t="n">
        <v>24.7</v>
      </c>
    </row>
    <row r="41">
      <c r="A41" t="s">
        <v>103</v>
      </c>
      <c r="B41" t="s">
        <v>352</v>
      </c>
      <c r="C41" t="s">
        <v>217</v>
      </c>
      <c r="D41" t="s">
        <v>353</v>
      </c>
      <c r="E41" t="s">
        <v>218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103</v>
      </c>
      <c r="B42" t="s">
        <v>354</v>
      </c>
      <c r="C42" t="s">
        <v>217</v>
      </c>
      <c r="D42" t="s">
        <v>355</v>
      </c>
      <c r="E42" t="s">
        <v>218</v>
      </c>
      <c r="F42" t="n">
        <v>238.4</v>
      </c>
      <c r="G42" t="n">
        <v>288.6</v>
      </c>
      <c r="H42" t="n">
        <v>343.6</v>
      </c>
      <c r="I42" t="n">
        <v>418.7</v>
      </c>
      <c r="J42" t="n">
        <v>488.3</v>
      </c>
      <c r="K42" t="n">
        <v>581.1</v>
      </c>
      <c r="L42" t="n">
        <v>663.3</v>
      </c>
      <c r="M42" t="n">
        <v>720.2</v>
      </c>
      <c r="N42" t="n">
        <v>837.1</v>
      </c>
      <c r="O42" t="n">
        <v>955.9</v>
      </c>
      <c r="P42" t="n">
        <v>1005.8</v>
      </c>
      <c r="Q42" t="n">
        <v>1098.3</v>
      </c>
      <c r="R42" t="n">
        <v>1160.5</v>
      </c>
      <c r="S42" t="n">
        <v>1188.4</v>
      </c>
      <c r="T42" t="n">
        <v>1252.5</v>
      </c>
      <c r="U42" t="n">
        <v>1188.6</v>
      </c>
      <c r="V42" t="n">
        <v>1125.1</v>
      </c>
      <c r="W42" t="n">
        <v>1054.2</v>
      </c>
      <c r="X42" t="n">
        <v>975.2</v>
      </c>
      <c r="Y42" t="n">
        <v>923.5</v>
      </c>
      <c r="Z42" t="n">
        <v>872.2</v>
      </c>
      <c r="AA42" t="n">
        <v>806.4</v>
      </c>
      <c r="AB42" t="n">
        <v>754.8</v>
      </c>
      <c r="AC42" t="n">
        <v>696.2</v>
      </c>
      <c r="AD42" t="n">
        <v>678.6</v>
      </c>
      <c r="AE42" t="n">
        <v>660.8</v>
      </c>
      <c r="AF42" t="n">
        <v>665.8</v>
      </c>
    </row>
    <row r="43">
      <c r="A43" t="s">
        <v>103</v>
      </c>
      <c r="B43" t="s">
        <v>356</v>
      </c>
      <c r="C43" t="s">
        <v>217</v>
      </c>
      <c r="D43" t="s">
        <v>357</v>
      </c>
      <c r="E43" t="s">
        <v>218</v>
      </c>
      <c r="F43" t="n">
        <v>365.1</v>
      </c>
      <c r="G43" t="n">
        <v>420</v>
      </c>
      <c r="H43" t="n">
        <v>480.7</v>
      </c>
      <c r="I43" t="n">
        <v>565.9</v>
      </c>
      <c r="J43" t="n">
        <v>643.7</v>
      </c>
      <c r="K43" t="n">
        <v>753.1</v>
      </c>
      <c r="L43" t="n">
        <v>855.9</v>
      </c>
      <c r="M43" t="n">
        <v>942.8</v>
      </c>
      <c r="N43" t="n">
        <v>1090.6</v>
      </c>
      <c r="O43" t="n">
        <v>1272.2</v>
      </c>
      <c r="P43" t="n">
        <v>1426.4</v>
      </c>
      <c r="Q43" t="n">
        <v>1643.9</v>
      </c>
      <c r="R43" t="n">
        <v>1854.8</v>
      </c>
      <c r="S43" t="n">
        <v>2687.9</v>
      </c>
      <c r="T43" t="n">
        <v>3595</v>
      </c>
      <c r="U43" t="n">
        <v>3388.2</v>
      </c>
      <c r="V43" t="n">
        <v>3167.8</v>
      </c>
      <c r="W43" t="n">
        <v>2946</v>
      </c>
      <c r="X43" t="n">
        <v>2696.1</v>
      </c>
      <c r="Y43" t="n">
        <v>2513.5</v>
      </c>
      <c r="Z43" t="n">
        <v>2410.5</v>
      </c>
      <c r="AA43" t="n">
        <v>2236.8</v>
      </c>
      <c r="AB43" t="n">
        <v>2097.5</v>
      </c>
      <c r="AC43" t="n">
        <v>1963.4</v>
      </c>
      <c r="AD43" t="n">
        <v>1926.4</v>
      </c>
      <c r="AE43" t="n">
        <v>1872.1</v>
      </c>
      <c r="AF43" t="n">
        <v>1869.6</v>
      </c>
    </row>
    <row r="44">
      <c r="A44" t="s">
        <v>103</v>
      </c>
      <c r="B44" t="s">
        <v>358</v>
      </c>
      <c r="C44" t="s">
        <v>217</v>
      </c>
      <c r="D44" t="s">
        <v>359</v>
      </c>
      <c r="E44" t="s">
        <v>218</v>
      </c>
      <c r="F44" t="n">
        <v>12520.3</v>
      </c>
      <c r="G44" t="n">
        <v>13770.4</v>
      </c>
      <c r="H44" t="n">
        <v>14782.1</v>
      </c>
      <c r="I44" t="n">
        <v>16719.6</v>
      </c>
      <c r="J44" t="n">
        <v>18073</v>
      </c>
      <c r="K44" t="n">
        <v>20652.7</v>
      </c>
      <c r="L44" t="n">
        <v>22528.9</v>
      </c>
      <c r="M44" t="n">
        <v>23913.2</v>
      </c>
      <c r="N44" t="n">
        <v>25244.6</v>
      </c>
      <c r="O44" t="n">
        <v>26986.2</v>
      </c>
      <c r="P44" t="n">
        <v>28363.4</v>
      </c>
      <c r="Q44" t="n">
        <v>30743.5</v>
      </c>
      <c r="R44" t="n">
        <v>34034.1</v>
      </c>
      <c r="S44" t="n">
        <v>38705.4</v>
      </c>
      <c r="T44" t="n">
        <v>40573.9</v>
      </c>
      <c r="U44" t="n">
        <v>38602</v>
      </c>
      <c r="V44" t="n">
        <v>36646.2</v>
      </c>
      <c r="W44" t="n">
        <v>35815.7</v>
      </c>
      <c r="X44" t="n">
        <v>33398.6</v>
      </c>
      <c r="Y44" t="n">
        <v>32483.4</v>
      </c>
      <c r="Z44" t="n">
        <v>31759.7</v>
      </c>
      <c r="AA44" t="n">
        <v>30511.3</v>
      </c>
      <c r="AB44" t="n">
        <v>29713</v>
      </c>
      <c r="AC44" t="n">
        <v>28998.2</v>
      </c>
      <c r="AD44" t="n">
        <v>28397.8</v>
      </c>
      <c r="AE44" t="n">
        <v>28667.8</v>
      </c>
      <c r="AF44" t="n">
        <v>29956.8</v>
      </c>
    </row>
    <row r="45">
      <c r="A45" t="s">
        <v>103</v>
      </c>
      <c r="B45" t="s">
        <v>360</v>
      </c>
      <c r="C45" t="s">
        <v>217</v>
      </c>
      <c r="D45" t="s">
        <v>361</v>
      </c>
      <c r="E45" t="s">
        <v>218</v>
      </c>
      <c r="F45" t="n">
        <v>11033.1</v>
      </c>
      <c r="G45" t="n">
        <v>12190.2</v>
      </c>
      <c r="H45" t="n">
        <v>13141.7</v>
      </c>
      <c r="I45" t="n">
        <v>14902.4</v>
      </c>
      <c r="J45" t="n">
        <v>16157.4</v>
      </c>
      <c r="K45" t="n">
        <v>18489.4</v>
      </c>
      <c r="L45" t="n">
        <v>20279.3</v>
      </c>
      <c r="M45" t="n">
        <v>21667.5</v>
      </c>
      <c r="N45" t="n">
        <v>22783.8</v>
      </c>
      <c r="O45" t="n">
        <v>24260.4</v>
      </c>
      <c r="P45" t="n">
        <v>25434.5</v>
      </c>
      <c r="Q45" t="n">
        <v>27787.5</v>
      </c>
      <c r="R45" t="n">
        <v>30723.9</v>
      </c>
      <c r="S45" t="n">
        <v>34799.7</v>
      </c>
      <c r="T45" t="n">
        <v>36405.1</v>
      </c>
      <c r="U45" t="n">
        <v>34280.1</v>
      </c>
      <c r="V45" t="n">
        <v>32419</v>
      </c>
      <c r="W45" t="n">
        <v>31677.6</v>
      </c>
      <c r="X45" t="n">
        <v>29307.8</v>
      </c>
      <c r="Y45" t="n">
        <v>28436.6</v>
      </c>
      <c r="Z45" t="n">
        <v>27711</v>
      </c>
      <c r="AA45" t="n">
        <v>26467.8</v>
      </c>
      <c r="AB45" t="n">
        <v>25635.7</v>
      </c>
      <c r="AC45" t="n">
        <v>24863.6</v>
      </c>
      <c r="AD45" t="n">
        <v>24213.2</v>
      </c>
      <c r="AE45" t="n">
        <v>24282.3</v>
      </c>
      <c r="AF45" t="n">
        <v>25215.7</v>
      </c>
    </row>
    <row r="46">
      <c r="A46" t="s">
        <v>103</v>
      </c>
      <c r="B46" t="s">
        <v>362</v>
      </c>
      <c r="C46" t="s">
        <v>217</v>
      </c>
      <c r="D46" t="s">
        <v>363</v>
      </c>
      <c r="E46" t="s">
        <v>218</v>
      </c>
      <c r="F46" t="n">
        <v>126.7</v>
      </c>
      <c r="G46" t="n">
        <v>131.4</v>
      </c>
      <c r="H46" t="n">
        <v>137.1</v>
      </c>
      <c r="I46" t="n">
        <v>147.2</v>
      </c>
      <c r="J46" t="n">
        <v>155.4</v>
      </c>
      <c r="K46" t="n">
        <v>172</v>
      </c>
      <c r="L46" t="n">
        <v>192.6</v>
      </c>
      <c r="M46" t="n">
        <v>222.6</v>
      </c>
      <c r="N46" t="n">
        <v>253.5</v>
      </c>
      <c r="O46" t="n">
        <v>316.3</v>
      </c>
      <c r="P46" t="n">
        <v>420.6</v>
      </c>
      <c r="Q46" t="n">
        <v>545.6</v>
      </c>
      <c r="R46" t="n">
        <v>694.3</v>
      </c>
      <c r="S46" t="n">
        <v>1499.5</v>
      </c>
      <c r="T46" t="n">
        <v>2342.5</v>
      </c>
      <c r="U46" t="n">
        <v>2199.6</v>
      </c>
      <c r="V46" t="n">
        <v>2042.7</v>
      </c>
      <c r="W46" t="n">
        <v>1891.8</v>
      </c>
      <c r="X46" t="n">
        <v>1720.9</v>
      </c>
      <c r="Y46" t="n">
        <v>1590</v>
      </c>
      <c r="Z46" t="n">
        <v>1538.3</v>
      </c>
      <c r="AA46" t="n">
        <v>1430.4</v>
      </c>
      <c r="AB46" t="n">
        <v>1342.7</v>
      </c>
      <c r="AC46" t="n">
        <v>1267.2</v>
      </c>
      <c r="AD46" t="n">
        <v>1247.8</v>
      </c>
      <c r="AE46" t="n">
        <v>1211.3</v>
      </c>
      <c r="AF46" t="n">
        <v>1203.8</v>
      </c>
    </row>
    <row r="47">
      <c r="A47" t="s">
        <v>103</v>
      </c>
      <c r="B47" t="s">
        <v>364</v>
      </c>
      <c r="C47" t="s">
        <v>217</v>
      </c>
      <c r="D47" t="s">
        <v>365</v>
      </c>
      <c r="E47" t="s">
        <v>218</v>
      </c>
      <c r="F47" t="n">
        <v>1308.8</v>
      </c>
      <c r="G47" t="n">
        <v>1526.9</v>
      </c>
      <c r="H47" t="n">
        <v>1708.2</v>
      </c>
      <c r="I47" t="n">
        <v>2133.9</v>
      </c>
      <c r="J47" t="n">
        <v>3075.9</v>
      </c>
      <c r="K47" t="n">
        <v>3322.1</v>
      </c>
      <c r="L47" t="n">
        <v>3559.3</v>
      </c>
      <c r="M47" t="n">
        <v>4497</v>
      </c>
      <c r="N47" t="n">
        <v>5278.7</v>
      </c>
      <c r="O47" t="n">
        <v>5831.2</v>
      </c>
      <c r="P47" t="n">
        <v>6107.8</v>
      </c>
      <c r="Q47" t="n">
        <v>6835.4</v>
      </c>
      <c r="R47" t="n">
        <v>7237.9</v>
      </c>
      <c r="S47" t="n">
        <v>7773.4</v>
      </c>
      <c r="T47" t="n">
        <v>8718.6</v>
      </c>
      <c r="U47" t="n">
        <v>24937.5</v>
      </c>
      <c r="V47" t="n">
        <v>23734.9</v>
      </c>
      <c r="W47" t="n">
        <v>22334.7</v>
      </c>
      <c r="X47" t="n">
        <v>21210.6</v>
      </c>
      <c r="Y47" t="n">
        <v>20856.8</v>
      </c>
      <c r="Z47" t="n">
        <v>20361.9</v>
      </c>
      <c r="AA47" t="n">
        <v>19154.5</v>
      </c>
      <c r="AB47" t="n">
        <v>18997.3</v>
      </c>
      <c r="AC47" t="n">
        <v>18313.6</v>
      </c>
      <c r="AD47" t="n">
        <v>17347.9</v>
      </c>
      <c r="AE47" t="n">
        <v>16508</v>
      </c>
      <c r="AF47" t="n">
        <v>16647.1</v>
      </c>
    </row>
    <row r="48">
      <c r="A48" t="s">
        <v>103</v>
      </c>
      <c r="B48" t="s">
        <v>366</v>
      </c>
      <c r="C48" t="s">
        <v>217</v>
      </c>
      <c r="D48" t="s">
        <v>367</v>
      </c>
      <c r="E48" t="s">
        <v>218</v>
      </c>
      <c r="F48" t="n">
        <v>2516.9</v>
      </c>
      <c r="G48" t="n">
        <v>2942.3</v>
      </c>
      <c r="H48" t="n">
        <v>3362.8</v>
      </c>
      <c r="I48" t="n">
        <v>4084</v>
      </c>
      <c r="J48" t="n">
        <v>5312.8</v>
      </c>
      <c r="K48" t="n">
        <v>5993.2</v>
      </c>
      <c r="L48" t="n">
        <v>6733.3</v>
      </c>
      <c r="M48" t="n">
        <v>8035.3</v>
      </c>
      <c r="N48" t="n">
        <v>9192</v>
      </c>
      <c r="O48" t="n">
        <v>10071.7</v>
      </c>
      <c r="P48" t="n">
        <v>10437.8</v>
      </c>
      <c r="Q48" t="n">
        <v>11336.5</v>
      </c>
      <c r="R48" t="n">
        <v>11887.9</v>
      </c>
      <c r="S48" t="n">
        <v>12581.9</v>
      </c>
      <c r="T48" t="n">
        <v>13559.8</v>
      </c>
      <c r="U48" t="n">
        <v>29528.5</v>
      </c>
      <c r="V48" t="n">
        <v>28065</v>
      </c>
      <c r="W48" t="n">
        <v>26396.8</v>
      </c>
      <c r="X48" t="n">
        <v>25037.3</v>
      </c>
      <c r="Y48" t="n">
        <v>24458.4</v>
      </c>
      <c r="Z48" t="n">
        <v>23783.8</v>
      </c>
      <c r="AA48" t="n">
        <v>22359.7</v>
      </c>
      <c r="AB48" t="n">
        <v>22049</v>
      </c>
      <c r="AC48" t="n">
        <v>21263</v>
      </c>
      <c r="AD48" t="n">
        <v>20229.8</v>
      </c>
      <c r="AE48" t="n">
        <v>19312.4</v>
      </c>
      <c r="AF48" t="n">
        <v>19462</v>
      </c>
    </row>
    <row r="49">
      <c r="A49" t="s">
        <v>103</v>
      </c>
      <c r="B49" t="s">
        <v>368</v>
      </c>
      <c r="C49" t="s">
        <v>217</v>
      </c>
      <c r="D49" t="s">
        <v>369</v>
      </c>
      <c r="E49" t="s">
        <v>218</v>
      </c>
      <c r="F49" t="n">
        <v>385.8</v>
      </c>
      <c r="G49" t="n">
        <v>467.3</v>
      </c>
      <c r="H49" t="n">
        <v>566.5</v>
      </c>
      <c r="I49" t="n">
        <v>680.7</v>
      </c>
      <c r="J49" t="n">
        <v>818.8</v>
      </c>
      <c r="K49" t="n">
        <v>995.9</v>
      </c>
      <c r="L49" t="n">
        <v>1120.1</v>
      </c>
      <c r="M49" t="n">
        <v>1191.7</v>
      </c>
      <c r="N49" t="n">
        <v>1387.3</v>
      </c>
      <c r="O49" t="n">
        <v>1520.4</v>
      </c>
      <c r="P49" t="n">
        <v>1543.1</v>
      </c>
      <c r="Q49" t="n">
        <v>1655.1</v>
      </c>
      <c r="R49" t="n">
        <v>1707.1</v>
      </c>
      <c r="S49" t="n">
        <v>1761.5</v>
      </c>
      <c r="T49" t="n">
        <v>1737.7</v>
      </c>
      <c r="U49" t="n">
        <v>1613.1</v>
      </c>
      <c r="V49" t="n">
        <v>1490.8</v>
      </c>
      <c r="W49" t="n">
        <v>1380.3</v>
      </c>
      <c r="X49" t="n">
        <v>1280.8</v>
      </c>
      <c r="Y49" t="n">
        <v>1188.5</v>
      </c>
      <c r="Z49" t="n">
        <v>1102.8</v>
      </c>
      <c r="AA49" t="n">
        <v>1007.9</v>
      </c>
      <c r="AB49" t="n">
        <v>926</v>
      </c>
      <c r="AC49" t="n">
        <v>860.6</v>
      </c>
      <c r="AD49" t="n">
        <v>814.4</v>
      </c>
      <c r="AE49" t="n">
        <v>773.1</v>
      </c>
      <c r="AF49" t="n">
        <v>741.1</v>
      </c>
    </row>
    <row r="50">
      <c r="A50" t="s">
        <v>103</v>
      </c>
      <c r="B50" t="s">
        <v>370</v>
      </c>
      <c r="C50" t="s">
        <v>217</v>
      </c>
      <c r="D50" t="s">
        <v>371</v>
      </c>
      <c r="E50" t="s">
        <v>218</v>
      </c>
      <c r="F50" t="n">
        <v>822.3</v>
      </c>
      <c r="G50" t="n">
        <v>948.1</v>
      </c>
      <c r="H50" t="n">
        <v>1088.1</v>
      </c>
      <c r="I50" t="n">
        <v>1269.3</v>
      </c>
      <c r="J50" t="n">
        <v>1418.2</v>
      </c>
      <c r="K50" t="n">
        <v>1675.2</v>
      </c>
      <c r="L50" t="n">
        <v>2054</v>
      </c>
      <c r="M50" t="n">
        <v>2346.6</v>
      </c>
      <c r="N50" t="n">
        <v>2526</v>
      </c>
      <c r="O50" t="n">
        <v>2720.1</v>
      </c>
      <c r="P50" t="n">
        <v>2786.8</v>
      </c>
      <c r="Q50" t="n">
        <v>2846</v>
      </c>
      <c r="R50" t="n">
        <v>2942.8</v>
      </c>
      <c r="S50" t="n">
        <v>3047.1</v>
      </c>
      <c r="T50" t="n">
        <v>3103.4</v>
      </c>
      <c r="U50" t="n">
        <v>2977.9</v>
      </c>
      <c r="V50" t="n">
        <v>2839.3</v>
      </c>
      <c r="W50" t="n">
        <v>2681.9</v>
      </c>
      <c r="X50" t="n">
        <v>2545.8</v>
      </c>
      <c r="Y50" t="n">
        <v>2413.1</v>
      </c>
      <c r="Z50" t="n">
        <v>2319.1</v>
      </c>
      <c r="AA50" t="n">
        <v>2197.4</v>
      </c>
      <c r="AB50" t="n">
        <v>2125.6</v>
      </c>
      <c r="AC50" t="n">
        <v>2088.8</v>
      </c>
      <c r="AD50" t="n">
        <v>2067.5</v>
      </c>
      <c r="AE50" t="n">
        <v>2031.4</v>
      </c>
      <c r="AF50" t="n">
        <v>2073.8</v>
      </c>
    </row>
    <row r="51">
      <c r="A51" t="s">
        <v>103</v>
      </c>
      <c r="B51" t="s">
        <v>372</v>
      </c>
      <c r="C51" t="s">
        <v>217</v>
      </c>
      <c r="D51" t="s">
        <v>373</v>
      </c>
      <c r="E51" t="s">
        <v>218</v>
      </c>
      <c r="F51" t="n">
        <v>766.1</v>
      </c>
      <c r="G51" t="n">
        <v>881.4</v>
      </c>
      <c r="H51" t="n">
        <v>1009.8</v>
      </c>
      <c r="I51" t="n">
        <v>1176.2</v>
      </c>
      <c r="J51" t="n">
        <v>1317.4</v>
      </c>
      <c r="K51" t="n">
        <v>1561.3</v>
      </c>
      <c r="L51" t="n">
        <v>1921.2</v>
      </c>
      <c r="M51" t="n">
        <v>2198.5</v>
      </c>
      <c r="N51" t="n">
        <v>2368.8</v>
      </c>
      <c r="O51" t="n">
        <v>2551.9</v>
      </c>
      <c r="P51" t="n">
        <v>2615.9</v>
      </c>
      <c r="Q51" t="n">
        <v>2660</v>
      </c>
      <c r="R51" t="n">
        <v>2749.6</v>
      </c>
      <c r="S51" t="n">
        <v>2837.1</v>
      </c>
      <c r="T51" t="n">
        <v>2890.3</v>
      </c>
      <c r="U51" t="n">
        <v>2742.9</v>
      </c>
      <c r="V51" t="n">
        <v>2614.5</v>
      </c>
      <c r="W51" t="n">
        <v>2471.9</v>
      </c>
      <c r="X51" t="n">
        <v>2348.4</v>
      </c>
      <c r="Y51" t="n">
        <v>2230.5</v>
      </c>
      <c r="Z51" t="n">
        <v>2148.2</v>
      </c>
      <c r="AA51" t="n">
        <v>2037.5</v>
      </c>
      <c r="AB51" t="n">
        <v>1975.1</v>
      </c>
      <c r="AC51" t="n">
        <v>1947.7</v>
      </c>
      <c r="AD51" t="n">
        <v>1934.3</v>
      </c>
      <c r="AE51" t="n">
        <v>1905.5</v>
      </c>
      <c r="AF51" t="n">
        <v>1950.9</v>
      </c>
    </row>
    <row r="52">
      <c r="A52" t="s">
        <v>103</v>
      </c>
      <c r="B52" t="s">
        <v>374</v>
      </c>
      <c r="C52" t="s">
        <v>217</v>
      </c>
      <c r="D52" t="s">
        <v>375</v>
      </c>
      <c r="E52" t="s">
        <v>218</v>
      </c>
      <c r="F52" t="n">
        <v>56.2</v>
      </c>
      <c r="G52" t="n">
        <v>66.7</v>
      </c>
      <c r="H52" t="n">
        <v>78.3</v>
      </c>
      <c r="I52" t="n">
        <v>93.1</v>
      </c>
      <c r="J52" t="n">
        <v>100.8</v>
      </c>
      <c r="K52" t="n">
        <v>113.9</v>
      </c>
      <c r="L52" t="n">
        <v>132.8</v>
      </c>
      <c r="M52" t="n">
        <v>148.1</v>
      </c>
      <c r="N52" t="n">
        <v>157.2</v>
      </c>
      <c r="O52" t="n">
        <v>168.2</v>
      </c>
      <c r="P52" t="n">
        <v>170.9</v>
      </c>
      <c r="Q52" t="n">
        <v>186</v>
      </c>
      <c r="R52" t="n">
        <v>193.2</v>
      </c>
      <c r="S52" t="n">
        <v>210</v>
      </c>
      <c r="T52" t="n">
        <v>213.1</v>
      </c>
      <c r="U52" t="n">
        <v>235</v>
      </c>
      <c r="V52" t="n">
        <v>224.8</v>
      </c>
      <c r="W52" t="n">
        <v>210</v>
      </c>
      <c r="X52" t="n">
        <v>197.4</v>
      </c>
      <c r="Y52" t="n">
        <v>182.6</v>
      </c>
      <c r="Z52" t="n">
        <v>170.9</v>
      </c>
      <c r="AA52" t="n">
        <v>159.9</v>
      </c>
      <c r="AB52" t="n">
        <v>150.5</v>
      </c>
      <c r="AC52" t="n">
        <v>141.1</v>
      </c>
      <c r="AD52" t="n">
        <v>133.2</v>
      </c>
      <c r="AE52" t="n">
        <v>125.9</v>
      </c>
      <c r="AF52" t="n">
        <v>122.9</v>
      </c>
    </row>
    <row r="53">
      <c r="A53" t="s">
        <v>103</v>
      </c>
      <c r="B53" t="s">
        <v>376</v>
      </c>
      <c r="C53" t="s">
        <v>217</v>
      </c>
      <c r="D53" t="s">
        <v>377</v>
      </c>
      <c r="E53" t="s">
        <v>218</v>
      </c>
      <c r="F53" t="n">
        <v>255.7</v>
      </c>
      <c r="G53" t="n">
        <v>288.6</v>
      </c>
      <c r="H53" t="n">
        <v>331.7</v>
      </c>
      <c r="I53" t="n">
        <v>390.4</v>
      </c>
      <c r="J53" t="n">
        <v>432.1</v>
      </c>
      <c r="K53" t="n">
        <v>494.7</v>
      </c>
      <c r="L53" t="n">
        <v>689.5</v>
      </c>
      <c r="M53" t="n">
        <v>854.3</v>
      </c>
      <c r="N53" t="n">
        <v>998.1</v>
      </c>
      <c r="O53" t="n">
        <v>1089.8</v>
      </c>
      <c r="P53" t="n">
        <v>1149.5</v>
      </c>
      <c r="Q53" t="n">
        <v>1273.9</v>
      </c>
      <c r="R53" t="n">
        <v>1361.7</v>
      </c>
      <c r="S53" t="n">
        <v>1488.4</v>
      </c>
      <c r="T53" t="n">
        <v>1509</v>
      </c>
      <c r="U53" t="n">
        <v>1551.6</v>
      </c>
      <c r="V53" t="n">
        <v>1449.6</v>
      </c>
      <c r="W53" t="n">
        <v>1362.7</v>
      </c>
      <c r="X53" t="n">
        <v>1279.8</v>
      </c>
      <c r="Y53" t="n">
        <v>1214.6</v>
      </c>
      <c r="Z53" t="n">
        <v>1146</v>
      </c>
      <c r="AA53" t="n">
        <v>1088.4</v>
      </c>
      <c r="AB53" t="n">
        <v>1037.2</v>
      </c>
      <c r="AC53" t="n">
        <v>987.9</v>
      </c>
      <c r="AD53" t="n">
        <v>948.8</v>
      </c>
      <c r="AE53" t="n">
        <v>911.8</v>
      </c>
      <c r="AF53" t="n">
        <v>892.2</v>
      </c>
    </row>
    <row r="54">
      <c r="A54" t="s">
        <v>103</v>
      </c>
      <c r="B54" t="s">
        <v>378</v>
      </c>
      <c r="C54" t="s">
        <v>217</v>
      </c>
      <c r="D54" t="s">
        <v>379</v>
      </c>
      <c r="E54" t="s">
        <v>218</v>
      </c>
      <c r="F54" t="n">
        <v>676.5</v>
      </c>
      <c r="G54" t="n">
        <v>1004.3</v>
      </c>
      <c r="H54" t="n">
        <v>1352</v>
      </c>
      <c r="I54" t="n">
        <v>1789.3</v>
      </c>
      <c r="J54" t="n">
        <v>2238.5</v>
      </c>
      <c r="K54" t="n">
        <v>2820</v>
      </c>
      <c r="L54" t="n">
        <v>3044</v>
      </c>
      <c r="M54" t="n">
        <v>3168.1</v>
      </c>
      <c r="N54" t="n">
        <v>3265.1</v>
      </c>
      <c r="O54" t="n">
        <v>3381.3</v>
      </c>
      <c r="P54" t="n">
        <v>3520.8</v>
      </c>
      <c r="Q54" t="n">
        <v>3754.8</v>
      </c>
      <c r="R54" t="n">
        <v>3928.9</v>
      </c>
      <c r="S54" t="n">
        <v>4177.4</v>
      </c>
      <c r="T54" t="n">
        <v>4172.3</v>
      </c>
      <c r="U54" t="n">
        <v>3705</v>
      </c>
      <c r="V54" t="n">
        <v>3437</v>
      </c>
      <c r="W54" t="n">
        <v>3186</v>
      </c>
      <c r="X54" t="n">
        <v>2953.3</v>
      </c>
      <c r="Y54" t="n">
        <v>2754.5</v>
      </c>
      <c r="Z54" t="n">
        <v>2592.2</v>
      </c>
      <c r="AA54" t="n">
        <v>2420.4</v>
      </c>
      <c r="AB54" t="n">
        <v>2279.3</v>
      </c>
      <c r="AC54" t="n">
        <v>2143.2</v>
      </c>
      <c r="AD54" t="n">
        <v>2035</v>
      </c>
      <c r="AE54" t="n">
        <v>1929.3</v>
      </c>
      <c r="AF54" t="n">
        <v>1862.8</v>
      </c>
    </row>
    <row r="55">
      <c r="A55" t="s">
        <v>103</v>
      </c>
      <c r="B55" t="s">
        <v>380</v>
      </c>
      <c r="C55" t="s">
        <v>217</v>
      </c>
      <c r="D55" t="s">
        <v>381</v>
      </c>
      <c r="E55" t="s">
        <v>218</v>
      </c>
      <c r="F55" t="n">
        <v>420.8</v>
      </c>
      <c r="G55" t="n">
        <v>715.7</v>
      </c>
      <c r="H55" t="n">
        <v>1020.3</v>
      </c>
      <c r="I55" t="n">
        <v>1398.9</v>
      </c>
      <c r="J55" t="n">
        <v>1806.4</v>
      </c>
      <c r="K55" t="n">
        <v>2325.3</v>
      </c>
      <c r="L55" t="n">
        <v>2354.5</v>
      </c>
      <c r="M55" t="n">
        <v>2313.8</v>
      </c>
      <c r="N55" t="n">
        <v>2267</v>
      </c>
      <c r="O55" t="n">
        <v>2291.5</v>
      </c>
      <c r="P55" t="n">
        <v>2371.3</v>
      </c>
      <c r="Q55" t="n">
        <v>2480.9</v>
      </c>
      <c r="R55" t="n">
        <v>2567.2</v>
      </c>
      <c r="S55" t="n">
        <v>2689</v>
      </c>
      <c r="T55" t="n">
        <v>2663.3</v>
      </c>
      <c r="U55" t="n">
        <v>2153.4</v>
      </c>
      <c r="V55" t="n">
        <v>1987.4</v>
      </c>
      <c r="W55" t="n">
        <v>1823.3</v>
      </c>
      <c r="X55" t="n">
        <v>1673.5</v>
      </c>
      <c r="Y55" t="n">
        <v>1539.9</v>
      </c>
      <c r="Z55" t="n">
        <v>1446.2</v>
      </c>
      <c r="AA55" t="n">
        <v>1332</v>
      </c>
      <c r="AB55" t="n">
        <v>1242.1</v>
      </c>
      <c r="AC55" t="n">
        <v>1155.3</v>
      </c>
      <c r="AD55" t="n">
        <v>1086.2</v>
      </c>
      <c r="AE55" t="n">
        <v>1017.5</v>
      </c>
      <c r="AF55" t="n">
        <v>970.6</v>
      </c>
    </row>
    <row r="56">
      <c r="A56" t="s">
        <v>103</v>
      </c>
      <c r="B56" t="s">
        <v>382</v>
      </c>
      <c r="C56" t="s">
        <v>217</v>
      </c>
      <c r="D56" t="s">
        <v>383</v>
      </c>
      <c r="E56" t="s">
        <v>218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103</v>
      </c>
      <c r="B57" t="s">
        <v>384</v>
      </c>
      <c r="C57" t="s">
        <v>217</v>
      </c>
      <c r="D57" t="s">
        <v>385</v>
      </c>
      <c r="E57" t="s">
        <v>218</v>
      </c>
      <c r="F57" t="n">
        <v>15051.3</v>
      </c>
      <c r="G57" t="n">
        <v>16726.5</v>
      </c>
      <c r="H57" t="n">
        <v>18158.6</v>
      </c>
      <c r="I57" t="n">
        <v>20817.3</v>
      </c>
      <c r="J57" t="n">
        <v>23399.7</v>
      </c>
      <c r="K57" t="n">
        <v>26660.2</v>
      </c>
      <c r="L57" t="n">
        <v>29328.6</v>
      </c>
      <c r="M57" t="n">
        <v>32050.7</v>
      </c>
      <c r="N57" t="n">
        <v>34543.2</v>
      </c>
      <c r="O57" t="n">
        <v>37169</v>
      </c>
      <c r="P57" t="n">
        <v>38903.4</v>
      </c>
      <c r="Q57" t="n">
        <v>42174.6</v>
      </c>
      <c r="R57" t="n">
        <v>46011.9</v>
      </c>
      <c r="S57" t="n">
        <v>51375.1</v>
      </c>
      <c r="T57" t="n">
        <v>54217.6</v>
      </c>
      <c r="U57" t="n">
        <v>68221.4</v>
      </c>
      <c r="V57" t="n">
        <v>64797.4</v>
      </c>
      <c r="W57" t="n">
        <v>62291.5</v>
      </c>
      <c r="X57" t="n">
        <v>58507.8</v>
      </c>
      <c r="Y57" t="n">
        <v>57015.8</v>
      </c>
      <c r="Z57" t="n">
        <v>55615</v>
      </c>
      <c r="AA57" t="n">
        <v>52937.7</v>
      </c>
      <c r="AB57" t="n">
        <v>51825.5</v>
      </c>
      <c r="AC57" t="n">
        <v>50321.5</v>
      </c>
      <c r="AD57" t="n">
        <v>48685.6</v>
      </c>
      <c r="AE57" t="n">
        <v>48022.1</v>
      </c>
      <c r="AF57" t="n">
        <v>49443.5</v>
      </c>
    </row>
    <row r="58">
      <c r="A58" t="s">
        <v>103</v>
      </c>
      <c r="B58" t="s">
        <v>386</v>
      </c>
      <c r="C58" t="s">
        <v>217</v>
      </c>
      <c r="D58" t="s">
        <v>387</v>
      </c>
      <c r="E58" t="s">
        <v>218</v>
      </c>
      <c r="F58" t="n">
        <v>15051.3</v>
      </c>
      <c r="G58" t="n">
        <v>16726.5</v>
      </c>
      <c r="H58" t="n">
        <v>18158.6</v>
      </c>
      <c r="I58" t="n">
        <v>20817.3</v>
      </c>
      <c r="J58" t="n">
        <v>23399.7</v>
      </c>
      <c r="K58" t="n">
        <v>26660.2</v>
      </c>
      <c r="L58" t="n">
        <v>29328.6</v>
      </c>
      <c r="M58" t="n">
        <v>32050.7</v>
      </c>
      <c r="N58" t="n">
        <v>34543.2</v>
      </c>
      <c r="O58" t="n">
        <v>37169</v>
      </c>
      <c r="P58" t="n">
        <v>38903.4</v>
      </c>
      <c r="Q58" t="n">
        <v>42174.6</v>
      </c>
      <c r="R58" t="n">
        <v>46011.9</v>
      </c>
      <c r="S58" t="n">
        <v>51375.1</v>
      </c>
      <c r="T58" t="n">
        <v>54217.6</v>
      </c>
      <c r="U58" t="n">
        <v>68221.4</v>
      </c>
      <c r="V58" t="n">
        <v>64797.4</v>
      </c>
      <c r="W58" t="n">
        <v>62291.5</v>
      </c>
      <c r="X58" t="n">
        <v>58507.8</v>
      </c>
      <c r="Y58" t="n">
        <v>57015.8</v>
      </c>
      <c r="Z58" t="n">
        <v>55615</v>
      </c>
      <c r="AA58" t="n">
        <v>52937.7</v>
      </c>
      <c r="AB58" t="n">
        <v>51825.5</v>
      </c>
      <c r="AC58" t="n">
        <v>50321.5</v>
      </c>
      <c r="AD58" t="n">
        <v>48685.6</v>
      </c>
      <c r="AE58" t="n">
        <v>48022.1</v>
      </c>
      <c r="AF58" t="n">
        <v>49443.5</v>
      </c>
    </row>
    <row r="59">
      <c r="A59" t="s">
        <v>103</v>
      </c>
      <c r="B59" t="s">
        <v>388</v>
      </c>
      <c r="C59" t="s">
        <v>217</v>
      </c>
      <c r="D59" t="s">
        <v>389</v>
      </c>
      <c r="E59" t="s">
        <v>218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105</v>
      </c>
      <c r="B2" t="s">
        <v>197</v>
      </c>
      <c r="C2" t="s">
        <v>217</v>
      </c>
      <c r="D2" t="s">
        <v>199</v>
      </c>
      <c r="E2" t="s">
        <v>218</v>
      </c>
      <c r="F2" t="n">
        <v>7037.8</v>
      </c>
      <c r="G2" t="n">
        <v>7399.4</v>
      </c>
      <c r="H2" t="n">
        <v>7729.3</v>
      </c>
      <c r="I2" t="n">
        <v>8082.6</v>
      </c>
      <c r="J2" t="n">
        <v>8333.5</v>
      </c>
      <c r="K2" t="n">
        <v>8542.6</v>
      </c>
      <c r="L2" t="n">
        <v>8730</v>
      </c>
      <c r="M2" t="n">
        <v>8960.4</v>
      </c>
      <c r="N2" t="n">
        <v>9070.2</v>
      </c>
      <c r="O2" t="n">
        <v>9219.9</v>
      </c>
      <c r="P2" t="n">
        <v>9157.9</v>
      </c>
      <c r="Q2" t="n">
        <v>9745.9</v>
      </c>
      <c r="R2" t="n">
        <v>9907.8</v>
      </c>
      <c r="S2" t="n">
        <v>10247</v>
      </c>
      <c r="T2" t="n">
        <v>10088.1</v>
      </c>
      <c r="U2" t="n">
        <v>10110</v>
      </c>
      <c r="V2" t="n">
        <v>9558.4</v>
      </c>
      <c r="W2" t="n">
        <v>9274.8</v>
      </c>
      <c r="X2" t="n">
        <v>8958</v>
      </c>
      <c r="Y2" t="n">
        <v>8495.7</v>
      </c>
      <c r="Z2" t="n">
        <v>8119.1</v>
      </c>
      <c r="AA2" t="n">
        <v>7878.7</v>
      </c>
      <c r="AB2" t="n">
        <v>7721</v>
      </c>
      <c r="AC2" t="n">
        <v>7606.5</v>
      </c>
      <c r="AD2" t="n">
        <v>7428.2</v>
      </c>
      <c r="AE2" t="n">
        <v>7271.9</v>
      </c>
      <c r="AF2" t="n">
        <v>7302.7</v>
      </c>
    </row>
    <row r="3">
      <c r="A3" t="s">
        <v>105</v>
      </c>
      <c r="B3" t="s">
        <v>276</v>
      </c>
      <c r="C3" t="s">
        <v>217</v>
      </c>
      <c r="D3" t="s">
        <v>277</v>
      </c>
      <c r="E3" t="s">
        <v>218</v>
      </c>
      <c r="F3" t="n">
        <v>1536.1</v>
      </c>
      <c r="G3" t="n">
        <v>1622.8</v>
      </c>
      <c r="H3" t="n">
        <v>1704.1</v>
      </c>
      <c r="I3" t="n">
        <v>1792.2</v>
      </c>
      <c r="J3" t="n">
        <v>1859</v>
      </c>
      <c r="K3" t="n">
        <v>1915.7</v>
      </c>
      <c r="L3" t="n">
        <v>1931</v>
      </c>
      <c r="M3" t="n">
        <v>1946.7</v>
      </c>
      <c r="N3" t="n">
        <v>1930.1</v>
      </c>
      <c r="O3" t="n">
        <v>1909.4</v>
      </c>
      <c r="P3" t="n">
        <v>1857.1</v>
      </c>
      <c r="Q3" t="n">
        <v>1921.8</v>
      </c>
      <c r="R3" t="n">
        <v>1911.4</v>
      </c>
      <c r="S3" t="n">
        <v>2010</v>
      </c>
      <c r="T3" t="n">
        <v>2046</v>
      </c>
      <c r="U3" t="n">
        <v>2055.9</v>
      </c>
      <c r="V3" t="n">
        <v>2090.3</v>
      </c>
      <c r="W3" t="n">
        <v>2117.5</v>
      </c>
      <c r="X3" t="n">
        <v>2117.9</v>
      </c>
      <c r="Y3" t="n">
        <v>2037.8</v>
      </c>
      <c r="Z3" t="n">
        <v>2012.5</v>
      </c>
      <c r="AA3" t="n">
        <v>2193.4</v>
      </c>
      <c r="AB3" t="n">
        <v>2337.8</v>
      </c>
      <c r="AC3" t="n">
        <v>2353.8</v>
      </c>
      <c r="AD3" t="n">
        <v>2336.1</v>
      </c>
      <c r="AE3" t="n">
        <v>2268.4</v>
      </c>
      <c r="AF3" t="n">
        <v>2258.1</v>
      </c>
    </row>
    <row r="4">
      <c r="A4" t="s">
        <v>105</v>
      </c>
      <c r="B4" t="s">
        <v>278</v>
      </c>
      <c r="C4" t="s">
        <v>217</v>
      </c>
      <c r="D4" t="s">
        <v>279</v>
      </c>
      <c r="E4" t="s">
        <v>218</v>
      </c>
      <c r="F4" t="n">
        <v>4713.7</v>
      </c>
      <c r="G4" t="n">
        <v>5020.7</v>
      </c>
      <c r="H4" t="n">
        <v>5326.7</v>
      </c>
      <c r="I4" t="n">
        <v>5669.9</v>
      </c>
      <c r="J4" t="n">
        <v>5962.2</v>
      </c>
      <c r="K4" t="n">
        <v>6213.3</v>
      </c>
      <c r="L4" t="n">
        <v>6565.6</v>
      </c>
      <c r="M4" t="n">
        <v>6623.6</v>
      </c>
      <c r="N4" t="n">
        <v>6807.3</v>
      </c>
      <c r="O4" t="n">
        <v>7040.7</v>
      </c>
      <c r="P4" t="n">
        <v>6966</v>
      </c>
      <c r="Q4" t="n">
        <v>7810</v>
      </c>
      <c r="R4" t="n">
        <v>7963.3</v>
      </c>
      <c r="S4" t="n">
        <v>8203.3</v>
      </c>
      <c r="T4" t="n">
        <v>8853.7</v>
      </c>
      <c r="U4" t="n">
        <v>8527.6</v>
      </c>
      <c r="V4" t="n">
        <v>8146</v>
      </c>
      <c r="W4" t="n">
        <v>8097.1</v>
      </c>
      <c r="X4" t="n">
        <v>7789.5</v>
      </c>
      <c r="Y4" t="n">
        <v>7412.7</v>
      </c>
      <c r="Z4" t="n">
        <v>7094.3</v>
      </c>
      <c r="AA4" t="n">
        <v>6869.7</v>
      </c>
      <c r="AB4" t="n">
        <v>6702.1</v>
      </c>
      <c r="AC4" t="n">
        <v>6712.1</v>
      </c>
      <c r="AD4" t="n">
        <v>6591.9</v>
      </c>
      <c r="AE4" t="n">
        <v>6532.1</v>
      </c>
      <c r="AF4" t="n">
        <v>6645.7</v>
      </c>
    </row>
    <row r="5">
      <c r="A5" t="s">
        <v>105</v>
      </c>
      <c r="B5" t="s">
        <v>280</v>
      </c>
      <c r="C5" t="s">
        <v>217</v>
      </c>
      <c r="D5" t="s">
        <v>281</v>
      </c>
      <c r="E5" t="s">
        <v>218</v>
      </c>
      <c r="F5" t="n">
        <v>1116</v>
      </c>
      <c r="G5" t="n">
        <v>1187.8</v>
      </c>
      <c r="H5" t="n">
        <v>1259.6</v>
      </c>
      <c r="I5" t="n">
        <v>1340.6</v>
      </c>
      <c r="J5" t="n">
        <v>1409.8</v>
      </c>
      <c r="K5" t="n">
        <v>1469.4</v>
      </c>
      <c r="L5" t="n">
        <v>1546.9</v>
      </c>
      <c r="M5" t="n">
        <v>1561.6</v>
      </c>
      <c r="N5" t="n">
        <v>1632.1</v>
      </c>
      <c r="O5" t="n">
        <v>1736.4</v>
      </c>
      <c r="P5" t="n">
        <v>1705.7</v>
      </c>
      <c r="Q5" t="n">
        <v>1851.2</v>
      </c>
      <c r="R5" t="n">
        <v>1883.3</v>
      </c>
      <c r="S5" t="n">
        <v>1968.1</v>
      </c>
      <c r="T5" t="n">
        <v>2074.9</v>
      </c>
      <c r="U5" t="n">
        <v>2014</v>
      </c>
      <c r="V5" t="n">
        <v>1911.6</v>
      </c>
      <c r="W5" t="n">
        <v>1856.4</v>
      </c>
      <c r="X5" t="n">
        <v>1801.8</v>
      </c>
      <c r="Y5" t="n">
        <v>1754.4</v>
      </c>
      <c r="Z5" t="n">
        <v>1741.3</v>
      </c>
      <c r="AA5" t="n">
        <v>1730.7</v>
      </c>
      <c r="AB5" t="n">
        <v>1722.5</v>
      </c>
      <c r="AC5" t="n">
        <v>1770.9</v>
      </c>
      <c r="AD5" t="n">
        <v>1762.9</v>
      </c>
      <c r="AE5" t="n">
        <v>1773.3</v>
      </c>
      <c r="AF5" t="n">
        <v>1832.3</v>
      </c>
    </row>
    <row r="6">
      <c r="A6" t="s">
        <v>105</v>
      </c>
      <c r="B6" t="s">
        <v>282</v>
      </c>
      <c r="C6" t="s">
        <v>217</v>
      </c>
      <c r="D6" t="s">
        <v>283</v>
      </c>
      <c r="E6" t="s">
        <v>218</v>
      </c>
      <c r="F6" t="n">
        <v>1134.6</v>
      </c>
      <c r="G6" t="n">
        <v>1176</v>
      </c>
      <c r="H6" t="n">
        <v>1211.6</v>
      </c>
      <c r="I6" t="n">
        <v>1250.5</v>
      </c>
      <c r="J6" t="n">
        <v>1273.4</v>
      </c>
      <c r="K6" t="n">
        <v>1289.5</v>
      </c>
      <c r="L6" t="n">
        <v>1325.1</v>
      </c>
      <c r="M6" t="n">
        <v>1329.4</v>
      </c>
      <c r="N6" t="n">
        <v>1330</v>
      </c>
      <c r="O6" t="n">
        <v>1329.6</v>
      </c>
      <c r="P6" t="n">
        <v>1286.2</v>
      </c>
      <c r="Q6" t="n">
        <v>1339</v>
      </c>
      <c r="R6" t="n">
        <v>1356.5</v>
      </c>
      <c r="S6" t="n">
        <v>1339.9</v>
      </c>
      <c r="T6" t="n">
        <v>1315.1</v>
      </c>
      <c r="U6" t="n">
        <v>1227.9</v>
      </c>
      <c r="V6" t="n">
        <v>1156.6</v>
      </c>
      <c r="W6" t="n">
        <v>1092.7</v>
      </c>
      <c r="X6" t="n">
        <v>1032.3</v>
      </c>
      <c r="Y6" t="n">
        <v>962.9</v>
      </c>
      <c r="Z6" t="n">
        <v>896.5</v>
      </c>
      <c r="AA6" t="n">
        <v>846.8</v>
      </c>
      <c r="AB6" t="n">
        <v>810</v>
      </c>
      <c r="AC6" t="n">
        <v>780.9</v>
      </c>
      <c r="AD6" t="n">
        <v>745</v>
      </c>
      <c r="AE6" t="n">
        <v>723.3</v>
      </c>
      <c r="AF6" t="n">
        <v>720.5</v>
      </c>
    </row>
    <row r="7">
      <c r="A7" t="s">
        <v>105</v>
      </c>
      <c r="B7" t="s">
        <v>284</v>
      </c>
      <c r="C7" t="s">
        <v>217</v>
      </c>
      <c r="D7" t="s">
        <v>285</v>
      </c>
      <c r="E7" t="s">
        <v>218</v>
      </c>
      <c r="F7" t="n">
        <v>173.6</v>
      </c>
      <c r="G7" t="n">
        <v>204.9</v>
      </c>
      <c r="H7" t="n">
        <v>239.2</v>
      </c>
      <c r="I7" t="n">
        <v>278</v>
      </c>
      <c r="J7" t="n">
        <v>316.9</v>
      </c>
      <c r="K7" t="n">
        <v>352.9</v>
      </c>
      <c r="L7" t="n">
        <v>369.6</v>
      </c>
      <c r="M7" t="n">
        <v>378.1</v>
      </c>
      <c r="N7" t="n">
        <v>375.7</v>
      </c>
      <c r="O7" t="n">
        <v>442.2</v>
      </c>
      <c r="P7" t="n">
        <v>434.8</v>
      </c>
      <c r="Q7" t="n">
        <v>517.3</v>
      </c>
      <c r="R7" t="n">
        <v>553.1</v>
      </c>
      <c r="S7" t="n">
        <v>564.2</v>
      </c>
      <c r="T7" t="n">
        <v>564.8</v>
      </c>
      <c r="U7" t="n">
        <v>527.4</v>
      </c>
      <c r="V7" t="n">
        <v>502.7</v>
      </c>
      <c r="W7" t="n">
        <v>488.5</v>
      </c>
      <c r="X7" t="n">
        <v>467.6</v>
      </c>
      <c r="Y7" t="n">
        <v>452.5</v>
      </c>
      <c r="Z7" t="n">
        <v>434</v>
      </c>
      <c r="AA7" t="n">
        <v>426.6</v>
      </c>
      <c r="AB7" t="n">
        <v>421.5</v>
      </c>
      <c r="AC7" t="n">
        <v>413.2</v>
      </c>
      <c r="AD7" t="n">
        <v>401.1</v>
      </c>
      <c r="AE7" t="n">
        <v>394.1</v>
      </c>
      <c r="AF7" t="n">
        <v>397.7</v>
      </c>
    </row>
    <row r="8">
      <c r="A8" t="s">
        <v>105</v>
      </c>
      <c r="B8" t="s">
        <v>286</v>
      </c>
      <c r="C8" t="s">
        <v>217</v>
      </c>
      <c r="D8" t="s">
        <v>287</v>
      </c>
      <c r="E8" t="s">
        <v>218</v>
      </c>
      <c r="F8" t="n">
        <v>171.7</v>
      </c>
      <c r="G8" t="n">
        <v>177.6</v>
      </c>
      <c r="H8" t="n">
        <v>182.8</v>
      </c>
      <c r="I8" t="n">
        <v>188.5</v>
      </c>
      <c r="J8" t="n">
        <v>192</v>
      </c>
      <c r="K8" t="n">
        <v>194.4</v>
      </c>
      <c r="L8" t="n">
        <v>192.4</v>
      </c>
      <c r="M8" t="n">
        <v>191.2</v>
      </c>
      <c r="N8" t="n">
        <v>191.8</v>
      </c>
      <c r="O8" t="n">
        <v>194.6</v>
      </c>
      <c r="P8" t="n">
        <v>228.4</v>
      </c>
      <c r="Q8" t="n">
        <v>237.2</v>
      </c>
      <c r="R8" t="n">
        <v>234.7</v>
      </c>
      <c r="S8" t="n">
        <v>242.1</v>
      </c>
      <c r="T8" t="n">
        <v>585.6</v>
      </c>
      <c r="U8" t="n">
        <v>585.5</v>
      </c>
      <c r="V8" t="n">
        <v>576.9</v>
      </c>
      <c r="W8" t="n">
        <v>825.9</v>
      </c>
      <c r="X8" t="n">
        <v>800</v>
      </c>
      <c r="Y8" t="n">
        <v>744.8</v>
      </c>
      <c r="Z8" t="n">
        <v>703.2</v>
      </c>
      <c r="AA8" t="n">
        <v>662.7</v>
      </c>
      <c r="AB8" t="n">
        <v>633</v>
      </c>
      <c r="AC8" t="n">
        <v>624.4</v>
      </c>
      <c r="AD8" t="n">
        <v>604.3</v>
      </c>
      <c r="AE8" t="n">
        <v>584.1</v>
      </c>
      <c r="AF8" t="n">
        <v>579.1</v>
      </c>
    </row>
    <row r="9">
      <c r="A9" t="s">
        <v>105</v>
      </c>
      <c r="B9" t="s">
        <v>288</v>
      </c>
      <c r="C9" t="s">
        <v>217</v>
      </c>
      <c r="D9" t="s">
        <v>289</v>
      </c>
      <c r="E9" t="s">
        <v>218</v>
      </c>
      <c r="F9" t="n">
        <v>185.5</v>
      </c>
      <c r="G9" t="n">
        <v>213.3</v>
      </c>
      <c r="H9" t="n">
        <v>243.3</v>
      </c>
      <c r="I9" t="n">
        <v>277.1</v>
      </c>
      <c r="J9" t="n">
        <v>310.3</v>
      </c>
      <c r="K9" t="n">
        <v>340.3</v>
      </c>
      <c r="L9" t="n">
        <v>363.6</v>
      </c>
      <c r="M9" t="n">
        <v>367.3</v>
      </c>
      <c r="N9" t="n">
        <v>377</v>
      </c>
      <c r="O9" t="n">
        <v>381.7</v>
      </c>
      <c r="P9" t="n">
        <v>385.6</v>
      </c>
      <c r="Q9" t="n">
        <v>406</v>
      </c>
      <c r="R9" t="n">
        <v>410.2</v>
      </c>
      <c r="S9" t="n">
        <v>424.6</v>
      </c>
      <c r="T9" t="n">
        <v>421.3</v>
      </c>
      <c r="U9" t="n">
        <v>402.9</v>
      </c>
      <c r="V9" t="n">
        <v>388.7</v>
      </c>
      <c r="W9" t="n">
        <v>372.5</v>
      </c>
      <c r="X9" t="n">
        <v>375.5</v>
      </c>
      <c r="Y9" t="n">
        <v>355.5</v>
      </c>
      <c r="Z9" t="n">
        <v>321.8</v>
      </c>
      <c r="AA9" t="n">
        <v>313.8</v>
      </c>
      <c r="AB9" t="n">
        <v>307.7</v>
      </c>
      <c r="AC9" t="n">
        <v>309.2</v>
      </c>
      <c r="AD9" t="n">
        <v>312.9</v>
      </c>
      <c r="AE9" t="n">
        <v>309.9</v>
      </c>
      <c r="AF9" t="n">
        <v>315.3</v>
      </c>
    </row>
    <row r="10">
      <c r="A10" t="s">
        <v>105</v>
      </c>
      <c r="B10" t="s">
        <v>290</v>
      </c>
      <c r="C10" t="s">
        <v>217</v>
      </c>
      <c r="D10" t="s">
        <v>291</v>
      </c>
      <c r="E10" t="s">
        <v>218</v>
      </c>
      <c r="F10" t="n">
        <v>253.9</v>
      </c>
      <c r="G10" t="n">
        <v>292</v>
      </c>
      <c r="H10" t="n">
        <v>333.1</v>
      </c>
      <c r="I10" t="n">
        <v>379.4</v>
      </c>
      <c r="J10" t="n">
        <v>424.8</v>
      </c>
      <c r="K10" t="n">
        <v>465.9</v>
      </c>
      <c r="L10" t="n">
        <v>497.8</v>
      </c>
      <c r="M10" t="n">
        <v>502.9</v>
      </c>
      <c r="N10" t="n">
        <v>516.2</v>
      </c>
      <c r="O10" t="n">
        <v>522.7</v>
      </c>
      <c r="P10" t="n">
        <v>526.5</v>
      </c>
      <c r="Q10" t="n">
        <v>555.8</v>
      </c>
      <c r="R10" t="n">
        <v>565.1</v>
      </c>
      <c r="S10" t="n">
        <v>590.9</v>
      </c>
      <c r="T10" t="n">
        <v>635.9</v>
      </c>
      <c r="U10" t="n">
        <v>586.1</v>
      </c>
      <c r="V10" t="n">
        <v>564.4</v>
      </c>
      <c r="W10" t="n">
        <v>540.6</v>
      </c>
      <c r="X10" t="n">
        <v>541.4</v>
      </c>
      <c r="Y10" t="n">
        <v>529.7</v>
      </c>
      <c r="Z10" t="n">
        <v>492.9</v>
      </c>
      <c r="AA10" t="n">
        <v>486</v>
      </c>
      <c r="AB10" t="n">
        <v>480.7</v>
      </c>
      <c r="AC10" t="n">
        <v>518.9</v>
      </c>
      <c r="AD10" t="n">
        <v>540.5</v>
      </c>
      <c r="AE10" t="n">
        <v>560.5</v>
      </c>
      <c r="AF10" t="n">
        <v>596</v>
      </c>
    </row>
    <row r="11">
      <c r="A11" t="s">
        <v>105</v>
      </c>
      <c r="B11" t="s">
        <v>292</v>
      </c>
      <c r="C11" t="s">
        <v>217</v>
      </c>
      <c r="D11" t="s">
        <v>293</v>
      </c>
      <c r="E11" t="s">
        <v>218</v>
      </c>
      <c r="F11" t="n">
        <v>68.4</v>
      </c>
      <c r="G11" t="n">
        <v>78.7</v>
      </c>
      <c r="H11" t="n">
        <v>89.8</v>
      </c>
      <c r="I11" t="n">
        <v>102.3</v>
      </c>
      <c r="J11" t="n">
        <v>114.5</v>
      </c>
      <c r="K11" t="n">
        <v>125.6</v>
      </c>
      <c r="L11" t="n">
        <v>134.2</v>
      </c>
      <c r="M11" t="n">
        <v>135.6</v>
      </c>
      <c r="N11" t="n">
        <v>139.2</v>
      </c>
      <c r="O11" t="n">
        <v>141</v>
      </c>
      <c r="P11" t="n">
        <v>140.9</v>
      </c>
      <c r="Q11" t="n">
        <v>149.8</v>
      </c>
      <c r="R11" t="n">
        <v>154.9</v>
      </c>
      <c r="S11" t="n">
        <v>166.3</v>
      </c>
      <c r="T11" t="n">
        <v>214.6</v>
      </c>
      <c r="U11" t="n">
        <v>183.2</v>
      </c>
      <c r="V11" t="n">
        <v>175.7</v>
      </c>
      <c r="W11" t="n">
        <v>168.1</v>
      </c>
      <c r="X11" t="n">
        <v>165.9</v>
      </c>
      <c r="Y11" t="n">
        <v>174.2</v>
      </c>
      <c r="Z11" t="n">
        <v>171.1</v>
      </c>
      <c r="AA11" t="n">
        <v>172.2</v>
      </c>
      <c r="AB11" t="n">
        <v>173</v>
      </c>
      <c r="AC11" t="n">
        <v>209.7</v>
      </c>
      <c r="AD11" t="n">
        <v>227.6</v>
      </c>
      <c r="AE11" t="n">
        <v>250.6</v>
      </c>
      <c r="AF11" t="n">
        <v>280.7</v>
      </c>
    </row>
    <row r="12">
      <c r="A12" t="s">
        <v>105</v>
      </c>
      <c r="B12" t="s">
        <v>294</v>
      </c>
      <c r="C12" t="s">
        <v>217</v>
      </c>
      <c r="D12" t="s">
        <v>295</v>
      </c>
      <c r="E12" t="s">
        <v>218</v>
      </c>
      <c r="F12" t="n">
        <v>489.4</v>
      </c>
      <c r="G12" t="n">
        <v>518.7</v>
      </c>
      <c r="H12" t="n">
        <v>547.5</v>
      </c>
      <c r="I12" t="n">
        <v>579.8</v>
      </c>
      <c r="J12" t="n">
        <v>606.6</v>
      </c>
      <c r="K12" t="n">
        <v>629.2</v>
      </c>
      <c r="L12" t="n">
        <v>666.3</v>
      </c>
      <c r="M12" t="n">
        <v>671.5</v>
      </c>
      <c r="N12" t="n">
        <v>735.5</v>
      </c>
      <c r="O12" t="n">
        <v>749.2</v>
      </c>
      <c r="P12" t="n">
        <v>743.6</v>
      </c>
      <c r="Q12" t="n">
        <v>799.4</v>
      </c>
      <c r="R12" t="n">
        <v>829.6</v>
      </c>
      <c r="S12" t="n">
        <v>888</v>
      </c>
      <c r="T12" t="n">
        <v>1007.5</v>
      </c>
      <c r="U12" t="n">
        <v>981.8</v>
      </c>
      <c r="V12" t="n">
        <v>934.2</v>
      </c>
      <c r="W12" t="n">
        <v>900.4</v>
      </c>
      <c r="X12" t="n">
        <v>878.4</v>
      </c>
      <c r="Y12" t="n">
        <v>825.8</v>
      </c>
      <c r="Z12" t="n">
        <v>782.9</v>
      </c>
      <c r="AA12" t="n">
        <v>752.1</v>
      </c>
      <c r="AB12" t="n">
        <v>728.9</v>
      </c>
      <c r="AC12" t="n">
        <v>716</v>
      </c>
      <c r="AD12" t="n">
        <v>698.4</v>
      </c>
      <c r="AE12" t="n">
        <v>684.5</v>
      </c>
      <c r="AF12" t="n">
        <v>689.1</v>
      </c>
    </row>
    <row r="13">
      <c r="A13" t="s">
        <v>105</v>
      </c>
      <c r="B13" t="s">
        <v>296</v>
      </c>
      <c r="C13" t="s">
        <v>217</v>
      </c>
      <c r="D13" t="s">
        <v>297</v>
      </c>
      <c r="E13" t="s">
        <v>218</v>
      </c>
      <c r="F13" t="n">
        <v>615</v>
      </c>
      <c r="G13" t="n">
        <v>670.4</v>
      </c>
      <c r="H13" t="n">
        <v>728.2</v>
      </c>
      <c r="I13" t="n">
        <v>793.5</v>
      </c>
      <c r="J13" t="n">
        <v>853.8</v>
      </c>
      <c r="K13" t="n">
        <v>907.5</v>
      </c>
      <c r="L13" t="n">
        <v>992.2</v>
      </c>
      <c r="M13" t="n">
        <v>1002.5</v>
      </c>
      <c r="N13" t="n">
        <v>1009.6</v>
      </c>
      <c r="O13" t="n">
        <v>1033.6</v>
      </c>
      <c r="P13" t="n">
        <v>1008</v>
      </c>
      <c r="Q13" t="n">
        <v>1269</v>
      </c>
      <c r="R13" t="n">
        <v>1276.3</v>
      </c>
      <c r="S13" t="n">
        <v>1311.1</v>
      </c>
      <c r="T13" t="n">
        <v>1341.3</v>
      </c>
      <c r="U13" t="n">
        <v>1304.4</v>
      </c>
      <c r="V13" t="n">
        <v>1269.5</v>
      </c>
      <c r="W13" t="n">
        <v>1210.1</v>
      </c>
      <c r="X13" t="n">
        <v>1162.2</v>
      </c>
      <c r="Y13" t="n">
        <v>1081.4</v>
      </c>
      <c r="Z13" t="n">
        <v>1020.8</v>
      </c>
      <c r="AA13" t="n">
        <v>969.6</v>
      </c>
      <c r="AB13" t="n">
        <v>930.9</v>
      </c>
      <c r="AC13" t="n">
        <v>932.6</v>
      </c>
      <c r="AD13" t="n">
        <v>895</v>
      </c>
      <c r="AE13" t="n">
        <v>884.6</v>
      </c>
      <c r="AF13" t="n">
        <v>895.5</v>
      </c>
    </row>
    <row r="14">
      <c r="A14" t="s">
        <v>105</v>
      </c>
      <c r="B14" t="s">
        <v>298</v>
      </c>
      <c r="C14" t="s">
        <v>217</v>
      </c>
      <c r="D14" t="s">
        <v>299</v>
      </c>
      <c r="E14" t="s">
        <v>218</v>
      </c>
      <c r="F14" t="n">
        <v>41.6</v>
      </c>
      <c r="G14" t="n">
        <v>43.6</v>
      </c>
      <c r="H14" t="n">
        <v>45.5</v>
      </c>
      <c r="I14" t="n">
        <v>47.6</v>
      </c>
      <c r="J14" t="n">
        <v>49.3</v>
      </c>
      <c r="K14" t="n">
        <v>50.6</v>
      </c>
      <c r="L14" t="n">
        <v>75.1</v>
      </c>
      <c r="M14" t="n">
        <v>76.8</v>
      </c>
      <c r="N14" t="n">
        <v>79.3</v>
      </c>
      <c r="O14" t="n">
        <v>92.9</v>
      </c>
      <c r="P14" t="n">
        <v>91.6</v>
      </c>
      <c r="Q14" t="n">
        <v>93.7</v>
      </c>
      <c r="R14" t="n">
        <v>94</v>
      </c>
      <c r="S14" t="n">
        <v>93.1</v>
      </c>
      <c r="T14" t="n">
        <v>88.7</v>
      </c>
      <c r="U14" t="n">
        <v>77.8</v>
      </c>
      <c r="V14" t="n">
        <v>78.4</v>
      </c>
      <c r="W14" t="n">
        <v>76.2</v>
      </c>
      <c r="X14" t="n">
        <v>73.9</v>
      </c>
      <c r="Y14" t="n">
        <v>69.7</v>
      </c>
      <c r="Z14" t="n">
        <v>64.2</v>
      </c>
      <c r="AA14" t="n">
        <v>61.2</v>
      </c>
      <c r="AB14" t="n">
        <v>58.9</v>
      </c>
      <c r="AC14" t="n">
        <v>57.4</v>
      </c>
      <c r="AD14" t="n">
        <v>56.2</v>
      </c>
      <c r="AE14" t="n">
        <v>54.6</v>
      </c>
      <c r="AF14" t="n">
        <v>54.4</v>
      </c>
    </row>
    <row r="15">
      <c r="A15" t="s">
        <v>105</v>
      </c>
      <c r="B15" t="s">
        <v>300</v>
      </c>
      <c r="C15" t="s">
        <v>217</v>
      </c>
      <c r="D15" t="s">
        <v>301</v>
      </c>
      <c r="E15" t="s">
        <v>218</v>
      </c>
      <c r="F15" t="n">
        <v>203.6</v>
      </c>
      <c r="G15" t="n">
        <v>220.4</v>
      </c>
      <c r="H15" t="n">
        <v>237.7</v>
      </c>
      <c r="I15" t="n">
        <v>257.1</v>
      </c>
      <c r="J15" t="n">
        <v>274.7</v>
      </c>
      <c r="K15" t="n">
        <v>289.9</v>
      </c>
      <c r="L15" t="n">
        <v>315.2</v>
      </c>
      <c r="M15" t="n">
        <v>319.1</v>
      </c>
      <c r="N15" t="n">
        <v>327.7</v>
      </c>
      <c r="O15" t="n">
        <v>346.9</v>
      </c>
      <c r="P15" t="n">
        <v>341.8</v>
      </c>
      <c r="Q15" t="n">
        <v>379.8</v>
      </c>
      <c r="R15" t="n">
        <v>383.9</v>
      </c>
      <c r="S15" t="n">
        <v>378.9</v>
      </c>
      <c r="T15" t="n">
        <v>375.3</v>
      </c>
      <c r="U15" t="n">
        <v>352.2</v>
      </c>
      <c r="V15" t="n">
        <v>331.7</v>
      </c>
      <c r="W15" t="n">
        <v>314.9</v>
      </c>
      <c r="X15" t="n">
        <v>295.6</v>
      </c>
      <c r="Y15" t="n">
        <v>291.6</v>
      </c>
      <c r="Z15" t="n">
        <v>274.9</v>
      </c>
      <c r="AA15" t="n">
        <v>262.9</v>
      </c>
      <c r="AB15" t="n">
        <v>253.7</v>
      </c>
      <c r="AC15" t="n">
        <v>257.4</v>
      </c>
      <c r="AD15" t="n">
        <v>273.3</v>
      </c>
      <c r="AE15" t="n">
        <v>272.5</v>
      </c>
      <c r="AF15" t="n">
        <v>279.1</v>
      </c>
    </row>
    <row r="16">
      <c r="A16" t="s">
        <v>105</v>
      </c>
      <c r="B16" t="s">
        <v>302</v>
      </c>
      <c r="C16" t="s">
        <v>217</v>
      </c>
      <c r="D16" t="s">
        <v>303</v>
      </c>
      <c r="E16" t="s">
        <v>218</v>
      </c>
      <c r="F16" t="n">
        <v>162</v>
      </c>
      <c r="G16" t="n">
        <v>176.8</v>
      </c>
      <c r="H16" t="n">
        <v>192.2</v>
      </c>
      <c r="I16" t="n">
        <v>209.5</v>
      </c>
      <c r="J16" t="n">
        <v>225.4</v>
      </c>
      <c r="K16" t="n">
        <v>239.3</v>
      </c>
      <c r="L16" t="n">
        <v>240.1</v>
      </c>
      <c r="M16" t="n">
        <v>242.3</v>
      </c>
      <c r="N16" t="n">
        <v>248.4</v>
      </c>
      <c r="O16" t="n">
        <v>254</v>
      </c>
      <c r="P16" t="n">
        <v>250.2</v>
      </c>
      <c r="Q16" t="n">
        <v>286.1</v>
      </c>
      <c r="R16" t="n">
        <v>289.9</v>
      </c>
      <c r="S16" t="n">
        <v>285.8</v>
      </c>
      <c r="T16" t="n">
        <v>286.6</v>
      </c>
      <c r="U16" t="n">
        <v>274.4</v>
      </c>
      <c r="V16" t="n">
        <v>253.3</v>
      </c>
      <c r="W16" t="n">
        <v>238.7</v>
      </c>
      <c r="X16" t="n">
        <v>221.7</v>
      </c>
      <c r="Y16" t="n">
        <v>221.9</v>
      </c>
      <c r="Z16" t="n">
        <v>210.7</v>
      </c>
      <c r="AA16" t="n">
        <v>201.7</v>
      </c>
      <c r="AB16" t="n">
        <v>194.8</v>
      </c>
      <c r="AC16" t="n">
        <v>200</v>
      </c>
      <c r="AD16" t="n">
        <v>217.1</v>
      </c>
      <c r="AE16" t="n">
        <v>217.9</v>
      </c>
      <c r="AF16" t="n">
        <v>224.7</v>
      </c>
    </row>
    <row r="17">
      <c r="A17" t="s">
        <v>105</v>
      </c>
      <c r="B17" t="s">
        <v>304</v>
      </c>
      <c r="C17" t="s">
        <v>217</v>
      </c>
      <c r="D17" t="s">
        <v>305</v>
      </c>
      <c r="E17" t="s">
        <v>218</v>
      </c>
      <c r="F17" t="n">
        <v>227.1</v>
      </c>
      <c r="G17" t="n">
        <v>232.3</v>
      </c>
      <c r="H17" t="n">
        <v>236</v>
      </c>
      <c r="I17" t="n">
        <v>239.9</v>
      </c>
      <c r="J17" t="n">
        <v>240.3</v>
      </c>
      <c r="K17" t="n">
        <v>239.5</v>
      </c>
      <c r="L17" t="n">
        <v>239.9</v>
      </c>
      <c r="M17" t="n">
        <v>240.5</v>
      </c>
      <c r="N17" t="n">
        <v>240.3</v>
      </c>
      <c r="O17" t="n">
        <v>236</v>
      </c>
      <c r="P17" t="n">
        <v>228.9</v>
      </c>
      <c r="Q17" t="n">
        <v>310.1</v>
      </c>
      <c r="R17" t="n">
        <v>322.1</v>
      </c>
      <c r="S17" t="n">
        <v>341.5</v>
      </c>
      <c r="T17" t="n">
        <v>354.7</v>
      </c>
      <c r="U17" t="n">
        <v>342</v>
      </c>
      <c r="V17" t="n">
        <v>327.5</v>
      </c>
      <c r="W17" t="n">
        <v>321.3</v>
      </c>
      <c r="X17" t="n">
        <v>311.6</v>
      </c>
      <c r="Y17" t="n">
        <v>289.4</v>
      </c>
      <c r="Z17" t="n">
        <v>275.6</v>
      </c>
      <c r="AA17" t="n">
        <v>263</v>
      </c>
      <c r="AB17" t="n">
        <v>253.8</v>
      </c>
      <c r="AC17" t="n">
        <v>246.8</v>
      </c>
      <c r="AD17" t="n">
        <v>237</v>
      </c>
      <c r="AE17" t="n">
        <v>228.3</v>
      </c>
      <c r="AF17" t="n">
        <v>225.6</v>
      </c>
    </row>
    <row r="18">
      <c r="A18" t="s">
        <v>105</v>
      </c>
      <c r="B18" t="s">
        <v>306</v>
      </c>
      <c r="C18" t="s">
        <v>217</v>
      </c>
      <c r="D18" t="s">
        <v>307</v>
      </c>
      <c r="E18" t="s">
        <v>218</v>
      </c>
      <c r="F18" t="n">
        <v>51</v>
      </c>
      <c r="G18" t="n">
        <v>53.5</v>
      </c>
      <c r="H18" t="n">
        <v>55.9</v>
      </c>
      <c r="I18" t="n">
        <v>58.6</v>
      </c>
      <c r="J18" t="n">
        <v>60.7</v>
      </c>
      <c r="K18" t="n">
        <v>62.4</v>
      </c>
      <c r="L18" t="n">
        <v>80.6</v>
      </c>
      <c r="M18" t="n">
        <v>82.6</v>
      </c>
      <c r="N18" t="n">
        <v>84.7</v>
      </c>
      <c r="O18" t="n">
        <v>88.2</v>
      </c>
      <c r="P18" t="n">
        <v>104.5</v>
      </c>
      <c r="Q18" t="n">
        <v>131.2</v>
      </c>
      <c r="R18" t="n">
        <v>140.5</v>
      </c>
      <c r="S18" t="n">
        <v>146.8</v>
      </c>
      <c r="T18" t="n">
        <v>144</v>
      </c>
      <c r="U18" t="n">
        <v>121.2</v>
      </c>
      <c r="V18" t="n">
        <v>111.6</v>
      </c>
      <c r="W18" t="n">
        <v>112.3</v>
      </c>
      <c r="X18" t="n">
        <v>105.1</v>
      </c>
      <c r="Y18" t="n">
        <v>100.5</v>
      </c>
      <c r="Z18" t="n">
        <v>95.3</v>
      </c>
      <c r="AA18" t="n">
        <v>94.6</v>
      </c>
      <c r="AB18" t="n">
        <v>94.1</v>
      </c>
      <c r="AC18" t="n">
        <v>93.2</v>
      </c>
      <c r="AD18" t="n">
        <v>89.5</v>
      </c>
      <c r="AE18" t="n">
        <v>93.9</v>
      </c>
      <c r="AF18" t="n">
        <v>100.8</v>
      </c>
    </row>
    <row r="19">
      <c r="A19" t="s">
        <v>105</v>
      </c>
      <c r="B19" t="s">
        <v>308</v>
      </c>
      <c r="C19" t="s">
        <v>217</v>
      </c>
      <c r="D19" t="s">
        <v>309</v>
      </c>
      <c r="E19" t="s">
        <v>218</v>
      </c>
      <c r="F19" t="n">
        <v>277.8</v>
      </c>
      <c r="G19" t="n">
        <v>287.1</v>
      </c>
      <c r="H19" t="n">
        <v>295.1</v>
      </c>
      <c r="I19" t="n">
        <v>304</v>
      </c>
      <c r="J19" t="n">
        <v>309.2</v>
      </c>
      <c r="K19" t="n">
        <v>312.7</v>
      </c>
      <c r="L19" t="n">
        <v>339.6</v>
      </c>
      <c r="M19" t="n">
        <v>344.2</v>
      </c>
      <c r="N19" t="n">
        <v>363.7</v>
      </c>
      <c r="O19" t="n">
        <v>361.3</v>
      </c>
      <c r="P19" t="n">
        <v>357.6</v>
      </c>
      <c r="Q19" t="n">
        <v>420</v>
      </c>
      <c r="R19" t="n">
        <v>418.2</v>
      </c>
      <c r="S19" t="n">
        <v>431.8</v>
      </c>
      <c r="T19" t="n">
        <v>454.6</v>
      </c>
      <c r="U19" t="n">
        <v>485.1</v>
      </c>
      <c r="V19" t="n">
        <v>459.3</v>
      </c>
      <c r="W19" t="n">
        <v>434</v>
      </c>
      <c r="X19" t="n">
        <v>393.5</v>
      </c>
      <c r="Y19" t="n">
        <v>379.7</v>
      </c>
      <c r="Z19" t="n">
        <v>376.9</v>
      </c>
      <c r="AA19" t="n">
        <v>374.7</v>
      </c>
      <c r="AB19" t="n">
        <v>373</v>
      </c>
      <c r="AC19" t="n">
        <v>357.8</v>
      </c>
      <c r="AD19" t="n">
        <v>344.9</v>
      </c>
      <c r="AE19" t="n">
        <v>333</v>
      </c>
      <c r="AF19" t="n">
        <v>330</v>
      </c>
    </row>
    <row r="20">
      <c r="A20" t="s">
        <v>105</v>
      </c>
      <c r="B20" t="s">
        <v>310</v>
      </c>
      <c r="C20" t="s">
        <v>217</v>
      </c>
      <c r="D20" t="s">
        <v>311</v>
      </c>
      <c r="E20" t="s">
        <v>218</v>
      </c>
      <c r="F20" t="n">
        <v>6186.8</v>
      </c>
      <c r="G20" t="n">
        <v>7033.5</v>
      </c>
      <c r="H20" t="n">
        <v>7936.8</v>
      </c>
      <c r="I20" t="n">
        <v>8952.3</v>
      </c>
      <c r="J20" t="n">
        <v>9934.9</v>
      </c>
      <c r="K20" t="n">
        <v>10843</v>
      </c>
      <c r="L20" t="n">
        <v>11567.2</v>
      </c>
      <c r="M20" t="n">
        <v>12189.1</v>
      </c>
      <c r="N20" t="n">
        <v>12702.5</v>
      </c>
      <c r="O20" t="n">
        <v>13232.5</v>
      </c>
      <c r="P20" t="n">
        <v>13379.5</v>
      </c>
      <c r="Q20" t="n">
        <v>14328.5</v>
      </c>
      <c r="R20" t="n">
        <v>14652.8</v>
      </c>
      <c r="S20" t="n">
        <v>15311.9</v>
      </c>
      <c r="T20" t="n">
        <v>15441.1</v>
      </c>
      <c r="U20" t="n">
        <v>15422.4</v>
      </c>
      <c r="V20" t="n">
        <v>14446.1</v>
      </c>
      <c r="W20" t="n">
        <v>14433.1</v>
      </c>
      <c r="X20" t="n">
        <v>14069.6</v>
      </c>
      <c r="Y20" t="n">
        <v>13669.4</v>
      </c>
      <c r="Z20" t="n">
        <v>13063.9</v>
      </c>
      <c r="AA20" t="n">
        <v>13098.5</v>
      </c>
      <c r="AB20" t="n">
        <v>13166.7</v>
      </c>
      <c r="AC20" t="n">
        <v>12764</v>
      </c>
      <c r="AD20" t="n">
        <v>12279.6</v>
      </c>
      <c r="AE20" t="n">
        <v>11861.8</v>
      </c>
      <c r="AF20" t="n">
        <v>11741.8</v>
      </c>
    </row>
    <row r="21">
      <c r="A21" t="s">
        <v>105</v>
      </c>
      <c r="B21" t="s">
        <v>312</v>
      </c>
      <c r="C21" t="s">
        <v>217</v>
      </c>
      <c r="D21" t="s">
        <v>313</v>
      </c>
      <c r="E21" t="s">
        <v>218</v>
      </c>
      <c r="F21" t="n">
        <v>10764.6</v>
      </c>
      <c r="G21" t="n">
        <v>11749.3</v>
      </c>
      <c r="H21" t="n">
        <v>12755.1</v>
      </c>
      <c r="I21" t="n">
        <v>13872.1</v>
      </c>
      <c r="J21" t="n">
        <v>14879.9</v>
      </c>
      <c r="K21" t="n">
        <v>15791.5</v>
      </c>
      <c r="L21" t="n">
        <v>16529.7</v>
      </c>
      <c r="M21" t="n">
        <v>17190.4</v>
      </c>
      <c r="N21" t="n">
        <v>17721.7</v>
      </c>
      <c r="O21" t="n">
        <v>18231.2</v>
      </c>
      <c r="P21" t="n">
        <v>18324.1</v>
      </c>
      <c r="Q21" t="n">
        <v>19515.1</v>
      </c>
      <c r="R21" t="n">
        <v>19893.7</v>
      </c>
      <c r="S21" t="n">
        <v>20713.6</v>
      </c>
      <c r="T21" t="n">
        <v>20813.1</v>
      </c>
      <c r="U21" t="n">
        <v>20920.9</v>
      </c>
      <c r="V21" t="n">
        <v>19710.7</v>
      </c>
      <c r="W21" t="n">
        <v>19628.6</v>
      </c>
      <c r="X21" t="n">
        <v>19230.5</v>
      </c>
      <c r="Y21" t="n">
        <v>18791.2</v>
      </c>
      <c r="Z21" t="n">
        <v>18146.6</v>
      </c>
      <c r="AA21" t="n">
        <v>18107</v>
      </c>
      <c r="AB21" t="n">
        <v>18136.3</v>
      </c>
      <c r="AC21" t="n">
        <v>17734.4</v>
      </c>
      <c r="AD21" t="n">
        <v>17168.2</v>
      </c>
      <c r="AE21" t="n">
        <v>16689.1</v>
      </c>
      <c r="AF21" t="n">
        <v>16625.1</v>
      </c>
    </row>
    <row r="22">
      <c r="A22" t="s">
        <v>105</v>
      </c>
      <c r="B22" t="s">
        <v>314</v>
      </c>
      <c r="C22" t="s">
        <v>217</v>
      </c>
      <c r="D22" t="s">
        <v>315</v>
      </c>
      <c r="E22" t="s">
        <v>218</v>
      </c>
      <c r="F22" t="n">
        <v>4577.8</v>
      </c>
      <c r="G22" t="n">
        <v>4715.8</v>
      </c>
      <c r="H22" t="n">
        <v>4818.3</v>
      </c>
      <c r="I22" t="n">
        <v>4919.8</v>
      </c>
      <c r="J22" t="n">
        <v>4945</v>
      </c>
      <c r="K22" t="n">
        <v>4948.5</v>
      </c>
      <c r="L22" t="n">
        <v>4962.5</v>
      </c>
      <c r="M22" t="n">
        <v>5001.3</v>
      </c>
      <c r="N22" t="n">
        <v>5019.2</v>
      </c>
      <c r="O22" t="n">
        <v>4998.7</v>
      </c>
      <c r="P22" t="n">
        <v>4944.6</v>
      </c>
      <c r="Q22" t="n">
        <v>5186.6</v>
      </c>
      <c r="R22" t="n">
        <v>5240.9</v>
      </c>
      <c r="S22" t="n">
        <v>5401.7</v>
      </c>
      <c r="T22" t="n">
        <v>5372</v>
      </c>
      <c r="U22" t="n">
        <v>5498.5</v>
      </c>
      <c r="V22" t="n">
        <v>5264.6</v>
      </c>
      <c r="W22" t="n">
        <v>5195.5</v>
      </c>
      <c r="X22" t="n">
        <v>5160.9</v>
      </c>
      <c r="Y22" t="n">
        <v>5121.8</v>
      </c>
      <c r="Z22" t="n">
        <v>5082.7</v>
      </c>
      <c r="AA22" t="n">
        <v>5008.5</v>
      </c>
      <c r="AB22" t="n">
        <v>4969.6</v>
      </c>
      <c r="AC22" t="n">
        <v>4970.4</v>
      </c>
      <c r="AD22" t="n">
        <v>4888.6</v>
      </c>
      <c r="AE22" t="n">
        <v>4827.3</v>
      </c>
      <c r="AF22" t="n">
        <v>4883.3</v>
      </c>
    </row>
    <row r="23">
      <c r="A23" t="s">
        <v>105</v>
      </c>
      <c r="B23" t="s">
        <v>316</v>
      </c>
      <c r="C23" t="s">
        <v>217</v>
      </c>
      <c r="D23" t="s">
        <v>317</v>
      </c>
      <c r="E23" t="s">
        <v>218</v>
      </c>
      <c r="F23" t="n">
        <v>2467.1</v>
      </c>
      <c r="G23" t="n">
        <v>2536.9</v>
      </c>
      <c r="H23" t="n">
        <v>2588.9</v>
      </c>
      <c r="I23" t="n">
        <v>2641.9</v>
      </c>
      <c r="J23" t="n">
        <v>2655.5</v>
      </c>
      <c r="K23" t="n">
        <v>2656.8</v>
      </c>
      <c r="L23" t="n">
        <v>2745.9</v>
      </c>
      <c r="M23" t="n">
        <v>2782.7</v>
      </c>
      <c r="N23" t="n">
        <v>3011</v>
      </c>
      <c r="O23" t="n">
        <v>3065.9</v>
      </c>
      <c r="P23" t="n">
        <v>3143.1</v>
      </c>
      <c r="Q23" t="n">
        <v>3287.7</v>
      </c>
      <c r="R23" t="n">
        <v>3347.5</v>
      </c>
      <c r="S23" t="n">
        <v>3335.7</v>
      </c>
      <c r="T23" t="n">
        <v>3162.4</v>
      </c>
      <c r="U23" t="n">
        <v>2978</v>
      </c>
      <c r="V23" t="n">
        <v>2754.2</v>
      </c>
      <c r="W23" t="n">
        <v>2917.2</v>
      </c>
      <c r="X23" t="n">
        <v>3417.4</v>
      </c>
      <c r="Y23" t="n">
        <v>3277.5</v>
      </c>
      <c r="Z23" t="n">
        <v>3172.7</v>
      </c>
      <c r="AA23" t="n">
        <v>3083.1</v>
      </c>
      <c r="AB23" t="n">
        <v>3017.2</v>
      </c>
      <c r="AC23" t="n">
        <v>2974.3</v>
      </c>
      <c r="AD23" t="n">
        <v>2928.6</v>
      </c>
      <c r="AE23" t="n">
        <v>2917.4</v>
      </c>
      <c r="AF23" t="n">
        <v>2983.2</v>
      </c>
    </row>
    <row r="24">
      <c r="A24" t="s">
        <v>105</v>
      </c>
      <c r="B24" t="s">
        <v>318</v>
      </c>
      <c r="C24" t="s">
        <v>217</v>
      </c>
      <c r="D24" t="s">
        <v>319</v>
      </c>
      <c r="E24" t="s">
        <v>218</v>
      </c>
      <c r="F24" t="n">
        <v>6278.9</v>
      </c>
      <c r="G24" t="n">
        <v>6810.3</v>
      </c>
      <c r="H24" t="n">
        <v>7345.7</v>
      </c>
      <c r="I24" t="n">
        <v>7937.1</v>
      </c>
      <c r="J24" t="n">
        <v>8458.8</v>
      </c>
      <c r="K24" t="n">
        <v>8929.9</v>
      </c>
      <c r="L24" t="n">
        <v>9013</v>
      </c>
      <c r="M24" t="n">
        <v>10043.4</v>
      </c>
      <c r="N24" t="n">
        <v>10203.4</v>
      </c>
      <c r="O24" t="n">
        <v>10514.3</v>
      </c>
      <c r="P24" t="n">
        <v>10761.7</v>
      </c>
      <c r="Q24" t="n">
        <v>11480.1</v>
      </c>
      <c r="R24" t="n">
        <v>11856</v>
      </c>
      <c r="S24" t="n">
        <v>12742.4</v>
      </c>
      <c r="T24" t="n">
        <v>12761</v>
      </c>
      <c r="U24" t="n">
        <v>13075.7</v>
      </c>
      <c r="V24" t="n">
        <v>13018.7</v>
      </c>
      <c r="W24" t="n">
        <v>13185.2</v>
      </c>
      <c r="X24" t="n">
        <v>13106.5</v>
      </c>
      <c r="Y24" t="n">
        <v>12703</v>
      </c>
      <c r="Z24" t="n">
        <v>12242.2</v>
      </c>
      <c r="AA24" t="n">
        <v>11977.3</v>
      </c>
      <c r="AB24" t="n">
        <v>11821.4</v>
      </c>
      <c r="AC24" t="n">
        <v>12044.1</v>
      </c>
      <c r="AD24" t="n">
        <v>12124.6</v>
      </c>
      <c r="AE24" t="n">
        <v>12248.3</v>
      </c>
      <c r="AF24" t="n">
        <v>12695.5</v>
      </c>
    </row>
    <row r="25">
      <c r="A25" t="s">
        <v>105</v>
      </c>
      <c r="B25" t="s">
        <v>320</v>
      </c>
      <c r="C25" t="s">
        <v>217</v>
      </c>
      <c r="D25" t="s">
        <v>321</v>
      </c>
      <c r="E25" t="s">
        <v>218</v>
      </c>
      <c r="F25" t="n">
        <v>152.3</v>
      </c>
      <c r="G25" t="n">
        <v>182.8</v>
      </c>
      <c r="H25" t="n">
        <v>216.1</v>
      </c>
      <c r="I25" t="n">
        <v>253.9</v>
      </c>
      <c r="J25" t="n">
        <v>291.9</v>
      </c>
      <c r="K25" t="n">
        <v>327.5</v>
      </c>
      <c r="L25" t="n">
        <v>335.2</v>
      </c>
      <c r="M25" t="n">
        <v>435.8</v>
      </c>
      <c r="N25" t="n">
        <v>460.8</v>
      </c>
      <c r="O25" t="n">
        <v>511.9</v>
      </c>
      <c r="P25" t="n">
        <v>637.4</v>
      </c>
      <c r="Q25" t="n">
        <v>710.8</v>
      </c>
      <c r="R25" t="n">
        <v>779</v>
      </c>
      <c r="S25" t="n">
        <v>862.5</v>
      </c>
      <c r="T25" t="n">
        <v>947</v>
      </c>
      <c r="U25" t="n">
        <v>1103</v>
      </c>
      <c r="V25" t="n">
        <v>1124.2</v>
      </c>
      <c r="W25" t="n">
        <v>1139.4</v>
      </c>
      <c r="X25" t="n">
        <v>1147.9</v>
      </c>
      <c r="Y25" t="n">
        <v>1133.7</v>
      </c>
      <c r="Z25" t="n">
        <v>1084</v>
      </c>
      <c r="AA25" t="n">
        <v>1079.2</v>
      </c>
      <c r="AB25" t="n">
        <v>1079.6</v>
      </c>
      <c r="AC25" t="n">
        <v>1164.5</v>
      </c>
      <c r="AD25" t="n">
        <v>1187.3</v>
      </c>
      <c r="AE25" t="n">
        <v>1219.4</v>
      </c>
      <c r="AF25" t="n">
        <v>1284.5</v>
      </c>
    </row>
    <row r="26">
      <c r="A26" t="s">
        <v>105</v>
      </c>
      <c r="B26" t="s">
        <v>322</v>
      </c>
      <c r="C26" t="s">
        <v>217</v>
      </c>
      <c r="D26" t="s">
        <v>323</v>
      </c>
      <c r="E26" t="s">
        <v>218</v>
      </c>
      <c r="F26" t="n">
        <v>1752.8</v>
      </c>
      <c r="G26" t="n">
        <v>1949.5</v>
      </c>
      <c r="H26" t="n">
        <v>2155.1</v>
      </c>
      <c r="I26" t="n">
        <v>2384.8</v>
      </c>
      <c r="J26" t="n">
        <v>2600.4</v>
      </c>
      <c r="K26" t="n">
        <v>2798.8</v>
      </c>
      <c r="L26" t="n">
        <v>2855.6</v>
      </c>
      <c r="M26" t="n">
        <v>3360.4</v>
      </c>
      <c r="N26" t="n">
        <v>3433.1</v>
      </c>
      <c r="O26" t="n">
        <v>3627.2</v>
      </c>
      <c r="P26" t="n">
        <v>3722.3</v>
      </c>
      <c r="Q26" t="n">
        <v>4062.4</v>
      </c>
      <c r="R26" t="n">
        <v>4231.1</v>
      </c>
      <c r="S26" t="n">
        <v>4770.4</v>
      </c>
      <c r="T26" t="n">
        <v>4901.5</v>
      </c>
      <c r="U26" t="n">
        <v>5292</v>
      </c>
      <c r="V26" t="n">
        <v>5353.6</v>
      </c>
      <c r="W26" t="n">
        <v>5544.1</v>
      </c>
      <c r="X26" t="n">
        <v>5535</v>
      </c>
      <c r="Y26" t="n">
        <v>5318.3</v>
      </c>
      <c r="Z26" t="n">
        <v>5130.7</v>
      </c>
      <c r="AA26" t="n">
        <v>4996.3</v>
      </c>
      <c r="AB26" t="n">
        <v>4913</v>
      </c>
      <c r="AC26" t="n">
        <v>4961.4</v>
      </c>
      <c r="AD26" t="n">
        <v>4967.7</v>
      </c>
      <c r="AE26" t="n">
        <v>5046.5</v>
      </c>
      <c r="AF26" t="n">
        <v>5259.3</v>
      </c>
    </row>
    <row r="27">
      <c r="A27" t="s">
        <v>105</v>
      </c>
      <c r="B27" t="s">
        <v>324</v>
      </c>
      <c r="C27" t="s">
        <v>217</v>
      </c>
      <c r="D27" t="s">
        <v>325</v>
      </c>
      <c r="E27" t="s">
        <v>218</v>
      </c>
      <c r="F27" t="n">
        <v>4373.8</v>
      </c>
      <c r="G27" t="n">
        <v>4678</v>
      </c>
      <c r="H27" t="n">
        <v>4974.5</v>
      </c>
      <c r="I27" t="n">
        <v>5298.4</v>
      </c>
      <c r="J27" t="n">
        <v>5566.5</v>
      </c>
      <c r="K27" t="n">
        <v>5803.6</v>
      </c>
      <c r="L27" t="n">
        <v>5822.2</v>
      </c>
      <c r="M27" t="n">
        <v>6247.2</v>
      </c>
      <c r="N27" t="n">
        <v>6309.5</v>
      </c>
      <c r="O27" t="n">
        <v>6375.2</v>
      </c>
      <c r="P27" t="n">
        <v>6402</v>
      </c>
      <c r="Q27" t="n">
        <v>6706.9</v>
      </c>
      <c r="R27" t="n">
        <v>6845.9</v>
      </c>
      <c r="S27" t="n">
        <v>7109.5</v>
      </c>
      <c r="T27" t="n">
        <v>6912.5</v>
      </c>
      <c r="U27" t="n">
        <v>6680.7</v>
      </c>
      <c r="V27" t="n">
        <v>6540.9</v>
      </c>
      <c r="W27" t="n">
        <v>6501.7</v>
      </c>
      <c r="X27" t="n">
        <v>6423.6</v>
      </c>
      <c r="Y27" t="n">
        <v>6251</v>
      </c>
      <c r="Z27" t="n">
        <v>6027.5</v>
      </c>
      <c r="AA27" t="n">
        <v>5901.8</v>
      </c>
      <c r="AB27" t="n">
        <v>5828.8</v>
      </c>
      <c r="AC27" t="n">
        <v>5918.2</v>
      </c>
      <c r="AD27" t="n">
        <v>5969.6</v>
      </c>
      <c r="AE27" t="n">
        <v>5982.4</v>
      </c>
      <c r="AF27" t="n">
        <v>6151.7</v>
      </c>
    </row>
    <row r="28">
      <c r="A28" t="s">
        <v>105</v>
      </c>
      <c r="B28" t="s">
        <v>326</v>
      </c>
      <c r="C28" t="s">
        <v>217</v>
      </c>
      <c r="D28" t="s">
        <v>327</v>
      </c>
      <c r="E28" t="s">
        <v>218</v>
      </c>
      <c r="F28" t="n">
        <v>2810.7</v>
      </c>
      <c r="G28" t="n">
        <v>3394.3</v>
      </c>
      <c r="H28" t="n">
        <v>4035.3</v>
      </c>
      <c r="I28" t="n">
        <v>4761.5</v>
      </c>
      <c r="J28" t="n">
        <v>5493.9</v>
      </c>
      <c r="K28" t="n">
        <v>6179.5</v>
      </c>
      <c r="L28" t="n">
        <v>7445.7</v>
      </c>
      <c r="M28" t="n">
        <v>8793.4</v>
      </c>
      <c r="N28" t="n">
        <v>10590.2</v>
      </c>
      <c r="O28" t="n">
        <v>12462</v>
      </c>
      <c r="P28" t="n">
        <v>13225.5</v>
      </c>
      <c r="Q28" t="n">
        <v>14796.5</v>
      </c>
      <c r="R28" t="n">
        <v>15409.5</v>
      </c>
      <c r="S28" t="n">
        <v>16419</v>
      </c>
      <c r="T28" t="n">
        <v>16396.2</v>
      </c>
      <c r="U28" t="n">
        <v>16252.7</v>
      </c>
      <c r="V28" t="n">
        <v>15568.7</v>
      </c>
      <c r="W28" t="n">
        <v>15323.6</v>
      </c>
      <c r="X28" t="n">
        <v>14864.1</v>
      </c>
      <c r="Y28" t="n">
        <v>14132.2</v>
      </c>
      <c r="Z28" t="n">
        <v>13780.5</v>
      </c>
      <c r="AA28" t="n">
        <v>13715.1</v>
      </c>
      <c r="AB28" t="n">
        <v>13555.6</v>
      </c>
      <c r="AC28" t="n">
        <v>13490</v>
      </c>
      <c r="AD28" t="n">
        <v>13281.1</v>
      </c>
      <c r="AE28" t="n">
        <v>12917.7</v>
      </c>
      <c r="AF28" t="n">
        <v>12969.4</v>
      </c>
    </row>
    <row r="29">
      <c r="A29" t="s">
        <v>105</v>
      </c>
      <c r="B29" t="s">
        <v>328</v>
      </c>
      <c r="C29" t="s">
        <v>217</v>
      </c>
      <c r="D29" t="s">
        <v>329</v>
      </c>
      <c r="E29" t="s">
        <v>218</v>
      </c>
      <c r="F29" t="n">
        <v>2413.7</v>
      </c>
      <c r="G29" t="n">
        <v>2916.9</v>
      </c>
      <c r="H29" t="n">
        <v>3469.6</v>
      </c>
      <c r="I29" t="n">
        <v>4095.7</v>
      </c>
      <c r="J29" t="n">
        <v>4727.3</v>
      </c>
      <c r="K29" t="n">
        <v>5318.2</v>
      </c>
      <c r="L29" t="n">
        <v>6336.3</v>
      </c>
      <c r="M29" t="n">
        <v>7505</v>
      </c>
      <c r="N29" t="n">
        <v>9192.4</v>
      </c>
      <c r="O29" t="n">
        <v>10904.6</v>
      </c>
      <c r="P29" t="n">
        <v>11648.8</v>
      </c>
      <c r="Q29" t="n">
        <v>13098.8</v>
      </c>
      <c r="R29" t="n">
        <v>13714.7</v>
      </c>
      <c r="S29" t="n">
        <v>14693.3</v>
      </c>
      <c r="T29" t="n">
        <v>14720.4</v>
      </c>
      <c r="U29" t="n">
        <v>14488.9</v>
      </c>
      <c r="V29" t="n">
        <v>13816.5</v>
      </c>
      <c r="W29" t="n">
        <v>13626.4</v>
      </c>
      <c r="X29" t="n">
        <v>13196.6</v>
      </c>
      <c r="Y29" t="n">
        <v>12524.4</v>
      </c>
      <c r="Z29" t="n">
        <v>12193.4</v>
      </c>
      <c r="AA29" t="n">
        <v>12153</v>
      </c>
      <c r="AB29" t="n">
        <v>12006.5</v>
      </c>
      <c r="AC29" t="n">
        <v>11817.2</v>
      </c>
      <c r="AD29" t="n">
        <v>11487.3</v>
      </c>
      <c r="AE29" t="n">
        <v>11176.5</v>
      </c>
      <c r="AF29" t="n">
        <v>11236.7</v>
      </c>
    </row>
    <row r="30">
      <c r="A30" t="s">
        <v>105</v>
      </c>
      <c r="B30" t="s">
        <v>330</v>
      </c>
      <c r="C30" t="s">
        <v>217</v>
      </c>
      <c r="D30" t="s">
        <v>331</v>
      </c>
      <c r="E30" t="s">
        <v>218</v>
      </c>
      <c r="F30" t="n">
        <v>9.5</v>
      </c>
      <c r="G30" t="n">
        <v>10</v>
      </c>
      <c r="H30" t="n">
        <v>10.4</v>
      </c>
      <c r="I30" t="n">
        <v>10.8</v>
      </c>
      <c r="J30" t="n">
        <v>11.2</v>
      </c>
      <c r="K30" t="n">
        <v>11.4</v>
      </c>
      <c r="L30" t="n">
        <v>12.3</v>
      </c>
      <c r="M30" t="n">
        <v>12.4</v>
      </c>
      <c r="N30" t="n">
        <v>12.4</v>
      </c>
      <c r="O30" t="n">
        <v>12.5</v>
      </c>
      <c r="P30" t="n">
        <v>12.9</v>
      </c>
      <c r="Q30" t="n">
        <v>13.2</v>
      </c>
      <c r="R30" t="n">
        <v>13</v>
      </c>
      <c r="S30" t="n">
        <v>12.8</v>
      </c>
      <c r="T30" t="n">
        <v>12.2</v>
      </c>
      <c r="U30" t="n">
        <v>14.1</v>
      </c>
      <c r="V30" t="n">
        <v>23.3</v>
      </c>
      <c r="W30" t="n">
        <v>21.2</v>
      </c>
      <c r="X30" t="n">
        <v>24.8</v>
      </c>
      <c r="Y30" t="n">
        <v>25.3</v>
      </c>
      <c r="Z30" t="n">
        <v>25.2</v>
      </c>
      <c r="AA30" t="n">
        <v>26.7</v>
      </c>
      <c r="AB30" t="n">
        <v>28</v>
      </c>
      <c r="AC30" t="n">
        <v>26.8</v>
      </c>
      <c r="AD30" t="n">
        <v>24.2</v>
      </c>
      <c r="AE30" t="n">
        <v>21.4</v>
      </c>
      <c r="AF30" t="n">
        <v>18.9</v>
      </c>
    </row>
    <row r="31">
      <c r="A31" t="s">
        <v>105</v>
      </c>
      <c r="B31" t="s">
        <v>332</v>
      </c>
      <c r="C31" t="s">
        <v>217</v>
      </c>
      <c r="D31" t="s">
        <v>333</v>
      </c>
      <c r="E31" t="s">
        <v>218</v>
      </c>
      <c r="F31" t="n">
        <v>126.7</v>
      </c>
      <c r="G31" t="n">
        <v>130.9</v>
      </c>
      <c r="H31" t="n">
        <v>134.2</v>
      </c>
      <c r="I31" t="n">
        <v>137.5</v>
      </c>
      <c r="J31" t="n">
        <v>138.6</v>
      </c>
      <c r="K31" t="n">
        <v>139.2</v>
      </c>
      <c r="L31" t="n">
        <v>148.2</v>
      </c>
      <c r="M31" t="n">
        <v>255.4</v>
      </c>
      <c r="N31" t="n">
        <v>255.5</v>
      </c>
      <c r="O31" t="n">
        <v>253.6</v>
      </c>
      <c r="P31" t="n">
        <v>244.6</v>
      </c>
      <c r="Q31" t="n">
        <v>250.9</v>
      </c>
      <c r="R31" t="n">
        <v>246.7</v>
      </c>
      <c r="S31" t="n">
        <v>244.1</v>
      </c>
      <c r="T31" t="n">
        <v>232.3</v>
      </c>
      <c r="U31" t="n">
        <v>219.9</v>
      </c>
      <c r="V31" t="n">
        <v>205</v>
      </c>
      <c r="W31" t="n">
        <v>199.1</v>
      </c>
      <c r="X31" t="n">
        <v>192.1</v>
      </c>
      <c r="Y31" t="n">
        <v>184</v>
      </c>
      <c r="Z31" t="n">
        <v>172.6</v>
      </c>
      <c r="AA31" t="n">
        <v>163.7</v>
      </c>
      <c r="AB31" t="n">
        <v>157.5</v>
      </c>
      <c r="AC31" t="n">
        <v>153.4</v>
      </c>
      <c r="AD31" t="n">
        <v>147.9</v>
      </c>
      <c r="AE31" t="n">
        <v>143.4</v>
      </c>
      <c r="AF31" t="n">
        <v>142.5</v>
      </c>
    </row>
    <row r="32">
      <c r="A32" t="s">
        <v>105</v>
      </c>
      <c r="B32" t="s">
        <v>334</v>
      </c>
      <c r="C32" t="s">
        <v>217</v>
      </c>
      <c r="D32" t="s">
        <v>335</v>
      </c>
      <c r="E32" t="s">
        <v>218</v>
      </c>
      <c r="F32" t="n">
        <v>182</v>
      </c>
      <c r="G32" t="n">
        <v>205</v>
      </c>
      <c r="H32" t="n">
        <v>229.5</v>
      </c>
      <c r="I32" t="n">
        <v>257</v>
      </c>
      <c r="J32" t="n">
        <v>283.3</v>
      </c>
      <c r="K32" t="n">
        <v>307.6</v>
      </c>
      <c r="L32" t="n">
        <v>354.6</v>
      </c>
      <c r="M32" t="n">
        <v>380.2</v>
      </c>
      <c r="N32" t="n">
        <v>451.7</v>
      </c>
      <c r="O32" t="n">
        <v>586.4</v>
      </c>
      <c r="P32" t="n">
        <v>638.7</v>
      </c>
      <c r="Q32" t="n">
        <v>726.3</v>
      </c>
      <c r="R32" t="n">
        <v>736.9</v>
      </c>
      <c r="S32" t="n">
        <v>777.1</v>
      </c>
      <c r="T32" t="n">
        <v>772.1</v>
      </c>
      <c r="U32" t="n">
        <v>905.4</v>
      </c>
      <c r="V32" t="n">
        <v>938.5</v>
      </c>
      <c r="W32" t="n">
        <v>913.3</v>
      </c>
      <c r="X32" t="n">
        <v>911.7</v>
      </c>
      <c r="Y32" t="n">
        <v>890.6</v>
      </c>
      <c r="Z32" t="n">
        <v>900.9</v>
      </c>
      <c r="AA32" t="n">
        <v>904.4</v>
      </c>
      <c r="AB32" t="n">
        <v>910.6</v>
      </c>
      <c r="AC32" t="n">
        <v>1051.4</v>
      </c>
      <c r="AD32" t="n">
        <v>1193.2</v>
      </c>
      <c r="AE32" t="n">
        <v>1161.4</v>
      </c>
      <c r="AF32" t="n">
        <v>1159.4</v>
      </c>
    </row>
    <row r="33">
      <c r="A33" t="s">
        <v>105</v>
      </c>
      <c r="B33" t="s">
        <v>336</v>
      </c>
      <c r="C33" t="s">
        <v>217</v>
      </c>
      <c r="D33" t="s">
        <v>337</v>
      </c>
      <c r="E33" t="s">
        <v>218</v>
      </c>
      <c r="F33" t="n">
        <v>78.8</v>
      </c>
      <c r="G33" t="n">
        <v>131.5</v>
      </c>
      <c r="H33" t="n">
        <v>191.6</v>
      </c>
      <c r="I33" t="n">
        <v>260.5</v>
      </c>
      <c r="J33" t="n">
        <v>333.5</v>
      </c>
      <c r="K33" t="n">
        <v>403.1</v>
      </c>
      <c r="L33" t="n">
        <v>594.3</v>
      </c>
      <c r="M33" t="n">
        <v>640.4</v>
      </c>
      <c r="N33" t="n">
        <v>678.2</v>
      </c>
      <c r="O33" t="n">
        <v>704.9</v>
      </c>
      <c r="P33" t="n">
        <v>680.5</v>
      </c>
      <c r="Q33" t="n">
        <v>707.3</v>
      </c>
      <c r="R33" t="n">
        <v>698.2</v>
      </c>
      <c r="S33" t="n">
        <v>691.7</v>
      </c>
      <c r="T33" t="n">
        <v>659.2</v>
      </c>
      <c r="U33" t="n">
        <v>624.4</v>
      </c>
      <c r="V33" t="n">
        <v>585.4</v>
      </c>
      <c r="W33" t="n">
        <v>563.6</v>
      </c>
      <c r="X33" t="n">
        <v>538.9</v>
      </c>
      <c r="Y33" t="n">
        <v>507.9</v>
      </c>
      <c r="Z33" t="n">
        <v>488.4</v>
      </c>
      <c r="AA33" t="n">
        <v>467.3</v>
      </c>
      <c r="AB33" t="n">
        <v>453</v>
      </c>
      <c r="AC33" t="n">
        <v>441.2</v>
      </c>
      <c r="AD33" t="n">
        <v>428.5</v>
      </c>
      <c r="AE33" t="n">
        <v>415</v>
      </c>
      <c r="AF33" t="n">
        <v>411.9</v>
      </c>
    </row>
    <row r="34">
      <c r="A34" t="s">
        <v>105</v>
      </c>
      <c r="B34" t="s">
        <v>338</v>
      </c>
      <c r="C34" t="s">
        <v>217</v>
      </c>
      <c r="D34" t="s">
        <v>339</v>
      </c>
      <c r="E34" t="s">
        <v>218</v>
      </c>
      <c r="F34" t="n">
        <v>7228.8</v>
      </c>
      <c r="G34" t="n">
        <v>7631.1</v>
      </c>
      <c r="H34" t="n">
        <v>8004.2</v>
      </c>
      <c r="I34" t="n">
        <v>8405.1</v>
      </c>
      <c r="J34" t="n">
        <v>8702.5</v>
      </c>
      <c r="K34" t="n">
        <v>8955.2</v>
      </c>
      <c r="L34" t="n">
        <v>9162.3</v>
      </c>
      <c r="M34" t="n">
        <v>9321.8</v>
      </c>
      <c r="N34" t="n">
        <v>9597.8</v>
      </c>
      <c r="O34" t="n">
        <v>9914.9</v>
      </c>
      <c r="P34" t="n">
        <v>9696.1</v>
      </c>
      <c r="Q34" t="n">
        <v>10144.6</v>
      </c>
      <c r="R34" t="n">
        <v>10352.1</v>
      </c>
      <c r="S34" t="n">
        <v>10757.8</v>
      </c>
      <c r="T34" t="n">
        <v>10556.2</v>
      </c>
      <c r="U34" t="n">
        <v>10411</v>
      </c>
      <c r="V34" t="n">
        <v>9896.9</v>
      </c>
      <c r="W34" t="n">
        <v>9602.2</v>
      </c>
      <c r="X34" t="n">
        <v>9297.3</v>
      </c>
      <c r="Y34" t="n">
        <v>8942.9</v>
      </c>
      <c r="Z34" t="n">
        <v>8707.7</v>
      </c>
      <c r="AA34" t="n">
        <v>8530.3</v>
      </c>
      <c r="AB34" t="n">
        <v>8428</v>
      </c>
      <c r="AC34" t="n">
        <v>8479.6</v>
      </c>
      <c r="AD34" t="n">
        <v>8573.5</v>
      </c>
      <c r="AE34" t="n">
        <v>8623.5</v>
      </c>
      <c r="AF34" t="n">
        <v>8900.2</v>
      </c>
    </row>
    <row r="35">
      <c r="A35" t="s">
        <v>105</v>
      </c>
      <c r="B35" t="s">
        <v>340</v>
      </c>
      <c r="C35" t="s">
        <v>217</v>
      </c>
      <c r="D35" t="s">
        <v>341</v>
      </c>
      <c r="E35" t="s">
        <v>218</v>
      </c>
      <c r="F35" t="n">
        <v>7592.9</v>
      </c>
      <c r="G35" t="n">
        <v>8360.7</v>
      </c>
      <c r="H35" t="n">
        <v>9153.9</v>
      </c>
      <c r="I35" t="n">
        <v>10040</v>
      </c>
      <c r="J35" t="n">
        <v>10857.7</v>
      </c>
      <c r="K35" t="n">
        <v>11606</v>
      </c>
      <c r="L35" t="n">
        <v>13517.5</v>
      </c>
      <c r="M35" t="n">
        <v>14142.6</v>
      </c>
      <c r="N35" t="n">
        <v>14636.2</v>
      </c>
      <c r="O35" t="n">
        <v>15053.9</v>
      </c>
      <c r="P35" t="n">
        <v>15193.8</v>
      </c>
      <c r="Q35" t="n">
        <v>15641</v>
      </c>
      <c r="R35" t="n">
        <v>15401.5</v>
      </c>
      <c r="S35" t="n">
        <v>15284.9</v>
      </c>
      <c r="T35" t="n">
        <v>14570.8</v>
      </c>
      <c r="U35" t="n">
        <v>14073.7</v>
      </c>
      <c r="V35" t="n">
        <v>13430.4</v>
      </c>
      <c r="W35" t="n">
        <v>13111.3</v>
      </c>
      <c r="X35" t="n">
        <v>12605.9</v>
      </c>
      <c r="Y35" t="n">
        <v>11917</v>
      </c>
      <c r="Z35" t="n">
        <v>11388.8</v>
      </c>
      <c r="AA35" t="n">
        <v>11046.5</v>
      </c>
      <c r="AB35" t="n">
        <v>10825.1</v>
      </c>
      <c r="AC35" t="n">
        <v>10788.4</v>
      </c>
      <c r="AD35" t="n">
        <v>10610.2</v>
      </c>
      <c r="AE35" t="n">
        <v>10485.2</v>
      </c>
      <c r="AF35" t="n">
        <v>10630.5</v>
      </c>
    </row>
    <row r="36">
      <c r="A36" t="s">
        <v>105</v>
      </c>
      <c r="B36" t="s">
        <v>342</v>
      </c>
      <c r="C36" t="s">
        <v>217</v>
      </c>
      <c r="D36" t="s">
        <v>343</v>
      </c>
      <c r="E36" t="s">
        <v>218</v>
      </c>
      <c r="F36" t="n">
        <v>372.7</v>
      </c>
      <c r="G36" t="n">
        <v>453.3</v>
      </c>
      <c r="H36" t="n">
        <v>539.6</v>
      </c>
      <c r="I36" t="n">
        <v>637.9</v>
      </c>
      <c r="J36" t="n">
        <v>736.8</v>
      </c>
      <c r="K36" t="n">
        <v>830.2</v>
      </c>
      <c r="L36" t="n">
        <v>906</v>
      </c>
      <c r="M36" t="n">
        <v>1020.5</v>
      </c>
      <c r="N36" t="n">
        <v>1200.4</v>
      </c>
      <c r="O36" t="n">
        <v>1420.5</v>
      </c>
      <c r="P36" t="n">
        <v>1409.4</v>
      </c>
      <c r="Q36" t="n">
        <v>1503.1</v>
      </c>
      <c r="R36" t="n">
        <v>1530.1</v>
      </c>
      <c r="S36" t="n">
        <v>1566.1</v>
      </c>
      <c r="T36" t="n">
        <v>1530.2</v>
      </c>
      <c r="U36" t="n">
        <v>1531.8</v>
      </c>
      <c r="V36" t="n">
        <v>1515.5</v>
      </c>
      <c r="W36" t="n">
        <v>1550.6</v>
      </c>
      <c r="X36" t="n">
        <v>1500.7</v>
      </c>
      <c r="Y36" t="n">
        <v>1429.9</v>
      </c>
      <c r="Z36" t="n">
        <v>1391.1</v>
      </c>
      <c r="AA36" t="n">
        <v>1339.8</v>
      </c>
      <c r="AB36" t="n">
        <v>1305.3</v>
      </c>
      <c r="AC36" t="n">
        <v>1267.8</v>
      </c>
      <c r="AD36" t="n">
        <v>1221.7</v>
      </c>
      <c r="AE36" t="n">
        <v>1206.4</v>
      </c>
      <c r="AF36" t="n">
        <v>1222.2</v>
      </c>
    </row>
    <row r="37">
      <c r="A37" t="s">
        <v>105</v>
      </c>
      <c r="B37" t="s">
        <v>344</v>
      </c>
      <c r="C37" t="s">
        <v>217</v>
      </c>
      <c r="D37" t="s">
        <v>345</v>
      </c>
      <c r="E37" t="s">
        <v>218</v>
      </c>
      <c r="F37" t="n">
        <v>7207.3</v>
      </c>
      <c r="G37" t="n">
        <v>7891.1</v>
      </c>
      <c r="H37" t="n">
        <v>8594.2</v>
      </c>
      <c r="I37" t="n">
        <v>9377.6</v>
      </c>
      <c r="J37" t="n">
        <v>10092</v>
      </c>
      <c r="K37" t="n">
        <v>10742.7</v>
      </c>
      <c r="L37" t="n">
        <v>12573.3</v>
      </c>
      <c r="M37" t="n">
        <v>13075.8</v>
      </c>
      <c r="N37" t="n">
        <v>13379.7</v>
      </c>
      <c r="O37" t="n">
        <v>13568</v>
      </c>
      <c r="P37" t="n">
        <v>13710.8</v>
      </c>
      <c r="Q37" t="n">
        <v>14048.9</v>
      </c>
      <c r="R37" t="n">
        <v>13780.1</v>
      </c>
      <c r="S37" t="n">
        <v>13620.3</v>
      </c>
      <c r="T37" t="n">
        <v>12945.6</v>
      </c>
      <c r="U37" t="n">
        <v>12395.4</v>
      </c>
      <c r="V37" t="n">
        <v>11740.7</v>
      </c>
      <c r="W37" t="n">
        <v>11377</v>
      </c>
      <c r="X37" t="n">
        <v>10921.4</v>
      </c>
      <c r="Y37" t="n">
        <v>10309.1</v>
      </c>
      <c r="Z37" t="n">
        <v>9809.3</v>
      </c>
      <c r="AA37" t="n">
        <v>9512</v>
      </c>
      <c r="AB37" t="n">
        <v>9319.7</v>
      </c>
      <c r="AC37" t="n">
        <v>9299.8</v>
      </c>
      <c r="AD37" t="n">
        <v>9145.8</v>
      </c>
      <c r="AE37" t="n">
        <v>9012.6</v>
      </c>
      <c r="AF37" t="n">
        <v>9110.8</v>
      </c>
    </row>
    <row r="38">
      <c r="A38" t="s">
        <v>105</v>
      </c>
      <c r="B38" t="s">
        <v>346</v>
      </c>
      <c r="C38" t="s">
        <v>217</v>
      </c>
      <c r="D38" t="s">
        <v>347</v>
      </c>
      <c r="E38" t="s">
        <v>218</v>
      </c>
      <c r="F38" t="n">
        <v>12.9</v>
      </c>
      <c r="G38" t="n">
        <v>16.3</v>
      </c>
      <c r="H38" t="n">
        <v>20.1</v>
      </c>
      <c r="I38" t="n">
        <v>24.5</v>
      </c>
      <c r="J38" t="n">
        <v>28.9</v>
      </c>
      <c r="K38" t="n">
        <v>33.1</v>
      </c>
      <c r="L38" t="n">
        <v>38.2</v>
      </c>
      <c r="M38" t="n">
        <v>46.3</v>
      </c>
      <c r="N38" t="n">
        <v>56.1</v>
      </c>
      <c r="O38" t="n">
        <v>65.4</v>
      </c>
      <c r="P38" t="n">
        <v>73.6</v>
      </c>
      <c r="Q38" t="n">
        <v>89</v>
      </c>
      <c r="R38" t="n">
        <v>91.3</v>
      </c>
      <c r="S38" t="n">
        <v>98.5</v>
      </c>
      <c r="T38" t="n">
        <v>95</v>
      </c>
      <c r="U38" t="n">
        <v>146.5</v>
      </c>
      <c r="V38" t="n">
        <v>174.2</v>
      </c>
      <c r="W38" t="n">
        <v>183.7</v>
      </c>
      <c r="X38" t="n">
        <v>183.8</v>
      </c>
      <c r="Y38" t="n">
        <v>178</v>
      </c>
      <c r="Z38" t="n">
        <v>188.4</v>
      </c>
      <c r="AA38" t="n">
        <v>194.7</v>
      </c>
      <c r="AB38" t="n">
        <v>200.1</v>
      </c>
      <c r="AC38" t="n">
        <v>220.8</v>
      </c>
      <c r="AD38" t="n">
        <v>242.7</v>
      </c>
      <c r="AE38" t="n">
        <v>266.2</v>
      </c>
      <c r="AF38" t="n">
        <v>297.5</v>
      </c>
    </row>
    <row r="39">
      <c r="A39" t="s">
        <v>105</v>
      </c>
      <c r="B39" t="s">
        <v>348</v>
      </c>
      <c r="C39" t="s">
        <v>217</v>
      </c>
      <c r="D39" t="s">
        <v>349</v>
      </c>
      <c r="E39" t="s">
        <v>218</v>
      </c>
      <c r="F39" t="n">
        <v>872.6</v>
      </c>
      <c r="G39" t="n">
        <v>936.1</v>
      </c>
      <c r="H39" t="n">
        <v>998.8</v>
      </c>
      <c r="I39" t="n">
        <v>1067.6</v>
      </c>
      <c r="J39" t="n">
        <v>1125.9</v>
      </c>
      <c r="K39" t="n">
        <v>1177.4</v>
      </c>
      <c r="L39" t="n">
        <v>1225.8</v>
      </c>
      <c r="M39" t="n">
        <v>1325.1</v>
      </c>
      <c r="N39" t="n">
        <v>1341.8</v>
      </c>
      <c r="O39" t="n">
        <v>1347.3</v>
      </c>
      <c r="P39" t="n">
        <v>1367</v>
      </c>
      <c r="Q39" t="n">
        <v>1514.4</v>
      </c>
      <c r="R39" t="n">
        <v>1604.7</v>
      </c>
      <c r="S39" t="n">
        <v>1677.9</v>
      </c>
      <c r="T39" t="n">
        <v>1677.5</v>
      </c>
      <c r="U39" t="n">
        <v>2026.1</v>
      </c>
      <c r="V39" t="n">
        <v>2024.3</v>
      </c>
      <c r="W39" t="n">
        <v>1974.4</v>
      </c>
      <c r="X39" t="n">
        <v>2214.5</v>
      </c>
      <c r="Y39" t="n">
        <v>2242.6</v>
      </c>
      <c r="Z39" t="n">
        <v>2299.2</v>
      </c>
      <c r="AA39" t="n">
        <v>2358.7</v>
      </c>
      <c r="AB39" t="n">
        <v>2411.3</v>
      </c>
      <c r="AC39" t="n">
        <v>2644.9</v>
      </c>
      <c r="AD39" t="n">
        <v>2824.1</v>
      </c>
      <c r="AE39" t="n">
        <v>2942</v>
      </c>
      <c r="AF39" t="n">
        <v>3140.8</v>
      </c>
    </row>
    <row r="40">
      <c r="A40" t="s">
        <v>105</v>
      </c>
      <c r="B40" t="s">
        <v>350</v>
      </c>
      <c r="C40" t="s">
        <v>217</v>
      </c>
      <c r="D40" t="s">
        <v>351</v>
      </c>
      <c r="E40" t="s">
        <v>218</v>
      </c>
      <c r="F40" t="n">
        <v>116.1</v>
      </c>
      <c r="G40" t="n">
        <v>180.2</v>
      </c>
      <c r="H40" t="n">
        <v>242.6</v>
      </c>
      <c r="I40" t="n">
        <v>324.9</v>
      </c>
      <c r="J40" t="n">
        <v>409.2</v>
      </c>
      <c r="K40" t="n">
        <v>497.4</v>
      </c>
      <c r="L40" t="n">
        <v>579.6</v>
      </c>
      <c r="M40" t="n">
        <v>676.1</v>
      </c>
      <c r="N40" t="n">
        <v>781.6</v>
      </c>
      <c r="O40" t="n">
        <v>907.3</v>
      </c>
      <c r="P40" t="n">
        <v>873.1</v>
      </c>
      <c r="Q40" t="n">
        <v>893.1</v>
      </c>
      <c r="R40" t="n">
        <v>890.2</v>
      </c>
      <c r="S40" t="n">
        <v>1018.4</v>
      </c>
      <c r="T40" t="n">
        <v>1179.2</v>
      </c>
      <c r="U40" t="n">
        <v>1959.5</v>
      </c>
      <c r="V40" t="n">
        <v>2521.2</v>
      </c>
      <c r="W40" t="n">
        <v>3300.8</v>
      </c>
      <c r="X40" t="n">
        <v>3407</v>
      </c>
      <c r="Y40" t="n">
        <v>3511.7</v>
      </c>
      <c r="Z40" t="n">
        <v>3420.3</v>
      </c>
      <c r="AA40" t="n">
        <v>3496.6</v>
      </c>
      <c r="AB40" t="n">
        <v>3565.6</v>
      </c>
      <c r="AC40" t="n">
        <v>3570.5</v>
      </c>
      <c r="AD40" t="n">
        <v>3631.6</v>
      </c>
      <c r="AE40" t="n">
        <v>3660.8</v>
      </c>
      <c r="AF40" t="n">
        <v>3787.3</v>
      </c>
    </row>
    <row r="41">
      <c r="A41" t="s">
        <v>105</v>
      </c>
      <c r="B41" t="s">
        <v>352</v>
      </c>
      <c r="C41" t="s">
        <v>217</v>
      </c>
      <c r="D41" t="s">
        <v>353</v>
      </c>
      <c r="E41" t="s">
        <v>218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105</v>
      </c>
      <c r="B42" t="s">
        <v>354</v>
      </c>
      <c r="C42" t="s">
        <v>217</v>
      </c>
      <c r="D42" t="s">
        <v>355</v>
      </c>
      <c r="E42" t="s">
        <v>218</v>
      </c>
      <c r="F42" t="n">
        <v>244.9</v>
      </c>
      <c r="G42" t="n">
        <v>283.4</v>
      </c>
      <c r="H42" t="n">
        <v>326.5</v>
      </c>
      <c r="I42" t="n">
        <v>372.3</v>
      </c>
      <c r="J42" t="n">
        <v>423</v>
      </c>
      <c r="K42" t="n">
        <v>466.9</v>
      </c>
      <c r="L42" t="n">
        <v>519.7</v>
      </c>
      <c r="M42" t="n">
        <v>576.8</v>
      </c>
      <c r="N42" t="n">
        <v>656.9</v>
      </c>
      <c r="O42" t="n">
        <v>735.2</v>
      </c>
      <c r="P42" t="n">
        <v>797.2</v>
      </c>
      <c r="Q42" t="n">
        <v>913.2</v>
      </c>
      <c r="R42" t="n">
        <v>1016.2</v>
      </c>
      <c r="S42" t="n">
        <v>1205.3</v>
      </c>
      <c r="T42" t="n">
        <v>1205.2</v>
      </c>
      <c r="U42" t="n">
        <v>1250</v>
      </c>
      <c r="V42" t="n">
        <v>1352.6</v>
      </c>
      <c r="W42" t="n">
        <v>1399.4</v>
      </c>
      <c r="X42" t="n">
        <v>1370.5</v>
      </c>
      <c r="Y42" t="n">
        <v>1296.8</v>
      </c>
      <c r="Z42" t="n">
        <v>1248.3</v>
      </c>
      <c r="AA42" t="n">
        <v>1209.1</v>
      </c>
      <c r="AB42" t="n">
        <v>1185.5</v>
      </c>
      <c r="AC42" t="n">
        <v>1161.5</v>
      </c>
      <c r="AD42" t="n">
        <v>1160.5</v>
      </c>
      <c r="AE42" t="n">
        <v>1157</v>
      </c>
      <c r="AF42" t="n">
        <v>1184.2</v>
      </c>
    </row>
    <row r="43">
      <c r="A43" t="s">
        <v>105</v>
      </c>
      <c r="B43" t="s">
        <v>356</v>
      </c>
      <c r="C43" t="s">
        <v>217</v>
      </c>
      <c r="D43" t="s">
        <v>357</v>
      </c>
      <c r="E43" t="s">
        <v>218</v>
      </c>
      <c r="F43" t="n">
        <v>380.8</v>
      </c>
      <c r="G43" t="n">
        <v>455.9</v>
      </c>
      <c r="H43" t="n">
        <v>539.4</v>
      </c>
      <c r="I43" t="n">
        <v>631.3</v>
      </c>
      <c r="J43" t="n">
        <v>729.2</v>
      </c>
      <c r="K43" t="n">
        <v>817.6</v>
      </c>
      <c r="L43" t="n">
        <v>936.7</v>
      </c>
      <c r="M43" t="n">
        <v>1046.8</v>
      </c>
      <c r="N43" t="n">
        <v>1235.9</v>
      </c>
      <c r="O43" t="n">
        <v>1474.3</v>
      </c>
      <c r="P43" t="n">
        <v>1516.2</v>
      </c>
      <c r="Q43" t="n">
        <v>1667.2</v>
      </c>
      <c r="R43" t="n">
        <v>1776.3</v>
      </c>
      <c r="S43" t="n">
        <v>1967.4</v>
      </c>
      <c r="T43" t="n">
        <v>1934.4</v>
      </c>
      <c r="U43" t="n">
        <v>2408.6</v>
      </c>
      <c r="V43" t="n">
        <v>2487.3</v>
      </c>
      <c r="W43" t="n">
        <v>2513.2</v>
      </c>
      <c r="X43" t="n">
        <v>2446.2</v>
      </c>
      <c r="Y43" t="n">
        <v>2310.9</v>
      </c>
      <c r="Z43" t="n">
        <v>2199.9</v>
      </c>
      <c r="AA43" t="n">
        <v>2115</v>
      </c>
      <c r="AB43" t="n">
        <v>2059.7</v>
      </c>
      <c r="AC43" t="n">
        <v>2025.3</v>
      </c>
      <c r="AD43" t="n">
        <v>2019.6</v>
      </c>
      <c r="AE43" t="n">
        <v>1997.8</v>
      </c>
      <c r="AF43" t="n">
        <v>2028</v>
      </c>
    </row>
    <row r="44">
      <c r="A44" t="s">
        <v>105</v>
      </c>
      <c r="B44" t="s">
        <v>358</v>
      </c>
      <c r="C44" t="s">
        <v>217</v>
      </c>
      <c r="D44" t="s">
        <v>359</v>
      </c>
      <c r="E44" t="s">
        <v>218</v>
      </c>
      <c r="F44" t="n">
        <v>53571.9</v>
      </c>
      <c r="G44" t="n">
        <v>58071.7</v>
      </c>
      <c r="H44" t="n">
        <v>62608.9</v>
      </c>
      <c r="I44" t="n">
        <v>67627.6</v>
      </c>
      <c r="J44" t="n">
        <v>72118.3</v>
      </c>
      <c r="K44" t="n">
        <v>76135.4</v>
      </c>
      <c r="L44" t="n">
        <v>81329</v>
      </c>
      <c r="M44" t="n">
        <v>86096.6</v>
      </c>
      <c r="N44" t="n">
        <v>90430.7</v>
      </c>
      <c r="O44" t="n">
        <v>94828.9</v>
      </c>
      <c r="P44" t="n">
        <v>95858.5</v>
      </c>
      <c r="Q44" t="n">
        <v>102535.5</v>
      </c>
      <c r="R44" t="n">
        <v>104587.8</v>
      </c>
      <c r="S44" t="n">
        <v>108814.9</v>
      </c>
      <c r="T44" t="n">
        <v>109305.3</v>
      </c>
      <c r="U44" t="n">
        <v>107846.5</v>
      </c>
      <c r="V44" t="n">
        <v>103508.3</v>
      </c>
      <c r="W44" t="n">
        <v>102485.6</v>
      </c>
      <c r="X44" t="n">
        <v>100760.3</v>
      </c>
      <c r="Y44" t="n">
        <v>96884</v>
      </c>
      <c r="Z44" t="n">
        <v>93735.9</v>
      </c>
      <c r="AA44" t="n">
        <v>92403</v>
      </c>
      <c r="AB44" t="n">
        <v>91492.3</v>
      </c>
      <c r="AC44" t="n">
        <v>91258.5</v>
      </c>
      <c r="AD44" t="n">
        <v>90170</v>
      </c>
      <c r="AE44" t="n">
        <v>89077.6</v>
      </c>
      <c r="AF44" t="n">
        <v>90366.7</v>
      </c>
    </row>
    <row r="45">
      <c r="A45" t="s">
        <v>105</v>
      </c>
      <c r="B45" t="s">
        <v>360</v>
      </c>
      <c r="C45" t="s">
        <v>217</v>
      </c>
      <c r="D45" t="s">
        <v>361</v>
      </c>
      <c r="E45" t="s">
        <v>218</v>
      </c>
      <c r="F45" t="n">
        <v>46534.1</v>
      </c>
      <c r="G45" t="n">
        <v>50672.3</v>
      </c>
      <c r="H45" t="n">
        <v>54879.6</v>
      </c>
      <c r="I45" t="n">
        <v>59545</v>
      </c>
      <c r="J45" t="n">
        <v>63784.8</v>
      </c>
      <c r="K45" t="n">
        <v>67592.8</v>
      </c>
      <c r="L45" t="n">
        <v>72599</v>
      </c>
      <c r="M45" t="n">
        <v>77136.2</v>
      </c>
      <c r="N45" t="n">
        <v>81360.5</v>
      </c>
      <c r="O45" t="n">
        <v>85609</v>
      </c>
      <c r="P45" t="n">
        <v>86700.6</v>
      </c>
      <c r="Q45" t="n">
        <v>92789.6</v>
      </c>
      <c r="R45" t="n">
        <v>94680</v>
      </c>
      <c r="S45" t="n">
        <v>98567.9</v>
      </c>
      <c r="T45" t="n">
        <v>99217.2</v>
      </c>
      <c r="U45" t="n">
        <v>97736.5</v>
      </c>
      <c r="V45" t="n">
        <v>93949.9</v>
      </c>
      <c r="W45" t="n">
        <v>93210.8</v>
      </c>
      <c r="X45" t="n">
        <v>91802.3</v>
      </c>
      <c r="Y45" t="n">
        <v>88388.3</v>
      </c>
      <c r="Z45" t="n">
        <v>85616.8</v>
      </c>
      <c r="AA45" t="n">
        <v>84524.3</v>
      </c>
      <c r="AB45" t="n">
        <v>83771.3</v>
      </c>
      <c r="AC45" t="n">
        <v>83652</v>
      </c>
      <c r="AD45" t="n">
        <v>82741.8</v>
      </c>
      <c r="AE45" t="n">
        <v>81805.7</v>
      </c>
      <c r="AF45" t="n">
        <v>83064</v>
      </c>
    </row>
    <row r="46">
      <c r="A46" t="s">
        <v>105</v>
      </c>
      <c r="B46" t="s">
        <v>362</v>
      </c>
      <c r="C46" t="s">
        <v>217</v>
      </c>
      <c r="D46" t="s">
        <v>363</v>
      </c>
      <c r="E46" t="s">
        <v>218</v>
      </c>
      <c r="F46" t="n">
        <v>135.9</v>
      </c>
      <c r="G46" t="n">
        <v>172.5</v>
      </c>
      <c r="H46" t="n">
        <v>212.9</v>
      </c>
      <c r="I46" t="n">
        <v>259</v>
      </c>
      <c r="J46" t="n">
        <v>306.2</v>
      </c>
      <c r="K46" t="n">
        <v>350.7</v>
      </c>
      <c r="L46" t="n">
        <v>417</v>
      </c>
      <c r="M46" t="n">
        <v>470</v>
      </c>
      <c r="N46" t="n">
        <v>579</v>
      </c>
      <c r="O46" t="n">
        <v>739.1</v>
      </c>
      <c r="P46" t="n">
        <v>719</v>
      </c>
      <c r="Q46" t="n">
        <v>754</v>
      </c>
      <c r="R46" t="n">
        <v>760.1</v>
      </c>
      <c r="S46" t="n">
        <v>762.1</v>
      </c>
      <c r="T46" t="n">
        <v>729.2</v>
      </c>
      <c r="U46" t="n">
        <v>1158.6</v>
      </c>
      <c r="V46" t="n">
        <v>1134.7</v>
      </c>
      <c r="W46" t="n">
        <v>1113.8</v>
      </c>
      <c r="X46" t="n">
        <v>1075.7</v>
      </c>
      <c r="Y46" t="n">
        <v>1014.1</v>
      </c>
      <c r="Z46" t="n">
        <v>951.6</v>
      </c>
      <c r="AA46" t="n">
        <v>905.9</v>
      </c>
      <c r="AB46" t="n">
        <v>874.2</v>
      </c>
      <c r="AC46" t="n">
        <v>863.8</v>
      </c>
      <c r="AD46" t="n">
        <v>859.1</v>
      </c>
      <c r="AE46" t="n">
        <v>840.8</v>
      </c>
      <c r="AF46" t="n">
        <v>843.8</v>
      </c>
    </row>
    <row r="47">
      <c r="A47" t="s">
        <v>105</v>
      </c>
      <c r="B47" t="s">
        <v>364</v>
      </c>
      <c r="C47" t="s">
        <v>217</v>
      </c>
      <c r="D47" t="s">
        <v>365</v>
      </c>
      <c r="E47" t="s">
        <v>218</v>
      </c>
      <c r="F47" t="n">
        <v>29278.8</v>
      </c>
      <c r="G47" t="n">
        <v>31939.3</v>
      </c>
      <c r="H47" t="n">
        <v>34718.1</v>
      </c>
      <c r="I47" t="n">
        <v>37771</v>
      </c>
      <c r="J47" t="n">
        <v>40275</v>
      </c>
      <c r="K47" t="n">
        <v>43235.5</v>
      </c>
      <c r="L47" t="n">
        <v>46670.1</v>
      </c>
      <c r="M47" t="n">
        <v>50945.6</v>
      </c>
      <c r="N47" t="n">
        <v>54586.3</v>
      </c>
      <c r="O47" t="n">
        <v>58178</v>
      </c>
      <c r="P47" t="n">
        <v>58356</v>
      </c>
      <c r="Q47" t="n">
        <v>63444</v>
      </c>
      <c r="R47" t="n">
        <v>65881.9</v>
      </c>
      <c r="S47" t="n">
        <v>69535.9</v>
      </c>
      <c r="T47" t="n">
        <v>70677.6</v>
      </c>
      <c r="U47" t="n">
        <v>70018.1</v>
      </c>
      <c r="V47" t="n">
        <v>67318.3</v>
      </c>
      <c r="W47" t="n">
        <v>66766.9</v>
      </c>
      <c r="X47" t="n">
        <v>66994.9</v>
      </c>
      <c r="Y47" t="n">
        <v>65382.1</v>
      </c>
      <c r="Z47" t="n">
        <v>64285.2</v>
      </c>
      <c r="AA47" t="n">
        <v>64374.3</v>
      </c>
      <c r="AB47" t="n">
        <v>66083.7</v>
      </c>
      <c r="AC47" t="n">
        <v>66939.6</v>
      </c>
      <c r="AD47" t="n">
        <v>66071.8</v>
      </c>
      <c r="AE47" t="n">
        <v>65712.8</v>
      </c>
      <c r="AF47" t="n">
        <v>67395.7</v>
      </c>
    </row>
    <row r="48">
      <c r="A48" t="s">
        <v>105</v>
      </c>
      <c r="B48" t="s">
        <v>366</v>
      </c>
      <c r="C48" t="s">
        <v>217</v>
      </c>
      <c r="D48" t="s">
        <v>367</v>
      </c>
      <c r="E48" t="s">
        <v>218</v>
      </c>
      <c r="F48" t="n">
        <v>33345.7</v>
      </c>
      <c r="G48" t="n">
        <v>36575.5</v>
      </c>
      <c r="H48" t="n">
        <v>39952.4</v>
      </c>
      <c r="I48" t="n">
        <v>43676.7</v>
      </c>
      <c r="J48" t="n">
        <v>46845.8</v>
      </c>
      <c r="K48" t="n">
        <v>50395</v>
      </c>
      <c r="L48" t="n">
        <v>54327.6</v>
      </c>
      <c r="M48" t="n">
        <v>59011.9</v>
      </c>
      <c r="N48" t="n">
        <v>63409.9</v>
      </c>
      <c r="O48" t="n">
        <v>67382.1</v>
      </c>
      <c r="P48" t="n">
        <v>67645</v>
      </c>
      <c r="Q48" t="n">
        <v>73467.8</v>
      </c>
      <c r="R48" t="n">
        <v>76112.6</v>
      </c>
      <c r="S48" t="n">
        <v>80134.7</v>
      </c>
      <c r="T48" t="n">
        <v>81142</v>
      </c>
      <c r="U48" t="n">
        <v>80191.8</v>
      </c>
      <c r="V48" t="n">
        <v>76956.2</v>
      </c>
      <c r="W48" t="n">
        <v>76180.9</v>
      </c>
      <c r="X48" t="n">
        <v>76239.1</v>
      </c>
      <c r="Y48" t="n">
        <v>74169.3</v>
      </c>
      <c r="Z48" t="n">
        <v>72675.5</v>
      </c>
      <c r="AA48" t="n">
        <v>72463.1</v>
      </c>
      <c r="AB48" t="n">
        <v>73935.7</v>
      </c>
      <c r="AC48" t="n">
        <v>74619.8</v>
      </c>
      <c r="AD48" t="n">
        <v>73523.2</v>
      </c>
      <c r="AE48" t="n">
        <v>72987.7</v>
      </c>
      <c r="AF48" t="n">
        <v>74672.5</v>
      </c>
    </row>
    <row r="49">
      <c r="A49" t="s">
        <v>105</v>
      </c>
      <c r="B49" t="s">
        <v>368</v>
      </c>
      <c r="C49" t="s">
        <v>217</v>
      </c>
      <c r="D49" t="s">
        <v>369</v>
      </c>
      <c r="E49" t="s">
        <v>218</v>
      </c>
      <c r="F49" t="n">
        <v>3338.9</v>
      </c>
      <c r="G49" t="n">
        <v>3811.1</v>
      </c>
      <c r="H49" t="n">
        <v>4304.6</v>
      </c>
      <c r="I49" t="n">
        <v>4858</v>
      </c>
      <c r="J49" t="n">
        <v>5422.5</v>
      </c>
      <c r="K49" t="n">
        <v>5922.2</v>
      </c>
      <c r="L49" t="n">
        <v>6337.7</v>
      </c>
      <c r="M49" t="n">
        <v>6664.5</v>
      </c>
      <c r="N49" t="n">
        <v>7161.6</v>
      </c>
      <c r="O49" t="n">
        <v>7412.6</v>
      </c>
      <c r="P49" t="n">
        <v>7436.6</v>
      </c>
      <c r="Q49" t="n">
        <v>8009.3</v>
      </c>
      <c r="R49" t="n">
        <v>8162.3</v>
      </c>
      <c r="S49" t="n">
        <v>8428.7</v>
      </c>
      <c r="T49" t="n">
        <v>8262.1</v>
      </c>
      <c r="U49" t="n">
        <v>8010.6</v>
      </c>
      <c r="V49" t="n">
        <v>7587.6</v>
      </c>
      <c r="W49" t="n">
        <v>7421.7</v>
      </c>
      <c r="X49" t="n">
        <v>7312.4</v>
      </c>
      <c r="Y49" t="n">
        <v>6961.4</v>
      </c>
      <c r="Z49" t="n">
        <v>6658.9</v>
      </c>
      <c r="AA49" t="n">
        <v>6430.4</v>
      </c>
      <c r="AB49" t="n">
        <v>6242.2</v>
      </c>
      <c r="AC49" t="n">
        <v>6108.7</v>
      </c>
      <c r="AD49" t="n">
        <v>5929</v>
      </c>
      <c r="AE49" t="n">
        <v>5792.8</v>
      </c>
      <c r="AF49" t="n">
        <v>5799.7</v>
      </c>
    </row>
    <row r="50">
      <c r="A50" t="s">
        <v>105</v>
      </c>
      <c r="B50" t="s">
        <v>370</v>
      </c>
      <c r="C50" t="s">
        <v>217</v>
      </c>
      <c r="D50" t="s">
        <v>371</v>
      </c>
      <c r="E50" t="s">
        <v>218</v>
      </c>
      <c r="F50" t="n">
        <v>728</v>
      </c>
      <c r="G50" t="n">
        <v>825.2</v>
      </c>
      <c r="H50" t="n">
        <v>929.7</v>
      </c>
      <c r="I50" t="n">
        <v>1047.7</v>
      </c>
      <c r="J50" t="n">
        <v>1148.4</v>
      </c>
      <c r="K50" t="n">
        <v>1237.4</v>
      </c>
      <c r="L50" t="n">
        <v>1319.7</v>
      </c>
      <c r="M50" t="n">
        <v>1401.7</v>
      </c>
      <c r="N50" t="n">
        <v>1662.1</v>
      </c>
      <c r="O50" t="n">
        <v>1791.5</v>
      </c>
      <c r="P50" t="n">
        <v>1852.3</v>
      </c>
      <c r="Q50" t="n">
        <v>2014.5</v>
      </c>
      <c r="R50" t="n">
        <v>2068.4</v>
      </c>
      <c r="S50" t="n">
        <v>2170.1</v>
      </c>
      <c r="T50" t="n">
        <v>2202.3</v>
      </c>
      <c r="U50" t="n">
        <v>2163</v>
      </c>
      <c r="V50" t="n">
        <v>2050.4</v>
      </c>
      <c r="W50" t="n">
        <v>1992.4</v>
      </c>
      <c r="X50" t="n">
        <v>1931.8</v>
      </c>
      <c r="Y50" t="n">
        <v>1825.8</v>
      </c>
      <c r="Z50" t="n">
        <v>1731.5</v>
      </c>
      <c r="AA50" t="n">
        <v>1658.5</v>
      </c>
      <c r="AB50" t="n">
        <v>1609.9</v>
      </c>
      <c r="AC50" t="n">
        <v>1571.4</v>
      </c>
      <c r="AD50" t="n">
        <v>1522.3</v>
      </c>
      <c r="AE50" t="n">
        <v>1482.1</v>
      </c>
      <c r="AF50" t="n">
        <v>1477.2</v>
      </c>
    </row>
    <row r="51">
      <c r="A51" t="s">
        <v>105</v>
      </c>
      <c r="B51" t="s">
        <v>372</v>
      </c>
      <c r="C51" t="s">
        <v>217</v>
      </c>
      <c r="D51" t="s">
        <v>373</v>
      </c>
      <c r="E51" t="s">
        <v>218</v>
      </c>
      <c r="F51" t="n">
        <v>668.6</v>
      </c>
      <c r="G51" t="n">
        <v>748.3</v>
      </c>
      <c r="H51" t="n">
        <v>832.2</v>
      </c>
      <c r="I51" t="n">
        <v>926.2</v>
      </c>
      <c r="J51" t="n">
        <v>1015.4</v>
      </c>
      <c r="K51" t="n">
        <v>1097.4</v>
      </c>
      <c r="L51" t="n">
        <v>1173</v>
      </c>
      <c r="M51" t="n">
        <v>1246.5</v>
      </c>
      <c r="N51" t="n">
        <v>1486.3</v>
      </c>
      <c r="O51" t="n">
        <v>1602.1</v>
      </c>
      <c r="P51" t="n">
        <v>1590</v>
      </c>
      <c r="Q51" t="n">
        <v>1656.8</v>
      </c>
      <c r="R51" t="n">
        <v>1661.1</v>
      </c>
      <c r="S51" t="n">
        <v>1691.3</v>
      </c>
      <c r="T51" t="n">
        <v>1709.4</v>
      </c>
      <c r="U51" t="n">
        <v>1637.8</v>
      </c>
      <c r="V51" t="n">
        <v>1544.5</v>
      </c>
      <c r="W51" t="n">
        <v>1494</v>
      </c>
      <c r="X51" t="n">
        <v>1436</v>
      </c>
      <c r="Y51" t="n">
        <v>1353.2</v>
      </c>
      <c r="Z51" t="n">
        <v>1283.4</v>
      </c>
      <c r="AA51" t="n">
        <v>1228.1</v>
      </c>
      <c r="AB51" t="n">
        <v>1192.4</v>
      </c>
      <c r="AC51" t="n">
        <v>1163.4</v>
      </c>
      <c r="AD51" t="n">
        <v>1129.8</v>
      </c>
      <c r="AE51" t="n">
        <v>1100.8</v>
      </c>
      <c r="AF51" t="n">
        <v>1097.8</v>
      </c>
    </row>
    <row r="52">
      <c r="A52" t="s">
        <v>105</v>
      </c>
      <c r="B52" t="s">
        <v>374</v>
      </c>
      <c r="C52" t="s">
        <v>217</v>
      </c>
      <c r="D52" t="s">
        <v>375</v>
      </c>
      <c r="E52" t="s">
        <v>218</v>
      </c>
      <c r="F52" t="n">
        <v>59.4</v>
      </c>
      <c r="G52" t="n">
        <v>76.9</v>
      </c>
      <c r="H52" t="n">
        <v>97.5</v>
      </c>
      <c r="I52" t="n">
        <v>121.5</v>
      </c>
      <c r="J52" t="n">
        <v>133</v>
      </c>
      <c r="K52" t="n">
        <v>140</v>
      </c>
      <c r="L52" t="n">
        <v>146.7</v>
      </c>
      <c r="M52" t="n">
        <v>155.2</v>
      </c>
      <c r="N52" t="n">
        <v>175.8</v>
      </c>
      <c r="O52" t="n">
        <v>189.4</v>
      </c>
      <c r="P52" t="n">
        <v>262.3</v>
      </c>
      <c r="Q52" t="n">
        <v>357.7</v>
      </c>
      <c r="R52" t="n">
        <v>407.3</v>
      </c>
      <c r="S52" t="n">
        <v>478.8</v>
      </c>
      <c r="T52" t="n">
        <v>492.9</v>
      </c>
      <c r="U52" t="n">
        <v>525.2</v>
      </c>
      <c r="V52" t="n">
        <v>505.9</v>
      </c>
      <c r="W52" t="n">
        <v>498.4</v>
      </c>
      <c r="X52" t="n">
        <v>495.8</v>
      </c>
      <c r="Y52" t="n">
        <v>472.6</v>
      </c>
      <c r="Z52" t="n">
        <v>448.1</v>
      </c>
      <c r="AA52" t="n">
        <v>430.4</v>
      </c>
      <c r="AB52" t="n">
        <v>417.5</v>
      </c>
      <c r="AC52" t="n">
        <v>408</v>
      </c>
      <c r="AD52" t="n">
        <v>392.5</v>
      </c>
      <c r="AE52" t="n">
        <v>381.3</v>
      </c>
      <c r="AF52" t="n">
        <v>379.4</v>
      </c>
    </row>
    <row r="53">
      <c r="A53" t="s">
        <v>105</v>
      </c>
      <c r="B53" t="s">
        <v>376</v>
      </c>
      <c r="C53" t="s">
        <v>217</v>
      </c>
      <c r="D53" t="s">
        <v>377</v>
      </c>
      <c r="E53" t="s">
        <v>218</v>
      </c>
      <c r="F53" t="n">
        <v>911.6</v>
      </c>
      <c r="G53" t="n">
        <v>1038.9</v>
      </c>
      <c r="H53" t="n">
        <v>1163.6</v>
      </c>
      <c r="I53" t="n">
        <v>1295.1</v>
      </c>
      <c r="J53" t="n">
        <v>1466.5</v>
      </c>
      <c r="K53" t="n">
        <v>1605.7</v>
      </c>
      <c r="L53" t="n">
        <v>1759.2</v>
      </c>
      <c r="M53" t="n">
        <v>2046.3</v>
      </c>
      <c r="N53" t="n">
        <v>2352.1</v>
      </c>
      <c r="O53" t="n">
        <v>2657.5</v>
      </c>
      <c r="P53" t="n">
        <v>2736</v>
      </c>
      <c r="Q53" t="n">
        <v>2959.4</v>
      </c>
      <c r="R53" t="n">
        <v>3034.8</v>
      </c>
      <c r="S53" t="n">
        <v>3180.7</v>
      </c>
      <c r="T53" t="n">
        <v>3161</v>
      </c>
      <c r="U53" t="n">
        <v>3182.2</v>
      </c>
      <c r="V53" t="n">
        <v>3047.2</v>
      </c>
      <c r="W53" t="n">
        <v>2994.6</v>
      </c>
      <c r="X53" t="n">
        <v>2991.4</v>
      </c>
      <c r="Y53" t="n">
        <v>2896.1</v>
      </c>
      <c r="Z53" t="n">
        <v>2831.8</v>
      </c>
      <c r="AA53" t="n">
        <v>2791.9</v>
      </c>
      <c r="AB53" t="n">
        <v>2738.1</v>
      </c>
      <c r="AC53" t="n">
        <v>2714.3</v>
      </c>
      <c r="AD53" t="n">
        <v>2651.8</v>
      </c>
      <c r="AE53" t="n">
        <v>2603.6</v>
      </c>
      <c r="AF53" t="n">
        <v>2619.1</v>
      </c>
    </row>
    <row r="54">
      <c r="A54" t="s">
        <v>105</v>
      </c>
      <c r="B54" t="s">
        <v>378</v>
      </c>
      <c r="C54" t="s">
        <v>217</v>
      </c>
      <c r="D54" t="s">
        <v>379</v>
      </c>
      <c r="E54" t="s">
        <v>218</v>
      </c>
      <c r="F54" t="n">
        <v>1887.9</v>
      </c>
      <c r="G54" t="n">
        <v>2154.2</v>
      </c>
      <c r="H54" t="n">
        <v>2427.5</v>
      </c>
      <c r="I54" t="n">
        <v>2726.3</v>
      </c>
      <c r="J54" t="n">
        <v>3060.2</v>
      </c>
      <c r="K54" t="n">
        <v>3349.9</v>
      </c>
      <c r="L54" t="n">
        <v>3525.8</v>
      </c>
      <c r="M54" t="n">
        <v>3919.7</v>
      </c>
      <c r="N54" t="n">
        <v>4285.1</v>
      </c>
      <c r="O54" t="n">
        <v>4595.1</v>
      </c>
      <c r="P54" t="n">
        <v>4650</v>
      </c>
      <c r="Q54" t="n">
        <v>5011.2</v>
      </c>
      <c r="R54" t="n">
        <v>5164</v>
      </c>
      <c r="S54" t="n">
        <v>5455.9</v>
      </c>
      <c r="T54" t="n">
        <v>6445.9</v>
      </c>
      <c r="U54" t="n">
        <v>5006.3</v>
      </c>
      <c r="V54" t="n">
        <v>4822.4</v>
      </c>
      <c r="W54" t="n">
        <v>4740.5</v>
      </c>
      <c r="X54" t="n">
        <v>4712.5</v>
      </c>
      <c r="Y54" t="n">
        <v>4620.5</v>
      </c>
      <c r="Z54" t="n">
        <v>4572.4</v>
      </c>
      <c r="AA54" t="n">
        <v>4528.2</v>
      </c>
      <c r="AB54" t="n">
        <v>4476.8</v>
      </c>
      <c r="AC54" t="n">
        <v>4405.1</v>
      </c>
      <c r="AD54" t="n">
        <v>4283.9</v>
      </c>
      <c r="AE54" t="n">
        <v>4184.2</v>
      </c>
      <c r="AF54" t="n">
        <v>4187.5</v>
      </c>
    </row>
    <row r="55">
      <c r="A55" t="s">
        <v>105</v>
      </c>
      <c r="B55" t="s">
        <v>380</v>
      </c>
      <c r="C55" t="s">
        <v>217</v>
      </c>
      <c r="D55" t="s">
        <v>381</v>
      </c>
      <c r="E55" t="s">
        <v>218</v>
      </c>
      <c r="F55" t="n">
        <v>976.3</v>
      </c>
      <c r="G55" t="n">
        <v>1115.3</v>
      </c>
      <c r="H55" t="n">
        <v>1263.9</v>
      </c>
      <c r="I55" t="n">
        <v>1431.2</v>
      </c>
      <c r="J55" t="n">
        <v>1593.7</v>
      </c>
      <c r="K55" t="n">
        <v>1744.2</v>
      </c>
      <c r="L55" t="n">
        <v>1766.6</v>
      </c>
      <c r="M55" t="n">
        <v>1873.4</v>
      </c>
      <c r="N55" t="n">
        <v>1933</v>
      </c>
      <c r="O55" t="n">
        <v>1937.6</v>
      </c>
      <c r="P55" t="n">
        <v>1914</v>
      </c>
      <c r="Q55" t="n">
        <v>2051.8</v>
      </c>
      <c r="R55" t="n">
        <v>2129.2</v>
      </c>
      <c r="S55" t="n">
        <v>2275.2</v>
      </c>
      <c r="T55" t="n">
        <v>3284.9</v>
      </c>
      <c r="U55" t="n">
        <v>1824.1</v>
      </c>
      <c r="V55" t="n">
        <v>1775.2</v>
      </c>
      <c r="W55" t="n">
        <v>1745.9</v>
      </c>
      <c r="X55" t="n">
        <v>1721.1</v>
      </c>
      <c r="Y55" t="n">
        <v>1724.4</v>
      </c>
      <c r="Z55" t="n">
        <v>1740.6</v>
      </c>
      <c r="AA55" t="n">
        <v>1736.3</v>
      </c>
      <c r="AB55" t="n">
        <v>1738.7</v>
      </c>
      <c r="AC55" t="n">
        <v>1690.8</v>
      </c>
      <c r="AD55" t="n">
        <v>1632.1</v>
      </c>
      <c r="AE55" t="n">
        <v>1580.6</v>
      </c>
      <c r="AF55" t="n">
        <v>1568.4</v>
      </c>
    </row>
    <row r="56">
      <c r="A56" t="s">
        <v>105</v>
      </c>
      <c r="B56" t="s">
        <v>382</v>
      </c>
      <c r="C56" t="s">
        <v>217</v>
      </c>
      <c r="D56" t="s">
        <v>383</v>
      </c>
      <c r="E56" t="s">
        <v>218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105</v>
      </c>
      <c r="B57" t="s">
        <v>384</v>
      </c>
      <c r="C57" t="s">
        <v>217</v>
      </c>
      <c r="D57" t="s">
        <v>385</v>
      </c>
      <c r="E57" t="s">
        <v>218</v>
      </c>
      <c r="F57" t="n">
        <v>87033.7</v>
      </c>
      <c r="G57" t="n">
        <v>94827.5</v>
      </c>
      <c r="H57" t="n">
        <v>102803.9</v>
      </c>
      <c r="I57" t="n">
        <v>111629.2</v>
      </c>
      <c r="J57" t="n">
        <v>119373.4</v>
      </c>
      <c r="K57" t="n">
        <v>127027.9</v>
      </c>
      <c r="L57" t="n">
        <v>136236.1</v>
      </c>
      <c r="M57" t="n">
        <v>145784.5</v>
      </c>
      <c r="N57" t="n">
        <v>154622.3</v>
      </c>
      <c r="O57" t="n">
        <v>163118.3</v>
      </c>
      <c r="P57" t="n">
        <v>164376.5</v>
      </c>
      <c r="Q57" t="n">
        <v>176896.4</v>
      </c>
      <c r="R57" t="n">
        <v>181590.6</v>
      </c>
      <c r="S57" t="n">
        <v>189968</v>
      </c>
      <c r="T57" t="n">
        <v>191626.5</v>
      </c>
      <c r="U57" t="n">
        <v>189997.7</v>
      </c>
      <c r="V57" t="n">
        <v>182985.8</v>
      </c>
      <c r="W57" t="n">
        <v>181967.4</v>
      </c>
      <c r="X57" t="n">
        <v>180406.4</v>
      </c>
      <c r="Y57" t="n">
        <v>174565</v>
      </c>
      <c r="Z57" t="n">
        <v>169831.8</v>
      </c>
      <c r="AA57" t="n">
        <v>168362.8</v>
      </c>
      <c r="AB57" t="n">
        <v>168993.7</v>
      </c>
      <c r="AC57" t="n">
        <v>169448.7</v>
      </c>
      <c r="AD57" t="n">
        <v>167324.7</v>
      </c>
      <c r="AE57" t="n">
        <v>165726.1</v>
      </c>
      <c r="AF57" t="n">
        <v>168826.6</v>
      </c>
    </row>
    <row r="58">
      <c r="A58" t="s">
        <v>105</v>
      </c>
      <c r="B58" t="s">
        <v>386</v>
      </c>
      <c r="C58" t="s">
        <v>217</v>
      </c>
      <c r="D58" t="s">
        <v>387</v>
      </c>
      <c r="E58" t="s">
        <v>218</v>
      </c>
      <c r="F58" t="n">
        <v>87033.7</v>
      </c>
      <c r="G58" t="n">
        <v>94827.5</v>
      </c>
      <c r="H58" t="n">
        <v>102803.9</v>
      </c>
      <c r="I58" t="n">
        <v>111629.2</v>
      </c>
      <c r="J58" t="n">
        <v>119373.4</v>
      </c>
      <c r="K58" t="n">
        <v>127027.9</v>
      </c>
      <c r="L58" t="n">
        <v>136236.1</v>
      </c>
      <c r="M58" t="n">
        <v>145784.5</v>
      </c>
      <c r="N58" t="n">
        <v>154622.3</v>
      </c>
      <c r="O58" t="n">
        <v>163118.3</v>
      </c>
      <c r="P58" t="n">
        <v>164376.5</v>
      </c>
      <c r="Q58" t="n">
        <v>176896.4</v>
      </c>
      <c r="R58" t="n">
        <v>181590.6</v>
      </c>
      <c r="S58" t="n">
        <v>189968</v>
      </c>
      <c r="T58" t="n">
        <v>191626.5</v>
      </c>
      <c r="U58" t="n">
        <v>189997.7</v>
      </c>
      <c r="V58" t="n">
        <v>182985.8</v>
      </c>
      <c r="W58" t="n">
        <v>181967.4</v>
      </c>
      <c r="X58" t="n">
        <v>180406.4</v>
      </c>
      <c r="Y58" t="n">
        <v>174565</v>
      </c>
      <c r="Z58" t="n">
        <v>169831.8</v>
      </c>
      <c r="AA58" t="n">
        <v>168362.8</v>
      </c>
      <c r="AB58" t="n">
        <v>168993.7</v>
      </c>
      <c r="AC58" t="n">
        <v>169448.7</v>
      </c>
      <c r="AD58" t="n">
        <v>167324.7</v>
      </c>
      <c r="AE58" t="n">
        <v>165726.1</v>
      </c>
      <c r="AF58" t="n">
        <v>168826.6</v>
      </c>
    </row>
    <row r="59">
      <c r="A59" t="s">
        <v>105</v>
      </c>
      <c r="B59" t="s">
        <v>388</v>
      </c>
      <c r="C59" t="s">
        <v>217</v>
      </c>
      <c r="D59" t="s">
        <v>389</v>
      </c>
      <c r="E59" t="s">
        <v>218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107</v>
      </c>
      <c r="B2" t="s">
        <v>197</v>
      </c>
      <c r="C2" t="s">
        <v>217</v>
      </c>
      <c r="D2" t="s">
        <v>199</v>
      </c>
      <c r="E2" t="s">
        <v>218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107</v>
      </c>
      <c r="B3" t="s">
        <v>276</v>
      </c>
      <c r="C3" t="s">
        <v>217</v>
      </c>
      <c r="D3" t="s">
        <v>277</v>
      </c>
      <c r="E3" t="s">
        <v>218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107</v>
      </c>
      <c r="B4" t="s">
        <v>278</v>
      </c>
      <c r="C4" t="s">
        <v>217</v>
      </c>
      <c r="D4" t="s">
        <v>279</v>
      </c>
      <c r="E4" t="s">
        <v>218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107</v>
      </c>
      <c r="B5" t="s">
        <v>280</v>
      </c>
      <c r="C5" t="s">
        <v>217</v>
      </c>
      <c r="D5" t="s">
        <v>281</v>
      </c>
      <c r="E5" t="s">
        <v>218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107</v>
      </c>
      <c r="B6" t="s">
        <v>282</v>
      </c>
      <c r="C6" t="s">
        <v>217</v>
      </c>
      <c r="D6" t="s">
        <v>283</v>
      </c>
      <c r="E6" t="s">
        <v>218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107</v>
      </c>
      <c r="B7" t="s">
        <v>284</v>
      </c>
      <c r="C7" t="s">
        <v>217</v>
      </c>
      <c r="D7" t="s">
        <v>285</v>
      </c>
      <c r="E7" t="s">
        <v>218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107</v>
      </c>
      <c r="B8" t="s">
        <v>286</v>
      </c>
      <c r="C8" t="s">
        <v>217</v>
      </c>
      <c r="D8" t="s">
        <v>287</v>
      </c>
      <c r="E8" t="s">
        <v>218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107</v>
      </c>
      <c r="B9" t="s">
        <v>288</v>
      </c>
      <c r="C9" t="s">
        <v>217</v>
      </c>
      <c r="D9" t="s">
        <v>289</v>
      </c>
      <c r="E9" t="s">
        <v>218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107</v>
      </c>
      <c r="B10" t="s">
        <v>290</v>
      </c>
      <c r="C10" t="s">
        <v>217</v>
      </c>
      <c r="D10" t="s">
        <v>291</v>
      </c>
      <c r="E10" t="s">
        <v>218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107</v>
      </c>
      <c r="B11" t="s">
        <v>292</v>
      </c>
      <c r="C11" t="s">
        <v>217</v>
      </c>
      <c r="D11" t="s">
        <v>293</v>
      </c>
      <c r="E11" t="s">
        <v>218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107</v>
      </c>
      <c r="B12" t="s">
        <v>294</v>
      </c>
      <c r="C12" t="s">
        <v>217</v>
      </c>
      <c r="D12" t="s">
        <v>295</v>
      </c>
      <c r="E12" t="s">
        <v>218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107</v>
      </c>
      <c r="B13" t="s">
        <v>296</v>
      </c>
      <c r="C13" t="s">
        <v>217</v>
      </c>
      <c r="D13" t="s">
        <v>297</v>
      </c>
      <c r="E13" t="s">
        <v>218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107</v>
      </c>
      <c r="B14" t="s">
        <v>298</v>
      </c>
      <c r="C14" t="s">
        <v>217</v>
      </c>
      <c r="D14" t="s">
        <v>299</v>
      </c>
      <c r="E14" t="s">
        <v>218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107</v>
      </c>
      <c r="B15" t="s">
        <v>300</v>
      </c>
      <c r="C15" t="s">
        <v>217</v>
      </c>
      <c r="D15" t="s">
        <v>301</v>
      </c>
      <c r="E15" t="s">
        <v>218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107</v>
      </c>
      <c r="B16" t="s">
        <v>302</v>
      </c>
      <c r="C16" t="s">
        <v>217</v>
      </c>
      <c r="D16" t="s">
        <v>303</v>
      </c>
      <c r="E16" t="s">
        <v>218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107</v>
      </c>
      <c r="B17" t="s">
        <v>304</v>
      </c>
      <c r="C17" t="s">
        <v>217</v>
      </c>
      <c r="D17" t="s">
        <v>305</v>
      </c>
      <c r="E17" t="s">
        <v>218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107</v>
      </c>
      <c r="B18" t="s">
        <v>306</v>
      </c>
      <c r="C18" t="s">
        <v>217</v>
      </c>
      <c r="D18" t="s">
        <v>307</v>
      </c>
      <c r="E18" t="s">
        <v>218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107</v>
      </c>
      <c r="B19" t="s">
        <v>308</v>
      </c>
      <c r="C19" t="s">
        <v>217</v>
      </c>
      <c r="D19" t="s">
        <v>309</v>
      </c>
      <c r="E19" t="s">
        <v>218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107</v>
      </c>
      <c r="B20" t="s">
        <v>310</v>
      </c>
      <c r="C20" t="s">
        <v>217</v>
      </c>
      <c r="D20" t="s">
        <v>311</v>
      </c>
      <c r="E20" t="s">
        <v>218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107</v>
      </c>
      <c r="B21" t="s">
        <v>312</v>
      </c>
      <c r="C21" t="s">
        <v>217</v>
      </c>
      <c r="D21" t="s">
        <v>313</v>
      </c>
      <c r="E21" t="s">
        <v>218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107</v>
      </c>
      <c r="B22" t="s">
        <v>314</v>
      </c>
      <c r="C22" t="s">
        <v>217</v>
      </c>
      <c r="D22" t="s">
        <v>315</v>
      </c>
      <c r="E22" t="s">
        <v>218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107</v>
      </c>
      <c r="B23" t="s">
        <v>316</v>
      </c>
      <c r="C23" t="s">
        <v>217</v>
      </c>
      <c r="D23" t="s">
        <v>317</v>
      </c>
      <c r="E23" t="s">
        <v>218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107</v>
      </c>
      <c r="B24" t="s">
        <v>318</v>
      </c>
      <c r="C24" t="s">
        <v>217</v>
      </c>
      <c r="D24" t="s">
        <v>319</v>
      </c>
      <c r="E24" t="s">
        <v>218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107</v>
      </c>
      <c r="B25" t="s">
        <v>320</v>
      </c>
      <c r="C25" t="s">
        <v>217</v>
      </c>
      <c r="D25" t="s">
        <v>321</v>
      </c>
      <c r="E25" t="s">
        <v>218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107</v>
      </c>
      <c r="B26" t="s">
        <v>322</v>
      </c>
      <c r="C26" t="s">
        <v>217</v>
      </c>
      <c r="D26" t="s">
        <v>323</v>
      </c>
      <c r="E26" t="s">
        <v>218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107</v>
      </c>
      <c r="B27" t="s">
        <v>324</v>
      </c>
      <c r="C27" t="s">
        <v>217</v>
      </c>
      <c r="D27" t="s">
        <v>325</v>
      </c>
      <c r="E27" t="s">
        <v>218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107</v>
      </c>
      <c r="B28" t="s">
        <v>326</v>
      </c>
      <c r="C28" t="s">
        <v>217</v>
      </c>
      <c r="D28" t="s">
        <v>327</v>
      </c>
      <c r="E28" t="s">
        <v>218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107</v>
      </c>
      <c r="B29" t="s">
        <v>328</v>
      </c>
      <c r="C29" t="s">
        <v>217</v>
      </c>
      <c r="D29" t="s">
        <v>329</v>
      </c>
      <c r="E29" t="s">
        <v>218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107</v>
      </c>
      <c r="B30" t="s">
        <v>330</v>
      </c>
      <c r="C30" t="s">
        <v>217</v>
      </c>
      <c r="D30" t="s">
        <v>331</v>
      </c>
      <c r="E30" t="s">
        <v>218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107</v>
      </c>
      <c r="B31" t="s">
        <v>332</v>
      </c>
      <c r="C31" t="s">
        <v>217</v>
      </c>
      <c r="D31" t="s">
        <v>333</v>
      </c>
      <c r="E31" t="s">
        <v>218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107</v>
      </c>
      <c r="B32" t="s">
        <v>334</v>
      </c>
      <c r="C32" t="s">
        <v>217</v>
      </c>
      <c r="D32" t="s">
        <v>335</v>
      </c>
      <c r="E32" t="s">
        <v>218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107</v>
      </c>
      <c r="B33" t="s">
        <v>336</v>
      </c>
      <c r="C33" t="s">
        <v>217</v>
      </c>
      <c r="D33" t="s">
        <v>337</v>
      </c>
      <c r="E33" t="s">
        <v>218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107</v>
      </c>
      <c r="B34" t="s">
        <v>338</v>
      </c>
      <c r="C34" t="s">
        <v>217</v>
      </c>
      <c r="D34" t="s">
        <v>339</v>
      </c>
      <c r="E34" t="s">
        <v>218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107</v>
      </c>
      <c r="B35" t="s">
        <v>340</v>
      </c>
      <c r="C35" t="s">
        <v>217</v>
      </c>
      <c r="D35" t="s">
        <v>341</v>
      </c>
      <c r="E35" t="s">
        <v>218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s">
        <v>107</v>
      </c>
      <c r="B36" t="s">
        <v>342</v>
      </c>
      <c r="C36" t="s">
        <v>217</v>
      </c>
      <c r="D36" t="s">
        <v>343</v>
      </c>
      <c r="E36" t="s">
        <v>218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107</v>
      </c>
      <c r="B37" t="s">
        <v>344</v>
      </c>
      <c r="C37" t="s">
        <v>217</v>
      </c>
      <c r="D37" t="s">
        <v>345</v>
      </c>
      <c r="E37" t="s">
        <v>218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107</v>
      </c>
      <c r="B38" t="s">
        <v>346</v>
      </c>
      <c r="C38" t="s">
        <v>217</v>
      </c>
      <c r="D38" t="s">
        <v>347</v>
      </c>
      <c r="E38" t="s">
        <v>218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107</v>
      </c>
      <c r="B39" t="s">
        <v>348</v>
      </c>
      <c r="C39" t="s">
        <v>217</v>
      </c>
      <c r="D39" t="s">
        <v>349</v>
      </c>
      <c r="E39" t="s">
        <v>218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107</v>
      </c>
      <c r="B40" t="s">
        <v>350</v>
      </c>
      <c r="C40" t="s">
        <v>217</v>
      </c>
      <c r="D40" t="s">
        <v>351</v>
      </c>
      <c r="E40" t="s">
        <v>218</v>
      </c>
      <c r="F40" t="n">
        <v>157154.4</v>
      </c>
      <c r="G40" t="n">
        <v>170916.6</v>
      </c>
      <c r="H40" t="n">
        <v>183366.3</v>
      </c>
      <c r="I40" t="n">
        <v>198603.5</v>
      </c>
      <c r="J40" t="n">
        <v>211763.1</v>
      </c>
      <c r="K40" t="n">
        <v>224920.9</v>
      </c>
      <c r="L40" t="n">
        <v>237030.2</v>
      </c>
      <c r="M40" t="n">
        <v>253366.4</v>
      </c>
      <c r="N40" t="n">
        <v>268361.3</v>
      </c>
      <c r="O40" t="n">
        <v>286114.9</v>
      </c>
      <c r="P40" t="n">
        <v>294344</v>
      </c>
      <c r="Q40" t="n">
        <v>324377.9</v>
      </c>
      <c r="R40" t="n">
        <v>343830</v>
      </c>
      <c r="S40" t="n">
        <v>360366.4</v>
      </c>
      <c r="T40" t="n">
        <v>359014.3</v>
      </c>
      <c r="U40" t="n">
        <v>354064.7</v>
      </c>
      <c r="V40" t="n">
        <v>341517.3</v>
      </c>
      <c r="W40" t="n">
        <v>334518.3</v>
      </c>
      <c r="X40" t="n">
        <v>324248.6</v>
      </c>
      <c r="Y40" t="n">
        <v>305475.7</v>
      </c>
      <c r="Z40" t="n">
        <v>289055.6</v>
      </c>
      <c r="AA40" t="n">
        <v>276499.9</v>
      </c>
      <c r="AB40" t="n">
        <v>268245.6</v>
      </c>
      <c r="AC40" t="n">
        <v>262110.8</v>
      </c>
      <c r="AD40" t="n">
        <v>254320.7</v>
      </c>
      <c r="AE40" t="n">
        <v>247901.6</v>
      </c>
      <c r="AF40" t="n">
        <v>248090.6</v>
      </c>
    </row>
    <row r="41">
      <c r="A41" t="s">
        <v>107</v>
      </c>
      <c r="B41" t="s">
        <v>352</v>
      </c>
      <c r="C41" t="s">
        <v>217</v>
      </c>
      <c r="D41" t="s">
        <v>353</v>
      </c>
      <c r="E41" t="s">
        <v>218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107</v>
      </c>
      <c r="B42" t="s">
        <v>354</v>
      </c>
      <c r="C42" t="s">
        <v>217</v>
      </c>
      <c r="D42" t="s">
        <v>355</v>
      </c>
      <c r="E42" t="s">
        <v>218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107</v>
      </c>
      <c r="B43" t="s">
        <v>356</v>
      </c>
      <c r="C43" t="s">
        <v>217</v>
      </c>
      <c r="D43" t="s">
        <v>357</v>
      </c>
      <c r="E43" t="s">
        <v>218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107</v>
      </c>
      <c r="B44" t="s">
        <v>358</v>
      </c>
      <c r="C44" t="s">
        <v>217</v>
      </c>
      <c r="D44" t="s">
        <v>359</v>
      </c>
      <c r="E44" t="s">
        <v>218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</row>
    <row r="45">
      <c r="A45" t="s">
        <v>107</v>
      </c>
      <c r="B45" t="s">
        <v>360</v>
      </c>
      <c r="C45" t="s">
        <v>217</v>
      </c>
      <c r="D45" t="s">
        <v>361</v>
      </c>
      <c r="E45" t="s">
        <v>218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</row>
    <row r="46">
      <c r="A46" t="s">
        <v>107</v>
      </c>
      <c r="B46" t="s">
        <v>362</v>
      </c>
      <c r="C46" t="s">
        <v>217</v>
      </c>
      <c r="D46" t="s">
        <v>363</v>
      </c>
      <c r="E46" t="s">
        <v>218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107</v>
      </c>
      <c r="B47" t="s">
        <v>364</v>
      </c>
      <c r="C47" t="s">
        <v>217</v>
      </c>
      <c r="D47" t="s">
        <v>365</v>
      </c>
      <c r="E47" t="s">
        <v>218</v>
      </c>
      <c r="F47" t="n">
        <v>2179</v>
      </c>
      <c r="G47" t="n">
        <v>2264.4</v>
      </c>
      <c r="H47" t="n">
        <v>2335</v>
      </c>
      <c r="I47" t="n">
        <v>2406.7</v>
      </c>
      <c r="J47" t="n">
        <v>2440.5</v>
      </c>
      <c r="K47" t="n">
        <v>2469.1</v>
      </c>
      <c r="L47" t="n">
        <v>2498.2</v>
      </c>
      <c r="M47" t="n">
        <v>2563.2</v>
      </c>
      <c r="N47" t="n">
        <v>2586.2</v>
      </c>
      <c r="O47" t="n">
        <v>2606.1</v>
      </c>
      <c r="P47" t="n">
        <v>2626.8</v>
      </c>
      <c r="Q47" t="n">
        <v>2704.5</v>
      </c>
      <c r="R47" t="n">
        <v>2662.5</v>
      </c>
      <c r="S47" t="n">
        <v>2647.3</v>
      </c>
      <c r="T47" t="n">
        <v>2850.8</v>
      </c>
      <c r="U47" t="n">
        <v>2396.8</v>
      </c>
      <c r="V47" t="n">
        <v>2248.9</v>
      </c>
      <c r="W47" t="n">
        <v>2167.3</v>
      </c>
      <c r="X47" t="n">
        <v>2078.2</v>
      </c>
      <c r="Y47" t="n">
        <v>1948.1</v>
      </c>
      <c r="Z47" t="n">
        <v>1836.8</v>
      </c>
      <c r="AA47" t="n">
        <v>1751.4</v>
      </c>
      <c r="AB47" t="n">
        <v>1693.7</v>
      </c>
      <c r="AC47" t="n">
        <v>1647.8</v>
      </c>
      <c r="AD47" t="n">
        <v>1590.5</v>
      </c>
      <c r="AE47" t="n">
        <v>1540.3</v>
      </c>
      <c r="AF47" t="n">
        <v>1528</v>
      </c>
    </row>
    <row r="48">
      <c r="A48" t="s">
        <v>107</v>
      </c>
      <c r="B48" t="s">
        <v>366</v>
      </c>
      <c r="C48" t="s">
        <v>217</v>
      </c>
      <c r="D48" t="s">
        <v>367</v>
      </c>
      <c r="E48" t="s">
        <v>218</v>
      </c>
      <c r="F48" t="n">
        <v>2179</v>
      </c>
      <c r="G48" t="n">
        <v>2264.4</v>
      </c>
      <c r="H48" t="n">
        <v>2335</v>
      </c>
      <c r="I48" t="n">
        <v>2406.7</v>
      </c>
      <c r="J48" t="n">
        <v>2440.5</v>
      </c>
      <c r="K48" t="n">
        <v>2469.1</v>
      </c>
      <c r="L48" t="n">
        <v>2498.2</v>
      </c>
      <c r="M48" t="n">
        <v>2563.2</v>
      </c>
      <c r="N48" t="n">
        <v>2586.2</v>
      </c>
      <c r="O48" t="n">
        <v>2606.1</v>
      </c>
      <c r="P48" t="n">
        <v>2626.8</v>
      </c>
      <c r="Q48" t="n">
        <v>2704.5</v>
      </c>
      <c r="R48" t="n">
        <v>2662.5</v>
      </c>
      <c r="S48" t="n">
        <v>2647.3</v>
      </c>
      <c r="T48" t="n">
        <v>2850.8</v>
      </c>
      <c r="U48" t="n">
        <v>2396.8</v>
      </c>
      <c r="V48" t="n">
        <v>2248.9</v>
      </c>
      <c r="W48" t="n">
        <v>2167.3</v>
      </c>
      <c r="X48" t="n">
        <v>2078.2</v>
      </c>
      <c r="Y48" t="n">
        <v>1948.1</v>
      </c>
      <c r="Z48" t="n">
        <v>1836.8</v>
      </c>
      <c r="AA48" t="n">
        <v>1751.4</v>
      </c>
      <c r="AB48" t="n">
        <v>1693.7</v>
      </c>
      <c r="AC48" t="n">
        <v>1647.8</v>
      </c>
      <c r="AD48" t="n">
        <v>1590.5</v>
      </c>
      <c r="AE48" t="n">
        <v>1540.3</v>
      </c>
      <c r="AF48" t="n">
        <v>1528</v>
      </c>
    </row>
    <row r="49">
      <c r="A49" t="s">
        <v>107</v>
      </c>
      <c r="B49" t="s">
        <v>368</v>
      </c>
      <c r="C49" t="s">
        <v>217</v>
      </c>
      <c r="D49" t="s">
        <v>369</v>
      </c>
      <c r="E49" t="s">
        <v>218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107</v>
      </c>
      <c r="B50" t="s">
        <v>370</v>
      </c>
      <c r="C50" t="s">
        <v>217</v>
      </c>
      <c r="D50" t="s">
        <v>371</v>
      </c>
      <c r="E50" t="s">
        <v>218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107</v>
      </c>
      <c r="B51" t="s">
        <v>372</v>
      </c>
      <c r="C51" t="s">
        <v>217</v>
      </c>
      <c r="D51" t="s">
        <v>373</v>
      </c>
      <c r="E51" t="s">
        <v>218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107</v>
      </c>
      <c r="B52" t="s">
        <v>374</v>
      </c>
      <c r="C52" t="s">
        <v>217</v>
      </c>
      <c r="D52" t="s">
        <v>375</v>
      </c>
      <c r="E52" t="s">
        <v>218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107</v>
      </c>
      <c r="B53" t="s">
        <v>376</v>
      </c>
      <c r="C53" t="s">
        <v>217</v>
      </c>
      <c r="D53" t="s">
        <v>377</v>
      </c>
      <c r="E53" t="s">
        <v>218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107</v>
      </c>
      <c r="B54" t="s">
        <v>378</v>
      </c>
      <c r="C54" t="s">
        <v>217</v>
      </c>
      <c r="D54" t="s">
        <v>379</v>
      </c>
      <c r="E54" t="s">
        <v>218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s">
        <v>107</v>
      </c>
      <c r="B55" t="s">
        <v>380</v>
      </c>
      <c r="C55" t="s">
        <v>217</v>
      </c>
      <c r="D55" t="s">
        <v>381</v>
      </c>
      <c r="E55" t="s">
        <v>218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107</v>
      </c>
      <c r="B56" t="s">
        <v>382</v>
      </c>
      <c r="C56" t="s">
        <v>217</v>
      </c>
      <c r="D56" t="s">
        <v>383</v>
      </c>
      <c r="E56" t="s">
        <v>218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107</v>
      </c>
      <c r="B57" t="s">
        <v>384</v>
      </c>
      <c r="C57" t="s">
        <v>217</v>
      </c>
      <c r="D57" t="s">
        <v>385</v>
      </c>
      <c r="E57" t="s">
        <v>218</v>
      </c>
      <c r="F57" t="n">
        <v>159333.4</v>
      </c>
      <c r="G57" t="n">
        <v>173181</v>
      </c>
      <c r="H57" t="n">
        <v>185701.3</v>
      </c>
      <c r="I57" t="n">
        <v>201010.2</v>
      </c>
      <c r="J57" t="n">
        <v>214203.6</v>
      </c>
      <c r="K57" t="n">
        <v>227390</v>
      </c>
      <c r="L57" t="n">
        <v>239528.4</v>
      </c>
      <c r="M57" t="n">
        <v>255929.6</v>
      </c>
      <c r="N57" t="n">
        <v>270947.5</v>
      </c>
      <c r="O57" t="n">
        <v>288721</v>
      </c>
      <c r="P57" t="n">
        <v>296970.8</v>
      </c>
      <c r="Q57" t="n">
        <v>327082.4</v>
      </c>
      <c r="R57" t="n">
        <v>346492.5</v>
      </c>
      <c r="S57" t="n">
        <v>363013.7</v>
      </c>
      <c r="T57" t="n">
        <v>361865.1</v>
      </c>
      <c r="U57" t="n">
        <v>356461.5</v>
      </c>
      <c r="V57" t="n">
        <v>343766.2</v>
      </c>
      <c r="W57" t="n">
        <v>336685.6</v>
      </c>
      <c r="X57" t="n">
        <v>326326.8</v>
      </c>
      <c r="Y57" t="n">
        <v>307423.8</v>
      </c>
      <c r="Z57" t="n">
        <v>290892.4</v>
      </c>
      <c r="AA57" t="n">
        <v>278251.3</v>
      </c>
      <c r="AB57" t="n">
        <v>269939.3</v>
      </c>
      <c r="AC57" t="n">
        <v>263758.6</v>
      </c>
      <c r="AD57" t="n">
        <v>255911.2</v>
      </c>
      <c r="AE57" t="n">
        <v>249441.9</v>
      </c>
      <c r="AF57" t="n">
        <v>249618.6</v>
      </c>
    </row>
    <row r="58">
      <c r="A58" t="s">
        <v>107</v>
      </c>
      <c r="B58" t="s">
        <v>386</v>
      </c>
      <c r="C58" t="s">
        <v>217</v>
      </c>
      <c r="D58" t="s">
        <v>387</v>
      </c>
      <c r="E58" t="s">
        <v>218</v>
      </c>
      <c r="F58" t="n">
        <v>159333.4</v>
      </c>
      <c r="G58" t="n">
        <v>173181</v>
      </c>
      <c r="H58" t="n">
        <v>185701.3</v>
      </c>
      <c r="I58" t="n">
        <v>201010.2</v>
      </c>
      <c r="J58" t="n">
        <v>214203.6</v>
      </c>
      <c r="K58" t="n">
        <v>227390</v>
      </c>
      <c r="L58" t="n">
        <v>239528.4</v>
      </c>
      <c r="M58" t="n">
        <v>255929.6</v>
      </c>
      <c r="N58" t="n">
        <v>270947.5</v>
      </c>
      <c r="O58" t="n">
        <v>288721</v>
      </c>
      <c r="P58" t="n">
        <v>296970.8</v>
      </c>
      <c r="Q58" t="n">
        <v>327082.4</v>
      </c>
      <c r="R58" t="n">
        <v>346492.5</v>
      </c>
      <c r="S58" t="n">
        <v>363013.7</v>
      </c>
      <c r="T58" t="n">
        <v>361865.1</v>
      </c>
      <c r="U58" t="n">
        <v>356461.5</v>
      </c>
      <c r="V58" t="n">
        <v>343766.2</v>
      </c>
      <c r="W58" t="n">
        <v>336685.6</v>
      </c>
      <c r="X58" t="n">
        <v>326326.8</v>
      </c>
      <c r="Y58" t="n">
        <v>307423.8</v>
      </c>
      <c r="Z58" t="n">
        <v>290892.4</v>
      </c>
      <c r="AA58" t="n">
        <v>278251.3</v>
      </c>
      <c r="AB58" t="n">
        <v>269939.3</v>
      </c>
      <c r="AC58" t="n">
        <v>263758.6</v>
      </c>
      <c r="AD58" t="n">
        <v>255911.2</v>
      </c>
      <c r="AE58" t="n">
        <v>249441.9</v>
      </c>
      <c r="AF58" t="n">
        <v>249618.6</v>
      </c>
    </row>
    <row r="59">
      <c r="A59" t="s">
        <v>107</v>
      </c>
      <c r="B59" t="s">
        <v>388</v>
      </c>
      <c r="C59" t="s">
        <v>217</v>
      </c>
      <c r="D59" t="s">
        <v>389</v>
      </c>
      <c r="E59" t="s">
        <v>218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109</v>
      </c>
      <c r="B2" t="s">
        <v>197</v>
      </c>
      <c r="C2" t="s">
        <v>217</v>
      </c>
      <c r="D2" t="s">
        <v>199</v>
      </c>
      <c r="E2" t="s">
        <v>218</v>
      </c>
      <c r="F2" t="n">
        <v>236.1</v>
      </c>
      <c r="G2" t="n">
        <v>220.2</v>
      </c>
      <c r="H2" t="n">
        <v>208.2</v>
      </c>
      <c r="I2" t="n">
        <v>223.7</v>
      </c>
      <c r="J2" t="n">
        <v>223.5</v>
      </c>
      <c r="K2" t="n">
        <v>269.3</v>
      </c>
      <c r="L2" t="n">
        <v>324.7</v>
      </c>
      <c r="M2" t="n">
        <v>439.6</v>
      </c>
      <c r="N2" t="n">
        <v>479.7</v>
      </c>
      <c r="O2" t="n">
        <v>586.9</v>
      </c>
      <c r="P2" t="n">
        <v>604.1</v>
      </c>
      <c r="Q2" t="n">
        <v>688.8</v>
      </c>
      <c r="R2" t="n">
        <v>628.9</v>
      </c>
      <c r="S2" t="n">
        <v>711.7</v>
      </c>
      <c r="T2" t="n">
        <v>759.5</v>
      </c>
      <c r="U2" t="n">
        <v>747.5</v>
      </c>
      <c r="V2" t="n">
        <v>736.7</v>
      </c>
      <c r="W2" t="n">
        <v>472</v>
      </c>
      <c r="X2" t="n">
        <v>523.2</v>
      </c>
      <c r="Y2" t="n">
        <v>544.4</v>
      </c>
      <c r="Z2" t="n">
        <v>558.6</v>
      </c>
      <c r="AA2" t="n">
        <v>583</v>
      </c>
      <c r="AB2" t="n">
        <v>580.7</v>
      </c>
      <c r="AC2" t="n">
        <v>575.2</v>
      </c>
      <c r="AD2" t="n">
        <v>583.5</v>
      </c>
      <c r="AE2" t="n">
        <v>572.8</v>
      </c>
      <c r="AF2" t="n">
        <v>584</v>
      </c>
    </row>
    <row r="3">
      <c r="A3" t="s">
        <v>109</v>
      </c>
      <c r="B3" t="s">
        <v>276</v>
      </c>
      <c r="C3" t="s">
        <v>217</v>
      </c>
      <c r="D3" t="s">
        <v>277</v>
      </c>
      <c r="E3" t="s">
        <v>218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109</v>
      </c>
      <c r="B4" t="s">
        <v>278</v>
      </c>
      <c r="C4" t="s">
        <v>217</v>
      </c>
      <c r="D4" t="s">
        <v>279</v>
      </c>
      <c r="E4" t="s">
        <v>218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109</v>
      </c>
      <c r="B5" t="s">
        <v>280</v>
      </c>
      <c r="C5" t="s">
        <v>217</v>
      </c>
      <c r="D5" t="s">
        <v>281</v>
      </c>
      <c r="E5" t="s">
        <v>218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109</v>
      </c>
      <c r="B6" t="s">
        <v>282</v>
      </c>
      <c r="C6" t="s">
        <v>217</v>
      </c>
      <c r="D6" t="s">
        <v>283</v>
      </c>
      <c r="E6" t="s">
        <v>218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109</v>
      </c>
      <c r="B7" t="s">
        <v>284</v>
      </c>
      <c r="C7" t="s">
        <v>217</v>
      </c>
      <c r="D7" t="s">
        <v>285</v>
      </c>
      <c r="E7" t="s">
        <v>218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109</v>
      </c>
      <c r="B8" t="s">
        <v>286</v>
      </c>
      <c r="C8" t="s">
        <v>217</v>
      </c>
      <c r="D8" t="s">
        <v>287</v>
      </c>
      <c r="E8" t="s">
        <v>218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109</v>
      </c>
      <c r="B9" t="s">
        <v>288</v>
      </c>
      <c r="C9" t="s">
        <v>217</v>
      </c>
      <c r="D9" t="s">
        <v>289</v>
      </c>
      <c r="E9" t="s">
        <v>218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109</v>
      </c>
      <c r="B10" t="s">
        <v>290</v>
      </c>
      <c r="C10" t="s">
        <v>217</v>
      </c>
      <c r="D10" t="s">
        <v>291</v>
      </c>
      <c r="E10" t="s">
        <v>218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109</v>
      </c>
      <c r="B11" t="s">
        <v>292</v>
      </c>
      <c r="C11" t="s">
        <v>217</v>
      </c>
      <c r="D11" t="s">
        <v>293</v>
      </c>
      <c r="E11" t="s">
        <v>218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109</v>
      </c>
      <c r="B12" t="s">
        <v>294</v>
      </c>
      <c r="C12" t="s">
        <v>217</v>
      </c>
      <c r="D12" t="s">
        <v>295</v>
      </c>
      <c r="E12" t="s">
        <v>218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109</v>
      </c>
      <c r="B13" t="s">
        <v>296</v>
      </c>
      <c r="C13" t="s">
        <v>217</v>
      </c>
      <c r="D13" t="s">
        <v>297</v>
      </c>
      <c r="E13" t="s">
        <v>218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109</v>
      </c>
      <c r="B14" t="s">
        <v>298</v>
      </c>
      <c r="C14" t="s">
        <v>217</v>
      </c>
      <c r="D14" t="s">
        <v>299</v>
      </c>
      <c r="E14" t="s">
        <v>218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109</v>
      </c>
      <c r="B15" t="s">
        <v>300</v>
      </c>
      <c r="C15" t="s">
        <v>217</v>
      </c>
      <c r="D15" t="s">
        <v>301</v>
      </c>
      <c r="E15" t="s">
        <v>218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109</v>
      </c>
      <c r="B16" t="s">
        <v>302</v>
      </c>
      <c r="C16" t="s">
        <v>217</v>
      </c>
      <c r="D16" t="s">
        <v>303</v>
      </c>
      <c r="E16" t="s">
        <v>218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109</v>
      </c>
      <c r="B17" t="s">
        <v>304</v>
      </c>
      <c r="C17" t="s">
        <v>217</v>
      </c>
      <c r="D17" t="s">
        <v>305</v>
      </c>
      <c r="E17" t="s">
        <v>218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109</v>
      </c>
      <c r="B18" t="s">
        <v>306</v>
      </c>
      <c r="C18" t="s">
        <v>217</v>
      </c>
      <c r="D18" t="s">
        <v>307</v>
      </c>
      <c r="E18" t="s">
        <v>218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109</v>
      </c>
      <c r="B19" t="s">
        <v>308</v>
      </c>
      <c r="C19" t="s">
        <v>217</v>
      </c>
      <c r="D19" t="s">
        <v>309</v>
      </c>
      <c r="E19" t="s">
        <v>218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109</v>
      </c>
      <c r="B20" t="s">
        <v>310</v>
      </c>
      <c r="C20" t="s">
        <v>217</v>
      </c>
      <c r="D20" t="s">
        <v>311</v>
      </c>
      <c r="E20" t="s">
        <v>218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109</v>
      </c>
      <c r="B21" t="s">
        <v>312</v>
      </c>
      <c r="C21" t="s">
        <v>217</v>
      </c>
      <c r="D21" t="s">
        <v>313</v>
      </c>
      <c r="E21" t="s">
        <v>218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109</v>
      </c>
      <c r="B22" t="s">
        <v>314</v>
      </c>
      <c r="C22" t="s">
        <v>217</v>
      </c>
      <c r="D22" t="s">
        <v>315</v>
      </c>
      <c r="E22" t="s">
        <v>218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109</v>
      </c>
      <c r="B23" t="s">
        <v>316</v>
      </c>
      <c r="C23" t="s">
        <v>217</v>
      </c>
      <c r="D23" t="s">
        <v>317</v>
      </c>
      <c r="E23" t="s">
        <v>218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109</v>
      </c>
      <c r="B24" t="s">
        <v>318</v>
      </c>
      <c r="C24" t="s">
        <v>217</v>
      </c>
      <c r="D24" t="s">
        <v>319</v>
      </c>
      <c r="E24" t="s">
        <v>218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109</v>
      </c>
      <c r="B25" t="s">
        <v>320</v>
      </c>
      <c r="C25" t="s">
        <v>217</v>
      </c>
      <c r="D25" t="s">
        <v>321</v>
      </c>
      <c r="E25" t="s">
        <v>218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109</v>
      </c>
      <c r="B26" t="s">
        <v>322</v>
      </c>
      <c r="C26" t="s">
        <v>217</v>
      </c>
      <c r="D26" t="s">
        <v>323</v>
      </c>
      <c r="E26" t="s">
        <v>218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109</v>
      </c>
      <c r="B27" t="s">
        <v>324</v>
      </c>
      <c r="C27" t="s">
        <v>217</v>
      </c>
      <c r="D27" t="s">
        <v>325</v>
      </c>
      <c r="E27" t="s">
        <v>218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109</v>
      </c>
      <c r="B28" t="s">
        <v>326</v>
      </c>
      <c r="C28" t="s">
        <v>217</v>
      </c>
      <c r="D28" t="s">
        <v>327</v>
      </c>
      <c r="E28" t="s">
        <v>218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109</v>
      </c>
      <c r="B29" t="s">
        <v>328</v>
      </c>
      <c r="C29" t="s">
        <v>217</v>
      </c>
      <c r="D29" t="s">
        <v>329</v>
      </c>
      <c r="E29" t="s">
        <v>218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109</v>
      </c>
      <c r="B30" t="s">
        <v>330</v>
      </c>
      <c r="C30" t="s">
        <v>217</v>
      </c>
      <c r="D30" t="s">
        <v>331</v>
      </c>
      <c r="E30" t="s">
        <v>218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109</v>
      </c>
      <c r="B31" t="s">
        <v>332</v>
      </c>
      <c r="C31" t="s">
        <v>217</v>
      </c>
      <c r="D31" t="s">
        <v>333</v>
      </c>
      <c r="E31" t="s">
        <v>218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109</v>
      </c>
      <c r="B32" t="s">
        <v>334</v>
      </c>
      <c r="C32" t="s">
        <v>217</v>
      </c>
      <c r="D32" t="s">
        <v>335</v>
      </c>
      <c r="E32" t="s">
        <v>218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109</v>
      </c>
      <c r="B33" t="s">
        <v>336</v>
      </c>
      <c r="C33" t="s">
        <v>217</v>
      </c>
      <c r="D33" t="s">
        <v>337</v>
      </c>
      <c r="E33" t="s">
        <v>218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109</v>
      </c>
      <c r="B34" t="s">
        <v>338</v>
      </c>
      <c r="C34" t="s">
        <v>217</v>
      </c>
      <c r="D34" t="s">
        <v>339</v>
      </c>
      <c r="E34" t="s">
        <v>218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109</v>
      </c>
      <c r="B35" t="s">
        <v>340</v>
      </c>
      <c r="C35" t="s">
        <v>217</v>
      </c>
      <c r="D35" t="s">
        <v>341</v>
      </c>
      <c r="E35" t="s">
        <v>218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s">
        <v>109</v>
      </c>
      <c r="B36" t="s">
        <v>342</v>
      </c>
      <c r="C36" t="s">
        <v>217</v>
      </c>
      <c r="D36" t="s">
        <v>343</v>
      </c>
      <c r="E36" t="s">
        <v>218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109</v>
      </c>
      <c r="B37" t="s">
        <v>344</v>
      </c>
      <c r="C37" t="s">
        <v>217</v>
      </c>
      <c r="D37" t="s">
        <v>345</v>
      </c>
      <c r="E37" t="s">
        <v>218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109</v>
      </c>
      <c r="B38" t="s">
        <v>346</v>
      </c>
      <c r="C38" t="s">
        <v>217</v>
      </c>
      <c r="D38" t="s">
        <v>347</v>
      </c>
      <c r="E38" t="s">
        <v>218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109</v>
      </c>
      <c r="B39" t="s">
        <v>348</v>
      </c>
      <c r="C39" t="s">
        <v>217</v>
      </c>
      <c r="D39" t="s">
        <v>349</v>
      </c>
      <c r="E39" t="s">
        <v>218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109</v>
      </c>
      <c r="B40" t="s">
        <v>350</v>
      </c>
      <c r="C40" t="s">
        <v>217</v>
      </c>
      <c r="D40" t="s">
        <v>351</v>
      </c>
      <c r="E40" t="s">
        <v>218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s">
        <v>109</v>
      </c>
      <c r="B41" t="s">
        <v>352</v>
      </c>
      <c r="C41" t="s">
        <v>217</v>
      </c>
      <c r="D41" t="s">
        <v>353</v>
      </c>
      <c r="E41" t="s">
        <v>218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109</v>
      </c>
      <c r="B42" t="s">
        <v>354</v>
      </c>
      <c r="C42" t="s">
        <v>217</v>
      </c>
      <c r="D42" t="s">
        <v>355</v>
      </c>
      <c r="E42" t="s">
        <v>218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109</v>
      </c>
      <c r="B43" t="s">
        <v>356</v>
      </c>
      <c r="C43" t="s">
        <v>217</v>
      </c>
      <c r="D43" t="s">
        <v>357</v>
      </c>
      <c r="E43" t="s">
        <v>218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109</v>
      </c>
      <c r="B44" t="s">
        <v>358</v>
      </c>
      <c r="C44" t="s">
        <v>217</v>
      </c>
      <c r="D44" t="s">
        <v>359</v>
      </c>
      <c r="E44" t="s">
        <v>218</v>
      </c>
      <c r="F44" t="n">
        <v>236.1</v>
      </c>
      <c r="G44" t="n">
        <v>220.2</v>
      </c>
      <c r="H44" t="n">
        <v>208.2</v>
      </c>
      <c r="I44" t="n">
        <v>223.7</v>
      </c>
      <c r="J44" t="n">
        <v>223.5</v>
      </c>
      <c r="K44" t="n">
        <v>269.3</v>
      </c>
      <c r="L44" t="n">
        <v>324.7</v>
      </c>
      <c r="M44" t="n">
        <v>439.6</v>
      </c>
      <c r="N44" t="n">
        <v>479.7</v>
      </c>
      <c r="O44" t="n">
        <v>586.9</v>
      </c>
      <c r="P44" t="n">
        <v>604.1</v>
      </c>
      <c r="Q44" t="n">
        <v>688.8</v>
      </c>
      <c r="R44" t="n">
        <v>628.9</v>
      </c>
      <c r="S44" t="n">
        <v>711.7</v>
      </c>
      <c r="T44" t="n">
        <v>759.5</v>
      </c>
      <c r="U44" t="n">
        <v>747.5</v>
      </c>
      <c r="V44" t="n">
        <v>736.7</v>
      </c>
      <c r="W44" t="n">
        <v>472</v>
      </c>
      <c r="X44" t="n">
        <v>523.2</v>
      </c>
      <c r="Y44" t="n">
        <v>544.4</v>
      </c>
      <c r="Z44" t="n">
        <v>558.6</v>
      </c>
      <c r="AA44" t="n">
        <v>583</v>
      </c>
      <c r="AB44" t="n">
        <v>580.7</v>
      </c>
      <c r="AC44" t="n">
        <v>575.2</v>
      </c>
      <c r="AD44" t="n">
        <v>583.5</v>
      </c>
      <c r="AE44" t="n">
        <v>572.8</v>
      </c>
      <c r="AF44" t="n">
        <v>584</v>
      </c>
    </row>
    <row r="45">
      <c r="A45" t="s">
        <v>109</v>
      </c>
      <c r="B45" t="s">
        <v>360</v>
      </c>
      <c r="C45" t="s">
        <v>217</v>
      </c>
      <c r="D45" t="s">
        <v>361</v>
      </c>
      <c r="E45" t="s">
        <v>218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</row>
    <row r="46">
      <c r="A46" t="s">
        <v>109</v>
      </c>
      <c r="B46" t="s">
        <v>362</v>
      </c>
      <c r="C46" t="s">
        <v>217</v>
      </c>
      <c r="D46" t="s">
        <v>363</v>
      </c>
      <c r="E46" t="s">
        <v>218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109</v>
      </c>
      <c r="B47" t="s">
        <v>364</v>
      </c>
      <c r="C47" t="s">
        <v>217</v>
      </c>
      <c r="D47" t="s">
        <v>365</v>
      </c>
      <c r="E47" t="s">
        <v>218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s">
        <v>109</v>
      </c>
      <c r="B48" t="s">
        <v>366</v>
      </c>
      <c r="C48" t="s">
        <v>217</v>
      </c>
      <c r="D48" t="s">
        <v>367</v>
      </c>
      <c r="E48" t="s">
        <v>218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s">
        <v>109</v>
      </c>
      <c r="B49" t="s">
        <v>368</v>
      </c>
      <c r="C49" t="s">
        <v>217</v>
      </c>
      <c r="D49" t="s">
        <v>369</v>
      </c>
      <c r="E49" t="s">
        <v>218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109</v>
      </c>
      <c r="B50" t="s">
        <v>370</v>
      </c>
      <c r="C50" t="s">
        <v>217</v>
      </c>
      <c r="D50" t="s">
        <v>371</v>
      </c>
      <c r="E50" t="s">
        <v>218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109</v>
      </c>
      <c r="B51" t="s">
        <v>372</v>
      </c>
      <c r="C51" t="s">
        <v>217</v>
      </c>
      <c r="D51" t="s">
        <v>373</v>
      </c>
      <c r="E51" t="s">
        <v>218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109</v>
      </c>
      <c r="B52" t="s">
        <v>374</v>
      </c>
      <c r="C52" t="s">
        <v>217</v>
      </c>
      <c r="D52" t="s">
        <v>375</v>
      </c>
      <c r="E52" t="s">
        <v>218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109</v>
      </c>
      <c r="B53" t="s">
        <v>376</v>
      </c>
      <c r="C53" t="s">
        <v>217</v>
      </c>
      <c r="D53" t="s">
        <v>377</v>
      </c>
      <c r="E53" t="s">
        <v>218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109</v>
      </c>
      <c r="B54" t="s">
        <v>378</v>
      </c>
      <c r="C54" t="s">
        <v>217</v>
      </c>
      <c r="D54" t="s">
        <v>379</v>
      </c>
      <c r="E54" t="s">
        <v>218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s">
        <v>109</v>
      </c>
      <c r="B55" t="s">
        <v>380</v>
      </c>
      <c r="C55" t="s">
        <v>217</v>
      </c>
      <c r="D55" t="s">
        <v>381</v>
      </c>
      <c r="E55" t="s">
        <v>218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109</v>
      </c>
      <c r="B56" t="s">
        <v>382</v>
      </c>
      <c r="C56" t="s">
        <v>217</v>
      </c>
      <c r="D56" t="s">
        <v>383</v>
      </c>
      <c r="E56" t="s">
        <v>218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109</v>
      </c>
      <c r="B57" t="s">
        <v>384</v>
      </c>
      <c r="C57" t="s">
        <v>217</v>
      </c>
      <c r="D57" t="s">
        <v>385</v>
      </c>
      <c r="E57" t="s">
        <v>218</v>
      </c>
      <c r="F57" t="n">
        <v>236.1</v>
      </c>
      <c r="G57" t="n">
        <v>220.2</v>
      </c>
      <c r="H57" t="n">
        <v>208.2</v>
      </c>
      <c r="I57" t="n">
        <v>223.7</v>
      </c>
      <c r="J57" t="n">
        <v>223.5</v>
      </c>
      <c r="K57" t="n">
        <v>269.3</v>
      </c>
      <c r="L57" t="n">
        <v>324.7</v>
      </c>
      <c r="M57" t="n">
        <v>439.6</v>
      </c>
      <c r="N57" t="n">
        <v>479.7</v>
      </c>
      <c r="O57" t="n">
        <v>586.9</v>
      </c>
      <c r="P57" t="n">
        <v>604.1</v>
      </c>
      <c r="Q57" t="n">
        <v>688.8</v>
      </c>
      <c r="R57" t="n">
        <v>628.9</v>
      </c>
      <c r="S57" t="n">
        <v>711.7</v>
      </c>
      <c r="T57" t="n">
        <v>759.5</v>
      </c>
      <c r="U57" t="n">
        <v>761.6</v>
      </c>
      <c r="V57" t="n">
        <v>749.3</v>
      </c>
      <c r="W57" t="n">
        <v>480.7</v>
      </c>
      <c r="X57" t="n">
        <v>528.1</v>
      </c>
      <c r="Y57" t="n">
        <v>550.1</v>
      </c>
      <c r="Z57" t="n">
        <v>565.5</v>
      </c>
      <c r="AA57" t="n">
        <v>591.9</v>
      </c>
      <c r="AB57" t="n">
        <v>590.4</v>
      </c>
      <c r="AC57" t="n">
        <v>583.8</v>
      </c>
      <c r="AD57" t="n">
        <v>591.2</v>
      </c>
      <c r="AE57" t="n">
        <v>579.6</v>
      </c>
      <c r="AF57" t="n">
        <v>590.5</v>
      </c>
    </row>
    <row r="58">
      <c r="A58" t="s">
        <v>109</v>
      </c>
      <c r="B58" t="s">
        <v>386</v>
      </c>
      <c r="C58" t="s">
        <v>217</v>
      </c>
      <c r="D58" t="s">
        <v>387</v>
      </c>
      <c r="E58" t="s">
        <v>218</v>
      </c>
      <c r="F58" t="n">
        <v>236.1</v>
      </c>
      <c r="G58" t="n">
        <v>220.2</v>
      </c>
      <c r="H58" t="n">
        <v>208.2</v>
      </c>
      <c r="I58" t="n">
        <v>223.7</v>
      </c>
      <c r="J58" t="n">
        <v>223.5</v>
      </c>
      <c r="K58" t="n">
        <v>269.3</v>
      </c>
      <c r="L58" t="n">
        <v>324.7</v>
      </c>
      <c r="M58" t="n">
        <v>439.6</v>
      </c>
      <c r="N58" t="n">
        <v>479.7</v>
      </c>
      <c r="O58" t="n">
        <v>586.9</v>
      </c>
      <c r="P58" t="n">
        <v>604.1</v>
      </c>
      <c r="Q58" t="n">
        <v>688.8</v>
      </c>
      <c r="R58" t="n">
        <v>628.9</v>
      </c>
      <c r="S58" t="n">
        <v>711.7</v>
      </c>
      <c r="T58" t="n">
        <v>759.5</v>
      </c>
      <c r="U58" t="n">
        <v>761.6</v>
      </c>
      <c r="V58" t="n">
        <v>749.3</v>
      </c>
      <c r="W58" t="n">
        <v>480.7</v>
      </c>
      <c r="X58" t="n">
        <v>528.1</v>
      </c>
      <c r="Y58" t="n">
        <v>550.1</v>
      </c>
      <c r="Z58" t="n">
        <v>565.5</v>
      </c>
      <c r="AA58" t="n">
        <v>591.9</v>
      </c>
      <c r="AB58" t="n">
        <v>590.4</v>
      </c>
      <c r="AC58" t="n">
        <v>583.8</v>
      </c>
      <c r="AD58" t="n">
        <v>591.2</v>
      </c>
      <c r="AE58" t="n">
        <v>579.6</v>
      </c>
      <c r="AF58" t="n">
        <v>590.5</v>
      </c>
    </row>
    <row r="59">
      <c r="A59" t="s">
        <v>109</v>
      </c>
      <c r="B59" t="s">
        <v>388</v>
      </c>
      <c r="C59" t="s">
        <v>217</v>
      </c>
      <c r="D59" t="s">
        <v>389</v>
      </c>
      <c r="E59" t="s">
        <v>218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111</v>
      </c>
      <c r="B2" t="s">
        <v>197</v>
      </c>
      <c r="C2" t="s">
        <v>217</v>
      </c>
      <c r="D2" t="s">
        <v>199</v>
      </c>
      <c r="E2" t="s">
        <v>218</v>
      </c>
      <c r="F2" t="n">
        <v>0.9</v>
      </c>
      <c r="G2" t="n">
        <v>1.1</v>
      </c>
      <c r="H2" t="n">
        <v>1.3</v>
      </c>
      <c r="I2" t="n">
        <v>1.5</v>
      </c>
      <c r="J2" t="n">
        <v>1.8</v>
      </c>
      <c r="K2" t="n">
        <v>2.2</v>
      </c>
      <c r="L2" t="n">
        <v>2.7</v>
      </c>
      <c r="M2" t="n">
        <v>3.1</v>
      </c>
      <c r="N2" t="n">
        <v>3.5</v>
      </c>
      <c r="O2" t="n">
        <v>3.9</v>
      </c>
      <c r="P2" t="n">
        <v>4.3</v>
      </c>
      <c r="Q2" t="n">
        <v>4.8</v>
      </c>
      <c r="R2" t="n">
        <v>5.2</v>
      </c>
      <c r="S2" t="n">
        <v>5.9</v>
      </c>
      <c r="T2" t="n">
        <v>6.2</v>
      </c>
      <c r="U2" t="n">
        <v>6.4</v>
      </c>
      <c r="V2" t="n">
        <v>6.6</v>
      </c>
      <c r="W2" t="n">
        <v>6.4</v>
      </c>
      <c r="X2" t="n">
        <v>6.2</v>
      </c>
      <c r="Y2" t="n">
        <v>6</v>
      </c>
      <c r="Z2" t="n">
        <v>5.7</v>
      </c>
      <c r="AA2" t="n">
        <v>5.8</v>
      </c>
      <c r="AB2" t="n">
        <v>6.7</v>
      </c>
      <c r="AC2" t="n">
        <v>6.7</v>
      </c>
      <c r="AD2" t="n">
        <v>10</v>
      </c>
      <c r="AE2" t="n">
        <v>13.6</v>
      </c>
      <c r="AF2" t="n">
        <v>17.3</v>
      </c>
    </row>
    <row r="3">
      <c r="A3" t="s">
        <v>111</v>
      </c>
      <c r="B3" t="s">
        <v>276</v>
      </c>
      <c r="C3" t="s">
        <v>217</v>
      </c>
      <c r="D3" t="s">
        <v>277</v>
      </c>
      <c r="E3" t="s">
        <v>218</v>
      </c>
      <c r="F3" t="n">
        <v>0.2</v>
      </c>
      <c r="G3" t="n">
        <v>0.2</v>
      </c>
      <c r="H3" t="n">
        <v>0.2</v>
      </c>
      <c r="I3" t="n">
        <v>0.3</v>
      </c>
      <c r="J3" t="n">
        <v>0.3</v>
      </c>
      <c r="K3" t="n">
        <v>0.4</v>
      </c>
      <c r="L3" t="n">
        <v>0.5</v>
      </c>
      <c r="M3" t="n">
        <v>0.6</v>
      </c>
      <c r="N3" t="n">
        <v>0.6</v>
      </c>
      <c r="O3" t="n">
        <v>0.7</v>
      </c>
      <c r="P3" t="n">
        <v>0.8</v>
      </c>
      <c r="Q3" t="n">
        <v>0.9</v>
      </c>
      <c r="R3" t="n">
        <v>1</v>
      </c>
      <c r="S3" t="n">
        <v>1.1</v>
      </c>
      <c r="T3" t="n">
        <v>1.2</v>
      </c>
      <c r="U3" t="n">
        <v>1.2</v>
      </c>
      <c r="V3" t="n">
        <v>1.3</v>
      </c>
      <c r="W3" t="n">
        <v>1.2</v>
      </c>
      <c r="X3" t="n">
        <v>1.2</v>
      </c>
      <c r="Y3" t="n">
        <v>1.2</v>
      </c>
      <c r="Z3" t="n">
        <v>1</v>
      </c>
      <c r="AA3" t="n">
        <v>1</v>
      </c>
      <c r="AB3" t="n">
        <v>7</v>
      </c>
      <c r="AC3" t="n">
        <v>11.4</v>
      </c>
      <c r="AD3" t="n">
        <v>19.4</v>
      </c>
      <c r="AE3" t="n">
        <v>21.7</v>
      </c>
      <c r="AF3" t="n">
        <v>24.7</v>
      </c>
    </row>
    <row r="4">
      <c r="A4" t="s">
        <v>111</v>
      </c>
      <c r="B4" t="s">
        <v>278</v>
      </c>
      <c r="C4" t="s">
        <v>217</v>
      </c>
      <c r="D4" t="s">
        <v>279</v>
      </c>
      <c r="E4" t="s">
        <v>218</v>
      </c>
      <c r="F4" t="n">
        <v>95.5</v>
      </c>
      <c r="G4" t="n">
        <v>118.9</v>
      </c>
      <c r="H4" t="n">
        <v>138.7</v>
      </c>
      <c r="I4" t="n">
        <v>170.3</v>
      </c>
      <c r="J4" t="n">
        <v>208.3</v>
      </c>
      <c r="K4" t="n">
        <v>250.5</v>
      </c>
      <c r="L4" t="n">
        <v>298.5</v>
      </c>
      <c r="M4" t="n">
        <v>337.2</v>
      </c>
      <c r="N4" t="n">
        <v>382.4</v>
      </c>
      <c r="O4" t="n">
        <v>426.1</v>
      </c>
      <c r="P4" t="n">
        <v>478.9</v>
      </c>
      <c r="Q4" t="n">
        <v>534.5</v>
      </c>
      <c r="R4" t="n">
        <v>594.6</v>
      </c>
      <c r="S4" t="n">
        <v>686.2</v>
      </c>
      <c r="T4" t="n">
        <v>729.2</v>
      </c>
      <c r="U4" t="n">
        <v>755.9</v>
      </c>
      <c r="V4" t="n">
        <v>790.8</v>
      </c>
      <c r="W4" t="n">
        <v>769.7</v>
      </c>
      <c r="X4" t="n">
        <v>749</v>
      </c>
      <c r="Y4" t="n">
        <v>726.4</v>
      </c>
      <c r="Z4" t="n">
        <v>658.4</v>
      </c>
      <c r="AA4" t="n">
        <v>643.3</v>
      </c>
      <c r="AB4" t="n">
        <v>689.6</v>
      </c>
      <c r="AC4" t="n">
        <v>702.3</v>
      </c>
      <c r="AD4" t="n">
        <v>756.3</v>
      </c>
      <c r="AE4" t="n">
        <v>829.4</v>
      </c>
      <c r="AF4" t="n">
        <v>931.3</v>
      </c>
    </row>
    <row r="5">
      <c r="A5" t="s">
        <v>111</v>
      </c>
      <c r="B5" t="s">
        <v>280</v>
      </c>
      <c r="C5" t="s">
        <v>217</v>
      </c>
      <c r="D5" t="s">
        <v>281</v>
      </c>
      <c r="E5" t="s">
        <v>218</v>
      </c>
      <c r="F5" t="n">
        <v>8.8</v>
      </c>
      <c r="G5" t="n">
        <v>10.9</v>
      </c>
      <c r="H5" t="n">
        <v>12.6</v>
      </c>
      <c r="I5" t="n">
        <v>15.3</v>
      </c>
      <c r="J5" t="n">
        <v>18.5</v>
      </c>
      <c r="K5" t="n">
        <v>22.4</v>
      </c>
      <c r="L5" t="n">
        <v>27.2</v>
      </c>
      <c r="M5" t="n">
        <v>30.9</v>
      </c>
      <c r="N5" t="n">
        <v>35.1</v>
      </c>
      <c r="O5" t="n">
        <v>38.9</v>
      </c>
      <c r="P5" t="n">
        <v>43.6</v>
      </c>
      <c r="Q5" t="n">
        <v>48.5</v>
      </c>
      <c r="R5" t="n">
        <v>53.4</v>
      </c>
      <c r="S5" t="n">
        <v>61.2</v>
      </c>
      <c r="T5" t="n">
        <v>64.7</v>
      </c>
      <c r="U5" t="n">
        <v>66.9</v>
      </c>
      <c r="V5" t="n">
        <v>69.8</v>
      </c>
      <c r="W5" t="n">
        <v>67.8</v>
      </c>
      <c r="X5" t="n">
        <v>65.8</v>
      </c>
      <c r="Y5" t="n">
        <v>63.7</v>
      </c>
      <c r="Z5" t="n">
        <v>60.8</v>
      </c>
      <c r="AA5" t="n">
        <v>63.3</v>
      </c>
      <c r="AB5" t="n">
        <v>65.7</v>
      </c>
      <c r="AC5" t="n">
        <v>61.9</v>
      </c>
      <c r="AD5" t="n">
        <v>69.1</v>
      </c>
      <c r="AE5" t="n">
        <v>76.9</v>
      </c>
      <c r="AF5" t="n">
        <v>87.3</v>
      </c>
    </row>
    <row r="6">
      <c r="A6" t="s">
        <v>111</v>
      </c>
      <c r="B6" t="s">
        <v>282</v>
      </c>
      <c r="C6" t="s">
        <v>217</v>
      </c>
      <c r="D6" t="s">
        <v>283</v>
      </c>
      <c r="E6" t="s">
        <v>218</v>
      </c>
      <c r="F6" t="n">
        <v>0.8</v>
      </c>
      <c r="G6" t="n">
        <v>0.9</v>
      </c>
      <c r="H6" t="n">
        <v>1.1</v>
      </c>
      <c r="I6" t="n">
        <v>1.3</v>
      </c>
      <c r="J6" t="n">
        <v>1.5</v>
      </c>
      <c r="K6" t="n">
        <v>1.8</v>
      </c>
      <c r="L6" t="n">
        <v>2.3</v>
      </c>
      <c r="M6" t="n">
        <v>2.6</v>
      </c>
      <c r="N6" t="n">
        <v>3</v>
      </c>
      <c r="O6" t="n">
        <v>3.3</v>
      </c>
      <c r="P6" t="n">
        <v>3.7</v>
      </c>
      <c r="Q6" t="n">
        <v>4.1</v>
      </c>
      <c r="R6" t="n">
        <v>4.4</v>
      </c>
      <c r="S6" t="n">
        <v>5</v>
      </c>
      <c r="T6" t="n">
        <v>5.2</v>
      </c>
      <c r="U6" t="n">
        <v>5.3</v>
      </c>
      <c r="V6" t="n">
        <v>5.5</v>
      </c>
      <c r="W6" t="n">
        <v>5.4</v>
      </c>
      <c r="X6" t="n">
        <v>5.2</v>
      </c>
      <c r="Y6" t="n">
        <v>5</v>
      </c>
      <c r="Z6" t="n">
        <v>5.6</v>
      </c>
      <c r="AA6" t="n">
        <v>6.8</v>
      </c>
      <c r="AB6" t="n">
        <v>7.3</v>
      </c>
      <c r="AC6" t="n">
        <v>6.7</v>
      </c>
      <c r="AD6" t="n">
        <v>7.4</v>
      </c>
      <c r="AE6" t="n">
        <v>7.4</v>
      </c>
      <c r="AF6" t="n">
        <v>7.7</v>
      </c>
    </row>
    <row r="7">
      <c r="A7" t="s">
        <v>111</v>
      </c>
      <c r="B7" t="s">
        <v>284</v>
      </c>
      <c r="C7" t="s">
        <v>217</v>
      </c>
      <c r="D7" t="s">
        <v>285</v>
      </c>
      <c r="E7" t="s">
        <v>218</v>
      </c>
      <c r="F7" t="n">
        <v>5.4</v>
      </c>
      <c r="G7" t="n">
        <v>6.7</v>
      </c>
      <c r="H7" t="n">
        <v>7.9</v>
      </c>
      <c r="I7" t="n">
        <v>9.7</v>
      </c>
      <c r="J7" t="n">
        <v>11.9</v>
      </c>
      <c r="K7" t="n">
        <v>14.3</v>
      </c>
      <c r="L7" t="n">
        <v>17</v>
      </c>
      <c r="M7" t="n">
        <v>19.2</v>
      </c>
      <c r="N7" t="n">
        <v>21.8</v>
      </c>
      <c r="O7" t="n">
        <v>24.3</v>
      </c>
      <c r="P7" t="n">
        <v>27.3</v>
      </c>
      <c r="Q7" t="n">
        <v>30.5</v>
      </c>
      <c r="R7" t="n">
        <v>34.1</v>
      </c>
      <c r="S7" t="n">
        <v>39.4</v>
      </c>
      <c r="T7" t="n">
        <v>41.9</v>
      </c>
      <c r="U7" t="n">
        <v>43.5</v>
      </c>
      <c r="V7" t="n">
        <v>45.5</v>
      </c>
      <c r="W7" t="n">
        <v>44.3</v>
      </c>
      <c r="X7" t="n">
        <v>43.1</v>
      </c>
      <c r="Y7" t="n">
        <v>41.8</v>
      </c>
      <c r="Z7" t="n">
        <v>35.3</v>
      </c>
      <c r="AA7" t="n">
        <v>31.5</v>
      </c>
      <c r="AB7" t="n">
        <v>29.6</v>
      </c>
      <c r="AC7" t="n">
        <v>26.9</v>
      </c>
      <c r="AD7" t="n">
        <v>23.4</v>
      </c>
      <c r="AE7" t="n">
        <v>21.2</v>
      </c>
      <c r="AF7" t="n">
        <v>20.2</v>
      </c>
    </row>
    <row r="8">
      <c r="A8" t="s">
        <v>111</v>
      </c>
      <c r="B8" t="s">
        <v>286</v>
      </c>
      <c r="C8" t="s">
        <v>217</v>
      </c>
      <c r="D8" t="s">
        <v>287</v>
      </c>
      <c r="E8" t="s">
        <v>218</v>
      </c>
      <c r="F8" t="n">
        <v>0.3</v>
      </c>
      <c r="G8" t="n">
        <v>0.4</v>
      </c>
      <c r="H8" t="n">
        <v>0.4</v>
      </c>
      <c r="I8" t="n">
        <v>0.5</v>
      </c>
      <c r="J8" t="n">
        <v>0.6</v>
      </c>
      <c r="K8" t="n">
        <v>0.7</v>
      </c>
      <c r="L8" t="n">
        <v>0.9</v>
      </c>
      <c r="M8" t="n">
        <v>1</v>
      </c>
      <c r="N8" t="n">
        <v>1.2</v>
      </c>
      <c r="O8" t="n">
        <v>1.3</v>
      </c>
      <c r="P8" t="n">
        <v>1.5</v>
      </c>
      <c r="Q8" t="n">
        <v>1.6</v>
      </c>
      <c r="R8" t="n">
        <v>1.8</v>
      </c>
      <c r="S8" t="n">
        <v>2</v>
      </c>
      <c r="T8" t="n">
        <v>2.1</v>
      </c>
      <c r="U8" t="n">
        <v>2.2</v>
      </c>
      <c r="V8" t="n">
        <v>2.3</v>
      </c>
      <c r="W8" t="n">
        <v>2.2</v>
      </c>
      <c r="X8" t="n">
        <v>2.2</v>
      </c>
      <c r="Y8" t="n">
        <v>2.1</v>
      </c>
      <c r="Z8" t="n">
        <v>4</v>
      </c>
      <c r="AA8" t="n">
        <v>6.6</v>
      </c>
      <c r="AB8" t="n">
        <v>34.3</v>
      </c>
      <c r="AC8" t="n">
        <v>59.6</v>
      </c>
      <c r="AD8" t="n">
        <v>79.1</v>
      </c>
      <c r="AE8" t="n">
        <v>104.6</v>
      </c>
      <c r="AF8" t="n">
        <v>131.9</v>
      </c>
    </row>
    <row r="9">
      <c r="A9" t="s">
        <v>111</v>
      </c>
      <c r="B9" t="s">
        <v>288</v>
      </c>
      <c r="C9" t="s">
        <v>217</v>
      </c>
      <c r="D9" t="s">
        <v>289</v>
      </c>
      <c r="E9" t="s">
        <v>218</v>
      </c>
      <c r="F9" t="n">
        <v>8.2</v>
      </c>
      <c r="G9" t="n">
        <v>10.2</v>
      </c>
      <c r="H9" t="n">
        <v>11.8</v>
      </c>
      <c r="I9" t="n">
        <v>14.3</v>
      </c>
      <c r="J9" t="n">
        <v>17.3</v>
      </c>
      <c r="K9" t="n">
        <v>21</v>
      </c>
      <c r="L9" t="n">
        <v>25.4</v>
      </c>
      <c r="M9" t="n">
        <v>28.8</v>
      </c>
      <c r="N9" t="n">
        <v>32.7</v>
      </c>
      <c r="O9" t="n">
        <v>36.3</v>
      </c>
      <c r="P9" t="n">
        <v>40.7</v>
      </c>
      <c r="Q9" t="n">
        <v>45.3</v>
      </c>
      <c r="R9" t="n">
        <v>50</v>
      </c>
      <c r="S9" t="n">
        <v>57.3</v>
      </c>
      <c r="T9" t="n">
        <v>60.7</v>
      </c>
      <c r="U9" t="n">
        <v>62.7</v>
      </c>
      <c r="V9" t="n">
        <v>65.5</v>
      </c>
      <c r="W9" t="n">
        <v>63.6</v>
      </c>
      <c r="X9" t="n">
        <v>61.8</v>
      </c>
      <c r="Y9" t="n">
        <v>59.8</v>
      </c>
      <c r="Z9" t="n">
        <v>52.4</v>
      </c>
      <c r="AA9" t="n">
        <v>49.1</v>
      </c>
      <c r="AB9" t="n">
        <v>55.1</v>
      </c>
      <c r="AC9" t="n">
        <v>53.6</v>
      </c>
      <c r="AD9" t="n">
        <v>62</v>
      </c>
      <c r="AE9" t="n">
        <v>73.1</v>
      </c>
      <c r="AF9" t="n">
        <v>86.1</v>
      </c>
    </row>
    <row r="10">
      <c r="A10" t="s">
        <v>111</v>
      </c>
      <c r="B10" t="s">
        <v>290</v>
      </c>
      <c r="C10" t="s">
        <v>217</v>
      </c>
      <c r="D10" t="s">
        <v>291</v>
      </c>
      <c r="E10" t="s">
        <v>218</v>
      </c>
      <c r="F10" t="n">
        <v>37.5</v>
      </c>
      <c r="G10" t="n">
        <v>47</v>
      </c>
      <c r="H10" t="n">
        <v>55</v>
      </c>
      <c r="I10" t="n">
        <v>68.3</v>
      </c>
      <c r="J10" t="n">
        <v>84.5</v>
      </c>
      <c r="K10" t="n">
        <v>101.4</v>
      </c>
      <c r="L10" t="n">
        <v>119.3</v>
      </c>
      <c r="M10" t="n">
        <v>134.2</v>
      </c>
      <c r="N10" t="n">
        <v>152.1</v>
      </c>
      <c r="O10" t="n">
        <v>170.2</v>
      </c>
      <c r="P10" t="n">
        <v>191.9</v>
      </c>
      <c r="Q10" t="n">
        <v>214.6</v>
      </c>
      <c r="R10" t="n">
        <v>240.7</v>
      </c>
      <c r="S10" t="n">
        <v>279.1</v>
      </c>
      <c r="T10" t="n">
        <v>297.7</v>
      </c>
      <c r="U10" t="n">
        <v>309.6</v>
      </c>
      <c r="V10" t="n">
        <v>324.4</v>
      </c>
      <c r="W10" t="n">
        <v>315.9</v>
      </c>
      <c r="X10" t="n">
        <v>307.6</v>
      </c>
      <c r="Y10" t="n">
        <v>298.4</v>
      </c>
      <c r="Z10" t="n">
        <v>265.7</v>
      </c>
      <c r="AA10" t="n">
        <v>254.6</v>
      </c>
      <c r="AB10" t="n">
        <v>257.2</v>
      </c>
      <c r="AC10" t="n">
        <v>258.3</v>
      </c>
      <c r="AD10" t="n">
        <v>274.7</v>
      </c>
      <c r="AE10" t="n">
        <v>302.4</v>
      </c>
      <c r="AF10" t="n">
        <v>340.4</v>
      </c>
    </row>
    <row r="11">
      <c r="A11" t="s">
        <v>111</v>
      </c>
      <c r="B11" t="s">
        <v>292</v>
      </c>
      <c r="C11" t="s">
        <v>217</v>
      </c>
      <c r="D11" t="s">
        <v>293</v>
      </c>
      <c r="E11" t="s">
        <v>218</v>
      </c>
      <c r="F11" t="n">
        <v>29.3</v>
      </c>
      <c r="G11" t="n">
        <v>36.8</v>
      </c>
      <c r="H11" t="n">
        <v>43.2</v>
      </c>
      <c r="I11" t="n">
        <v>54</v>
      </c>
      <c r="J11" t="n">
        <v>67.2</v>
      </c>
      <c r="K11" t="n">
        <v>80.4</v>
      </c>
      <c r="L11" t="n">
        <v>93.9</v>
      </c>
      <c r="M11" t="n">
        <v>105.4</v>
      </c>
      <c r="N11" t="n">
        <v>119.4</v>
      </c>
      <c r="O11" t="n">
        <v>133.9</v>
      </c>
      <c r="P11" t="n">
        <v>151.2</v>
      </c>
      <c r="Q11" t="n">
        <v>169.3</v>
      </c>
      <c r="R11" t="n">
        <v>190.7</v>
      </c>
      <c r="S11" t="n">
        <v>221.8</v>
      </c>
      <c r="T11" t="n">
        <v>237</v>
      </c>
      <c r="U11" t="n">
        <v>246.9</v>
      </c>
      <c r="V11" t="n">
        <v>258.9</v>
      </c>
      <c r="W11" t="n">
        <v>252.3</v>
      </c>
      <c r="X11" t="n">
        <v>245.8</v>
      </c>
      <c r="Y11" t="n">
        <v>238.6</v>
      </c>
      <c r="Z11" t="n">
        <v>213.3</v>
      </c>
      <c r="AA11" t="n">
        <v>205.5</v>
      </c>
      <c r="AB11" t="n">
        <v>202.1</v>
      </c>
      <c r="AC11" t="n">
        <v>204.7</v>
      </c>
      <c r="AD11" t="n">
        <v>212.7</v>
      </c>
      <c r="AE11" t="n">
        <v>229.3</v>
      </c>
      <c r="AF11" t="n">
        <v>254.3</v>
      </c>
    </row>
    <row r="12">
      <c r="A12" t="s">
        <v>111</v>
      </c>
      <c r="B12" t="s">
        <v>294</v>
      </c>
      <c r="C12" t="s">
        <v>217</v>
      </c>
      <c r="D12" t="s">
        <v>295</v>
      </c>
      <c r="E12" t="s">
        <v>218</v>
      </c>
      <c r="F12" t="n">
        <v>3.3</v>
      </c>
      <c r="G12" t="n">
        <v>4.1</v>
      </c>
      <c r="H12" t="n">
        <v>4.8</v>
      </c>
      <c r="I12" t="n">
        <v>5.7</v>
      </c>
      <c r="J12" t="n">
        <v>6.9</v>
      </c>
      <c r="K12" t="n">
        <v>8.3</v>
      </c>
      <c r="L12" t="n">
        <v>10.2</v>
      </c>
      <c r="M12" t="n">
        <v>11.7</v>
      </c>
      <c r="N12" t="n">
        <v>13.2</v>
      </c>
      <c r="O12" t="n">
        <v>14.6</v>
      </c>
      <c r="P12" t="n">
        <v>16.4</v>
      </c>
      <c r="Q12" t="n">
        <v>18.2</v>
      </c>
      <c r="R12" t="n">
        <v>19.9</v>
      </c>
      <c r="S12" t="n">
        <v>22.7</v>
      </c>
      <c r="T12" t="n">
        <v>24</v>
      </c>
      <c r="U12" t="n">
        <v>24.7</v>
      </c>
      <c r="V12" t="n">
        <v>25.7</v>
      </c>
      <c r="W12" t="n">
        <v>25</v>
      </c>
      <c r="X12" t="n">
        <v>24.2</v>
      </c>
      <c r="Y12" t="n">
        <v>23.5</v>
      </c>
      <c r="Z12" t="n">
        <v>20.8</v>
      </c>
      <c r="AA12" t="n">
        <v>19.8</v>
      </c>
      <c r="AB12" t="n">
        <v>22.4</v>
      </c>
      <c r="AC12" t="n">
        <v>23.8</v>
      </c>
      <c r="AD12" t="n">
        <v>32.2</v>
      </c>
      <c r="AE12" t="n">
        <v>42.5</v>
      </c>
      <c r="AF12" t="n">
        <v>53.6</v>
      </c>
    </row>
    <row r="13">
      <c r="A13" t="s">
        <v>111</v>
      </c>
      <c r="B13" t="s">
        <v>296</v>
      </c>
      <c r="C13" t="s">
        <v>217</v>
      </c>
      <c r="D13" t="s">
        <v>297</v>
      </c>
      <c r="E13" t="s">
        <v>218</v>
      </c>
      <c r="F13" t="n">
        <v>12.6</v>
      </c>
      <c r="G13" t="n">
        <v>15.6</v>
      </c>
      <c r="H13" t="n">
        <v>18.2</v>
      </c>
      <c r="I13" t="n">
        <v>22.3</v>
      </c>
      <c r="J13" t="n">
        <v>27</v>
      </c>
      <c r="K13" t="n">
        <v>32.3</v>
      </c>
      <c r="L13" t="n">
        <v>38.2</v>
      </c>
      <c r="M13" t="n">
        <v>43.1</v>
      </c>
      <c r="N13" t="n">
        <v>48.7</v>
      </c>
      <c r="O13" t="n">
        <v>54.2</v>
      </c>
      <c r="P13" t="n">
        <v>60.8</v>
      </c>
      <c r="Q13" t="n">
        <v>67.8</v>
      </c>
      <c r="R13" t="n">
        <v>75.2</v>
      </c>
      <c r="S13" t="n">
        <v>87</v>
      </c>
      <c r="T13" t="n">
        <v>92.5</v>
      </c>
      <c r="U13" t="n">
        <v>95.5</v>
      </c>
      <c r="V13" t="n">
        <v>99.9</v>
      </c>
      <c r="W13" t="n">
        <v>97.6</v>
      </c>
      <c r="X13" t="n">
        <v>95.3</v>
      </c>
      <c r="Y13" t="n">
        <v>92.7</v>
      </c>
      <c r="Z13" t="n">
        <v>92.3</v>
      </c>
      <c r="AA13" t="n">
        <v>98.2</v>
      </c>
      <c r="AB13" t="n">
        <v>111.1</v>
      </c>
      <c r="AC13" t="n">
        <v>117.3</v>
      </c>
      <c r="AD13" t="n">
        <v>121.8</v>
      </c>
      <c r="AE13" t="n">
        <v>125.8</v>
      </c>
      <c r="AF13" t="n">
        <v>134.9</v>
      </c>
    </row>
    <row r="14">
      <c r="A14" t="s">
        <v>111</v>
      </c>
      <c r="B14" t="s">
        <v>298</v>
      </c>
      <c r="C14" t="s">
        <v>217</v>
      </c>
      <c r="D14" t="s">
        <v>299</v>
      </c>
      <c r="E14" t="s">
        <v>218</v>
      </c>
      <c r="F14" t="n">
        <v>11.7</v>
      </c>
      <c r="G14" t="n">
        <v>14.5</v>
      </c>
      <c r="H14" t="n">
        <v>16.8</v>
      </c>
      <c r="I14" t="n">
        <v>20.2</v>
      </c>
      <c r="J14" t="n">
        <v>24.2</v>
      </c>
      <c r="K14" t="n">
        <v>29.4</v>
      </c>
      <c r="L14" t="n">
        <v>36</v>
      </c>
      <c r="M14" t="n">
        <v>41</v>
      </c>
      <c r="N14" t="n">
        <v>46.6</v>
      </c>
      <c r="O14" t="n">
        <v>51.6</v>
      </c>
      <c r="P14" t="n">
        <v>57.6</v>
      </c>
      <c r="Q14" t="n">
        <v>64.1</v>
      </c>
      <c r="R14" t="n">
        <v>70.2</v>
      </c>
      <c r="S14" t="n">
        <v>80.1</v>
      </c>
      <c r="T14" t="n">
        <v>84.5</v>
      </c>
      <c r="U14" t="n">
        <v>87.2</v>
      </c>
      <c r="V14" t="n">
        <v>90.9</v>
      </c>
      <c r="W14" t="n">
        <v>88.2</v>
      </c>
      <c r="X14" t="n">
        <v>85.6</v>
      </c>
      <c r="Y14" t="n">
        <v>82.8</v>
      </c>
      <c r="Z14" t="n">
        <v>72.2</v>
      </c>
      <c r="AA14" t="n">
        <v>67.3</v>
      </c>
      <c r="AB14" t="n">
        <v>68</v>
      </c>
      <c r="AC14" t="n">
        <v>59.2</v>
      </c>
      <c r="AD14" t="n">
        <v>59.3</v>
      </c>
      <c r="AE14" t="n">
        <v>55.8</v>
      </c>
      <c r="AF14" t="n">
        <v>55.3</v>
      </c>
    </row>
    <row r="15">
      <c r="A15" t="s">
        <v>111</v>
      </c>
      <c r="B15" t="s">
        <v>300</v>
      </c>
      <c r="C15" t="s">
        <v>217</v>
      </c>
      <c r="D15" t="s">
        <v>301</v>
      </c>
      <c r="E15" t="s">
        <v>218</v>
      </c>
      <c r="F15" t="n">
        <v>16.8</v>
      </c>
      <c r="G15" t="n">
        <v>20.9</v>
      </c>
      <c r="H15" t="n">
        <v>24.3</v>
      </c>
      <c r="I15" t="n">
        <v>29.5</v>
      </c>
      <c r="J15" t="n">
        <v>35.8</v>
      </c>
      <c r="K15" t="n">
        <v>43.3</v>
      </c>
      <c r="L15" t="n">
        <v>52.3</v>
      </c>
      <c r="M15" t="n">
        <v>59.3</v>
      </c>
      <c r="N15" t="n">
        <v>67.3</v>
      </c>
      <c r="O15" t="n">
        <v>74.8</v>
      </c>
      <c r="P15" t="n">
        <v>83.8</v>
      </c>
      <c r="Q15" t="n">
        <v>93.4</v>
      </c>
      <c r="R15" t="n">
        <v>103.2</v>
      </c>
      <c r="S15" t="n">
        <v>118.5</v>
      </c>
      <c r="T15" t="n">
        <v>125.5</v>
      </c>
      <c r="U15" t="n">
        <v>129.9</v>
      </c>
      <c r="V15" t="n">
        <v>135.7</v>
      </c>
      <c r="W15" t="n">
        <v>131.9</v>
      </c>
      <c r="X15" t="n">
        <v>128.1</v>
      </c>
      <c r="Y15" t="n">
        <v>124.1</v>
      </c>
      <c r="Z15" t="n">
        <v>108.9</v>
      </c>
      <c r="AA15" t="n">
        <v>102.5</v>
      </c>
      <c r="AB15" t="n">
        <v>104.3</v>
      </c>
      <c r="AC15" t="n">
        <v>96</v>
      </c>
      <c r="AD15" t="n">
        <v>98.9</v>
      </c>
      <c r="AE15" t="n">
        <v>99.4</v>
      </c>
      <c r="AF15" t="n">
        <v>104.4</v>
      </c>
    </row>
    <row r="16">
      <c r="A16" t="s">
        <v>111</v>
      </c>
      <c r="B16" t="s">
        <v>302</v>
      </c>
      <c r="C16" t="s">
        <v>217</v>
      </c>
      <c r="D16" t="s">
        <v>303</v>
      </c>
      <c r="E16" t="s">
        <v>218</v>
      </c>
      <c r="F16" t="n">
        <v>5.1</v>
      </c>
      <c r="G16" t="n">
        <v>6.4</v>
      </c>
      <c r="H16" t="n">
        <v>7.5</v>
      </c>
      <c r="I16" t="n">
        <v>9.3</v>
      </c>
      <c r="J16" t="n">
        <v>11.6</v>
      </c>
      <c r="K16" t="n">
        <v>13.9</v>
      </c>
      <c r="L16" t="n">
        <v>16.3</v>
      </c>
      <c r="M16" t="n">
        <v>18.3</v>
      </c>
      <c r="N16" t="n">
        <v>20.7</v>
      </c>
      <c r="O16" t="n">
        <v>23.2</v>
      </c>
      <c r="P16" t="n">
        <v>26.2</v>
      </c>
      <c r="Q16" t="n">
        <v>29.3</v>
      </c>
      <c r="R16" t="n">
        <v>33</v>
      </c>
      <c r="S16" t="n">
        <v>38.4</v>
      </c>
      <c r="T16" t="n">
        <v>41</v>
      </c>
      <c r="U16" t="n">
        <v>42.7</v>
      </c>
      <c r="V16" t="n">
        <v>44.8</v>
      </c>
      <c r="W16" t="n">
        <v>43.7</v>
      </c>
      <c r="X16" t="n">
        <v>42.5</v>
      </c>
      <c r="Y16" t="n">
        <v>41.3</v>
      </c>
      <c r="Z16" t="n">
        <v>36.7</v>
      </c>
      <c r="AA16" t="n">
        <v>35.2</v>
      </c>
      <c r="AB16" t="n">
        <v>36.3</v>
      </c>
      <c r="AC16" t="n">
        <v>36.8</v>
      </c>
      <c r="AD16" t="n">
        <v>39.6</v>
      </c>
      <c r="AE16" t="n">
        <v>43.6</v>
      </c>
      <c r="AF16" t="n">
        <v>49.1</v>
      </c>
    </row>
    <row r="17">
      <c r="A17" t="s">
        <v>111</v>
      </c>
      <c r="B17" t="s">
        <v>304</v>
      </c>
      <c r="C17" t="s">
        <v>217</v>
      </c>
      <c r="D17" t="s">
        <v>305</v>
      </c>
      <c r="E17" t="s">
        <v>218</v>
      </c>
      <c r="F17" t="n">
        <v>3.4</v>
      </c>
      <c r="G17" t="n">
        <v>4.2</v>
      </c>
      <c r="H17" t="n">
        <v>4.9</v>
      </c>
      <c r="I17" t="n">
        <v>6.1</v>
      </c>
      <c r="J17" t="n">
        <v>7.5</v>
      </c>
      <c r="K17" t="n">
        <v>9</v>
      </c>
      <c r="L17" t="n">
        <v>10.6</v>
      </c>
      <c r="M17" t="n">
        <v>12</v>
      </c>
      <c r="N17" t="n">
        <v>13.6</v>
      </c>
      <c r="O17" t="n">
        <v>15.2</v>
      </c>
      <c r="P17" t="n">
        <v>17.1</v>
      </c>
      <c r="Q17" t="n">
        <v>19.1</v>
      </c>
      <c r="R17" t="n">
        <v>21.3</v>
      </c>
      <c r="S17" t="n">
        <v>24.7</v>
      </c>
      <c r="T17" t="n">
        <v>26.2</v>
      </c>
      <c r="U17" t="n">
        <v>27.2</v>
      </c>
      <c r="V17" t="n">
        <v>28.5</v>
      </c>
      <c r="W17" t="n">
        <v>27.7</v>
      </c>
      <c r="X17" t="n">
        <v>27</v>
      </c>
      <c r="Y17" t="n">
        <v>26.2</v>
      </c>
      <c r="Z17" t="n">
        <v>24.8</v>
      </c>
      <c r="AA17" t="n">
        <v>25.6</v>
      </c>
      <c r="AB17" t="n">
        <v>27.6</v>
      </c>
      <c r="AC17" t="n">
        <v>25.7</v>
      </c>
      <c r="AD17" t="n">
        <v>26.6</v>
      </c>
      <c r="AE17" t="n">
        <v>28</v>
      </c>
      <c r="AF17" t="n">
        <v>30.4</v>
      </c>
    </row>
    <row r="18">
      <c r="A18" t="s">
        <v>111</v>
      </c>
      <c r="B18" t="s">
        <v>306</v>
      </c>
      <c r="C18" t="s">
        <v>217</v>
      </c>
      <c r="D18" t="s">
        <v>307</v>
      </c>
      <c r="E18" t="s">
        <v>218</v>
      </c>
      <c r="F18" t="n">
        <v>3.7</v>
      </c>
      <c r="G18" t="n">
        <v>4.6</v>
      </c>
      <c r="H18" t="n">
        <v>5.4</v>
      </c>
      <c r="I18" t="n">
        <v>6.6</v>
      </c>
      <c r="J18" t="n">
        <v>8</v>
      </c>
      <c r="K18" t="n">
        <v>9.7</v>
      </c>
      <c r="L18" t="n">
        <v>11.6</v>
      </c>
      <c r="M18" t="n">
        <v>13.1</v>
      </c>
      <c r="N18" t="n">
        <v>14.9</v>
      </c>
      <c r="O18" t="n">
        <v>16.6</v>
      </c>
      <c r="P18" t="n">
        <v>18.6</v>
      </c>
      <c r="Q18" t="n">
        <v>20.8</v>
      </c>
      <c r="R18" t="n">
        <v>23.1</v>
      </c>
      <c r="S18" t="n">
        <v>26.6</v>
      </c>
      <c r="T18" t="n">
        <v>28.2</v>
      </c>
      <c r="U18" t="n">
        <v>29.2</v>
      </c>
      <c r="V18" t="n">
        <v>30.6</v>
      </c>
      <c r="W18" t="n">
        <v>29.7</v>
      </c>
      <c r="X18" t="n">
        <v>28.9</v>
      </c>
      <c r="Y18" t="n">
        <v>28</v>
      </c>
      <c r="Z18" t="n">
        <v>22.4</v>
      </c>
      <c r="AA18" t="n">
        <v>18.3</v>
      </c>
      <c r="AB18" t="n">
        <v>15.3</v>
      </c>
      <c r="AC18" t="n">
        <v>12.6</v>
      </c>
      <c r="AD18" t="n">
        <v>10.4</v>
      </c>
      <c r="AE18" t="n">
        <v>9.5</v>
      </c>
      <c r="AF18" t="n">
        <v>9.2</v>
      </c>
    </row>
    <row r="19">
      <c r="A19" t="s">
        <v>111</v>
      </c>
      <c r="B19" t="s">
        <v>308</v>
      </c>
      <c r="C19" t="s">
        <v>217</v>
      </c>
      <c r="D19" t="s">
        <v>309</v>
      </c>
      <c r="E19" t="s">
        <v>218</v>
      </c>
      <c r="F19" t="n">
        <v>2.9</v>
      </c>
      <c r="G19" t="n">
        <v>3.6</v>
      </c>
      <c r="H19" t="n">
        <v>4.1</v>
      </c>
      <c r="I19" t="n">
        <v>5</v>
      </c>
      <c r="J19" t="n">
        <v>6.1</v>
      </c>
      <c r="K19" t="n">
        <v>7.3</v>
      </c>
      <c r="L19" t="n">
        <v>8.9</v>
      </c>
      <c r="M19" t="n">
        <v>10.1</v>
      </c>
      <c r="N19" t="n">
        <v>11.5</v>
      </c>
      <c r="O19" t="n">
        <v>12.7</v>
      </c>
      <c r="P19" t="n">
        <v>14.2</v>
      </c>
      <c r="Q19" t="n">
        <v>15.9</v>
      </c>
      <c r="R19" t="n">
        <v>17.5</v>
      </c>
      <c r="S19" t="n">
        <v>20</v>
      </c>
      <c r="T19" t="n">
        <v>21.2</v>
      </c>
      <c r="U19" t="n">
        <v>21.9</v>
      </c>
      <c r="V19" t="n">
        <v>22.9</v>
      </c>
      <c r="W19" t="n">
        <v>22.2</v>
      </c>
      <c r="X19" t="n">
        <v>21.6</v>
      </c>
      <c r="Y19" t="n">
        <v>20.9</v>
      </c>
      <c r="Z19" t="n">
        <v>17.8</v>
      </c>
      <c r="AA19" t="n">
        <v>16.1</v>
      </c>
      <c r="AB19" t="n">
        <v>14.8</v>
      </c>
      <c r="AC19" t="n">
        <v>13.5</v>
      </c>
      <c r="AD19" t="n">
        <v>12.7</v>
      </c>
      <c r="AE19" t="n">
        <v>11.7</v>
      </c>
      <c r="AF19" t="n">
        <v>11.3</v>
      </c>
    </row>
    <row r="20">
      <c r="A20" t="s">
        <v>111</v>
      </c>
      <c r="B20" t="s">
        <v>310</v>
      </c>
      <c r="C20" t="s">
        <v>217</v>
      </c>
      <c r="D20" t="s">
        <v>311</v>
      </c>
      <c r="E20" t="s">
        <v>218</v>
      </c>
      <c r="F20" t="n">
        <v>2.2</v>
      </c>
      <c r="G20" t="n">
        <v>2.8</v>
      </c>
      <c r="H20" t="n">
        <v>3.2</v>
      </c>
      <c r="I20" t="n">
        <v>3.9</v>
      </c>
      <c r="J20" t="n">
        <v>4.7</v>
      </c>
      <c r="K20" t="n">
        <v>5.7</v>
      </c>
      <c r="L20" t="n">
        <v>6.9</v>
      </c>
      <c r="M20" t="n">
        <v>7.9</v>
      </c>
      <c r="N20" t="n">
        <v>8.9</v>
      </c>
      <c r="O20" t="n">
        <v>9.9</v>
      </c>
      <c r="P20" t="n">
        <v>11.1</v>
      </c>
      <c r="Q20" t="n">
        <v>12.3</v>
      </c>
      <c r="R20" t="n">
        <v>13.5</v>
      </c>
      <c r="S20" t="n">
        <v>15.5</v>
      </c>
      <c r="T20" t="n">
        <v>16.4</v>
      </c>
      <c r="U20" t="n">
        <v>16.9</v>
      </c>
      <c r="V20" t="n">
        <v>17.7</v>
      </c>
      <c r="W20" t="n">
        <v>17.2</v>
      </c>
      <c r="X20" t="n">
        <v>16.7</v>
      </c>
      <c r="Y20" t="n">
        <v>16.1</v>
      </c>
      <c r="Z20" t="n">
        <v>17.4</v>
      </c>
      <c r="AA20" t="n">
        <v>20.5</v>
      </c>
      <c r="AB20" t="n">
        <v>27.5</v>
      </c>
      <c r="AC20" t="n">
        <v>32.5</v>
      </c>
      <c r="AD20" t="n">
        <v>34.3</v>
      </c>
      <c r="AE20" t="n">
        <v>39.1</v>
      </c>
      <c r="AF20" t="n">
        <v>45</v>
      </c>
    </row>
    <row r="21">
      <c r="A21" t="s">
        <v>111</v>
      </c>
      <c r="B21" t="s">
        <v>312</v>
      </c>
      <c r="C21" t="s">
        <v>217</v>
      </c>
      <c r="D21" t="s">
        <v>313</v>
      </c>
      <c r="E21" t="s">
        <v>218</v>
      </c>
      <c r="F21" t="n">
        <v>3.5</v>
      </c>
      <c r="G21" t="n">
        <v>4.4</v>
      </c>
      <c r="H21" t="n">
        <v>5.1</v>
      </c>
      <c r="I21" t="n">
        <v>6.2</v>
      </c>
      <c r="J21" t="n">
        <v>7.4</v>
      </c>
      <c r="K21" t="n">
        <v>9</v>
      </c>
      <c r="L21" t="n">
        <v>10.9</v>
      </c>
      <c r="M21" t="n">
        <v>12.5</v>
      </c>
      <c r="N21" t="n">
        <v>14.1</v>
      </c>
      <c r="O21" t="n">
        <v>15.7</v>
      </c>
      <c r="P21" t="n">
        <v>17.6</v>
      </c>
      <c r="Q21" t="n">
        <v>19.5</v>
      </c>
      <c r="R21" t="n">
        <v>21.4</v>
      </c>
      <c r="S21" t="n">
        <v>24.6</v>
      </c>
      <c r="T21" t="n">
        <v>26</v>
      </c>
      <c r="U21" t="n">
        <v>26.8</v>
      </c>
      <c r="V21" t="n">
        <v>28.1</v>
      </c>
      <c r="W21" t="n">
        <v>27.3</v>
      </c>
      <c r="X21" t="n">
        <v>26.5</v>
      </c>
      <c r="Y21" t="n">
        <v>25.6</v>
      </c>
      <c r="Z21" t="n">
        <v>26.3</v>
      </c>
      <c r="AA21" t="n">
        <v>29.7</v>
      </c>
      <c r="AB21" t="n">
        <v>36.7</v>
      </c>
      <c r="AC21" t="n">
        <v>41</v>
      </c>
      <c r="AD21" t="n">
        <v>44.4</v>
      </c>
      <c r="AE21" t="n">
        <v>50.9</v>
      </c>
      <c r="AF21" t="n">
        <v>58.8</v>
      </c>
    </row>
    <row r="22">
      <c r="A22" t="s">
        <v>111</v>
      </c>
      <c r="B22" t="s">
        <v>314</v>
      </c>
      <c r="C22" t="s">
        <v>217</v>
      </c>
      <c r="D22" t="s">
        <v>315</v>
      </c>
      <c r="E22" t="s">
        <v>218</v>
      </c>
      <c r="F22" t="n">
        <v>1.3</v>
      </c>
      <c r="G22" t="n">
        <v>1.6</v>
      </c>
      <c r="H22" t="n">
        <v>1.9</v>
      </c>
      <c r="I22" t="n">
        <v>2.3</v>
      </c>
      <c r="J22" t="n">
        <v>2.7</v>
      </c>
      <c r="K22" t="n">
        <v>3.3</v>
      </c>
      <c r="L22" t="n">
        <v>4</v>
      </c>
      <c r="M22" t="n">
        <v>4.6</v>
      </c>
      <c r="N22" t="n">
        <v>5.2</v>
      </c>
      <c r="O22" t="n">
        <v>5.8</v>
      </c>
      <c r="P22" t="n">
        <v>6.5</v>
      </c>
      <c r="Q22" t="n">
        <v>7.2</v>
      </c>
      <c r="R22" t="n">
        <v>7.9</v>
      </c>
      <c r="S22" t="n">
        <v>9.1</v>
      </c>
      <c r="T22" t="n">
        <v>9.6</v>
      </c>
      <c r="U22" t="n">
        <v>9.9</v>
      </c>
      <c r="V22" t="n">
        <v>10.4</v>
      </c>
      <c r="W22" t="n">
        <v>10.1</v>
      </c>
      <c r="X22" t="n">
        <v>9.8</v>
      </c>
      <c r="Y22" t="n">
        <v>9.5</v>
      </c>
      <c r="Z22" t="n">
        <v>8.9</v>
      </c>
      <c r="AA22" t="n">
        <v>9.2</v>
      </c>
      <c r="AB22" t="n">
        <v>9.2</v>
      </c>
      <c r="AC22" t="n">
        <v>8.5</v>
      </c>
      <c r="AD22" t="n">
        <v>10.1</v>
      </c>
      <c r="AE22" t="n">
        <v>11.8</v>
      </c>
      <c r="AF22" t="n">
        <v>13.8</v>
      </c>
    </row>
    <row r="23">
      <c r="A23" t="s">
        <v>111</v>
      </c>
      <c r="B23" t="s">
        <v>316</v>
      </c>
      <c r="C23" t="s">
        <v>217</v>
      </c>
      <c r="D23" t="s">
        <v>317</v>
      </c>
      <c r="E23" t="s">
        <v>218</v>
      </c>
      <c r="F23" t="n">
        <v>2.4</v>
      </c>
      <c r="G23" t="n">
        <v>3</v>
      </c>
      <c r="H23" t="n">
        <v>3.6</v>
      </c>
      <c r="I23" t="n">
        <v>4.7</v>
      </c>
      <c r="J23" t="n">
        <v>6.1</v>
      </c>
      <c r="K23" t="n">
        <v>7.1</v>
      </c>
      <c r="L23" t="n">
        <v>8</v>
      </c>
      <c r="M23" t="n">
        <v>8.8</v>
      </c>
      <c r="N23" t="n">
        <v>10</v>
      </c>
      <c r="O23" t="n">
        <v>11.3</v>
      </c>
      <c r="P23" t="n">
        <v>12.9</v>
      </c>
      <c r="Q23" t="n">
        <v>14.6</v>
      </c>
      <c r="R23" t="n">
        <v>16.9</v>
      </c>
      <c r="S23" t="n">
        <v>19.9</v>
      </c>
      <c r="T23" t="n">
        <v>21.6</v>
      </c>
      <c r="U23" t="n">
        <v>22.7</v>
      </c>
      <c r="V23" t="n">
        <v>23.9</v>
      </c>
      <c r="W23" t="n">
        <v>23.4</v>
      </c>
      <c r="X23" t="n">
        <v>22.8</v>
      </c>
      <c r="Y23" t="n">
        <v>22.2</v>
      </c>
      <c r="Z23" t="n">
        <v>19.4</v>
      </c>
      <c r="AA23" t="n">
        <v>18.2</v>
      </c>
      <c r="AB23" t="n">
        <v>22.5</v>
      </c>
      <c r="AC23" t="n">
        <v>27.3</v>
      </c>
      <c r="AD23" t="n">
        <v>35.7</v>
      </c>
      <c r="AE23" t="n">
        <v>35.7</v>
      </c>
      <c r="AF23" t="n">
        <v>37.3</v>
      </c>
    </row>
    <row r="24">
      <c r="A24" t="s">
        <v>111</v>
      </c>
      <c r="B24" t="s">
        <v>318</v>
      </c>
      <c r="C24" t="s">
        <v>217</v>
      </c>
      <c r="D24" t="s">
        <v>319</v>
      </c>
      <c r="E24" t="s">
        <v>218</v>
      </c>
      <c r="F24" t="n">
        <v>14.4</v>
      </c>
      <c r="G24" t="n">
        <v>18</v>
      </c>
      <c r="H24" t="n">
        <v>21.1</v>
      </c>
      <c r="I24" t="n">
        <v>26</v>
      </c>
      <c r="J24" t="n">
        <v>31.9</v>
      </c>
      <c r="K24" t="n">
        <v>38.4</v>
      </c>
      <c r="L24" t="n">
        <v>45.5</v>
      </c>
      <c r="M24" t="n">
        <v>51.4</v>
      </c>
      <c r="N24" t="n">
        <v>58.3</v>
      </c>
      <c r="O24" t="n">
        <v>65.1</v>
      </c>
      <c r="P24" t="n">
        <v>73.2</v>
      </c>
      <c r="Q24" t="n">
        <v>81.8</v>
      </c>
      <c r="R24" t="n">
        <v>91.3</v>
      </c>
      <c r="S24" t="n">
        <v>105.5</v>
      </c>
      <c r="T24" t="n">
        <v>112.3</v>
      </c>
      <c r="U24" t="n">
        <v>116.6</v>
      </c>
      <c r="V24" t="n">
        <v>122.1</v>
      </c>
      <c r="W24" t="n">
        <v>118.8</v>
      </c>
      <c r="X24" t="n">
        <v>115.6</v>
      </c>
      <c r="Y24" t="n">
        <v>112.1</v>
      </c>
      <c r="Z24" t="n">
        <v>141.6</v>
      </c>
      <c r="AA24" t="n">
        <v>187.7</v>
      </c>
      <c r="AB24" t="n">
        <v>215.2</v>
      </c>
      <c r="AC24" t="n">
        <v>225.6</v>
      </c>
      <c r="AD24" t="n">
        <v>242.8</v>
      </c>
      <c r="AE24" t="n">
        <v>263.4</v>
      </c>
      <c r="AF24" t="n">
        <v>293.4</v>
      </c>
    </row>
    <row r="25">
      <c r="A25" t="s">
        <v>111</v>
      </c>
      <c r="B25" t="s">
        <v>320</v>
      </c>
      <c r="C25" t="s">
        <v>217</v>
      </c>
      <c r="D25" t="s">
        <v>321</v>
      </c>
      <c r="E25" t="s">
        <v>218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111</v>
      </c>
      <c r="B26" t="s">
        <v>322</v>
      </c>
      <c r="C26" t="s">
        <v>217</v>
      </c>
      <c r="D26" t="s">
        <v>323</v>
      </c>
      <c r="E26" t="s">
        <v>218</v>
      </c>
      <c r="F26" t="n">
        <v>14.4</v>
      </c>
      <c r="G26" t="n">
        <v>18</v>
      </c>
      <c r="H26" t="n">
        <v>21.1</v>
      </c>
      <c r="I26" t="n">
        <v>26</v>
      </c>
      <c r="J26" t="n">
        <v>31.9</v>
      </c>
      <c r="K26" t="n">
        <v>38.4</v>
      </c>
      <c r="L26" t="n">
        <v>45.5</v>
      </c>
      <c r="M26" t="n">
        <v>51.4</v>
      </c>
      <c r="N26" t="n">
        <v>58.3</v>
      </c>
      <c r="O26" t="n">
        <v>65.1</v>
      </c>
      <c r="P26" t="n">
        <v>73.2</v>
      </c>
      <c r="Q26" t="n">
        <v>81.8</v>
      </c>
      <c r="R26" t="n">
        <v>91.3</v>
      </c>
      <c r="S26" t="n">
        <v>105.5</v>
      </c>
      <c r="T26" t="n">
        <v>112.3</v>
      </c>
      <c r="U26" t="n">
        <v>116.6</v>
      </c>
      <c r="V26" t="n">
        <v>122.1</v>
      </c>
      <c r="W26" t="n">
        <v>118.8</v>
      </c>
      <c r="X26" t="n">
        <v>115.6</v>
      </c>
      <c r="Y26" t="n">
        <v>112.1</v>
      </c>
      <c r="Z26" t="n">
        <v>141.6</v>
      </c>
      <c r="AA26" t="n">
        <v>187.7</v>
      </c>
      <c r="AB26" t="n">
        <v>215.2</v>
      </c>
      <c r="AC26" t="n">
        <v>225.5</v>
      </c>
      <c r="AD26" t="n">
        <v>240.4</v>
      </c>
      <c r="AE26" t="n">
        <v>257.9</v>
      </c>
      <c r="AF26" t="n">
        <v>284.9</v>
      </c>
    </row>
    <row r="27">
      <c r="A27" t="s">
        <v>111</v>
      </c>
      <c r="B27" t="s">
        <v>324</v>
      </c>
      <c r="C27" t="s">
        <v>217</v>
      </c>
      <c r="D27" t="s">
        <v>325</v>
      </c>
      <c r="E27" t="s">
        <v>218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2.4</v>
      </c>
      <c r="AE27" t="n">
        <v>5.5</v>
      </c>
      <c r="AF27" t="n">
        <v>8.5</v>
      </c>
    </row>
    <row r="28">
      <c r="A28" t="s">
        <v>111</v>
      </c>
      <c r="B28" t="s">
        <v>326</v>
      </c>
      <c r="C28" t="s">
        <v>217</v>
      </c>
      <c r="D28" t="s">
        <v>327</v>
      </c>
      <c r="E28" t="s">
        <v>218</v>
      </c>
      <c r="F28" t="n">
        <v>0.1</v>
      </c>
      <c r="G28" t="n">
        <v>0.1</v>
      </c>
      <c r="H28" t="n">
        <v>0.2</v>
      </c>
      <c r="I28" t="n">
        <v>0.2</v>
      </c>
      <c r="J28" t="n">
        <v>0.2</v>
      </c>
      <c r="K28" t="n">
        <v>0.3</v>
      </c>
      <c r="L28" t="n">
        <v>0.3</v>
      </c>
      <c r="M28" t="n">
        <v>0.4</v>
      </c>
      <c r="N28" t="n">
        <v>0.4</v>
      </c>
      <c r="O28" t="n">
        <v>0.5</v>
      </c>
      <c r="P28" t="n">
        <v>0.5</v>
      </c>
      <c r="Q28" t="n">
        <v>0.6</v>
      </c>
      <c r="R28" t="n">
        <v>0.6</v>
      </c>
      <c r="S28" t="n">
        <v>0.7</v>
      </c>
      <c r="T28" t="n">
        <v>0.8</v>
      </c>
      <c r="U28" t="n">
        <v>0.8</v>
      </c>
      <c r="V28" t="n">
        <v>0.8</v>
      </c>
      <c r="W28" t="n">
        <v>0.8</v>
      </c>
      <c r="X28" t="n">
        <v>0.8</v>
      </c>
      <c r="Y28" t="n">
        <v>0.8</v>
      </c>
      <c r="Z28" t="n">
        <v>1.6</v>
      </c>
      <c r="AA28" t="n">
        <v>2.6</v>
      </c>
      <c r="AB28" t="n">
        <v>19.1</v>
      </c>
      <c r="AC28" t="n">
        <v>36.8</v>
      </c>
      <c r="AD28" t="n">
        <v>54.9</v>
      </c>
      <c r="AE28" t="n">
        <v>67.4</v>
      </c>
      <c r="AF28" t="n">
        <v>80.9</v>
      </c>
    </row>
    <row r="29">
      <c r="A29" t="s">
        <v>111</v>
      </c>
      <c r="B29" t="s">
        <v>328</v>
      </c>
      <c r="C29" t="s">
        <v>217</v>
      </c>
      <c r="D29" t="s">
        <v>329</v>
      </c>
      <c r="E29" t="s">
        <v>218</v>
      </c>
      <c r="F29" t="n">
        <v>0</v>
      </c>
      <c r="G29" t="n">
        <v>0</v>
      </c>
      <c r="H29" t="n">
        <v>0</v>
      </c>
      <c r="I29" t="n">
        <v>0.1</v>
      </c>
      <c r="J29" t="n">
        <v>0.1</v>
      </c>
      <c r="K29" t="n">
        <v>0.1</v>
      </c>
      <c r="L29" t="n">
        <v>0.1</v>
      </c>
      <c r="M29" t="n">
        <v>0.1</v>
      </c>
      <c r="N29" t="n">
        <v>0.1</v>
      </c>
      <c r="O29" t="n">
        <v>0.1</v>
      </c>
      <c r="P29" t="n">
        <v>0.1</v>
      </c>
      <c r="Q29" t="n">
        <v>0.1</v>
      </c>
      <c r="R29" t="n">
        <v>0.1</v>
      </c>
      <c r="S29" t="n">
        <v>0.2</v>
      </c>
      <c r="T29" t="n">
        <v>0.2</v>
      </c>
      <c r="U29" t="n">
        <v>0.2</v>
      </c>
      <c r="V29" t="n">
        <v>0.2</v>
      </c>
      <c r="W29" t="n">
        <v>0.2</v>
      </c>
      <c r="X29" t="n">
        <v>0.2</v>
      </c>
      <c r="Y29" t="n">
        <v>0.2</v>
      </c>
      <c r="Z29" t="n">
        <v>0.4</v>
      </c>
      <c r="AA29" t="n">
        <v>0.6</v>
      </c>
      <c r="AB29" t="n">
        <v>9.5</v>
      </c>
      <c r="AC29" t="n">
        <v>21.3</v>
      </c>
      <c r="AD29" t="n">
        <v>31.1</v>
      </c>
      <c r="AE29" t="n">
        <v>38.6</v>
      </c>
      <c r="AF29" t="n">
        <v>46.4</v>
      </c>
    </row>
    <row r="30">
      <c r="A30" t="s">
        <v>111</v>
      </c>
      <c r="B30" t="s">
        <v>330</v>
      </c>
      <c r="C30" t="s">
        <v>217</v>
      </c>
      <c r="D30" t="s">
        <v>331</v>
      </c>
      <c r="E30" t="s">
        <v>218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111</v>
      </c>
      <c r="B31" t="s">
        <v>332</v>
      </c>
      <c r="C31" t="s">
        <v>217</v>
      </c>
      <c r="D31" t="s">
        <v>333</v>
      </c>
      <c r="E31" t="s">
        <v>218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0.1</v>
      </c>
      <c r="M31" t="n">
        <v>0.1</v>
      </c>
      <c r="N31" t="n">
        <v>0.1</v>
      </c>
      <c r="O31" t="n">
        <v>0.1</v>
      </c>
      <c r="P31" t="n">
        <v>0.1</v>
      </c>
      <c r="Q31" t="n">
        <v>0.1</v>
      </c>
      <c r="R31" t="n">
        <v>0.1</v>
      </c>
      <c r="S31" t="n">
        <v>0.1</v>
      </c>
      <c r="T31" t="n">
        <v>0.1</v>
      </c>
      <c r="U31" t="n">
        <v>0.1</v>
      </c>
      <c r="V31" t="n">
        <v>0.1</v>
      </c>
      <c r="W31" t="n">
        <v>0.1</v>
      </c>
      <c r="X31" t="n">
        <v>0.1</v>
      </c>
      <c r="Y31" t="n">
        <v>0.1</v>
      </c>
      <c r="Z31" t="n">
        <v>0.3</v>
      </c>
      <c r="AA31" t="n">
        <v>0.5</v>
      </c>
      <c r="AB31" t="n">
        <v>0.4</v>
      </c>
      <c r="AC31" t="n">
        <v>0.4</v>
      </c>
      <c r="AD31" t="n">
        <v>0.5</v>
      </c>
      <c r="AE31" t="n">
        <v>0.6</v>
      </c>
      <c r="AF31" t="n">
        <v>0.7</v>
      </c>
    </row>
    <row r="32">
      <c r="A32" t="s">
        <v>111</v>
      </c>
      <c r="B32" t="s">
        <v>334</v>
      </c>
      <c r="C32" t="s">
        <v>217</v>
      </c>
      <c r="D32" t="s">
        <v>335</v>
      </c>
      <c r="E32" t="s">
        <v>218</v>
      </c>
      <c r="F32" t="n">
        <v>0.1</v>
      </c>
      <c r="G32" t="n">
        <v>0.1</v>
      </c>
      <c r="H32" t="n">
        <v>0.1</v>
      </c>
      <c r="I32" t="n">
        <v>0.1</v>
      </c>
      <c r="J32" t="n">
        <v>0.1</v>
      </c>
      <c r="K32" t="n">
        <v>0.2</v>
      </c>
      <c r="L32" t="n">
        <v>0.2</v>
      </c>
      <c r="M32" t="n">
        <v>0.2</v>
      </c>
      <c r="N32" t="n">
        <v>0.3</v>
      </c>
      <c r="O32" t="n">
        <v>0.3</v>
      </c>
      <c r="P32" t="n">
        <v>0.3</v>
      </c>
      <c r="Q32" t="n">
        <v>0.4</v>
      </c>
      <c r="R32" t="n">
        <v>0.4</v>
      </c>
      <c r="S32" t="n">
        <v>0.5</v>
      </c>
      <c r="T32" t="n">
        <v>0.5</v>
      </c>
      <c r="U32" t="n">
        <v>0.5</v>
      </c>
      <c r="V32" t="n">
        <v>0.5</v>
      </c>
      <c r="W32" t="n">
        <v>0.5</v>
      </c>
      <c r="X32" t="n">
        <v>0.5</v>
      </c>
      <c r="Y32" t="n">
        <v>0.5</v>
      </c>
      <c r="Z32" t="n">
        <v>0.8</v>
      </c>
      <c r="AA32" t="n">
        <v>1.2</v>
      </c>
      <c r="AB32" t="n">
        <v>8.6</v>
      </c>
      <c r="AC32" t="n">
        <v>14.1</v>
      </c>
      <c r="AD32" t="n">
        <v>21.6</v>
      </c>
      <c r="AE32" t="n">
        <v>25.8</v>
      </c>
      <c r="AF32" t="n">
        <v>30.6</v>
      </c>
    </row>
    <row r="33">
      <c r="A33" t="s">
        <v>111</v>
      </c>
      <c r="B33" t="s">
        <v>336</v>
      </c>
      <c r="C33" t="s">
        <v>217</v>
      </c>
      <c r="D33" t="s">
        <v>337</v>
      </c>
      <c r="E33" t="s">
        <v>218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0.1</v>
      </c>
      <c r="AA33" t="n">
        <v>0.2</v>
      </c>
      <c r="AB33" t="n">
        <v>0.6</v>
      </c>
      <c r="AC33" t="n">
        <v>1</v>
      </c>
      <c r="AD33" t="n">
        <v>1.7</v>
      </c>
      <c r="AE33" t="n">
        <v>2.4</v>
      </c>
      <c r="AF33" t="n">
        <v>3.2</v>
      </c>
    </row>
    <row r="34">
      <c r="A34" t="s">
        <v>111</v>
      </c>
      <c r="B34" t="s">
        <v>338</v>
      </c>
      <c r="C34" t="s">
        <v>217</v>
      </c>
      <c r="D34" t="s">
        <v>339</v>
      </c>
      <c r="E34" t="s">
        <v>218</v>
      </c>
      <c r="F34" t="n">
        <v>0</v>
      </c>
      <c r="G34" t="n">
        <v>0</v>
      </c>
      <c r="H34" t="n">
        <v>0</v>
      </c>
      <c r="I34" t="n">
        <v>0.1</v>
      </c>
      <c r="J34" t="n">
        <v>0.1</v>
      </c>
      <c r="K34" t="n">
        <v>0.1</v>
      </c>
      <c r="L34" t="n">
        <v>0.1</v>
      </c>
      <c r="M34" t="n">
        <v>0.1</v>
      </c>
      <c r="N34" t="n">
        <v>0.1</v>
      </c>
      <c r="O34" t="n">
        <v>0.1</v>
      </c>
      <c r="P34" t="n">
        <v>0.2</v>
      </c>
      <c r="Q34" t="n">
        <v>0.2</v>
      </c>
      <c r="R34" t="n">
        <v>0.2</v>
      </c>
      <c r="S34" t="n">
        <v>0.2</v>
      </c>
      <c r="T34" t="n">
        <v>0.2</v>
      </c>
      <c r="U34" t="n">
        <v>0.2</v>
      </c>
      <c r="V34" t="n">
        <v>0.2</v>
      </c>
      <c r="W34" t="n">
        <v>0.2</v>
      </c>
      <c r="X34" t="n">
        <v>0.2</v>
      </c>
      <c r="Y34" t="n">
        <v>0.2</v>
      </c>
      <c r="Z34" t="n">
        <v>0.5</v>
      </c>
      <c r="AA34" t="n">
        <v>0.9</v>
      </c>
      <c r="AB34" t="n">
        <v>0.7</v>
      </c>
      <c r="AC34" t="n">
        <v>0.7</v>
      </c>
      <c r="AD34" t="n">
        <v>0.7</v>
      </c>
      <c r="AE34" t="n">
        <v>0.8</v>
      </c>
      <c r="AF34" t="n">
        <v>0.9</v>
      </c>
    </row>
    <row r="35">
      <c r="A35" t="s">
        <v>111</v>
      </c>
      <c r="B35" t="s">
        <v>340</v>
      </c>
      <c r="C35" t="s">
        <v>217</v>
      </c>
      <c r="D35" t="s">
        <v>341</v>
      </c>
      <c r="E35" t="s">
        <v>218</v>
      </c>
      <c r="F35" t="n">
        <v>35</v>
      </c>
      <c r="G35" t="n">
        <v>43.7</v>
      </c>
      <c r="H35" t="n">
        <v>51.1</v>
      </c>
      <c r="I35" t="n">
        <v>62.8</v>
      </c>
      <c r="J35" t="n">
        <v>77</v>
      </c>
      <c r="K35" t="n">
        <v>92.7</v>
      </c>
      <c r="L35" t="n">
        <v>110.3</v>
      </c>
      <c r="M35" t="n">
        <v>124.6</v>
      </c>
      <c r="N35" t="n">
        <v>141.2</v>
      </c>
      <c r="O35" t="n">
        <v>157.6</v>
      </c>
      <c r="P35" t="n">
        <v>177.3</v>
      </c>
      <c r="Q35" t="n">
        <v>197.9</v>
      </c>
      <c r="R35" t="n">
        <v>220.4</v>
      </c>
      <c r="S35" t="n">
        <v>254.4</v>
      </c>
      <c r="T35" t="n">
        <v>270.6</v>
      </c>
      <c r="U35" t="n">
        <v>280.7</v>
      </c>
      <c r="V35" t="n">
        <v>293.7</v>
      </c>
      <c r="W35" t="n">
        <v>285.7</v>
      </c>
      <c r="X35" t="n">
        <v>278</v>
      </c>
      <c r="Y35" t="n">
        <v>269.5</v>
      </c>
      <c r="Z35" t="n">
        <v>258.8</v>
      </c>
      <c r="AA35" t="n">
        <v>271.2</v>
      </c>
      <c r="AB35" t="n">
        <v>315.8</v>
      </c>
      <c r="AC35" t="n">
        <v>328.1</v>
      </c>
      <c r="AD35" t="n">
        <v>373.7</v>
      </c>
      <c r="AE35" t="n">
        <v>429.9</v>
      </c>
      <c r="AF35" t="n">
        <v>498.7</v>
      </c>
    </row>
    <row r="36">
      <c r="A36" t="s">
        <v>111</v>
      </c>
      <c r="B36" t="s">
        <v>342</v>
      </c>
      <c r="C36" t="s">
        <v>217</v>
      </c>
      <c r="D36" t="s">
        <v>343</v>
      </c>
      <c r="E36" t="s">
        <v>218</v>
      </c>
      <c r="F36" t="n">
        <v>0.1</v>
      </c>
      <c r="G36" t="n">
        <v>0.1</v>
      </c>
      <c r="H36" t="n">
        <v>0.1</v>
      </c>
      <c r="I36" t="n">
        <v>0.1</v>
      </c>
      <c r="J36" t="n">
        <v>0.1</v>
      </c>
      <c r="K36" t="n">
        <v>0.1</v>
      </c>
      <c r="L36" t="n">
        <v>0.2</v>
      </c>
      <c r="M36" t="n">
        <v>0.2</v>
      </c>
      <c r="N36" t="n">
        <v>0.2</v>
      </c>
      <c r="O36" t="n">
        <v>0.2</v>
      </c>
      <c r="P36" t="n">
        <v>0.3</v>
      </c>
      <c r="Q36" t="n">
        <v>0.3</v>
      </c>
      <c r="R36" t="n">
        <v>0.3</v>
      </c>
      <c r="S36" t="n">
        <v>0.4</v>
      </c>
      <c r="T36" t="n">
        <v>0.4</v>
      </c>
      <c r="U36" t="n">
        <v>0.4</v>
      </c>
      <c r="V36" t="n">
        <v>0.4</v>
      </c>
      <c r="W36" t="n">
        <v>0.4</v>
      </c>
      <c r="X36" t="n">
        <v>0.4</v>
      </c>
      <c r="Y36" t="n">
        <v>0.4</v>
      </c>
      <c r="Z36" t="n">
        <v>2.2</v>
      </c>
      <c r="AA36" t="n">
        <v>4.3</v>
      </c>
      <c r="AB36" t="n">
        <v>5.5</v>
      </c>
      <c r="AC36" t="n">
        <v>7.5</v>
      </c>
      <c r="AD36" t="n">
        <v>20.9</v>
      </c>
      <c r="AE36" t="n">
        <v>34.2</v>
      </c>
      <c r="AF36" t="n">
        <v>47.4</v>
      </c>
    </row>
    <row r="37">
      <c r="A37" t="s">
        <v>111</v>
      </c>
      <c r="B37" t="s">
        <v>344</v>
      </c>
      <c r="C37" t="s">
        <v>217</v>
      </c>
      <c r="D37" t="s">
        <v>345</v>
      </c>
      <c r="E37" t="s">
        <v>218</v>
      </c>
      <c r="F37" t="n">
        <v>12.3</v>
      </c>
      <c r="G37" t="n">
        <v>15.6</v>
      </c>
      <c r="H37" t="n">
        <v>18.5</v>
      </c>
      <c r="I37" t="n">
        <v>23.6</v>
      </c>
      <c r="J37" t="n">
        <v>30</v>
      </c>
      <c r="K37" t="n">
        <v>35.6</v>
      </c>
      <c r="L37" t="n">
        <v>40.5</v>
      </c>
      <c r="M37" t="n">
        <v>45</v>
      </c>
      <c r="N37" t="n">
        <v>50.9</v>
      </c>
      <c r="O37" t="n">
        <v>57.6</v>
      </c>
      <c r="P37" t="n">
        <v>65.4</v>
      </c>
      <c r="Q37" t="n">
        <v>73.5</v>
      </c>
      <c r="R37" t="n">
        <v>84.1</v>
      </c>
      <c r="S37" t="n">
        <v>98.7</v>
      </c>
      <c r="T37" t="n">
        <v>106.2</v>
      </c>
      <c r="U37" t="n">
        <v>111.2</v>
      </c>
      <c r="V37" t="n">
        <v>117</v>
      </c>
      <c r="W37" t="n">
        <v>114.2</v>
      </c>
      <c r="X37" t="n">
        <v>111.5</v>
      </c>
      <c r="Y37" t="n">
        <v>108.4</v>
      </c>
      <c r="Z37" t="n">
        <v>90.7</v>
      </c>
      <c r="AA37" t="n">
        <v>79.6</v>
      </c>
      <c r="AB37" t="n">
        <v>92.4</v>
      </c>
      <c r="AC37" t="n">
        <v>99.4</v>
      </c>
      <c r="AD37" t="n">
        <v>103.1</v>
      </c>
      <c r="AE37" t="n">
        <v>105.6</v>
      </c>
      <c r="AF37" t="n">
        <v>112.5</v>
      </c>
    </row>
    <row r="38">
      <c r="A38" t="s">
        <v>111</v>
      </c>
      <c r="B38" t="s">
        <v>346</v>
      </c>
      <c r="C38" t="s">
        <v>217</v>
      </c>
      <c r="D38" t="s">
        <v>347</v>
      </c>
      <c r="E38" t="s">
        <v>218</v>
      </c>
      <c r="F38" t="n">
        <v>22.6</v>
      </c>
      <c r="G38" t="n">
        <v>28</v>
      </c>
      <c r="H38" t="n">
        <v>32.5</v>
      </c>
      <c r="I38" t="n">
        <v>39.1</v>
      </c>
      <c r="J38" t="n">
        <v>46.9</v>
      </c>
      <c r="K38" t="n">
        <v>57</v>
      </c>
      <c r="L38" t="n">
        <v>69.6</v>
      </c>
      <c r="M38" t="n">
        <v>79.4</v>
      </c>
      <c r="N38" t="n">
        <v>90.1</v>
      </c>
      <c r="O38" t="n">
        <v>99.8</v>
      </c>
      <c r="P38" t="n">
        <v>111.6</v>
      </c>
      <c r="Q38" t="n">
        <v>124.1</v>
      </c>
      <c r="R38" t="n">
        <v>136</v>
      </c>
      <c r="S38" t="n">
        <v>155.3</v>
      </c>
      <c r="T38" t="n">
        <v>164</v>
      </c>
      <c r="U38" t="n">
        <v>169.1</v>
      </c>
      <c r="V38" t="n">
        <v>176.3</v>
      </c>
      <c r="W38" t="n">
        <v>171.1</v>
      </c>
      <c r="X38" t="n">
        <v>166.1</v>
      </c>
      <c r="Y38" t="n">
        <v>160.7</v>
      </c>
      <c r="Z38" t="n">
        <v>165.9</v>
      </c>
      <c r="AA38" t="n">
        <v>187.3</v>
      </c>
      <c r="AB38" t="n">
        <v>217.9</v>
      </c>
      <c r="AC38" t="n">
        <v>221.2</v>
      </c>
      <c r="AD38" t="n">
        <v>249.7</v>
      </c>
      <c r="AE38" t="n">
        <v>290.1</v>
      </c>
      <c r="AF38" t="n">
        <v>338.8</v>
      </c>
    </row>
    <row r="39">
      <c r="A39" t="s">
        <v>111</v>
      </c>
      <c r="B39" t="s">
        <v>348</v>
      </c>
      <c r="C39" t="s">
        <v>217</v>
      </c>
      <c r="D39" t="s">
        <v>349</v>
      </c>
      <c r="E39" t="s">
        <v>218</v>
      </c>
      <c r="F39" t="n">
        <v>93.5</v>
      </c>
      <c r="G39" t="n">
        <v>88.5</v>
      </c>
      <c r="H39" t="n">
        <v>83.1</v>
      </c>
      <c r="I39" t="n">
        <v>81</v>
      </c>
      <c r="J39" t="n">
        <v>79.8</v>
      </c>
      <c r="K39" t="n">
        <v>83.5</v>
      </c>
      <c r="L39" t="n">
        <v>89.6</v>
      </c>
      <c r="M39" t="n">
        <v>95.5</v>
      </c>
      <c r="N39" t="n">
        <v>102.2</v>
      </c>
      <c r="O39" t="n">
        <v>109.2</v>
      </c>
      <c r="P39" t="n">
        <v>117.9</v>
      </c>
      <c r="Q39" t="n">
        <v>126.4</v>
      </c>
      <c r="R39" t="n">
        <v>132.6</v>
      </c>
      <c r="S39" t="n">
        <v>147.3</v>
      </c>
      <c r="T39" t="n">
        <v>155.1</v>
      </c>
      <c r="U39" t="n">
        <v>157.2</v>
      </c>
      <c r="V39" t="n">
        <v>163.9</v>
      </c>
      <c r="W39" t="n">
        <v>163.4</v>
      </c>
      <c r="X39" t="n">
        <v>162.4</v>
      </c>
      <c r="Y39" t="n">
        <v>160.2</v>
      </c>
      <c r="Z39" t="n">
        <v>204.4</v>
      </c>
      <c r="AA39" t="n">
        <v>271.7</v>
      </c>
      <c r="AB39" t="n">
        <v>310.4</v>
      </c>
      <c r="AC39" t="n">
        <v>349.2</v>
      </c>
      <c r="AD39" t="n">
        <v>372.8</v>
      </c>
      <c r="AE39" t="n">
        <v>387.8</v>
      </c>
      <c r="AF39" t="n">
        <v>409.1</v>
      </c>
    </row>
    <row r="40">
      <c r="A40" t="s">
        <v>111</v>
      </c>
      <c r="B40" t="s">
        <v>350</v>
      </c>
      <c r="C40" t="s">
        <v>217</v>
      </c>
      <c r="D40" t="s">
        <v>351</v>
      </c>
      <c r="E40" t="s">
        <v>218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0.1</v>
      </c>
      <c r="AB40" t="n">
        <v>0.1</v>
      </c>
      <c r="AC40" t="n">
        <v>0.1</v>
      </c>
      <c r="AD40" t="n">
        <v>0.2</v>
      </c>
      <c r="AE40" t="n">
        <v>0.1</v>
      </c>
      <c r="AF40" t="n">
        <v>0.1</v>
      </c>
    </row>
    <row r="41">
      <c r="A41" t="s">
        <v>111</v>
      </c>
      <c r="B41" t="s">
        <v>352</v>
      </c>
      <c r="C41" t="s">
        <v>217</v>
      </c>
      <c r="D41" t="s">
        <v>353</v>
      </c>
      <c r="E41" t="s">
        <v>218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111</v>
      </c>
      <c r="B42" t="s">
        <v>354</v>
      </c>
      <c r="C42" t="s">
        <v>217</v>
      </c>
      <c r="D42" t="s">
        <v>355</v>
      </c>
      <c r="E42" t="s">
        <v>218</v>
      </c>
      <c r="F42" t="n">
        <v>222</v>
      </c>
      <c r="G42" t="n">
        <v>261.2</v>
      </c>
      <c r="H42" t="n">
        <v>300.5</v>
      </c>
      <c r="I42" t="n">
        <v>351.8</v>
      </c>
      <c r="J42" t="n">
        <v>405.9</v>
      </c>
      <c r="K42" t="n">
        <v>464.5</v>
      </c>
      <c r="L42" t="n">
        <v>519.8</v>
      </c>
      <c r="M42" t="n">
        <v>576.5</v>
      </c>
      <c r="N42" t="n">
        <v>643.1</v>
      </c>
      <c r="O42" t="n">
        <v>703.9</v>
      </c>
      <c r="P42" t="n">
        <v>774.2</v>
      </c>
      <c r="Q42" t="n">
        <v>844</v>
      </c>
      <c r="R42" t="n">
        <v>898.1</v>
      </c>
      <c r="S42" t="n">
        <v>1039.7</v>
      </c>
      <c r="T42" t="n">
        <v>1085.5</v>
      </c>
      <c r="U42" t="n">
        <v>1075.6</v>
      </c>
      <c r="V42" t="n">
        <v>1121.4</v>
      </c>
      <c r="W42" t="n">
        <v>1124.1</v>
      </c>
      <c r="X42" t="n">
        <v>1127.7</v>
      </c>
      <c r="Y42" t="n">
        <v>1122.1</v>
      </c>
      <c r="Z42" t="n">
        <v>1119.4</v>
      </c>
      <c r="AA42" t="n">
        <v>1111.6</v>
      </c>
      <c r="AB42" t="n">
        <v>1138.9</v>
      </c>
      <c r="AC42" t="n">
        <v>1139.6</v>
      </c>
      <c r="AD42" t="n">
        <v>1173.2</v>
      </c>
      <c r="AE42" t="n">
        <v>1210.5</v>
      </c>
      <c r="AF42" t="n">
        <v>1290.4</v>
      </c>
    </row>
    <row r="43">
      <c r="A43" t="s">
        <v>111</v>
      </c>
      <c r="B43" t="s">
        <v>356</v>
      </c>
      <c r="C43" t="s">
        <v>217</v>
      </c>
      <c r="D43" t="s">
        <v>357</v>
      </c>
      <c r="E43" t="s">
        <v>218</v>
      </c>
      <c r="F43" t="n">
        <v>222.2</v>
      </c>
      <c r="G43" t="n">
        <v>261.5</v>
      </c>
      <c r="H43" t="n">
        <v>300.9</v>
      </c>
      <c r="I43" t="n">
        <v>352.2</v>
      </c>
      <c r="J43" t="n">
        <v>406.5</v>
      </c>
      <c r="K43" t="n">
        <v>465.2</v>
      </c>
      <c r="L43" t="n">
        <v>520.6</v>
      </c>
      <c r="M43" t="n">
        <v>577.4</v>
      </c>
      <c r="N43" t="n">
        <v>644.1</v>
      </c>
      <c r="O43" t="n">
        <v>705</v>
      </c>
      <c r="P43" t="n">
        <v>775.4</v>
      </c>
      <c r="Q43" t="n">
        <v>845.4</v>
      </c>
      <c r="R43" t="n">
        <v>899.7</v>
      </c>
      <c r="S43" t="n">
        <v>1041.5</v>
      </c>
      <c r="T43" t="n">
        <v>1087.5</v>
      </c>
      <c r="U43" t="n">
        <v>1077.6</v>
      </c>
      <c r="V43" t="n">
        <v>1123.5</v>
      </c>
      <c r="W43" t="n">
        <v>1126.2</v>
      </c>
      <c r="X43" t="n">
        <v>1129.7</v>
      </c>
      <c r="Y43" t="n">
        <v>1124.1</v>
      </c>
      <c r="Z43" t="n">
        <v>1121</v>
      </c>
      <c r="AA43" t="n">
        <v>1112.9</v>
      </c>
      <c r="AB43" t="n">
        <v>1141.5</v>
      </c>
      <c r="AC43" t="n">
        <v>1142</v>
      </c>
      <c r="AD43" t="n">
        <v>1175.4</v>
      </c>
      <c r="AE43" t="n">
        <v>1214</v>
      </c>
      <c r="AF43" t="n">
        <v>1295.3</v>
      </c>
    </row>
    <row r="44">
      <c r="A44" t="s">
        <v>111</v>
      </c>
      <c r="B44" t="s">
        <v>358</v>
      </c>
      <c r="C44" t="s">
        <v>217</v>
      </c>
      <c r="D44" t="s">
        <v>359</v>
      </c>
      <c r="E44" t="s">
        <v>218</v>
      </c>
      <c r="F44" t="n">
        <v>473.7</v>
      </c>
      <c r="G44" t="n">
        <v>546.5</v>
      </c>
      <c r="H44" t="n">
        <v>613.5</v>
      </c>
      <c r="I44" t="n">
        <v>714.9</v>
      </c>
      <c r="J44" t="n">
        <v>830.5</v>
      </c>
      <c r="K44" t="n">
        <v>962.5</v>
      </c>
      <c r="L44" t="n">
        <v>1102.5</v>
      </c>
      <c r="M44" t="n">
        <v>1229</v>
      </c>
      <c r="N44" t="n">
        <v>1376.3</v>
      </c>
      <c r="O44" t="n">
        <v>1516.4</v>
      </c>
      <c r="P44" t="n">
        <v>1682.4</v>
      </c>
      <c r="Q44" t="n">
        <v>1852.2</v>
      </c>
      <c r="R44" t="n">
        <v>2012</v>
      </c>
      <c r="S44" t="n">
        <v>2319.6</v>
      </c>
      <c r="T44" t="n">
        <v>2444.7</v>
      </c>
      <c r="U44" t="n">
        <v>2480.8</v>
      </c>
      <c r="V44" t="n">
        <v>2591.1</v>
      </c>
      <c r="W44" t="n">
        <v>2558.8</v>
      </c>
      <c r="X44" t="n">
        <v>2527.6</v>
      </c>
      <c r="Y44" t="n">
        <v>2482.4</v>
      </c>
      <c r="Z44" t="n">
        <v>2480.8</v>
      </c>
      <c r="AA44" t="n">
        <v>2595.4</v>
      </c>
      <c r="AB44" t="n">
        <v>2819.3</v>
      </c>
      <c r="AC44" t="n">
        <v>2919</v>
      </c>
      <c r="AD44" t="n">
        <v>3130.3</v>
      </c>
      <c r="AE44" t="n">
        <v>3353.8</v>
      </c>
      <c r="AF44" t="n">
        <v>3683.8</v>
      </c>
    </row>
    <row r="45">
      <c r="A45" t="s">
        <v>111</v>
      </c>
      <c r="B45" t="s">
        <v>360</v>
      </c>
      <c r="C45" t="s">
        <v>217</v>
      </c>
      <c r="D45" t="s">
        <v>361</v>
      </c>
      <c r="E45" t="s">
        <v>218</v>
      </c>
      <c r="F45" t="n">
        <v>472.8</v>
      </c>
      <c r="G45" t="n">
        <v>545.4</v>
      </c>
      <c r="H45" t="n">
        <v>612.2</v>
      </c>
      <c r="I45" t="n">
        <v>713.4</v>
      </c>
      <c r="J45" t="n">
        <v>828.7</v>
      </c>
      <c r="K45" t="n">
        <v>960.3</v>
      </c>
      <c r="L45" t="n">
        <v>1099.8</v>
      </c>
      <c r="M45" t="n">
        <v>1225.9</v>
      </c>
      <c r="N45" t="n">
        <v>1372.8</v>
      </c>
      <c r="O45" t="n">
        <v>1512.5</v>
      </c>
      <c r="P45" t="n">
        <v>1678.1</v>
      </c>
      <c r="Q45" t="n">
        <v>1847.4</v>
      </c>
      <c r="R45" t="n">
        <v>2006.8</v>
      </c>
      <c r="S45" t="n">
        <v>2313.7</v>
      </c>
      <c r="T45" t="n">
        <v>2438.5</v>
      </c>
      <c r="U45" t="n">
        <v>2474.4</v>
      </c>
      <c r="V45" t="n">
        <v>2584.5</v>
      </c>
      <c r="W45" t="n">
        <v>2552.4</v>
      </c>
      <c r="X45" t="n">
        <v>2521.4</v>
      </c>
      <c r="Y45" t="n">
        <v>2476.4</v>
      </c>
      <c r="Z45" t="n">
        <v>2475.1</v>
      </c>
      <c r="AA45" t="n">
        <v>2589.6</v>
      </c>
      <c r="AB45" t="n">
        <v>2812.6</v>
      </c>
      <c r="AC45" t="n">
        <v>2912.3</v>
      </c>
      <c r="AD45" t="n">
        <v>3120.3</v>
      </c>
      <c r="AE45" t="n">
        <v>3340.2</v>
      </c>
      <c r="AF45" t="n">
        <v>3666.5</v>
      </c>
    </row>
    <row r="46">
      <c r="A46" t="s">
        <v>111</v>
      </c>
      <c r="B46" t="s">
        <v>362</v>
      </c>
      <c r="C46" t="s">
        <v>217</v>
      </c>
      <c r="D46" t="s">
        <v>363</v>
      </c>
      <c r="E46" t="s">
        <v>218</v>
      </c>
      <c r="F46" t="n">
        <v>0.2</v>
      </c>
      <c r="G46" t="n">
        <v>0.3</v>
      </c>
      <c r="H46" t="n">
        <v>0.4</v>
      </c>
      <c r="I46" t="n">
        <v>0.4</v>
      </c>
      <c r="J46" t="n">
        <v>0.6</v>
      </c>
      <c r="K46" t="n">
        <v>0.7</v>
      </c>
      <c r="L46" t="n">
        <v>0.8</v>
      </c>
      <c r="M46" t="n">
        <v>0.9</v>
      </c>
      <c r="N46" t="n">
        <v>1</v>
      </c>
      <c r="O46" t="n">
        <v>1.1</v>
      </c>
      <c r="P46" t="n">
        <v>1.2</v>
      </c>
      <c r="Q46" t="n">
        <v>1.4</v>
      </c>
      <c r="R46" t="n">
        <v>1.6</v>
      </c>
      <c r="S46" t="n">
        <v>1.8</v>
      </c>
      <c r="T46" t="n">
        <v>2</v>
      </c>
      <c r="U46" t="n">
        <v>2</v>
      </c>
      <c r="V46" t="n">
        <v>2.1</v>
      </c>
      <c r="W46" t="n">
        <v>2.1</v>
      </c>
      <c r="X46" t="n">
        <v>2</v>
      </c>
      <c r="Y46" t="n">
        <v>2</v>
      </c>
      <c r="Z46" t="n">
        <v>1.6</v>
      </c>
      <c r="AA46" t="n">
        <v>1.3</v>
      </c>
      <c r="AB46" t="n">
        <v>2.6</v>
      </c>
      <c r="AC46" t="n">
        <v>2.4</v>
      </c>
      <c r="AD46" t="n">
        <v>2.2</v>
      </c>
      <c r="AE46" t="n">
        <v>3.5</v>
      </c>
      <c r="AF46" t="n">
        <v>4.9</v>
      </c>
    </row>
    <row r="47">
      <c r="A47" t="s">
        <v>111</v>
      </c>
      <c r="B47" t="s">
        <v>364</v>
      </c>
      <c r="C47" t="s">
        <v>217</v>
      </c>
      <c r="D47" t="s">
        <v>365</v>
      </c>
      <c r="E47" t="s">
        <v>218</v>
      </c>
      <c r="F47" t="n">
        <v>112.6</v>
      </c>
      <c r="G47" t="n">
        <v>131.2</v>
      </c>
      <c r="H47" t="n">
        <v>151.1</v>
      </c>
      <c r="I47" t="n">
        <v>176</v>
      </c>
      <c r="J47" t="n">
        <v>201.5</v>
      </c>
      <c r="K47" t="n">
        <v>226.8</v>
      </c>
      <c r="L47" t="n">
        <v>247.1</v>
      </c>
      <c r="M47" t="n">
        <v>271.7</v>
      </c>
      <c r="N47" t="n">
        <v>302.1</v>
      </c>
      <c r="O47" t="n">
        <v>329.8</v>
      </c>
      <c r="P47" t="n">
        <v>361.6</v>
      </c>
      <c r="Q47" t="n">
        <v>392.7</v>
      </c>
      <c r="R47" t="n">
        <v>419.5</v>
      </c>
      <c r="S47" t="n">
        <v>506.8</v>
      </c>
      <c r="T47" t="n">
        <v>538.6</v>
      </c>
      <c r="U47" t="n">
        <v>524.8</v>
      </c>
      <c r="V47" t="n">
        <v>545.9</v>
      </c>
      <c r="W47" t="n">
        <v>552.9</v>
      </c>
      <c r="X47" t="n">
        <v>559.6</v>
      </c>
      <c r="Y47" t="n">
        <v>561.6</v>
      </c>
      <c r="Z47" t="n">
        <v>622.3</v>
      </c>
      <c r="AA47" t="n">
        <v>653.3</v>
      </c>
      <c r="AB47" t="n">
        <v>667.9</v>
      </c>
      <c r="AC47" t="n">
        <v>701.9</v>
      </c>
      <c r="AD47" t="n">
        <v>706.2</v>
      </c>
      <c r="AE47" t="n">
        <v>706.6</v>
      </c>
      <c r="AF47" t="n">
        <v>733.9</v>
      </c>
    </row>
    <row r="48">
      <c r="A48" t="s">
        <v>111</v>
      </c>
      <c r="B48" t="s">
        <v>366</v>
      </c>
      <c r="C48" t="s">
        <v>217</v>
      </c>
      <c r="D48" t="s">
        <v>367</v>
      </c>
      <c r="E48" t="s">
        <v>218</v>
      </c>
      <c r="F48" t="n">
        <v>686.4</v>
      </c>
      <c r="G48" t="n">
        <v>800.6</v>
      </c>
      <c r="H48" t="n">
        <v>921.3</v>
      </c>
      <c r="I48" t="n">
        <v>1074.8</v>
      </c>
      <c r="J48" t="n">
        <v>1233</v>
      </c>
      <c r="K48" t="n">
        <v>1390.6</v>
      </c>
      <c r="L48" t="n">
        <v>1518.9</v>
      </c>
      <c r="M48" t="n">
        <v>1671.5</v>
      </c>
      <c r="N48" t="n">
        <v>1858.6</v>
      </c>
      <c r="O48" t="n">
        <v>2030.2</v>
      </c>
      <c r="P48" t="n">
        <v>2227.3</v>
      </c>
      <c r="Q48" t="n">
        <v>2418.4</v>
      </c>
      <c r="R48" t="n">
        <v>2568.8</v>
      </c>
      <c r="S48" t="n">
        <v>3023</v>
      </c>
      <c r="T48" t="n">
        <v>3167.3</v>
      </c>
      <c r="U48" t="n">
        <v>3102.7</v>
      </c>
      <c r="V48" t="n">
        <v>3239.3</v>
      </c>
      <c r="W48" t="n">
        <v>3281.7</v>
      </c>
      <c r="X48" t="n">
        <v>3327.9</v>
      </c>
      <c r="Y48" t="n">
        <v>3346.1</v>
      </c>
      <c r="Z48" t="n">
        <v>3440.4</v>
      </c>
      <c r="AA48" t="n">
        <v>3438.4</v>
      </c>
      <c r="AB48" t="n">
        <v>3540.3</v>
      </c>
      <c r="AC48" t="n">
        <v>3661</v>
      </c>
      <c r="AD48" t="n">
        <v>3836.8</v>
      </c>
      <c r="AE48" t="n">
        <v>3998.8</v>
      </c>
      <c r="AF48" t="n">
        <v>4288.9</v>
      </c>
    </row>
    <row r="49">
      <c r="A49" t="s">
        <v>111</v>
      </c>
      <c r="B49" t="s">
        <v>368</v>
      </c>
      <c r="C49" t="s">
        <v>217</v>
      </c>
      <c r="D49" t="s">
        <v>369</v>
      </c>
      <c r="E49" t="s">
        <v>218</v>
      </c>
      <c r="F49" t="n">
        <v>541.2</v>
      </c>
      <c r="G49" t="n">
        <v>631.1</v>
      </c>
      <c r="H49" t="n">
        <v>726.3</v>
      </c>
      <c r="I49" t="n">
        <v>847.6</v>
      </c>
      <c r="J49" t="n">
        <v>972.9</v>
      </c>
      <c r="K49" t="n">
        <v>1097.3</v>
      </c>
      <c r="L49" t="n">
        <v>1198.4</v>
      </c>
      <c r="M49" t="n">
        <v>1318.7</v>
      </c>
      <c r="N49" t="n">
        <v>1466.3</v>
      </c>
      <c r="O49" t="n">
        <v>1601.9</v>
      </c>
      <c r="P49" t="n">
        <v>1757.7</v>
      </c>
      <c r="Q49" t="n">
        <v>1908.6</v>
      </c>
      <c r="R49" t="n">
        <v>2023.9</v>
      </c>
      <c r="S49" t="n">
        <v>2370.1</v>
      </c>
      <c r="T49" t="n">
        <v>2475.7</v>
      </c>
      <c r="U49" t="n">
        <v>2426.7</v>
      </c>
      <c r="V49" t="n">
        <v>2535.5</v>
      </c>
      <c r="W49" t="n">
        <v>2569.2</v>
      </c>
      <c r="X49" t="n">
        <v>2607.4</v>
      </c>
      <c r="Y49" t="n">
        <v>2623.6</v>
      </c>
      <c r="Z49" t="n">
        <v>2609.9</v>
      </c>
      <c r="AA49" t="n">
        <v>2550.3</v>
      </c>
      <c r="AB49" t="n">
        <v>2497.1</v>
      </c>
      <c r="AC49" t="n">
        <v>2479.4</v>
      </c>
      <c r="AD49" t="n">
        <v>2530.6</v>
      </c>
      <c r="AE49" t="n">
        <v>2599</v>
      </c>
      <c r="AF49" t="n">
        <v>2756</v>
      </c>
    </row>
    <row r="50">
      <c r="A50" t="s">
        <v>111</v>
      </c>
      <c r="B50" t="s">
        <v>370</v>
      </c>
      <c r="C50" t="s">
        <v>217</v>
      </c>
      <c r="D50" t="s">
        <v>371</v>
      </c>
      <c r="E50" t="s">
        <v>218</v>
      </c>
      <c r="F50" t="n">
        <v>32.7</v>
      </c>
      <c r="G50" t="n">
        <v>38.2</v>
      </c>
      <c r="H50" t="n">
        <v>43.9</v>
      </c>
      <c r="I50" t="n">
        <v>51.1</v>
      </c>
      <c r="J50" t="n">
        <v>58.6</v>
      </c>
      <c r="K50" t="n">
        <v>66.4</v>
      </c>
      <c r="L50" t="n">
        <v>73.4</v>
      </c>
      <c r="M50" t="n">
        <v>81.1</v>
      </c>
      <c r="N50" t="n">
        <v>90.2</v>
      </c>
      <c r="O50" t="n">
        <v>98.5</v>
      </c>
      <c r="P50" t="n">
        <v>107.9</v>
      </c>
      <c r="Q50" t="n">
        <v>117.2</v>
      </c>
      <c r="R50" t="n">
        <v>125.3</v>
      </c>
      <c r="S50" t="n">
        <v>146.2</v>
      </c>
      <c r="T50" t="n">
        <v>153</v>
      </c>
      <c r="U50" t="n">
        <v>151.2</v>
      </c>
      <c r="V50" t="n">
        <v>158</v>
      </c>
      <c r="W50" t="n">
        <v>159.5</v>
      </c>
      <c r="X50" t="n">
        <v>161</v>
      </c>
      <c r="Y50" t="n">
        <v>160.8</v>
      </c>
      <c r="Z50" t="n">
        <v>208.3</v>
      </c>
      <c r="AA50" t="n">
        <v>234.8</v>
      </c>
      <c r="AB50" t="n">
        <v>375.2</v>
      </c>
      <c r="AC50" t="n">
        <v>479.7</v>
      </c>
      <c r="AD50" t="n">
        <v>600</v>
      </c>
      <c r="AE50" t="n">
        <v>693.2</v>
      </c>
      <c r="AF50" t="n">
        <v>799</v>
      </c>
    </row>
    <row r="51">
      <c r="A51" t="s">
        <v>111</v>
      </c>
      <c r="B51" t="s">
        <v>372</v>
      </c>
      <c r="C51" t="s">
        <v>217</v>
      </c>
      <c r="D51" t="s">
        <v>373</v>
      </c>
      <c r="E51" t="s">
        <v>218</v>
      </c>
      <c r="F51" t="n">
        <v>32.7</v>
      </c>
      <c r="G51" t="n">
        <v>38.2</v>
      </c>
      <c r="H51" t="n">
        <v>43.9</v>
      </c>
      <c r="I51" t="n">
        <v>51.1</v>
      </c>
      <c r="J51" t="n">
        <v>58.6</v>
      </c>
      <c r="K51" t="n">
        <v>66.4</v>
      </c>
      <c r="L51" t="n">
        <v>73.4</v>
      </c>
      <c r="M51" t="n">
        <v>81.1</v>
      </c>
      <c r="N51" t="n">
        <v>90.2</v>
      </c>
      <c r="O51" t="n">
        <v>98.5</v>
      </c>
      <c r="P51" t="n">
        <v>107.9</v>
      </c>
      <c r="Q51" t="n">
        <v>117.2</v>
      </c>
      <c r="R51" t="n">
        <v>125.3</v>
      </c>
      <c r="S51" t="n">
        <v>146.2</v>
      </c>
      <c r="T51" t="n">
        <v>153</v>
      </c>
      <c r="U51" t="n">
        <v>151.2</v>
      </c>
      <c r="V51" t="n">
        <v>158</v>
      </c>
      <c r="W51" t="n">
        <v>159.5</v>
      </c>
      <c r="X51" t="n">
        <v>161</v>
      </c>
      <c r="Y51" t="n">
        <v>160.8</v>
      </c>
      <c r="Z51" t="n">
        <v>208.2</v>
      </c>
      <c r="AA51" t="n">
        <v>234.5</v>
      </c>
      <c r="AB51" t="n">
        <v>374.3</v>
      </c>
      <c r="AC51" t="n">
        <v>478.8</v>
      </c>
      <c r="AD51" t="n">
        <v>599.1</v>
      </c>
      <c r="AE51" t="n">
        <v>692.1</v>
      </c>
      <c r="AF51" t="n">
        <v>797.7</v>
      </c>
    </row>
    <row r="52">
      <c r="A52" t="s">
        <v>111</v>
      </c>
      <c r="B52" t="s">
        <v>374</v>
      </c>
      <c r="C52" t="s">
        <v>217</v>
      </c>
      <c r="D52" t="s">
        <v>375</v>
      </c>
      <c r="E52" t="s">
        <v>218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0.1</v>
      </c>
      <c r="AA52" t="n">
        <v>0.3</v>
      </c>
      <c r="AB52" t="n">
        <v>0.9</v>
      </c>
      <c r="AC52" t="n">
        <v>0.9</v>
      </c>
      <c r="AD52" t="n">
        <v>0.9</v>
      </c>
      <c r="AE52" t="n">
        <v>1.1</v>
      </c>
      <c r="AF52" t="n">
        <v>1.3</v>
      </c>
    </row>
    <row r="53">
      <c r="A53" t="s">
        <v>111</v>
      </c>
      <c r="B53" t="s">
        <v>376</v>
      </c>
      <c r="C53" t="s">
        <v>217</v>
      </c>
      <c r="D53" t="s">
        <v>377</v>
      </c>
      <c r="E53" t="s">
        <v>218</v>
      </c>
      <c r="F53" t="n">
        <v>5.9</v>
      </c>
      <c r="G53" t="n">
        <v>7</v>
      </c>
      <c r="H53" t="n">
        <v>8.1</v>
      </c>
      <c r="I53" t="n">
        <v>9.5</v>
      </c>
      <c r="J53" t="n">
        <v>11</v>
      </c>
      <c r="K53" t="n">
        <v>13</v>
      </c>
      <c r="L53" t="n">
        <v>15.3</v>
      </c>
      <c r="M53" t="n">
        <v>17.2</v>
      </c>
      <c r="N53" t="n">
        <v>19.2</v>
      </c>
      <c r="O53" t="n">
        <v>21</v>
      </c>
      <c r="P53" t="n">
        <v>23.1</v>
      </c>
      <c r="Q53" t="n">
        <v>25.3</v>
      </c>
      <c r="R53" t="n">
        <v>27.1</v>
      </c>
      <c r="S53" t="n">
        <v>30.4</v>
      </c>
      <c r="T53" t="n">
        <v>31.6</v>
      </c>
      <c r="U53" t="n">
        <v>32</v>
      </c>
      <c r="V53" t="n">
        <v>33.1</v>
      </c>
      <c r="W53" t="n">
        <v>32.4</v>
      </c>
      <c r="X53" t="n">
        <v>31.7</v>
      </c>
      <c r="Y53" t="n">
        <v>30.5</v>
      </c>
      <c r="Z53" t="n">
        <v>24.6</v>
      </c>
      <c r="AA53" t="n">
        <v>20.9</v>
      </c>
      <c r="AB53" t="n">
        <v>18.1</v>
      </c>
      <c r="AC53" t="n">
        <v>16.8</v>
      </c>
      <c r="AD53" t="n">
        <v>16.4</v>
      </c>
      <c r="AE53" t="n">
        <v>16</v>
      </c>
      <c r="AF53" t="n">
        <v>16.1</v>
      </c>
    </row>
    <row r="54">
      <c r="A54" t="s">
        <v>111</v>
      </c>
      <c r="B54" t="s">
        <v>378</v>
      </c>
      <c r="C54" t="s">
        <v>217</v>
      </c>
      <c r="D54" t="s">
        <v>379</v>
      </c>
      <c r="E54" t="s">
        <v>218</v>
      </c>
      <c r="F54" t="n">
        <v>6</v>
      </c>
      <c r="G54" t="n">
        <v>7.1</v>
      </c>
      <c r="H54" t="n">
        <v>8.2</v>
      </c>
      <c r="I54" t="n">
        <v>9.6</v>
      </c>
      <c r="J54" t="n">
        <v>11.1</v>
      </c>
      <c r="K54" t="n">
        <v>13.1</v>
      </c>
      <c r="L54" t="n">
        <v>15.5</v>
      </c>
      <c r="M54" t="n">
        <v>17.4</v>
      </c>
      <c r="N54" t="n">
        <v>19.4</v>
      </c>
      <c r="O54" t="n">
        <v>21.2</v>
      </c>
      <c r="P54" t="n">
        <v>23.4</v>
      </c>
      <c r="Q54" t="n">
        <v>25.6</v>
      </c>
      <c r="R54" t="n">
        <v>28.1</v>
      </c>
      <c r="S54" t="n">
        <v>32.3</v>
      </c>
      <c r="T54" t="n">
        <v>34</v>
      </c>
      <c r="U54" t="n">
        <v>34.7</v>
      </c>
      <c r="V54" t="n">
        <v>36.2</v>
      </c>
      <c r="W54" t="n">
        <v>35.7</v>
      </c>
      <c r="X54" t="n">
        <v>35.2</v>
      </c>
      <c r="Y54" t="n">
        <v>34.1</v>
      </c>
      <c r="Z54" t="n">
        <v>42.1</v>
      </c>
      <c r="AA54" t="n">
        <v>50.4</v>
      </c>
      <c r="AB54" t="n">
        <v>54.1</v>
      </c>
      <c r="AC54" t="n">
        <v>47.9</v>
      </c>
      <c r="AD54" t="n">
        <v>44.2</v>
      </c>
      <c r="AE54" t="n">
        <v>39.2</v>
      </c>
      <c r="AF54" t="n">
        <v>36.1</v>
      </c>
    </row>
    <row r="55">
      <c r="A55" t="s">
        <v>111</v>
      </c>
      <c r="B55" t="s">
        <v>380</v>
      </c>
      <c r="C55" t="s">
        <v>217</v>
      </c>
      <c r="D55" t="s">
        <v>381</v>
      </c>
      <c r="E55" t="s">
        <v>218</v>
      </c>
      <c r="F55" t="n">
        <v>0.1</v>
      </c>
      <c r="G55" t="n">
        <v>0.1</v>
      </c>
      <c r="H55" t="n">
        <v>0.1</v>
      </c>
      <c r="I55" t="n">
        <v>0.1</v>
      </c>
      <c r="J55" t="n">
        <v>0.1</v>
      </c>
      <c r="K55" t="n">
        <v>0.1</v>
      </c>
      <c r="L55" t="n">
        <v>0.2</v>
      </c>
      <c r="M55" t="n">
        <v>0.2</v>
      </c>
      <c r="N55" t="n">
        <v>0.2</v>
      </c>
      <c r="O55" t="n">
        <v>0.2</v>
      </c>
      <c r="P55" t="n">
        <v>0.3</v>
      </c>
      <c r="Q55" t="n">
        <v>0.3</v>
      </c>
      <c r="R55" t="n">
        <v>1</v>
      </c>
      <c r="S55" t="n">
        <v>1.9</v>
      </c>
      <c r="T55" t="n">
        <v>2.4</v>
      </c>
      <c r="U55" t="n">
        <v>2.7</v>
      </c>
      <c r="V55" t="n">
        <v>3.1</v>
      </c>
      <c r="W55" t="n">
        <v>3.3</v>
      </c>
      <c r="X55" t="n">
        <v>3.5</v>
      </c>
      <c r="Y55" t="n">
        <v>3.6</v>
      </c>
      <c r="Z55" t="n">
        <v>17.5</v>
      </c>
      <c r="AA55" t="n">
        <v>29.5</v>
      </c>
      <c r="AB55" t="n">
        <v>36</v>
      </c>
      <c r="AC55" t="n">
        <v>31.1</v>
      </c>
      <c r="AD55" t="n">
        <v>27.8</v>
      </c>
      <c r="AE55" t="n">
        <v>23.2</v>
      </c>
      <c r="AF55" t="n">
        <v>20</v>
      </c>
    </row>
    <row r="56">
      <c r="A56" t="s">
        <v>111</v>
      </c>
      <c r="B56" t="s">
        <v>382</v>
      </c>
      <c r="C56" t="s">
        <v>217</v>
      </c>
      <c r="D56" t="s">
        <v>383</v>
      </c>
      <c r="E56" t="s">
        <v>218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111</v>
      </c>
      <c r="B57" t="s">
        <v>384</v>
      </c>
      <c r="C57" t="s">
        <v>217</v>
      </c>
      <c r="D57" t="s">
        <v>385</v>
      </c>
      <c r="E57" t="s">
        <v>218</v>
      </c>
      <c r="F57" t="n">
        <v>1160.2</v>
      </c>
      <c r="G57" t="n">
        <v>1347</v>
      </c>
      <c r="H57" t="n">
        <v>1534.8</v>
      </c>
      <c r="I57" t="n">
        <v>1789.6</v>
      </c>
      <c r="J57" t="n">
        <v>2063.5</v>
      </c>
      <c r="K57" t="n">
        <v>2353</v>
      </c>
      <c r="L57" t="n">
        <v>2621.4</v>
      </c>
      <c r="M57" t="n">
        <v>2900.5</v>
      </c>
      <c r="N57" t="n">
        <v>3234.9</v>
      </c>
      <c r="O57" t="n">
        <v>3546.6</v>
      </c>
      <c r="P57" t="n">
        <v>3909.6</v>
      </c>
      <c r="Q57" t="n">
        <v>4270.7</v>
      </c>
      <c r="R57" t="n">
        <v>4580.7</v>
      </c>
      <c r="S57" t="n">
        <v>5342.7</v>
      </c>
      <c r="T57" t="n">
        <v>5612</v>
      </c>
      <c r="U57" t="n">
        <v>5583.5</v>
      </c>
      <c r="V57" t="n">
        <v>5830.5</v>
      </c>
      <c r="W57" t="n">
        <v>5840.4</v>
      </c>
      <c r="X57" t="n">
        <v>5855.6</v>
      </c>
      <c r="Y57" t="n">
        <v>5828.4</v>
      </c>
      <c r="Z57" t="n">
        <v>5921.3</v>
      </c>
      <c r="AA57" t="n">
        <v>6033.9</v>
      </c>
      <c r="AB57" t="n">
        <v>6359.6</v>
      </c>
      <c r="AC57" t="n">
        <v>6580.1</v>
      </c>
      <c r="AD57" t="n">
        <v>6967.3</v>
      </c>
      <c r="AE57" t="n">
        <v>7352.7</v>
      </c>
      <c r="AF57" t="n">
        <v>7972.8</v>
      </c>
    </row>
    <row r="58">
      <c r="A58" t="s">
        <v>111</v>
      </c>
      <c r="B58" t="s">
        <v>386</v>
      </c>
      <c r="C58" t="s">
        <v>217</v>
      </c>
      <c r="D58" t="s">
        <v>387</v>
      </c>
      <c r="E58" t="s">
        <v>218</v>
      </c>
      <c r="F58" t="n">
        <v>1160.2</v>
      </c>
      <c r="G58" t="n">
        <v>1347</v>
      </c>
      <c r="H58" t="n">
        <v>1534.8</v>
      </c>
      <c r="I58" t="n">
        <v>1789.6</v>
      </c>
      <c r="J58" t="n">
        <v>2063.5</v>
      </c>
      <c r="K58" t="n">
        <v>2353</v>
      </c>
      <c r="L58" t="n">
        <v>2621.4</v>
      </c>
      <c r="M58" t="n">
        <v>2900.5</v>
      </c>
      <c r="N58" t="n">
        <v>3234.9</v>
      </c>
      <c r="O58" t="n">
        <v>3546.6</v>
      </c>
      <c r="P58" t="n">
        <v>3909.6</v>
      </c>
      <c r="Q58" t="n">
        <v>4270.7</v>
      </c>
      <c r="R58" t="n">
        <v>4580.7</v>
      </c>
      <c r="S58" t="n">
        <v>5342.7</v>
      </c>
      <c r="T58" t="n">
        <v>5612</v>
      </c>
      <c r="U58" t="n">
        <v>5583.5</v>
      </c>
      <c r="V58" t="n">
        <v>5830.5</v>
      </c>
      <c r="W58" t="n">
        <v>5840.4</v>
      </c>
      <c r="X58" t="n">
        <v>5855.6</v>
      </c>
      <c r="Y58" t="n">
        <v>5828.4</v>
      </c>
      <c r="Z58" t="n">
        <v>5921.3</v>
      </c>
      <c r="AA58" t="n">
        <v>6033.9</v>
      </c>
      <c r="AB58" t="n">
        <v>6359.6</v>
      </c>
      <c r="AC58" t="n">
        <v>6580.1</v>
      </c>
      <c r="AD58" t="n">
        <v>6967.3</v>
      </c>
      <c r="AE58" t="n">
        <v>7352.7</v>
      </c>
      <c r="AF58" t="n">
        <v>7972.8</v>
      </c>
    </row>
    <row r="59">
      <c r="A59" t="s">
        <v>111</v>
      </c>
      <c r="B59" t="s">
        <v>388</v>
      </c>
      <c r="C59" t="s">
        <v>217</v>
      </c>
      <c r="D59" t="s">
        <v>389</v>
      </c>
      <c r="E59" t="s">
        <v>218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113</v>
      </c>
      <c r="B2" t="s">
        <v>197</v>
      </c>
      <c r="C2" t="s">
        <v>217</v>
      </c>
      <c r="D2" t="s">
        <v>199</v>
      </c>
      <c r="E2" t="s">
        <v>218</v>
      </c>
      <c r="F2" t="n">
        <v>194.6</v>
      </c>
      <c r="G2" t="n">
        <v>279.2</v>
      </c>
      <c r="H2" t="n">
        <v>379.8</v>
      </c>
      <c r="I2" t="n">
        <v>496.1</v>
      </c>
      <c r="J2" t="n">
        <v>613.3</v>
      </c>
      <c r="K2" t="n">
        <v>580.7</v>
      </c>
      <c r="L2" t="n">
        <v>560.8</v>
      </c>
      <c r="M2" t="n">
        <v>516.8</v>
      </c>
      <c r="N2" t="n">
        <v>492.9</v>
      </c>
      <c r="O2" t="n">
        <v>474.1</v>
      </c>
      <c r="P2" t="n">
        <v>453.3</v>
      </c>
      <c r="Q2" t="n">
        <v>443.6</v>
      </c>
      <c r="R2" t="n">
        <v>434.3</v>
      </c>
      <c r="S2" t="n">
        <v>431.7</v>
      </c>
      <c r="T2" t="n">
        <v>408.6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113</v>
      </c>
      <c r="B3" t="s">
        <v>276</v>
      </c>
      <c r="C3" t="s">
        <v>217</v>
      </c>
      <c r="D3" t="s">
        <v>277</v>
      </c>
      <c r="E3" t="s">
        <v>218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113</v>
      </c>
      <c r="B4" t="s">
        <v>278</v>
      </c>
      <c r="C4" t="s">
        <v>217</v>
      </c>
      <c r="D4" t="s">
        <v>279</v>
      </c>
      <c r="E4" t="s">
        <v>218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113</v>
      </c>
      <c r="B5" t="s">
        <v>280</v>
      </c>
      <c r="C5" t="s">
        <v>217</v>
      </c>
      <c r="D5" t="s">
        <v>281</v>
      </c>
      <c r="E5" t="s">
        <v>218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113</v>
      </c>
      <c r="B6" t="s">
        <v>282</v>
      </c>
      <c r="C6" t="s">
        <v>217</v>
      </c>
      <c r="D6" t="s">
        <v>283</v>
      </c>
      <c r="E6" t="s">
        <v>218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113</v>
      </c>
      <c r="B7" t="s">
        <v>284</v>
      </c>
      <c r="C7" t="s">
        <v>217</v>
      </c>
      <c r="D7" t="s">
        <v>285</v>
      </c>
      <c r="E7" t="s">
        <v>218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113</v>
      </c>
      <c r="B8" t="s">
        <v>286</v>
      </c>
      <c r="C8" t="s">
        <v>217</v>
      </c>
      <c r="D8" t="s">
        <v>287</v>
      </c>
      <c r="E8" t="s">
        <v>218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113</v>
      </c>
      <c r="B9" t="s">
        <v>288</v>
      </c>
      <c r="C9" t="s">
        <v>217</v>
      </c>
      <c r="D9" t="s">
        <v>289</v>
      </c>
      <c r="E9" t="s">
        <v>218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113</v>
      </c>
      <c r="B10" t="s">
        <v>290</v>
      </c>
      <c r="C10" t="s">
        <v>217</v>
      </c>
      <c r="D10" t="s">
        <v>291</v>
      </c>
      <c r="E10" t="s">
        <v>218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113</v>
      </c>
      <c r="B11" t="s">
        <v>292</v>
      </c>
      <c r="C11" t="s">
        <v>217</v>
      </c>
      <c r="D11" t="s">
        <v>293</v>
      </c>
      <c r="E11" t="s">
        <v>218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113</v>
      </c>
      <c r="B12" t="s">
        <v>294</v>
      </c>
      <c r="C12" t="s">
        <v>217</v>
      </c>
      <c r="D12" t="s">
        <v>295</v>
      </c>
      <c r="E12" t="s">
        <v>218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113</v>
      </c>
      <c r="B13" t="s">
        <v>296</v>
      </c>
      <c r="C13" t="s">
        <v>217</v>
      </c>
      <c r="D13" t="s">
        <v>297</v>
      </c>
      <c r="E13" t="s">
        <v>218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113</v>
      </c>
      <c r="B14" t="s">
        <v>298</v>
      </c>
      <c r="C14" t="s">
        <v>217</v>
      </c>
      <c r="D14" t="s">
        <v>299</v>
      </c>
      <c r="E14" t="s">
        <v>218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113</v>
      </c>
      <c r="B15" t="s">
        <v>300</v>
      </c>
      <c r="C15" t="s">
        <v>217</v>
      </c>
      <c r="D15" t="s">
        <v>301</v>
      </c>
      <c r="E15" t="s">
        <v>218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113</v>
      </c>
      <c r="B16" t="s">
        <v>302</v>
      </c>
      <c r="C16" t="s">
        <v>217</v>
      </c>
      <c r="D16" t="s">
        <v>303</v>
      </c>
      <c r="E16" t="s">
        <v>218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113</v>
      </c>
      <c r="B17" t="s">
        <v>304</v>
      </c>
      <c r="C17" t="s">
        <v>217</v>
      </c>
      <c r="D17" t="s">
        <v>305</v>
      </c>
      <c r="E17" t="s">
        <v>218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113</v>
      </c>
      <c r="B18" t="s">
        <v>306</v>
      </c>
      <c r="C18" t="s">
        <v>217</v>
      </c>
      <c r="D18" t="s">
        <v>307</v>
      </c>
      <c r="E18" t="s">
        <v>218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113</v>
      </c>
      <c r="B19" t="s">
        <v>308</v>
      </c>
      <c r="C19" t="s">
        <v>217</v>
      </c>
      <c r="D19" t="s">
        <v>309</v>
      </c>
      <c r="E19" t="s">
        <v>218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113</v>
      </c>
      <c r="B20" t="s">
        <v>310</v>
      </c>
      <c r="C20" t="s">
        <v>217</v>
      </c>
      <c r="D20" t="s">
        <v>311</v>
      </c>
      <c r="E20" t="s">
        <v>218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113</v>
      </c>
      <c r="B21" t="s">
        <v>312</v>
      </c>
      <c r="C21" t="s">
        <v>217</v>
      </c>
      <c r="D21" t="s">
        <v>313</v>
      </c>
      <c r="E21" t="s">
        <v>218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113</v>
      </c>
      <c r="B22" t="s">
        <v>314</v>
      </c>
      <c r="C22" t="s">
        <v>217</v>
      </c>
      <c r="D22" t="s">
        <v>315</v>
      </c>
      <c r="E22" t="s">
        <v>218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113</v>
      </c>
      <c r="B23" t="s">
        <v>316</v>
      </c>
      <c r="C23" t="s">
        <v>217</v>
      </c>
      <c r="D23" t="s">
        <v>317</v>
      </c>
      <c r="E23" t="s">
        <v>218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113</v>
      </c>
      <c r="B24" t="s">
        <v>318</v>
      </c>
      <c r="C24" t="s">
        <v>217</v>
      </c>
      <c r="D24" t="s">
        <v>319</v>
      </c>
      <c r="E24" t="s">
        <v>218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113</v>
      </c>
      <c r="B25" t="s">
        <v>320</v>
      </c>
      <c r="C25" t="s">
        <v>217</v>
      </c>
      <c r="D25" t="s">
        <v>321</v>
      </c>
      <c r="E25" t="s">
        <v>218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113</v>
      </c>
      <c r="B26" t="s">
        <v>322</v>
      </c>
      <c r="C26" t="s">
        <v>217</v>
      </c>
      <c r="D26" t="s">
        <v>323</v>
      </c>
      <c r="E26" t="s">
        <v>218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113</v>
      </c>
      <c r="B27" t="s">
        <v>324</v>
      </c>
      <c r="C27" t="s">
        <v>217</v>
      </c>
      <c r="D27" t="s">
        <v>325</v>
      </c>
      <c r="E27" t="s">
        <v>218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113</v>
      </c>
      <c r="B28" t="s">
        <v>326</v>
      </c>
      <c r="C28" t="s">
        <v>217</v>
      </c>
      <c r="D28" t="s">
        <v>327</v>
      </c>
      <c r="E28" t="s">
        <v>218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113</v>
      </c>
      <c r="B29" t="s">
        <v>328</v>
      </c>
      <c r="C29" t="s">
        <v>217</v>
      </c>
      <c r="D29" t="s">
        <v>329</v>
      </c>
      <c r="E29" t="s">
        <v>218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113</v>
      </c>
      <c r="B30" t="s">
        <v>330</v>
      </c>
      <c r="C30" t="s">
        <v>217</v>
      </c>
      <c r="D30" t="s">
        <v>331</v>
      </c>
      <c r="E30" t="s">
        <v>218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113</v>
      </c>
      <c r="B31" t="s">
        <v>332</v>
      </c>
      <c r="C31" t="s">
        <v>217</v>
      </c>
      <c r="D31" t="s">
        <v>333</v>
      </c>
      <c r="E31" t="s">
        <v>218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113</v>
      </c>
      <c r="B32" t="s">
        <v>334</v>
      </c>
      <c r="C32" t="s">
        <v>217</v>
      </c>
      <c r="D32" t="s">
        <v>335</v>
      </c>
      <c r="E32" t="s">
        <v>218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113</v>
      </c>
      <c r="B33" t="s">
        <v>336</v>
      </c>
      <c r="C33" t="s">
        <v>217</v>
      </c>
      <c r="D33" t="s">
        <v>337</v>
      </c>
      <c r="E33" t="s">
        <v>218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113</v>
      </c>
      <c r="B34" t="s">
        <v>338</v>
      </c>
      <c r="C34" t="s">
        <v>217</v>
      </c>
      <c r="D34" t="s">
        <v>339</v>
      </c>
      <c r="E34" t="s">
        <v>218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113</v>
      </c>
      <c r="B35" t="s">
        <v>340</v>
      </c>
      <c r="C35" t="s">
        <v>217</v>
      </c>
      <c r="D35" t="s">
        <v>341</v>
      </c>
      <c r="E35" t="s">
        <v>218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s">
        <v>113</v>
      </c>
      <c r="B36" t="s">
        <v>342</v>
      </c>
      <c r="C36" t="s">
        <v>217</v>
      </c>
      <c r="D36" t="s">
        <v>343</v>
      </c>
      <c r="E36" t="s">
        <v>218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113</v>
      </c>
      <c r="B37" t="s">
        <v>344</v>
      </c>
      <c r="C37" t="s">
        <v>217</v>
      </c>
      <c r="D37" t="s">
        <v>345</v>
      </c>
      <c r="E37" t="s">
        <v>218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113</v>
      </c>
      <c r="B38" t="s">
        <v>346</v>
      </c>
      <c r="C38" t="s">
        <v>217</v>
      </c>
      <c r="D38" t="s">
        <v>347</v>
      </c>
      <c r="E38" t="s">
        <v>218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113</v>
      </c>
      <c r="B39" t="s">
        <v>348</v>
      </c>
      <c r="C39" t="s">
        <v>217</v>
      </c>
      <c r="D39" t="s">
        <v>349</v>
      </c>
      <c r="E39" t="s">
        <v>218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113</v>
      </c>
      <c r="B40" t="s">
        <v>350</v>
      </c>
      <c r="C40" t="s">
        <v>217</v>
      </c>
      <c r="D40" t="s">
        <v>351</v>
      </c>
      <c r="E40" t="s">
        <v>218</v>
      </c>
      <c r="F40" t="n">
        <v>1137.7</v>
      </c>
      <c r="G40" t="n">
        <v>1466.3</v>
      </c>
      <c r="H40" t="n">
        <v>1845.6</v>
      </c>
      <c r="I40" t="n">
        <v>2284.9</v>
      </c>
      <c r="J40" t="n">
        <v>2713.8</v>
      </c>
      <c r="K40" t="n">
        <v>2530.1</v>
      </c>
      <c r="L40" t="n">
        <v>2463.8</v>
      </c>
      <c r="M40" t="n">
        <v>2276.8</v>
      </c>
      <c r="N40" t="n">
        <v>2360.6</v>
      </c>
      <c r="O40" t="n">
        <v>2418.4</v>
      </c>
      <c r="P40" t="n">
        <v>2621.8</v>
      </c>
      <c r="Q40" t="n">
        <v>2822</v>
      </c>
      <c r="R40" t="n">
        <v>3330.9</v>
      </c>
      <c r="S40" t="n">
        <v>3463</v>
      </c>
      <c r="T40" t="n">
        <v>3373.4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0.1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s">
        <v>113</v>
      </c>
      <c r="B41" t="s">
        <v>352</v>
      </c>
      <c r="C41" t="s">
        <v>217</v>
      </c>
      <c r="D41" t="s">
        <v>353</v>
      </c>
      <c r="E41" t="s">
        <v>218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113</v>
      </c>
      <c r="B42" t="s">
        <v>354</v>
      </c>
      <c r="C42" t="s">
        <v>217</v>
      </c>
      <c r="D42" t="s">
        <v>355</v>
      </c>
      <c r="E42" t="s">
        <v>218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113</v>
      </c>
      <c r="B43" t="s">
        <v>356</v>
      </c>
      <c r="C43" t="s">
        <v>217</v>
      </c>
      <c r="D43" t="s">
        <v>357</v>
      </c>
      <c r="E43" t="s">
        <v>218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113</v>
      </c>
      <c r="B44" t="s">
        <v>358</v>
      </c>
      <c r="C44" t="s">
        <v>217</v>
      </c>
      <c r="D44" t="s">
        <v>359</v>
      </c>
      <c r="E44" t="s">
        <v>218</v>
      </c>
      <c r="F44" t="n">
        <v>535.4</v>
      </c>
      <c r="G44" t="n">
        <v>639.6</v>
      </c>
      <c r="H44" t="n">
        <v>747.8</v>
      </c>
      <c r="I44" t="n">
        <v>882.8</v>
      </c>
      <c r="J44" t="n">
        <v>1012.3</v>
      </c>
      <c r="K44" t="n">
        <v>961</v>
      </c>
      <c r="L44" t="n">
        <v>941.3</v>
      </c>
      <c r="M44" t="n">
        <v>1050.6</v>
      </c>
      <c r="N44" t="n">
        <v>1003.2</v>
      </c>
      <c r="O44" t="n">
        <v>965</v>
      </c>
      <c r="P44" t="n">
        <v>928.3</v>
      </c>
      <c r="Q44" t="n">
        <v>946.2</v>
      </c>
      <c r="R44" t="n">
        <v>944.7</v>
      </c>
      <c r="S44" t="n">
        <v>958.8</v>
      </c>
      <c r="T44" t="n">
        <v>927.1</v>
      </c>
      <c r="U44" t="n">
        <v>337.8</v>
      </c>
      <c r="V44" t="n">
        <v>317.6</v>
      </c>
      <c r="W44" t="n">
        <v>288.6</v>
      </c>
      <c r="X44" t="n">
        <v>255.5</v>
      </c>
      <c r="Y44" t="n">
        <v>263.8</v>
      </c>
      <c r="Z44" t="n">
        <v>248.1</v>
      </c>
      <c r="AA44" t="n">
        <v>234.5</v>
      </c>
      <c r="AB44" t="n">
        <v>225</v>
      </c>
      <c r="AC44" t="n">
        <v>216.9</v>
      </c>
      <c r="AD44" t="n">
        <v>220.4</v>
      </c>
      <c r="AE44" t="n">
        <v>228</v>
      </c>
      <c r="AF44" t="n">
        <v>235.5</v>
      </c>
    </row>
    <row r="45">
      <c r="A45" t="s">
        <v>113</v>
      </c>
      <c r="B45" t="s">
        <v>360</v>
      </c>
      <c r="C45" t="s">
        <v>217</v>
      </c>
      <c r="D45" t="s">
        <v>361</v>
      </c>
      <c r="E45" t="s">
        <v>218</v>
      </c>
      <c r="F45" t="n">
        <v>340.8</v>
      </c>
      <c r="G45" t="n">
        <v>360.4</v>
      </c>
      <c r="H45" t="n">
        <v>368</v>
      </c>
      <c r="I45" t="n">
        <v>386.7</v>
      </c>
      <c r="J45" t="n">
        <v>399</v>
      </c>
      <c r="K45" t="n">
        <v>380.3</v>
      </c>
      <c r="L45" t="n">
        <v>380.5</v>
      </c>
      <c r="M45" t="n">
        <v>533.8</v>
      </c>
      <c r="N45" t="n">
        <v>510.3</v>
      </c>
      <c r="O45" t="n">
        <v>490.9</v>
      </c>
      <c r="P45" t="n">
        <v>475</v>
      </c>
      <c r="Q45" t="n">
        <v>502.6</v>
      </c>
      <c r="R45" t="n">
        <v>510.4</v>
      </c>
      <c r="S45" t="n">
        <v>527.1</v>
      </c>
      <c r="T45" t="n">
        <v>518.5</v>
      </c>
      <c r="U45" t="n">
        <v>337.8</v>
      </c>
      <c r="V45" t="n">
        <v>317.6</v>
      </c>
      <c r="W45" t="n">
        <v>288.6</v>
      </c>
      <c r="X45" t="n">
        <v>255.5</v>
      </c>
      <c r="Y45" t="n">
        <v>263.8</v>
      </c>
      <c r="Z45" t="n">
        <v>248.1</v>
      </c>
      <c r="AA45" t="n">
        <v>234.5</v>
      </c>
      <c r="AB45" t="n">
        <v>225</v>
      </c>
      <c r="AC45" t="n">
        <v>216.9</v>
      </c>
      <c r="AD45" t="n">
        <v>220.4</v>
      </c>
      <c r="AE45" t="n">
        <v>228</v>
      </c>
      <c r="AF45" t="n">
        <v>235.5</v>
      </c>
    </row>
    <row r="46">
      <c r="A46" t="s">
        <v>113</v>
      </c>
      <c r="B46" t="s">
        <v>362</v>
      </c>
      <c r="C46" t="s">
        <v>217</v>
      </c>
      <c r="D46" t="s">
        <v>363</v>
      </c>
      <c r="E46" t="s">
        <v>218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113</v>
      </c>
      <c r="B47" t="s">
        <v>364</v>
      </c>
      <c r="C47" t="s">
        <v>217</v>
      </c>
      <c r="D47" t="s">
        <v>365</v>
      </c>
      <c r="E47" t="s">
        <v>218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s">
        <v>113</v>
      </c>
      <c r="B48" t="s">
        <v>366</v>
      </c>
      <c r="C48" t="s">
        <v>217</v>
      </c>
      <c r="D48" t="s">
        <v>367</v>
      </c>
      <c r="E48" t="s">
        <v>218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s">
        <v>113</v>
      </c>
      <c r="B49" t="s">
        <v>368</v>
      </c>
      <c r="C49" t="s">
        <v>217</v>
      </c>
      <c r="D49" t="s">
        <v>369</v>
      </c>
      <c r="E49" t="s">
        <v>218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113</v>
      </c>
      <c r="B50" t="s">
        <v>370</v>
      </c>
      <c r="C50" t="s">
        <v>217</v>
      </c>
      <c r="D50" t="s">
        <v>371</v>
      </c>
      <c r="E50" t="s">
        <v>218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113</v>
      </c>
      <c r="B51" t="s">
        <v>372</v>
      </c>
      <c r="C51" t="s">
        <v>217</v>
      </c>
      <c r="D51" t="s">
        <v>373</v>
      </c>
      <c r="E51" t="s">
        <v>218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113</v>
      </c>
      <c r="B52" t="s">
        <v>374</v>
      </c>
      <c r="C52" t="s">
        <v>217</v>
      </c>
      <c r="D52" t="s">
        <v>375</v>
      </c>
      <c r="E52" t="s">
        <v>218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113</v>
      </c>
      <c r="B53" t="s">
        <v>376</v>
      </c>
      <c r="C53" t="s">
        <v>217</v>
      </c>
      <c r="D53" t="s">
        <v>377</v>
      </c>
      <c r="E53" t="s">
        <v>218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113</v>
      </c>
      <c r="B54" t="s">
        <v>378</v>
      </c>
      <c r="C54" t="s">
        <v>217</v>
      </c>
      <c r="D54" t="s">
        <v>379</v>
      </c>
      <c r="E54" t="s">
        <v>218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s">
        <v>113</v>
      </c>
      <c r="B55" t="s">
        <v>380</v>
      </c>
      <c r="C55" t="s">
        <v>217</v>
      </c>
      <c r="D55" t="s">
        <v>381</v>
      </c>
      <c r="E55" t="s">
        <v>218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113</v>
      </c>
      <c r="B56" t="s">
        <v>382</v>
      </c>
      <c r="C56" t="s">
        <v>217</v>
      </c>
      <c r="D56" t="s">
        <v>383</v>
      </c>
      <c r="E56" t="s">
        <v>218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113</v>
      </c>
      <c r="B57" t="s">
        <v>384</v>
      </c>
      <c r="C57" t="s">
        <v>217</v>
      </c>
      <c r="D57" t="s">
        <v>385</v>
      </c>
      <c r="E57" t="s">
        <v>218</v>
      </c>
      <c r="F57" t="n">
        <v>1721.3</v>
      </c>
      <c r="G57" t="n">
        <v>2204.4</v>
      </c>
      <c r="H57" t="n">
        <v>2745.2</v>
      </c>
      <c r="I57" t="n">
        <v>3375.5</v>
      </c>
      <c r="J57" t="n">
        <v>3959.1</v>
      </c>
      <c r="K57" t="n">
        <v>3761.2</v>
      </c>
      <c r="L57" t="n">
        <v>3712.8</v>
      </c>
      <c r="M57" t="n">
        <v>3684.4</v>
      </c>
      <c r="N57" t="n">
        <v>3761.1</v>
      </c>
      <c r="O57" t="n">
        <v>3814</v>
      </c>
      <c r="P57" t="n">
        <v>3958.3</v>
      </c>
      <c r="Q57" t="n">
        <v>4313.7</v>
      </c>
      <c r="R57" t="n">
        <v>4902.9</v>
      </c>
      <c r="S57" t="n">
        <v>5103.4</v>
      </c>
      <c r="T57" t="n">
        <v>5137.5</v>
      </c>
      <c r="U57" t="n">
        <v>337.7</v>
      </c>
      <c r="V57" t="n">
        <v>317.6</v>
      </c>
      <c r="W57" t="n">
        <v>288.6</v>
      </c>
      <c r="X57" t="n">
        <v>255.4</v>
      </c>
      <c r="Y57" t="n">
        <v>263.9</v>
      </c>
      <c r="Z57" t="n">
        <v>248.2</v>
      </c>
      <c r="AA57" t="n">
        <v>234.6</v>
      </c>
      <c r="AB57" t="n">
        <v>225.1</v>
      </c>
      <c r="AC57" t="n">
        <v>216.8</v>
      </c>
      <c r="AD57" t="n">
        <v>220.6</v>
      </c>
      <c r="AE57" t="n">
        <v>228</v>
      </c>
      <c r="AF57" t="n">
        <v>235.4</v>
      </c>
    </row>
    <row r="58">
      <c r="A58" t="s">
        <v>113</v>
      </c>
      <c r="B58" t="s">
        <v>386</v>
      </c>
      <c r="C58" t="s">
        <v>217</v>
      </c>
      <c r="D58" t="s">
        <v>387</v>
      </c>
      <c r="E58" t="s">
        <v>218</v>
      </c>
      <c r="F58" t="n">
        <v>1721.3</v>
      </c>
      <c r="G58" t="n">
        <v>2204.4</v>
      </c>
      <c r="H58" t="n">
        <v>2745.2</v>
      </c>
      <c r="I58" t="n">
        <v>3375.5</v>
      </c>
      <c r="J58" t="n">
        <v>3959.1</v>
      </c>
      <c r="K58" t="n">
        <v>3761.2</v>
      </c>
      <c r="L58" t="n">
        <v>3712.8</v>
      </c>
      <c r="M58" t="n">
        <v>3684.4</v>
      </c>
      <c r="N58" t="n">
        <v>3761.1</v>
      </c>
      <c r="O58" t="n">
        <v>3814</v>
      </c>
      <c r="P58" t="n">
        <v>3958.3</v>
      </c>
      <c r="Q58" t="n">
        <v>4313.7</v>
      </c>
      <c r="R58" t="n">
        <v>4902.9</v>
      </c>
      <c r="S58" t="n">
        <v>5103.4</v>
      </c>
      <c r="T58" t="n">
        <v>5137.5</v>
      </c>
      <c r="U58" t="n">
        <v>337.7</v>
      </c>
      <c r="V58" t="n">
        <v>317.6</v>
      </c>
      <c r="W58" t="n">
        <v>288.6</v>
      </c>
      <c r="X58" t="n">
        <v>255.4</v>
      </c>
      <c r="Y58" t="n">
        <v>263.9</v>
      </c>
      <c r="Z58" t="n">
        <v>248.2</v>
      </c>
      <c r="AA58" t="n">
        <v>234.6</v>
      </c>
      <c r="AB58" t="n">
        <v>225.1</v>
      </c>
      <c r="AC58" t="n">
        <v>216.8</v>
      </c>
      <c r="AD58" t="n">
        <v>220.6</v>
      </c>
      <c r="AE58" t="n">
        <v>228</v>
      </c>
      <c r="AF58" t="n">
        <v>235.4</v>
      </c>
    </row>
    <row r="59">
      <c r="A59" t="s">
        <v>113</v>
      </c>
      <c r="B59" t="s">
        <v>388</v>
      </c>
      <c r="C59" t="s">
        <v>217</v>
      </c>
      <c r="D59" t="s">
        <v>389</v>
      </c>
      <c r="E59" t="s">
        <v>218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115</v>
      </c>
      <c r="B2" t="s">
        <v>197</v>
      </c>
      <c r="C2" t="s">
        <v>217</v>
      </c>
      <c r="D2" t="s">
        <v>199</v>
      </c>
      <c r="E2" t="s">
        <v>218</v>
      </c>
      <c r="F2" t="n">
        <v>9649.7</v>
      </c>
      <c r="G2" t="n">
        <v>10249.5</v>
      </c>
      <c r="H2" t="n">
        <v>10863.4</v>
      </c>
      <c r="I2" t="n">
        <v>11647.5</v>
      </c>
      <c r="J2" t="n">
        <v>12274.4</v>
      </c>
      <c r="K2" t="n">
        <v>12924</v>
      </c>
      <c r="L2" t="n">
        <v>13560.5</v>
      </c>
      <c r="M2" t="n">
        <v>14101.1</v>
      </c>
      <c r="N2" t="n">
        <v>14660.9</v>
      </c>
      <c r="O2" t="n">
        <v>15224.3</v>
      </c>
      <c r="P2" t="n">
        <v>15459.1</v>
      </c>
      <c r="Q2" t="n">
        <v>16302.1</v>
      </c>
      <c r="R2" t="n">
        <v>17211.7</v>
      </c>
      <c r="S2" t="n">
        <v>18537.7</v>
      </c>
      <c r="T2" t="n">
        <v>18760.7</v>
      </c>
      <c r="U2" t="n">
        <v>18395.3</v>
      </c>
      <c r="V2" t="n">
        <v>17504.1</v>
      </c>
      <c r="W2" t="n">
        <v>16666</v>
      </c>
      <c r="X2" t="n">
        <v>16255.3</v>
      </c>
      <c r="Y2" t="n">
        <v>15667.6</v>
      </c>
      <c r="Z2" t="n">
        <v>15277.1</v>
      </c>
      <c r="AA2" t="n">
        <v>15074</v>
      </c>
      <c r="AB2" t="n">
        <v>14997</v>
      </c>
      <c r="AC2" t="n">
        <v>14982.1</v>
      </c>
      <c r="AD2" t="n">
        <v>14924.3</v>
      </c>
      <c r="AE2" t="n">
        <v>14939.6</v>
      </c>
      <c r="AF2" t="n">
        <v>15457.4</v>
      </c>
    </row>
    <row r="3">
      <c r="A3" t="s">
        <v>115</v>
      </c>
      <c r="B3" t="s">
        <v>276</v>
      </c>
      <c r="C3" t="s">
        <v>217</v>
      </c>
      <c r="D3" t="s">
        <v>277</v>
      </c>
      <c r="E3" t="s">
        <v>218</v>
      </c>
      <c r="F3" t="n">
        <v>1979.8</v>
      </c>
      <c r="G3" t="n">
        <v>2071.2</v>
      </c>
      <c r="H3" t="n">
        <v>2142.9</v>
      </c>
      <c r="I3" t="n">
        <v>2242.9</v>
      </c>
      <c r="J3" t="n">
        <v>2295.7</v>
      </c>
      <c r="K3" t="n">
        <v>2365.6</v>
      </c>
      <c r="L3" t="n">
        <v>2392</v>
      </c>
      <c r="M3" t="n">
        <v>2411.7</v>
      </c>
      <c r="N3" t="n">
        <v>2416.5</v>
      </c>
      <c r="O3" t="n">
        <v>2422.3</v>
      </c>
      <c r="P3" t="n">
        <v>2393.3</v>
      </c>
      <c r="Q3" t="n">
        <v>2508.1</v>
      </c>
      <c r="R3" t="n">
        <v>2596.6</v>
      </c>
      <c r="S3" t="n">
        <v>2707</v>
      </c>
      <c r="T3" t="n">
        <v>2715.9</v>
      </c>
      <c r="U3" t="n">
        <v>2680.6</v>
      </c>
      <c r="V3" t="n">
        <v>2661</v>
      </c>
      <c r="W3" t="n">
        <v>2654.4</v>
      </c>
      <c r="X3" t="n">
        <v>2612.1</v>
      </c>
      <c r="Y3" t="n">
        <v>2516.1</v>
      </c>
      <c r="Z3" t="n">
        <v>2482.6</v>
      </c>
      <c r="AA3" t="n">
        <v>2631.8</v>
      </c>
      <c r="AB3" t="n">
        <v>2758.8</v>
      </c>
      <c r="AC3" t="n">
        <v>2787</v>
      </c>
      <c r="AD3" t="n">
        <v>2815</v>
      </c>
      <c r="AE3" t="n">
        <v>2745.8</v>
      </c>
      <c r="AF3" t="n">
        <v>2751.4</v>
      </c>
    </row>
    <row r="4">
      <c r="A4" t="s">
        <v>115</v>
      </c>
      <c r="B4" t="s">
        <v>278</v>
      </c>
      <c r="C4" t="s">
        <v>217</v>
      </c>
      <c r="D4" t="s">
        <v>279</v>
      </c>
      <c r="E4" t="s">
        <v>218</v>
      </c>
      <c r="F4" t="n">
        <v>10392.4</v>
      </c>
      <c r="G4" t="n">
        <v>11389</v>
      </c>
      <c r="H4" t="n">
        <v>12345.1</v>
      </c>
      <c r="I4" t="n">
        <v>13693</v>
      </c>
      <c r="J4" t="n">
        <v>14734.9</v>
      </c>
      <c r="K4" t="n">
        <v>16353.1</v>
      </c>
      <c r="L4" t="n">
        <v>17500.3</v>
      </c>
      <c r="M4" t="n">
        <v>17807.2</v>
      </c>
      <c r="N4" t="n">
        <v>18074.7</v>
      </c>
      <c r="O4" t="n">
        <v>18579.9</v>
      </c>
      <c r="P4" t="n">
        <v>18578.8</v>
      </c>
      <c r="Q4" t="n">
        <v>19801</v>
      </c>
      <c r="R4" t="n">
        <v>20695.8</v>
      </c>
      <c r="S4" t="n">
        <v>22147.2</v>
      </c>
      <c r="T4" t="n">
        <v>22828.1</v>
      </c>
      <c r="U4" t="n">
        <v>22283.5</v>
      </c>
      <c r="V4" t="n">
        <v>21424.2</v>
      </c>
      <c r="W4" t="n">
        <v>22081.4</v>
      </c>
      <c r="X4" t="n">
        <v>20789.4</v>
      </c>
      <c r="Y4" t="n">
        <v>20077.7</v>
      </c>
      <c r="Z4" t="n">
        <v>19339.1</v>
      </c>
      <c r="AA4" t="n">
        <v>18636.2</v>
      </c>
      <c r="AB4" t="n">
        <v>18218.2</v>
      </c>
      <c r="AC4" t="n">
        <v>18138.6</v>
      </c>
      <c r="AD4" t="n">
        <v>17904.3</v>
      </c>
      <c r="AE4" t="n">
        <v>17995.9</v>
      </c>
      <c r="AF4" t="n">
        <v>18641.1</v>
      </c>
    </row>
    <row r="5">
      <c r="A5" t="s">
        <v>115</v>
      </c>
      <c r="B5" t="s">
        <v>280</v>
      </c>
      <c r="C5" t="s">
        <v>217</v>
      </c>
      <c r="D5" t="s">
        <v>281</v>
      </c>
      <c r="E5" t="s">
        <v>218</v>
      </c>
      <c r="F5" t="n">
        <v>2337.4</v>
      </c>
      <c r="G5" t="n">
        <v>2521.2</v>
      </c>
      <c r="H5" t="n">
        <v>2685.2</v>
      </c>
      <c r="I5" t="n">
        <v>2951.8</v>
      </c>
      <c r="J5" t="n">
        <v>3144.7</v>
      </c>
      <c r="K5" t="n">
        <v>3458</v>
      </c>
      <c r="L5" t="n">
        <v>3714.7</v>
      </c>
      <c r="M5" t="n">
        <v>3833.9</v>
      </c>
      <c r="N5" t="n">
        <v>3984.7</v>
      </c>
      <c r="O5" t="n">
        <v>4241.3</v>
      </c>
      <c r="P5" t="n">
        <v>4239.6</v>
      </c>
      <c r="Q5" t="n">
        <v>4465.7</v>
      </c>
      <c r="R5" t="n">
        <v>4813.7</v>
      </c>
      <c r="S5" t="n">
        <v>5234.2</v>
      </c>
      <c r="T5" t="n">
        <v>5342.4</v>
      </c>
      <c r="U5" t="n">
        <v>5250.6</v>
      </c>
      <c r="V5" t="n">
        <v>4999.1</v>
      </c>
      <c r="W5" t="n">
        <v>4779.5</v>
      </c>
      <c r="X5" t="n">
        <v>4609.2</v>
      </c>
      <c r="Y5" t="n">
        <v>4572</v>
      </c>
      <c r="Z5" t="n">
        <v>4580.1</v>
      </c>
      <c r="AA5" t="n">
        <v>4537.8</v>
      </c>
      <c r="AB5" t="n">
        <v>4532.2</v>
      </c>
      <c r="AC5" t="n">
        <v>4715.5</v>
      </c>
      <c r="AD5" t="n">
        <v>4687.1</v>
      </c>
      <c r="AE5" t="n">
        <v>4749.5</v>
      </c>
      <c r="AF5" t="n">
        <v>4950.8</v>
      </c>
    </row>
    <row r="6">
      <c r="A6" t="s">
        <v>115</v>
      </c>
      <c r="B6" t="s">
        <v>282</v>
      </c>
      <c r="C6" t="s">
        <v>217</v>
      </c>
      <c r="D6" t="s">
        <v>283</v>
      </c>
      <c r="E6" t="s">
        <v>218</v>
      </c>
      <c r="F6" t="n">
        <v>2168</v>
      </c>
      <c r="G6" t="n">
        <v>2252.9</v>
      </c>
      <c r="H6" t="n">
        <v>2311.3</v>
      </c>
      <c r="I6" t="n">
        <v>2428.3</v>
      </c>
      <c r="J6" t="n">
        <v>2473.6</v>
      </c>
      <c r="K6" t="n">
        <v>2607.9</v>
      </c>
      <c r="L6" t="n">
        <v>2709.2</v>
      </c>
      <c r="M6" t="n">
        <v>2667.2</v>
      </c>
      <c r="N6" t="n">
        <v>2616.5</v>
      </c>
      <c r="O6" t="n">
        <v>2597.7</v>
      </c>
      <c r="P6" t="n">
        <v>2490.3</v>
      </c>
      <c r="Q6" t="n">
        <v>2407.7</v>
      </c>
      <c r="R6" t="n">
        <v>2384.1</v>
      </c>
      <c r="S6" t="n">
        <v>2317.7</v>
      </c>
      <c r="T6" t="n">
        <v>2220.7</v>
      </c>
      <c r="U6" t="n">
        <v>2013.5</v>
      </c>
      <c r="V6" t="n">
        <v>1878.9</v>
      </c>
      <c r="W6" t="n">
        <v>1730.6</v>
      </c>
      <c r="X6" t="n">
        <v>1616.5</v>
      </c>
      <c r="Y6" t="n">
        <v>1508.3</v>
      </c>
      <c r="Z6" t="n">
        <v>1409.6</v>
      </c>
      <c r="AA6" t="n">
        <v>1353.3</v>
      </c>
      <c r="AB6" t="n">
        <v>1314.5</v>
      </c>
      <c r="AC6" t="n">
        <v>1243.7</v>
      </c>
      <c r="AD6" t="n">
        <v>1173.9</v>
      </c>
      <c r="AE6" t="n">
        <v>1123.4</v>
      </c>
      <c r="AF6" t="n">
        <v>1098.2</v>
      </c>
    </row>
    <row r="7">
      <c r="A7" t="s">
        <v>115</v>
      </c>
      <c r="B7" t="s">
        <v>284</v>
      </c>
      <c r="C7" t="s">
        <v>217</v>
      </c>
      <c r="D7" t="s">
        <v>285</v>
      </c>
      <c r="E7" t="s">
        <v>218</v>
      </c>
      <c r="F7" t="n">
        <v>600.9</v>
      </c>
      <c r="G7" t="n">
        <v>709.8</v>
      </c>
      <c r="H7" t="n">
        <v>810.8</v>
      </c>
      <c r="I7" t="n">
        <v>967.8</v>
      </c>
      <c r="J7" t="n">
        <v>1099.7</v>
      </c>
      <c r="K7" t="n">
        <v>1287.1</v>
      </c>
      <c r="L7" t="n">
        <v>1344.5</v>
      </c>
      <c r="M7" t="n">
        <v>1396.9</v>
      </c>
      <c r="N7" t="n">
        <v>1370.4</v>
      </c>
      <c r="O7" t="n">
        <v>1429.9</v>
      </c>
      <c r="P7" t="n">
        <v>1344.7</v>
      </c>
      <c r="Q7" t="n">
        <v>1521.5</v>
      </c>
      <c r="R7" t="n">
        <v>1674.8</v>
      </c>
      <c r="S7" t="n">
        <v>1718.3</v>
      </c>
      <c r="T7" t="n">
        <v>1669.8</v>
      </c>
      <c r="U7" t="n">
        <v>1580.5</v>
      </c>
      <c r="V7" t="n">
        <v>1485.7</v>
      </c>
      <c r="W7" t="n">
        <v>1384.9</v>
      </c>
      <c r="X7" t="n">
        <v>1298.2</v>
      </c>
      <c r="Y7" t="n">
        <v>1268.3</v>
      </c>
      <c r="Z7" t="n">
        <v>1221.6</v>
      </c>
      <c r="AA7" t="n">
        <v>1210.5</v>
      </c>
      <c r="AB7" t="n">
        <v>1211.6</v>
      </c>
      <c r="AC7" t="n">
        <v>1182.6</v>
      </c>
      <c r="AD7" t="n">
        <v>1131.4</v>
      </c>
      <c r="AE7" t="n">
        <v>1118.8</v>
      </c>
      <c r="AF7" t="n">
        <v>1137.1</v>
      </c>
    </row>
    <row r="8">
      <c r="A8" t="s">
        <v>115</v>
      </c>
      <c r="B8" t="s">
        <v>286</v>
      </c>
      <c r="C8" t="s">
        <v>217</v>
      </c>
      <c r="D8" t="s">
        <v>287</v>
      </c>
      <c r="E8" t="s">
        <v>218</v>
      </c>
      <c r="F8" t="n">
        <v>522.4</v>
      </c>
      <c r="G8" t="n">
        <v>563.4</v>
      </c>
      <c r="H8" t="n">
        <v>620.3</v>
      </c>
      <c r="I8" t="n">
        <v>671.4</v>
      </c>
      <c r="J8" t="n">
        <v>715.5</v>
      </c>
      <c r="K8" t="n">
        <v>814.8</v>
      </c>
      <c r="L8" t="n">
        <v>797.4</v>
      </c>
      <c r="M8" t="n">
        <v>777.8</v>
      </c>
      <c r="N8" t="n">
        <v>771.3</v>
      </c>
      <c r="O8" t="n">
        <v>736.8</v>
      </c>
      <c r="P8" t="n">
        <v>1043.2</v>
      </c>
      <c r="Q8" t="n">
        <v>1006.2</v>
      </c>
      <c r="R8" t="n">
        <v>982.9</v>
      </c>
      <c r="S8" t="n">
        <v>1369.5</v>
      </c>
      <c r="T8" t="n">
        <v>1768.3</v>
      </c>
      <c r="U8" t="n">
        <v>1931.6</v>
      </c>
      <c r="V8" t="n">
        <v>2086.3</v>
      </c>
      <c r="W8" t="n">
        <v>3849.2</v>
      </c>
      <c r="X8" t="n">
        <v>3625.5</v>
      </c>
      <c r="Y8" t="n">
        <v>3447.3</v>
      </c>
      <c r="Z8" t="n">
        <v>3325.3</v>
      </c>
      <c r="AA8" t="n">
        <v>3120.3</v>
      </c>
      <c r="AB8" t="n">
        <v>2984.6</v>
      </c>
      <c r="AC8" t="n">
        <v>2862.7</v>
      </c>
      <c r="AD8" t="n">
        <v>2827.7</v>
      </c>
      <c r="AE8" t="n">
        <v>2839.8</v>
      </c>
      <c r="AF8" t="n">
        <v>2934</v>
      </c>
    </row>
    <row r="9">
      <c r="A9" t="s">
        <v>115</v>
      </c>
      <c r="B9" t="s">
        <v>288</v>
      </c>
      <c r="C9" t="s">
        <v>217</v>
      </c>
      <c r="D9" t="s">
        <v>289</v>
      </c>
      <c r="E9" t="s">
        <v>218</v>
      </c>
      <c r="F9" t="n">
        <v>368.4</v>
      </c>
      <c r="G9" t="n">
        <v>427.2</v>
      </c>
      <c r="H9" t="n">
        <v>484.1</v>
      </c>
      <c r="I9" t="n">
        <v>564.4</v>
      </c>
      <c r="J9" t="n">
        <v>633.4</v>
      </c>
      <c r="K9" t="n">
        <v>721.8</v>
      </c>
      <c r="L9" t="n">
        <v>851.6</v>
      </c>
      <c r="M9" t="n">
        <v>859.3</v>
      </c>
      <c r="N9" t="n">
        <v>864.6</v>
      </c>
      <c r="O9" t="n">
        <v>920.1</v>
      </c>
      <c r="P9" t="n">
        <v>924.4</v>
      </c>
      <c r="Q9" t="n">
        <v>965.4</v>
      </c>
      <c r="R9" t="n">
        <v>1023.7</v>
      </c>
      <c r="S9" t="n">
        <v>1100.4</v>
      </c>
      <c r="T9" t="n">
        <v>1145.7</v>
      </c>
      <c r="U9" t="n">
        <v>1071.1</v>
      </c>
      <c r="V9" t="n">
        <v>1027.8</v>
      </c>
      <c r="W9" t="n">
        <v>982.4</v>
      </c>
      <c r="X9" t="n">
        <v>963.4</v>
      </c>
      <c r="Y9" t="n">
        <v>922</v>
      </c>
      <c r="Z9" t="n">
        <v>820.5</v>
      </c>
      <c r="AA9" t="n">
        <v>790.7</v>
      </c>
      <c r="AB9" t="n">
        <v>781.2</v>
      </c>
      <c r="AC9" t="n">
        <v>776.1</v>
      </c>
      <c r="AD9" t="n">
        <v>788.6</v>
      </c>
      <c r="AE9" t="n">
        <v>787.7</v>
      </c>
      <c r="AF9" t="n">
        <v>813.1</v>
      </c>
    </row>
    <row r="10">
      <c r="A10" t="s">
        <v>115</v>
      </c>
      <c r="B10" t="s">
        <v>290</v>
      </c>
      <c r="C10" t="s">
        <v>217</v>
      </c>
      <c r="D10" t="s">
        <v>291</v>
      </c>
      <c r="E10" t="s">
        <v>218</v>
      </c>
      <c r="F10" t="n">
        <v>530.6</v>
      </c>
      <c r="G10" t="n">
        <v>617.8</v>
      </c>
      <c r="H10" t="n">
        <v>701.5</v>
      </c>
      <c r="I10" t="n">
        <v>821.3</v>
      </c>
      <c r="J10" t="n">
        <v>927.9</v>
      </c>
      <c r="K10" t="n">
        <v>1060.7</v>
      </c>
      <c r="L10" t="n">
        <v>1250.3</v>
      </c>
      <c r="M10" t="n">
        <v>1271.1</v>
      </c>
      <c r="N10" t="n">
        <v>1290.9</v>
      </c>
      <c r="O10" t="n">
        <v>1380.1</v>
      </c>
      <c r="P10" t="n">
        <v>1396.8</v>
      </c>
      <c r="Q10" t="n">
        <v>1484</v>
      </c>
      <c r="R10" t="n">
        <v>1605.4</v>
      </c>
      <c r="S10" t="n">
        <v>1787.3</v>
      </c>
      <c r="T10" t="n">
        <v>2034</v>
      </c>
      <c r="U10" t="n">
        <v>1862.9</v>
      </c>
      <c r="V10" t="n">
        <v>1801.6</v>
      </c>
      <c r="W10" t="n">
        <v>1712.7</v>
      </c>
      <c r="X10" t="n">
        <v>1693</v>
      </c>
      <c r="Y10" t="n">
        <v>1642.5</v>
      </c>
      <c r="Z10" t="n">
        <v>1512.3</v>
      </c>
      <c r="AA10" t="n">
        <v>1473.8</v>
      </c>
      <c r="AB10" t="n">
        <v>1465.4</v>
      </c>
      <c r="AC10" t="n">
        <v>1530.8</v>
      </c>
      <c r="AD10" t="n">
        <v>1598.1</v>
      </c>
      <c r="AE10" t="n">
        <v>1657.9</v>
      </c>
      <c r="AF10" t="n">
        <v>1778.7</v>
      </c>
    </row>
    <row r="11">
      <c r="A11" t="s">
        <v>115</v>
      </c>
      <c r="B11" t="s">
        <v>292</v>
      </c>
      <c r="C11" t="s">
        <v>217</v>
      </c>
      <c r="D11" t="s">
        <v>293</v>
      </c>
      <c r="E11" t="s">
        <v>218</v>
      </c>
      <c r="F11" t="n">
        <v>162.2</v>
      </c>
      <c r="G11" t="n">
        <v>190.6</v>
      </c>
      <c r="H11" t="n">
        <v>217.4</v>
      </c>
      <c r="I11" t="n">
        <v>256.9</v>
      </c>
      <c r="J11" t="n">
        <v>294.5</v>
      </c>
      <c r="K11" t="n">
        <v>338.9</v>
      </c>
      <c r="L11" t="n">
        <v>398.7</v>
      </c>
      <c r="M11" t="n">
        <v>411.8</v>
      </c>
      <c r="N11" t="n">
        <v>426.3</v>
      </c>
      <c r="O11" t="n">
        <v>460</v>
      </c>
      <c r="P11" t="n">
        <v>472.4</v>
      </c>
      <c r="Q11" t="n">
        <v>518.6</v>
      </c>
      <c r="R11" t="n">
        <v>581.7</v>
      </c>
      <c r="S11" t="n">
        <v>686.9</v>
      </c>
      <c r="T11" t="n">
        <v>888.3</v>
      </c>
      <c r="U11" t="n">
        <v>791.8</v>
      </c>
      <c r="V11" t="n">
        <v>773.8</v>
      </c>
      <c r="W11" t="n">
        <v>730.3</v>
      </c>
      <c r="X11" t="n">
        <v>729.6</v>
      </c>
      <c r="Y11" t="n">
        <v>720.5</v>
      </c>
      <c r="Z11" t="n">
        <v>691.8</v>
      </c>
      <c r="AA11" t="n">
        <v>683.1</v>
      </c>
      <c r="AB11" t="n">
        <v>684.2</v>
      </c>
      <c r="AC11" t="n">
        <v>754.7</v>
      </c>
      <c r="AD11" t="n">
        <v>809.5</v>
      </c>
      <c r="AE11" t="n">
        <v>870.2</v>
      </c>
      <c r="AF11" t="n">
        <v>965.6</v>
      </c>
    </row>
    <row r="12">
      <c r="A12" t="s">
        <v>115</v>
      </c>
      <c r="B12" t="s">
        <v>294</v>
      </c>
      <c r="C12" t="s">
        <v>217</v>
      </c>
      <c r="D12" t="s">
        <v>295</v>
      </c>
      <c r="E12" t="s">
        <v>218</v>
      </c>
      <c r="F12" t="n">
        <v>1040</v>
      </c>
      <c r="G12" t="n">
        <v>1262.7</v>
      </c>
      <c r="H12" t="n">
        <v>1534.6</v>
      </c>
      <c r="I12" t="n">
        <v>1797.7</v>
      </c>
      <c r="J12" t="n">
        <v>2067.5</v>
      </c>
      <c r="K12" t="n">
        <v>2376.4</v>
      </c>
      <c r="L12" t="n">
        <v>2405.4</v>
      </c>
      <c r="M12" t="n">
        <v>2374.3</v>
      </c>
      <c r="N12" t="n">
        <v>2416.1</v>
      </c>
      <c r="O12" t="n">
        <v>2382.1</v>
      </c>
      <c r="P12" t="n">
        <v>2294</v>
      </c>
      <c r="Q12" t="n">
        <v>2368.6</v>
      </c>
      <c r="R12" t="n">
        <v>2529.3</v>
      </c>
      <c r="S12" t="n">
        <v>2646.9</v>
      </c>
      <c r="T12" t="n">
        <v>2735.1</v>
      </c>
      <c r="U12" t="n">
        <v>2651.8</v>
      </c>
      <c r="V12" t="n">
        <v>2539.3</v>
      </c>
      <c r="W12" t="n">
        <v>2361.6</v>
      </c>
      <c r="X12" t="n">
        <v>2236.4</v>
      </c>
      <c r="Y12" t="n">
        <v>2151.1</v>
      </c>
      <c r="Z12" t="n">
        <v>2057.4</v>
      </c>
      <c r="AA12" t="n">
        <v>1964.9</v>
      </c>
      <c r="AB12" t="n">
        <v>1899.1</v>
      </c>
      <c r="AC12" t="n">
        <v>1861</v>
      </c>
      <c r="AD12" t="n">
        <v>1832.9</v>
      </c>
      <c r="AE12" t="n">
        <v>1793.7</v>
      </c>
      <c r="AF12" t="n">
        <v>1807.1</v>
      </c>
    </row>
    <row r="13">
      <c r="A13" t="s">
        <v>115</v>
      </c>
      <c r="B13" t="s">
        <v>296</v>
      </c>
      <c r="C13" t="s">
        <v>217</v>
      </c>
      <c r="D13" t="s">
        <v>297</v>
      </c>
      <c r="E13" t="s">
        <v>218</v>
      </c>
      <c r="F13" t="n">
        <v>1638.1</v>
      </c>
      <c r="G13" t="n">
        <v>1828.8</v>
      </c>
      <c r="H13" t="n">
        <v>1994</v>
      </c>
      <c r="I13" t="n">
        <v>2257.9</v>
      </c>
      <c r="J13" t="n">
        <v>2450.2</v>
      </c>
      <c r="K13" t="n">
        <v>2764</v>
      </c>
      <c r="L13" t="n">
        <v>3029.4</v>
      </c>
      <c r="M13" t="n">
        <v>3133.5</v>
      </c>
      <c r="N13" t="n">
        <v>3232.8</v>
      </c>
      <c r="O13" t="n">
        <v>3362.1</v>
      </c>
      <c r="P13" t="n">
        <v>3311.3</v>
      </c>
      <c r="Q13" t="n">
        <v>3792.6</v>
      </c>
      <c r="R13" t="n">
        <v>3905.3</v>
      </c>
      <c r="S13" t="n">
        <v>4104.3</v>
      </c>
      <c r="T13" t="n">
        <v>4082.1</v>
      </c>
      <c r="U13" t="n">
        <v>4121.4</v>
      </c>
      <c r="V13" t="n">
        <v>3913.7</v>
      </c>
      <c r="W13" t="n">
        <v>3716.6</v>
      </c>
      <c r="X13" t="n">
        <v>3336</v>
      </c>
      <c r="Y13" t="n">
        <v>3170.2</v>
      </c>
      <c r="Z13" t="n">
        <v>3046</v>
      </c>
      <c r="AA13" t="n">
        <v>2902.6</v>
      </c>
      <c r="AB13" t="n">
        <v>2807.7</v>
      </c>
      <c r="AC13" t="n">
        <v>2797.8</v>
      </c>
      <c r="AD13" t="n">
        <v>2730.1</v>
      </c>
      <c r="AE13" t="n">
        <v>2812.2</v>
      </c>
      <c r="AF13" t="n">
        <v>2997.4</v>
      </c>
    </row>
    <row r="14">
      <c r="A14" t="s">
        <v>115</v>
      </c>
      <c r="B14" t="s">
        <v>298</v>
      </c>
      <c r="C14" t="s">
        <v>217</v>
      </c>
      <c r="D14" t="s">
        <v>299</v>
      </c>
      <c r="E14" t="s">
        <v>218</v>
      </c>
      <c r="F14" t="n">
        <v>94.7</v>
      </c>
      <c r="G14" t="n">
        <v>108.4</v>
      </c>
      <c r="H14" t="n">
        <v>121.2</v>
      </c>
      <c r="I14" t="n">
        <v>138.2</v>
      </c>
      <c r="J14" t="n">
        <v>153</v>
      </c>
      <c r="K14" t="n">
        <v>176.7</v>
      </c>
      <c r="L14" t="n">
        <v>348.7</v>
      </c>
      <c r="M14" t="n">
        <v>346.2</v>
      </c>
      <c r="N14" t="n">
        <v>360.5</v>
      </c>
      <c r="O14" t="n">
        <v>368.7</v>
      </c>
      <c r="P14" t="n">
        <v>374.2</v>
      </c>
      <c r="Q14" t="n">
        <v>387.4</v>
      </c>
      <c r="R14" t="n">
        <v>380.8</v>
      </c>
      <c r="S14" t="n">
        <v>385.7</v>
      </c>
      <c r="T14" t="n">
        <v>370</v>
      </c>
      <c r="U14" t="n">
        <v>355.9</v>
      </c>
      <c r="V14" t="n">
        <v>348.5</v>
      </c>
      <c r="W14" t="n">
        <v>305</v>
      </c>
      <c r="X14" t="n">
        <v>294.5</v>
      </c>
      <c r="Y14" t="n">
        <v>297.4</v>
      </c>
      <c r="Z14" t="n">
        <v>274</v>
      </c>
      <c r="AA14" t="n">
        <v>260.1</v>
      </c>
      <c r="AB14" t="n">
        <v>255</v>
      </c>
      <c r="AC14" t="n">
        <v>240.8</v>
      </c>
      <c r="AD14" t="n">
        <v>234</v>
      </c>
      <c r="AE14" t="n">
        <v>224.4</v>
      </c>
      <c r="AF14" t="n">
        <v>222.5</v>
      </c>
    </row>
    <row r="15">
      <c r="A15" t="s">
        <v>115</v>
      </c>
      <c r="B15" t="s">
        <v>300</v>
      </c>
      <c r="C15" t="s">
        <v>217</v>
      </c>
      <c r="D15" t="s">
        <v>301</v>
      </c>
      <c r="E15" t="s">
        <v>218</v>
      </c>
      <c r="F15" t="n">
        <v>455.1</v>
      </c>
      <c r="G15" t="n">
        <v>500</v>
      </c>
      <c r="H15" t="n">
        <v>539.9</v>
      </c>
      <c r="I15" t="n">
        <v>600.4</v>
      </c>
      <c r="J15" t="n">
        <v>646.3</v>
      </c>
      <c r="K15" t="n">
        <v>718.9</v>
      </c>
      <c r="L15" t="n">
        <v>897.7</v>
      </c>
      <c r="M15" t="n">
        <v>953.9</v>
      </c>
      <c r="N15" t="n">
        <v>968.7</v>
      </c>
      <c r="O15" t="n">
        <v>982.6</v>
      </c>
      <c r="P15" t="n">
        <v>974.7</v>
      </c>
      <c r="Q15" t="n">
        <v>1044.7</v>
      </c>
      <c r="R15" t="n">
        <v>1039.2</v>
      </c>
      <c r="S15" t="n">
        <v>1072.7</v>
      </c>
      <c r="T15" t="n">
        <v>1041.4</v>
      </c>
      <c r="U15" t="n">
        <v>991.7</v>
      </c>
      <c r="V15" t="n">
        <v>953.3</v>
      </c>
      <c r="W15" t="n">
        <v>859</v>
      </c>
      <c r="X15" t="n">
        <v>808.8</v>
      </c>
      <c r="Y15" t="n">
        <v>836.4</v>
      </c>
      <c r="Z15" t="n">
        <v>782.4</v>
      </c>
      <c r="AA15" t="n">
        <v>744.8</v>
      </c>
      <c r="AB15" t="n">
        <v>726.3</v>
      </c>
      <c r="AC15" t="n">
        <v>719.5</v>
      </c>
      <c r="AD15" t="n">
        <v>746</v>
      </c>
      <c r="AE15" t="n">
        <v>752.4</v>
      </c>
      <c r="AF15" t="n">
        <v>784.2</v>
      </c>
    </row>
    <row r="16">
      <c r="A16" t="s">
        <v>115</v>
      </c>
      <c r="B16" t="s">
        <v>302</v>
      </c>
      <c r="C16" t="s">
        <v>217</v>
      </c>
      <c r="D16" t="s">
        <v>303</v>
      </c>
      <c r="E16" t="s">
        <v>218</v>
      </c>
      <c r="F16" t="n">
        <v>360.4</v>
      </c>
      <c r="G16" t="n">
        <v>391.6</v>
      </c>
      <c r="H16" t="n">
        <v>418.7</v>
      </c>
      <c r="I16" t="n">
        <v>462.2</v>
      </c>
      <c r="J16" t="n">
        <v>493.3</v>
      </c>
      <c r="K16" t="n">
        <v>542.2</v>
      </c>
      <c r="L16" t="n">
        <v>549</v>
      </c>
      <c r="M16" t="n">
        <v>607.7</v>
      </c>
      <c r="N16" t="n">
        <v>608.2</v>
      </c>
      <c r="O16" t="n">
        <v>613.9</v>
      </c>
      <c r="P16" t="n">
        <v>600.5</v>
      </c>
      <c r="Q16" t="n">
        <v>657.3</v>
      </c>
      <c r="R16" t="n">
        <v>658.4</v>
      </c>
      <c r="S16" t="n">
        <v>687</v>
      </c>
      <c r="T16" t="n">
        <v>671.4</v>
      </c>
      <c r="U16" t="n">
        <v>635.8</v>
      </c>
      <c r="V16" t="n">
        <v>604.8</v>
      </c>
      <c r="W16" t="n">
        <v>554</v>
      </c>
      <c r="X16" t="n">
        <v>514.3</v>
      </c>
      <c r="Y16" t="n">
        <v>539</v>
      </c>
      <c r="Z16" t="n">
        <v>508.4</v>
      </c>
      <c r="AA16" t="n">
        <v>484.7</v>
      </c>
      <c r="AB16" t="n">
        <v>471.3</v>
      </c>
      <c r="AC16" t="n">
        <v>478.7</v>
      </c>
      <c r="AD16" t="n">
        <v>512</v>
      </c>
      <c r="AE16" t="n">
        <v>528</v>
      </c>
      <c r="AF16" t="n">
        <v>561.7</v>
      </c>
    </row>
    <row r="17">
      <c r="A17" t="s">
        <v>115</v>
      </c>
      <c r="B17" t="s">
        <v>304</v>
      </c>
      <c r="C17" t="s">
        <v>217</v>
      </c>
      <c r="D17" t="s">
        <v>305</v>
      </c>
      <c r="E17" t="s">
        <v>218</v>
      </c>
      <c r="F17" t="n">
        <v>372.4</v>
      </c>
      <c r="G17" t="n">
        <v>382.8</v>
      </c>
      <c r="H17" t="n">
        <v>387.1</v>
      </c>
      <c r="I17" t="n">
        <v>399.4</v>
      </c>
      <c r="J17" t="n">
        <v>399.9</v>
      </c>
      <c r="K17" t="n">
        <v>411.6</v>
      </c>
      <c r="L17" t="n">
        <v>417.1</v>
      </c>
      <c r="M17" t="n">
        <v>421.6</v>
      </c>
      <c r="N17" t="n">
        <v>420.3</v>
      </c>
      <c r="O17" t="n">
        <v>423</v>
      </c>
      <c r="P17" t="n">
        <v>422.6</v>
      </c>
      <c r="Q17" t="n">
        <v>525.5</v>
      </c>
      <c r="R17" t="n">
        <v>554.7</v>
      </c>
      <c r="S17" t="n">
        <v>602.9</v>
      </c>
      <c r="T17" t="n">
        <v>635.6</v>
      </c>
      <c r="U17" t="n">
        <v>612.3</v>
      </c>
      <c r="V17" t="n">
        <v>594.5</v>
      </c>
      <c r="W17" t="n">
        <v>573.4</v>
      </c>
      <c r="X17" t="n">
        <v>554.1</v>
      </c>
      <c r="Y17" t="n">
        <v>518.2</v>
      </c>
      <c r="Z17" t="n">
        <v>491.7</v>
      </c>
      <c r="AA17" t="n">
        <v>468.7</v>
      </c>
      <c r="AB17" t="n">
        <v>453</v>
      </c>
      <c r="AC17" t="n">
        <v>437.9</v>
      </c>
      <c r="AD17" t="n">
        <v>419.9</v>
      </c>
      <c r="AE17" t="n">
        <v>406.1</v>
      </c>
      <c r="AF17" t="n">
        <v>403.6</v>
      </c>
    </row>
    <row r="18">
      <c r="A18" t="s">
        <v>115</v>
      </c>
      <c r="B18" t="s">
        <v>306</v>
      </c>
      <c r="C18" t="s">
        <v>217</v>
      </c>
      <c r="D18" t="s">
        <v>307</v>
      </c>
      <c r="E18" t="s">
        <v>218</v>
      </c>
      <c r="F18" t="n">
        <v>201.7</v>
      </c>
      <c r="G18" t="n">
        <v>208.7</v>
      </c>
      <c r="H18" t="n">
        <v>211.4</v>
      </c>
      <c r="I18" t="n">
        <v>224.1</v>
      </c>
      <c r="J18" t="n">
        <v>228.5</v>
      </c>
      <c r="K18" t="n">
        <v>245.7</v>
      </c>
      <c r="L18" t="n">
        <v>275.5</v>
      </c>
      <c r="M18" t="n">
        <v>285.8</v>
      </c>
      <c r="N18" t="n">
        <v>288.1</v>
      </c>
      <c r="O18" t="n">
        <v>302.2</v>
      </c>
      <c r="P18" t="n">
        <v>317.2</v>
      </c>
      <c r="Q18" t="n">
        <v>347</v>
      </c>
      <c r="R18" t="n">
        <v>363.5</v>
      </c>
      <c r="S18" t="n">
        <v>385.7</v>
      </c>
      <c r="T18" t="n">
        <v>386.5</v>
      </c>
      <c r="U18" t="n">
        <v>364.7</v>
      </c>
      <c r="V18" t="n">
        <v>338.7</v>
      </c>
      <c r="W18" t="n">
        <v>347.7</v>
      </c>
      <c r="X18" t="n">
        <v>319.1</v>
      </c>
      <c r="Y18" t="n">
        <v>296.5</v>
      </c>
      <c r="Z18" t="n">
        <v>270.6</v>
      </c>
      <c r="AA18" t="n">
        <v>252.3</v>
      </c>
      <c r="AB18" t="n">
        <v>237.9</v>
      </c>
      <c r="AC18" t="n">
        <v>223</v>
      </c>
      <c r="AD18" t="n">
        <v>206.6</v>
      </c>
      <c r="AE18" t="n">
        <v>201.9</v>
      </c>
      <c r="AF18" t="n">
        <v>202.8</v>
      </c>
    </row>
    <row r="19">
      <c r="A19" t="s">
        <v>115</v>
      </c>
      <c r="B19" t="s">
        <v>308</v>
      </c>
      <c r="C19" t="s">
        <v>217</v>
      </c>
      <c r="D19" t="s">
        <v>309</v>
      </c>
      <c r="E19" t="s">
        <v>218</v>
      </c>
      <c r="F19" t="n">
        <v>525.8</v>
      </c>
      <c r="G19" t="n">
        <v>540.9</v>
      </c>
      <c r="H19" t="n">
        <v>549</v>
      </c>
      <c r="I19" t="n">
        <v>572.9</v>
      </c>
      <c r="J19" t="n">
        <v>581.1</v>
      </c>
      <c r="K19" t="n">
        <v>608</v>
      </c>
      <c r="L19" t="n">
        <v>659.1</v>
      </c>
      <c r="M19" t="n">
        <v>691.2</v>
      </c>
      <c r="N19" t="n">
        <v>714.9</v>
      </c>
      <c r="O19" t="n">
        <v>742.1</v>
      </c>
      <c r="P19" t="n">
        <v>744.4</v>
      </c>
      <c r="Q19" t="n">
        <v>837.5</v>
      </c>
      <c r="R19" t="n">
        <v>842.9</v>
      </c>
      <c r="S19" t="n">
        <v>907.7</v>
      </c>
      <c r="T19" t="n">
        <v>912.2</v>
      </c>
      <c r="U19" t="n">
        <v>902.5</v>
      </c>
      <c r="V19" t="n">
        <v>833.1</v>
      </c>
      <c r="W19" t="n">
        <v>766.2</v>
      </c>
      <c r="X19" t="n">
        <v>692.6</v>
      </c>
      <c r="Y19" t="n">
        <v>666.9</v>
      </c>
      <c r="Z19" t="n">
        <v>642.1</v>
      </c>
      <c r="AA19" t="n">
        <v>607.2</v>
      </c>
      <c r="AB19" t="n">
        <v>585.9</v>
      </c>
      <c r="AC19" t="n">
        <v>564.1</v>
      </c>
      <c r="AD19" t="n">
        <v>550.6</v>
      </c>
      <c r="AE19" t="n">
        <v>540.2</v>
      </c>
      <c r="AF19" t="n">
        <v>547.2</v>
      </c>
    </row>
    <row r="20">
      <c r="A20" t="s">
        <v>115</v>
      </c>
      <c r="B20" t="s">
        <v>310</v>
      </c>
      <c r="C20" t="s">
        <v>217</v>
      </c>
      <c r="D20" t="s">
        <v>311</v>
      </c>
      <c r="E20" t="s">
        <v>218</v>
      </c>
      <c r="F20" t="n">
        <v>7131</v>
      </c>
      <c r="G20" t="n">
        <v>7968.6</v>
      </c>
      <c r="H20" t="n">
        <v>8821.6</v>
      </c>
      <c r="I20" t="n">
        <v>9808.3</v>
      </c>
      <c r="J20" t="n">
        <v>10704</v>
      </c>
      <c r="K20" t="n">
        <v>11568.8</v>
      </c>
      <c r="L20" t="n">
        <v>12245.1</v>
      </c>
      <c r="M20" t="n">
        <v>12941.4</v>
      </c>
      <c r="N20" t="n">
        <v>13390.5</v>
      </c>
      <c r="O20" t="n">
        <v>13857.4</v>
      </c>
      <c r="P20" t="n">
        <v>13949.8</v>
      </c>
      <c r="Q20" t="n">
        <v>14868.3</v>
      </c>
      <c r="R20" t="n">
        <v>15160.1</v>
      </c>
      <c r="S20" t="n">
        <v>15800.2</v>
      </c>
      <c r="T20" t="n">
        <v>15903.2</v>
      </c>
      <c r="U20" t="n">
        <v>15884.6</v>
      </c>
      <c r="V20" t="n">
        <v>14879.2</v>
      </c>
      <c r="W20" t="n">
        <v>14829.9</v>
      </c>
      <c r="X20" t="n">
        <v>14428</v>
      </c>
      <c r="Y20" t="n">
        <v>14010.3</v>
      </c>
      <c r="Z20" t="n">
        <v>13774.3</v>
      </c>
      <c r="AA20" t="n">
        <v>13768.4</v>
      </c>
      <c r="AB20" t="n">
        <v>13811.3</v>
      </c>
      <c r="AC20" t="n">
        <v>13752.7</v>
      </c>
      <c r="AD20" t="n">
        <v>13622.9</v>
      </c>
      <c r="AE20" t="n">
        <v>14064</v>
      </c>
      <c r="AF20" t="n">
        <v>14963.1</v>
      </c>
    </row>
    <row r="21">
      <c r="A21" t="s">
        <v>115</v>
      </c>
      <c r="B21" t="s">
        <v>312</v>
      </c>
      <c r="C21" t="s">
        <v>217</v>
      </c>
      <c r="D21" t="s">
        <v>313</v>
      </c>
      <c r="E21" t="s">
        <v>218</v>
      </c>
      <c r="F21" t="n">
        <v>11806.6</v>
      </c>
      <c r="G21" t="n">
        <v>12781.9</v>
      </c>
      <c r="H21" t="n">
        <v>13738.7</v>
      </c>
      <c r="I21" t="n">
        <v>14832.3</v>
      </c>
      <c r="J21" t="n">
        <v>15759.1</v>
      </c>
      <c r="K21" t="n">
        <v>16638</v>
      </c>
      <c r="L21" t="n">
        <v>17381</v>
      </c>
      <c r="M21" t="n">
        <v>18129.4</v>
      </c>
      <c r="N21" t="n">
        <v>18605</v>
      </c>
      <c r="O21" t="n">
        <v>19062.4</v>
      </c>
      <c r="P21" t="n">
        <v>19092.6</v>
      </c>
      <c r="Q21" t="n">
        <v>20357.5</v>
      </c>
      <c r="R21" t="n">
        <v>20749.4</v>
      </c>
      <c r="S21" t="n">
        <v>21519.1</v>
      </c>
      <c r="T21" t="n">
        <v>21588.9</v>
      </c>
      <c r="U21" t="n">
        <v>21740.3</v>
      </c>
      <c r="V21" t="n">
        <v>20554</v>
      </c>
      <c r="W21" t="n">
        <v>20515</v>
      </c>
      <c r="X21" t="n">
        <v>20086.3</v>
      </c>
      <c r="Y21" t="n">
        <v>19719</v>
      </c>
      <c r="Z21" t="n">
        <v>19458.6</v>
      </c>
      <c r="AA21" t="n">
        <v>19380</v>
      </c>
      <c r="AB21" t="n">
        <v>19393.9</v>
      </c>
      <c r="AC21" t="n">
        <v>19347.7</v>
      </c>
      <c r="AD21" t="n">
        <v>19153.6</v>
      </c>
      <c r="AE21" t="n">
        <v>19547.9</v>
      </c>
      <c r="AF21" t="n">
        <v>20554.9</v>
      </c>
    </row>
    <row r="22">
      <c r="A22" t="s">
        <v>115</v>
      </c>
      <c r="B22" t="s">
        <v>314</v>
      </c>
      <c r="C22" t="s">
        <v>217</v>
      </c>
      <c r="D22" t="s">
        <v>315</v>
      </c>
      <c r="E22" t="s">
        <v>218</v>
      </c>
      <c r="F22" t="n">
        <v>4675.6</v>
      </c>
      <c r="G22" t="n">
        <v>4813.3</v>
      </c>
      <c r="H22" t="n">
        <v>4917.1</v>
      </c>
      <c r="I22" t="n">
        <v>5024</v>
      </c>
      <c r="J22" t="n">
        <v>5055.1</v>
      </c>
      <c r="K22" t="n">
        <v>5069.2</v>
      </c>
      <c r="L22" t="n">
        <v>5135.9</v>
      </c>
      <c r="M22" t="n">
        <v>5188</v>
      </c>
      <c r="N22" t="n">
        <v>5214.5</v>
      </c>
      <c r="O22" t="n">
        <v>5205</v>
      </c>
      <c r="P22" t="n">
        <v>5142.8</v>
      </c>
      <c r="Q22" t="n">
        <v>5489.2</v>
      </c>
      <c r="R22" t="n">
        <v>5589.3</v>
      </c>
      <c r="S22" t="n">
        <v>5718.9</v>
      </c>
      <c r="T22" t="n">
        <v>5685.7</v>
      </c>
      <c r="U22" t="n">
        <v>5855.7</v>
      </c>
      <c r="V22" t="n">
        <v>5674.8</v>
      </c>
      <c r="W22" t="n">
        <v>5685.1</v>
      </c>
      <c r="X22" t="n">
        <v>5658.3</v>
      </c>
      <c r="Y22" t="n">
        <v>5708.7</v>
      </c>
      <c r="Z22" t="n">
        <v>5684.3</v>
      </c>
      <c r="AA22" t="n">
        <v>5611.6</v>
      </c>
      <c r="AB22" t="n">
        <v>5582.6</v>
      </c>
      <c r="AC22" t="n">
        <v>5595</v>
      </c>
      <c r="AD22" t="n">
        <v>5530.7</v>
      </c>
      <c r="AE22" t="n">
        <v>5483.9</v>
      </c>
      <c r="AF22" t="n">
        <v>5591.8</v>
      </c>
    </row>
    <row r="23">
      <c r="A23" t="s">
        <v>115</v>
      </c>
      <c r="B23" t="s">
        <v>316</v>
      </c>
      <c r="C23" t="s">
        <v>217</v>
      </c>
      <c r="D23" t="s">
        <v>317</v>
      </c>
      <c r="E23" t="s">
        <v>218</v>
      </c>
      <c r="F23" t="n">
        <v>3361.7</v>
      </c>
      <c r="G23" t="n">
        <v>3522.8</v>
      </c>
      <c r="H23" t="n">
        <v>3661.1</v>
      </c>
      <c r="I23" t="n">
        <v>3877.2</v>
      </c>
      <c r="J23" t="n">
        <v>4028.1</v>
      </c>
      <c r="K23" t="n">
        <v>4234.2</v>
      </c>
      <c r="L23" t="n">
        <v>4880.2</v>
      </c>
      <c r="M23" t="n">
        <v>5133.6</v>
      </c>
      <c r="N23" t="n">
        <v>5689.5</v>
      </c>
      <c r="O23" t="n">
        <v>5983.9</v>
      </c>
      <c r="P23" t="n">
        <v>6102.1</v>
      </c>
      <c r="Q23" t="n">
        <v>6612.9</v>
      </c>
      <c r="R23" t="n">
        <v>7389</v>
      </c>
      <c r="S23" t="n">
        <v>8161.1</v>
      </c>
      <c r="T23" t="n">
        <v>7931.7</v>
      </c>
      <c r="U23" t="n">
        <v>7100.6</v>
      </c>
      <c r="V23" t="n">
        <v>6311.5</v>
      </c>
      <c r="W23" t="n">
        <v>6050.9</v>
      </c>
      <c r="X23" t="n">
        <v>6228.9</v>
      </c>
      <c r="Y23" t="n">
        <v>5795.1</v>
      </c>
      <c r="Z23" t="n">
        <v>5401.4</v>
      </c>
      <c r="AA23" t="n">
        <v>5074.4</v>
      </c>
      <c r="AB23" t="n">
        <v>4831.4</v>
      </c>
      <c r="AC23" t="n">
        <v>4566.8</v>
      </c>
      <c r="AD23" t="n">
        <v>4279.4</v>
      </c>
      <c r="AE23" t="n">
        <v>4095.8</v>
      </c>
      <c r="AF23" t="n">
        <v>4023.2</v>
      </c>
    </row>
    <row r="24">
      <c r="A24" t="s">
        <v>115</v>
      </c>
      <c r="B24" t="s">
        <v>318</v>
      </c>
      <c r="C24" t="s">
        <v>217</v>
      </c>
      <c r="D24" t="s">
        <v>319</v>
      </c>
      <c r="E24" t="s">
        <v>218</v>
      </c>
      <c r="F24" t="n">
        <v>8934.3</v>
      </c>
      <c r="G24" t="n">
        <v>9404.8</v>
      </c>
      <c r="H24" t="n">
        <v>9865.5</v>
      </c>
      <c r="I24" t="n">
        <v>10517.9</v>
      </c>
      <c r="J24" t="n">
        <v>11056.5</v>
      </c>
      <c r="K24" t="n">
        <v>11691.6</v>
      </c>
      <c r="L24" t="n">
        <v>12329.3</v>
      </c>
      <c r="M24" t="n">
        <v>13736.5</v>
      </c>
      <c r="N24" t="n">
        <v>14509.1</v>
      </c>
      <c r="O24" t="n">
        <v>15255.2</v>
      </c>
      <c r="P24" t="n">
        <v>16421.4</v>
      </c>
      <c r="Q24" t="n">
        <v>18452</v>
      </c>
      <c r="R24" t="n">
        <v>20082.5</v>
      </c>
      <c r="S24" t="n">
        <v>21431.7</v>
      </c>
      <c r="T24" t="n">
        <v>21434.4</v>
      </c>
      <c r="U24" t="n">
        <v>21015.9</v>
      </c>
      <c r="V24" t="n">
        <v>20456.6</v>
      </c>
      <c r="W24" t="n">
        <v>19844.8</v>
      </c>
      <c r="X24" t="n">
        <v>19133.3</v>
      </c>
      <c r="Y24" t="n">
        <v>18669.5</v>
      </c>
      <c r="Z24" t="n">
        <v>18090.7</v>
      </c>
      <c r="AA24" t="n">
        <v>17819.2</v>
      </c>
      <c r="AB24" t="n">
        <v>17692.3</v>
      </c>
      <c r="AC24" t="n">
        <v>17539.7</v>
      </c>
      <c r="AD24" t="n">
        <v>17366.7</v>
      </c>
      <c r="AE24" t="n">
        <v>17273.5</v>
      </c>
      <c r="AF24" t="n">
        <v>17703.8</v>
      </c>
    </row>
    <row r="25">
      <c r="A25" t="s">
        <v>115</v>
      </c>
      <c r="B25" t="s">
        <v>320</v>
      </c>
      <c r="C25" t="s">
        <v>217</v>
      </c>
      <c r="D25" t="s">
        <v>321</v>
      </c>
      <c r="E25" t="s">
        <v>218</v>
      </c>
      <c r="F25" t="n">
        <v>318.9</v>
      </c>
      <c r="G25" t="n">
        <v>359.6</v>
      </c>
      <c r="H25" t="n">
        <v>408</v>
      </c>
      <c r="I25" t="n">
        <v>460.1</v>
      </c>
      <c r="J25" t="n">
        <v>511</v>
      </c>
      <c r="K25" t="n">
        <v>569.1</v>
      </c>
      <c r="L25" t="n">
        <v>902.9</v>
      </c>
      <c r="M25" t="n">
        <v>1014.2</v>
      </c>
      <c r="N25" t="n">
        <v>1099</v>
      </c>
      <c r="O25" t="n">
        <v>1180.6</v>
      </c>
      <c r="P25" t="n">
        <v>1365.8</v>
      </c>
      <c r="Q25" t="n">
        <v>1590.5</v>
      </c>
      <c r="R25" t="n">
        <v>1846.2</v>
      </c>
      <c r="S25" t="n">
        <v>2036.2</v>
      </c>
      <c r="T25" t="n">
        <v>2119.3</v>
      </c>
      <c r="U25" t="n">
        <v>2160.1</v>
      </c>
      <c r="V25" t="n">
        <v>2037.1</v>
      </c>
      <c r="W25" t="n">
        <v>1903.7</v>
      </c>
      <c r="X25" t="n">
        <v>1815.9</v>
      </c>
      <c r="Y25" t="n">
        <v>1762.1</v>
      </c>
      <c r="Z25" t="n">
        <v>1672.3</v>
      </c>
      <c r="AA25" t="n">
        <v>1715.5</v>
      </c>
      <c r="AB25" t="n">
        <v>1761.3</v>
      </c>
      <c r="AC25" t="n">
        <v>1801.9</v>
      </c>
      <c r="AD25" t="n">
        <v>1754.7</v>
      </c>
      <c r="AE25" t="n">
        <v>1735.6</v>
      </c>
      <c r="AF25" t="n">
        <v>1774.3</v>
      </c>
    </row>
    <row r="26">
      <c r="A26" t="s">
        <v>115</v>
      </c>
      <c r="B26" t="s">
        <v>322</v>
      </c>
      <c r="C26" t="s">
        <v>217</v>
      </c>
      <c r="D26" t="s">
        <v>323</v>
      </c>
      <c r="E26" t="s">
        <v>218</v>
      </c>
      <c r="F26" t="n">
        <v>2664.2</v>
      </c>
      <c r="G26" t="n">
        <v>2852.6</v>
      </c>
      <c r="H26" t="n">
        <v>3044.8</v>
      </c>
      <c r="I26" t="n">
        <v>3310.6</v>
      </c>
      <c r="J26" t="n">
        <v>3547.6</v>
      </c>
      <c r="K26" t="n">
        <v>3816.7</v>
      </c>
      <c r="L26" t="n">
        <v>4107.3</v>
      </c>
      <c r="M26" t="n">
        <v>4853.6</v>
      </c>
      <c r="N26" t="n">
        <v>5270.9</v>
      </c>
      <c r="O26" t="n">
        <v>5853.1</v>
      </c>
      <c r="P26" t="n">
        <v>6398.1</v>
      </c>
      <c r="Q26" t="n">
        <v>7559.6</v>
      </c>
      <c r="R26" t="n">
        <v>8493.3</v>
      </c>
      <c r="S26" t="n">
        <v>9349.4</v>
      </c>
      <c r="T26" t="n">
        <v>9536.5</v>
      </c>
      <c r="U26" t="n">
        <v>9603.6</v>
      </c>
      <c r="V26" t="n">
        <v>9310.3</v>
      </c>
      <c r="W26" t="n">
        <v>9077.4</v>
      </c>
      <c r="X26" t="n">
        <v>8693.1</v>
      </c>
      <c r="Y26" t="n">
        <v>8483.9</v>
      </c>
      <c r="Z26" t="n">
        <v>8307.3</v>
      </c>
      <c r="AA26" t="n">
        <v>8074.1</v>
      </c>
      <c r="AB26" t="n">
        <v>7922.5</v>
      </c>
      <c r="AC26" t="n">
        <v>7804.9</v>
      </c>
      <c r="AD26" t="n">
        <v>7687.2</v>
      </c>
      <c r="AE26" t="n">
        <v>7728.7</v>
      </c>
      <c r="AF26" t="n">
        <v>8012.6</v>
      </c>
    </row>
    <row r="27">
      <c r="A27" t="s">
        <v>115</v>
      </c>
      <c r="B27" t="s">
        <v>324</v>
      </c>
      <c r="C27" t="s">
        <v>217</v>
      </c>
      <c r="D27" t="s">
        <v>325</v>
      </c>
      <c r="E27" t="s">
        <v>218</v>
      </c>
      <c r="F27" t="n">
        <v>5951.2</v>
      </c>
      <c r="G27" t="n">
        <v>6192.6</v>
      </c>
      <c r="H27" t="n">
        <v>6412.7</v>
      </c>
      <c r="I27" t="n">
        <v>6747.2</v>
      </c>
      <c r="J27" t="n">
        <v>6997.9</v>
      </c>
      <c r="K27" t="n">
        <v>7305.8</v>
      </c>
      <c r="L27" t="n">
        <v>7319.1</v>
      </c>
      <c r="M27" t="n">
        <v>7868.7</v>
      </c>
      <c r="N27" t="n">
        <v>8139.2</v>
      </c>
      <c r="O27" t="n">
        <v>8221.5</v>
      </c>
      <c r="P27" t="n">
        <v>8657.5</v>
      </c>
      <c r="Q27" t="n">
        <v>9301.9</v>
      </c>
      <c r="R27" t="n">
        <v>9743</v>
      </c>
      <c r="S27" t="n">
        <v>10046.1</v>
      </c>
      <c r="T27" t="n">
        <v>9778.6</v>
      </c>
      <c r="U27" t="n">
        <v>9252.2</v>
      </c>
      <c r="V27" t="n">
        <v>9109.2</v>
      </c>
      <c r="W27" t="n">
        <v>8863.7</v>
      </c>
      <c r="X27" t="n">
        <v>8624.3</v>
      </c>
      <c r="Y27" t="n">
        <v>8423.5</v>
      </c>
      <c r="Z27" t="n">
        <v>8111.1</v>
      </c>
      <c r="AA27" t="n">
        <v>8029.6</v>
      </c>
      <c r="AB27" t="n">
        <v>8008.5</v>
      </c>
      <c r="AC27" t="n">
        <v>7932.9</v>
      </c>
      <c r="AD27" t="n">
        <v>7924.8</v>
      </c>
      <c r="AE27" t="n">
        <v>7809.2</v>
      </c>
      <c r="AF27" t="n">
        <v>7916.9</v>
      </c>
    </row>
    <row r="28">
      <c r="A28" t="s">
        <v>115</v>
      </c>
      <c r="B28" t="s">
        <v>326</v>
      </c>
      <c r="C28" t="s">
        <v>217</v>
      </c>
      <c r="D28" t="s">
        <v>327</v>
      </c>
      <c r="E28" t="s">
        <v>218</v>
      </c>
      <c r="F28" t="n">
        <v>6273.5</v>
      </c>
      <c r="G28" t="n">
        <v>7791.7</v>
      </c>
      <c r="H28" t="n">
        <v>9171.2</v>
      </c>
      <c r="I28" t="n">
        <v>11726.9</v>
      </c>
      <c r="J28" t="n">
        <v>13773.5</v>
      </c>
      <c r="K28" t="n">
        <v>16487.1</v>
      </c>
      <c r="L28" t="n">
        <v>20937.5</v>
      </c>
      <c r="M28" t="n">
        <v>25022</v>
      </c>
      <c r="N28" t="n">
        <v>29777.9</v>
      </c>
      <c r="O28" t="n">
        <v>32637.5</v>
      </c>
      <c r="P28" t="n">
        <v>34483.8</v>
      </c>
      <c r="Q28" t="n">
        <v>40163.2</v>
      </c>
      <c r="R28" t="n">
        <v>45638.2</v>
      </c>
      <c r="S28" t="n">
        <v>51503.9</v>
      </c>
      <c r="T28" t="n">
        <v>54150.2</v>
      </c>
      <c r="U28" t="n">
        <v>52265.9</v>
      </c>
      <c r="V28" t="n">
        <v>48387.5</v>
      </c>
      <c r="W28" t="n">
        <v>45452.5</v>
      </c>
      <c r="X28" t="n">
        <v>42686.2</v>
      </c>
      <c r="Y28" t="n">
        <v>40044.1</v>
      </c>
      <c r="Z28" t="n">
        <v>37816.8</v>
      </c>
      <c r="AA28" t="n">
        <v>35979.5</v>
      </c>
      <c r="AB28" t="n">
        <v>34687.2</v>
      </c>
      <c r="AC28" t="n">
        <v>33910.2</v>
      </c>
      <c r="AD28" t="n">
        <v>32627.4</v>
      </c>
      <c r="AE28" t="n">
        <v>30778.8</v>
      </c>
      <c r="AF28" t="n">
        <v>29549.2</v>
      </c>
    </row>
    <row r="29">
      <c r="A29" t="s">
        <v>115</v>
      </c>
      <c r="B29" t="s">
        <v>328</v>
      </c>
      <c r="C29" t="s">
        <v>217</v>
      </c>
      <c r="D29" t="s">
        <v>329</v>
      </c>
      <c r="E29" t="s">
        <v>218</v>
      </c>
      <c r="F29" t="n">
        <v>3940.2</v>
      </c>
      <c r="G29" t="n">
        <v>4487.7</v>
      </c>
      <c r="H29" t="n">
        <v>5131.6</v>
      </c>
      <c r="I29" t="n">
        <v>5875.3</v>
      </c>
      <c r="J29" t="n">
        <v>6684.4</v>
      </c>
      <c r="K29" t="n">
        <v>7468.3</v>
      </c>
      <c r="L29" t="n">
        <v>10110.9</v>
      </c>
      <c r="M29" t="n">
        <v>11218.4</v>
      </c>
      <c r="N29" t="n">
        <v>12986.2</v>
      </c>
      <c r="O29" t="n">
        <v>14973</v>
      </c>
      <c r="P29" t="n">
        <v>16299.4</v>
      </c>
      <c r="Q29" t="n">
        <v>18932.3</v>
      </c>
      <c r="R29" t="n">
        <v>19806.9</v>
      </c>
      <c r="S29" t="n">
        <v>21136.7</v>
      </c>
      <c r="T29" t="n">
        <v>21358.5</v>
      </c>
      <c r="U29" t="n">
        <v>20710.8</v>
      </c>
      <c r="V29" t="n">
        <v>19327.1</v>
      </c>
      <c r="W29" t="n">
        <v>18456.7</v>
      </c>
      <c r="X29" t="n">
        <v>17561</v>
      </c>
      <c r="Y29" t="n">
        <v>16602</v>
      </c>
      <c r="Z29" t="n">
        <v>15685.1</v>
      </c>
      <c r="AA29" t="n">
        <v>15093.4</v>
      </c>
      <c r="AB29" t="n">
        <v>14922.6</v>
      </c>
      <c r="AC29" t="n">
        <v>14703.9</v>
      </c>
      <c r="AD29" t="n">
        <v>14263.1</v>
      </c>
      <c r="AE29" t="n">
        <v>13804.3</v>
      </c>
      <c r="AF29" t="n">
        <v>13801.4</v>
      </c>
    </row>
    <row r="30">
      <c r="A30" t="s">
        <v>115</v>
      </c>
      <c r="B30" t="s">
        <v>330</v>
      </c>
      <c r="C30" t="s">
        <v>217</v>
      </c>
      <c r="D30" t="s">
        <v>331</v>
      </c>
      <c r="E30" t="s">
        <v>218</v>
      </c>
      <c r="F30" t="n">
        <v>1515.8</v>
      </c>
      <c r="G30" t="n">
        <v>2410.9</v>
      </c>
      <c r="H30" t="n">
        <v>3074.8</v>
      </c>
      <c r="I30" t="n">
        <v>4775.8</v>
      </c>
      <c r="J30" t="n">
        <v>5901.3</v>
      </c>
      <c r="K30" t="n">
        <v>7703.3</v>
      </c>
      <c r="L30" t="n">
        <v>9006.7</v>
      </c>
      <c r="M30" t="n">
        <v>11516.5</v>
      </c>
      <c r="N30" t="n">
        <v>14405</v>
      </c>
      <c r="O30" t="n">
        <v>15139.4</v>
      </c>
      <c r="P30" t="n">
        <v>15137.8</v>
      </c>
      <c r="Q30" t="n">
        <v>18153.2</v>
      </c>
      <c r="R30" t="n">
        <v>22729.7</v>
      </c>
      <c r="S30" t="n">
        <v>27193.6</v>
      </c>
      <c r="T30" t="n">
        <v>29437.2</v>
      </c>
      <c r="U30" t="n">
        <v>28246</v>
      </c>
      <c r="V30" t="n">
        <v>25891.8</v>
      </c>
      <c r="W30" t="n">
        <v>24022.9</v>
      </c>
      <c r="X30" t="n">
        <v>22259</v>
      </c>
      <c r="Y30" t="n">
        <v>20678.9</v>
      </c>
      <c r="Z30" t="n">
        <v>19365.3</v>
      </c>
      <c r="AA30" t="n">
        <v>17931.6</v>
      </c>
      <c r="AB30" t="n">
        <v>16609.6</v>
      </c>
      <c r="AC30" t="n">
        <v>15811.3</v>
      </c>
      <c r="AD30" t="n">
        <v>14988.1</v>
      </c>
      <c r="AE30" t="n">
        <v>13806.9</v>
      </c>
      <c r="AF30" t="n">
        <v>12699.9</v>
      </c>
    </row>
    <row r="31">
      <c r="A31" t="s">
        <v>115</v>
      </c>
      <c r="B31" t="s">
        <v>332</v>
      </c>
      <c r="C31" t="s">
        <v>217</v>
      </c>
      <c r="D31" t="s">
        <v>333</v>
      </c>
      <c r="E31" t="s">
        <v>218</v>
      </c>
      <c r="F31" t="n">
        <v>396.4</v>
      </c>
      <c r="G31" t="n">
        <v>387.7</v>
      </c>
      <c r="H31" t="n">
        <v>371.1</v>
      </c>
      <c r="I31" t="n">
        <v>369.6</v>
      </c>
      <c r="J31" t="n">
        <v>368.5</v>
      </c>
      <c r="K31" t="n">
        <v>374</v>
      </c>
      <c r="L31" t="n">
        <v>624.5</v>
      </c>
      <c r="M31" t="n">
        <v>1004</v>
      </c>
      <c r="N31" t="n">
        <v>958.4</v>
      </c>
      <c r="O31" t="n">
        <v>860.1</v>
      </c>
      <c r="P31" t="n">
        <v>1351</v>
      </c>
      <c r="Q31" t="n">
        <v>1279.2</v>
      </c>
      <c r="R31" t="n">
        <v>1234.1</v>
      </c>
      <c r="S31" t="n">
        <v>1180.8</v>
      </c>
      <c r="T31" t="n">
        <v>1124.4</v>
      </c>
      <c r="U31" t="n">
        <v>1011.8</v>
      </c>
      <c r="V31" t="n">
        <v>924.3</v>
      </c>
      <c r="W31" t="n">
        <v>853.9</v>
      </c>
      <c r="X31" t="n">
        <v>797.5</v>
      </c>
      <c r="Y31" t="n">
        <v>742</v>
      </c>
      <c r="Z31" t="n">
        <v>706.6</v>
      </c>
      <c r="AA31" t="n">
        <v>681.7</v>
      </c>
      <c r="AB31" t="n">
        <v>661</v>
      </c>
      <c r="AC31" t="n">
        <v>648</v>
      </c>
      <c r="AD31" t="n">
        <v>605.5</v>
      </c>
      <c r="AE31" t="n">
        <v>558.9</v>
      </c>
      <c r="AF31" t="n">
        <v>527.3</v>
      </c>
    </row>
    <row r="32">
      <c r="A32" t="s">
        <v>115</v>
      </c>
      <c r="B32" t="s">
        <v>334</v>
      </c>
      <c r="C32" t="s">
        <v>217</v>
      </c>
      <c r="D32" t="s">
        <v>335</v>
      </c>
      <c r="E32" t="s">
        <v>218</v>
      </c>
      <c r="F32" t="n">
        <v>324.2</v>
      </c>
      <c r="G32" t="n">
        <v>338.9</v>
      </c>
      <c r="H32" t="n">
        <v>349.9</v>
      </c>
      <c r="I32" t="n">
        <v>375.7</v>
      </c>
      <c r="J32" t="n">
        <v>401.4</v>
      </c>
      <c r="K32" t="n">
        <v>425.9</v>
      </c>
      <c r="L32" t="n">
        <v>492.1</v>
      </c>
      <c r="M32" t="n">
        <v>516.2</v>
      </c>
      <c r="N32" t="n">
        <v>608.9</v>
      </c>
      <c r="O32" t="n">
        <v>812.5</v>
      </c>
      <c r="P32" t="n">
        <v>868.6</v>
      </c>
      <c r="Q32" t="n">
        <v>968.3</v>
      </c>
      <c r="R32" t="n">
        <v>1013.6</v>
      </c>
      <c r="S32" t="n">
        <v>1135.3</v>
      </c>
      <c r="T32" t="n">
        <v>1392.4</v>
      </c>
      <c r="U32" t="n">
        <v>1519.1</v>
      </c>
      <c r="V32" t="n">
        <v>1529.3</v>
      </c>
      <c r="W32" t="n">
        <v>1445.1</v>
      </c>
      <c r="X32" t="n">
        <v>1435.9</v>
      </c>
      <c r="Y32" t="n">
        <v>1432.5</v>
      </c>
      <c r="Z32" t="n">
        <v>1497.9</v>
      </c>
      <c r="AA32" t="n">
        <v>1738.2</v>
      </c>
      <c r="AB32" t="n">
        <v>1978.3</v>
      </c>
      <c r="AC32" t="n">
        <v>2249.3</v>
      </c>
      <c r="AD32" t="n">
        <v>2289.7</v>
      </c>
      <c r="AE32" t="n">
        <v>2146.2</v>
      </c>
      <c r="AF32" t="n">
        <v>2064.6</v>
      </c>
    </row>
    <row r="33">
      <c r="A33" t="s">
        <v>115</v>
      </c>
      <c r="B33" t="s">
        <v>336</v>
      </c>
      <c r="C33" t="s">
        <v>217</v>
      </c>
      <c r="D33" t="s">
        <v>337</v>
      </c>
      <c r="E33" t="s">
        <v>218</v>
      </c>
      <c r="F33" t="n">
        <v>96.9</v>
      </c>
      <c r="G33" t="n">
        <v>166.5</v>
      </c>
      <c r="H33" t="n">
        <v>243.8</v>
      </c>
      <c r="I33" t="n">
        <v>330.5</v>
      </c>
      <c r="J33" t="n">
        <v>417.9</v>
      </c>
      <c r="K33" t="n">
        <v>515.6</v>
      </c>
      <c r="L33" t="n">
        <v>703.3</v>
      </c>
      <c r="M33" t="n">
        <v>766.9</v>
      </c>
      <c r="N33" t="n">
        <v>819.4</v>
      </c>
      <c r="O33" t="n">
        <v>852.5</v>
      </c>
      <c r="P33" t="n">
        <v>827</v>
      </c>
      <c r="Q33" t="n">
        <v>830.2</v>
      </c>
      <c r="R33" t="n">
        <v>853.9</v>
      </c>
      <c r="S33" t="n">
        <v>857.5</v>
      </c>
      <c r="T33" t="n">
        <v>837.7</v>
      </c>
      <c r="U33" t="n">
        <v>778.2</v>
      </c>
      <c r="V33" t="n">
        <v>715</v>
      </c>
      <c r="W33" t="n">
        <v>673.9</v>
      </c>
      <c r="X33" t="n">
        <v>632.8</v>
      </c>
      <c r="Y33" t="n">
        <v>588.7</v>
      </c>
      <c r="Z33" t="n">
        <v>561.9</v>
      </c>
      <c r="AA33" t="n">
        <v>534.6</v>
      </c>
      <c r="AB33" t="n">
        <v>515.7</v>
      </c>
      <c r="AC33" t="n">
        <v>497.7</v>
      </c>
      <c r="AD33" t="n">
        <v>481</v>
      </c>
      <c r="AE33" t="n">
        <v>462.5</v>
      </c>
      <c r="AF33" t="n">
        <v>456</v>
      </c>
    </row>
    <row r="34">
      <c r="A34" t="s">
        <v>115</v>
      </c>
      <c r="B34" t="s">
        <v>338</v>
      </c>
      <c r="C34" t="s">
        <v>217</v>
      </c>
      <c r="D34" t="s">
        <v>339</v>
      </c>
      <c r="E34" t="s">
        <v>218</v>
      </c>
      <c r="F34" t="n">
        <v>8464</v>
      </c>
      <c r="G34" t="n">
        <v>8853.2</v>
      </c>
      <c r="H34" t="n">
        <v>9234.9</v>
      </c>
      <c r="I34" t="n">
        <v>9653.6</v>
      </c>
      <c r="J34" t="n">
        <v>9954.9</v>
      </c>
      <c r="K34" t="n">
        <v>10273.1</v>
      </c>
      <c r="L34" t="n">
        <v>10539.3</v>
      </c>
      <c r="M34" t="n">
        <v>10691.5</v>
      </c>
      <c r="N34" t="n">
        <v>10990.2</v>
      </c>
      <c r="O34" t="n">
        <v>11374.1</v>
      </c>
      <c r="P34" t="n">
        <v>11371.6</v>
      </c>
      <c r="Q34" t="n">
        <v>12189.5</v>
      </c>
      <c r="R34" t="n">
        <v>12751.5</v>
      </c>
      <c r="S34" t="n">
        <v>13872.1</v>
      </c>
      <c r="T34" t="n">
        <v>13903.5</v>
      </c>
      <c r="U34" t="n">
        <v>13648.4</v>
      </c>
      <c r="V34" t="n">
        <v>13014.8</v>
      </c>
      <c r="W34" t="n">
        <v>12473.3</v>
      </c>
      <c r="X34" t="n">
        <v>11951.2</v>
      </c>
      <c r="Y34" t="n">
        <v>11721.2</v>
      </c>
      <c r="Z34" t="n">
        <v>11639.1</v>
      </c>
      <c r="AA34" t="n">
        <v>11468.8</v>
      </c>
      <c r="AB34" t="n">
        <v>11420.2</v>
      </c>
      <c r="AC34" t="n">
        <v>11203.4</v>
      </c>
      <c r="AD34" t="n">
        <v>11152.3</v>
      </c>
      <c r="AE34" t="n">
        <v>11015.2</v>
      </c>
      <c r="AF34" t="n">
        <v>11238.4</v>
      </c>
    </row>
    <row r="35">
      <c r="A35" t="s">
        <v>115</v>
      </c>
      <c r="B35" t="s">
        <v>340</v>
      </c>
      <c r="C35" t="s">
        <v>217</v>
      </c>
      <c r="D35" t="s">
        <v>341</v>
      </c>
      <c r="E35" t="s">
        <v>218</v>
      </c>
      <c r="F35" t="n">
        <v>8313.1</v>
      </c>
      <c r="G35" t="n">
        <v>9424.4</v>
      </c>
      <c r="H35" t="n">
        <v>10568.5</v>
      </c>
      <c r="I35" t="n">
        <v>11849.2</v>
      </c>
      <c r="J35" t="n">
        <v>13024.9</v>
      </c>
      <c r="K35" t="n">
        <v>14345.6</v>
      </c>
      <c r="L35" t="n">
        <v>16580.9</v>
      </c>
      <c r="M35" t="n">
        <v>17839.3</v>
      </c>
      <c r="N35" t="n">
        <v>18814.8</v>
      </c>
      <c r="O35" t="n">
        <v>19518.2</v>
      </c>
      <c r="P35" t="n">
        <v>19917.3</v>
      </c>
      <c r="Q35" t="n">
        <v>20982.4</v>
      </c>
      <c r="R35" t="n">
        <v>21313.5</v>
      </c>
      <c r="S35" t="n">
        <v>21852.4</v>
      </c>
      <c r="T35" t="n">
        <v>21622.4</v>
      </c>
      <c r="U35" t="n">
        <v>21147.9</v>
      </c>
      <c r="V35" t="n">
        <v>20151.4</v>
      </c>
      <c r="W35" t="n">
        <v>19341.6</v>
      </c>
      <c r="X35" t="n">
        <v>18317</v>
      </c>
      <c r="Y35" t="n">
        <v>17396.3</v>
      </c>
      <c r="Z35" t="n">
        <v>16634.6</v>
      </c>
      <c r="AA35" t="n">
        <v>16179.2</v>
      </c>
      <c r="AB35" t="n">
        <v>15920.7</v>
      </c>
      <c r="AC35" t="n">
        <v>15671.8</v>
      </c>
      <c r="AD35" t="n">
        <v>15274.6</v>
      </c>
      <c r="AE35" t="n">
        <v>15059.1</v>
      </c>
      <c r="AF35" t="n">
        <v>15318.1</v>
      </c>
    </row>
    <row r="36">
      <c r="A36" t="s">
        <v>115</v>
      </c>
      <c r="B36" t="s">
        <v>342</v>
      </c>
      <c r="C36" t="s">
        <v>217</v>
      </c>
      <c r="D36" t="s">
        <v>343</v>
      </c>
      <c r="E36" t="s">
        <v>218</v>
      </c>
      <c r="F36" t="n">
        <v>784.1</v>
      </c>
      <c r="G36" t="n">
        <v>959.3</v>
      </c>
      <c r="H36" t="n">
        <v>1136</v>
      </c>
      <c r="I36" t="n">
        <v>1334.3</v>
      </c>
      <c r="J36" t="n">
        <v>1523.1</v>
      </c>
      <c r="K36" t="n">
        <v>1754.5</v>
      </c>
      <c r="L36" t="n">
        <v>2017</v>
      </c>
      <c r="M36" t="n">
        <v>2393.7</v>
      </c>
      <c r="N36" t="n">
        <v>2750.4</v>
      </c>
      <c r="O36" t="n">
        <v>3061.6</v>
      </c>
      <c r="P36" t="n">
        <v>3104.7</v>
      </c>
      <c r="Q36" t="n">
        <v>3477.8</v>
      </c>
      <c r="R36" t="n">
        <v>3757.1</v>
      </c>
      <c r="S36" t="n">
        <v>4166</v>
      </c>
      <c r="T36" t="n">
        <v>4386.9</v>
      </c>
      <c r="U36" t="n">
        <v>4156.9</v>
      </c>
      <c r="V36" t="n">
        <v>3933.3</v>
      </c>
      <c r="W36" t="n">
        <v>3723.1</v>
      </c>
      <c r="X36" t="n">
        <v>3455.8</v>
      </c>
      <c r="Y36" t="n">
        <v>3257.3</v>
      </c>
      <c r="Z36" t="n">
        <v>3062.7</v>
      </c>
      <c r="AA36" t="n">
        <v>2874.9</v>
      </c>
      <c r="AB36" t="n">
        <v>2743</v>
      </c>
      <c r="AC36" t="n">
        <v>2628.5</v>
      </c>
      <c r="AD36" t="n">
        <v>2551.6</v>
      </c>
      <c r="AE36" t="n">
        <v>2561.1</v>
      </c>
      <c r="AF36" t="n">
        <v>2653.7</v>
      </c>
    </row>
    <row r="37">
      <c r="A37" t="s">
        <v>115</v>
      </c>
      <c r="B37" t="s">
        <v>344</v>
      </c>
      <c r="C37" t="s">
        <v>217</v>
      </c>
      <c r="D37" t="s">
        <v>345</v>
      </c>
      <c r="E37" t="s">
        <v>218</v>
      </c>
      <c r="F37" t="n">
        <v>7414.8</v>
      </c>
      <c r="G37" t="n">
        <v>8300</v>
      </c>
      <c r="H37" t="n">
        <v>9216.9</v>
      </c>
      <c r="I37" t="n">
        <v>10241.9</v>
      </c>
      <c r="J37" t="n">
        <v>11175.3</v>
      </c>
      <c r="K37" t="n">
        <v>12182.3</v>
      </c>
      <c r="L37" t="n">
        <v>14083.4</v>
      </c>
      <c r="M37" t="n">
        <v>14827</v>
      </c>
      <c r="N37" t="n">
        <v>15365.4</v>
      </c>
      <c r="O37" t="n">
        <v>15687.9</v>
      </c>
      <c r="P37" t="n">
        <v>16116.6</v>
      </c>
      <c r="Q37" t="n">
        <v>16796.1</v>
      </c>
      <c r="R37" t="n">
        <v>16810.8</v>
      </c>
      <c r="S37" t="n">
        <v>16961.3</v>
      </c>
      <c r="T37" t="n">
        <v>16481.1</v>
      </c>
      <c r="U37" t="n">
        <v>16174.1</v>
      </c>
      <c r="V37" t="n">
        <v>15397.6</v>
      </c>
      <c r="W37" t="n">
        <v>14841.9</v>
      </c>
      <c r="X37" t="n">
        <v>14136.8</v>
      </c>
      <c r="Y37" t="n">
        <v>13418.1</v>
      </c>
      <c r="Z37" t="n">
        <v>12839</v>
      </c>
      <c r="AA37" t="n">
        <v>12498.7</v>
      </c>
      <c r="AB37" t="n">
        <v>12299.5</v>
      </c>
      <c r="AC37" t="n">
        <v>12185.5</v>
      </c>
      <c r="AD37" t="n">
        <v>11850.5</v>
      </c>
      <c r="AE37" t="n">
        <v>11577.5</v>
      </c>
      <c r="AF37" t="n">
        <v>11670.2</v>
      </c>
    </row>
    <row r="38">
      <c r="A38" t="s">
        <v>115</v>
      </c>
      <c r="B38" t="s">
        <v>346</v>
      </c>
      <c r="C38" t="s">
        <v>217</v>
      </c>
      <c r="D38" t="s">
        <v>347</v>
      </c>
      <c r="E38" t="s">
        <v>218</v>
      </c>
      <c r="F38" t="n">
        <v>114.2</v>
      </c>
      <c r="G38" t="n">
        <v>165.1</v>
      </c>
      <c r="H38" t="n">
        <v>215.6</v>
      </c>
      <c r="I38" t="n">
        <v>273</v>
      </c>
      <c r="J38" t="n">
        <v>326.5</v>
      </c>
      <c r="K38" t="n">
        <v>408.8</v>
      </c>
      <c r="L38" t="n">
        <v>480.5</v>
      </c>
      <c r="M38" t="n">
        <v>618.6</v>
      </c>
      <c r="N38" t="n">
        <v>699</v>
      </c>
      <c r="O38" t="n">
        <v>768.7</v>
      </c>
      <c r="P38" t="n">
        <v>696</v>
      </c>
      <c r="Q38" t="n">
        <v>708.5</v>
      </c>
      <c r="R38" t="n">
        <v>745.6</v>
      </c>
      <c r="S38" t="n">
        <v>725.1</v>
      </c>
      <c r="T38" t="n">
        <v>754.4</v>
      </c>
      <c r="U38" t="n">
        <v>816.9</v>
      </c>
      <c r="V38" t="n">
        <v>820.5</v>
      </c>
      <c r="W38" t="n">
        <v>776.6</v>
      </c>
      <c r="X38" t="n">
        <v>724.4</v>
      </c>
      <c r="Y38" t="n">
        <v>720.9</v>
      </c>
      <c r="Z38" t="n">
        <v>732.9</v>
      </c>
      <c r="AA38" t="n">
        <v>805.6</v>
      </c>
      <c r="AB38" t="n">
        <v>878.2</v>
      </c>
      <c r="AC38" t="n">
        <v>857.8</v>
      </c>
      <c r="AD38" t="n">
        <v>872.5</v>
      </c>
      <c r="AE38" t="n">
        <v>920.5</v>
      </c>
      <c r="AF38" t="n">
        <v>994.2</v>
      </c>
    </row>
    <row r="39">
      <c r="A39" t="s">
        <v>115</v>
      </c>
      <c r="B39" t="s">
        <v>348</v>
      </c>
      <c r="C39" t="s">
        <v>217</v>
      </c>
      <c r="D39" t="s">
        <v>349</v>
      </c>
      <c r="E39" t="s">
        <v>218</v>
      </c>
      <c r="F39" t="n">
        <v>1406.2</v>
      </c>
      <c r="G39" t="n">
        <v>1597.8</v>
      </c>
      <c r="H39" t="n">
        <v>1804.1</v>
      </c>
      <c r="I39" t="n">
        <v>2034.7</v>
      </c>
      <c r="J39" t="n">
        <v>2247</v>
      </c>
      <c r="K39" t="n">
        <v>2579.8</v>
      </c>
      <c r="L39" t="n">
        <v>2776.3</v>
      </c>
      <c r="M39" t="n">
        <v>2863.3</v>
      </c>
      <c r="N39" t="n">
        <v>2777.3</v>
      </c>
      <c r="O39" t="n">
        <v>2739.7</v>
      </c>
      <c r="P39" t="n">
        <v>2746.8</v>
      </c>
      <c r="Q39" t="n">
        <v>2965.1</v>
      </c>
      <c r="R39" t="n">
        <v>3160</v>
      </c>
      <c r="S39" t="n">
        <v>3391.9</v>
      </c>
      <c r="T39" t="n">
        <v>3408.2</v>
      </c>
      <c r="U39" t="n">
        <v>3807.5</v>
      </c>
      <c r="V39" t="n">
        <v>3806</v>
      </c>
      <c r="W39" t="n">
        <v>3748.4</v>
      </c>
      <c r="X39" t="n">
        <v>3943</v>
      </c>
      <c r="Y39" t="n">
        <v>3990.6</v>
      </c>
      <c r="Z39" t="n">
        <v>4010.3</v>
      </c>
      <c r="AA39" t="n">
        <v>4106.8</v>
      </c>
      <c r="AB39" t="n">
        <v>4150.9</v>
      </c>
      <c r="AC39" t="n">
        <v>4462.3</v>
      </c>
      <c r="AD39" t="n">
        <v>4709.8</v>
      </c>
      <c r="AE39" t="n">
        <v>4970.3</v>
      </c>
      <c r="AF39" t="n">
        <v>5355.8</v>
      </c>
    </row>
    <row r="40">
      <c r="A40" t="s">
        <v>115</v>
      </c>
      <c r="B40" t="s">
        <v>350</v>
      </c>
      <c r="C40" t="s">
        <v>217</v>
      </c>
      <c r="D40" t="s">
        <v>351</v>
      </c>
      <c r="E40" t="s">
        <v>218</v>
      </c>
      <c r="F40" t="n">
        <v>158437.8</v>
      </c>
      <c r="G40" t="n">
        <v>172593.8</v>
      </c>
      <c r="H40" t="n">
        <v>185487.7</v>
      </c>
      <c r="I40" t="n">
        <v>201249.1</v>
      </c>
      <c r="J40" t="n">
        <v>214924.4</v>
      </c>
      <c r="K40" t="n">
        <v>227993.4</v>
      </c>
      <c r="L40" t="n">
        <v>240340.8</v>
      </c>
      <c r="M40" t="n">
        <v>256804</v>
      </c>
      <c r="N40" t="n">
        <v>272037.5</v>
      </c>
      <c r="O40" t="n">
        <v>289997.3</v>
      </c>
      <c r="P40" t="n">
        <v>298290.7</v>
      </c>
      <c r="Q40" t="n">
        <v>328472.3</v>
      </c>
      <c r="R40" t="n">
        <v>348392.1</v>
      </c>
      <c r="S40" t="n">
        <v>365151.4</v>
      </c>
      <c r="T40" t="n">
        <v>363855.3</v>
      </c>
      <c r="U40" t="n">
        <v>356338.2</v>
      </c>
      <c r="V40" t="n">
        <v>344388.5</v>
      </c>
      <c r="W40" t="n">
        <v>338140.3</v>
      </c>
      <c r="X40" t="n">
        <v>327947.8</v>
      </c>
      <c r="Y40" t="n">
        <v>309257.3</v>
      </c>
      <c r="Z40" t="n">
        <v>292734.3</v>
      </c>
      <c r="AA40" t="n">
        <v>280237.9</v>
      </c>
      <c r="AB40" t="n">
        <v>272037.2</v>
      </c>
      <c r="AC40" t="n">
        <v>265954.1</v>
      </c>
      <c r="AD40" t="n">
        <v>258296.2</v>
      </c>
      <c r="AE40" t="n">
        <v>252077.1</v>
      </c>
      <c r="AF40" t="n">
        <v>252601.2</v>
      </c>
    </row>
    <row r="41">
      <c r="A41" t="s">
        <v>115</v>
      </c>
      <c r="B41" t="s">
        <v>352</v>
      </c>
      <c r="C41" t="s">
        <v>217</v>
      </c>
      <c r="D41" t="s">
        <v>353</v>
      </c>
      <c r="E41" t="s">
        <v>218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115</v>
      </c>
      <c r="B42" t="s">
        <v>354</v>
      </c>
      <c r="C42" t="s">
        <v>217</v>
      </c>
      <c r="D42" t="s">
        <v>355</v>
      </c>
      <c r="E42" t="s">
        <v>218</v>
      </c>
      <c r="F42" t="n">
        <v>1123.5</v>
      </c>
      <c r="G42" t="n">
        <v>1373.2</v>
      </c>
      <c r="H42" t="n">
        <v>1670.2</v>
      </c>
      <c r="I42" t="n">
        <v>1979.3</v>
      </c>
      <c r="J42" t="n">
        <v>2281.6</v>
      </c>
      <c r="K42" t="n">
        <v>2740.5</v>
      </c>
      <c r="L42" t="n">
        <v>3096.6</v>
      </c>
      <c r="M42" t="n">
        <v>3275.2</v>
      </c>
      <c r="N42" t="n">
        <v>3785.6</v>
      </c>
      <c r="O42" t="n">
        <v>4145</v>
      </c>
      <c r="P42" t="n">
        <v>4166.2</v>
      </c>
      <c r="Q42" t="n">
        <v>4396.7</v>
      </c>
      <c r="R42" t="n">
        <v>4726.2</v>
      </c>
      <c r="S42" t="n">
        <v>5039.5</v>
      </c>
      <c r="T42" t="n">
        <v>5149</v>
      </c>
      <c r="U42" t="n">
        <v>4911.9</v>
      </c>
      <c r="V42" t="n">
        <v>4865.4</v>
      </c>
      <c r="W42" t="n">
        <v>4715.1</v>
      </c>
      <c r="X42" t="n">
        <v>4469.1</v>
      </c>
      <c r="Y42" t="n">
        <v>4246.6</v>
      </c>
      <c r="Z42" t="n">
        <v>4103.8</v>
      </c>
      <c r="AA42" t="n">
        <v>3941.2</v>
      </c>
      <c r="AB42" t="n">
        <v>3851.7</v>
      </c>
      <c r="AC42" t="n">
        <v>3689.9</v>
      </c>
      <c r="AD42" t="n">
        <v>3651.5</v>
      </c>
      <c r="AE42" t="n">
        <v>3678.3</v>
      </c>
      <c r="AF42" t="n">
        <v>3831.4</v>
      </c>
    </row>
    <row r="43">
      <c r="A43" t="s">
        <v>115</v>
      </c>
      <c r="B43" t="s">
        <v>356</v>
      </c>
      <c r="C43" t="s">
        <v>217</v>
      </c>
      <c r="D43" t="s">
        <v>357</v>
      </c>
      <c r="E43" t="s">
        <v>218</v>
      </c>
      <c r="F43" t="n">
        <v>1734.2</v>
      </c>
      <c r="G43" t="n">
        <v>2071.2</v>
      </c>
      <c r="H43" t="n">
        <v>2460</v>
      </c>
      <c r="I43" t="n">
        <v>2912</v>
      </c>
      <c r="J43" t="n">
        <v>3338.2</v>
      </c>
      <c r="K43" t="n">
        <v>3967.2</v>
      </c>
      <c r="L43" t="n">
        <v>4523</v>
      </c>
      <c r="M43" t="n">
        <v>4820.4</v>
      </c>
      <c r="N43" t="n">
        <v>5577.2</v>
      </c>
      <c r="O43" t="n">
        <v>6311</v>
      </c>
      <c r="P43" t="n">
        <v>7011.3</v>
      </c>
      <c r="Q43" t="n">
        <v>7962.4</v>
      </c>
      <c r="R43" t="n">
        <v>9371.7</v>
      </c>
      <c r="S43" t="n">
        <v>11280.5</v>
      </c>
      <c r="T43" t="n">
        <v>12421.7</v>
      </c>
      <c r="U43" t="n">
        <v>12087.2</v>
      </c>
      <c r="V43" t="n">
        <v>11572.3</v>
      </c>
      <c r="W43" t="n">
        <v>10686.9</v>
      </c>
      <c r="X43" t="n">
        <v>9702.8</v>
      </c>
      <c r="Y43" t="n">
        <v>9034.5</v>
      </c>
      <c r="Z43" t="n">
        <v>8571.5</v>
      </c>
      <c r="AA43" t="n">
        <v>8010.7</v>
      </c>
      <c r="AB43" t="n">
        <v>7616.5</v>
      </c>
      <c r="AC43" t="n">
        <v>7219.6</v>
      </c>
      <c r="AD43" t="n">
        <v>7129.5</v>
      </c>
      <c r="AE43" t="n">
        <v>7025.3</v>
      </c>
      <c r="AF43" t="n">
        <v>7180.8</v>
      </c>
    </row>
    <row r="44">
      <c r="A44" t="s">
        <v>115</v>
      </c>
      <c r="B44" t="s">
        <v>358</v>
      </c>
      <c r="C44" t="s">
        <v>217</v>
      </c>
      <c r="D44" t="s">
        <v>359</v>
      </c>
      <c r="E44" t="s">
        <v>218</v>
      </c>
      <c r="F44" t="n">
        <v>75438.1</v>
      </c>
      <c r="G44" t="n">
        <v>83055.3</v>
      </c>
      <c r="H44" t="n">
        <v>90611.4</v>
      </c>
      <c r="I44" t="n">
        <v>100679.4</v>
      </c>
      <c r="J44" t="n">
        <v>109152.1</v>
      </c>
      <c r="K44" t="n">
        <v>119739.2</v>
      </c>
      <c r="L44" t="n">
        <v>131629</v>
      </c>
      <c r="M44" t="n">
        <v>141324.7</v>
      </c>
      <c r="N44" t="n">
        <v>151205.2</v>
      </c>
      <c r="O44" t="n">
        <v>158805</v>
      </c>
      <c r="P44" t="n">
        <v>163350.8</v>
      </c>
      <c r="Q44" t="n">
        <v>178570.3</v>
      </c>
      <c r="R44" t="n">
        <v>191517.2</v>
      </c>
      <c r="S44" t="n">
        <v>207461.4</v>
      </c>
      <c r="T44" t="n">
        <v>212752</v>
      </c>
      <c r="U44" t="n">
        <v>205995.4</v>
      </c>
      <c r="V44" t="n">
        <v>195096.7</v>
      </c>
      <c r="W44" t="n">
        <v>188321.9</v>
      </c>
      <c r="X44" t="n">
        <v>180175.5</v>
      </c>
      <c r="Y44" t="n">
        <v>172729.7</v>
      </c>
      <c r="Z44" t="n">
        <v>166550</v>
      </c>
      <c r="AA44" t="n">
        <v>161922</v>
      </c>
      <c r="AB44" t="n">
        <v>159012</v>
      </c>
      <c r="AC44" t="n">
        <v>156904.9</v>
      </c>
      <c r="AD44" t="n">
        <v>154150.3</v>
      </c>
      <c r="AE44" t="n">
        <v>152022.6</v>
      </c>
      <c r="AF44" t="n">
        <v>154281.1</v>
      </c>
    </row>
    <row r="45">
      <c r="A45" t="s">
        <v>115</v>
      </c>
      <c r="B45" t="s">
        <v>360</v>
      </c>
      <c r="C45" t="s">
        <v>217</v>
      </c>
      <c r="D45" t="s">
        <v>361</v>
      </c>
      <c r="E45" t="s">
        <v>218</v>
      </c>
      <c r="F45" t="n">
        <v>65788.4</v>
      </c>
      <c r="G45" t="n">
        <v>72805.8</v>
      </c>
      <c r="H45" t="n">
        <v>79748</v>
      </c>
      <c r="I45" t="n">
        <v>89031.9</v>
      </c>
      <c r="J45" t="n">
        <v>96877.7</v>
      </c>
      <c r="K45" t="n">
        <v>106815.2</v>
      </c>
      <c r="L45" t="n">
        <v>118068.5</v>
      </c>
      <c r="M45" t="n">
        <v>127223.6</v>
      </c>
      <c r="N45" t="n">
        <v>136544.3</v>
      </c>
      <c r="O45" t="n">
        <v>143580.7</v>
      </c>
      <c r="P45" t="n">
        <v>147891.7</v>
      </c>
      <c r="Q45" t="n">
        <v>162268.2</v>
      </c>
      <c r="R45" t="n">
        <v>174305.5</v>
      </c>
      <c r="S45" t="n">
        <v>188923.7</v>
      </c>
      <c r="T45" t="n">
        <v>193991.3</v>
      </c>
      <c r="U45" t="n">
        <v>187600.1</v>
      </c>
      <c r="V45" t="n">
        <v>177592.6</v>
      </c>
      <c r="W45" t="n">
        <v>171655.9</v>
      </c>
      <c r="X45" t="n">
        <v>163920.2</v>
      </c>
      <c r="Y45" t="n">
        <v>157062.1</v>
      </c>
      <c r="Z45" t="n">
        <v>151272.9</v>
      </c>
      <c r="AA45" t="n">
        <v>146848</v>
      </c>
      <c r="AB45" t="n">
        <v>144015</v>
      </c>
      <c r="AC45" t="n">
        <v>141922.8</v>
      </c>
      <c r="AD45" t="n">
        <v>139226</v>
      </c>
      <c r="AE45" t="n">
        <v>137083</v>
      </c>
      <c r="AF45" t="n">
        <v>138823.7</v>
      </c>
    </row>
    <row r="46">
      <c r="A46" t="s">
        <v>115</v>
      </c>
      <c r="B46" t="s">
        <v>362</v>
      </c>
      <c r="C46" t="s">
        <v>217</v>
      </c>
      <c r="D46" t="s">
        <v>363</v>
      </c>
      <c r="E46" t="s">
        <v>218</v>
      </c>
      <c r="F46" t="n">
        <v>610.7</v>
      </c>
      <c r="G46" t="n">
        <v>698</v>
      </c>
      <c r="H46" t="n">
        <v>789.8</v>
      </c>
      <c r="I46" t="n">
        <v>932.7</v>
      </c>
      <c r="J46" t="n">
        <v>1056.6</v>
      </c>
      <c r="K46" t="n">
        <v>1226.7</v>
      </c>
      <c r="L46" t="n">
        <v>1426.4</v>
      </c>
      <c r="M46" t="n">
        <v>1545.2</v>
      </c>
      <c r="N46" t="n">
        <v>1791.6</v>
      </c>
      <c r="O46" t="n">
        <v>2166</v>
      </c>
      <c r="P46" t="n">
        <v>2845.1</v>
      </c>
      <c r="Q46" t="n">
        <v>3565.7</v>
      </c>
      <c r="R46" t="n">
        <v>4645.5</v>
      </c>
      <c r="S46" t="n">
        <v>6241</v>
      </c>
      <c r="T46" t="n">
        <v>7272.7</v>
      </c>
      <c r="U46" t="n">
        <v>7175.3</v>
      </c>
      <c r="V46" t="n">
        <v>6706.9</v>
      </c>
      <c r="W46" t="n">
        <v>5971.8</v>
      </c>
      <c r="X46" t="n">
        <v>5233.7</v>
      </c>
      <c r="Y46" t="n">
        <v>4787.9</v>
      </c>
      <c r="Z46" t="n">
        <v>4467.7</v>
      </c>
      <c r="AA46" t="n">
        <v>4069.5</v>
      </c>
      <c r="AB46" t="n">
        <v>3764.8</v>
      </c>
      <c r="AC46" t="n">
        <v>3529.7</v>
      </c>
      <c r="AD46" t="n">
        <v>3478</v>
      </c>
      <c r="AE46" t="n">
        <v>3347</v>
      </c>
      <c r="AF46" t="n">
        <v>3349.4</v>
      </c>
    </row>
    <row r="47">
      <c r="A47" t="s">
        <v>115</v>
      </c>
      <c r="B47" t="s">
        <v>364</v>
      </c>
      <c r="C47" t="s">
        <v>217</v>
      </c>
      <c r="D47" t="s">
        <v>365</v>
      </c>
      <c r="E47" t="s">
        <v>218</v>
      </c>
      <c r="F47" t="n">
        <v>45187</v>
      </c>
      <c r="G47" t="n">
        <v>48167.9</v>
      </c>
      <c r="H47" t="n">
        <v>51287</v>
      </c>
      <c r="I47" t="n">
        <v>55159.7</v>
      </c>
      <c r="J47" t="n">
        <v>58761.7</v>
      </c>
      <c r="K47" t="n">
        <v>62351.9</v>
      </c>
      <c r="L47" t="n">
        <v>66499.6</v>
      </c>
      <c r="M47" t="n">
        <v>71453</v>
      </c>
      <c r="N47" t="n">
        <v>77161.9</v>
      </c>
      <c r="O47" t="n">
        <v>81552.1</v>
      </c>
      <c r="P47" t="n">
        <v>81739.9</v>
      </c>
      <c r="Q47" t="n">
        <v>88099.2</v>
      </c>
      <c r="R47" t="n">
        <v>91479.8</v>
      </c>
      <c r="S47" t="n">
        <v>97592.4</v>
      </c>
      <c r="T47" t="n">
        <v>102151.4</v>
      </c>
      <c r="U47" t="n">
        <v>100616.3</v>
      </c>
      <c r="V47" t="n">
        <v>96219</v>
      </c>
      <c r="W47" t="n">
        <v>93766</v>
      </c>
      <c r="X47" t="n">
        <v>92566.7</v>
      </c>
      <c r="Y47" t="n">
        <v>90591.9</v>
      </c>
      <c r="Z47" t="n">
        <v>89080.1</v>
      </c>
      <c r="AA47" t="n">
        <v>87976.8</v>
      </c>
      <c r="AB47" t="n">
        <v>89501.5</v>
      </c>
      <c r="AC47" t="n">
        <v>89524.8</v>
      </c>
      <c r="AD47" t="n">
        <v>87487.1</v>
      </c>
      <c r="AE47" t="n">
        <v>86148.9</v>
      </c>
      <c r="AF47" t="n">
        <v>87954.4</v>
      </c>
    </row>
    <row r="48">
      <c r="A48" t="s">
        <v>115</v>
      </c>
      <c r="B48" t="s">
        <v>366</v>
      </c>
      <c r="C48" t="s">
        <v>217</v>
      </c>
      <c r="D48" t="s">
        <v>367</v>
      </c>
      <c r="E48" t="s">
        <v>218</v>
      </c>
      <c r="F48" t="n">
        <v>51435.1</v>
      </c>
      <c r="G48" t="n">
        <v>55383</v>
      </c>
      <c r="H48" t="n">
        <v>59580.3</v>
      </c>
      <c r="I48" t="n">
        <v>64672.9</v>
      </c>
      <c r="J48" t="n">
        <v>69494.6</v>
      </c>
      <c r="K48" t="n">
        <v>74442.4</v>
      </c>
      <c r="L48" t="n">
        <v>79812.8</v>
      </c>
      <c r="M48" t="n">
        <v>85727.3</v>
      </c>
      <c r="N48" t="n">
        <v>92771.9</v>
      </c>
      <c r="O48" t="n">
        <v>98117.9</v>
      </c>
      <c r="P48" t="n">
        <v>98906.9</v>
      </c>
      <c r="Q48" t="n">
        <v>106573.9</v>
      </c>
      <c r="R48" t="n">
        <v>110375.8</v>
      </c>
      <c r="S48" t="n">
        <v>117315.8</v>
      </c>
      <c r="T48" t="n">
        <v>121712.2</v>
      </c>
      <c r="U48" t="n">
        <v>119254</v>
      </c>
      <c r="V48" t="n">
        <v>113992.2</v>
      </c>
      <c r="W48" t="n">
        <v>110923</v>
      </c>
      <c r="X48" t="n">
        <v>109241.1</v>
      </c>
      <c r="Y48" t="n">
        <v>106509.3</v>
      </c>
      <c r="Z48" t="n">
        <v>104405.9</v>
      </c>
      <c r="AA48" t="n">
        <v>102702.1</v>
      </c>
      <c r="AB48" t="n">
        <v>103870.2</v>
      </c>
      <c r="AC48" t="n">
        <v>103683.9</v>
      </c>
      <c r="AD48" t="n">
        <v>101504.7</v>
      </c>
      <c r="AE48" t="n">
        <v>100059.6</v>
      </c>
      <c r="AF48" t="n">
        <v>102147.3</v>
      </c>
    </row>
    <row r="49">
      <c r="A49" t="s">
        <v>115</v>
      </c>
      <c r="B49" t="s">
        <v>368</v>
      </c>
      <c r="C49" t="s">
        <v>217</v>
      </c>
      <c r="D49" t="s">
        <v>369</v>
      </c>
      <c r="E49" t="s">
        <v>218</v>
      </c>
      <c r="F49" t="n">
        <v>4574.3</v>
      </c>
      <c r="G49" t="n">
        <v>5291.5</v>
      </c>
      <c r="H49" t="n">
        <v>6089.9</v>
      </c>
      <c r="I49" t="n">
        <v>6977.9</v>
      </c>
      <c r="J49" t="n">
        <v>7918.1</v>
      </c>
      <c r="K49" t="n">
        <v>8884</v>
      </c>
      <c r="L49" t="n">
        <v>9583.3</v>
      </c>
      <c r="M49" t="n">
        <v>10107.1</v>
      </c>
      <c r="N49" t="n">
        <v>10972.5</v>
      </c>
      <c r="O49" t="n">
        <v>11597.4</v>
      </c>
      <c r="P49" t="n">
        <v>11931.8</v>
      </c>
      <c r="Q49" t="n">
        <v>12973.9</v>
      </c>
      <c r="R49" t="n">
        <v>13256.1</v>
      </c>
      <c r="S49" t="n">
        <v>13874.2</v>
      </c>
      <c r="T49" t="n">
        <v>13666.3</v>
      </c>
      <c r="U49" t="n">
        <v>12959.2</v>
      </c>
      <c r="V49" t="n">
        <v>12385.4</v>
      </c>
      <c r="W49" t="n">
        <v>12024.8</v>
      </c>
      <c r="X49" t="n">
        <v>11767.9</v>
      </c>
      <c r="Y49" t="n">
        <v>11277.5</v>
      </c>
      <c r="Z49" t="n">
        <v>10821</v>
      </c>
      <c r="AA49" t="n">
        <v>10384.3</v>
      </c>
      <c r="AB49" t="n">
        <v>10013.4</v>
      </c>
      <c r="AC49" t="n">
        <v>9771.3</v>
      </c>
      <c r="AD49" t="n">
        <v>9581.5</v>
      </c>
      <c r="AE49" t="n">
        <v>9459.8</v>
      </c>
      <c r="AF49" t="n">
        <v>9584</v>
      </c>
    </row>
    <row r="50">
      <c r="A50" t="s">
        <v>115</v>
      </c>
      <c r="B50" t="s">
        <v>370</v>
      </c>
      <c r="C50" t="s">
        <v>217</v>
      </c>
      <c r="D50" t="s">
        <v>371</v>
      </c>
      <c r="E50" t="s">
        <v>218</v>
      </c>
      <c r="F50" t="n">
        <v>1673.9</v>
      </c>
      <c r="G50" t="n">
        <v>1923.5</v>
      </c>
      <c r="H50" t="n">
        <v>2203.4</v>
      </c>
      <c r="I50" t="n">
        <v>2535.3</v>
      </c>
      <c r="J50" t="n">
        <v>2814.9</v>
      </c>
      <c r="K50" t="n">
        <v>3206.5</v>
      </c>
      <c r="L50" t="n">
        <v>3729.9</v>
      </c>
      <c r="M50" t="n">
        <v>4167.2</v>
      </c>
      <c r="N50" t="n">
        <v>4637.5</v>
      </c>
      <c r="O50" t="n">
        <v>4968.5</v>
      </c>
      <c r="P50" t="n">
        <v>5235.3</v>
      </c>
      <c r="Q50" t="n">
        <v>5500.7</v>
      </c>
      <c r="R50" t="n">
        <v>5639.9</v>
      </c>
      <c r="S50" t="n">
        <v>5849.1</v>
      </c>
      <c r="T50" t="n">
        <v>5894.4</v>
      </c>
      <c r="U50" t="n">
        <v>5678.5</v>
      </c>
      <c r="V50" t="n">
        <v>5387.8</v>
      </c>
      <c r="W50" t="n">
        <v>5132.2</v>
      </c>
      <c r="X50" t="n">
        <v>4906.6</v>
      </c>
      <c r="Y50" t="n">
        <v>4639.9</v>
      </c>
      <c r="Z50" t="n">
        <v>4504.7</v>
      </c>
      <c r="AA50" t="n">
        <v>4340.9</v>
      </c>
      <c r="AB50" t="n">
        <v>4355.3</v>
      </c>
      <c r="AC50" t="n">
        <v>4387.9</v>
      </c>
      <c r="AD50" t="n">
        <v>4436.1</v>
      </c>
      <c r="AE50" t="n">
        <v>4451</v>
      </c>
      <c r="AF50" t="n">
        <v>4608.9</v>
      </c>
    </row>
    <row r="51">
      <c r="A51" t="s">
        <v>115</v>
      </c>
      <c r="B51" t="s">
        <v>372</v>
      </c>
      <c r="C51" t="s">
        <v>217</v>
      </c>
      <c r="D51" t="s">
        <v>373</v>
      </c>
      <c r="E51" t="s">
        <v>218</v>
      </c>
      <c r="F51" t="n">
        <v>1548.3</v>
      </c>
      <c r="G51" t="n">
        <v>1764.3</v>
      </c>
      <c r="H51" t="n">
        <v>2005.4</v>
      </c>
      <c r="I51" t="n">
        <v>2292.4</v>
      </c>
      <c r="J51" t="n">
        <v>2550.5</v>
      </c>
      <c r="K51" t="n">
        <v>2918.4</v>
      </c>
      <c r="L51" t="n">
        <v>3409.6</v>
      </c>
      <c r="M51" t="n">
        <v>3819.1</v>
      </c>
      <c r="N51" t="n">
        <v>4259</v>
      </c>
      <c r="O51" t="n">
        <v>4565.8</v>
      </c>
      <c r="P51" t="n">
        <v>4745.7</v>
      </c>
      <c r="Q51" t="n">
        <v>4889</v>
      </c>
      <c r="R51" t="n">
        <v>4971.2</v>
      </c>
      <c r="S51" t="n">
        <v>5090</v>
      </c>
      <c r="T51" t="n">
        <v>5124.9</v>
      </c>
      <c r="U51" t="n">
        <v>4844.3</v>
      </c>
      <c r="V51" t="n">
        <v>4591.2</v>
      </c>
      <c r="W51" t="n">
        <v>4366.6</v>
      </c>
      <c r="X51" t="n">
        <v>4162.5</v>
      </c>
      <c r="Y51" t="n">
        <v>3940.7</v>
      </c>
      <c r="Z51" t="n">
        <v>3835.7</v>
      </c>
      <c r="AA51" t="n">
        <v>3696.8</v>
      </c>
      <c r="AB51" t="n">
        <v>3736.8</v>
      </c>
      <c r="AC51" t="n">
        <v>3789.8</v>
      </c>
      <c r="AD51" t="n">
        <v>3864.7</v>
      </c>
      <c r="AE51" t="n">
        <v>3899.8</v>
      </c>
      <c r="AF51" t="n">
        <v>4062.4</v>
      </c>
    </row>
    <row r="52">
      <c r="A52" t="s">
        <v>115</v>
      </c>
      <c r="B52" t="s">
        <v>374</v>
      </c>
      <c r="C52" t="s">
        <v>217</v>
      </c>
      <c r="D52" t="s">
        <v>375</v>
      </c>
      <c r="E52" t="s">
        <v>218</v>
      </c>
      <c r="F52" t="n">
        <v>125.6</v>
      </c>
      <c r="G52" t="n">
        <v>159.2</v>
      </c>
      <c r="H52" t="n">
        <v>198</v>
      </c>
      <c r="I52" t="n">
        <v>242.9</v>
      </c>
      <c r="J52" t="n">
        <v>264.4</v>
      </c>
      <c r="K52" t="n">
        <v>288.1</v>
      </c>
      <c r="L52" t="n">
        <v>320.3</v>
      </c>
      <c r="M52" t="n">
        <v>348.1</v>
      </c>
      <c r="N52" t="n">
        <v>378.5</v>
      </c>
      <c r="O52" t="n">
        <v>402.7</v>
      </c>
      <c r="P52" t="n">
        <v>489.6</v>
      </c>
      <c r="Q52" t="n">
        <v>611.7</v>
      </c>
      <c r="R52" t="n">
        <v>668.7</v>
      </c>
      <c r="S52" t="n">
        <v>759.1</v>
      </c>
      <c r="T52" t="n">
        <v>769.5</v>
      </c>
      <c r="U52" t="n">
        <v>834.2</v>
      </c>
      <c r="V52" t="n">
        <v>796.6</v>
      </c>
      <c r="W52" t="n">
        <v>765.6</v>
      </c>
      <c r="X52" t="n">
        <v>744.1</v>
      </c>
      <c r="Y52" t="n">
        <v>699.2</v>
      </c>
      <c r="Z52" t="n">
        <v>669</v>
      </c>
      <c r="AA52" t="n">
        <v>644.1</v>
      </c>
      <c r="AB52" t="n">
        <v>618.5</v>
      </c>
      <c r="AC52" t="n">
        <v>598.1</v>
      </c>
      <c r="AD52" t="n">
        <v>571.4</v>
      </c>
      <c r="AE52" t="n">
        <v>551.2</v>
      </c>
      <c r="AF52" t="n">
        <v>546.5</v>
      </c>
    </row>
    <row r="53">
      <c r="A53" t="s">
        <v>115</v>
      </c>
      <c r="B53" t="s">
        <v>376</v>
      </c>
      <c r="C53" t="s">
        <v>217</v>
      </c>
      <c r="D53" t="s">
        <v>377</v>
      </c>
      <c r="E53" t="s">
        <v>218</v>
      </c>
      <c r="F53" t="n">
        <v>1418.2</v>
      </c>
      <c r="G53" t="n">
        <v>1599.1</v>
      </c>
      <c r="H53" t="n">
        <v>1805.1</v>
      </c>
      <c r="I53" t="n">
        <v>2027.4</v>
      </c>
      <c r="J53" t="n">
        <v>2273.8</v>
      </c>
      <c r="K53" t="n">
        <v>2537.3</v>
      </c>
      <c r="L53" t="n">
        <v>2916.1</v>
      </c>
      <c r="M53" t="n">
        <v>3518.3</v>
      </c>
      <c r="N53" t="n">
        <v>4131.1</v>
      </c>
      <c r="O53" t="n">
        <v>4564.9</v>
      </c>
      <c r="P53" t="n">
        <v>4665.9</v>
      </c>
      <c r="Q53" t="n">
        <v>4979.3</v>
      </c>
      <c r="R53" t="n">
        <v>5092.2</v>
      </c>
      <c r="S53" t="n">
        <v>5332.8</v>
      </c>
      <c r="T53" t="n">
        <v>5282.6</v>
      </c>
      <c r="U53" t="n">
        <v>5260.8</v>
      </c>
      <c r="V53" t="n">
        <v>4980</v>
      </c>
      <c r="W53" t="n">
        <v>4793.9</v>
      </c>
      <c r="X53" t="n">
        <v>4680.5</v>
      </c>
      <c r="Y53" t="n">
        <v>4480.1</v>
      </c>
      <c r="Z53" t="n">
        <v>4304.4</v>
      </c>
      <c r="AA53" t="n">
        <v>4176.5</v>
      </c>
      <c r="AB53" t="n">
        <v>4046.5</v>
      </c>
      <c r="AC53" t="n">
        <v>3954.8</v>
      </c>
      <c r="AD53" t="n">
        <v>3838.2</v>
      </c>
      <c r="AE53" t="n">
        <v>3738.3</v>
      </c>
      <c r="AF53" t="n">
        <v>3735.3</v>
      </c>
    </row>
    <row r="54">
      <c r="A54" t="s">
        <v>115</v>
      </c>
      <c r="B54" t="s">
        <v>378</v>
      </c>
      <c r="C54" t="s">
        <v>217</v>
      </c>
      <c r="D54" t="s">
        <v>379</v>
      </c>
      <c r="E54" t="s">
        <v>218</v>
      </c>
      <c r="F54" t="n">
        <v>3122.6</v>
      </c>
      <c r="G54" t="n">
        <v>3897.8</v>
      </c>
      <c r="H54" t="n">
        <v>4756</v>
      </c>
      <c r="I54" t="n">
        <v>5692.2</v>
      </c>
      <c r="J54" t="n">
        <v>6664.9</v>
      </c>
      <c r="K54" t="n">
        <v>7879.9</v>
      </c>
      <c r="L54" t="n">
        <v>8228.7</v>
      </c>
      <c r="M54" t="n">
        <v>8768.7</v>
      </c>
      <c r="N54" t="n">
        <v>9312.1</v>
      </c>
      <c r="O54" t="n">
        <v>9696.5</v>
      </c>
      <c r="P54" t="n">
        <v>9772.7</v>
      </c>
      <c r="Q54" t="n">
        <v>10274.1</v>
      </c>
      <c r="R54" t="n">
        <v>10557.3</v>
      </c>
      <c r="S54" t="n">
        <v>11056.8</v>
      </c>
      <c r="T54" t="n">
        <v>11986.3</v>
      </c>
      <c r="U54" t="n">
        <v>9822.3</v>
      </c>
      <c r="V54" t="n">
        <v>9253.3</v>
      </c>
      <c r="W54" t="n">
        <v>8806.7</v>
      </c>
      <c r="X54" t="n">
        <v>8470</v>
      </c>
      <c r="Y54" t="n">
        <v>8098</v>
      </c>
      <c r="Z54" t="n">
        <v>7828.2</v>
      </c>
      <c r="AA54" t="n">
        <v>7561.4</v>
      </c>
      <c r="AB54" t="n">
        <v>7324.9</v>
      </c>
      <c r="AC54" t="n">
        <v>7075.7</v>
      </c>
      <c r="AD54" t="n">
        <v>6813.4</v>
      </c>
      <c r="AE54" t="n">
        <v>6575.4</v>
      </c>
      <c r="AF54" t="n">
        <v>6507</v>
      </c>
    </row>
    <row r="55">
      <c r="A55" t="s">
        <v>115</v>
      </c>
      <c r="B55" t="s">
        <v>380</v>
      </c>
      <c r="C55" t="s">
        <v>217</v>
      </c>
      <c r="D55" t="s">
        <v>381</v>
      </c>
      <c r="E55" t="s">
        <v>218</v>
      </c>
      <c r="F55" t="n">
        <v>1704.4</v>
      </c>
      <c r="G55" t="n">
        <v>2298.7</v>
      </c>
      <c r="H55" t="n">
        <v>2950.9</v>
      </c>
      <c r="I55" t="n">
        <v>3664.8</v>
      </c>
      <c r="J55" t="n">
        <v>4391.1</v>
      </c>
      <c r="K55" t="n">
        <v>5342.6</v>
      </c>
      <c r="L55" t="n">
        <v>5312.6</v>
      </c>
      <c r="M55" t="n">
        <v>5250.4</v>
      </c>
      <c r="N55" t="n">
        <v>5181</v>
      </c>
      <c r="O55" t="n">
        <v>5131.6</v>
      </c>
      <c r="P55" t="n">
        <v>5106.8</v>
      </c>
      <c r="Q55" t="n">
        <v>5294.8</v>
      </c>
      <c r="R55" t="n">
        <v>5465.1</v>
      </c>
      <c r="S55" t="n">
        <v>5724</v>
      </c>
      <c r="T55" t="n">
        <v>6703.7</v>
      </c>
      <c r="U55" t="n">
        <v>4561.5</v>
      </c>
      <c r="V55" t="n">
        <v>4273.3</v>
      </c>
      <c r="W55" t="n">
        <v>4012.8</v>
      </c>
      <c r="X55" t="n">
        <v>3789.5</v>
      </c>
      <c r="Y55" t="n">
        <v>3617.9</v>
      </c>
      <c r="Z55" t="n">
        <v>3523.8</v>
      </c>
      <c r="AA55" t="n">
        <v>3384.9</v>
      </c>
      <c r="AB55" t="n">
        <v>3278.4</v>
      </c>
      <c r="AC55" t="n">
        <v>3120.9</v>
      </c>
      <c r="AD55" t="n">
        <v>2975.2</v>
      </c>
      <c r="AE55" t="n">
        <v>2837.1</v>
      </c>
      <c r="AF55" t="n">
        <v>2771.7</v>
      </c>
    </row>
    <row r="56">
      <c r="A56" t="s">
        <v>115</v>
      </c>
      <c r="B56" t="s">
        <v>382</v>
      </c>
      <c r="C56" t="s">
        <v>217</v>
      </c>
      <c r="D56" t="s">
        <v>383</v>
      </c>
      <c r="E56" t="s">
        <v>218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115</v>
      </c>
      <c r="B57" t="s">
        <v>384</v>
      </c>
      <c r="C57" t="s">
        <v>217</v>
      </c>
      <c r="D57" t="s">
        <v>385</v>
      </c>
      <c r="E57" t="s">
        <v>218</v>
      </c>
      <c r="F57" t="n">
        <v>285311.1</v>
      </c>
      <c r="G57" t="n">
        <v>311032</v>
      </c>
      <c r="H57" t="n">
        <v>335679.4</v>
      </c>
      <c r="I57" t="n">
        <v>366601.4</v>
      </c>
      <c r="J57" t="n">
        <v>393571.2</v>
      </c>
      <c r="K57" t="n">
        <v>422175</v>
      </c>
      <c r="L57" t="n">
        <v>451782.6</v>
      </c>
      <c r="M57" t="n">
        <v>483856</v>
      </c>
      <c r="N57" t="n">
        <v>516014.6</v>
      </c>
      <c r="O57" t="n">
        <v>546920.3</v>
      </c>
      <c r="P57" t="n">
        <v>560548.5</v>
      </c>
      <c r="Q57" t="n">
        <v>613616.4</v>
      </c>
      <c r="R57" t="n">
        <v>650285.1</v>
      </c>
      <c r="S57" t="n">
        <v>689928.5</v>
      </c>
      <c r="T57" t="n">
        <v>698319.4</v>
      </c>
      <c r="U57" t="n">
        <v>681587.6</v>
      </c>
      <c r="V57" t="n">
        <v>653477.4</v>
      </c>
      <c r="W57" t="n">
        <v>637385.2</v>
      </c>
      <c r="X57" t="n">
        <v>617364.5</v>
      </c>
      <c r="Y57" t="n">
        <v>588496.3</v>
      </c>
      <c r="Z57" t="n">
        <v>563690.1</v>
      </c>
      <c r="AA57" t="n">
        <v>544861.9</v>
      </c>
      <c r="AB57" t="n">
        <v>534919.4</v>
      </c>
      <c r="AC57" t="n">
        <v>526543</v>
      </c>
      <c r="AD57" t="n">
        <v>513951.2</v>
      </c>
      <c r="AE57" t="n">
        <v>504159.4</v>
      </c>
      <c r="AF57" t="n">
        <v>509029.6</v>
      </c>
    </row>
    <row r="58">
      <c r="A58" t="s">
        <v>115</v>
      </c>
      <c r="B58" t="s">
        <v>386</v>
      </c>
      <c r="C58" t="s">
        <v>217</v>
      </c>
      <c r="D58" t="s">
        <v>387</v>
      </c>
      <c r="E58" t="s">
        <v>218</v>
      </c>
      <c r="F58" t="n">
        <v>285311.1</v>
      </c>
      <c r="G58" t="n">
        <v>311032</v>
      </c>
      <c r="H58" t="n">
        <v>335679.4</v>
      </c>
      <c r="I58" t="n">
        <v>366601.4</v>
      </c>
      <c r="J58" t="n">
        <v>393571.2</v>
      </c>
      <c r="K58" t="n">
        <v>422175</v>
      </c>
      <c r="L58" t="n">
        <v>451782.6</v>
      </c>
      <c r="M58" t="n">
        <v>483856</v>
      </c>
      <c r="N58" t="n">
        <v>516014.6</v>
      </c>
      <c r="O58" t="n">
        <v>546920.3</v>
      </c>
      <c r="P58" t="n">
        <v>560548.5</v>
      </c>
      <c r="Q58" t="n">
        <v>613616.4</v>
      </c>
      <c r="R58" t="n">
        <v>650285.1</v>
      </c>
      <c r="S58" t="n">
        <v>689928.5</v>
      </c>
      <c r="T58" t="n">
        <v>698319.4</v>
      </c>
      <c r="U58" t="n">
        <v>681587.6</v>
      </c>
      <c r="V58" t="n">
        <v>653477.4</v>
      </c>
      <c r="W58" t="n">
        <v>637385.2</v>
      </c>
      <c r="X58" t="n">
        <v>617364.5</v>
      </c>
      <c r="Y58" t="n">
        <v>588496.3</v>
      </c>
      <c r="Z58" t="n">
        <v>563690.1</v>
      </c>
      <c r="AA58" t="n">
        <v>544861.9</v>
      </c>
      <c r="AB58" t="n">
        <v>534919.4</v>
      </c>
      <c r="AC58" t="n">
        <v>526543</v>
      </c>
      <c r="AD58" t="n">
        <v>513951.2</v>
      </c>
      <c r="AE58" t="n">
        <v>504159.4</v>
      </c>
      <c r="AF58" t="n">
        <v>509029.6</v>
      </c>
    </row>
    <row r="59">
      <c r="A59" t="s">
        <v>115</v>
      </c>
      <c r="B59" t="s">
        <v>388</v>
      </c>
      <c r="C59" t="s">
        <v>217</v>
      </c>
      <c r="D59" t="s">
        <v>389</v>
      </c>
      <c r="E59" t="s">
        <v>218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118</v>
      </c>
      <c r="B2" t="s">
        <v>197</v>
      </c>
      <c r="C2" t="s">
        <v>217</v>
      </c>
      <c r="D2" t="s">
        <v>199</v>
      </c>
      <c r="E2" t="s">
        <v>218</v>
      </c>
      <c r="F2" t="n">
        <v>1</v>
      </c>
      <c r="G2" t="n">
        <v>1</v>
      </c>
      <c r="H2" t="n">
        <v>1</v>
      </c>
      <c r="I2" t="n">
        <v>1.1</v>
      </c>
      <c r="J2" t="n">
        <v>1.1</v>
      </c>
      <c r="K2" t="n">
        <v>1.4</v>
      </c>
      <c r="L2" t="n">
        <v>1.3</v>
      </c>
      <c r="M2" t="n">
        <v>1.3</v>
      </c>
      <c r="N2" t="n">
        <v>1.2</v>
      </c>
      <c r="O2" t="n">
        <v>1.2</v>
      </c>
      <c r="P2" t="n">
        <v>3.2</v>
      </c>
      <c r="Q2" t="n">
        <v>2.2</v>
      </c>
      <c r="R2" t="n">
        <v>10</v>
      </c>
      <c r="S2" t="n">
        <v>9.3</v>
      </c>
      <c r="T2" t="n">
        <v>11.4</v>
      </c>
      <c r="U2" t="n">
        <v>13</v>
      </c>
      <c r="V2" t="n">
        <v>11.5</v>
      </c>
      <c r="W2" t="n">
        <v>10.4</v>
      </c>
      <c r="X2" t="n">
        <v>10</v>
      </c>
      <c r="Y2" t="n">
        <v>10</v>
      </c>
      <c r="Z2" t="n">
        <v>10.7</v>
      </c>
      <c r="AA2" t="n">
        <v>10.5</v>
      </c>
      <c r="AB2" t="n">
        <v>10.4</v>
      </c>
      <c r="AC2" t="n">
        <v>10.6</v>
      </c>
      <c r="AD2" t="n">
        <v>11</v>
      </c>
      <c r="AE2" t="n">
        <v>11.9</v>
      </c>
      <c r="AF2" t="n">
        <v>13.1</v>
      </c>
    </row>
    <row r="3">
      <c r="A3" t="s">
        <v>118</v>
      </c>
      <c r="B3" t="s">
        <v>276</v>
      </c>
      <c r="C3" t="s">
        <v>217</v>
      </c>
      <c r="D3" t="s">
        <v>277</v>
      </c>
      <c r="E3" t="s">
        <v>218</v>
      </c>
      <c r="F3" t="n">
        <v>0.7</v>
      </c>
      <c r="G3" t="n">
        <v>0.8</v>
      </c>
      <c r="H3" t="n">
        <v>0.9</v>
      </c>
      <c r="I3" t="n">
        <v>1.1</v>
      </c>
      <c r="J3" t="n">
        <v>1.1</v>
      </c>
      <c r="K3" t="n">
        <v>1.5</v>
      </c>
      <c r="L3" t="n">
        <v>1.6</v>
      </c>
      <c r="M3" t="n">
        <v>1.6</v>
      </c>
      <c r="N3" t="n">
        <v>1.7</v>
      </c>
      <c r="O3" t="n">
        <v>1.8</v>
      </c>
      <c r="P3" t="n">
        <v>2.8</v>
      </c>
      <c r="Q3" t="n">
        <v>3.6</v>
      </c>
      <c r="R3" t="n">
        <v>4.6</v>
      </c>
      <c r="S3" t="n">
        <v>6.7</v>
      </c>
      <c r="T3" t="n">
        <v>7.1</v>
      </c>
      <c r="U3" t="n">
        <v>6.7</v>
      </c>
      <c r="V3" t="n">
        <v>4.9</v>
      </c>
      <c r="W3" t="n">
        <v>4.4</v>
      </c>
      <c r="X3" t="n">
        <v>3.6</v>
      </c>
      <c r="Y3" t="n">
        <v>3.4</v>
      </c>
      <c r="Z3" t="n">
        <v>3.6</v>
      </c>
      <c r="AA3" t="n">
        <v>3.3</v>
      </c>
      <c r="AB3" t="n">
        <v>3.1</v>
      </c>
      <c r="AC3" t="n">
        <v>3.5</v>
      </c>
      <c r="AD3" t="n">
        <v>3.8</v>
      </c>
      <c r="AE3" t="n">
        <v>3.5</v>
      </c>
      <c r="AF3" t="n">
        <v>3.5</v>
      </c>
    </row>
    <row r="4">
      <c r="A4" t="s">
        <v>118</v>
      </c>
      <c r="B4" t="s">
        <v>278</v>
      </c>
      <c r="C4" t="s">
        <v>217</v>
      </c>
      <c r="D4" t="s">
        <v>279</v>
      </c>
      <c r="E4" t="s">
        <v>218</v>
      </c>
      <c r="F4" t="n">
        <v>154.4</v>
      </c>
      <c r="G4" t="n">
        <v>176</v>
      </c>
      <c r="H4" t="n">
        <v>202.2</v>
      </c>
      <c r="I4" t="n">
        <v>240.5</v>
      </c>
      <c r="J4" t="n">
        <v>258.8</v>
      </c>
      <c r="K4" t="n">
        <v>332.9</v>
      </c>
      <c r="L4" t="n">
        <v>332.6</v>
      </c>
      <c r="M4" t="n">
        <v>290.9</v>
      </c>
      <c r="N4" t="n">
        <v>260.2</v>
      </c>
      <c r="O4" t="n">
        <v>238.6</v>
      </c>
      <c r="P4" t="n">
        <v>227.2</v>
      </c>
      <c r="Q4" t="n">
        <v>242.1</v>
      </c>
      <c r="R4" t="n">
        <v>254.4</v>
      </c>
      <c r="S4" t="n">
        <v>295.2</v>
      </c>
      <c r="T4" t="n">
        <v>279.6</v>
      </c>
      <c r="U4" t="n">
        <v>251.1</v>
      </c>
      <c r="V4" t="n">
        <v>182.3</v>
      </c>
      <c r="W4" t="n">
        <v>151.4</v>
      </c>
      <c r="X4" t="n">
        <v>121.9</v>
      </c>
      <c r="Y4" t="n">
        <v>117.1</v>
      </c>
      <c r="Z4" t="n">
        <v>89.5</v>
      </c>
      <c r="AA4" t="n">
        <v>69.1</v>
      </c>
      <c r="AB4" t="n">
        <v>54.6</v>
      </c>
      <c r="AC4" t="n">
        <v>47.4</v>
      </c>
      <c r="AD4" t="n">
        <v>41.1</v>
      </c>
      <c r="AE4" t="n">
        <v>38.5</v>
      </c>
      <c r="AF4" t="n">
        <v>38.2</v>
      </c>
    </row>
    <row r="5">
      <c r="A5" t="s">
        <v>118</v>
      </c>
      <c r="B5" t="s">
        <v>280</v>
      </c>
      <c r="C5" t="s">
        <v>217</v>
      </c>
      <c r="D5" t="s">
        <v>281</v>
      </c>
      <c r="E5" t="s">
        <v>218</v>
      </c>
      <c r="F5" t="n">
        <v>45.1</v>
      </c>
      <c r="G5" t="n">
        <v>41.8</v>
      </c>
      <c r="H5" t="n">
        <v>41</v>
      </c>
      <c r="I5" t="n">
        <v>43.4</v>
      </c>
      <c r="J5" t="n">
        <v>43.4</v>
      </c>
      <c r="K5" t="n">
        <v>52</v>
      </c>
      <c r="L5" t="n">
        <v>62.5</v>
      </c>
      <c r="M5" t="n">
        <v>63.8</v>
      </c>
      <c r="N5" t="n">
        <v>65.8</v>
      </c>
      <c r="O5" t="n">
        <v>63.4</v>
      </c>
      <c r="P5" t="n">
        <v>68.5</v>
      </c>
      <c r="Q5" t="n">
        <v>67.9</v>
      </c>
      <c r="R5" t="n">
        <v>74.7</v>
      </c>
      <c r="S5" t="n">
        <v>101.6</v>
      </c>
      <c r="T5" t="n">
        <v>97.4</v>
      </c>
      <c r="U5" t="n">
        <v>95.9</v>
      </c>
      <c r="V5" t="n">
        <v>69.1</v>
      </c>
      <c r="W5" t="n">
        <v>57.9</v>
      </c>
      <c r="X5" t="n">
        <v>49.6</v>
      </c>
      <c r="Y5" t="n">
        <v>48.8</v>
      </c>
      <c r="Z5" t="n">
        <v>37.2</v>
      </c>
      <c r="AA5" t="n">
        <v>27.8</v>
      </c>
      <c r="AB5" t="n">
        <v>21.1</v>
      </c>
      <c r="AC5" t="n">
        <v>18.8</v>
      </c>
      <c r="AD5" t="n">
        <v>15.7</v>
      </c>
      <c r="AE5" t="n">
        <v>13.9</v>
      </c>
      <c r="AF5" t="n">
        <v>13.1</v>
      </c>
    </row>
    <row r="6">
      <c r="A6" t="s">
        <v>118</v>
      </c>
      <c r="B6" t="s">
        <v>282</v>
      </c>
      <c r="C6" t="s">
        <v>217</v>
      </c>
      <c r="D6" t="s">
        <v>283</v>
      </c>
      <c r="E6" t="s">
        <v>218</v>
      </c>
      <c r="F6" t="n">
        <v>23</v>
      </c>
      <c r="G6" t="n">
        <v>29.1</v>
      </c>
      <c r="H6" t="n">
        <v>35.5</v>
      </c>
      <c r="I6" t="n">
        <v>43.9</v>
      </c>
      <c r="J6" t="n">
        <v>48.2</v>
      </c>
      <c r="K6" t="n">
        <v>63.2</v>
      </c>
      <c r="L6" t="n">
        <v>50.8</v>
      </c>
      <c r="M6" t="n">
        <v>40.5</v>
      </c>
      <c r="N6" t="n">
        <v>31.5</v>
      </c>
      <c r="O6" t="n">
        <v>26.2</v>
      </c>
      <c r="P6" t="n">
        <v>25.5</v>
      </c>
      <c r="Q6" t="n">
        <v>19.4</v>
      </c>
      <c r="R6" t="n">
        <v>19.2</v>
      </c>
      <c r="S6" t="n">
        <v>21.2</v>
      </c>
      <c r="T6" t="n">
        <v>16.5</v>
      </c>
      <c r="U6" t="n">
        <v>8.4</v>
      </c>
      <c r="V6" t="n">
        <v>6.9</v>
      </c>
      <c r="W6" t="n">
        <v>6</v>
      </c>
      <c r="X6" t="n">
        <v>5.3</v>
      </c>
      <c r="Y6" t="n">
        <v>5.4</v>
      </c>
      <c r="Z6" t="n">
        <v>3.7</v>
      </c>
      <c r="AA6" t="n">
        <v>2.8</v>
      </c>
      <c r="AB6" t="n">
        <v>2.1</v>
      </c>
      <c r="AC6" t="n">
        <v>1.6</v>
      </c>
      <c r="AD6" t="n">
        <v>1.3</v>
      </c>
      <c r="AE6" t="n">
        <v>1</v>
      </c>
      <c r="AF6" t="n">
        <v>0.8</v>
      </c>
    </row>
    <row r="7">
      <c r="A7" t="s">
        <v>118</v>
      </c>
      <c r="B7" t="s">
        <v>284</v>
      </c>
      <c r="C7" t="s">
        <v>217</v>
      </c>
      <c r="D7" t="s">
        <v>285</v>
      </c>
      <c r="E7" t="s">
        <v>218</v>
      </c>
      <c r="F7" t="n">
        <v>6</v>
      </c>
      <c r="G7" t="n">
        <v>7.1</v>
      </c>
      <c r="H7" t="n">
        <v>8.3</v>
      </c>
      <c r="I7" t="n">
        <v>10</v>
      </c>
      <c r="J7" t="n">
        <v>10.8</v>
      </c>
      <c r="K7" t="n">
        <v>14</v>
      </c>
      <c r="L7" t="n">
        <v>14.1</v>
      </c>
      <c r="M7" t="n">
        <v>14.6</v>
      </c>
      <c r="N7" t="n">
        <v>13.2</v>
      </c>
      <c r="O7" t="n">
        <v>12.2</v>
      </c>
      <c r="P7" t="n">
        <v>11.1</v>
      </c>
      <c r="Q7" t="n">
        <v>29.8</v>
      </c>
      <c r="R7" t="n">
        <v>38</v>
      </c>
      <c r="S7" t="n">
        <v>38.5</v>
      </c>
      <c r="T7" t="n">
        <v>29.8</v>
      </c>
      <c r="U7" t="n">
        <v>25.1</v>
      </c>
      <c r="V7" t="n">
        <v>17.6</v>
      </c>
      <c r="W7" t="n">
        <v>12</v>
      </c>
      <c r="X7" t="n">
        <v>9.9</v>
      </c>
      <c r="Y7" t="n">
        <v>10.8</v>
      </c>
      <c r="Z7" t="n">
        <v>8.5</v>
      </c>
      <c r="AA7" t="n">
        <v>7.3</v>
      </c>
      <c r="AB7" t="n">
        <v>6.4</v>
      </c>
      <c r="AC7" t="n">
        <v>5.3</v>
      </c>
      <c r="AD7" t="n">
        <v>4.3</v>
      </c>
      <c r="AE7" t="n">
        <v>3.9</v>
      </c>
      <c r="AF7" t="n">
        <v>3.8</v>
      </c>
    </row>
    <row r="8">
      <c r="A8" t="s">
        <v>118</v>
      </c>
      <c r="B8" t="s">
        <v>286</v>
      </c>
      <c r="C8" t="s">
        <v>217</v>
      </c>
      <c r="D8" t="s">
        <v>287</v>
      </c>
      <c r="E8" t="s">
        <v>218</v>
      </c>
      <c r="F8" t="n">
        <v>29.1</v>
      </c>
      <c r="G8" t="n">
        <v>43.3</v>
      </c>
      <c r="H8" t="n">
        <v>57.2</v>
      </c>
      <c r="I8" t="n">
        <v>73.7</v>
      </c>
      <c r="J8" t="n">
        <v>82.8</v>
      </c>
      <c r="K8" t="n">
        <v>110.6</v>
      </c>
      <c r="L8" t="n">
        <v>81.1</v>
      </c>
      <c r="M8" t="n">
        <v>59.8</v>
      </c>
      <c r="N8" t="n">
        <v>43</v>
      </c>
      <c r="O8" t="n">
        <v>31.3</v>
      </c>
      <c r="P8" t="n">
        <v>23.4</v>
      </c>
      <c r="Q8" t="n">
        <v>16.4</v>
      </c>
      <c r="R8" t="n">
        <v>11.8</v>
      </c>
      <c r="S8" t="n">
        <v>12.1</v>
      </c>
      <c r="T8" t="n">
        <v>9.5</v>
      </c>
      <c r="U8" t="n">
        <v>8.3</v>
      </c>
      <c r="V8" t="n">
        <v>6.1</v>
      </c>
      <c r="W8" t="n">
        <v>8.6</v>
      </c>
      <c r="X8" t="n">
        <v>6.4</v>
      </c>
      <c r="Y8" t="n">
        <v>5</v>
      </c>
      <c r="Z8" t="n">
        <v>4</v>
      </c>
      <c r="AA8" t="n">
        <v>3.1</v>
      </c>
      <c r="AB8" t="n">
        <v>2.4</v>
      </c>
      <c r="AC8" t="n">
        <v>1.9</v>
      </c>
      <c r="AD8" t="n">
        <v>1.8</v>
      </c>
      <c r="AE8" t="n">
        <v>1.8</v>
      </c>
      <c r="AF8" t="n">
        <v>1.9</v>
      </c>
    </row>
    <row r="9">
      <c r="A9" t="s">
        <v>118</v>
      </c>
      <c r="B9" t="s">
        <v>288</v>
      </c>
      <c r="C9" t="s">
        <v>217</v>
      </c>
      <c r="D9" t="s">
        <v>289</v>
      </c>
      <c r="E9" t="s">
        <v>218</v>
      </c>
      <c r="F9" t="n">
        <v>7.6</v>
      </c>
      <c r="G9" t="n">
        <v>6.9</v>
      </c>
      <c r="H9" t="n">
        <v>6.6</v>
      </c>
      <c r="I9" t="n">
        <v>6.9</v>
      </c>
      <c r="J9" t="n">
        <v>6.8</v>
      </c>
      <c r="K9" t="n">
        <v>8</v>
      </c>
      <c r="L9" t="n">
        <v>13.9</v>
      </c>
      <c r="M9" t="n">
        <v>12.3</v>
      </c>
      <c r="N9" t="n">
        <v>11.2</v>
      </c>
      <c r="O9" t="n">
        <v>12.6</v>
      </c>
      <c r="P9" t="n">
        <v>10.7</v>
      </c>
      <c r="Q9" t="n">
        <v>9.1</v>
      </c>
      <c r="R9" t="n">
        <v>8.5</v>
      </c>
      <c r="S9" t="n">
        <v>9</v>
      </c>
      <c r="T9" t="n">
        <v>10</v>
      </c>
      <c r="U9" t="n">
        <v>7.3</v>
      </c>
      <c r="V9" t="n">
        <v>5.7</v>
      </c>
      <c r="W9" t="n">
        <v>4.8</v>
      </c>
      <c r="X9" t="n">
        <v>4.2</v>
      </c>
      <c r="Y9" t="n">
        <v>3.7</v>
      </c>
      <c r="Z9" t="n">
        <v>2.3</v>
      </c>
      <c r="AA9" t="n">
        <v>2.1</v>
      </c>
      <c r="AB9" t="n">
        <v>2</v>
      </c>
      <c r="AC9" t="n">
        <v>2</v>
      </c>
      <c r="AD9" t="n">
        <v>2.2</v>
      </c>
      <c r="AE9" t="n">
        <v>2.2</v>
      </c>
      <c r="AF9" t="n">
        <v>2.3</v>
      </c>
    </row>
    <row r="10">
      <c r="A10" t="s">
        <v>118</v>
      </c>
      <c r="B10" t="s">
        <v>290</v>
      </c>
      <c r="C10" t="s">
        <v>217</v>
      </c>
      <c r="D10" t="s">
        <v>291</v>
      </c>
      <c r="E10" t="s">
        <v>218</v>
      </c>
      <c r="F10" t="n">
        <v>10.4</v>
      </c>
      <c r="G10" t="n">
        <v>9.5</v>
      </c>
      <c r="H10" t="n">
        <v>9.1</v>
      </c>
      <c r="I10" t="n">
        <v>9.5</v>
      </c>
      <c r="J10" t="n">
        <v>9.3</v>
      </c>
      <c r="K10" t="n">
        <v>11</v>
      </c>
      <c r="L10" t="n">
        <v>19.1</v>
      </c>
      <c r="M10" t="n">
        <v>16.9</v>
      </c>
      <c r="N10" t="n">
        <v>15.4</v>
      </c>
      <c r="O10" t="n">
        <v>17.3</v>
      </c>
      <c r="P10" t="n">
        <v>15.6</v>
      </c>
      <c r="Q10" t="n">
        <v>15.6</v>
      </c>
      <c r="R10" t="n">
        <v>16.7</v>
      </c>
      <c r="S10" t="n">
        <v>18.8</v>
      </c>
      <c r="T10" t="n">
        <v>32.1</v>
      </c>
      <c r="U10" t="n">
        <v>19.9</v>
      </c>
      <c r="V10" t="n">
        <v>16.5</v>
      </c>
      <c r="W10" t="n">
        <v>13</v>
      </c>
      <c r="X10" t="n">
        <v>12.3</v>
      </c>
      <c r="Y10" t="n">
        <v>10.8</v>
      </c>
      <c r="Z10" t="n">
        <v>7.9</v>
      </c>
      <c r="AA10" t="n">
        <v>6.6</v>
      </c>
      <c r="AB10" t="n">
        <v>5.7</v>
      </c>
      <c r="AC10" t="n">
        <v>5.6</v>
      </c>
      <c r="AD10" t="n">
        <v>5.8</v>
      </c>
      <c r="AE10" t="n">
        <v>5.7</v>
      </c>
      <c r="AF10" t="n">
        <v>5.9</v>
      </c>
    </row>
    <row r="11">
      <c r="A11" t="s">
        <v>118</v>
      </c>
      <c r="B11" t="s">
        <v>292</v>
      </c>
      <c r="C11" t="s">
        <v>217</v>
      </c>
      <c r="D11" t="s">
        <v>293</v>
      </c>
      <c r="E11" t="s">
        <v>218</v>
      </c>
      <c r="F11" t="n">
        <v>2.8</v>
      </c>
      <c r="G11" t="n">
        <v>2.6</v>
      </c>
      <c r="H11" t="n">
        <v>2.5</v>
      </c>
      <c r="I11" t="n">
        <v>2.6</v>
      </c>
      <c r="J11" t="n">
        <v>2.5</v>
      </c>
      <c r="K11" t="n">
        <v>3</v>
      </c>
      <c r="L11" t="n">
        <v>5.2</v>
      </c>
      <c r="M11" t="n">
        <v>4.6</v>
      </c>
      <c r="N11" t="n">
        <v>4.2</v>
      </c>
      <c r="O11" t="n">
        <v>4.7</v>
      </c>
      <c r="P11" t="n">
        <v>4.9</v>
      </c>
      <c r="Q11" t="n">
        <v>6.5</v>
      </c>
      <c r="R11" t="n">
        <v>8.2</v>
      </c>
      <c r="S11" t="n">
        <v>9.8</v>
      </c>
      <c r="T11" t="n">
        <v>22.1</v>
      </c>
      <c r="U11" t="n">
        <v>12.6</v>
      </c>
      <c r="V11" t="n">
        <v>10.8</v>
      </c>
      <c r="W11" t="n">
        <v>8.2</v>
      </c>
      <c r="X11" t="n">
        <v>8.1</v>
      </c>
      <c r="Y11" t="n">
        <v>7.1</v>
      </c>
      <c r="Z11" t="n">
        <v>5.6</v>
      </c>
      <c r="AA11" t="n">
        <v>4.5</v>
      </c>
      <c r="AB11" t="n">
        <v>3.7</v>
      </c>
      <c r="AC11" t="n">
        <v>3.6</v>
      </c>
      <c r="AD11" t="n">
        <v>3.6</v>
      </c>
      <c r="AE11" t="n">
        <v>3.5</v>
      </c>
      <c r="AF11" t="n">
        <v>3.6</v>
      </c>
    </row>
    <row r="12">
      <c r="A12" t="s">
        <v>118</v>
      </c>
      <c r="B12" t="s">
        <v>294</v>
      </c>
      <c r="C12" t="s">
        <v>217</v>
      </c>
      <c r="D12" t="s">
        <v>295</v>
      </c>
      <c r="E12" t="s">
        <v>218</v>
      </c>
      <c r="F12" t="n">
        <v>6.7</v>
      </c>
      <c r="G12" t="n">
        <v>6.8</v>
      </c>
      <c r="H12" t="n">
        <v>7.2</v>
      </c>
      <c r="I12" t="n">
        <v>8.1</v>
      </c>
      <c r="J12" t="n">
        <v>8.5</v>
      </c>
      <c r="K12" t="n">
        <v>10.6</v>
      </c>
      <c r="L12" t="n">
        <v>16</v>
      </c>
      <c r="M12" t="n">
        <v>16.7</v>
      </c>
      <c r="N12" t="n">
        <v>18.6</v>
      </c>
      <c r="O12" t="n">
        <v>19.3</v>
      </c>
      <c r="P12" t="n">
        <v>19.7</v>
      </c>
      <c r="Q12" t="n">
        <v>21.1</v>
      </c>
      <c r="R12" t="n">
        <v>23.3</v>
      </c>
      <c r="S12" t="n">
        <v>25.4</v>
      </c>
      <c r="T12" t="n">
        <v>23.2</v>
      </c>
      <c r="U12" t="n">
        <v>22</v>
      </c>
      <c r="V12" t="n">
        <v>17.3</v>
      </c>
      <c r="W12" t="n">
        <v>13.4</v>
      </c>
      <c r="X12" t="n">
        <v>10.8</v>
      </c>
      <c r="Y12" t="n">
        <v>9.9</v>
      </c>
      <c r="Z12" t="n">
        <v>7.6</v>
      </c>
      <c r="AA12" t="n">
        <v>5.7</v>
      </c>
      <c r="AB12" t="n">
        <v>4.4</v>
      </c>
      <c r="AC12" t="n">
        <v>3.5</v>
      </c>
      <c r="AD12" t="n">
        <v>2.9</v>
      </c>
      <c r="AE12" t="n">
        <v>2.4</v>
      </c>
      <c r="AF12" t="n">
        <v>2.1</v>
      </c>
    </row>
    <row r="13">
      <c r="A13" t="s">
        <v>118</v>
      </c>
      <c r="B13" t="s">
        <v>296</v>
      </c>
      <c r="C13" t="s">
        <v>217</v>
      </c>
      <c r="D13" t="s">
        <v>297</v>
      </c>
      <c r="E13" t="s">
        <v>218</v>
      </c>
      <c r="F13" t="n">
        <v>12.7</v>
      </c>
      <c r="G13" t="n">
        <v>16.4</v>
      </c>
      <c r="H13" t="n">
        <v>20.3</v>
      </c>
      <c r="I13" t="n">
        <v>25.2</v>
      </c>
      <c r="J13" t="n">
        <v>27.8</v>
      </c>
      <c r="K13" t="n">
        <v>36.6</v>
      </c>
      <c r="L13" t="n">
        <v>35.3</v>
      </c>
      <c r="M13" t="n">
        <v>32</v>
      </c>
      <c r="N13" t="n">
        <v>29.2</v>
      </c>
      <c r="O13" t="n">
        <v>29.3</v>
      </c>
      <c r="P13" t="n">
        <v>29.5</v>
      </c>
      <c r="Q13" t="n">
        <v>40.1</v>
      </c>
      <c r="R13" t="n">
        <v>41.7</v>
      </c>
      <c r="S13" t="n">
        <v>45.4</v>
      </c>
      <c r="T13" t="n">
        <v>41.5</v>
      </c>
      <c r="U13" t="n">
        <v>45.3</v>
      </c>
      <c r="V13" t="n">
        <v>29.3</v>
      </c>
      <c r="W13" t="n">
        <v>25</v>
      </c>
      <c r="X13" t="n">
        <v>15.5</v>
      </c>
      <c r="Y13" t="n">
        <v>14.3</v>
      </c>
      <c r="Z13" t="n">
        <v>11.5</v>
      </c>
      <c r="AA13" t="n">
        <v>8.8</v>
      </c>
      <c r="AB13" t="n">
        <v>7</v>
      </c>
      <c r="AC13" t="n">
        <v>6.4</v>
      </c>
      <c r="AD13" t="n">
        <v>5.8</v>
      </c>
      <c r="AE13" t="n">
        <v>6.6</v>
      </c>
      <c r="AF13" t="n">
        <v>7.7</v>
      </c>
    </row>
    <row r="14">
      <c r="A14" t="s">
        <v>118</v>
      </c>
      <c r="B14" t="s">
        <v>298</v>
      </c>
      <c r="C14" t="s">
        <v>217</v>
      </c>
      <c r="D14" t="s">
        <v>299</v>
      </c>
      <c r="E14" t="s">
        <v>218</v>
      </c>
      <c r="F14" t="n">
        <v>5.9</v>
      </c>
      <c r="G14" t="n">
        <v>7.3</v>
      </c>
      <c r="H14" t="n">
        <v>8.8</v>
      </c>
      <c r="I14" t="n">
        <v>10.7</v>
      </c>
      <c r="J14" t="n">
        <v>11.8</v>
      </c>
      <c r="K14" t="n">
        <v>15.3</v>
      </c>
      <c r="L14" t="n">
        <v>33.9</v>
      </c>
      <c r="M14" t="n">
        <v>26.6</v>
      </c>
      <c r="N14" t="n">
        <v>24.6</v>
      </c>
      <c r="O14" t="n">
        <v>20.4</v>
      </c>
      <c r="P14" t="n">
        <v>14.7</v>
      </c>
      <c r="Q14" t="n">
        <v>11.2</v>
      </c>
      <c r="R14" t="n">
        <v>8.3</v>
      </c>
      <c r="S14" t="n">
        <v>6.6</v>
      </c>
      <c r="T14" t="n">
        <v>4.9</v>
      </c>
      <c r="U14" t="n">
        <v>4.1</v>
      </c>
      <c r="V14" t="n">
        <v>3</v>
      </c>
      <c r="W14" t="n">
        <v>1.5</v>
      </c>
      <c r="X14" t="n">
        <v>1.3</v>
      </c>
      <c r="Y14" t="n">
        <v>1.7</v>
      </c>
      <c r="Z14" t="n">
        <v>1.2</v>
      </c>
      <c r="AA14" t="n">
        <v>1</v>
      </c>
      <c r="AB14" t="n">
        <v>0.9</v>
      </c>
      <c r="AC14" t="n">
        <v>0.6</v>
      </c>
      <c r="AD14" t="n">
        <v>0.4</v>
      </c>
      <c r="AE14" t="n">
        <v>0.3</v>
      </c>
      <c r="AF14" t="n">
        <v>0.2</v>
      </c>
    </row>
    <row r="15">
      <c r="A15" t="s">
        <v>118</v>
      </c>
      <c r="B15" t="s">
        <v>300</v>
      </c>
      <c r="C15" t="s">
        <v>217</v>
      </c>
      <c r="D15" t="s">
        <v>301</v>
      </c>
      <c r="E15" t="s">
        <v>218</v>
      </c>
      <c r="F15" t="n">
        <v>10.3</v>
      </c>
      <c r="G15" t="n">
        <v>11.1</v>
      </c>
      <c r="H15" t="n">
        <v>12.4</v>
      </c>
      <c r="I15" t="n">
        <v>14.3</v>
      </c>
      <c r="J15" t="n">
        <v>15.3</v>
      </c>
      <c r="K15" t="n">
        <v>19.3</v>
      </c>
      <c r="L15" t="n">
        <v>37.4</v>
      </c>
      <c r="M15" t="n">
        <v>29.8</v>
      </c>
      <c r="N15" t="n">
        <v>27.6</v>
      </c>
      <c r="O15" t="n">
        <v>23.5</v>
      </c>
      <c r="P15" t="n">
        <v>18.5</v>
      </c>
      <c r="Q15" t="n">
        <v>16.7</v>
      </c>
      <c r="R15" t="n">
        <v>13.7</v>
      </c>
      <c r="S15" t="n">
        <v>14.4</v>
      </c>
      <c r="T15" t="n">
        <v>11.6</v>
      </c>
      <c r="U15" t="n">
        <v>9.6</v>
      </c>
      <c r="V15" t="n">
        <v>7.6</v>
      </c>
      <c r="W15" t="n">
        <v>4.7</v>
      </c>
      <c r="X15" t="n">
        <v>3.8</v>
      </c>
      <c r="Y15" t="n">
        <v>5.5</v>
      </c>
      <c r="Z15" t="n">
        <v>4</v>
      </c>
      <c r="AA15" t="n">
        <v>3.1</v>
      </c>
      <c r="AB15" t="n">
        <v>2.5</v>
      </c>
      <c r="AC15" t="n">
        <v>1.9</v>
      </c>
      <c r="AD15" t="n">
        <v>1.6</v>
      </c>
      <c r="AE15" t="n">
        <v>1.4</v>
      </c>
      <c r="AF15" t="n">
        <v>1.2</v>
      </c>
    </row>
    <row r="16">
      <c r="A16" t="s">
        <v>118</v>
      </c>
      <c r="B16" t="s">
        <v>302</v>
      </c>
      <c r="C16" t="s">
        <v>217</v>
      </c>
      <c r="D16" t="s">
        <v>303</v>
      </c>
      <c r="E16" t="s">
        <v>218</v>
      </c>
      <c r="F16" t="n">
        <v>4.4</v>
      </c>
      <c r="G16" t="n">
        <v>3.8</v>
      </c>
      <c r="H16" t="n">
        <v>3.6</v>
      </c>
      <c r="I16" t="n">
        <v>3.6</v>
      </c>
      <c r="J16" t="n">
        <v>3.5</v>
      </c>
      <c r="K16" t="n">
        <v>4</v>
      </c>
      <c r="L16" t="n">
        <v>3.5</v>
      </c>
      <c r="M16" t="n">
        <v>3.2</v>
      </c>
      <c r="N16" t="n">
        <v>3</v>
      </c>
      <c r="O16" t="n">
        <v>3.1</v>
      </c>
      <c r="P16" t="n">
        <v>3.8</v>
      </c>
      <c r="Q16" t="n">
        <v>5.5</v>
      </c>
      <c r="R16" t="n">
        <v>5.4</v>
      </c>
      <c r="S16" t="n">
        <v>7.8</v>
      </c>
      <c r="T16" t="n">
        <v>6.7</v>
      </c>
      <c r="U16" t="n">
        <v>5.5</v>
      </c>
      <c r="V16" t="n">
        <v>4.6</v>
      </c>
      <c r="W16" t="n">
        <v>3.2</v>
      </c>
      <c r="X16" t="n">
        <v>2.5</v>
      </c>
      <c r="Y16" t="n">
        <v>3.8</v>
      </c>
      <c r="Z16" t="n">
        <v>2.8</v>
      </c>
      <c r="AA16" t="n">
        <v>2.1</v>
      </c>
      <c r="AB16" t="n">
        <v>1.6</v>
      </c>
      <c r="AC16" t="n">
        <v>1.3</v>
      </c>
      <c r="AD16" t="n">
        <v>1.2</v>
      </c>
      <c r="AE16" t="n">
        <v>1.1</v>
      </c>
      <c r="AF16" t="n">
        <v>1</v>
      </c>
    </row>
    <row r="17">
      <c r="A17" t="s">
        <v>118</v>
      </c>
      <c r="B17" t="s">
        <v>304</v>
      </c>
      <c r="C17" t="s">
        <v>217</v>
      </c>
      <c r="D17" t="s">
        <v>305</v>
      </c>
      <c r="E17" t="s">
        <v>218</v>
      </c>
      <c r="F17" t="n">
        <v>2.7</v>
      </c>
      <c r="G17" t="n">
        <v>3.1</v>
      </c>
      <c r="H17" t="n">
        <v>3.6</v>
      </c>
      <c r="I17" t="n">
        <v>4.4</v>
      </c>
      <c r="J17" t="n">
        <v>4.7</v>
      </c>
      <c r="K17" t="n">
        <v>6.1</v>
      </c>
      <c r="L17" t="n">
        <v>6.2</v>
      </c>
      <c r="M17" t="n">
        <v>6.4</v>
      </c>
      <c r="N17" t="n">
        <v>6.3</v>
      </c>
      <c r="O17" t="n">
        <v>6.8</v>
      </c>
      <c r="P17" t="n">
        <v>6</v>
      </c>
      <c r="Q17" t="n">
        <v>5.9</v>
      </c>
      <c r="R17" t="n">
        <v>6</v>
      </c>
      <c r="S17" t="n">
        <v>6.7</v>
      </c>
      <c r="T17" t="n">
        <v>7</v>
      </c>
      <c r="U17" t="n">
        <v>5.9</v>
      </c>
      <c r="V17" t="n">
        <v>4.6</v>
      </c>
      <c r="W17" t="n">
        <v>3.6</v>
      </c>
      <c r="X17" t="n">
        <v>2.9</v>
      </c>
      <c r="Y17" t="n">
        <v>2.3</v>
      </c>
      <c r="Z17" t="n">
        <v>1.7</v>
      </c>
      <c r="AA17" t="n">
        <v>1.3</v>
      </c>
      <c r="AB17" t="n">
        <v>1</v>
      </c>
      <c r="AC17" t="n">
        <v>0.9</v>
      </c>
      <c r="AD17" t="n">
        <v>0.7</v>
      </c>
      <c r="AE17" t="n">
        <v>0.7</v>
      </c>
      <c r="AF17" t="n">
        <v>0.7</v>
      </c>
    </row>
    <row r="18">
      <c r="A18" t="s">
        <v>118</v>
      </c>
      <c r="B18" t="s">
        <v>306</v>
      </c>
      <c r="C18" t="s">
        <v>217</v>
      </c>
      <c r="D18" t="s">
        <v>307</v>
      </c>
      <c r="E18" t="s">
        <v>218</v>
      </c>
      <c r="F18" t="n">
        <v>3.2</v>
      </c>
      <c r="G18" t="n">
        <v>3.7</v>
      </c>
      <c r="H18" t="n">
        <v>4.3</v>
      </c>
      <c r="I18" t="n">
        <v>5.2</v>
      </c>
      <c r="J18" t="n">
        <v>5.6</v>
      </c>
      <c r="K18" t="n">
        <v>7.2</v>
      </c>
      <c r="L18" t="n">
        <v>7.7</v>
      </c>
      <c r="M18" t="n">
        <v>8</v>
      </c>
      <c r="N18" t="n">
        <v>7.1</v>
      </c>
      <c r="O18" t="n">
        <v>6.6</v>
      </c>
      <c r="P18" t="n">
        <v>6.6</v>
      </c>
      <c r="Q18" t="n">
        <v>6.1</v>
      </c>
      <c r="R18" t="n">
        <v>6.3</v>
      </c>
      <c r="S18" t="n">
        <v>7.4</v>
      </c>
      <c r="T18" t="n">
        <v>7.8</v>
      </c>
      <c r="U18" t="n">
        <v>8.2</v>
      </c>
      <c r="V18" t="n">
        <v>5.4</v>
      </c>
      <c r="W18" t="n">
        <v>5.8</v>
      </c>
      <c r="X18" t="n">
        <v>4.3</v>
      </c>
      <c r="Y18" t="n">
        <v>3.2</v>
      </c>
      <c r="Z18" t="n">
        <v>2.3</v>
      </c>
      <c r="AA18" t="n">
        <v>1.6</v>
      </c>
      <c r="AB18" t="n">
        <v>1.1</v>
      </c>
      <c r="AC18" t="n">
        <v>0.8</v>
      </c>
      <c r="AD18" t="n">
        <v>0.6</v>
      </c>
      <c r="AE18" t="n">
        <v>0.4</v>
      </c>
      <c r="AF18" t="n">
        <v>0.3</v>
      </c>
    </row>
    <row r="19">
      <c r="A19" t="s">
        <v>118</v>
      </c>
      <c r="B19" t="s">
        <v>308</v>
      </c>
      <c r="C19" t="s">
        <v>217</v>
      </c>
      <c r="D19" t="s">
        <v>309</v>
      </c>
      <c r="E19" t="s">
        <v>218</v>
      </c>
      <c r="F19" t="n">
        <v>5.2</v>
      </c>
      <c r="G19" t="n">
        <v>4.1</v>
      </c>
      <c r="H19" t="n">
        <v>3.3</v>
      </c>
      <c r="I19" t="n">
        <v>2.8</v>
      </c>
      <c r="J19" t="n">
        <v>2.4</v>
      </c>
      <c r="K19" t="n">
        <v>2.3</v>
      </c>
      <c r="L19" t="n">
        <v>2.4</v>
      </c>
      <c r="M19" t="n">
        <v>2.4</v>
      </c>
      <c r="N19" t="n">
        <v>2.5</v>
      </c>
      <c r="O19" t="n">
        <v>2.7</v>
      </c>
      <c r="P19" t="n">
        <v>2.8</v>
      </c>
      <c r="Q19" t="n">
        <v>3.1</v>
      </c>
      <c r="R19" t="n">
        <v>3</v>
      </c>
      <c r="S19" t="n">
        <v>3.7</v>
      </c>
      <c r="T19" t="n">
        <v>3.2</v>
      </c>
      <c r="U19" t="n">
        <v>2.5</v>
      </c>
      <c r="V19" t="n">
        <v>1.9</v>
      </c>
      <c r="W19" t="n">
        <v>1.4</v>
      </c>
      <c r="X19" t="n">
        <v>1.1</v>
      </c>
      <c r="Y19" t="n">
        <v>1.1</v>
      </c>
      <c r="Z19" t="n">
        <v>1.1</v>
      </c>
      <c r="AA19" t="n">
        <v>1</v>
      </c>
      <c r="AB19" t="n">
        <v>0.9</v>
      </c>
      <c r="AC19" t="n">
        <v>0.7</v>
      </c>
      <c r="AD19" t="n">
        <v>0.6</v>
      </c>
      <c r="AE19" t="n">
        <v>0.7</v>
      </c>
      <c r="AF19" t="n">
        <v>0.7</v>
      </c>
    </row>
    <row r="20">
      <c r="A20" t="s">
        <v>118</v>
      </c>
      <c r="B20" t="s">
        <v>310</v>
      </c>
      <c r="C20" t="s">
        <v>217</v>
      </c>
      <c r="D20" t="s">
        <v>311</v>
      </c>
      <c r="E20" t="s">
        <v>218</v>
      </c>
      <c r="F20" t="n">
        <v>11.3</v>
      </c>
      <c r="G20" t="n">
        <v>9.5</v>
      </c>
      <c r="H20" t="n">
        <v>8.5</v>
      </c>
      <c r="I20" t="n">
        <v>8.2</v>
      </c>
      <c r="J20" t="n">
        <v>7.7</v>
      </c>
      <c r="K20" t="n">
        <v>8.6</v>
      </c>
      <c r="L20" t="n">
        <v>9.2</v>
      </c>
      <c r="M20" t="n">
        <v>21.7</v>
      </c>
      <c r="N20" t="n">
        <v>18.3</v>
      </c>
      <c r="O20" t="n">
        <v>14.9</v>
      </c>
      <c r="P20" t="n">
        <v>12.6</v>
      </c>
      <c r="Q20" t="n">
        <v>11</v>
      </c>
      <c r="R20" t="n">
        <v>9.4</v>
      </c>
      <c r="S20" t="n">
        <v>8.5</v>
      </c>
      <c r="T20" t="n">
        <v>8</v>
      </c>
      <c r="U20" t="n">
        <v>7.7</v>
      </c>
      <c r="V20" t="n">
        <v>5.8</v>
      </c>
      <c r="W20" t="n">
        <v>4.9</v>
      </c>
      <c r="X20" t="n">
        <v>3.6</v>
      </c>
      <c r="Y20" t="n">
        <v>3.6</v>
      </c>
      <c r="Z20" t="n">
        <v>96.7</v>
      </c>
      <c r="AA20" t="n">
        <v>77.1</v>
      </c>
      <c r="AB20" t="n">
        <v>63.5</v>
      </c>
      <c r="AC20" t="n">
        <v>141.4</v>
      </c>
      <c r="AD20" t="n">
        <v>211</v>
      </c>
      <c r="AE20" t="n">
        <v>391.5</v>
      </c>
      <c r="AF20" t="n">
        <v>563</v>
      </c>
    </row>
    <row r="21">
      <c r="A21" t="s">
        <v>118</v>
      </c>
      <c r="B21" t="s">
        <v>312</v>
      </c>
      <c r="C21" t="s">
        <v>217</v>
      </c>
      <c r="D21" t="s">
        <v>313</v>
      </c>
      <c r="E21" t="s">
        <v>218</v>
      </c>
      <c r="F21" t="n">
        <v>15.7</v>
      </c>
      <c r="G21" t="n">
        <v>13.5</v>
      </c>
      <c r="H21" t="n">
        <v>12.3</v>
      </c>
      <c r="I21" t="n">
        <v>12.2</v>
      </c>
      <c r="J21" t="n">
        <v>11.7</v>
      </c>
      <c r="K21" t="n">
        <v>13.3</v>
      </c>
      <c r="L21" t="n">
        <v>17</v>
      </c>
      <c r="M21" t="n">
        <v>28.9</v>
      </c>
      <c r="N21" t="n">
        <v>24.2</v>
      </c>
      <c r="O21" t="n">
        <v>20.4</v>
      </c>
      <c r="P21" t="n">
        <v>18.2</v>
      </c>
      <c r="Q21" t="n">
        <v>19.5</v>
      </c>
      <c r="R21" t="n">
        <v>18.4</v>
      </c>
      <c r="S21" t="n">
        <v>17</v>
      </c>
      <c r="T21" t="n">
        <v>17.5</v>
      </c>
      <c r="U21" t="n">
        <v>24.4</v>
      </c>
      <c r="V21" t="n">
        <v>24.6</v>
      </c>
      <c r="W21" t="n">
        <v>29.3</v>
      </c>
      <c r="X21" t="n">
        <v>26.9</v>
      </c>
      <c r="Y21" t="n">
        <v>32.2</v>
      </c>
      <c r="Z21" t="n">
        <v>125.6</v>
      </c>
      <c r="AA21" t="n">
        <v>105.5</v>
      </c>
      <c r="AB21" t="n">
        <v>91.6</v>
      </c>
      <c r="AC21" t="n">
        <v>170.1</v>
      </c>
      <c r="AD21" t="n">
        <v>240.2</v>
      </c>
      <c r="AE21" t="n">
        <v>420.2</v>
      </c>
      <c r="AF21" t="n">
        <v>593.6</v>
      </c>
    </row>
    <row r="22">
      <c r="A22" t="s">
        <v>118</v>
      </c>
      <c r="B22" t="s">
        <v>314</v>
      </c>
      <c r="C22" t="s">
        <v>217</v>
      </c>
      <c r="D22" t="s">
        <v>315</v>
      </c>
      <c r="E22" t="s">
        <v>218</v>
      </c>
      <c r="F22" t="n">
        <v>4.4</v>
      </c>
      <c r="G22" t="n">
        <v>4</v>
      </c>
      <c r="H22" t="n">
        <v>3.8</v>
      </c>
      <c r="I22" t="n">
        <v>4</v>
      </c>
      <c r="J22" t="n">
        <v>4</v>
      </c>
      <c r="K22" t="n">
        <v>4.7</v>
      </c>
      <c r="L22" t="n">
        <v>7.8</v>
      </c>
      <c r="M22" t="n">
        <v>7.2</v>
      </c>
      <c r="N22" t="n">
        <v>5.9</v>
      </c>
      <c r="O22" t="n">
        <v>5.5</v>
      </c>
      <c r="P22" t="n">
        <v>5.6</v>
      </c>
      <c r="Q22" t="n">
        <v>8.5</v>
      </c>
      <c r="R22" t="n">
        <v>9</v>
      </c>
      <c r="S22" t="n">
        <v>8.5</v>
      </c>
      <c r="T22" t="n">
        <v>9.5</v>
      </c>
      <c r="U22" t="n">
        <v>16.7</v>
      </c>
      <c r="V22" t="n">
        <v>18.8</v>
      </c>
      <c r="W22" t="n">
        <v>24.4</v>
      </c>
      <c r="X22" t="n">
        <v>23.3</v>
      </c>
      <c r="Y22" t="n">
        <v>28.6</v>
      </c>
      <c r="Z22" t="n">
        <v>28.9</v>
      </c>
      <c r="AA22" t="n">
        <v>28.4</v>
      </c>
      <c r="AB22" t="n">
        <v>28.1</v>
      </c>
      <c r="AC22" t="n">
        <v>28.7</v>
      </c>
      <c r="AD22" t="n">
        <v>29.2</v>
      </c>
      <c r="AE22" t="n">
        <v>28.7</v>
      </c>
      <c r="AF22" t="n">
        <v>30.6</v>
      </c>
    </row>
    <row r="23">
      <c r="A23" t="s">
        <v>118</v>
      </c>
      <c r="B23" t="s">
        <v>316</v>
      </c>
      <c r="C23" t="s">
        <v>217</v>
      </c>
      <c r="D23" t="s">
        <v>317</v>
      </c>
      <c r="E23" t="s">
        <v>218</v>
      </c>
      <c r="F23" t="n">
        <v>8.5</v>
      </c>
      <c r="G23" t="n">
        <v>9.4</v>
      </c>
      <c r="H23" t="n">
        <v>10.6</v>
      </c>
      <c r="I23" t="n">
        <v>12.4</v>
      </c>
      <c r="J23" t="n">
        <v>13.3</v>
      </c>
      <c r="K23" t="n">
        <v>16.9</v>
      </c>
      <c r="L23" t="n">
        <v>39.9</v>
      </c>
      <c r="M23" t="n">
        <v>83.1</v>
      </c>
      <c r="N23" t="n">
        <v>76.2</v>
      </c>
      <c r="O23" t="n">
        <v>74.8</v>
      </c>
      <c r="P23" t="n">
        <v>68.3</v>
      </c>
      <c r="Q23" t="n">
        <v>73.2</v>
      </c>
      <c r="R23" t="n">
        <v>83.2</v>
      </c>
      <c r="S23" t="n">
        <v>117.2</v>
      </c>
      <c r="T23" t="n">
        <v>100.5</v>
      </c>
      <c r="U23" t="n">
        <v>79.7</v>
      </c>
      <c r="V23" t="n">
        <v>52.3</v>
      </c>
      <c r="W23" t="n">
        <v>39.7</v>
      </c>
      <c r="X23" t="n">
        <v>31.5</v>
      </c>
      <c r="Y23" t="n">
        <v>25</v>
      </c>
      <c r="Z23" t="n">
        <v>19</v>
      </c>
      <c r="AA23" t="n">
        <v>14.7</v>
      </c>
      <c r="AB23" t="n">
        <v>11.7</v>
      </c>
      <c r="AC23" t="n">
        <v>8.4</v>
      </c>
      <c r="AD23" t="n">
        <v>5.9</v>
      </c>
      <c r="AE23" t="n">
        <v>4</v>
      </c>
      <c r="AF23" t="n">
        <v>2.6</v>
      </c>
    </row>
    <row r="24">
      <c r="A24" t="s">
        <v>118</v>
      </c>
      <c r="B24" t="s">
        <v>318</v>
      </c>
      <c r="C24" t="s">
        <v>217</v>
      </c>
      <c r="D24" t="s">
        <v>319</v>
      </c>
      <c r="E24" t="s">
        <v>218</v>
      </c>
      <c r="F24" t="n">
        <v>123</v>
      </c>
      <c r="G24" t="n">
        <v>141.4</v>
      </c>
      <c r="H24" t="n">
        <v>163</v>
      </c>
      <c r="I24" t="n">
        <v>194.4</v>
      </c>
      <c r="J24" t="n">
        <v>209.7</v>
      </c>
      <c r="K24" t="n">
        <v>270.3</v>
      </c>
      <c r="L24" t="n">
        <v>276.7</v>
      </c>
      <c r="M24" t="n">
        <v>314.9</v>
      </c>
      <c r="N24" t="n">
        <v>374.5</v>
      </c>
      <c r="O24" t="n">
        <v>407.5</v>
      </c>
      <c r="P24" t="n">
        <v>503.6</v>
      </c>
      <c r="Q24" t="n">
        <v>666.2</v>
      </c>
      <c r="R24" t="n">
        <v>709.1</v>
      </c>
      <c r="S24" t="n">
        <v>711.8</v>
      </c>
      <c r="T24" t="n">
        <v>675.6</v>
      </c>
      <c r="U24" t="n">
        <v>601.6</v>
      </c>
      <c r="V24" t="n">
        <v>434.3</v>
      </c>
      <c r="W24" t="n">
        <v>345.7</v>
      </c>
      <c r="X24" t="n">
        <v>277.6</v>
      </c>
      <c r="Y24" t="n">
        <v>264.1</v>
      </c>
      <c r="Z24" t="n">
        <v>247.3</v>
      </c>
      <c r="AA24" t="n">
        <v>238.6</v>
      </c>
      <c r="AB24" t="n">
        <v>235.2</v>
      </c>
      <c r="AC24" t="n">
        <v>203.8</v>
      </c>
      <c r="AD24" t="n">
        <v>186.3</v>
      </c>
      <c r="AE24" t="n">
        <v>169.8</v>
      </c>
      <c r="AF24" t="n">
        <v>164.7</v>
      </c>
    </row>
    <row r="25">
      <c r="A25" t="s">
        <v>118</v>
      </c>
      <c r="B25" t="s">
        <v>320</v>
      </c>
      <c r="C25" t="s">
        <v>217</v>
      </c>
      <c r="D25" t="s">
        <v>321</v>
      </c>
      <c r="E25" t="s">
        <v>218</v>
      </c>
      <c r="F25" t="n">
        <v>5.3</v>
      </c>
      <c r="G25" t="n">
        <v>6.4</v>
      </c>
      <c r="H25" t="n">
        <v>7.6</v>
      </c>
      <c r="I25" t="n">
        <v>9.2</v>
      </c>
      <c r="J25" t="n">
        <v>10</v>
      </c>
      <c r="K25" t="n">
        <v>13.1</v>
      </c>
      <c r="L25" t="n">
        <v>24.8</v>
      </c>
      <c r="M25" t="n">
        <v>31.5</v>
      </c>
      <c r="N25" t="n">
        <v>30.9</v>
      </c>
      <c r="O25" t="n">
        <v>31.9</v>
      </c>
      <c r="P25" t="n">
        <v>35.1</v>
      </c>
      <c r="Q25" t="n">
        <v>46.5</v>
      </c>
      <c r="R25" t="n">
        <v>52.2</v>
      </c>
      <c r="S25" t="n">
        <v>55.5</v>
      </c>
      <c r="T25" t="n">
        <v>52.6</v>
      </c>
      <c r="U25" t="n">
        <v>45.5</v>
      </c>
      <c r="V25" t="n">
        <v>31.1</v>
      </c>
      <c r="W25" t="n">
        <v>22.9</v>
      </c>
      <c r="X25" t="n">
        <v>17.8</v>
      </c>
      <c r="Y25" t="n">
        <v>15.4</v>
      </c>
      <c r="Z25" t="n">
        <v>13.5</v>
      </c>
      <c r="AA25" t="n">
        <v>16.4</v>
      </c>
      <c r="AB25" t="n">
        <v>18.8</v>
      </c>
      <c r="AC25" t="n">
        <v>15.9</v>
      </c>
      <c r="AD25" t="n">
        <v>12.6</v>
      </c>
      <c r="AE25" t="n">
        <v>9.9</v>
      </c>
      <c r="AF25" t="n">
        <v>8.1</v>
      </c>
    </row>
    <row r="26">
      <c r="A26" t="s">
        <v>118</v>
      </c>
      <c r="B26" t="s">
        <v>322</v>
      </c>
      <c r="C26" t="s">
        <v>217</v>
      </c>
      <c r="D26" t="s">
        <v>323</v>
      </c>
      <c r="E26" t="s">
        <v>218</v>
      </c>
      <c r="F26" t="n">
        <v>42.8</v>
      </c>
      <c r="G26" t="n">
        <v>47.3</v>
      </c>
      <c r="H26" t="n">
        <v>53.1</v>
      </c>
      <c r="I26" t="n">
        <v>62.2</v>
      </c>
      <c r="J26" t="n">
        <v>66.5</v>
      </c>
      <c r="K26" t="n">
        <v>84.9</v>
      </c>
      <c r="L26" t="n">
        <v>103.9</v>
      </c>
      <c r="M26" t="n">
        <v>125</v>
      </c>
      <c r="N26" t="n">
        <v>162.6</v>
      </c>
      <c r="O26" t="n">
        <v>207.8</v>
      </c>
      <c r="P26" t="n">
        <v>262.2</v>
      </c>
      <c r="Q26" t="n">
        <v>379.9</v>
      </c>
      <c r="R26" t="n">
        <v>413.2</v>
      </c>
      <c r="S26" t="n">
        <v>425.5</v>
      </c>
      <c r="T26" t="n">
        <v>411.5</v>
      </c>
      <c r="U26" t="n">
        <v>361.5</v>
      </c>
      <c r="V26" t="n">
        <v>258.2</v>
      </c>
      <c r="W26" t="n">
        <v>202.6</v>
      </c>
      <c r="X26" t="n">
        <v>157.4</v>
      </c>
      <c r="Y26" t="n">
        <v>149.2</v>
      </c>
      <c r="Z26" t="n">
        <v>142.1</v>
      </c>
      <c r="AA26" t="n">
        <v>127.2</v>
      </c>
      <c r="AB26" t="n">
        <v>117.8</v>
      </c>
      <c r="AC26" t="n">
        <v>102.5</v>
      </c>
      <c r="AD26" t="n">
        <v>91.2</v>
      </c>
      <c r="AE26" t="n">
        <v>88.2</v>
      </c>
      <c r="AF26" t="n">
        <v>90.3</v>
      </c>
    </row>
    <row r="27">
      <c r="A27" t="s">
        <v>118</v>
      </c>
      <c r="B27" t="s">
        <v>324</v>
      </c>
      <c r="C27" t="s">
        <v>217</v>
      </c>
      <c r="D27" t="s">
        <v>325</v>
      </c>
      <c r="E27" t="s">
        <v>218</v>
      </c>
      <c r="F27" t="n">
        <v>74.9</v>
      </c>
      <c r="G27" t="n">
        <v>87.7</v>
      </c>
      <c r="H27" t="n">
        <v>102.3</v>
      </c>
      <c r="I27" t="n">
        <v>123</v>
      </c>
      <c r="J27" t="n">
        <v>133.2</v>
      </c>
      <c r="K27" t="n">
        <v>172.3</v>
      </c>
      <c r="L27" t="n">
        <v>148</v>
      </c>
      <c r="M27" t="n">
        <v>158.4</v>
      </c>
      <c r="N27" t="n">
        <v>181</v>
      </c>
      <c r="O27" t="n">
        <v>167.8</v>
      </c>
      <c r="P27" t="n">
        <v>206.3</v>
      </c>
      <c r="Q27" t="n">
        <v>239.8</v>
      </c>
      <c r="R27" t="n">
        <v>243.7</v>
      </c>
      <c r="S27" t="n">
        <v>230.8</v>
      </c>
      <c r="T27" t="n">
        <v>211.5</v>
      </c>
      <c r="U27" t="n">
        <v>194.6</v>
      </c>
      <c r="V27" t="n">
        <v>145</v>
      </c>
      <c r="W27" t="n">
        <v>120.2</v>
      </c>
      <c r="X27" t="n">
        <v>102.4</v>
      </c>
      <c r="Y27" t="n">
        <v>99.5</v>
      </c>
      <c r="Z27" t="n">
        <v>91.7</v>
      </c>
      <c r="AA27" t="n">
        <v>95</v>
      </c>
      <c r="AB27" t="n">
        <v>98.6</v>
      </c>
      <c r="AC27" t="n">
        <v>85.4</v>
      </c>
      <c r="AD27" t="n">
        <v>82.5</v>
      </c>
      <c r="AE27" t="n">
        <v>71.7</v>
      </c>
      <c r="AF27" t="n">
        <v>66.3</v>
      </c>
    </row>
    <row r="28">
      <c r="A28" t="s">
        <v>118</v>
      </c>
      <c r="B28" t="s">
        <v>326</v>
      </c>
      <c r="C28" t="s">
        <v>217</v>
      </c>
      <c r="D28" t="s">
        <v>327</v>
      </c>
      <c r="E28" t="s">
        <v>218</v>
      </c>
      <c r="F28" t="n">
        <v>33.4</v>
      </c>
      <c r="G28" t="n">
        <v>44.8</v>
      </c>
      <c r="H28" t="n">
        <v>56.3</v>
      </c>
      <c r="I28" t="n">
        <v>70.8</v>
      </c>
      <c r="J28" t="n">
        <v>78.6</v>
      </c>
      <c r="K28" t="n">
        <v>103.7</v>
      </c>
      <c r="L28" t="n">
        <v>160.5</v>
      </c>
      <c r="M28" t="n">
        <v>175.7</v>
      </c>
      <c r="N28" t="n">
        <v>170.3</v>
      </c>
      <c r="O28" t="n">
        <v>182.4</v>
      </c>
      <c r="P28" t="n">
        <v>149.7</v>
      </c>
      <c r="Q28" t="n">
        <v>123.6</v>
      </c>
      <c r="R28" t="n">
        <v>118.4</v>
      </c>
      <c r="S28" t="n">
        <v>100.4</v>
      </c>
      <c r="T28" t="n">
        <v>90.4</v>
      </c>
      <c r="U28" t="n">
        <v>99.4</v>
      </c>
      <c r="V28" t="n">
        <v>50.8</v>
      </c>
      <c r="W28" t="n">
        <v>37.5</v>
      </c>
      <c r="X28" t="n">
        <v>32.1</v>
      </c>
      <c r="Y28" t="n">
        <v>27.1</v>
      </c>
      <c r="Z28" t="n">
        <v>24.4</v>
      </c>
      <c r="AA28" t="n">
        <v>25.6</v>
      </c>
      <c r="AB28" t="n">
        <v>29.9</v>
      </c>
      <c r="AC28" t="n">
        <v>32.8</v>
      </c>
      <c r="AD28" t="n">
        <v>27.8</v>
      </c>
      <c r="AE28" t="n">
        <v>22.9</v>
      </c>
      <c r="AF28" t="n">
        <v>19.5</v>
      </c>
    </row>
    <row r="29">
      <c r="A29" t="s">
        <v>118</v>
      </c>
      <c r="B29" t="s">
        <v>328</v>
      </c>
      <c r="C29" t="s">
        <v>217</v>
      </c>
      <c r="D29" t="s">
        <v>329</v>
      </c>
      <c r="E29" t="s">
        <v>218</v>
      </c>
      <c r="F29" t="n">
        <v>8.5</v>
      </c>
      <c r="G29" t="n">
        <v>10.2</v>
      </c>
      <c r="H29" t="n">
        <v>12.1</v>
      </c>
      <c r="I29" t="n">
        <v>14.7</v>
      </c>
      <c r="J29" t="n">
        <v>16</v>
      </c>
      <c r="K29" t="n">
        <v>20.9</v>
      </c>
      <c r="L29" t="n">
        <v>39.3</v>
      </c>
      <c r="M29" t="n">
        <v>33.1</v>
      </c>
      <c r="N29" t="n">
        <v>29.6</v>
      </c>
      <c r="O29" t="n">
        <v>34.7</v>
      </c>
      <c r="P29" t="n">
        <v>37.6</v>
      </c>
      <c r="Q29" t="n">
        <v>39.6</v>
      </c>
      <c r="R29" t="n">
        <v>35.6</v>
      </c>
      <c r="S29" t="n">
        <v>32.9</v>
      </c>
      <c r="T29" t="n">
        <v>29.7</v>
      </c>
      <c r="U29" t="n">
        <v>42.9</v>
      </c>
      <c r="V29" t="n">
        <v>17.4</v>
      </c>
      <c r="W29" t="n">
        <v>12.8</v>
      </c>
      <c r="X29" t="n">
        <v>10.3</v>
      </c>
      <c r="Y29" t="n">
        <v>9.5</v>
      </c>
      <c r="Z29" t="n">
        <v>7.2</v>
      </c>
      <c r="AA29" t="n">
        <v>5.3</v>
      </c>
      <c r="AB29" t="n">
        <v>7.3</v>
      </c>
      <c r="AC29" t="n">
        <v>8.2</v>
      </c>
      <c r="AD29" t="n">
        <v>8.4</v>
      </c>
      <c r="AE29" t="n">
        <v>8.2</v>
      </c>
      <c r="AF29" t="n">
        <v>7.8</v>
      </c>
    </row>
    <row r="30">
      <c r="A30" t="s">
        <v>118</v>
      </c>
      <c r="B30" t="s">
        <v>330</v>
      </c>
      <c r="C30" t="s">
        <v>217</v>
      </c>
      <c r="D30" t="s">
        <v>331</v>
      </c>
      <c r="E30" t="s">
        <v>218</v>
      </c>
      <c r="F30" t="n">
        <v>3</v>
      </c>
      <c r="G30" t="n">
        <v>2.9</v>
      </c>
      <c r="H30" t="n">
        <v>3</v>
      </c>
      <c r="I30" t="n">
        <v>3.4</v>
      </c>
      <c r="J30" t="n">
        <v>3.5</v>
      </c>
      <c r="K30" t="n">
        <v>4.3</v>
      </c>
      <c r="L30" t="n">
        <v>20.9</v>
      </c>
      <c r="M30" t="n">
        <v>21.1</v>
      </c>
      <c r="N30" t="n">
        <v>16.5</v>
      </c>
      <c r="O30" t="n">
        <v>16.4</v>
      </c>
      <c r="P30" t="n">
        <v>12.9</v>
      </c>
      <c r="Q30" t="n">
        <v>10.6</v>
      </c>
      <c r="R30" t="n">
        <v>7.5</v>
      </c>
      <c r="S30" t="n">
        <v>6.7</v>
      </c>
      <c r="T30" t="n">
        <v>5.4</v>
      </c>
      <c r="U30" t="n">
        <v>3.8</v>
      </c>
      <c r="V30" t="n">
        <v>2.8</v>
      </c>
      <c r="W30" t="n">
        <v>1.4</v>
      </c>
      <c r="X30" t="n">
        <v>3.4</v>
      </c>
      <c r="Y30" t="n">
        <v>2.6</v>
      </c>
      <c r="Z30" t="n">
        <v>1.9</v>
      </c>
      <c r="AA30" t="n">
        <v>1.4</v>
      </c>
      <c r="AB30" t="n">
        <v>1</v>
      </c>
      <c r="AC30" t="n">
        <v>0.7</v>
      </c>
      <c r="AD30" t="n">
        <v>0.5</v>
      </c>
      <c r="AE30" t="n">
        <v>0.3</v>
      </c>
      <c r="AF30" t="n">
        <v>0.2</v>
      </c>
    </row>
    <row r="31">
      <c r="A31" t="s">
        <v>118</v>
      </c>
      <c r="B31" t="s">
        <v>332</v>
      </c>
      <c r="C31" t="s">
        <v>217</v>
      </c>
      <c r="D31" t="s">
        <v>333</v>
      </c>
      <c r="E31" t="s">
        <v>218</v>
      </c>
      <c r="F31" t="n">
        <v>7.3</v>
      </c>
      <c r="G31" t="n">
        <v>6.2</v>
      </c>
      <c r="H31" t="n">
        <v>5.5</v>
      </c>
      <c r="I31" t="n">
        <v>5.3</v>
      </c>
      <c r="J31" t="n">
        <v>5</v>
      </c>
      <c r="K31" t="n">
        <v>5.5</v>
      </c>
      <c r="L31" t="n">
        <v>30.8</v>
      </c>
      <c r="M31" t="n">
        <v>37.8</v>
      </c>
      <c r="N31" t="n">
        <v>28.2</v>
      </c>
      <c r="O31" t="n">
        <v>20.5</v>
      </c>
      <c r="P31" t="n">
        <v>14.5</v>
      </c>
      <c r="Q31" t="n">
        <v>10.8</v>
      </c>
      <c r="R31" t="n">
        <v>10.7</v>
      </c>
      <c r="S31" t="n">
        <v>8.7</v>
      </c>
      <c r="T31" t="n">
        <v>8.1</v>
      </c>
      <c r="U31" t="n">
        <v>8.7</v>
      </c>
      <c r="V31" t="n">
        <v>3.1</v>
      </c>
      <c r="W31" t="n">
        <v>2.6</v>
      </c>
      <c r="X31" t="n">
        <v>2.1</v>
      </c>
      <c r="Y31" t="n">
        <v>1.5</v>
      </c>
      <c r="Z31" t="n">
        <v>2.2</v>
      </c>
      <c r="AA31" t="n">
        <v>2.9</v>
      </c>
      <c r="AB31" t="n">
        <v>3.4</v>
      </c>
      <c r="AC31" t="n">
        <v>4.2</v>
      </c>
      <c r="AD31" t="n">
        <v>3.1</v>
      </c>
      <c r="AE31" t="n">
        <v>2.2</v>
      </c>
      <c r="AF31" t="n">
        <v>1.6</v>
      </c>
    </row>
    <row r="32">
      <c r="A32" t="s">
        <v>118</v>
      </c>
      <c r="B32" t="s">
        <v>334</v>
      </c>
      <c r="C32" t="s">
        <v>217</v>
      </c>
      <c r="D32" t="s">
        <v>335</v>
      </c>
      <c r="E32" t="s">
        <v>218</v>
      </c>
      <c r="F32" t="n">
        <v>4.3</v>
      </c>
      <c r="G32" t="n">
        <v>3.7</v>
      </c>
      <c r="H32" t="n">
        <v>3.4</v>
      </c>
      <c r="I32" t="n">
        <v>3.3</v>
      </c>
      <c r="J32" t="n">
        <v>3.2</v>
      </c>
      <c r="K32" t="n">
        <v>3.6</v>
      </c>
      <c r="L32" t="n">
        <v>5.7</v>
      </c>
      <c r="M32" t="n">
        <v>4.6</v>
      </c>
      <c r="N32" t="n">
        <v>5.3</v>
      </c>
      <c r="O32" t="n">
        <v>9.3</v>
      </c>
      <c r="P32" t="n">
        <v>7.3</v>
      </c>
      <c r="Q32" t="n">
        <v>6.5</v>
      </c>
      <c r="R32" t="n">
        <v>7.3</v>
      </c>
      <c r="S32" t="n">
        <v>6.8</v>
      </c>
      <c r="T32" t="n">
        <v>9.5</v>
      </c>
      <c r="U32" t="n">
        <v>12.1</v>
      </c>
      <c r="V32" t="n">
        <v>7.1</v>
      </c>
      <c r="W32" t="n">
        <v>5.6</v>
      </c>
      <c r="X32" t="n">
        <v>5.2</v>
      </c>
      <c r="Y32" t="n">
        <v>5.2</v>
      </c>
      <c r="Z32" t="n">
        <v>6.2</v>
      </c>
      <c r="AA32" t="n">
        <v>10.2</v>
      </c>
      <c r="AB32" t="n">
        <v>13.2</v>
      </c>
      <c r="AC32" t="n">
        <v>15.6</v>
      </c>
      <c r="AD32" t="n">
        <v>12.1</v>
      </c>
      <c r="AE32" t="n">
        <v>9.2</v>
      </c>
      <c r="AF32" t="n">
        <v>7.3</v>
      </c>
    </row>
    <row r="33">
      <c r="A33" t="s">
        <v>118</v>
      </c>
      <c r="B33" t="s">
        <v>336</v>
      </c>
      <c r="C33" t="s">
        <v>217</v>
      </c>
      <c r="D33" t="s">
        <v>337</v>
      </c>
      <c r="E33" t="s">
        <v>218</v>
      </c>
      <c r="F33" t="n">
        <v>10.3</v>
      </c>
      <c r="G33" t="n">
        <v>21.8</v>
      </c>
      <c r="H33" t="n">
        <v>32.3</v>
      </c>
      <c r="I33" t="n">
        <v>44.1</v>
      </c>
      <c r="J33" t="n">
        <v>50.9</v>
      </c>
      <c r="K33" t="n">
        <v>69.4</v>
      </c>
      <c r="L33" t="n">
        <v>63.8</v>
      </c>
      <c r="M33" t="n">
        <v>79.1</v>
      </c>
      <c r="N33" t="n">
        <v>90.7</v>
      </c>
      <c r="O33" t="n">
        <v>101.5</v>
      </c>
      <c r="P33" t="n">
        <v>77.4</v>
      </c>
      <c r="Q33" t="n">
        <v>56.1</v>
      </c>
      <c r="R33" t="n">
        <v>57.3</v>
      </c>
      <c r="S33" t="n">
        <v>45.3</v>
      </c>
      <c r="T33" t="n">
        <v>37.7</v>
      </c>
      <c r="U33" t="n">
        <v>31.9</v>
      </c>
      <c r="V33" t="n">
        <v>20.4</v>
      </c>
      <c r="W33" t="n">
        <v>15.1</v>
      </c>
      <c r="X33" t="n">
        <v>11.1</v>
      </c>
      <c r="Y33" t="n">
        <v>8.3</v>
      </c>
      <c r="Z33" t="n">
        <v>6.9</v>
      </c>
      <c r="AA33" t="n">
        <v>5.8</v>
      </c>
      <c r="AB33" t="n">
        <v>5</v>
      </c>
      <c r="AC33" t="n">
        <v>4.1</v>
      </c>
      <c r="AD33" t="n">
        <v>3.7</v>
      </c>
      <c r="AE33" t="n">
        <v>3</v>
      </c>
      <c r="AF33" t="n">
        <v>2.6</v>
      </c>
    </row>
    <row r="34">
      <c r="A34" t="s">
        <v>118</v>
      </c>
      <c r="B34" t="s">
        <v>338</v>
      </c>
      <c r="C34" t="s">
        <v>217</v>
      </c>
      <c r="D34" t="s">
        <v>339</v>
      </c>
      <c r="E34" t="s">
        <v>218</v>
      </c>
      <c r="F34" t="n">
        <v>24.7</v>
      </c>
      <c r="G34" t="n">
        <v>30.3</v>
      </c>
      <c r="H34" t="n">
        <v>36.3</v>
      </c>
      <c r="I34" t="n">
        <v>44.4</v>
      </c>
      <c r="J34" t="n">
        <v>48.5</v>
      </c>
      <c r="K34" t="n">
        <v>63.2</v>
      </c>
      <c r="L34" t="n">
        <v>67.2</v>
      </c>
      <c r="M34" t="n">
        <v>65.5</v>
      </c>
      <c r="N34" t="n">
        <v>66.5</v>
      </c>
      <c r="O34" t="n">
        <v>78.2</v>
      </c>
      <c r="P34" t="n">
        <v>74.4</v>
      </c>
      <c r="Q34" t="n">
        <v>109.1</v>
      </c>
      <c r="R34" t="n">
        <v>132.8</v>
      </c>
      <c r="S34" t="n">
        <v>176.8</v>
      </c>
      <c r="T34" t="n">
        <v>180.7</v>
      </c>
      <c r="U34" t="n">
        <v>160.4</v>
      </c>
      <c r="V34" t="n">
        <v>92.1</v>
      </c>
      <c r="W34" t="n">
        <v>66.1</v>
      </c>
      <c r="X34" t="n">
        <v>47.3</v>
      </c>
      <c r="Y34" t="n">
        <v>34.4</v>
      </c>
      <c r="Z34" t="n">
        <v>63</v>
      </c>
      <c r="AA34" t="n">
        <v>76.8</v>
      </c>
      <c r="AB34" t="n">
        <v>88.1</v>
      </c>
      <c r="AC34" t="n">
        <v>75.4</v>
      </c>
      <c r="AD34" t="n">
        <v>70.7</v>
      </c>
      <c r="AE34" t="n">
        <v>64.2</v>
      </c>
      <c r="AF34" t="n">
        <v>62</v>
      </c>
    </row>
    <row r="35">
      <c r="A35" t="s">
        <v>118</v>
      </c>
      <c r="B35" t="s">
        <v>340</v>
      </c>
      <c r="C35" t="s">
        <v>217</v>
      </c>
      <c r="D35" t="s">
        <v>341</v>
      </c>
      <c r="E35" t="s">
        <v>218</v>
      </c>
      <c r="F35" t="n">
        <v>72.7</v>
      </c>
      <c r="G35" t="n">
        <v>110</v>
      </c>
      <c r="H35" t="n">
        <v>145.8</v>
      </c>
      <c r="I35" t="n">
        <v>188.6</v>
      </c>
      <c r="J35" t="n">
        <v>212.2</v>
      </c>
      <c r="K35" t="n">
        <v>283.6</v>
      </c>
      <c r="L35" t="n">
        <v>306.7</v>
      </c>
      <c r="M35" t="n">
        <v>369.2</v>
      </c>
      <c r="N35" t="n">
        <v>413.4</v>
      </c>
      <c r="O35" t="n">
        <v>470.5</v>
      </c>
      <c r="P35" t="n">
        <v>401.7</v>
      </c>
      <c r="Q35" t="n">
        <v>409.5</v>
      </c>
      <c r="R35" t="n">
        <v>459</v>
      </c>
      <c r="S35" t="n">
        <v>414.2</v>
      </c>
      <c r="T35" t="n">
        <v>404.6</v>
      </c>
      <c r="U35" t="n">
        <v>528.6</v>
      </c>
      <c r="V35" t="n">
        <v>300.6</v>
      </c>
      <c r="W35" t="n">
        <v>242.6</v>
      </c>
      <c r="X35" t="n">
        <v>191.8</v>
      </c>
      <c r="Y35" t="n">
        <v>177.6</v>
      </c>
      <c r="Z35" t="n">
        <v>163.8</v>
      </c>
      <c r="AA35" t="n">
        <v>173.5</v>
      </c>
      <c r="AB35" t="n">
        <v>183.8</v>
      </c>
      <c r="AC35" t="n">
        <v>148.9</v>
      </c>
      <c r="AD35" t="n">
        <v>121.5</v>
      </c>
      <c r="AE35" t="n">
        <v>110.4</v>
      </c>
      <c r="AF35" t="n">
        <v>107.6</v>
      </c>
    </row>
    <row r="36">
      <c r="A36" t="s">
        <v>118</v>
      </c>
      <c r="B36" t="s">
        <v>342</v>
      </c>
      <c r="C36" t="s">
        <v>217</v>
      </c>
      <c r="D36" t="s">
        <v>343</v>
      </c>
      <c r="E36" t="s">
        <v>218</v>
      </c>
      <c r="F36" t="n">
        <v>24</v>
      </c>
      <c r="G36" t="n">
        <v>32.3</v>
      </c>
      <c r="H36" t="n">
        <v>40.5</v>
      </c>
      <c r="I36" t="n">
        <v>50.9</v>
      </c>
      <c r="J36" t="n">
        <v>56.4</v>
      </c>
      <c r="K36" t="n">
        <v>74.5</v>
      </c>
      <c r="L36" t="n">
        <v>82.6</v>
      </c>
      <c r="M36" t="n">
        <v>97.6</v>
      </c>
      <c r="N36" t="n">
        <v>113.9</v>
      </c>
      <c r="O36" t="n">
        <v>128.6</v>
      </c>
      <c r="P36" t="n">
        <v>108.1</v>
      </c>
      <c r="Q36" t="n">
        <v>117.7</v>
      </c>
      <c r="R36" t="n">
        <v>127.8</v>
      </c>
      <c r="S36" t="n">
        <v>125</v>
      </c>
      <c r="T36" t="n">
        <v>123.1</v>
      </c>
      <c r="U36" t="n">
        <v>100.6</v>
      </c>
      <c r="V36" t="n">
        <v>79.2</v>
      </c>
      <c r="W36" t="n">
        <v>61.6</v>
      </c>
      <c r="X36" t="n">
        <v>49.1</v>
      </c>
      <c r="Y36" t="n">
        <v>39.1</v>
      </c>
      <c r="Z36" t="n">
        <v>30.7</v>
      </c>
      <c r="AA36" t="n">
        <v>25.3</v>
      </c>
      <c r="AB36" t="n">
        <v>22.4</v>
      </c>
      <c r="AC36" t="n">
        <v>21.4</v>
      </c>
      <c r="AD36" t="n">
        <v>21.3</v>
      </c>
      <c r="AE36" t="n">
        <v>25.6</v>
      </c>
      <c r="AF36" t="n">
        <v>31.4</v>
      </c>
    </row>
    <row r="37">
      <c r="A37" t="s">
        <v>118</v>
      </c>
      <c r="B37" t="s">
        <v>344</v>
      </c>
      <c r="C37" t="s">
        <v>217</v>
      </c>
      <c r="D37" t="s">
        <v>345</v>
      </c>
      <c r="E37" t="s">
        <v>218</v>
      </c>
      <c r="F37" t="n">
        <v>16.2</v>
      </c>
      <c r="G37" t="n">
        <v>24</v>
      </c>
      <c r="H37" t="n">
        <v>31.6</v>
      </c>
      <c r="I37" t="n">
        <v>40.7</v>
      </c>
      <c r="J37" t="n">
        <v>45.7</v>
      </c>
      <c r="K37" t="n">
        <v>61</v>
      </c>
      <c r="L37" t="n">
        <v>55.8</v>
      </c>
      <c r="M37" t="n">
        <v>68.6</v>
      </c>
      <c r="N37" t="n">
        <v>78.3</v>
      </c>
      <c r="O37" t="n">
        <v>87.4</v>
      </c>
      <c r="P37" t="n">
        <v>92.4</v>
      </c>
      <c r="Q37" t="n">
        <v>104.9</v>
      </c>
      <c r="R37" t="n">
        <v>128.4</v>
      </c>
      <c r="S37" t="n">
        <v>120.9</v>
      </c>
      <c r="T37" t="n">
        <v>114.4</v>
      </c>
      <c r="U37" t="n">
        <v>177.5</v>
      </c>
      <c r="V37" t="n">
        <v>83.9</v>
      </c>
      <c r="W37" t="n">
        <v>68.8</v>
      </c>
      <c r="X37" t="n">
        <v>55.3</v>
      </c>
      <c r="Y37" t="n">
        <v>48.9</v>
      </c>
      <c r="Z37" t="n">
        <v>46.8</v>
      </c>
      <c r="AA37" t="n">
        <v>46.6</v>
      </c>
      <c r="AB37" t="n">
        <v>47</v>
      </c>
      <c r="AC37" t="n">
        <v>42.8</v>
      </c>
      <c r="AD37" t="n">
        <v>37.1</v>
      </c>
      <c r="AE37" t="n">
        <v>33.4</v>
      </c>
      <c r="AF37" t="n">
        <v>32</v>
      </c>
    </row>
    <row r="38">
      <c r="A38" t="s">
        <v>118</v>
      </c>
      <c r="B38" t="s">
        <v>346</v>
      </c>
      <c r="C38" t="s">
        <v>217</v>
      </c>
      <c r="D38" t="s">
        <v>347</v>
      </c>
      <c r="E38" t="s">
        <v>218</v>
      </c>
      <c r="F38" t="n">
        <v>32.5</v>
      </c>
      <c r="G38" t="n">
        <v>53.7</v>
      </c>
      <c r="H38" t="n">
        <v>73.7</v>
      </c>
      <c r="I38" t="n">
        <v>97</v>
      </c>
      <c r="J38" t="n">
        <v>110.1</v>
      </c>
      <c r="K38" t="n">
        <v>148.1</v>
      </c>
      <c r="L38" t="n">
        <v>168.3</v>
      </c>
      <c r="M38" t="n">
        <v>203</v>
      </c>
      <c r="N38" t="n">
        <v>221.2</v>
      </c>
      <c r="O38" t="n">
        <v>254.5</v>
      </c>
      <c r="P38" t="n">
        <v>201.2</v>
      </c>
      <c r="Q38" t="n">
        <v>186.9</v>
      </c>
      <c r="R38" t="n">
        <v>202.8</v>
      </c>
      <c r="S38" t="n">
        <v>168.3</v>
      </c>
      <c r="T38" t="n">
        <v>167.1</v>
      </c>
      <c r="U38" t="n">
        <v>250.5</v>
      </c>
      <c r="V38" t="n">
        <v>137.5</v>
      </c>
      <c r="W38" t="n">
        <v>112.2</v>
      </c>
      <c r="X38" t="n">
        <v>87.4</v>
      </c>
      <c r="Y38" t="n">
        <v>89.6</v>
      </c>
      <c r="Z38" t="n">
        <v>86.3</v>
      </c>
      <c r="AA38" t="n">
        <v>101.6</v>
      </c>
      <c r="AB38" t="n">
        <v>114.4</v>
      </c>
      <c r="AC38" t="n">
        <v>84.7</v>
      </c>
      <c r="AD38" t="n">
        <v>63.1</v>
      </c>
      <c r="AE38" t="n">
        <v>51.4</v>
      </c>
      <c r="AF38" t="n">
        <v>44.2</v>
      </c>
    </row>
    <row r="39">
      <c r="A39" t="s">
        <v>118</v>
      </c>
      <c r="B39" t="s">
        <v>348</v>
      </c>
      <c r="C39" t="s">
        <v>217</v>
      </c>
      <c r="D39" t="s">
        <v>349</v>
      </c>
      <c r="E39" t="s">
        <v>218</v>
      </c>
      <c r="F39" t="n">
        <v>126</v>
      </c>
      <c r="G39" t="n">
        <v>140.7</v>
      </c>
      <c r="H39" t="n">
        <v>159.1</v>
      </c>
      <c r="I39" t="n">
        <v>187.5</v>
      </c>
      <c r="J39" t="n">
        <v>200.8</v>
      </c>
      <c r="K39" t="n">
        <v>257.1</v>
      </c>
      <c r="L39" t="n">
        <v>254.9</v>
      </c>
      <c r="M39" t="n">
        <v>218.2</v>
      </c>
      <c r="N39" t="n">
        <v>180.6</v>
      </c>
      <c r="O39" t="n">
        <v>159</v>
      </c>
      <c r="P39" t="n">
        <v>170.3</v>
      </c>
      <c r="Q39" t="n">
        <v>165.3</v>
      </c>
      <c r="R39" t="n">
        <v>165.3</v>
      </c>
      <c r="S39" t="n">
        <v>170.8</v>
      </c>
      <c r="T39" t="n">
        <v>158.7</v>
      </c>
      <c r="U39" t="n">
        <v>143.9</v>
      </c>
      <c r="V39" t="n">
        <v>104.8</v>
      </c>
      <c r="W39" t="n">
        <v>88</v>
      </c>
      <c r="X39" t="n">
        <v>80</v>
      </c>
      <c r="Y39" t="n">
        <v>93.6</v>
      </c>
      <c r="Z39" t="n">
        <v>85.9</v>
      </c>
      <c r="AA39" t="n">
        <v>101.9</v>
      </c>
      <c r="AB39" t="n">
        <v>115.1</v>
      </c>
      <c r="AC39" t="n">
        <v>152.2</v>
      </c>
      <c r="AD39" t="n">
        <v>164.8</v>
      </c>
      <c r="AE39" t="n">
        <v>188.7</v>
      </c>
      <c r="AF39" t="n">
        <v>218.5</v>
      </c>
    </row>
    <row r="40">
      <c r="A40" t="s">
        <v>118</v>
      </c>
      <c r="B40" t="s">
        <v>350</v>
      </c>
      <c r="C40" t="s">
        <v>217</v>
      </c>
      <c r="D40" t="s">
        <v>351</v>
      </c>
      <c r="E40" t="s">
        <v>218</v>
      </c>
      <c r="F40" t="n">
        <v>3.7</v>
      </c>
      <c r="G40" t="n">
        <v>3</v>
      </c>
      <c r="H40" t="n">
        <v>2.6</v>
      </c>
      <c r="I40" t="n">
        <v>2.4</v>
      </c>
      <c r="J40" t="n">
        <v>2.2</v>
      </c>
      <c r="K40" t="n">
        <v>2.3</v>
      </c>
      <c r="L40" t="n">
        <v>13.1</v>
      </c>
      <c r="M40" t="n">
        <v>24.7</v>
      </c>
      <c r="N40" t="n">
        <v>24.1</v>
      </c>
      <c r="O40" t="n">
        <v>23.7</v>
      </c>
      <c r="P40" t="n">
        <v>17</v>
      </c>
      <c r="Q40" t="n">
        <v>12.4</v>
      </c>
      <c r="R40" t="n">
        <v>12.4</v>
      </c>
      <c r="S40" t="n">
        <v>9.5</v>
      </c>
      <c r="T40" t="n">
        <v>8</v>
      </c>
      <c r="U40" t="n">
        <v>8.6</v>
      </c>
      <c r="V40" t="n">
        <v>7.7</v>
      </c>
      <c r="W40" t="n">
        <v>6.3</v>
      </c>
      <c r="X40" t="n">
        <v>5</v>
      </c>
      <c r="Y40" t="n">
        <v>4.9</v>
      </c>
      <c r="Z40" t="n">
        <v>4.2</v>
      </c>
      <c r="AA40" t="n">
        <v>3.4</v>
      </c>
      <c r="AB40" t="n">
        <v>2.9</v>
      </c>
      <c r="AC40" t="n">
        <v>0</v>
      </c>
      <c r="AD40" t="n">
        <v>0</v>
      </c>
      <c r="AE40" t="n">
        <v>0</v>
      </c>
      <c r="AF40" t="n">
        <v>0</v>
      </c>
    </row>
    <row r="41">
      <c r="A41" t="s">
        <v>118</v>
      </c>
      <c r="B41" t="s">
        <v>352</v>
      </c>
      <c r="C41" t="s">
        <v>217</v>
      </c>
      <c r="D41" t="s">
        <v>353</v>
      </c>
      <c r="E41" t="s">
        <v>218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118</v>
      </c>
      <c r="B42" t="s">
        <v>354</v>
      </c>
      <c r="C42" t="s">
        <v>217</v>
      </c>
      <c r="D42" t="s">
        <v>355</v>
      </c>
      <c r="E42" t="s">
        <v>218</v>
      </c>
      <c r="F42" t="n">
        <v>103.4</v>
      </c>
      <c r="G42" t="n">
        <v>158</v>
      </c>
      <c r="H42" t="n">
        <v>212.2</v>
      </c>
      <c r="I42" t="n">
        <v>276.4</v>
      </c>
      <c r="J42" t="n">
        <v>312.5</v>
      </c>
      <c r="K42" t="n">
        <v>417.2</v>
      </c>
      <c r="L42" t="n">
        <v>439.8</v>
      </c>
      <c r="M42" t="n">
        <v>421.8</v>
      </c>
      <c r="N42" t="n">
        <v>494.4</v>
      </c>
      <c r="O42" t="n">
        <v>551.9</v>
      </c>
      <c r="P42" t="n">
        <v>432.7</v>
      </c>
      <c r="Q42" t="n">
        <v>391.4</v>
      </c>
      <c r="R42" t="n">
        <v>421.7</v>
      </c>
      <c r="S42" t="n">
        <v>437.2</v>
      </c>
      <c r="T42" t="n">
        <v>443</v>
      </c>
      <c r="U42" t="n">
        <v>398.1</v>
      </c>
      <c r="V42" t="n">
        <v>274.7</v>
      </c>
      <c r="W42" t="n">
        <v>220.9</v>
      </c>
      <c r="X42" t="n">
        <v>184.3</v>
      </c>
      <c r="Y42" t="n">
        <v>176.4</v>
      </c>
      <c r="Z42" t="n">
        <v>166.4</v>
      </c>
      <c r="AA42" t="n">
        <v>157</v>
      </c>
      <c r="AB42" t="n">
        <v>151.9</v>
      </c>
      <c r="AC42" t="n">
        <v>130</v>
      </c>
      <c r="AD42" t="n">
        <v>107.9</v>
      </c>
      <c r="AE42" t="n">
        <v>111</v>
      </c>
      <c r="AF42" t="n">
        <v>119.1</v>
      </c>
    </row>
    <row r="43">
      <c r="A43" t="s">
        <v>118</v>
      </c>
      <c r="B43" t="s">
        <v>356</v>
      </c>
      <c r="C43" t="s">
        <v>217</v>
      </c>
      <c r="D43" t="s">
        <v>357</v>
      </c>
      <c r="E43" t="s">
        <v>218</v>
      </c>
      <c r="F43" t="n">
        <v>120.9</v>
      </c>
      <c r="G43" t="n">
        <v>179</v>
      </c>
      <c r="H43" t="n">
        <v>237</v>
      </c>
      <c r="I43" t="n">
        <v>306.5</v>
      </c>
      <c r="J43" t="n">
        <v>345.3</v>
      </c>
      <c r="K43" t="n">
        <v>459.7</v>
      </c>
      <c r="L43" t="n">
        <v>487.6</v>
      </c>
      <c r="M43" t="n">
        <v>468.9</v>
      </c>
      <c r="N43" t="n">
        <v>552.2</v>
      </c>
      <c r="O43" t="n">
        <v>626.6</v>
      </c>
      <c r="P43" t="n">
        <v>489.8</v>
      </c>
      <c r="Q43" t="n">
        <v>440.8</v>
      </c>
      <c r="R43" t="n">
        <v>467.5</v>
      </c>
      <c r="S43" t="n">
        <v>617.8</v>
      </c>
      <c r="T43" t="n">
        <v>714.1</v>
      </c>
      <c r="U43" t="n">
        <v>687.8</v>
      </c>
      <c r="V43" t="n">
        <v>453.5</v>
      </c>
      <c r="W43" t="n">
        <v>361.4</v>
      </c>
      <c r="X43" t="n">
        <v>287.4</v>
      </c>
      <c r="Y43" t="n">
        <v>263.7</v>
      </c>
      <c r="Z43" t="n">
        <v>275.9</v>
      </c>
      <c r="AA43" t="n">
        <v>272.4</v>
      </c>
      <c r="AB43" t="n">
        <v>273.2</v>
      </c>
      <c r="AC43" t="n">
        <v>240.6</v>
      </c>
      <c r="AD43" t="n">
        <v>234.1</v>
      </c>
      <c r="AE43" t="n">
        <v>237.6</v>
      </c>
      <c r="AF43" t="n">
        <v>252.6</v>
      </c>
    </row>
    <row r="44">
      <c r="A44" t="s">
        <v>118</v>
      </c>
      <c r="B44" t="s">
        <v>358</v>
      </c>
      <c r="C44" t="s">
        <v>217</v>
      </c>
      <c r="D44" t="s">
        <v>359</v>
      </c>
      <c r="E44" t="s">
        <v>218</v>
      </c>
      <c r="F44" t="n">
        <v>754.7</v>
      </c>
      <c r="G44" t="n">
        <v>974.2</v>
      </c>
      <c r="H44" t="n">
        <v>1202</v>
      </c>
      <c r="I44" t="n">
        <v>1495</v>
      </c>
      <c r="J44" t="n">
        <v>1649.3</v>
      </c>
      <c r="K44" t="n">
        <v>2165.8</v>
      </c>
      <c r="L44" t="n">
        <v>2249.6</v>
      </c>
      <c r="M44" t="n">
        <v>2269.5</v>
      </c>
      <c r="N44" t="n">
        <v>2341.6</v>
      </c>
      <c r="O44" t="n">
        <v>2463.3</v>
      </c>
      <c r="P44" t="n">
        <v>2272.4</v>
      </c>
      <c r="Q44" t="n">
        <v>2400.4</v>
      </c>
      <c r="R44" t="n">
        <v>2573.6</v>
      </c>
      <c r="S44" t="n">
        <v>2776</v>
      </c>
      <c r="T44" t="n">
        <v>2773.6</v>
      </c>
      <c r="U44" t="n">
        <v>2745.9</v>
      </c>
      <c r="V44" t="n">
        <v>1789.6</v>
      </c>
      <c r="W44" t="n">
        <v>1440.2</v>
      </c>
      <c r="X44" t="n">
        <v>1165.8</v>
      </c>
      <c r="Y44" t="n">
        <v>1093.7</v>
      </c>
      <c r="Z44" t="n">
        <v>1151.8</v>
      </c>
      <c r="AA44" t="n">
        <v>1130.7</v>
      </c>
      <c r="AB44" t="n">
        <v>1131.5</v>
      </c>
      <c r="AC44" t="n">
        <v>1126.9</v>
      </c>
      <c r="AD44" t="n">
        <v>1139.4</v>
      </c>
      <c r="AE44" t="n">
        <v>1303.3</v>
      </c>
      <c r="AF44" t="n">
        <v>1507.8</v>
      </c>
    </row>
    <row r="45">
      <c r="A45" t="s">
        <v>118</v>
      </c>
      <c r="B45" t="s">
        <v>360</v>
      </c>
      <c r="C45" t="s">
        <v>217</v>
      </c>
      <c r="D45" t="s">
        <v>361</v>
      </c>
      <c r="E45" t="s">
        <v>218</v>
      </c>
      <c r="F45" t="n">
        <v>753.7</v>
      </c>
      <c r="G45" t="n">
        <v>973.2</v>
      </c>
      <c r="H45" t="n">
        <v>1201</v>
      </c>
      <c r="I45" t="n">
        <v>1493.9</v>
      </c>
      <c r="J45" t="n">
        <v>1648.2</v>
      </c>
      <c r="K45" t="n">
        <v>2164.4</v>
      </c>
      <c r="L45" t="n">
        <v>2248.3</v>
      </c>
      <c r="M45" t="n">
        <v>2268.2</v>
      </c>
      <c r="N45" t="n">
        <v>2340.4</v>
      </c>
      <c r="O45" t="n">
        <v>2462.1</v>
      </c>
      <c r="P45" t="n">
        <v>2269.2</v>
      </c>
      <c r="Q45" t="n">
        <v>2398.2</v>
      </c>
      <c r="R45" t="n">
        <v>2563.6</v>
      </c>
      <c r="S45" t="n">
        <v>2766.7</v>
      </c>
      <c r="T45" t="n">
        <v>2762.2</v>
      </c>
      <c r="U45" t="n">
        <v>2732.9</v>
      </c>
      <c r="V45" t="n">
        <v>1778.1</v>
      </c>
      <c r="W45" t="n">
        <v>1429.8</v>
      </c>
      <c r="X45" t="n">
        <v>1155.8</v>
      </c>
      <c r="Y45" t="n">
        <v>1083.7</v>
      </c>
      <c r="Z45" t="n">
        <v>1141.1</v>
      </c>
      <c r="AA45" t="n">
        <v>1120.2</v>
      </c>
      <c r="AB45" t="n">
        <v>1121.1</v>
      </c>
      <c r="AC45" t="n">
        <v>1116.3</v>
      </c>
      <c r="AD45" t="n">
        <v>1128.4</v>
      </c>
      <c r="AE45" t="n">
        <v>1291.4</v>
      </c>
      <c r="AF45" t="n">
        <v>1494.7</v>
      </c>
    </row>
    <row r="46">
      <c r="A46" t="s">
        <v>118</v>
      </c>
      <c r="B46" t="s">
        <v>362</v>
      </c>
      <c r="C46" t="s">
        <v>217</v>
      </c>
      <c r="D46" t="s">
        <v>363</v>
      </c>
      <c r="E46" t="s">
        <v>218</v>
      </c>
      <c r="F46" t="n">
        <v>17.5</v>
      </c>
      <c r="G46" t="n">
        <v>21</v>
      </c>
      <c r="H46" t="n">
        <v>24.8</v>
      </c>
      <c r="I46" t="n">
        <v>30.1</v>
      </c>
      <c r="J46" t="n">
        <v>32.8</v>
      </c>
      <c r="K46" t="n">
        <v>42.5</v>
      </c>
      <c r="L46" t="n">
        <v>47.8</v>
      </c>
      <c r="M46" t="n">
        <v>47.1</v>
      </c>
      <c r="N46" t="n">
        <v>57.8</v>
      </c>
      <c r="O46" t="n">
        <v>74.7</v>
      </c>
      <c r="P46" t="n">
        <v>57.1</v>
      </c>
      <c r="Q46" t="n">
        <v>49.4</v>
      </c>
      <c r="R46" t="n">
        <v>45.8</v>
      </c>
      <c r="S46" t="n">
        <v>180.6</v>
      </c>
      <c r="T46" t="n">
        <v>271.1</v>
      </c>
      <c r="U46" t="n">
        <v>289.7</v>
      </c>
      <c r="V46" t="n">
        <v>178.8</v>
      </c>
      <c r="W46" t="n">
        <v>140.5</v>
      </c>
      <c r="X46" t="n">
        <v>103.1</v>
      </c>
      <c r="Y46" t="n">
        <v>87.3</v>
      </c>
      <c r="Z46" t="n">
        <v>109.5</v>
      </c>
      <c r="AA46" t="n">
        <v>115.4</v>
      </c>
      <c r="AB46" t="n">
        <v>121.3</v>
      </c>
      <c r="AC46" t="n">
        <v>110.6</v>
      </c>
      <c r="AD46" t="n">
        <v>126.2</v>
      </c>
      <c r="AE46" t="n">
        <v>126.6</v>
      </c>
      <c r="AF46" t="n">
        <v>133.5</v>
      </c>
    </row>
    <row r="47">
      <c r="A47" t="s">
        <v>118</v>
      </c>
      <c r="B47" t="s">
        <v>364</v>
      </c>
      <c r="C47" t="s">
        <v>217</v>
      </c>
      <c r="D47" t="s">
        <v>365</v>
      </c>
      <c r="E47" t="s">
        <v>218</v>
      </c>
      <c r="F47" t="n">
        <v>116.8</v>
      </c>
      <c r="G47" t="n">
        <v>204</v>
      </c>
      <c r="H47" t="n">
        <v>276.9</v>
      </c>
      <c r="I47" t="n">
        <v>368.8</v>
      </c>
      <c r="J47" t="n">
        <v>406.7</v>
      </c>
      <c r="K47" t="n">
        <v>487.1</v>
      </c>
      <c r="L47" t="n">
        <v>557.6</v>
      </c>
      <c r="M47" t="n">
        <v>574.1</v>
      </c>
      <c r="N47" t="n">
        <v>624.6</v>
      </c>
      <c r="O47" t="n">
        <v>702</v>
      </c>
      <c r="P47" t="n">
        <v>717.2</v>
      </c>
      <c r="Q47" t="n">
        <v>945.4</v>
      </c>
      <c r="R47" t="n">
        <v>971.7</v>
      </c>
      <c r="S47" t="n">
        <v>1194.3</v>
      </c>
      <c r="T47" t="n">
        <v>1570.5</v>
      </c>
      <c r="U47" t="n">
        <v>1267.1</v>
      </c>
      <c r="V47" t="n">
        <v>1078.3</v>
      </c>
      <c r="W47" t="n">
        <v>835.9</v>
      </c>
      <c r="X47" t="n">
        <v>710.3</v>
      </c>
      <c r="Y47" t="n">
        <v>587.6</v>
      </c>
      <c r="Z47" t="n">
        <v>608.7</v>
      </c>
      <c r="AA47" t="n">
        <v>601.9</v>
      </c>
      <c r="AB47" t="n">
        <v>564.8</v>
      </c>
      <c r="AC47" t="n">
        <v>522.2</v>
      </c>
      <c r="AD47" t="n">
        <v>477.1</v>
      </c>
      <c r="AE47" t="n">
        <v>463.2</v>
      </c>
      <c r="AF47" t="n">
        <v>460</v>
      </c>
    </row>
    <row r="48">
      <c r="A48" t="s">
        <v>118</v>
      </c>
      <c r="B48" t="s">
        <v>366</v>
      </c>
      <c r="C48" t="s">
        <v>217</v>
      </c>
      <c r="D48" t="s">
        <v>367</v>
      </c>
      <c r="E48" t="s">
        <v>218</v>
      </c>
      <c r="F48" t="n">
        <v>216</v>
      </c>
      <c r="G48" t="n">
        <v>332.2</v>
      </c>
      <c r="H48" t="n">
        <v>440.8</v>
      </c>
      <c r="I48" t="n">
        <v>575.9</v>
      </c>
      <c r="J48" t="n">
        <v>643</v>
      </c>
      <c r="K48" t="n">
        <v>788.9</v>
      </c>
      <c r="L48" t="n">
        <v>876.3</v>
      </c>
      <c r="M48" t="n">
        <v>895</v>
      </c>
      <c r="N48" t="n">
        <v>959.7</v>
      </c>
      <c r="O48" t="n">
        <v>1090.6</v>
      </c>
      <c r="P48" t="n">
        <v>1060.7</v>
      </c>
      <c r="Q48" t="n">
        <v>1432.5</v>
      </c>
      <c r="R48" t="n">
        <v>1389.5</v>
      </c>
      <c r="S48" t="n">
        <v>1583.5</v>
      </c>
      <c r="T48" t="n">
        <v>1883.1</v>
      </c>
      <c r="U48" t="n">
        <v>1545.2</v>
      </c>
      <c r="V48" t="n">
        <v>1296.5</v>
      </c>
      <c r="W48" t="n">
        <v>1015.7</v>
      </c>
      <c r="X48" t="n">
        <v>866</v>
      </c>
      <c r="Y48" t="n">
        <v>726.2</v>
      </c>
      <c r="Z48" t="n">
        <v>746.9</v>
      </c>
      <c r="AA48" t="n">
        <v>733.4</v>
      </c>
      <c r="AB48" t="n">
        <v>680.9</v>
      </c>
      <c r="AC48" t="n">
        <v>635.1</v>
      </c>
      <c r="AD48" t="n">
        <v>588.5</v>
      </c>
      <c r="AE48" t="n">
        <v>574.5</v>
      </c>
      <c r="AF48" t="n">
        <v>570.6</v>
      </c>
    </row>
    <row r="49">
      <c r="A49" t="s">
        <v>118</v>
      </c>
      <c r="B49" t="s">
        <v>368</v>
      </c>
      <c r="C49" t="s">
        <v>217</v>
      </c>
      <c r="D49" t="s">
        <v>369</v>
      </c>
      <c r="E49" t="s">
        <v>218</v>
      </c>
      <c r="F49" t="n">
        <v>78.7</v>
      </c>
      <c r="G49" t="n">
        <v>103.9</v>
      </c>
      <c r="H49" t="n">
        <v>135.1</v>
      </c>
      <c r="I49" t="n">
        <v>172.3</v>
      </c>
      <c r="J49" t="n">
        <v>199.3</v>
      </c>
      <c r="K49" t="n">
        <v>256.6</v>
      </c>
      <c r="L49" t="n">
        <v>258.2</v>
      </c>
      <c r="M49" t="n">
        <v>253.3</v>
      </c>
      <c r="N49" t="n">
        <v>269.2</v>
      </c>
      <c r="O49" t="n">
        <v>320.6</v>
      </c>
      <c r="P49" t="n">
        <v>281.6</v>
      </c>
      <c r="Q49" t="n">
        <v>392.6</v>
      </c>
      <c r="R49" t="n">
        <v>333.1</v>
      </c>
      <c r="S49" t="n">
        <v>309.3</v>
      </c>
      <c r="T49" t="n">
        <v>248.1</v>
      </c>
      <c r="U49" t="n">
        <v>221.1</v>
      </c>
      <c r="V49" t="n">
        <v>170.8</v>
      </c>
      <c r="W49" t="n">
        <v>139.4</v>
      </c>
      <c r="X49" t="n">
        <v>119.9</v>
      </c>
      <c r="Y49" t="n">
        <v>107.2</v>
      </c>
      <c r="Z49" t="n">
        <v>97.7</v>
      </c>
      <c r="AA49" t="n">
        <v>85.4</v>
      </c>
      <c r="AB49" t="n">
        <v>70.9</v>
      </c>
      <c r="AC49" t="n">
        <v>65.7</v>
      </c>
      <c r="AD49" t="n">
        <v>64.1</v>
      </c>
      <c r="AE49" t="n">
        <v>63.5</v>
      </c>
      <c r="AF49" t="n">
        <v>61.1</v>
      </c>
    </row>
    <row r="50">
      <c r="A50" t="s">
        <v>118</v>
      </c>
      <c r="B50" t="s">
        <v>370</v>
      </c>
      <c r="C50" t="s">
        <v>217</v>
      </c>
      <c r="D50" t="s">
        <v>371</v>
      </c>
      <c r="E50" t="s">
        <v>218</v>
      </c>
      <c r="F50" t="n">
        <v>20.6</v>
      </c>
      <c r="G50" t="n">
        <v>24.4</v>
      </c>
      <c r="H50" t="n">
        <v>28.8</v>
      </c>
      <c r="I50" t="n">
        <v>34.8</v>
      </c>
      <c r="J50" t="n">
        <v>36.9</v>
      </c>
      <c r="K50" t="n">
        <v>45.2</v>
      </c>
      <c r="L50" t="n">
        <v>60.5</v>
      </c>
      <c r="M50" t="n">
        <v>67.5</v>
      </c>
      <c r="N50" t="n">
        <v>66</v>
      </c>
      <c r="O50" t="n">
        <v>67.9</v>
      </c>
      <c r="P50" t="n">
        <v>61.8</v>
      </c>
      <c r="Q50" t="n">
        <v>94.4</v>
      </c>
      <c r="R50" t="n">
        <v>84.8</v>
      </c>
      <c r="S50" t="n">
        <v>80</v>
      </c>
      <c r="T50" t="n">
        <v>64.4</v>
      </c>
      <c r="U50" t="n">
        <v>57</v>
      </c>
      <c r="V50" t="n">
        <v>47.3</v>
      </c>
      <c r="W50" t="n">
        <v>40.4</v>
      </c>
      <c r="X50" t="n">
        <v>35.8</v>
      </c>
      <c r="Y50" t="n">
        <v>31.4</v>
      </c>
      <c r="Z50" t="n">
        <v>40.5</v>
      </c>
      <c r="AA50" t="n">
        <v>46.1</v>
      </c>
      <c r="AB50" t="n">
        <v>45.2</v>
      </c>
      <c r="AC50" t="n">
        <v>47.2</v>
      </c>
      <c r="AD50" t="n">
        <v>47.3</v>
      </c>
      <c r="AE50" t="n">
        <v>47.9</v>
      </c>
      <c r="AF50" t="n">
        <v>49.5</v>
      </c>
    </row>
    <row r="51">
      <c r="A51" t="s">
        <v>118</v>
      </c>
      <c r="B51" t="s">
        <v>372</v>
      </c>
      <c r="C51" t="s">
        <v>217</v>
      </c>
      <c r="D51" t="s">
        <v>373</v>
      </c>
      <c r="E51" t="s">
        <v>218</v>
      </c>
      <c r="F51" t="n">
        <v>17</v>
      </c>
      <c r="G51" t="n">
        <v>18.3</v>
      </c>
      <c r="H51" t="n">
        <v>20.2</v>
      </c>
      <c r="I51" t="n">
        <v>23.4</v>
      </c>
      <c r="J51" t="n">
        <v>24.8</v>
      </c>
      <c r="K51" t="n">
        <v>31.5</v>
      </c>
      <c r="L51" t="n">
        <v>43.4</v>
      </c>
      <c r="M51" t="n">
        <v>49</v>
      </c>
      <c r="N51" t="n">
        <v>47.8</v>
      </c>
      <c r="O51" t="n">
        <v>49</v>
      </c>
      <c r="P51" t="n">
        <v>43.9</v>
      </c>
      <c r="Q51" t="n">
        <v>69.9</v>
      </c>
      <c r="R51" t="n">
        <v>61.7</v>
      </c>
      <c r="S51" t="n">
        <v>56.9</v>
      </c>
      <c r="T51" t="n">
        <v>45.5</v>
      </c>
      <c r="U51" t="n">
        <v>42.6</v>
      </c>
      <c r="V51" t="n">
        <v>32.5</v>
      </c>
      <c r="W51" t="n">
        <v>28.1</v>
      </c>
      <c r="X51" t="n">
        <v>24.9</v>
      </c>
      <c r="Y51" t="n">
        <v>22.5</v>
      </c>
      <c r="Z51" t="n">
        <v>21.6</v>
      </c>
      <c r="AA51" t="n">
        <v>20.5</v>
      </c>
      <c r="AB51" t="n">
        <v>21</v>
      </c>
      <c r="AC51" t="n">
        <v>22.7</v>
      </c>
      <c r="AD51" t="n">
        <v>24.3</v>
      </c>
      <c r="AE51" t="n">
        <v>25.5</v>
      </c>
      <c r="AF51" t="n">
        <v>27.9</v>
      </c>
    </row>
    <row r="52">
      <c r="A52" t="s">
        <v>118</v>
      </c>
      <c r="B52" t="s">
        <v>374</v>
      </c>
      <c r="C52" t="s">
        <v>217</v>
      </c>
      <c r="D52" t="s">
        <v>375</v>
      </c>
      <c r="E52" t="s">
        <v>218</v>
      </c>
      <c r="F52" t="n">
        <v>3.6</v>
      </c>
      <c r="G52" t="n">
        <v>6.1</v>
      </c>
      <c r="H52" t="n">
        <v>8.6</v>
      </c>
      <c r="I52" t="n">
        <v>11.4</v>
      </c>
      <c r="J52" t="n">
        <v>12.1</v>
      </c>
      <c r="K52" t="n">
        <v>13.7</v>
      </c>
      <c r="L52" t="n">
        <v>17.1</v>
      </c>
      <c r="M52" t="n">
        <v>18.5</v>
      </c>
      <c r="N52" t="n">
        <v>18.2</v>
      </c>
      <c r="O52" t="n">
        <v>18.9</v>
      </c>
      <c r="P52" t="n">
        <v>17.9</v>
      </c>
      <c r="Q52" t="n">
        <v>24.5</v>
      </c>
      <c r="R52" t="n">
        <v>23.1</v>
      </c>
      <c r="S52" t="n">
        <v>23.1</v>
      </c>
      <c r="T52" t="n">
        <v>18.9</v>
      </c>
      <c r="U52" t="n">
        <v>14.4</v>
      </c>
      <c r="V52" t="n">
        <v>14.8</v>
      </c>
      <c r="W52" t="n">
        <v>12.3</v>
      </c>
      <c r="X52" t="n">
        <v>10.9</v>
      </c>
      <c r="Y52" t="n">
        <v>8.9</v>
      </c>
      <c r="Z52" t="n">
        <v>18.9</v>
      </c>
      <c r="AA52" t="n">
        <v>25.6</v>
      </c>
      <c r="AB52" t="n">
        <v>24.2</v>
      </c>
      <c r="AC52" t="n">
        <v>24.5</v>
      </c>
      <c r="AD52" t="n">
        <v>23</v>
      </c>
      <c r="AE52" t="n">
        <v>22.4</v>
      </c>
      <c r="AF52" t="n">
        <v>21.6</v>
      </c>
    </row>
    <row r="53">
      <c r="A53" t="s">
        <v>118</v>
      </c>
      <c r="B53" t="s">
        <v>376</v>
      </c>
      <c r="C53" t="s">
        <v>217</v>
      </c>
      <c r="D53" t="s">
        <v>377</v>
      </c>
      <c r="E53" t="s">
        <v>218</v>
      </c>
      <c r="F53" t="n">
        <v>11.6</v>
      </c>
      <c r="G53" t="n">
        <v>11.1</v>
      </c>
      <c r="H53" t="n">
        <v>11</v>
      </c>
      <c r="I53" t="n">
        <v>11.9</v>
      </c>
      <c r="J53" t="n">
        <v>12</v>
      </c>
      <c r="K53" t="n">
        <v>14.6</v>
      </c>
      <c r="L53" t="n">
        <v>14.4</v>
      </c>
      <c r="M53" t="n">
        <v>15.5</v>
      </c>
      <c r="N53" t="n">
        <v>26.8</v>
      </c>
      <c r="O53" t="n">
        <v>31.6</v>
      </c>
      <c r="P53" t="n">
        <v>23.3</v>
      </c>
      <c r="Q53" t="n">
        <v>19.5</v>
      </c>
      <c r="R53" t="n">
        <v>16</v>
      </c>
      <c r="S53" t="n">
        <v>13.8</v>
      </c>
      <c r="T53" t="n">
        <v>11</v>
      </c>
      <c r="U53" t="n">
        <v>9.4</v>
      </c>
      <c r="V53" t="n">
        <v>10.7</v>
      </c>
      <c r="W53" t="n">
        <v>10.9</v>
      </c>
      <c r="X53" t="n">
        <v>13.5</v>
      </c>
      <c r="Y53" t="n">
        <v>10.9</v>
      </c>
      <c r="Z53" t="n">
        <v>10.4</v>
      </c>
      <c r="AA53" t="n">
        <v>10.3</v>
      </c>
      <c r="AB53" t="n">
        <v>9.1</v>
      </c>
      <c r="AC53" t="n">
        <v>8.6</v>
      </c>
      <c r="AD53" t="n">
        <v>8</v>
      </c>
      <c r="AE53" t="n">
        <v>7.7</v>
      </c>
      <c r="AF53" t="n">
        <v>7.7</v>
      </c>
    </row>
    <row r="54">
      <c r="A54" t="s">
        <v>118</v>
      </c>
      <c r="B54" t="s">
        <v>378</v>
      </c>
      <c r="C54" t="s">
        <v>217</v>
      </c>
      <c r="D54" t="s">
        <v>379</v>
      </c>
      <c r="E54" t="s">
        <v>218</v>
      </c>
      <c r="F54" t="n">
        <v>73.7</v>
      </c>
      <c r="G54" t="n">
        <v>127.3</v>
      </c>
      <c r="H54" t="n">
        <v>177.5</v>
      </c>
      <c r="I54" t="n">
        <v>235.5</v>
      </c>
      <c r="J54" t="n">
        <v>268.2</v>
      </c>
      <c r="K54" t="n">
        <v>362.2</v>
      </c>
      <c r="L54" t="n">
        <v>303.6</v>
      </c>
      <c r="M54" t="n">
        <v>251.3</v>
      </c>
      <c r="N54" t="n">
        <v>220.6</v>
      </c>
      <c r="O54" t="n">
        <v>202.3</v>
      </c>
      <c r="P54" t="n">
        <v>163.2</v>
      </c>
      <c r="Q54" t="n">
        <v>145.3</v>
      </c>
      <c r="R54" t="n">
        <v>150.9</v>
      </c>
      <c r="S54" t="n">
        <v>138.8</v>
      </c>
      <c r="T54" t="n">
        <v>133.4</v>
      </c>
      <c r="U54" t="n">
        <v>149.3</v>
      </c>
      <c r="V54" t="n">
        <v>77.9</v>
      </c>
      <c r="W54" t="n">
        <v>63.7</v>
      </c>
      <c r="X54" t="n">
        <v>55.7</v>
      </c>
      <c r="Y54" t="n">
        <v>45.5</v>
      </c>
      <c r="Z54" t="n">
        <v>43.1</v>
      </c>
      <c r="AA54" t="n">
        <v>38.8</v>
      </c>
      <c r="AB54" t="n">
        <v>34.8</v>
      </c>
      <c r="AC54" t="n">
        <v>33.2</v>
      </c>
      <c r="AD54" t="n">
        <v>32.2</v>
      </c>
      <c r="AE54" t="n">
        <v>31.6</v>
      </c>
      <c r="AF54" t="n">
        <v>31.9</v>
      </c>
    </row>
    <row r="55">
      <c r="A55" t="s">
        <v>118</v>
      </c>
      <c r="B55" t="s">
        <v>380</v>
      </c>
      <c r="C55" t="s">
        <v>217</v>
      </c>
      <c r="D55" t="s">
        <v>381</v>
      </c>
      <c r="E55" t="s">
        <v>218</v>
      </c>
      <c r="F55" t="n">
        <v>62.1</v>
      </c>
      <c r="G55" t="n">
        <v>116.2</v>
      </c>
      <c r="H55" t="n">
        <v>166.5</v>
      </c>
      <c r="I55" t="n">
        <v>223.6</v>
      </c>
      <c r="J55" t="n">
        <v>256.2</v>
      </c>
      <c r="K55" t="n">
        <v>347.6</v>
      </c>
      <c r="L55" t="n">
        <v>289.2</v>
      </c>
      <c r="M55" t="n">
        <v>235.8</v>
      </c>
      <c r="N55" t="n">
        <v>193.8</v>
      </c>
      <c r="O55" t="n">
        <v>170.7</v>
      </c>
      <c r="P55" t="n">
        <v>139.9</v>
      </c>
      <c r="Q55" t="n">
        <v>125.8</v>
      </c>
      <c r="R55" t="n">
        <v>134.9</v>
      </c>
      <c r="S55" t="n">
        <v>125</v>
      </c>
      <c r="T55" t="n">
        <v>122.4</v>
      </c>
      <c r="U55" t="n">
        <v>139.9</v>
      </c>
      <c r="V55" t="n">
        <v>67.2</v>
      </c>
      <c r="W55" t="n">
        <v>52.8</v>
      </c>
      <c r="X55" t="n">
        <v>42.2</v>
      </c>
      <c r="Y55" t="n">
        <v>34.6</v>
      </c>
      <c r="Z55" t="n">
        <v>32.7</v>
      </c>
      <c r="AA55" t="n">
        <v>28.5</v>
      </c>
      <c r="AB55" t="n">
        <v>25.7</v>
      </c>
      <c r="AC55" t="n">
        <v>24.6</v>
      </c>
      <c r="AD55" t="n">
        <v>24.2</v>
      </c>
      <c r="AE55" t="n">
        <v>23.9</v>
      </c>
      <c r="AF55" t="n">
        <v>24.2</v>
      </c>
    </row>
    <row r="56">
      <c r="A56" t="s">
        <v>118</v>
      </c>
      <c r="B56" t="s">
        <v>382</v>
      </c>
      <c r="C56" t="s">
        <v>217</v>
      </c>
      <c r="D56" t="s">
        <v>383</v>
      </c>
      <c r="E56" t="s">
        <v>218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118</v>
      </c>
      <c r="B57" t="s">
        <v>384</v>
      </c>
      <c r="C57" t="s">
        <v>217</v>
      </c>
      <c r="D57" t="s">
        <v>385</v>
      </c>
      <c r="E57" t="s">
        <v>218</v>
      </c>
      <c r="F57" t="n">
        <v>974.5</v>
      </c>
      <c r="G57" t="n">
        <v>1309.5</v>
      </c>
      <c r="H57" t="n">
        <v>1645.4</v>
      </c>
      <c r="I57" t="n">
        <v>2073.3</v>
      </c>
      <c r="J57" t="n">
        <v>2294.4</v>
      </c>
      <c r="K57" t="n">
        <v>2957</v>
      </c>
      <c r="L57" t="n">
        <v>3139</v>
      </c>
      <c r="M57" t="n">
        <v>3189.1</v>
      </c>
      <c r="N57" t="n">
        <v>3325.5</v>
      </c>
      <c r="O57" t="n">
        <v>3577.5</v>
      </c>
      <c r="P57" t="n">
        <v>3350</v>
      </c>
      <c r="Q57" t="n">
        <v>3845.2</v>
      </c>
      <c r="R57" t="n">
        <v>3975.6</v>
      </c>
      <c r="S57" t="n">
        <v>4369.1</v>
      </c>
      <c r="T57" t="n">
        <v>4664.6</v>
      </c>
      <c r="U57" t="n">
        <v>4299.7</v>
      </c>
      <c r="V57" t="n">
        <v>3093.7</v>
      </c>
      <c r="W57" t="n">
        <v>2462.2</v>
      </c>
      <c r="X57" t="n">
        <v>2036.8</v>
      </c>
      <c r="Y57" t="n">
        <v>1824.8</v>
      </c>
      <c r="Z57" t="n">
        <v>1902.9</v>
      </c>
      <c r="AA57" t="n">
        <v>1867.5</v>
      </c>
      <c r="AB57" t="n">
        <v>1815.3</v>
      </c>
      <c r="AC57" t="n">
        <v>1762</v>
      </c>
      <c r="AD57" t="n">
        <v>1727.9</v>
      </c>
      <c r="AE57" t="n">
        <v>1877.9</v>
      </c>
      <c r="AF57" t="n">
        <v>2078.4</v>
      </c>
    </row>
    <row r="58">
      <c r="A58" t="s">
        <v>118</v>
      </c>
      <c r="B58" t="s">
        <v>386</v>
      </c>
      <c r="C58" t="s">
        <v>217</v>
      </c>
      <c r="D58" t="s">
        <v>387</v>
      </c>
      <c r="E58" t="s">
        <v>218</v>
      </c>
      <c r="F58" t="n">
        <v>974.5</v>
      </c>
      <c r="G58" t="n">
        <v>1309.5</v>
      </c>
      <c r="H58" t="n">
        <v>1645.4</v>
      </c>
      <c r="I58" t="n">
        <v>2073.3</v>
      </c>
      <c r="J58" t="n">
        <v>2294.4</v>
      </c>
      <c r="K58" t="n">
        <v>2957</v>
      </c>
      <c r="L58" t="n">
        <v>3139</v>
      </c>
      <c r="M58" t="n">
        <v>3189.1</v>
      </c>
      <c r="N58" t="n">
        <v>3325.5</v>
      </c>
      <c r="O58" t="n">
        <v>3577.5</v>
      </c>
      <c r="P58" t="n">
        <v>3350</v>
      </c>
      <c r="Q58" t="n">
        <v>3845.2</v>
      </c>
      <c r="R58" t="n">
        <v>3975.6</v>
      </c>
      <c r="S58" t="n">
        <v>4369.1</v>
      </c>
      <c r="T58" t="n">
        <v>4664.6</v>
      </c>
      <c r="U58" t="n">
        <v>4299.7</v>
      </c>
      <c r="V58" t="n">
        <v>3093.7</v>
      </c>
      <c r="W58" t="n">
        <v>2462.2</v>
      </c>
      <c r="X58" t="n">
        <v>2036.8</v>
      </c>
      <c r="Y58" t="n">
        <v>1824.8</v>
      </c>
      <c r="Z58" t="n">
        <v>1902.9</v>
      </c>
      <c r="AA58" t="n">
        <v>1867.5</v>
      </c>
      <c r="AB58" t="n">
        <v>1815.3</v>
      </c>
      <c r="AC58" t="n">
        <v>1762</v>
      </c>
      <c r="AD58" t="n">
        <v>1727.9</v>
      </c>
      <c r="AE58" t="n">
        <v>1877.9</v>
      </c>
      <c r="AF58" t="n">
        <v>2078.4</v>
      </c>
    </row>
    <row r="59">
      <c r="A59" t="s">
        <v>118</v>
      </c>
      <c r="B59" t="s">
        <v>388</v>
      </c>
      <c r="C59" t="s">
        <v>217</v>
      </c>
      <c r="D59" t="s">
        <v>389</v>
      </c>
      <c r="E59" t="s">
        <v>218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120</v>
      </c>
      <c r="B2" t="s">
        <v>197</v>
      </c>
      <c r="C2" t="s">
        <v>217</v>
      </c>
      <c r="D2" t="s">
        <v>199</v>
      </c>
      <c r="E2" t="s">
        <v>218</v>
      </c>
      <c r="F2" t="n">
        <v>59.3</v>
      </c>
      <c r="G2" t="n">
        <v>69.9</v>
      </c>
      <c r="H2" t="n">
        <v>82.3</v>
      </c>
      <c r="I2" t="n">
        <v>99.6</v>
      </c>
      <c r="J2" t="n">
        <v>111</v>
      </c>
      <c r="K2" t="n">
        <v>138</v>
      </c>
      <c r="L2" t="n">
        <v>145.4</v>
      </c>
      <c r="M2" t="n">
        <v>145.9</v>
      </c>
      <c r="N2" t="n">
        <v>145.1</v>
      </c>
      <c r="O2" t="n">
        <v>142.9</v>
      </c>
      <c r="P2" t="n">
        <v>189.9</v>
      </c>
      <c r="Q2" t="n">
        <v>205.6</v>
      </c>
      <c r="R2" t="n">
        <v>294.6</v>
      </c>
      <c r="S2" t="n">
        <v>370.3</v>
      </c>
      <c r="T2" t="n">
        <v>450.4</v>
      </c>
      <c r="U2" t="n">
        <v>488.6</v>
      </c>
      <c r="V2" t="n">
        <v>497.5</v>
      </c>
      <c r="W2" t="n">
        <v>507.7</v>
      </c>
      <c r="X2" t="n">
        <v>526.5</v>
      </c>
      <c r="Y2" t="n">
        <v>552.7</v>
      </c>
      <c r="Z2" t="n">
        <v>601.3</v>
      </c>
      <c r="AA2" t="n">
        <v>615.2</v>
      </c>
      <c r="AB2" t="n">
        <v>631.2</v>
      </c>
      <c r="AC2" t="n">
        <v>653</v>
      </c>
      <c r="AD2" t="n">
        <v>678.6</v>
      </c>
      <c r="AE2" t="n">
        <v>700.4</v>
      </c>
      <c r="AF2" t="n">
        <v>748.6</v>
      </c>
    </row>
    <row r="3">
      <c r="A3" t="s">
        <v>120</v>
      </c>
      <c r="B3" t="s">
        <v>276</v>
      </c>
      <c r="C3" t="s">
        <v>217</v>
      </c>
      <c r="D3" t="s">
        <v>277</v>
      </c>
      <c r="E3" t="s">
        <v>218</v>
      </c>
      <c r="F3" t="n">
        <v>0.1</v>
      </c>
      <c r="G3" t="n">
        <v>0.2</v>
      </c>
      <c r="H3" t="n">
        <v>0.3</v>
      </c>
      <c r="I3" t="n">
        <v>0.4</v>
      </c>
      <c r="J3" t="n">
        <v>0.5</v>
      </c>
      <c r="K3" t="n">
        <v>0.7</v>
      </c>
      <c r="L3" t="n">
        <v>0.9</v>
      </c>
      <c r="M3" t="n">
        <v>0.9</v>
      </c>
      <c r="N3" t="n">
        <v>1</v>
      </c>
      <c r="O3" t="n">
        <v>1.1</v>
      </c>
      <c r="P3" t="n">
        <v>1.5</v>
      </c>
      <c r="Q3" t="n">
        <v>1.8</v>
      </c>
      <c r="R3" t="n">
        <v>2.2</v>
      </c>
      <c r="S3" t="n">
        <v>3</v>
      </c>
      <c r="T3" t="n">
        <v>3.4</v>
      </c>
      <c r="U3" t="n">
        <v>3.4</v>
      </c>
      <c r="V3" t="n">
        <v>3.3</v>
      </c>
      <c r="W3" t="n">
        <v>3.3</v>
      </c>
      <c r="X3" t="n">
        <v>2.9</v>
      </c>
      <c r="Y3" t="n">
        <v>3.1</v>
      </c>
      <c r="Z3" t="n">
        <v>2.8</v>
      </c>
      <c r="AA3" t="n">
        <v>2.8</v>
      </c>
      <c r="AB3" t="n">
        <v>2.8</v>
      </c>
      <c r="AC3" t="n">
        <v>3</v>
      </c>
      <c r="AD3" t="n">
        <v>3.5</v>
      </c>
      <c r="AE3" t="n">
        <v>3.5</v>
      </c>
      <c r="AF3" t="n">
        <v>3.6</v>
      </c>
    </row>
    <row r="4">
      <c r="A4" t="s">
        <v>120</v>
      </c>
      <c r="B4" t="s">
        <v>278</v>
      </c>
      <c r="C4" t="s">
        <v>217</v>
      </c>
      <c r="D4" t="s">
        <v>279</v>
      </c>
      <c r="E4" t="s">
        <v>218</v>
      </c>
      <c r="F4" t="n">
        <v>79</v>
      </c>
      <c r="G4" t="n">
        <v>90.1</v>
      </c>
      <c r="H4" t="n">
        <v>103.7</v>
      </c>
      <c r="I4" t="n">
        <v>123.4</v>
      </c>
      <c r="J4" t="n">
        <v>136</v>
      </c>
      <c r="K4" t="n">
        <v>166.9</v>
      </c>
      <c r="L4" t="n">
        <v>187.5</v>
      </c>
      <c r="M4" t="n">
        <v>185.8</v>
      </c>
      <c r="N4" t="n">
        <v>182</v>
      </c>
      <c r="O4" t="n">
        <v>182</v>
      </c>
      <c r="P4" t="n">
        <v>176.3</v>
      </c>
      <c r="Q4" t="n">
        <v>187.3</v>
      </c>
      <c r="R4" t="n">
        <v>196.1</v>
      </c>
      <c r="S4" t="n">
        <v>214.5</v>
      </c>
      <c r="T4" t="n">
        <v>222</v>
      </c>
      <c r="U4" t="n">
        <v>209.5</v>
      </c>
      <c r="V4" t="n">
        <v>191</v>
      </c>
      <c r="W4" t="n">
        <v>177</v>
      </c>
      <c r="X4" t="n">
        <v>163.4</v>
      </c>
      <c r="Y4" t="n">
        <v>161.2</v>
      </c>
      <c r="Z4" t="n">
        <v>159.6</v>
      </c>
      <c r="AA4" t="n">
        <v>155.7</v>
      </c>
      <c r="AB4" t="n">
        <v>153.3</v>
      </c>
      <c r="AC4" t="n">
        <v>156.3</v>
      </c>
      <c r="AD4" t="n">
        <v>156.1</v>
      </c>
      <c r="AE4" t="n">
        <v>159.2</v>
      </c>
      <c r="AF4" t="n">
        <v>167.9</v>
      </c>
    </row>
    <row r="5">
      <c r="A5" t="s">
        <v>120</v>
      </c>
      <c r="B5" t="s">
        <v>280</v>
      </c>
      <c r="C5" t="s">
        <v>217</v>
      </c>
      <c r="D5" t="s">
        <v>281</v>
      </c>
      <c r="E5" t="s">
        <v>218</v>
      </c>
      <c r="F5" t="n">
        <v>16</v>
      </c>
      <c r="G5" t="n">
        <v>16.6</v>
      </c>
      <c r="H5" t="n">
        <v>17.6</v>
      </c>
      <c r="I5" t="n">
        <v>19.5</v>
      </c>
      <c r="J5" t="n">
        <v>20.5</v>
      </c>
      <c r="K5" t="n">
        <v>23.7</v>
      </c>
      <c r="L5" t="n">
        <v>27.7</v>
      </c>
      <c r="M5" t="n">
        <v>29.6</v>
      </c>
      <c r="N5" t="n">
        <v>31.2</v>
      </c>
      <c r="O5" t="n">
        <v>31.7</v>
      </c>
      <c r="P5" t="n">
        <v>33.3</v>
      </c>
      <c r="Q5" t="n">
        <v>33.6</v>
      </c>
      <c r="R5" t="n">
        <v>36</v>
      </c>
      <c r="S5" t="n">
        <v>44.6</v>
      </c>
      <c r="T5" t="n">
        <v>45.2</v>
      </c>
      <c r="U5" t="n">
        <v>46.4</v>
      </c>
      <c r="V5" t="n">
        <v>43.5</v>
      </c>
      <c r="W5" t="n">
        <v>41.5</v>
      </c>
      <c r="X5" t="n">
        <v>39.6</v>
      </c>
      <c r="Y5" t="n">
        <v>40.3</v>
      </c>
      <c r="Z5" t="n">
        <v>42.2</v>
      </c>
      <c r="AA5" t="n">
        <v>40.6</v>
      </c>
      <c r="AB5" t="n">
        <v>39.5</v>
      </c>
      <c r="AC5" t="n">
        <v>44.2</v>
      </c>
      <c r="AD5" t="n">
        <v>44.9</v>
      </c>
      <c r="AE5" t="n">
        <v>45.7</v>
      </c>
      <c r="AF5" t="n">
        <v>48.1</v>
      </c>
    </row>
    <row r="6">
      <c r="A6" t="s">
        <v>120</v>
      </c>
      <c r="B6" t="s">
        <v>282</v>
      </c>
      <c r="C6" t="s">
        <v>217</v>
      </c>
      <c r="D6" t="s">
        <v>283</v>
      </c>
      <c r="E6" t="s">
        <v>218</v>
      </c>
      <c r="F6" t="n">
        <v>12.9</v>
      </c>
      <c r="G6" t="n">
        <v>13</v>
      </c>
      <c r="H6" t="n">
        <v>13.4</v>
      </c>
      <c r="I6" t="n">
        <v>14.6</v>
      </c>
      <c r="J6" t="n">
        <v>15</v>
      </c>
      <c r="K6" t="n">
        <v>17</v>
      </c>
      <c r="L6" t="n">
        <v>15.6</v>
      </c>
      <c r="M6" t="n">
        <v>14.4</v>
      </c>
      <c r="N6" t="n">
        <v>12.8</v>
      </c>
      <c r="O6" t="n">
        <v>11.7</v>
      </c>
      <c r="P6" t="n">
        <v>10.7</v>
      </c>
      <c r="Q6" t="n">
        <v>9.3</v>
      </c>
      <c r="R6" t="n">
        <v>8.6</v>
      </c>
      <c r="S6" t="n">
        <v>8.4</v>
      </c>
      <c r="T6" t="n">
        <v>7.5</v>
      </c>
      <c r="U6" t="n">
        <v>6</v>
      </c>
      <c r="V6" t="n">
        <v>5.3</v>
      </c>
      <c r="W6" t="n">
        <v>4.8</v>
      </c>
      <c r="X6" t="n">
        <v>4.3</v>
      </c>
      <c r="Y6" t="n">
        <v>4</v>
      </c>
      <c r="Z6" t="n">
        <v>3.8</v>
      </c>
      <c r="AA6" t="n">
        <v>3.8</v>
      </c>
      <c r="AB6" t="n">
        <v>3.8</v>
      </c>
      <c r="AC6" t="n">
        <v>3.4</v>
      </c>
      <c r="AD6" t="n">
        <v>3</v>
      </c>
      <c r="AE6" t="n">
        <v>2.5</v>
      </c>
      <c r="AF6" t="n">
        <v>2</v>
      </c>
    </row>
    <row r="7">
      <c r="A7" t="s">
        <v>120</v>
      </c>
      <c r="B7" t="s">
        <v>284</v>
      </c>
      <c r="C7" t="s">
        <v>217</v>
      </c>
      <c r="D7" t="s">
        <v>285</v>
      </c>
      <c r="E7" t="s">
        <v>218</v>
      </c>
      <c r="F7" t="n">
        <v>4.2</v>
      </c>
      <c r="G7" t="n">
        <v>4.7</v>
      </c>
      <c r="H7" t="n">
        <v>5.2</v>
      </c>
      <c r="I7" t="n">
        <v>6</v>
      </c>
      <c r="J7" t="n">
        <v>6.5</v>
      </c>
      <c r="K7" t="n">
        <v>7.8</v>
      </c>
      <c r="L7" t="n">
        <v>8.6</v>
      </c>
      <c r="M7" t="n">
        <v>9.7</v>
      </c>
      <c r="N7" t="n">
        <v>9.4</v>
      </c>
      <c r="O7" t="n">
        <v>9.3</v>
      </c>
      <c r="P7" t="n">
        <v>9.4</v>
      </c>
      <c r="Q7" t="n">
        <v>20.2</v>
      </c>
      <c r="R7" t="n">
        <v>26.4</v>
      </c>
      <c r="S7" t="n">
        <v>28.7</v>
      </c>
      <c r="T7" t="n">
        <v>25.6</v>
      </c>
      <c r="U7" t="n">
        <v>23.8</v>
      </c>
      <c r="V7" t="n">
        <v>20.8</v>
      </c>
      <c r="W7" t="n">
        <v>17.4</v>
      </c>
      <c r="X7" t="n">
        <v>16.1</v>
      </c>
      <c r="Y7" t="n">
        <v>17.2</v>
      </c>
      <c r="Z7" t="n">
        <v>17.7</v>
      </c>
      <c r="AA7" t="n">
        <v>19.4</v>
      </c>
      <c r="AB7" t="n">
        <v>21.1</v>
      </c>
      <c r="AC7" t="n">
        <v>19.1</v>
      </c>
      <c r="AD7" t="n">
        <v>17.2</v>
      </c>
      <c r="AE7" t="n">
        <v>16.6</v>
      </c>
      <c r="AF7" t="n">
        <v>16.5</v>
      </c>
    </row>
    <row r="8">
      <c r="A8" t="s">
        <v>120</v>
      </c>
      <c r="B8" t="s">
        <v>286</v>
      </c>
      <c r="C8" t="s">
        <v>217</v>
      </c>
      <c r="D8" t="s">
        <v>287</v>
      </c>
      <c r="E8" t="s">
        <v>218</v>
      </c>
      <c r="F8" t="n">
        <v>9</v>
      </c>
      <c r="G8" t="n">
        <v>14.8</v>
      </c>
      <c r="H8" t="n">
        <v>21.1</v>
      </c>
      <c r="I8" t="n">
        <v>28.9</v>
      </c>
      <c r="J8" t="n">
        <v>34.6</v>
      </c>
      <c r="K8" t="n">
        <v>46.3</v>
      </c>
      <c r="L8" t="n">
        <v>41.1</v>
      </c>
      <c r="M8" t="n">
        <v>36.7</v>
      </c>
      <c r="N8" t="n">
        <v>31.9</v>
      </c>
      <c r="O8" t="n">
        <v>28.1</v>
      </c>
      <c r="P8" t="n">
        <v>24</v>
      </c>
      <c r="Q8" t="n">
        <v>20.3</v>
      </c>
      <c r="R8" t="n">
        <v>17.4</v>
      </c>
      <c r="S8" t="n">
        <v>16.2</v>
      </c>
      <c r="T8" t="n">
        <v>14.2</v>
      </c>
      <c r="U8" t="n">
        <v>12.8</v>
      </c>
      <c r="V8" t="n">
        <v>11.4</v>
      </c>
      <c r="W8" t="n">
        <v>12</v>
      </c>
      <c r="X8" t="n">
        <v>10.5</v>
      </c>
      <c r="Y8" t="n">
        <v>9.4</v>
      </c>
      <c r="Z8" t="n">
        <v>8.4</v>
      </c>
      <c r="AA8" t="n">
        <v>7.4</v>
      </c>
      <c r="AB8" t="n">
        <v>6.6</v>
      </c>
      <c r="AC8" t="n">
        <v>5.8</v>
      </c>
      <c r="AD8" t="n">
        <v>5.3</v>
      </c>
      <c r="AE8" t="n">
        <v>4.9</v>
      </c>
      <c r="AF8" t="n">
        <v>4.6</v>
      </c>
    </row>
    <row r="9">
      <c r="A9" t="s">
        <v>120</v>
      </c>
      <c r="B9" t="s">
        <v>288</v>
      </c>
      <c r="C9" t="s">
        <v>217</v>
      </c>
      <c r="D9" t="s">
        <v>289</v>
      </c>
      <c r="E9" t="s">
        <v>218</v>
      </c>
      <c r="F9" t="n">
        <v>3</v>
      </c>
      <c r="G9" t="n">
        <v>4</v>
      </c>
      <c r="H9" t="n">
        <v>5.2</v>
      </c>
      <c r="I9" t="n">
        <v>6.8</v>
      </c>
      <c r="J9" t="n">
        <v>7.9</v>
      </c>
      <c r="K9" t="n">
        <v>10.2</v>
      </c>
      <c r="L9" t="n">
        <v>17.5</v>
      </c>
      <c r="M9" t="n">
        <v>17.8</v>
      </c>
      <c r="N9" t="n">
        <v>18</v>
      </c>
      <c r="O9" t="n">
        <v>20.5</v>
      </c>
      <c r="P9" t="n">
        <v>19.3</v>
      </c>
      <c r="Q9" t="n">
        <v>18</v>
      </c>
      <c r="R9" t="n">
        <v>17.6</v>
      </c>
      <c r="S9" t="n">
        <v>18.2</v>
      </c>
      <c r="T9" t="n">
        <v>19.5</v>
      </c>
      <c r="U9" t="n">
        <v>17.1</v>
      </c>
      <c r="V9" t="n">
        <v>15.6</v>
      </c>
      <c r="W9" t="n">
        <v>14.7</v>
      </c>
      <c r="X9" t="n">
        <v>14</v>
      </c>
      <c r="Y9" t="n">
        <v>13.2</v>
      </c>
      <c r="Z9" t="n">
        <v>11.1</v>
      </c>
      <c r="AA9" t="n">
        <v>10.5</v>
      </c>
      <c r="AB9" t="n">
        <v>10.1</v>
      </c>
      <c r="AC9" t="n">
        <v>9.9</v>
      </c>
      <c r="AD9" t="n">
        <v>9.9</v>
      </c>
      <c r="AE9" t="n">
        <v>9.8</v>
      </c>
      <c r="AF9" t="n">
        <v>10</v>
      </c>
    </row>
    <row r="10">
      <c r="A10" t="s">
        <v>120</v>
      </c>
      <c r="B10" t="s">
        <v>290</v>
      </c>
      <c r="C10" t="s">
        <v>217</v>
      </c>
      <c r="D10" t="s">
        <v>291</v>
      </c>
      <c r="E10" t="s">
        <v>218</v>
      </c>
      <c r="F10" t="n">
        <v>4.1</v>
      </c>
      <c r="G10" t="n">
        <v>5.5</v>
      </c>
      <c r="H10" t="n">
        <v>7.2</v>
      </c>
      <c r="I10" t="n">
        <v>9.3</v>
      </c>
      <c r="J10" t="n">
        <v>10.8</v>
      </c>
      <c r="K10" t="n">
        <v>14</v>
      </c>
      <c r="L10" t="n">
        <v>24</v>
      </c>
      <c r="M10" t="n">
        <v>24.4</v>
      </c>
      <c r="N10" t="n">
        <v>24.7</v>
      </c>
      <c r="O10" t="n">
        <v>28.1</v>
      </c>
      <c r="P10" t="n">
        <v>27.5</v>
      </c>
      <c r="Q10" t="n">
        <v>28.1</v>
      </c>
      <c r="R10" t="n">
        <v>30.1</v>
      </c>
      <c r="S10" t="n">
        <v>33.1</v>
      </c>
      <c r="T10" t="n">
        <v>48.3</v>
      </c>
      <c r="U10" t="n">
        <v>38.7</v>
      </c>
      <c r="V10" t="n">
        <v>36</v>
      </c>
      <c r="W10" t="n">
        <v>33.2</v>
      </c>
      <c r="X10" t="n">
        <v>33.6</v>
      </c>
      <c r="Y10" t="n">
        <v>32.3</v>
      </c>
      <c r="Z10" t="n">
        <v>30.9</v>
      </c>
      <c r="AA10" t="n">
        <v>31</v>
      </c>
      <c r="AB10" t="n">
        <v>31.4</v>
      </c>
      <c r="AC10" t="n">
        <v>34.5</v>
      </c>
      <c r="AD10" t="n">
        <v>37.6</v>
      </c>
      <c r="AE10" t="n">
        <v>39.9</v>
      </c>
      <c r="AF10" t="n">
        <v>43.9</v>
      </c>
    </row>
    <row r="11">
      <c r="A11" t="s">
        <v>120</v>
      </c>
      <c r="B11" t="s">
        <v>292</v>
      </c>
      <c r="C11" t="s">
        <v>217</v>
      </c>
      <c r="D11" t="s">
        <v>293</v>
      </c>
      <c r="E11" t="s">
        <v>218</v>
      </c>
      <c r="F11" t="n">
        <v>1.1</v>
      </c>
      <c r="G11" t="n">
        <v>1.5</v>
      </c>
      <c r="H11" t="n">
        <v>2</v>
      </c>
      <c r="I11" t="n">
        <v>2.5</v>
      </c>
      <c r="J11" t="n">
        <v>2.9</v>
      </c>
      <c r="K11" t="n">
        <v>3.8</v>
      </c>
      <c r="L11" t="n">
        <v>6.5</v>
      </c>
      <c r="M11" t="n">
        <v>6.6</v>
      </c>
      <c r="N11" t="n">
        <v>6.7</v>
      </c>
      <c r="O11" t="n">
        <v>7.6</v>
      </c>
      <c r="P11" t="n">
        <v>8.2</v>
      </c>
      <c r="Q11" t="n">
        <v>10.1</v>
      </c>
      <c r="R11" t="n">
        <v>12.5</v>
      </c>
      <c r="S11" t="n">
        <v>14.9</v>
      </c>
      <c r="T11" t="n">
        <v>28.8</v>
      </c>
      <c r="U11" t="n">
        <v>21.6</v>
      </c>
      <c r="V11" t="n">
        <v>20.4</v>
      </c>
      <c r="W11" t="n">
        <v>18.5</v>
      </c>
      <c r="X11" t="n">
        <v>19.6</v>
      </c>
      <c r="Y11" t="n">
        <v>19.1</v>
      </c>
      <c r="Z11" t="n">
        <v>19.8</v>
      </c>
      <c r="AA11" t="n">
        <v>20.5</v>
      </c>
      <c r="AB11" t="n">
        <v>21.3</v>
      </c>
      <c r="AC11" t="n">
        <v>24.6</v>
      </c>
      <c r="AD11" t="n">
        <v>27.7</v>
      </c>
      <c r="AE11" t="n">
        <v>30.1</v>
      </c>
      <c r="AF11" t="n">
        <v>33.9</v>
      </c>
    </row>
    <row r="12">
      <c r="A12" t="s">
        <v>120</v>
      </c>
      <c r="B12" t="s">
        <v>294</v>
      </c>
      <c r="C12" t="s">
        <v>217</v>
      </c>
      <c r="D12" t="s">
        <v>295</v>
      </c>
      <c r="E12" t="s">
        <v>218</v>
      </c>
      <c r="F12" t="n">
        <v>8.9</v>
      </c>
      <c r="G12" t="n">
        <v>8.8</v>
      </c>
      <c r="H12" t="n">
        <v>8.8</v>
      </c>
      <c r="I12" t="n">
        <v>9.4</v>
      </c>
      <c r="J12" t="n">
        <v>9.5</v>
      </c>
      <c r="K12" t="n">
        <v>10.5</v>
      </c>
      <c r="L12" t="n">
        <v>13.1</v>
      </c>
      <c r="M12" t="n">
        <v>14</v>
      </c>
      <c r="N12" t="n">
        <v>15.3</v>
      </c>
      <c r="O12" t="n">
        <v>16.1</v>
      </c>
      <c r="P12" t="n">
        <v>16.5</v>
      </c>
      <c r="Q12" t="n">
        <v>17.3</v>
      </c>
      <c r="R12" t="n">
        <v>18.8</v>
      </c>
      <c r="S12" t="n">
        <v>20.3</v>
      </c>
      <c r="T12" t="n">
        <v>20</v>
      </c>
      <c r="U12" t="n">
        <v>19.9</v>
      </c>
      <c r="V12" t="n">
        <v>19.2</v>
      </c>
      <c r="W12" t="n">
        <v>17.4</v>
      </c>
      <c r="X12" t="n">
        <v>16</v>
      </c>
      <c r="Y12" t="n">
        <v>15.6</v>
      </c>
      <c r="Z12" t="n">
        <v>15.2</v>
      </c>
      <c r="AA12" t="n">
        <v>14.6</v>
      </c>
      <c r="AB12" t="n">
        <v>14.1</v>
      </c>
      <c r="AC12" t="n">
        <v>13.4</v>
      </c>
      <c r="AD12" t="n">
        <v>13.1</v>
      </c>
      <c r="AE12" t="n">
        <v>12.5</v>
      </c>
      <c r="AF12" t="n">
        <v>12.3</v>
      </c>
    </row>
    <row r="13">
      <c r="A13" t="s">
        <v>120</v>
      </c>
      <c r="B13" t="s">
        <v>296</v>
      </c>
      <c r="C13" t="s">
        <v>217</v>
      </c>
      <c r="D13" t="s">
        <v>297</v>
      </c>
      <c r="E13" t="s">
        <v>218</v>
      </c>
      <c r="F13" t="n">
        <v>13.4</v>
      </c>
      <c r="G13" t="n">
        <v>15</v>
      </c>
      <c r="H13" t="n">
        <v>17</v>
      </c>
      <c r="I13" t="n">
        <v>20</v>
      </c>
      <c r="J13" t="n">
        <v>21.9</v>
      </c>
      <c r="K13" t="n">
        <v>26.7</v>
      </c>
      <c r="L13" t="n">
        <v>27.4</v>
      </c>
      <c r="M13" t="n">
        <v>27.1</v>
      </c>
      <c r="N13" t="n">
        <v>26.2</v>
      </c>
      <c r="O13" t="n">
        <v>26.6</v>
      </c>
      <c r="P13" t="n">
        <v>26.2</v>
      </c>
      <c r="Q13" t="n">
        <v>30.4</v>
      </c>
      <c r="R13" t="n">
        <v>31.7</v>
      </c>
      <c r="S13" t="n">
        <v>34.3</v>
      </c>
      <c r="T13" t="n">
        <v>33.6</v>
      </c>
      <c r="U13" t="n">
        <v>36.2</v>
      </c>
      <c r="V13" t="n">
        <v>31.6</v>
      </c>
      <c r="W13" t="n">
        <v>29.9</v>
      </c>
      <c r="X13" t="n">
        <v>24.5</v>
      </c>
      <c r="Y13" t="n">
        <v>23.3</v>
      </c>
      <c r="Z13" t="n">
        <v>22.9</v>
      </c>
      <c r="AA13" t="n">
        <v>21.1</v>
      </c>
      <c r="AB13" t="n">
        <v>19.5</v>
      </c>
      <c r="AC13" t="n">
        <v>19.9</v>
      </c>
      <c r="AD13" t="n">
        <v>19.9</v>
      </c>
      <c r="AE13" t="n">
        <v>22.3</v>
      </c>
      <c r="AF13" t="n">
        <v>25.6</v>
      </c>
    </row>
    <row r="14">
      <c r="A14" t="s">
        <v>120</v>
      </c>
      <c r="B14" t="s">
        <v>298</v>
      </c>
      <c r="C14" t="s">
        <v>217</v>
      </c>
      <c r="D14" t="s">
        <v>299</v>
      </c>
      <c r="E14" t="s">
        <v>218</v>
      </c>
      <c r="F14" t="n">
        <v>1.1</v>
      </c>
      <c r="G14" t="n">
        <v>2.1</v>
      </c>
      <c r="H14" t="n">
        <v>3.3</v>
      </c>
      <c r="I14" t="n">
        <v>4.7</v>
      </c>
      <c r="J14" t="n">
        <v>5.7</v>
      </c>
      <c r="K14" t="n">
        <v>7.8</v>
      </c>
      <c r="L14" t="n">
        <v>16</v>
      </c>
      <c r="M14" t="n">
        <v>15</v>
      </c>
      <c r="N14" t="n">
        <v>15.2</v>
      </c>
      <c r="O14" t="n">
        <v>14.4</v>
      </c>
      <c r="P14" t="n">
        <v>12.3</v>
      </c>
      <c r="Q14" t="n">
        <v>10.7</v>
      </c>
      <c r="R14" t="n">
        <v>9.3</v>
      </c>
      <c r="S14" t="n">
        <v>8.3</v>
      </c>
      <c r="T14" t="n">
        <v>7.3</v>
      </c>
      <c r="U14" t="n">
        <v>6.5</v>
      </c>
      <c r="V14" t="n">
        <v>5.8</v>
      </c>
      <c r="W14" t="n">
        <v>4.6</v>
      </c>
      <c r="X14" t="n">
        <v>4.2</v>
      </c>
      <c r="Y14" t="n">
        <v>4.5</v>
      </c>
      <c r="Z14" t="n">
        <v>4.4</v>
      </c>
      <c r="AA14" t="n">
        <v>4.6</v>
      </c>
      <c r="AB14" t="n">
        <v>4.7</v>
      </c>
      <c r="AC14" t="n">
        <v>4.2</v>
      </c>
      <c r="AD14" t="n">
        <v>3.7</v>
      </c>
      <c r="AE14" t="n">
        <v>3.3</v>
      </c>
      <c r="AF14" t="n">
        <v>2.9</v>
      </c>
    </row>
    <row r="15">
      <c r="A15" t="s">
        <v>120</v>
      </c>
      <c r="B15" t="s">
        <v>300</v>
      </c>
      <c r="C15" t="s">
        <v>217</v>
      </c>
      <c r="D15" t="s">
        <v>301</v>
      </c>
      <c r="E15" t="s">
        <v>218</v>
      </c>
      <c r="F15" t="n">
        <v>3.7</v>
      </c>
      <c r="G15" t="n">
        <v>4.6</v>
      </c>
      <c r="H15" t="n">
        <v>5.8</v>
      </c>
      <c r="I15" t="n">
        <v>7.3</v>
      </c>
      <c r="J15" t="n">
        <v>8.3</v>
      </c>
      <c r="K15" t="n">
        <v>10.6</v>
      </c>
      <c r="L15" t="n">
        <v>18.7</v>
      </c>
      <c r="M15" t="n">
        <v>17.6</v>
      </c>
      <c r="N15" t="n">
        <v>17.7</v>
      </c>
      <c r="O15" t="n">
        <v>16.9</v>
      </c>
      <c r="P15" t="n">
        <v>15</v>
      </c>
      <c r="Q15" t="n">
        <v>13.9</v>
      </c>
      <c r="R15" t="n">
        <v>12.6</v>
      </c>
      <c r="S15" t="n">
        <v>12.5</v>
      </c>
      <c r="T15" t="n">
        <v>11.3</v>
      </c>
      <c r="U15" t="n">
        <v>10.2</v>
      </c>
      <c r="V15" t="n">
        <v>9.4</v>
      </c>
      <c r="W15" t="n">
        <v>7.7</v>
      </c>
      <c r="X15" t="n">
        <v>7</v>
      </c>
      <c r="Y15" t="n">
        <v>8</v>
      </c>
      <c r="Z15" t="n">
        <v>7.8</v>
      </c>
      <c r="AA15" t="n">
        <v>7.9</v>
      </c>
      <c r="AB15" t="n">
        <v>8</v>
      </c>
      <c r="AC15" t="n">
        <v>7.6</v>
      </c>
      <c r="AD15" t="n">
        <v>7.5</v>
      </c>
      <c r="AE15" t="n">
        <v>7.4</v>
      </c>
      <c r="AF15" t="n">
        <v>7.5</v>
      </c>
    </row>
    <row r="16">
      <c r="A16" t="s">
        <v>120</v>
      </c>
      <c r="B16" t="s">
        <v>302</v>
      </c>
      <c r="C16" t="s">
        <v>217</v>
      </c>
      <c r="D16" t="s">
        <v>303</v>
      </c>
      <c r="E16" t="s">
        <v>218</v>
      </c>
      <c r="F16" t="n">
        <v>2.6</v>
      </c>
      <c r="G16" t="n">
        <v>2.5</v>
      </c>
      <c r="H16" t="n">
        <v>2.5</v>
      </c>
      <c r="I16" t="n">
        <v>2.6</v>
      </c>
      <c r="J16" t="n">
        <v>2.6</v>
      </c>
      <c r="K16" t="n">
        <v>2.8</v>
      </c>
      <c r="L16" t="n">
        <v>2.7</v>
      </c>
      <c r="M16" t="n">
        <v>2.6</v>
      </c>
      <c r="N16" t="n">
        <v>2.5</v>
      </c>
      <c r="O16" t="n">
        <v>2.5</v>
      </c>
      <c r="P16" t="n">
        <v>2.7</v>
      </c>
      <c r="Q16" t="n">
        <v>3.2</v>
      </c>
      <c r="R16" t="n">
        <v>3.3</v>
      </c>
      <c r="S16" t="n">
        <v>4.2</v>
      </c>
      <c r="T16" t="n">
        <v>4</v>
      </c>
      <c r="U16" t="n">
        <v>3.7</v>
      </c>
      <c r="V16" t="n">
        <v>3.6</v>
      </c>
      <c r="W16" t="n">
        <v>3.1</v>
      </c>
      <c r="X16" t="n">
        <v>2.8</v>
      </c>
      <c r="Y16" t="n">
        <v>3.5</v>
      </c>
      <c r="Z16" t="n">
        <v>3.4</v>
      </c>
      <c r="AA16" t="n">
        <v>3.3</v>
      </c>
      <c r="AB16" t="n">
        <v>3.3</v>
      </c>
      <c r="AC16" t="n">
        <v>3.4</v>
      </c>
      <c r="AD16" t="n">
        <v>3.8</v>
      </c>
      <c r="AE16" t="n">
        <v>4.1</v>
      </c>
      <c r="AF16" t="n">
        <v>4.6</v>
      </c>
    </row>
    <row r="17">
      <c r="A17" t="s">
        <v>120</v>
      </c>
      <c r="B17" t="s">
        <v>304</v>
      </c>
      <c r="C17" t="s">
        <v>217</v>
      </c>
      <c r="D17" t="s">
        <v>305</v>
      </c>
      <c r="E17" t="s">
        <v>218</v>
      </c>
      <c r="F17" t="n">
        <v>1.4</v>
      </c>
      <c r="G17" t="n">
        <v>1.5</v>
      </c>
      <c r="H17" t="n">
        <v>1.6</v>
      </c>
      <c r="I17" t="n">
        <v>1.9</v>
      </c>
      <c r="J17" t="n">
        <v>2</v>
      </c>
      <c r="K17" t="n">
        <v>2.4</v>
      </c>
      <c r="L17" t="n">
        <v>2.5</v>
      </c>
      <c r="M17" t="n">
        <v>2.7</v>
      </c>
      <c r="N17" t="n">
        <v>2.7</v>
      </c>
      <c r="O17" t="n">
        <v>2.9</v>
      </c>
      <c r="P17" t="n">
        <v>2.7</v>
      </c>
      <c r="Q17" t="n">
        <v>2.7</v>
      </c>
      <c r="R17" t="n">
        <v>2.7</v>
      </c>
      <c r="S17" t="n">
        <v>2.9</v>
      </c>
      <c r="T17" t="n">
        <v>3</v>
      </c>
      <c r="U17" t="n">
        <v>2.8</v>
      </c>
      <c r="V17" t="n">
        <v>2.6</v>
      </c>
      <c r="W17" t="n">
        <v>2.4</v>
      </c>
      <c r="X17" t="n">
        <v>2.2</v>
      </c>
      <c r="Y17" t="n">
        <v>2</v>
      </c>
      <c r="Z17" t="n">
        <v>1.9</v>
      </c>
      <c r="AA17" t="n">
        <v>1.7</v>
      </c>
      <c r="AB17" t="n">
        <v>1.6</v>
      </c>
      <c r="AC17" t="n">
        <v>1.5</v>
      </c>
      <c r="AD17" t="n">
        <v>1.3</v>
      </c>
      <c r="AE17" t="n">
        <v>1.3</v>
      </c>
      <c r="AF17" t="n">
        <v>1.2</v>
      </c>
    </row>
    <row r="18">
      <c r="A18" t="s">
        <v>120</v>
      </c>
      <c r="B18" t="s">
        <v>306</v>
      </c>
      <c r="C18" t="s">
        <v>217</v>
      </c>
      <c r="D18" t="s">
        <v>307</v>
      </c>
      <c r="E18" t="s">
        <v>218</v>
      </c>
      <c r="F18" t="n">
        <v>2.1</v>
      </c>
      <c r="G18" t="n">
        <v>2.3</v>
      </c>
      <c r="H18" t="n">
        <v>2.6</v>
      </c>
      <c r="I18" t="n">
        <v>2.9</v>
      </c>
      <c r="J18" t="n">
        <v>3.2</v>
      </c>
      <c r="K18" t="n">
        <v>3.8</v>
      </c>
      <c r="L18" t="n">
        <v>4.1</v>
      </c>
      <c r="M18" t="n">
        <v>4.3</v>
      </c>
      <c r="N18" t="n">
        <v>4.2</v>
      </c>
      <c r="O18" t="n">
        <v>4.1</v>
      </c>
      <c r="P18" t="n">
        <v>4.1</v>
      </c>
      <c r="Q18" t="n">
        <v>3.9</v>
      </c>
      <c r="R18" t="n">
        <v>4</v>
      </c>
      <c r="S18" t="n">
        <v>4.3</v>
      </c>
      <c r="T18" t="n">
        <v>4.5</v>
      </c>
      <c r="U18" t="n">
        <v>4.7</v>
      </c>
      <c r="V18" t="n">
        <v>4</v>
      </c>
      <c r="W18" t="n">
        <v>4.3</v>
      </c>
      <c r="X18" t="n">
        <v>3.8</v>
      </c>
      <c r="Y18" t="n">
        <v>3.3</v>
      </c>
      <c r="Z18" t="n">
        <v>2.9</v>
      </c>
      <c r="AA18" t="n">
        <v>2.6</v>
      </c>
      <c r="AB18" t="n">
        <v>2.3</v>
      </c>
      <c r="AC18" t="n">
        <v>2</v>
      </c>
      <c r="AD18" t="n">
        <v>1.7</v>
      </c>
      <c r="AE18" t="n">
        <v>1.5</v>
      </c>
      <c r="AF18" t="n">
        <v>1.4</v>
      </c>
    </row>
    <row r="19">
      <c r="A19" t="s">
        <v>120</v>
      </c>
      <c r="B19" t="s">
        <v>308</v>
      </c>
      <c r="C19" t="s">
        <v>217</v>
      </c>
      <c r="D19" t="s">
        <v>309</v>
      </c>
      <c r="E19" t="s">
        <v>218</v>
      </c>
      <c r="F19" t="n">
        <v>3.3</v>
      </c>
      <c r="G19" t="n">
        <v>3.3</v>
      </c>
      <c r="H19" t="n">
        <v>3.4</v>
      </c>
      <c r="I19" t="n">
        <v>3.6</v>
      </c>
      <c r="J19" t="n">
        <v>3.7</v>
      </c>
      <c r="K19" t="n">
        <v>4.1</v>
      </c>
      <c r="L19" t="n">
        <v>4.7</v>
      </c>
      <c r="M19" t="n">
        <v>5.3</v>
      </c>
      <c r="N19" t="n">
        <v>5.9</v>
      </c>
      <c r="O19" t="n">
        <v>6.5</v>
      </c>
      <c r="P19" t="n">
        <v>6.9</v>
      </c>
      <c r="Q19" t="n">
        <v>7.6</v>
      </c>
      <c r="R19" t="n">
        <v>7.8</v>
      </c>
      <c r="S19" t="n">
        <v>9.2</v>
      </c>
      <c r="T19" t="n">
        <v>8.8</v>
      </c>
      <c r="U19" t="n">
        <v>8</v>
      </c>
      <c r="V19" t="n">
        <v>7.2</v>
      </c>
      <c r="W19" t="n">
        <v>6.4</v>
      </c>
      <c r="X19" t="n">
        <v>5.8</v>
      </c>
      <c r="Y19" t="n">
        <v>5.8</v>
      </c>
      <c r="Z19" t="n">
        <v>5.9</v>
      </c>
      <c r="AA19" t="n">
        <v>5.6</v>
      </c>
      <c r="AB19" t="n">
        <v>5.4</v>
      </c>
      <c r="AC19" t="n">
        <v>4.9</v>
      </c>
      <c r="AD19" t="n">
        <v>4.6</v>
      </c>
      <c r="AE19" t="n">
        <v>4.6</v>
      </c>
      <c r="AF19" t="n">
        <v>4.8</v>
      </c>
    </row>
    <row r="20">
      <c r="A20" t="s">
        <v>120</v>
      </c>
      <c r="B20" t="s">
        <v>310</v>
      </c>
      <c r="C20" t="s">
        <v>217</v>
      </c>
      <c r="D20" t="s">
        <v>311</v>
      </c>
      <c r="E20" t="s">
        <v>218</v>
      </c>
      <c r="F20" t="n">
        <v>9.3</v>
      </c>
      <c r="G20" t="n">
        <v>8.8</v>
      </c>
      <c r="H20" t="n">
        <v>8.6</v>
      </c>
      <c r="I20" t="n">
        <v>8.7</v>
      </c>
      <c r="J20" t="n">
        <v>8.5</v>
      </c>
      <c r="K20" t="n">
        <v>9</v>
      </c>
      <c r="L20" t="n">
        <v>9.3</v>
      </c>
      <c r="M20" t="n">
        <v>15.3</v>
      </c>
      <c r="N20" t="n">
        <v>14.6</v>
      </c>
      <c r="O20" t="n">
        <v>13.5</v>
      </c>
      <c r="P20" t="n">
        <v>12</v>
      </c>
      <c r="Q20" t="n">
        <v>12.2</v>
      </c>
      <c r="R20" t="n">
        <v>10.8</v>
      </c>
      <c r="S20" t="n">
        <v>10.2</v>
      </c>
      <c r="T20" t="n">
        <v>9.6</v>
      </c>
      <c r="U20" t="n">
        <v>9.1</v>
      </c>
      <c r="V20" t="n">
        <v>8.3</v>
      </c>
      <c r="W20" t="n">
        <v>7.8</v>
      </c>
      <c r="X20" t="n">
        <v>6.9</v>
      </c>
      <c r="Y20" t="n">
        <v>6.6</v>
      </c>
      <c r="Z20" t="n">
        <v>12.3</v>
      </c>
      <c r="AA20" t="n">
        <v>11.6</v>
      </c>
      <c r="AB20" t="n">
        <v>11</v>
      </c>
      <c r="AC20" t="n">
        <v>16.1</v>
      </c>
      <c r="AD20" t="n">
        <v>21.5</v>
      </c>
      <c r="AE20" t="n">
        <v>35.1</v>
      </c>
      <c r="AF20" t="n">
        <v>50.1</v>
      </c>
    </row>
    <row r="21">
      <c r="A21" t="s">
        <v>120</v>
      </c>
      <c r="B21" t="s">
        <v>312</v>
      </c>
      <c r="C21" t="s">
        <v>217</v>
      </c>
      <c r="D21" t="s">
        <v>313</v>
      </c>
      <c r="E21" t="s">
        <v>218</v>
      </c>
      <c r="F21" t="n">
        <v>9.4</v>
      </c>
      <c r="G21" t="n">
        <v>8.9</v>
      </c>
      <c r="H21" t="n">
        <v>8.8</v>
      </c>
      <c r="I21" t="n">
        <v>9</v>
      </c>
      <c r="J21" t="n">
        <v>8.9</v>
      </c>
      <c r="K21" t="n">
        <v>9.6</v>
      </c>
      <c r="L21" t="n">
        <v>10.3</v>
      </c>
      <c r="M21" t="n">
        <v>16.4</v>
      </c>
      <c r="N21" t="n">
        <v>15.6</v>
      </c>
      <c r="O21" t="n">
        <v>14.5</v>
      </c>
      <c r="P21" t="n">
        <v>13.9</v>
      </c>
      <c r="Q21" t="n">
        <v>13.9</v>
      </c>
      <c r="R21" t="n">
        <v>12.4</v>
      </c>
      <c r="S21" t="n">
        <v>11.6</v>
      </c>
      <c r="T21" t="n">
        <v>11</v>
      </c>
      <c r="U21" t="n">
        <v>10.7</v>
      </c>
      <c r="V21" t="n">
        <v>16.6</v>
      </c>
      <c r="W21" t="n">
        <v>15.5</v>
      </c>
      <c r="X21" t="n">
        <v>13.9</v>
      </c>
      <c r="Y21" t="n">
        <v>13.8</v>
      </c>
      <c r="Z21" t="n">
        <v>20.7</v>
      </c>
      <c r="AA21" t="n">
        <v>20.4</v>
      </c>
      <c r="AB21" t="n">
        <v>20.8</v>
      </c>
      <c r="AC21" t="n">
        <v>27.3</v>
      </c>
      <c r="AD21" t="n">
        <v>34.4</v>
      </c>
      <c r="AE21" t="n">
        <v>49.2</v>
      </c>
      <c r="AF21" t="n">
        <v>66</v>
      </c>
    </row>
    <row r="22">
      <c r="A22" t="s">
        <v>120</v>
      </c>
      <c r="B22" t="s">
        <v>314</v>
      </c>
      <c r="C22" t="s">
        <v>217</v>
      </c>
      <c r="D22" t="s">
        <v>315</v>
      </c>
      <c r="E22" t="s">
        <v>218</v>
      </c>
      <c r="F22" t="n">
        <v>0.1</v>
      </c>
      <c r="G22" t="n">
        <v>0.1</v>
      </c>
      <c r="H22" t="n">
        <v>0.2</v>
      </c>
      <c r="I22" t="n">
        <v>0.3</v>
      </c>
      <c r="J22" t="n">
        <v>0.4</v>
      </c>
      <c r="K22" t="n">
        <v>0.6</v>
      </c>
      <c r="L22" t="n">
        <v>1</v>
      </c>
      <c r="M22" t="n">
        <v>1.1</v>
      </c>
      <c r="N22" t="n">
        <v>1</v>
      </c>
      <c r="O22" t="n">
        <v>1</v>
      </c>
      <c r="P22" t="n">
        <v>1.9</v>
      </c>
      <c r="Q22" t="n">
        <v>1.7</v>
      </c>
      <c r="R22" t="n">
        <v>1.6</v>
      </c>
      <c r="S22" t="n">
        <v>1.4</v>
      </c>
      <c r="T22" t="n">
        <v>1.4</v>
      </c>
      <c r="U22" t="n">
        <v>1.6</v>
      </c>
      <c r="V22" t="n">
        <v>8.3</v>
      </c>
      <c r="W22" t="n">
        <v>7.7</v>
      </c>
      <c r="X22" t="n">
        <v>7</v>
      </c>
      <c r="Y22" t="n">
        <v>7.2</v>
      </c>
      <c r="Z22" t="n">
        <v>8.4</v>
      </c>
      <c r="AA22" t="n">
        <v>8.8</v>
      </c>
      <c r="AB22" t="n">
        <v>9.8</v>
      </c>
      <c r="AC22" t="n">
        <v>11.2</v>
      </c>
      <c r="AD22" t="n">
        <v>12.9</v>
      </c>
      <c r="AE22" t="n">
        <v>14.1</v>
      </c>
      <c r="AF22" t="n">
        <v>15.9</v>
      </c>
    </row>
    <row r="23">
      <c r="A23" t="s">
        <v>120</v>
      </c>
      <c r="B23" t="s">
        <v>316</v>
      </c>
      <c r="C23" t="s">
        <v>217</v>
      </c>
      <c r="D23" t="s">
        <v>317</v>
      </c>
      <c r="E23" t="s">
        <v>218</v>
      </c>
      <c r="F23" t="n">
        <v>21.1</v>
      </c>
      <c r="G23" t="n">
        <v>20.9</v>
      </c>
      <c r="H23" t="n">
        <v>21.2</v>
      </c>
      <c r="I23" t="n">
        <v>22.5</v>
      </c>
      <c r="J23" t="n">
        <v>22.8</v>
      </c>
      <c r="K23" t="n">
        <v>25.2</v>
      </c>
      <c r="L23" t="n">
        <v>41.4</v>
      </c>
      <c r="M23" t="n">
        <v>74.2</v>
      </c>
      <c r="N23" t="n">
        <v>75.9</v>
      </c>
      <c r="O23" t="n">
        <v>80.2</v>
      </c>
      <c r="P23" t="n">
        <v>78.7</v>
      </c>
      <c r="Q23" t="n">
        <v>84.1</v>
      </c>
      <c r="R23" t="n">
        <v>93.7</v>
      </c>
      <c r="S23" t="n">
        <v>121.1</v>
      </c>
      <c r="T23" t="n">
        <v>116.4</v>
      </c>
      <c r="U23" t="n">
        <v>106.3</v>
      </c>
      <c r="V23" t="n">
        <v>88.5</v>
      </c>
      <c r="W23" t="n">
        <v>79.2</v>
      </c>
      <c r="X23" t="n">
        <v>71.8</v>
      </c>
      <c r="Y23" t="n">
        <v>64.8</v>
      </c>
      <c r="Z23" t="n">
        <v>57.3</v>
      </c>
      <c r="AA23" t="n">
        <v>51.2</v>
      </c>
      <c r="AB23" t="n">
        <v>46.1</v>
      </c>
      <c r="AC23" t="n">
        <v>39.7</v>
      </c>
      <c r="AD23" t="n">
        <v>34.3</v>
      </c>
      <c r="AE23" t="n">
        <v>29.4</v>
      </c>
      <c r="AF23" t="n">
        <v>25.2</v>
      </c>
    </row>
    <row r="24">
      <c r="A24" t="s">
        <v>120</v>
      </c>
      <c r="B24" t="s">
        <v>318</v>
      </c>
      <c r="C24" t="s">
        <v>217</v>
      </c>
      <c r="D24" t="s">
        <v>319</v>
      </c>
      <c r="E24" t="s">
        <v>218</v>
      </c>
      <c r="F24" t="n">
        <v>265.7</v>
      </c>
      <c r="G24" t="n">
        <v>266.4</v>
      </c>
      <c r="H24" t="n">
        <v>273.1</v>
      </c>
      <c r="I24" t="n">
        <v>293.8</v>
      </c>
      <c r="J24" t="n">
        <v>300.8</v>
      </c>
      <c r="K24" t="n">
        <v>337.9</v>
      </c>
      <c r="L24" t="n">
        <v>353.2</v>
      </c>
      <c r="M24" t="n">
        <v>387.2</v>
      </c>
      <c r="N24" t="n">
        <v>431.1</v>
      </c>
      <c r="O24" t="n">
        <v>470.2</v>
      </c>
      <c r="P24" t="n">
        <v>546.3</v>
      </c>
      <c r="Q24" t="n">
        <v>623.8</v>
      </c>
      <c r="R24" t="n">
        <v>702.9</v>
      </c>
      <c r="S24" t="n">
        <v>754.2</v>
      </c>
      <c r="T24" t="n">
        <v>771.8</v>
      </c>
      <c r="U24" t="n">
        <v>751.4</v>
      </c>
      <c r="V24" t="n">
        <v>687.8</v>
      </c>
      <c r="W24" t="n">
        <v>636.1</v>
      </c>
      <c r="X24" t="n">
        <v>584.9</v>
      </c>
      <c r="Y24" t="n">
        <v>581.5</v>
      </c>
      <c r="Z24" t="n">
        <v>560.9</v>
      </c>
      <c r="AA24" t="n">
        <v>544.4</v>
      </c>
      <c r="AB24" t="n">
        <v>532.3</v>
      </c>
      <c r="AC24" t="n">
        <v>494.2</v>
      </c>
      <c r="AD24" t="n">
        <v>466.1</v>
      </c>
      <c r="AE24" t="n">
        <v>439.4</v>
      </c>
      <c r="AF24" t="n">
        <v>424.8</v>
      </c>
    </row>
    <row r="25">
      <c r="A25" t="s">
        <v>120</v>
      </c>
      <c r="B25" t="s">
        <v>320</v>
      </c>
      <c r="C25" t="s">
        <v>217</v>
      </c>
      <c r="D25" t="s">
        <v>321</v>
      </c>
      <c r="E25" t="s">
        <v>218</v>
      </c>
      <c r="F25" t="n">
        <v>10.6</v>
      </c>
      <c r="G25" t="n">
        <v>11.5</v>
      </c>
      <c r="H25" t="n">
        <v>12.5</v>
      </c>
      <c r="I25" t="n">
        <v>14.3</v>
      </c>
      <c r="J25" t="n">
        <v>15.3</v>
      </c>
      <c r="K25" t="n">
        <v>18.2</v>
      </c>
      <c r="L25" t="n">
        <v>28.5</v>
      </c>
      <c r="M25" t="n">
        <v>36.2</v>
      </c>
      <c r="N25" t="n">
        <v>38.1</v>
      </c>
      <c r="O25" t="n">
        <v>41.2</v>
      </c>
      <c r="P25" t="n">
        <v>45.7</v>
      </c>
      <c r="Q25" t="n">
        <v>52.4</v>
      </c>
      <c r="R25" t="n">
        <v>61.4</v>
      </c>
      <c r="S25" t="n">
        <v>68.7</v>
      </c>
      <c r="T25" t="n">
        <v>70.5</v>
      </c>
      <c r="U25" t="n">
        <v>67.9</v>
      </c>
      <c r="V25" t="n">
        <v>59.8</v>
      </c>
      <c r="W25" t="n">
        <v>52.8</v>
      </c>
      <c r="X25" t="n">
        <v>47.9</v>
      </c>
      <c r="Y25" t="n">
        <v>45.3</v>
      </c>
      <c r="Z25" t="n">
        <v>42.2</v>
      </c>
      <c r="AA25" t="n">
        <v>44.6</v>
      </c>
      <c r="AB25" t="n">
        <v>47</v>
      </c>
      <c r="AC25" t="n">
        <v>43.6</v>
      </c>
      <c r="AD25" t="n">
        <v>39.3</v>
      </c>
      <c r="AE25" t="n">
        <v>35</v>
      </c>
      <c r="AF25" t="n">
        <v>31.6</v>
      </c>
    </row>
    <row r="26">
      <c r="A26" t="s">
        <v>120</v>
      </c>
      <c r="B26" t="s">
        <v>322</v>
      </c>
      <c r="C26" t="s">
        <v>217</v>
      </c>
      <c r="D26" t="s">
        <v>323</v>
      </c>
      <c r="E26" t="s">
        <v>218</v>
      </c>
      <c r="F26" t="n">
        <v>89.6</v>
      </c>
      <c r="G26" t="n">
        <v>90.6</v>
      </c>
      <c r="H26" t="n">
        <v>93.8</v>
      </c>
      <c r="I26" t="n">
        <v>101.8</v>
      </c>
      <c r="J26" t="n">
        <v>105</v>
      </c>
      <c r="K26" t="n">
        <v>119</v>
      </c>
      <c r="L26" t="n">
        <v>135.1</v>
      </c>
      <c r="M26" t="n">
        <v>155.1</v>
      </c>
      <c r="N26" t="n">
        <v>186.6</v>
      </c>
      <c r="O26" t="n">
        <v>228</v>
      </c>
      <c r="P26" t="n">
        <v>280.8</v>
      </c>
      <c r="Q26" t="n">
        <v>346.2</v>
      </c>
      <c r="R26" t="n">
        <v>406.3</v>
      </c>
      <c r="S26" t="n">
        <v>450</v>
      </c>
      <c r="T26" t="n">
        <v>471</v>
      </c>
      <c r="U26" t="n">
        <v>459.2</v>
      </c>
      <c r="V26" t="n">
        <v>419.4</v>
      </c>
      <c r="W26" t="n">
        <v>386.6</v>
      </c>
      <c r="X26" t="n">
        <v>351</v>
      </c>
      <c r="Y26" t="n">
        <v>350.2</v>
      </c>
      <c r="Z26" t="n">
        <v>340.8</v>
      </c>
      <c r="AA26" t="n">
        <v>322.1</v>
      </c>
      <c r="AB26" t="n">
        <v>306.8</v>
      </c>
      <c r="AC26" t="n">
        <v>284.5</v>
      </c>
      <c r="AD26" t="n">
        <v>265.6</v>
      </c>
      <c r="AE26" t="n">
        <v>254.6</v>
      </c>
      <c r="AF26" t="n">
        <v>250.8</v>
      </c>
    </row>
    <row r="27">
      <c r="A27" t="s">
        <v>120</v>
      </c>
      <c r="B27" t="s">
        <v>324</v>
      </c>
      <c r="C27" t="s">
        <v>217</v>
      </c>
      <c r="D27" t="s">
        <v>325</v>
      </c>
      <c r="E27" t="s">
        <v>218</v>
      </c>
      <c r="F27" t="n">
        <v>165.5</v>
      </c>
      <c r="G27" t="n">
        <v>164.3</v>
      </c>
      <c r="H27" t="n">
        <v>166.8</v>
      </c>
      <c r="I27" t="n">
        <v>177.7</v>
      </c>
      <c r="J27" t="n">
        <v>180.5</v>
      </c>
      <c r="K27" t="n">
        <v>200.7</v>
      </c>
      <c r="L27" t="n">
        <v>189.6</v>
      </c>
      <c r="M27" t="n">
        <v>195.9</v>
      </c>
      <c r="N27" t="n">
        <v>206.4</v>
      </c>
      <c r="O27" t="n">
        <v>201</v>
      </c>
      <c r="P27" t="n">
        <v>219.8</v>
      </c>
      <c r="Q27" t="n">
        <v>225.2</v>
      </c>
      <c r="R27" t="n">
        <v>235.2</v>
      </c>
      <c r="S27" t="n">
        <v>235.5</v>
      </c>
      <c r="T27" t="n">
        <v>230.3</v>
      </c>
      <c r="U27" t="n">
        <v>224.3</v>
      </c>
      <c r="V27" t="n">
        <v>208.6</v>
      </c>
      <c r="W27" t="n">
        <v>196.7</v>
      </c>
      <c r="X27" t="n">
        <v>186</v>
      </c>
      <c r="Y27" t="n">
        <v>186</v>
      </c>
      <c r="Z27" t="n">
        <v>177.9</v>
      </c>
      <c r="AA27" t="n">
        <v>177.7</v>
      </c>
      <c r="AB27" t="n">
        <v>178.5</v>
      </c>
      <c r="AC27" t="n">
        <v>166.1</v>
      </c>
      <c r="AD27" t="n">
        <v>161.2</v>
      </c>
      <c r="AE27" t="n">
        <v>149.8</v>
      </c>
      <c r="AF27" t="n">
        <v>142.4</v>
      </c>
    </row>
    <row r="28">
      <c r="A28" t="s">
        <v>120</v>
      </c>
      <c r="B28" t="s">
        <v>326</v>
      </c>
      <c r="C28" t="s">
        <v>217</v>
      </c>
      <c r="D28" t="s">
        <v>327</v>
      </c>
      <c r="E28" t="s">
        <v>218</v>
      </c>
      <c r="F28" t="n">
        <v>80.8</v>
      </c>
      <c r="G28" t="n">
        <v>74.4</v>
      </c>
      <c r="H28" t="n">
        <v>69.6</v>
      </c>
      <c r="I28" t="n">
        <v>68</v>
      </c>
      <c r="J28" t="n">
        <v>64.1</v>
      </c>
      <c r="K28" t="n">
        <v>63.5</v>
      </c>
      <c r="L28" t="n">
        <v>79.2</v>
      </c>
      <c r="M28" t="n">
        <v>78.4</v>
      </c>
      <c r="N28" t="n">
        <v>73.6</v>
      </c>
      <c r="O28" t="n">
        <v>75.9</v>
      </c>
      <c r="P28" t="n">
        <v>71.8</v>
      </c>
      <c r="Q28" t="n">
        <v>68.5</v>
      </c>
      <c r="R28" t="n">
        <v>62.9</v>
      </c>
      <c r="S28" t="n">
        <v>59.2</v>
      </c>
      <c r="T28" t="n">
        <v>57.1</v>
      </c>
      <c r="U28" t="n">
        <v>56.7</v>
      </c>
      <c r="V28" t="n">
        <v>46.8</v>
      </c>
      <c r="W28" t="n">
        <v>41.3</v>
      </c>
      <c r="X28" t="n">
        <v>38</v>
      </c>
      <c r="Y28" t="n">
        <v>36.2</v>
      </c>
      <c r="Z28" t="n">
        <v>34</v>
      </c>
      <c r="AA28" t="n">
        <v>35.1</v>
      </c>
      <c r="AB28" t="n">
        <v>38.4</v>
      </c>
      <c r="AC28" t="n">
        <v>40.4</v>
      </c>
      <c r="AD28" t="n">
        <v>37.4</v>
      </c>
      <c r="AE28" t="n">
        <v>34.4</v>
      </c>
      <c r="AF28" t="n">
        <v>31.6</v>
      </c>
    </row>
    <row r="29">
      <c r="A29" t="s">
        <v>120</v>
      </c>
      <c r="B29" t="s">
        <v>328</v>
      </c>
      <c r="C29" t="s">
        <v>217</v>
      </c>
      <c r="D29" t="s">
        <v>329</v>
      </c>
      <c r="E29" t="s">
        <v>218</v>
      </c>
      <c r="F29" t="n">
        <v>38</v>
      </c>
      <c r="G29" t="n">
        <v>35.2</v>
      </c>
      <c r="H29" t="n">
        <v>33.1</v>
      </c>
      <c r="I29" t="n">
        <v>32.6</v>
      </c>
      <c r="J29" t="n">
        <v>30.9</v>
      </c>
      <c r="K29" t="n">
        <v>31</v>
      </c>
      <c r="L29" t="n">
        <v>36.8</v>
      </c>
      <c r="M29" t="n">
        <v>34.5</v>
      </c>
      <c r="N29" t="n">
        <v>32.2</v>
      </c>
      <c r="O29" t="n">
        <v>33.4</v>
      </c>
      <c r="P29" t="n">
        <v>33.5</v>
      </c>
      <c r="Q29" t="n">
        <v>34.7</v>
      </c>
      <c r="R29" t="n">
        <v>32.5</v>
      </c>
      <c r="S29" t="n">
        <v>31.3</v>
      </c>
      <c r="T29" t="n">
        <v>29.6</v>
      </c>
      <c r="U29" t="n">
        <v>31.2</v>
      </c>
      <c r="V29" t="n">
        <v>24.1</v>
      </c>
      <c r="W29" t="n">
        <v>21.2</v>
      </c>
      <c r="X29" t="n">
        <v>19.2</v>
      </c>
      <c r="Y29" t="n">
        <v>18.3</v>
      </c>
      <c r="Z29" t="n">
        <v>16.1</v>
      </c>
      <c r="AA29" t="n">
        <v>14.1</v>
      </c>
      <c r="AB29" t="n">
        <v>14.8</v>
      </c>
      <c r="AC29" t="n">
        <v>14.9</v>
      </c>
      <c r="AD29" t="n">
        <v>14.6</v>
      </c>
      <c r="AE29" t="n">
        <v>14.2</v>
      </c>
      <c r="AF29" t="n">
        <v>13.6</v>
      </c>
    </row>
    <row r="30">
      <c r="A30" t="s">
        <v>120</v>
      </c>
      <c r="B30" t="s">
        <v>330</v>
      </c>
      <c r="C30" t="s">
        <v>217</v>
      </c>
      <c r="D30" t="s">
        <v>331</v>
      </c>
      <c r="E30" t="s">
        <v>218</v>
      </c>
      <c r="F30" t="n">
        <v>35.5</v>
      </c>
      <c r="G30" t="n">
        <v>31.8</v>
      </c>
      <c r="H30" t="n">
        <v>28.8</v>
      </c>
      <c r="I30" t="n">
        <v>27</v>
      </c>
      <c r="J30" t="n">
        <v>24.4</v>
      </c>
      <c r="K30" t="n">
        <v>22.6</v>
      </c>
      <c r="L30" t="n">
        <v>29.4</v>
      </c>
      <c r="M30" t="n">
        <v>29.3</v>
      </c>
      <c r="N30" t="n">
        <v>26.2</v>
      </c>
      <c r="O30" t="n">
        <v>25.3</v>
      </c>
      <c r="P30" t="n">
        <v>22.6</v>
      </c>
      <c r="Q30" t="n">
        <v>19.9</v>
      </c>
      <c r="R30" t="n">
        <v>17</v>
      </c>
      <c r="S30" t="n">
        <v>15</v>
      </c>
      <c r="T30" t="n">
        <v>13.1</v>
      </c>
      <c r="U30" t="n">
        <v>11.4</v>
      </c>
      <c r="V30" t="n">
        <v>9.9</v>
      </c>
      <c r="W30" t="n">
        <v>8.4</v>
      </c>
      <c r="X30" t="n">
        <v>7.5</v>
      </c>
      <c r="Y30" t="n">
        <v>6.6</v>
      </c>
      <c r="Z30" t="n">
        <v>5.8</v>
      </c>
      <c r="AA30" t="n">
        <v>5.1</v>
      </c>
      <c r="AB30" t="n">
        <v>4.4</v>
      </c>
      <c r="AC30" t="n">
        <v>3.8</v>
      </c>
      <c r="AD30" t="n">
        <v>3.3</v>
      </c>
      <c r="AE30" t="n">
        <v>2.8</v>
      </c>
      <c r="AF30" t="n">
        <v>2.4</v>
      </c>
    </row>
    <row r="31">
      <c r="A31" t="s">
        <v>120</v>
      </c>
      <c r="B31" t="s">
        <v>332</v>
      </c>
      <c r="C31" t="s">
        <v>217</v>
      </c>
      <c r="D31" t="s">
        <v>333</v>
      </c>
      <c r="E31" t="s">
        <v>218</v>
      </c>
      <c r="F31" t="n">
        <v>2.9</v>
      </c>
      <c r="G31" t="n">
        <v>2.6</v>
      </c>
      <c r="H31" t="n">
        <v>2.4</v>
      </c>
      <c r="I31" t="n">
        <v>2.3</v>
      </c>
      <c r="J31" t="n">
        <v>2.2</v>
      </c>
      <c r="K31" t="n">
        <v>2.1</v>
      </c>
      <c r="L31" t="n">
        <v>4.1</v>
      </c>
      <c r="M31" t="n">
        <v>5</v>
      </c>
      <c r="N31" t="n">
        <v>4.4</v>
      </c>
      <c r="O31" t="n">
        <v>3.9</v>
      </c>
      <c r="P31" t="n">
        <v>3.3</v>
      </c>
      <c r="Q31" t="n">
        <v>2.8</v>
      </c>
      <c r="R31" t="n">
        <v>2.6</v>
      </c>
      <c r="S31" t="n">
        <v>2.4</v>
      </c>
      <c r="T31" t="n">
        <v>2.3</v>
      </c>
      <c r="U31" t="n">
        <v>2.2</v>
      </c>
      <c r="V31" t="n">
        <v>1.5</v>
      </c>
      <c r="W31" t="n">
        <v>1.4</v>
      </c>
      <c r="X31" t="n">
        <v>1.2</v>
      </c>
      <c r="Y31" t="n">
        <v>1.1</v>
      </c>
      <c r="Z31" t="n">
        <v>1</v>
      </c>
      <c r="AA31" t="n">
        <v>1.1</v>
      </c>
      <c r="AB31" t="n">
        <v>1.1</v>
      </c>
      <c r="AC31" t="n">
        <v>1.3</v>
      </c>
      <c r="AD31" t="n">
        <v>1.1</v>
      </c>
      <c r="AE31" t="n">
        <v>1</v>
      </c>
      <c r="AF31" t="n">
        <v>0.8</v>
      </c>
    </row>
    <row r="32">
      <c r="A32" t="s">
        <v>120</v>
      </c>
      <c r="B32" t="s">
        <v>334</v>
      </c>
      <c r="C32" t="s">
        <v>217</v>
      </c>
      <c r="D32" t="s">
        <v>335</v>
      </c>
      <c r="E32" t="s">
        <v>218</v>
      </c>
      <c r="F32" t="n">
        <v>2.8</v>
      </c>
      <c r="G32" t="n">
        <v>2.7</v>
      </c>
      <c r="H32" t="n">
        <v>2.7</v>
      </c>
      <c r="I32" t="n">
        <v>2.8</v>
      </c>
      <c r="J32" t="n">
        <v>2.8</v>
      </c>
      <c r="K32" t="n">
        <v>3</v>
      </c>
      <c r="L32" t="n">
        <v>4</v>
      </c>
      <c r="M32" t="n">
        <v>3.7</v>
      </c>
      <c r="N32" t="n">
        <v>4.1</v>
      </c>
      <c r="O32" t="n">
        <v>5.8</v>
      </c>
      <c r="P32" t="n">
        <v>5.5</v>
      </c>
      <c r="Q32" t="n">
        <v>5.2</v>
      </c>
      <c r="R32" t="n">
        <v>5.2</v>
      </c>
      <c r="S32" t="n">
        <v>5.4</v>
      </c>
      <c r="T32" t="n">
        <v>7.3</v>
      </c>
      <c r="U32" t="n">
        <v>7.7</v>
      </c>
      <c r="V32" t="n">
        <v>7.6</v>
      </c>
      <c r="W32" t="n">
        <v>7</v>
      </c>
      <c r="X32" t="n">
        <v>7.2</v>
      </c>
      <c r="Y32" t="n">
        <v>7.7</v>
      </c>
      <c r="Z32" t="n">
        <v>8.8</v>
      </c>
      <c r="AA32" t="n">
        <v>12.7</v>
      </c>
      <c r="AB32" t="n">
        <v>16.2</v>
      </c>
      <c r="AC32" t="n">
        <v>18.7</v>
      </c>
      <c r="AD32" t="n">
        <v>16.9</v>
      </c>
      <c r="AE32" t="n">
        <v>15.1</v>
      </c>
      <c r="AF32" t="n">
        <v>13.6</v>
      </c>
    </row>
    <row r="33">
      <c r="A33" t="s">
        <v>120</v>
      </c>
      <c r="B33" t="s">
        <v>336</v>
      </c>
      <c r="C33" t="s">
        <v>217</v>
      </c>
      <c r="D33" t="s">
        <v>337</v>
      </c>
      <c r="E33" t="s">
        <v>218</v>
      </c>
      <c r="F33" t="n">
        <v>1.6</v>
      </c>
      <c r="G33" t="n">
        <v>2.1</v>
      </c>
      <c r="H33" t="n">
        <v>2.6</v>
      </c>
      <c r="I33" t="n">
        <v>3.3</v>
      </c>
      <c r="J33" t="n">
        <v>3.8</v>
      </c>
      <c r="K33" t="n">
        <v>4.8</v>
      </c>
      <c r="L33" t="n">
        <v>4.9</v>
      </c>
      <c r="M33" t="n">
        <v>5.9</v>
      </c>
      <c r="N33" t="n">
        <v>6.7</v>
      </c>
      <c r="O33" t="n">
        <v>7.5</v>
      </c>
      <c r="P33" t="n">
        <v>6.9</v>
      </c>
      <c r="Q33" t="n">
        <v>5.9</v>
      </c>
      <c r="R33" t="n">
        <v>5.6</v>
      </c>
      <c r="S33" t="n">
        <v>5.1</v>
      </c>
      <c r="T33" t="n">
        <v>4.8</v>
      </c>
      <c r="U33" t="n">
        <v>4.2</v>
      </c>
      <c r="V33" t="n">
        <v>3.7</v>
      </c>
      <c r="W33" t="n">
        <v>3.3</v>
      </c>
      <c r="X33" t="n">
        <v>2.9</v>
      </c>
      <c r="Y33" t="n">
        <v>2.5</v>
      </c>
      <c r="Z33" t="n">
        <v>2.3</v>
      </c>
      <c r="AA33" t="n">
        <v>2.1</v>
      </c>
      <c r="AB33" t="n">
        <v>1.9</v>
      </c>
      <c r="AC33" t="n">
        <v>1.7</v>
      </c>
      <c r="AD33" t="n">
        <v>1.5</v>
      </c>
      <c r="AE33" t="n">
        <v>1.3</v>
      </c>
      <c r="AF33" t="n">
        <v>1.2</v>
      </c>
    </row>
    <row r="34">
      <c r="A34" t="s">
        <v>120</v>
      </c>
      <c r="B34" t="s">
        <v>338</v>
      </c>
      <c r="C34" t="s">
        <v>217</v>
      </c>
      <c r="D34" t="s">
        <v>339</v>
      </c>
      <c r="E34" t="s">
        <v>218</v>
      </c>
      <c r="F34" t="n">
        <v>525.2</v>
      </c>
      <c r="G34" t="n">
        <v>487.9</v>
      </c>
      <c r="H34" t="n">
        <v>461.3</v>
      </c>
      <c r="I34" t="n">
        <v>455.6</v>
      </c>
      <c r="J34" t="n">
        <v>433.2</v>
      </c>
      <c r="K34" t="n">
        <v>437.3</v>
      </c>
      <c r="L34" t="n">
        <v>427.1</v>
      </c>
      <c r="M34" t="n">
        <v>411.4</v>
      </c>
      <c r="N34" t="n">
        <v>394.2</v>
      </c>
      <c r="O34" t="n">
        <v>403.1</v>
      </c>
      <c r="P34" t="n">
        <v>357.3</v>
      </c>
      <c r="Q34" t="n">
        <v>375.5</v>
      </c>
      <c r="R34" t="n">
        <v>461.1</v>
      </c>
      <c r="S34" t="n">
        <v>603.5</v>
      </c>
      <c r="T34" t="n">
        <v>610.4</v>
      </c>
      <c r="U34" t="n">
        <v>579.8</v>
      </c>
      <c r="V34" t="n">
        <v>458.1</v>
      </c>
      <c r="W34" t="n">
        <v>399</v>
      </c>
      <c r="X34" t="n">
        <v>346.3</v>
      </c>
      <c r="Y34" t="n">
        <v>303.6</v>
      </c>
      <c r="Z34" t="n">
        <v>345.8</v>
      </c>
      <c r="AA34" t="n">
        <v>367.6</v>
      </c>
      <c r="AB34" t="n">
        <v>389.4</v>
      </c>
      <c r="AC34" t="n">
        <v>362.5</v>
      </c>
      <c r="AD34" t="n">
        <v>349.5</v>
      </c>
      <c r="AE34" t="n">
        <v>331.5</v>
      </c>
      <c r="AF34" t="n">
        <v>324.9</v>
      </c>
    </row>
    <row r="35">
      <c r="A35" t="s">
        <v>120</v>
      </c>
      <c r="B35" t="s">
        <v>340</v>
      </c>
      <c r="C35" t="s">
        <v>217</v>
      </c>
      <c r="D35" t="s">
        <v>341</v>
      </c>
      <c r="E35" t="s">
        <v>218</v>
      </c>
      <c r="F35" t="n">
        <v>201.2</v>
      </c>
      <c r="G35" t="n">
        <v>336.5</v>
      </c>
      <c r="H35" t="n">
        <v>480.8</v>
      </c>
      <c r="I35" t="n">
        <v>659.2</v>
      </c>
      <c r="J35" t="n">
        <v>790.7</v>
      </c>
      <c r="K35" t="n">
        <v>1059.4</v>
      </c>
      <c r="L35" t="n">
        <v>1096.2</v>
      </c>
      <c r="M35" t="n">
        <v>1336.4</v>
      </c>
      <c r="N35" t="n">
        <v>1562.1</v>
      </c>
      <c r="O35" t="n">
        <v>1786.7</v>
      </c>
      <c r="P35" t="n">
        <v>2019.9</v>
      </c>
      <c r="Q35" t="n">
        <v>2333.8</v>
      </c>
      <c r="R35" t="n">
        <v>2601</v>
      </c>
      <c r="S35" t="n">
        <v>2866.7</v>
      </c>
      <c r="T35" t="n">
        <v>3037.4</v>
      </c>
      <c r="U35" t="n">
        <v>3263.9</v>
      </c>
      <c r="V35" t="n">
        <v>3212.4</v>
      </c>
      <c r="W35" t="n">
        <v>3074</v>
      </c>
      <c r="X35" t="n">
        <v>2871.2</v>
      </c>
      <c r="Y35" t="n">
        <v>2789.5</v>
      </c>
      <c r="Z35" t="n">
        <v>2704.7</v>
      </c>
      <c r="AA35" t="n">
        <v>2669.7</v>
      </c>
      <c r="AB35" t="n">
        <v>2655.2</v>
      </c>
      <c r="AC35" t="n">
        <v>2546.2</v>
      </c>
      <c r="AD35" t="n">
        <v>2391.9</v>
      </c>
      <c r="AE35" t="n">
        <v>2277.5</v>
      </c>
      <c r="AF35" t="n">
        <v>2224.2</v>
      </c>
    </row>
    <row r="36">
      <c r="A36" t="s">
        <v>120</v>
      </c>
      <c r="B36" t="s">
        <v>342</v>
      </c>
      <c r="C36" t="s">
        <v>217</v>
      </c>
      <c r="D36" t="s">
        <v>343</v>
      </c>
      <c r="E36" t="s">
        <v>218</v>
      </c>
      <c r="F36" t="n">
        <v>86.4</v>
      </c>
      <c r="G36" t="n">
        <v>88.4</v>
      </c>
      <c r="H36" t="n">
        <v>92.1</v>
      </c>
      <c r="I36" t="n">
        <v>100.7</v>
      </c>
      <c r="J36" t="n">
        <v>104.4</v>
      </c>
      <c r="K36" t="n">
        <v>119.3</v>
      </c>
      <c r="L36" t="n">
        <v>125.9</v>
      </c>
      <c r="M36" t="n">
        <v>138.9</v>
      </c>
      <c r="N36" t="n">
        <v>172</v>
      </c>
      <c r="O36" t="n">
        <v>196.3</v>
      </c>
      <c r="P36" t="n">
        <v>206.7</v>
      </c>
      <c r="Q36" t="n">
        <v>249.3</v>
      </c>
      <c r="R36" t="n">
        <v>289.7</v>
      </c>
      <c r="S36" t="n">
        <v>309.3</v>
      </c>
      <c r="T36" t="n">
        <v>326.8</v>
      </c>
      <c r="U36" t="n">
        <v>293.3</v>
      </c>
      <c r="V36" t="n">
        <v>298.8</v>
      </c>
      <c r="W36" t="n">
        <v>274.3</v>
      </c>
      <c r="X36" t="n">
        <v>254.9</v>
      </c>
      <c r="Y36" t="n">
        <v>234</v>
      </c>
      <c r="Z36" t="n">
        <v>211.4</v>
      </c>
      <c r="AA36" t="n">
        <v>193.7</v>
      </c>
      <c r="AB36" t="n">
        <v>181.6</v>
      </c>
      <c r="AC36" t="n">
        <v>175.2</v>
      </c>
      <c r="AD36" t="n">
        <v>172.6</v>
      </c>
      <c r="AE36" t="n">
        <v>179.7</v>
      </c>
      <c r="AF36" t="n">
        <v>195.1</v>
      </c>
    </row>
    <row r="37">
      <c r="A37" t="s">
        <v>120</v>
      </c>
      <c r="B37" t="s">
        <v>344</v>
      </c>
      <c r="C37" t="s">
        <v>217</v>
      </c>
      <c r="D37" t="s">
        <v>345</v>
      </c>
      <c r="E37" t="s">
        <v>218</v>
      </c>
      <c r="F37" t="n">
        <v>106.9</v>
      </c>
      <c r="G37" t="n">
        <v>238.1</v>
      </c>
      <c r="H37" t="n">
        <v>376.3</v>
      </c>
      <c r="I37" t="n">
        <v>542.9</v>
      </c>
      <c r="J37" t="n">
        <v>668.6</v>
      </c>
      <c r="K37" t="n">
        <v>917.5</v>
      </c>
      <c r="L37" t="n">
        <v>944.2</v>
      </c>
      <c r="M37" t="n">
        <v>1166.2</v>
      </c>
      <c r="N37" t="n">
        <v>1355.2</v>
      </c>
      <c r="O37" t="n">
        <v>1550.2</v>
      </c>
      <c r="P37" t="n">
        <v>1775</v>
      </c>
      <c r="Q37" t="n">
        <v>2048.4</v>
      </c>
      <c r="R37" t="n">
        <v>2275.4</v>
      </c>
      <c r="S37" t="n">
        <v>2523.2</v>
      </c>
      <c r="T37" t="n">
        <v>2674.8</v>
      </c>
      <c r="U37" t="n">
        <v>2927.7</v>
      </c>
      <c r="V37" t="n">
        <v>2876</v>
      </c>
      <c r="W37" t="n">
        <v>2764.5</v>
      </c>
      <c r="X37" t="n">
        <v>2584.4</v>
      </c>
      <c r="Y37" t="n">
        <v>2522.3</v>
      </c>
      <c r="Z37" t="n">
        <v>2460</v>
      </c>
      <c r="AA37" t="n">
        <v>2438.5</v>
      </c>
      <c r="AB37" t="n">
        <v>2432.2</v>
      </c>
      <c r="AC37" t="n">
        <v>2334.8</v>
      </c>
      <c r="AD37" t="n">
        <v>2187.5</v>
      </c>
      <c r="AE37" t="n">
        <v>2069.2</v>
      </c>
      <c r="AF37" t="n">
        <v>2002.9</v>
      </c>
    </row>
    <row r="38">
      <c r="A38" t="s">
        <v>120</v>
      </c>
      <c r="B38" t="s">
        <v>346</v>
      </c>
      <c r="C38" t="s">
        <v>217</v>
      </c>
      <c r="D38" t="s">
        <v>347</v>
      </c>
      <c r="E38" t="s">
        <v>218</v>
      </c>
      <c r="F38" t="n">
        <v>7.9</v>
      </c>
      <c r="G38" t="n">
        <v>10</v>
      </c>
      <c r="H38" t="n">
        <v>12.4</v>
      </c>
      <c r="I38" t="n">
        <v>15.6</v>
      </c>
      <c r="J38" t="n">
        <v>17.7</v>
      </c>
      <c r="K38" t="n">
        <v>22.6</v>
      </c>
      <c r="L38" t="n">
        <v>26.1</v>
      </c>
      <c r="M38" t="n">
        <v>31.3</v>
      </c>
      <c r="N38" t="n">
        <v>34.9</v>
      </c>
      <c r="O38" t="n">
        <v>40.2</v>
      </c>
      <c r="P38" t="n">
        <v>38.2</v>
      </c>
      <c r="Q38" t="n">
        <v>36.1</v>
      </c>
      <c r="R38" t="n">
        <v>35.9</v>
      </c>
      <c r="S38" t="n">
        <v>34.2</v>
      </c>
      <c r="T38" t="n">
        <v>35.8</v>
      </c>
      <c r="U38" t="n">
        <v>42.9</v>
      </c>
      <c r="V38" t="n">
        <v>37.6</v>
      </c>
      <c r="W38" t="n">
        <v>35.2</v>
      </c>
      <c r="X38" t="n">
        <v>31.9</v>
      </c>
      <c r="Y38" t="n">
        <v>33.2</v>
      </c>
      <c r="Z38" t="n">
        <v>33.3</v>
      </c>
      <c r="AA38" t="n">
        <v>37.5</v>
      </c>
      <c r="AB38" t="n">
        <v>41.4</v>
      </c>
      <c r="AC38" t="n">
        <v>36.2</v>
      </c>
      <c r="AD38" t="n">
        <v>31.8</v>
      </c>
      <c r="AE38" t="n">
        <v>28.6</v>
      </c>
      <c r="AF38" t="n">
        <v>26.2</v>
      </c>
    </row>
    <row r="39">
      <c r="A39" t="s">
        <v>120</v>
      </c>
      <c r="B39" t="s">
        <v>348</v>
      </c>
      <c r="C39" t="s">
        <v>217</v>
      </c>
      <c r="D39" t="s">
        <v>349</v>
      </c>
      <c r="E39" t="s">
        <v>218</v>
      </c>
      <c r="F39" t="n">
        <v>113.8</v>
      </c>
      <c r="G39" t="n">
        <v>169</v>
      </c>
      <c r="H39" t="n">
        <v>228.7</v>
      </c>
      <c r="I39" t="n">
        <v>303.9</v>
      </c>
      <c r="J39" t="n">
        <v>358.5</v>
      </c>
      <c r="K39" t="n">
        <v>472.5</v>
      </c>
      <c r="L39" t="n">
        <v>511.6</v>
      </c>
      <c r="M39" t="n">
        <v>498.4</v>
      </c>
      <c r="N39" t="n">
        <v>466.5</v>
      </c>
      <c r="O39" t="n">
        <v>450.3</v>
      </c>
      <c r="P39" t="n">
        <v>407.1</v>
      </c>
      <c r="Q39" t="n">
        <v>419.8</v>
      </c>
      <c r="R39" t="n">
        <v>440.2</v>
      </c>
      <c r="S39" t="n">
        <v>472.3</v>
      </c>
      <c r="T39" t="n">
        <v>471.5</v>
      </c>
      <c r="U39" t="n">
        <v>459.9</v>
      </c>
      <c r="V39" t="n">
        <v>485.7</v>
      </c>
      <c r="W39" t="n">
        <v>492.4</v>
      </c>
      <c r="X39" t="n">
        <v>487.6</v>
      </c>
      <c r="Y39" t="n">
        <v>491.7</v>
      </c>
      <c r="Z39" t="n">
        <v>466.3</v>
      </c>
      <c r="AA39" t="n">
        <v>422.4</v>
      </c>
      <c r="AB39" t="n">
        <v>384.9</v>
      </c>
      <c r="AC39" t="n">
        <v>346.9</v>
      </c>
      <c r="AD39" t="n">
        <v>318.3</v>
      </c>
      <c r="AE39" t="n">
        <v>342.8</v>
      </c>
      <c r="AF39" t="n">
        <v>377.4</v>
      </c>
    </row>
    <row r="40">
      <c r="A40" t="s">
        <v>120</v>
      </c>
      <c r="B40" t="s">
        <v>350</v>
      </c>
      <c r="C40" t="s">
        <v>217</v>
      </c>
      <c r="D40" t="s">
        <v>351</v>
      </c>
      <c r="E40" t="s">
        <v>218</v>
      </c>
      <c r="F40" t="n">
        <v>7.3</v>
      </c>
      <c r="G40" t="n">
        <v>9.2</v>
      </c>
      <c r="H40" t="n">
        <v>11.4</v>
      </c>
      <c r="I40" t="n">
        <v>14.2</v>
      </c>
      <c r="J40" t="n">
        <v>16.2</v>
      </c>
      <c r="K40" t="n">
        <v>20.6</v>
      </c>
      <c r="L40" t="n">
        <v>116</v>
      </c>
      <c r="M40" t="n">
        <v>232.5</v>
      </c>
      <c r="N40" t="n">
        <v>257</v>
      </c>
      <c r="O40" t="n">
        <v>279.7</v>
      </c>
      <c r="P40" t="n">
        <v>235</v>
      </c>
      <c r="Q40" t="n">
        <v>198.3</v>
      </c>
      <c r="R40" t="n">
        <v>174.9</v>
      </c>
      <c r="S40" t="n">
        <v>156.7</v>
      </c>
      <c r="T40" t="n">
        <v>157.2</v>
      </c>
      <c r="U40" t="n">
        <v>148.8</v>
      </c>
      <c r="V40" t="n">
        <v>205.3</v>
      </c>
      <c r="W40" t="n">
        <v>199.4</v>
      </c>
      <c r="X40" t="n">
        <v>187.2</v>
      </c>
      <c r="Y40" t="n">
        <v>168.1</v>
      </c>
      <c r="Z40" t="n">
        <v>147.6</v>
      </c>
      <c r="AA40" t="n">
        <v>129.2</v>
      </c>
      <c r="AB40" t="n">
        <v>113.2</v>
      </c>
      <c r="AC40" t="n">
        <v>171.2</v>
      </c>
      <c r="AD40" t="n">
        <v>243.4</v>
      </c>
      <c r="AE40" t="n">
        <v>425.3</v>
      </c>
      <c r="AF40" t="n">
        <v>623.3</v>
      </c>
    </row>
    <row r="41">
      <c r="A41" t="s">
        <v>120</v>
      </c>
      <c r="B41" t="s">
        <v>352</v>
      </c>
      <c r="C41" t="s">
        <v>217</v>
      </c>
      <c r="D41" t="s">
        <v>353</v>
      </c>
      <c r="E41" t="s">
        <v>218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120</v>
      </c>
      <c r="B42" t="s">
        <v>354</v>
      </c>
      <c r="C42" t="s">
        <v>217</v>
      </c>
      <c r="D42" t="s">
        <v>355</v>
      </c>
      <c r="E42" t="s">
        <v>218</v>
      </c>
      <c r="F42" t="n">
        <v>190.5</v>
      </c>
      <c r="G42" t="n">
        <v>222.9</v>
      </c>
      <c r="H42" t="n">
        <v>261.5</v>
      </c>
      <c r="I42" t="n">
        <v>316</v>
      </c>
      <c r="J42" t="n">
        <v>351.9</v>
      </c>
      <c r="K42" t="n">
        <v>436.1</v>
      </c>
      <c r="L42" t="n">
        <v>478.4</v>
      </c>
      <c r="M42" t="n">
        <v>499.4</v>
      </c>
      <c r="N42" t="n">
        <v>561.3</v>
      </c>
      <c r="O42" t="n">
        <v>622</v>
      </c>
      <c r="P42" t="n">
        <v>625.4</v>
      </c>
      <c r="Q42" t="n">
        <v>610.7</v>
      </c>
      <c r="R42" t="n">
        <v>641.5</v>
      </c>
      <c r="S42" t="n">
        <v>598.3</v>
      </c>
      <c r="T42" t="n">
        <v>605.9</v>
      </c>
      <c r="U42" t="n">
        <v>582.8</v>
      </c>
      <c r="V42" t="n">
        <v>537.2</v>
      </c>
      <c r="W42" t="n">
        <v>506.4</v>
      </c>
      <c r="X42" t="n">
        <v>459</v>
      </c>
      <c r="Y42" t="n">
        <v>435</v>
      </c>
      <c r="Z42" t="n">
        <v>396.9</v>
      </c>
      <c r="AA42" t="n">
        <v>360.8</v>
      </c>
      <c r="AB42" t="n">
        <v>329.9</v>
      </c>
      <c r="AC42" t="n">
        <v>293.4</v>
      </c>
      <c r="AD42" t="n">
        <v>242.5</v>
      </c>
      <c r="AE42" t="n">
        <v>225.9</v>
      </c>
      <c r="AF42" t="n">
        <v>215.6</v>
      </c>
    </row>
    <row r="43">
      <c r="A43" t="s">
        <v>120</v>
      </c>
      <c r="B43" t="s">
        <v>356</v>
      </c>
      <c r="C43" t="s">
        <v>217</v>
      </c>
      <c r="D43" t="s">
        <v>357</v>
      </c>
      <c r="E43" t="s">
        <v>218</v>
      </c>
      <c r="F43" t="n">
        <v>258.3</v>
      </c>
      <c r="G43" t="n">
        <v>300.9</v>
      </c>
      <c r="H43" t="n">
        <v>351.5</v>
      </c>
      <c r="I43" t="n">
        <v>423.4</v>
      </c>
      <c r="J43" t="n">
        <v>470.5</v>
      </c>
      <c r="K43" t="n">
        <v>582</v>
      </c>
      <c r="L43" t="n">
        <v>643.9</v>
      </c>
      <c r="M43" t="n">
        <v>668.3</v>
      </c>
      <c r="N43" t="n">
        <v>764.1</v>
      </c>
      <c r="O43" t="n">
        <v>888</v>
      </c>
      <c r="P43" t="n">
        <v>1091.2</v>
      </c>
      <c r="Q43" t="n">
        <v>1183.9</v>
      </c>
      <c r="R43" t="n">
        <v>1393.3</v>
      </c>
      <c r="S43" t="n">
        <v>1526.6</v>
      </c>
      <c r="T43" t="n">
        <v>1650.9</v>
      </c>
      <c r="U43" t="n">
        <v>1590.7</v>
      </c>
      <c r="V43" t="n">
        <v>1430.4</v>
      </c>
      <c r="W43" t="n">
        <v>1308</v>
      </c>
      <c r="X43" t="n">
        <v>1159.1</v>
      </c>
      <c r="Y43" t="n">
        <v>1074.1</v>
      </c>
      <c r="Z43" t="n">
        <v>1068.4</v>
      </c>
      <c r="AA43" t="n">
        <v>1028</v>
      </c>
      <c r="AB43" t="n">
        <v>996.9</v>
      </c>
      <c r="AC43" t="n">
        <v>923.8</v>
      </c>
      <c r="AD43" t="n">
        <v>904.6</v>
      </c>
      <c r="AE43" t="n">
        <v>887.8</v>
      </c>
      <c r="AF43" t="n">
        <v>905</v>
      </c>
    </row>
    <row r="44">
      <c r="A44" t="s">
        <v>120</v>
      </c>
      <c r="B44" t="s">
        <v>358</v>
      </c>
      <c r="C44" t="s">
        <v>217</v>
      </c>
      <c r="D44" t="s">
        <v>359</v>
      </c>
      <c r="E44" t="s">
        <v>218</v>
      </c>
      <c r="F44" t="n">
        <v>1942.8</v>
      </c>
      <c r="G44" t="n">
        <v>2216.2</v>
      </c>
      <c r="H44" t="n">
        <v>2543.2</v>
      </c>
      <c r="I44" t="n">
        <v>3019.9</v>
      </c>
      <c r="J44" t="n">
        <v>3323.9</v>
      </c>
      <c r="K44" t="n">
        <v>4073.8</v>
      </c>
      <c r="L44" t="n">
        <v>4273.8</v>
      </c>
      <c r="M44" t="n">
        <v>4580.3</v>
      </c>
      <c r="N44" t="n">
        <v>4957.8</v>
      </c>
      <c r="O44" t="n">
        <v>5396.9</v>
      </c>
      <c r="P44" t="n">
        <v>5829.4</v>
      </c>
      <c r="Q44" t="n">
        <v>6289.1</v>
      </c>
      <c r="R44" t="n">
        <v>7013.8</v>
      </c>
      <c r="S44" t="n">
        <v>7734.5</v>
      </c>
      <c r="T44" t="n">
        <v>8120.1</v>
      </c>
      <c r="U44" t="n">
        <v>8245</v>
      </c>
      <c r="V44" t="n">
        <v>7676.5</v>
      </c>
      <c r="W44" t="n">
        <v>7235.5</v>
      </c>
      <c r="X44" t="n">
        <v>6717.4</v>
      </c>
      <c r="Y44" t="n">
        <v>6479.7</v>
      </c>
      <c r="Z44" t="n">
        <v>6394.1</v>
      </c>
      <c r="AA44" t="n">
        <v>6252.5</v>
      </c>
      <c r="AB44" t="n">
        <v>6163.8</v>
      </c>
      <c r="AC44" t="n">
        <v>5883.7</v>
      </c>
      <c r="AD44" t="n">
        <v>5647.7</v>
      </c>
      <c r="AE44" t="n">
        <v>5511.9</v>
      </c>
      <c r="AF44" t="n">
        <v>5547.8</v>
      </c>
    </row>
    <row r="45">
      <c r="A45" t="s">
        <v>120</v>
      </c>
      <c r="B45" t="s">
        <v>360</v>
      </c>
      <c r="C45" t="s">
        <v>217</v>
      </c>
      <c r="D45" t="s">
        <v>361</v>
      </c>
      <c r="E45" t="s">
        <v>218</v>
      </c>
      <c r="F45" t="n">
        <v>1883.5</v>
      </c>
      <c r="G45" t="n">
        <v>2146.3</v>
      </c>
      <c r="H45" t="n">
        <v>2460.9</v>
      </c>
      <c r="I45" t="n">
        <v>2920.3</v>
      </c>
      <c r="J45" t="n">
        <v>3212.9</v>
      </c>
      <c r="K45" t="n">
        <v>3935.8</v>
      </c>
      <c r="L45" t="n">
        <v>4128.4</v>
      </c>
      <c r="M45" t="n">
        <v>4434.4</v>
      </c>
      <c r="N45" t="n">
        <v>4812.7</v>
      </c>
      <c r="O45" t="n">
        <v>5254</v>
      </c>
      <c r="P45" t="n">
        <v>5639.5</v>
      </c>
      <c r="Q45" t="n">
        <v>6083.5</v>
      </c>
      <c r="R45" t="n">
        <v>6719.2</v>
      </c>
      <c r="S45" t="n">
        <v>7364.2</v>
      </c>
      <c r="T45" t="n">
        <v>7669.7</v>
      </c>
      <c r="U45" t="n">
        <v>7756.4</v>
      </c>
      <c r="V45" t="n">
        <v>7179</v>
      </c>
      <c r="W45" t="n">
        <v>6727.8</v>
      </c>
      <c r="X45" t="n">
        <v>6190.9</v>
      </c>
      <c r="Y45" t="n">
        <v>5927</v>
      </c>
      <c r="Z45" t="n">
        <v>5792.8</v>
      </c>
      <c r="AA45" t="n">
        <v>5637.3</v>
      </c>
      <c r="AB45" t="n">
        <v>5532.6</v>
      </c>
      <c r="AC45" t="n">
        <v>5230.7</v>
      </c>
      <c r="AD45" t="n">
        <v>4969.1</v>
      </c>
      <c r="AE45" t="n">
        <v>4811.5</v>
      </c>
      <c r="AF45" t="n">
        <v>4799.2</v>
      </c>
    </row>
    <row r="46">
      <c r="A46" t="s">
        <v>120</v>
      </c>
      <c r="B46" t="s">
        <v>362</v>
      </c>
      <c r="C46" t="s">
        <v>217</v>
      </c>
      <c r="D46" t="s">
        <v>363</v>
      </c>
      <c r="E46" t="s">
        <v>218</v>
      </c>
      <c r="F46" t="n">
        <v>67.8</v>
      </c>
      <c r="G46" t="n">
        <v>78</v>
      </c>
      <c r="H46" t="n">
        <v>90</v>
      </c>
      <c r="I46" t="n">
        <v>107.4</v>
      </c>
      <c r="J46" t="n">
        <v>118.6</v>
      </c>
      <c r="K46" t="n">
        <v>145.9</v>
      </c>
      <c r="L46" t="n">
        <v>165.5</v>
      </c>
      <c r="M46" t="n">
        <v>168.9</v>
      </c>
      <c r="N46" t="n">
        <v>202.8</v>
      </c>
      <c r="O46" t="n">
        <v>266</v>
      </c>
      <c r="P46" t="n">
        <v>465.8</v>
      </c>
      <c r="Q46" t="n">
        <v>573.2</v>
      </c>
      <c r="R46" t="n">
        <v>751.8</v>
      </c>
      <c r="S46" t="n">
        <v>928.3</v>
      </c>
      <c r="T46" t="n">
        <v>1045</v>
      </c>
      <c r="U46" t="n">
        <v>1007.9</v>
      </c>
      <c r="V46" t="n">
        <v>893.2</v>
      </c>
      <c r="W46" t="n">
        <v>801.6</v>
      </c>
      <c r="X46" t="n">
        <v>700.1</v>
      </c>
      <c r="Y46" t="n">
        <v>639.1</v>
      </c>
      <c r="Z46" t="n">
        <v>671.5</v>
      </c>
      <c r="AA46" t="n">
        <v>667.2</v>
      </c>
      <c r="AB46" t="n">
        <v>667</v>
      </c>
      <c r="AC46" t="n">
        <v>630.4</v>
      </c>
      <c r="AD46" t="n">
        <v>662.1</v>
      </c>
      <c r="AE46" t="n">
        <v>661.9</v>
      </c>
      <c r="AF46" t="n">
        <v>689.4</v>
      </c>
    </row>
    <row r="47">
      <c r="A47" t="s">
        <v>120</v>
      </c>
      <c r="B47" t="s">
        <v>364</v>
      </c>
      <c r="C47" t="s">
        <v>217</v>
      </c>
      <c r="D47" t="s">
        <v>365</v>
      </c>
      <c r="E47" t="s">
        <v>218</v>
      </c>
      <c r="F47" t="n">
        <v>43.1</v>
      </c>
      <c r="G47" t="n">
        <v>50.1</v>
      </c>
      <c r="H47" t="n">
        <v>57.4</v>
      </c>
      <c r="I47" t="n">
        <v>68.6</v>
      </c>
      <c r="J47" t="n">
        <v>74.5</v>
      </c>
      <c r="K47" t="n">
        <v>85.1</v>
      </c>
      <c r="L47" t="n">
        <v>95.6</v>
      </c>
      <c r="M47" t="n">
        <v>101.8</v>
      </c>
      <c r="N47" t="n">
        <v>109.7</v>
      </c>
      <c r="O47" t="n">
        <v>121.4</v>
      </c>
      <c r="P47" t="n">
        <v>123.9</v>
      </c>
      <c r="Q47" t="n">
        <v>152</v>
      </c>
      <c r="R47" t="n">
        <v>165.4</v>
      </c>
      <c r="S47" t="n">
        <v>195.4</v>
      </c>
      <c r="T47" t="n">
        <v>237.5</v>
      </c>
      <c r="U47" t="n">
        <v>214.4</v>
      </c>
      <c r="V47" t="n">
        <v>258.8</v>
      </c>
      <c r="W47" t="n">
        <v>234</v>
      </c>
      <c r="X47" t="n">
        <v>220.4</v>
      </c>
      <c r="Y47" t="n">
        <v>203.2</v>
      </c>
      <c r="Z47" t="n">
        <v>191.8</v>
      </c>
      <c r="AA47" t="n">
        <v>175.8</v>
      </c>
      <c r="AB47" t="n">
        <v>177.3</v>
      </c>
      <c r="AC47" t="n">
        <v>166.9</v>
      </c>
      <c r="AD47" t="n">
        <v>166.2</v>
      </c>
      <c r="AE47" t="n">
        <v>173.7</v>
      </c>
      <c r="AF47" t="n">
        <v>183.7</v>
      </c>
    </row>
    <row r="48">
      <c r="A48" t="s">
        <v>120</v>
      </c>
      <c r="B48" t="s">
        <v>366</v>
      </c>
      <c r="C48" t="s">
        <v>217</v>
      </c>
      <c r="D48" t="s">
        <v>367</v>
      </c>
      <c r="E48" t="s">
        <v>218</v>
      </c>
      <c r="F48" t="n">
        <v>196.9</v>
      </c>
      <c r="G48" t="n">
        <v>233</v>
      </c>
      <c r="H48" t="n">
        <v>278.1</v>
      </c>
      <c r="I48" t="n">
        <v>340.2</v>
      </c>
      <c r="J48" t="n">
        <v>384.9</v>
      </c>
      <c r="K48" t="n">
        <v>468.9</v>
      </c>
      <c r="L48" t="n">
        <v>528.8</v>
      </c>
      <c r="M48" t="n">
        <v>569.4</v>
      </c>
      <c r="N48" t="n">
        <v>606.1</v>
      </c>
      <c r="O48" t="n">
        <v>678.7</v>
      </c>
      <c r="P48" t="n">
        <v>768</v>
      </c>
      <c r="Q48" t="n">
        <v>785.9</v>
      </c>
      <c r="R48" t="n">
        <v>786.9</v>
      </c>
      <c r="S48" t="n">
        <v>813.3</v>
      </c>
      <c r="T48" t="n">
        <v>808.6</v>
      </c>
      <c r="U48" t="n">
        <v>765.9</v>
      </c>
      <c r="V48" t="n">
        <v>752.9</v>
      </c>
      <c r="W48" t="n">
        <v>688</v>
      </c>
      <c r="X48" t="n">
        <v>637.9</v>
      </c>
      <c r="Y48" t="n">
        <v>588.8</v>
      </c>
      <c r="Z48" t="n">
        <v>548</v>
      </c>
      <c r="AA48" t="n">
        <v>500</v>
      </c>
      <c r="AB48" t="n">
        <v>476.1</v>
      </c>
      <c r="AC48" t="n">
        <v>449.6</v>
      </c>
      <c r="AD48" t="n">
        <v>440.6</v>
      </c>
      <c r="AE48" t="n">
        <v>439.6</v>
      </c>
      <c r="AF48" t="n">
        <v>444.9</v>
      </c>
    </row>
    <row r="49">
      <c r="A49" t="s">
        <v>120</v>
      </c>
      <c r="B49" t="s">
        <v>368</v>
      </c>
      <c r="C49" t="s">
        <v>217</v>
      </c>
      <c r="D49" t="s">
        <v>369</v>
      </c>
      <c r="E49" t="s">
        <v>218</v>
      </c>
      <c r="F49" t="n">
        <v>113</v>
      </c>
      <c r="G49" t="n">
        <v>134</v>
      </c>
      <c r="H49" t="n">
        <v>162.3</v>
      </c>
      <c r="I49" t="n">
        <v>200.2</v>
      </c>
      <c r="J49" t="n">
        <v>230.8</v>
      </c>
      <c r="K49" t="n">
        <v>285.7</v>
      </c>
      <c r="L49" t="n">
        <v>304.7</v>
      </c>
      <c r="M49" t="n">
        <v>318</v>
      </c>
      <c r="N49" t="n">
        <v>340.2</v>
      </c>
      <c r="O49" t="n">
        <v>390.4</v>
      </c>
      <c r="P49" t="n">
        <v>394.5</v>
      </c>
      <c r="Q49" t="n">
        <v>405.1</v>
      </c>
      <c r="R49" t="n">
        <v>404.5</v>
      </c>
      <c r="S49" t="n">
        <v>408.3</v>
      </c>
      <c r="T49" t="n">
        <v>382.1</v>
      </c>
      <c r="U49" t="n">
        <v>370.2</v>
      </c>
      <c r="V49" t="n">
        <v>315.6</v>
      </c>
      <c r="W49" t="n">
        <v>288.3</v>
      </c>
      <c r="X49" t="n">
        <v>263.5</v>
      </c>
      <c r="Y49" t="n">
        <v>242.4</v>
      </c>
      <c r="Z49" t="n">
        <v>221</v>
      </c>
      <c r="AA49" t="n">
        <v>196.8</v>
      </c>
      <c r="AB49" t="n">
        <v>175.8</v>
      </c>
      <c r="AC49" t="n">
        <v>161.4</v>
      </c>
      <c r="AD49" t="n">
        <v>153.5</v>
      </c>
      <c r="AE49" t="n">
        <v>146.5</v>
      </c>
      <c r="AF49" t="n">
        <v>139.2</v>
      </c>
    </row>
    <row r="50">
      <c r="A50" t="s">
        <v>120</v>
      </c>
      <c r="B50" t="s">
        <v>370</v>
      </c>
      <c r="C50" t="s">
        <v>217</v>
      </c>
      <c r="D50" t="s">
        <v>371</v>
      </c>
      <c r="E50" t="s">
        <v>218</v>
      </c>
      <c r="F50" t="n">
        <v>40.7</v>
      </c>
      <c r="G50" t="n">
        <v>48.9</v>
      </c>
      <c r="H50" t="n">
        <v>58.4</v>
      </c>
      <c r="I50" t="n">
        <v>71.4</v>
      </c>
      <c r="J50" t="n">
        <v>79.7</v>
      </c>
      <c r="K50" t="n">
        <v>98.1</v>
      </c>
      <c r="L50" t="n">
        <v>128.6</v>
      </c>
      <c r="M50" t="n">
        <v>149.6</v>
      </c>
      <c r="N50" t="n">
        <v>156.2</v>
      </c>
      <c r="O50" t="n">
        <v>166.9</v>
      </c>
      <c r="P50" t="n">
        <v>249.6</v>
      </c>
      <c r="Q50" t="n">
        <v>228.7</v>
      </c>
      <c r="R50" t="n">
        <v>217</v>
      </c>
      <c r="S50" t="n">
        <v>209.6</v>
      </c>
      <c r="T50" t="n">
        <v>189</v>
      </c>
      <c r="U50" t="n">
        <v>181.4</v>
      </c>
      <c r="V50" t="n">
        <v>178.6</v>
      </c>
      <c r="W50" t="n">
        <v>165.7</v>
      </c>
      <c r="X50" t="n">
        <v>153.9</v>
      </c>
      <c r="Y50" t="n">
        <v>143.2</v>
      </c>
      <c r="Z50" t="n">
        <v>135.3</v>
      </c>
      <c r="AA50" t="n">
        <v>127.5</v>
      </c>
      <c r="AB50" t="n">
        <v>123</v>
      </c>
      <c r="AC50" t="n">
        <v>121.3</v>
      </c>
      <c r="AD50" t="n">
        <v>121</v>
      </c>
      <c r="AE50" t="n">
        <v>119.3</v>
      </c>
      <c r="AF50" t="n">
        <v>121.9</v>
      </c>
    </row>
    <row r="51">
      <c r="A51" t="s">
        <v>120</v>
      </c>
      <c r="B51" t="s">
        <v>372</v>
      </c>
      <c r="C51" t="s">
        <v>217</v>
      </c>
      <c r="D51" t="s">
        <v>373</v>
      </c>
      <c r="E51" t="s">
        <v>218</v>
      </c>
      <c r="F51" t="n">
        <v>37.1</v>
      </c>
      <c r="G51" t="n">
        <v>43.7</v>
      </c>
      <c r="H51" t="n">
        <v>51.4</v>
      </c>
      <c r="I51" t="n">
        <v>62.2</v>
      </c>
      <c r="J51" t="n">
        <v>69.4</v>
      </c>
      <c r="K51" t="n">
        <v>86.2</v>
      </c>
      <c r="L51" t="n">
        <v>114</v>
      </c>
      <c r="M51" t="n">
        <v>133.2</v>
      </c>
      <c r="N51" t="n">
        <v>139.2</v>
      </c>
      <c r="O51" t="n">
        <v>148.7</v>
      </c>
      <c r="P51" t="n">
        <v>230.8</v>
      </c>
      <c r="Q51" t="n">
        <v>209.1</v>
      </c>
      <c r="R51" t="n">
        <v>197.1</v>
      </c>
      <c r="S51" t="n">
        <v>189.1</v>
      </c>
      <c r="T51" t="n">
        <v>169.8</v>
      </c>
      <c r="U51" t="n">
        <v>161.5</v>
      </c>
      <c r="V51" t="n">
        <v>146</v>
      </c>
      <c r="W51" t="n">
        <v>135.8</v>
      </c>
      <c r="X51" t="n">
        <v>126.6</v>
      </c>
      <c r="Y51" t="n">
        <v>118.5</v>
      </c>
      <c r="Z51" t="n">
        <v>112.7</v>
      </c>
      <c r="AA51" t="n">
        <v>106.7</v>
      </c>
      <c r="AB51" t="n">
        <v>103.7</v>
      </c>
      <c r="AC51" t="n">
        <v>103.3</v>
      </c>
      <c r="AD51" t="n">
        <v>104.1</v>
      </c>
      <c r="AE51" t="n">
        <v>103.3</v>
      </c>
      <c r="AF51" t="n">
        <v>106.2</v>
      </c>
    </row>
    <row r="52">
      <c r="A52" t="s">
        <v>120</v>
      </c>
      <c r="B52" t="s">
        <v>374</v>
      </c>
      <c r="C52" t="s">
        <v>217</v>
      </c>
      <c r="D52" t="s">
        <v>375</v>
      </c>
      <c r="E52" t="s">
        <v>218</v>
      </c>
      <c r="F52" t="n">
        <v>3.6</v>
      </c>
      <c r="G52" t="n">
        <v>5.2</v>
      </c>
      <c r="H52" t="n">
        <v>7</v>
      </c>
      <c r="I52" t="n">
        <v>9.2</v>
      </c>
      <c r="J52" t="n">
        <v>10.3</v>
      </c>
      <c r="K52" t="n">
        <v>11.9</v>
      </c>
      <c r="L52" t="n">
        <v>14.6</v>
      </c>
      <c r="M52" t="n">
        <v>16.4</v>
      </c>
      <c r="N52" t="n">
        <v>17</v>
      </c>
      <c r="O52" t="n">
        <v>18.2</v>
      </c>
      <c r="P52" t="n">
        <v>18.8</v>
      </c>
      <c r="Q52" t="n">
        <v>19.6</v>
      </c>
      <c r="R52" t="n">
        <v>19.9</v>
      </c>
      <c r="S52" t="n">
        <v>20.5</v>
      </c>
      <c r="T52" t="n">
        <v>19.2</v>
      </c>
      <c r="U52" t="n">
        <v>19.9</v>
      </c>
      <c r="V52" t="n">
        <v>32.6</v>
      </c>
      <c r="W52" t="n">
        <v>29.9</v>
      </c>
      <c r="X52" t="n">
        <v>27.3</v>
      </c>
      <c r="Y52" t="n">
        <v>24.7</v>
      </c>
      <c r="Z52" t="n">
        <v>22.6</v>
      </c>
      <c r="AA52" t="n">
        <v>20.8</v>
      </c>
      <c r="AB52" t="n">
        <v>19.3</v>
      </c>
      <c r="AC52" t="n">
        <v>18</v>
      </c>
      <c r="AD52" t="n">
        <v>16.9</v>
      </c>
      <c r="AE52" t="n">
        <v>16</v>
      </c>
      <c r="AF52" t="n">
        <v>15.7</v>
      </c>
    </row>
    <row r="53">
      <c r="A53" t="s">
        <v>120</v>
      </c>
      <c r="B53" t="s">
        <v>376</v>
      </c>
      <c r="C53" t="s">
        <v>217</v>
      </c>
      <c r="D53" t="s">
        <v>377</v>
      </c>
      <c r="E53" t="s">
        <v>218</v>
      </c>
      <c r="F53" t="n">
        <v>160.8</v>
      </c>
      <c r="G53" t="n">
        <v>164.3</v>
      </c>
      <c r="H53" t="n">
        <v>170.4</v>
      </c>
      <c r="I53" t="n">
        <v>186</v>
      </c>
      <c r="J53" t="n">
        <v>192.6</v>
      </c>
      <c r="K53" t="n">
        <v>218.8</v>
      </c>
      <c r="L53" t="n">
        <v>225.2</v>
      </c>
      <c r="M53" t="n">
        <v>242.3</v>
      </c>
      <c r="N53" t="n">
        <v>333.5</v>
      </c>
      <c r="O53" t="n">
        <v>389.2</v>
      </c>
      <c r="P53" t="n">
        <v>376.3</v>
      </c>
      <c r="Q53" t="n">
        <v>326.4</v>
      </c>
      <c r="R53" t="n">
        <v>292.3</v>
      </c>
      <c r="S53" t="n">
        <v>265</v>
      </c>
      <c r="T53" t="n">
        <v>242.1</v>
      </c>
      <c r="U53" t="n">
        <v>225</v>
      </c>
      <c r="V53" t="n">
        <v>220.1</v>
      </c>
      <c r="W53" t="n">
        <v>199.3</v>
      </c>
      <c r="X53" t="n">
        <v>181.1</v>
      </c>
      <c r="Y53" t="n">
        <v>164.3</v>
      </c>
      <c r="Z53" t="n">
        <v>149.2</v>
      </c>
      <c r="AA53" t="n">
        <v>138</v>
      </c>
      <c r="AB53" t="n">
        <v>128.6</v>
      </c>
      <c r="AC53" t="n">
        <v>121.1</v>
      </c>
      <c r="AD53" t="n">
        <v>115.3</v>
      </c>
      <c r="AE53" t="n">
        <v>109.8</v>
      </c>
      <c r="AF53" t="n">
        <v>108.9</v>
      </c>
    </row>
    <row r="54">
      <c r="A54" t="s">
        <v>120</v>
      </c>
      <c r="B54" t="s">
        <v>378</v>
      </c>
      <c r="C54" t="s">
        <v>217</v>
      </c>
      <c r="D54" t="s">
        <v>379</v>
      </c>
      <c r="E54" t="s">
        <v>218</v>
      </c>
      <c r="F54" t="n">
        <v>328.9</v>
      </c>
      <c r="G54" t="n">
        <v>391.1</v>
      </c>
      <c r="H54" t="n">
        <v>461.9</v>
      </c>
      <c r="I54" t="n">
        <v>561.1</v>
      </c>
      <c r="J54" t="n">
        <v>626.9</v>
      </c>
      <c r="K54" t="n">
        <v>780.8</v>
      </c>
      <c r="L54" t="n">
        <v>777.1</v>
      </c>
      <c r="M54" t="n">
        <v>777</v>
      </c>
      <c r="N54" t="n">
        <v>846.6</v>
      </c>
      <c r="O54" t="n">
        <v>902</v>
      </c>
      <c r="P54" t="n">
        <v>875.5</v>
      </c>
      <c r="Q54" t="n">
        <v>791.1</v>
      </c>
      <c r="R54" t="n">
        <v>753.4</v>
      </c>
      <c r="S54" t="n">
        <v>731.5</v>
      </c>
      <c r="T54" t="n">
        <v>717.8</v>
      </c>
      <c r="U54" t="n">
        <v>724.1</v>
      </c>
      <c r="V54" t="n">
        <v>558.4</v>
      </c>
      <c r="W54" t="n">
        <v>502</v>
      </c>
      <c r="X54" t="n">
        <v>451.8</v>
      </c>
      <c r="Y54" t="n">
        <v>407.5</v>
      </c>
      <c r="Z54" t="n">
        <v>372.3</v>
      </c>
      <c r="AA54" t="n">
        <v>340</v>
      </c>
      <c r="AB54" t="n">
        <v>312.5</v>
      </c>
      <c r="AC54" t="n">
        <v>290.4</v>
      </c>
      <c r="AD54" t="n">
        <v>273</v>
      </c>
      <c r="AE54" t="n">
        <v>256.8</v>
      </c>
      <c r="AF54" t="n">
        <v>248.6</v>
      </c>
    </row>
    <row r="55">
      <c r="A55" t="s">
        <v>120</v>
      </c>
      <c r="B55" t="s">
        <v>380</v>
      </c>
      <c r="C55" t="s">
        <v>217</v>
      </c>
      <c r="D55" t="s">
        <v>381</v>
      </c>
      <c r="E55" t="s">
        <v>218</v>
      </c>
      <c r="F55" t="n">
        <v>168.1</v>
      </c>
      <c r="G55" t="n">
        <v>226.8</v>
      </c>
      <c r="H55" t="n">
        <v>291.5</v>
      </c>
      <c r="I55" t="n">
        <v>375.1</v>
      </c>
      <c r="J55" t="n">
        <v>434.3</v>
      </c>
      <c r="K55" t="n">
        <v>562</v>
      </c>
      <c r="L55" t="n">
        <v>551.9</v>
      </c>
      <c r="M55" t="n">
        <v>534.7</v>
      </c>
      <c r="N55" t="n">
        <v>513.1</v>
      </c>
      <c r="O55" t="n">
        <v>512.8</v>
      </c>
      <c r="P55" t="n">
        <v>499.2</v>
      </c>
      <c r="Q55" t="n">
        <v>464.7</v>
      </c>
      <c r="R55" t="n">
        <v>461.1</v>
      </c>
      <c r="S55" t="n">
        <v>466.5</v>
      </c>
      <c r="T55" t="n">
        <v>475.7</v>
      </c>
      <c r="U55" t="n">
        <v>499.1</v>
      </c>
      <c r="V55" t="n">
        <v>338.3</v>
      </c>
      <c r="W55" t="n">
        <v>302.7</v>
      </c>
      <c r="X55" t="n">
        <v>270.7</v>
      </c>
      <c r="Y55" t="n">
        <v>243.2</v>
      </c>
      <c r="Z55" t="n">
        <v>223.1</v>
      </c>
      <c r="AA55" t="n">
        <v>202</v>
      </c>
      <c r="AB55" t="n">
        <v>183.9</v>
      </c>
      <c r="AC55" t="n">
        <v>169.3</v>
      </c>
      <c r="AD55" t="n">
        <v>157.7</v>
      </c>
      <c r="AE55" t="n">
        <v>147</v>
      </c>
      <c r="AF55" t="n">
        <v>139.7</v>
      </c>
    </row>
    <row r="56">
      <c r="A56" t="s">
        <v>120</v>
      </c>
      <c r="B56" t="s">
        <v>382</v>
      </c>
      <c r="C56" t="s">
        <v>217</v>
      </c>
      <c r="D56" t="s">
        <v>383</v>
      </c>
      <c r="E56" t="s">
        <v>218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120</v>
      </c>
      <c r="B57" t="s">
        <v>384</v>
      </c>
      <c r="C57" t="s">
        <v>217</v>
      </c>
      <c r="D57" t="s">
        <v>385</v>
      </c>
      <c r="E57" t="s">
        <v>218</v>
      </c>
      <c r="F57" t="n">
        <v>2146.9</v>
      </c>
      <c r="G57" t="n">
        <v>2458.4</v>
      </c>
      <c r="H57" t="n">
        <v>2832.7</v>
      </c>
      <c r="I57" t="n">
        <v>3374.3</v>
      </c>
      <c r="J57" t="n">
        <v>3725.1</v>
      </c>
      <c r="K57" t="n">
        <v>4563.3</v>
      </c>
      <c r="L57" t="n">
        <v>4918.7</v>
      </c>
      <c r="M57" t="n">
        <v>5382.2</v>
      </c>
      <c r="N57" t="n">
        <v>5820.9</v>
      </c>
      <c r="O57" t="n">
        <v>6355.3</v>
      </c>
      <c r="P57" t="n">
        <v>6832.4</v>
      </c>
      <c r="Q57" t="n">
        <v>7273.2</v>
      </c>
      <c r="R57" t="n">
        <v>7975.6</v>
      </c>
      <c r="S57" t="n">
        <v>8704.5</v>
      </c>
      <c r="T57" t="n">
        <v>9085.9</v>
      </c>
      <c r="U57" t="n">
        <v>9159.8</v>
      </c>
      <c r="V57" t="n">
        <v>8634.8</v>
      </c>
      <c r="W57" t="n">
        <v>8122.9</v>
      </c>
      <c r="X57" t="n">
        <v>7542.4</v>
      </c>
      <c r="Y57" t="n">
        <v>7236.6</v>
      </c>
      <c r="Z57" t="n">
        <v>7089.8</v>
      </c>
      <c r="AA57" t="n">
        <v>6881.8</v>
      </c>
      <c r="AB57" t="n">
        <v>6753.1</v>
      </c>
      <c r="AC57" t="n">
        <v>6504.5</v>
      </c>
      <c r="AD57" t="n">
        <v>6331.8</v>
      </c>
      <c r="AE57" t="n">
        <v>6376.7</v>
      </c>
      <c r="AF57" t="n">
        <v>6615.9</v>
      </c>
    </row>
    <row r="58">
      <c r="A58" t="s">
        <v>120</v>
      </c>
      <c r="B58" t="s">
        <v>386</v>
      </c>
      <c r="C58" t="s">
        <v>217</v>
      </c>
      <c r="D58" t="s">
        <v>387</v>
      </c>
      <c r="E58" t="s">
        <v>218</v>
      </c>
      <c r="F58" t="n">
        <v>2146.9</v>
      </c>
      <c r="G58" t="n">
        <v>2458.4</v>
      </c>
      <c r="H58" t="n">
        <v>2832.7</v>
      </c>
      <c r="I58" t="n">
        <v>3374.3</v>
      </c>
      <c r="J58" t="n">
        <v>3725.1</v>
      </c>
      <c r="K58" t="n">
        <v>4563.3</v>
      </c>
      <c r="L58" t="n">
        <v>4918.7</v>
      </c>
      <c r="M58" t="n">
        <v>5382.2</v>
      </c>
      <c r="N58" t="n">
        <v>5820.9</v>
      </c>
      <c r="O58" t="n">
        <v>6355.3</v>
      </c>
      <c r="P58" t="n">
        <v>6832.4</v>
      </c>
      <c r="Q58" t="n">
        <v>7273.2</v>
      </c>
      <c r="R58" t="n">
        <v>7975.6</v>
      </c>
      <c r="S58" t="n">
        <v>8704.5</v>
      </c>
      <c r="T58" t="n">
        <v>9085.9</v>
      </c>
      <c r="U58" t="n">
        <v>9159.8</v>
      </c>
      <c r="V58" t="n">
        <v>8634.8</v>
      </c>
      <c r="W58" t="n">
        <v>8122.9</v>
      </c>
      <c r="X58" t="n">
        <v>7542.4</v>
      </c>
      <c r="Y58" t="n">
        <v>7236.6</v>
      </c>
      <c r="Z58" t="n">
        <v>7089.8</v>
      </c>
      <c r="AA58" t="n">
        <v>6881.8</v>
      </c>
      <c r="AB58" t="n">
        <v>6753.1</v>
      </c>
      <c r="AC58" t="n">
        <v>6504.5</v>
      </c>
      <c r="AD58" t="n">
        <v>6331.8</v>
      </c>
      <c r="AE58" t="n">
        <v>6376.7</v>
      </c>
      <c r="AF58" t="n">
        <v>6615.9</v>
      </c>
    </row>
    <row r="59">
      <c r="A59" t="s">
        <v>120</v>
      </c>
      <c r="B59" t="s">
        <v>388</v>
      </c>
      <c r="C59" t="s">
        <v>217</v>
      </c>
      <c r="D59" t="s">
        <v>389</v>
      </c>
      <c r="E59" t="s">
        <v>218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122</v>
      </c>
      <c r="B2" t="s">
        <v>197</v>
      </c>
      <c r="C2" t="s">
        <v>217</v>
      </c>
      <c r="D2" t="s">
        <v>199</v>
      </c>
      <c r="E2" t="s">
        <v>218</v>
      </c>
      <c r="F2" t="n">
        <v>0</v>
      </c>
      <c r="G2" t="n">
        <v>0</v>
      </c>
      <c r="H2" t="n">
        <v>0.1</v>
      </c>
      <c r="I2" t="n">
        <v>0.1</v>
      </c>
      <c r="J2" t="n">
        <v>0.1</v>
      </c>
      <c r="K2" t="n">
        <v>0.2</v>
      </c>
      <c r="L2" t="n">
        <v>0.2</v>
      </c>
      <c r="M2" t="n">
        <v>0.3</v>
      </c>
      <c r="N2" t="n">
        <v>0.2</v>
      </c>
      <c r="O2" t="n">
        <v>0.1</v>
      </c>
      <c r="P2" t="n">
        <v>0.1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122</v>
      </c>
      <c r="B3" t="s">
        <v>276</v>
      </c>
      <c r="C3" t="s">
        <v>217</v>
      </c>
      <c r="D3" t="s">
        <v>277</v>
      </c>
      <c r="E3" t="s">
        <v>218</v>
      </c>
      <c r="F3" t="n">
        <v>0.1</v>
      </c>
      <c r="G3" t="n">
        <v>0.2</v>
      </c>
      <c r="H3" t="n">
        <v>0.2</v>
      </c>
      <c r="I3" t="n">
        <v>0.3</v>
      </c>
      <c r="J3" t="n">
        <v>0.4</v>
      </c>
      <c r="K3" t="n">
        <v>0.5</v>
      </c>
      <c r="L3" t="n">
        <v>0.6</v>
      </c>
      <c r="M3" t="n">
        <v>0.8</v>
      </c>
      <c r="N3" t="n">
        <v>0.9</v>
      </c>
      <c r="O3" t="n">
        <v>0.9</v>
      </c>
      <c r="P3" t="n">
        <v>1</v>
      </c>
      <c r="Q3" t="n">
        <v>1.8</v>
      </c>
      <c r="R3" t="n">
        <v>4.1</v>
      </c>
      <c r="S3" t="n">
        <v>4.4</v>
      </c>
      <c r="T3" t="n">
        <v>5</v>
      </c>
      <c r="U3" t="n">
        <v>5.1</v>
      </c>
      <c r="V3" t="n">
        <v>4.5</v>
      </c>
      <c r="W3" t="n">
        <v>6.7</v>
      </c>
      <c r="X3" t="n">
        <v>7.3</v>
      </c>
      <c r="Y3" t="n">
        <v>4.8</v>
      </c>
      <c r="Z3" t="n">
        <v>3.8</v>
      </c>
      <c r="AA3" t="n">
        <v>3.1</v>
      </c>
      <c r="AB3" t="n">
        <v>2.7</v>
      </c>
      <c r="AC3" t="n">
        <v>2.8</v>
      </c>
      <c r="AD3" t="n">
        <v>3.2</v>
      </c>
      <c r="AE3" t="n">
        <v>2.6</v>
      </c>
      <c r="AF3" t="n">
        <v>2.3</v>
      </c>
    </row>
    <row r="4">
      <c r="A4" t="s">
        <v>122</v>
      </c>
      <c r="B4" t="s">
        <v>278</v>
      </c>
      <c r="C4" t="s">
        <v>217</v>
      </c>
      <c r="D4" t="s">
        <v>279</v>
      </c>
      <c r="E4" t="s">
        <v>218</v>
      </c>
      <c r="F4" t="n">
        <v>11.6</v>
      </c>
      <c r="G4" t="n">
        <v>20.7</v>
      </c>
      <c r="H4" t="n">
        <v>29.3</v>
      </c>
      <c r="I4" t="n">
        <v>37.5</v>
      </c>
      <c r="J4" t="n">
        <v>47.1</v>
      </c>
      <c r="K4" t="n">
        <v>66.8</v>
      </c>
      <c r="L4" t="n">
        <v>66.7</v>
      </c>
      <c r="M4" t="n">
        <v>74.4</v>
      </c>
      <c r="N4" t="n">
        <v>81.2</v>
      </c>
      <c r="O4" t="n">
        <v>85.3</v>
      </c>
      <c r="P4" t="n">
        <v>110.1</v>
      </c>
      <c r="Q4" t="n">
        <v>125.4</v>
      </c>
      <c r="R4" t="n">
        <v>135.7</v>
      </c>
      <c r="S4" t="n">
        <v>140</v>
      </c>
      <c r="T4" t="n">
        <v>142.4</v>
      </c>
      <c r="U4" t="n">
        <v>156</v>
      </c>
      <c r="V4" t="n">
        <v>143.7</v>
      </c>
      <c r="W4" t="n">
        <v>136.2</v>
      </c>
      <c r="X4" t="n">
        <v>134.3</v>
      </c>
      <c r="Y4" t="n">
        <v>129.4</v>
      </c>
      <c r="Z4" t="n">
        <v>129.1</v>
      </c>
      <c r="AA4" t="n">
        <v>135</v>
      </c>
      <c r="AB4" t="n">
        <v>139.4</v>
      </c>
      <c r="AC4" t="n">
        <v>153.2</v>
      </c>
      <c r="AD4" t="n">
        <v>169.3</v>
      </c>
      <c r="AE4" t="n">
        <v>172.3</v>
      </c>
      <c r="AF4" t="n">
        <v>177.5</v>
      </c>
    </row>
    <row r="5">
      <c r="A5" t="s">
        <v>122</v>
      </c>
      <c r="B5" t="s">
        <v>280</v>
      </c>
      <c r="C5" t="s">
        <v>217</v>
      </c>
      <c r="D5" t="s">
        <v>281</v>
      </c>
      <c r="E5" t="s">
        <v>218</v>
      </c>
      <c r="F5" t="n">
        <v>2.3</v>
      </c>
      <c r="G5" t="n">
        <v>4</v>
      </c>
      <c r="H5" t="n">
        <v>5.4</v>
      </c>
      <c r="I5" t="n">
        <v>6.9</v>
      </c>
      <c r="J5" t="n">
        <v>8.7</v>
      </c>
      <c r="K5" t="n">
        <v>11.7</v>
      </c>
      <c r="L5" t="n">
        <v>12.8</v>
      </c>
      <c r="M5" t="n">
        <v>17.1</v>
      </c>
      <c r="N5" t="n">
        <v>20.1</v>
      </c>
      <c r="O5" t="n">
        <v>20.9</v>
      </c>
      <c r="P5" t="n">
        <v>20.3</v>
      </c>
      <c r="Q5" t="n">
        <v>21.2</v>
      </c>
      <c r="R5" t="n">
        <v>23.3</v>
      </c>
      <c r="S5" t="n">
        <v>25.1</v>
      </c>
      <c r="T5" t="n">
        <v>27.5</v>
      </c>
      <c r="U5" t="n">
        <v>34.6</v>
      </c>
      <c r="V5" t="n">
        <v>32</v>
      </c>
      <c r="W5" t="n">
        <v>30.6</v>
      </c>
      <c r="X5" t="n">
        <v>29.3</v>
      </c>
      <c r="Y5" t="n">
        <v>29.4</v>
      </c>
      <c r="Z5" t="n">
        <v>28.5</v>
      </c>
      <c r="AA5" t="n">
        <v>28.4</v>
      </c>
      <c r="AB5" t="n">
        <v>28.6</v>
      </c>
      <c r="AC5" t="n">
        <v>33.8</v>
      </c>
      <c r="AD5" t="n">
        <v>35.8</v>
      </c>
      <c r="AE5" t="n">
        <v>36.3</v>
      </c>
      <c r="AF5" t="n">
        <v>37.2</v>
      </c>
    </row>
    <row r="6">
      <c r="A6" t="s">
        <v>122</v>
      </c>
      <c r="B6" t="s">
        <v>282</v>
      </c>
      <c r="C6" t="s">
        <v>217</v>
      </c>
      <c r="D6" t="s">
        <v>283</v>
      </c>
      <c r="E6" t="s">
        <v>218</v>
      </c>
      <c r="F6" t="n">
        <v>1</v>
      </c>
      <c r="G6" t="n">
        <v>1.9</v>
      </c>
      <c r="H6" t="n">
        <v>3.1</v>
      </c>
      <c r="I6" t="n">
        <v>3.9</v>
      </c>
      <c r="J6" t="n">
        <v>5</v>
      </c>
      <c r="K6" t="n">
        <v>8</v>
      </c>
      <c r="L6" t="n">
        <v>6.5</v>
      </c>
      <c r="M6" t="n">
        <v>6.3</v>
      </c>
      <c r="N6" t="n">
        <v>6</v>
      </c>
      <c r="O6" t="n">
        <v>6.1</v>
      </c>
      <c r="P6" t="n">
        <v>7</v>
      </c>
      <c r="Q6" t="n">
        <v>9.3</v>
      </c>
      <c r="R6" t="n">
        <v>12.6</v>
      </c>
      <c r="S6" t="n">
        <v>10.8</v>
      </c>
      <c r="T6" t="n">
        <v>10.6</v>
      </c>
      <c r="U6" t="n">
        <v>10.9</v>
      </c>
      <c r="V6" t="n">
        <v>9.8</v>
      </c>
      <c r="W6" t="n">
        <v>9.1</v>
      </c>
      <c r="X6" t="n">
        <v>9.1</v>
      </c>
      <c r="Y6" t="n">
        <v>8.5</v>
      </c>
      <c r="Z6" t="n">
        <v>8.4</v>
      </c>
      <c r="AA6" t="n">
        <v>8.4</v>
      </c>
      <c r="AB6" t="n">
        <v>8.4</v>
      </c>
      <c r="AC6" t="n">
        <v>8.6</v>
      </c>
      <c r="AD6" t="n">
        <v>8.7</v>
      </c>
      <c r="AE6" t="n">
        <v>8.8</v>
      </c>
      <c r="AF6" t="n">
        <v>9.1</v>
      </c>
    </row>
    <row r="7">
      <c r="A7" t="s">
        <v>122</v>
      </c>
      <c r="B7" t="s">
        <v>284</v>
      </c>
      <c r="C7" t="s">
        <v>217</v>
      </c>
      <c r="D7" t="s">
        <v>285</v>
      </c>
      <c r="E7" t="s">
        <v>218</v>
      </c>
      <c r="F7" t="n">
        <v>2.3</v>
      </c>
      <c r="G7" t="n">
        <v>3.9</v>
      </c>
      <c r="H7" t="n">
        <v>4.9</v>
      </c>
      <c r="I7" t="n">
        <v>6.3</v>
      </c>
      <c r="J7" t="n">
        <v>7.9</v>
      </c>
      <c r="K7" t="n">
        <v>9.7</v>
      </c>
      <c r="L7" t="n">
        <v>11.5</v>
      </c>
      <c r="M7" t="n">
        <v>13.1</v>
      </c>
      <c r="N7" t="n">
        <v>14.2</v>
      </c>
      <c r="O7" t="n">
        <v>15.4</v>
      </c>
      <c r="P7" t="n">
        <v>16.7</v>
      </c>
      <c r="Q7" t="n">
        <v>18.9</v>
      </c>
      <c r="R7" t="n">
        <v>21.5</v>
      </c>
      <c r="S7" t="n">
        <v>26.2</v>
      </c>
      <c r="T7" t="n">
        <v>30.3</v>
      </c>
      <c r="U7" t="n">
        <v>31</v>
      </c>
      <c r="V7" t="n">
        <v>28.7</v>
      </c>
      <c r="W7" t="n">
        <v>27.9</v>
      </c>
      <c r="X7" t="n">
        <v>27.2</v>
      </c>
      <c r="Y7" t="n">
        <v>27</v>
      </c>
      <c r="Z7" t="n">
        <v>27.1</v>
      </c>
      <c r="AA7" t="n">
        <v>28.8</v>
      </c>
      <c r="AB7" t="n">
        <v>30.1</v>
      </c>
      <c r="AC7" t="n">
        <v>30.8</v>
      </c>
      <c r="AD7" t="n">
        <v>31</v>
      </c>
      <c r="AE7" t="n">
        <v>31.3</v>
      </c>
      <c r="AF7" t="n">
        <v>31.8</v>
      </c>
    </row>
    <row r="8">
      <c r="A8" t="s">
        <v>122</v>
      </c>
      <c r="B8" t="s">
        <v>286</v>
      </c>
      <c r="C8" t="s">
        <v>217</v>
      </c>
      <c r="D8" t="s">
        <v>287</v>
      </c>
      <c r="E8" t="s">
        <v>218</v>
      </c>
      <c r="F8" t="n">
        <v>1.1</v>
      </c>
      <c r="G8" t="n">
        <v>2.4</v>
      </c>
      <c r="H8" t="n">
        <v>4.5</v>
      </c>
      <c r="I8" t="n">
        <v>5.8</v>
      </c>
      <c r="J8" t="n">
        <v>7.3</v>
      </c>
      <c r="K8" t="n">
        <v>13.3</v>
      </c>
      <c r="L8" t="n">
        <v>8.8</v>
      </c>
      <c r="M8" t="n">
        <v>6.1</v>
      </c>
      <c r="N8" t="n">
        <v>4.5</v>
      </c>
      <c r="O8" t="n">
        <v>3.5</v>
      </c>
      <c r="P8" t="n">
        <v>2.9</v>
      </c>
      <c r="Q8" t="n">
        <v>2.6</v>
      </c>
      <c r="R8" t="n">
        <v>3.3</v>
      </c>
      <c r="S8" t="n">
        <v>3.2</v>
      </c>
      <c r="T8" t="n">
        <v>3.1</v>
      </c>
      <c r="U8" t="n">
        <v>3.3</v>
      </c>
      <c r="V8" t="n">
        <v>3.2</v>
      </c>
      <c r="W8" t="n">
        <v>3.3</v>
      </c>
      <c r="X8" t="n">
        <v>3.5</v>
      </c>
      <c r="Y8" t="n">
        <v>3.6</v>
      </c>
      <c r="Z8" t="n">
        <v>4</v>
      </c>
      <c r="AA8" t="n">
        <v>7.3</v>
      </c>
      <c r="AB8" t="n">
        <v>9</v>
      </c>
      <c r="AC8" t="n">
        <v>7.8</v>
      </c>
      <c r="AD8" t="n">
        <v>9.2</v>
      </c>
      <c r="AE8" t="n">
        <v>9.9</v>
      </c>
      <c r="AF8" t="n">
        <v>10.6</v>
      </c>
    </row>
    <row r="9">
      <c r="A9" t="s">
        <v>122</v>
      </c>
      <c r="B9" t="s">
        <v>288</v>
      </c>
      <c r="C9" t="s">
        <v>217</v>
      </c>
      <c r="D9" t="s">
        <v>289</v>
      </c>
      <c r="E9" t="s">
        <v>218</v>
      </c>
      <c r="F9" t="n">
        <v>0.3</v>
      </c>
      <c r="G9" t="n">
        <v>0.6</v>
      </c>
      <c r="H9" t="n">
        <v>0.8</v>
      </c>
      <c r="I9" t="n">
        <v>1</v>
      </c>
      <c r="J9" t="n">
        <v>1.3</v>
      </c>
      <c r="K9" t="n">
        <v>1.7</v>
      </c>
      <c r="L9" t="n">
        <v>2</v>
      </c>
      <c r="M9" t="n">
        <v>2.4</v>
      </c>
      <c r="N9" t="n">
        <v>2.7</v>
      </c>
      <c r="O9" t="n">
        <v>3.2</v>
      </c>
      <c r="P9" t="n">
        <v>3.1</v>
      </c>
      <c r="Q9" t="n">
        <v>3.5</v>
      </c>
      <c r="R9" t="n">
        <v>4.1</v>
      </c>
      <c r="S9" t="n">
        <v>6</v>
      </c>
      <c r="T9" t="n">
        <v>5.2</v>
      </c>
      <c r="U9" t="n">
        <v>5.3</v>
      </c>
      <c r="V9" t="n">
        <v>4.8</v>
      </c>
      <c r="W9" t="n">
        <v>4.7</v>
      </c>
      <c r="X9" t="n">
        <v>5.2</v>
      </c>
      <c r="Y9" t="n">
        <v>4.7</v>
      </c>
      <c r="Z9" t="n">
        <v>4.5</v>
      </c>
      <c r="AA9" t="n">
        <v>4.5</v>
      </c>
      <c r="AB9" t="n">
        <v>4.5</v>
      </c>
      <c r="AC9" t="n">
        <v>4.7</v>
      </c>
      <c r="AD9" t="n">
        <v>4.9</v>
      </c>
      <c r="AE9" t="n">
        <v>5.1</v>
      </c>
      <c r="AF9" t="n">
        <v>5.4</v>
      </c>
    </row>
    <row r="10">
      <c r="A10" t="s">
        <v>122</v>
      </c>
      <c r="B10" t="s">
        <v>290</v>
      </c>
      <c r="C10" t="s">
        <v>217</v>
      </c>
      <c r="D10" t="s">
        <v>291</v>
      </c>
      <c r="E10" t="s">
        <v>218</v>
      </c>
      <c r="F10" t="n">
        <v>0.4</v>
      </c>
      <c r="G10" t="n">
        <v>0.8</v>
      </c>
      <c r="H10" t="n">
        <v>1.1</v>
      </c>
      <c r="I10" t="n">
        <v>1.3</v>
      </c>
      <c r="J10" t="n">
        <v>1.7</v>
      </c>
      <c r="K10" t="n">
        <v>2.3</v>
      </c>
      <c r="L10" t="n">
        <v>2.7</v>
      </c>
      <c r="M10" t="n">
        <v>3.2</v>
      </c>
      <c r="N10" t="n">
        <v>3.6</v>
      </c>
      <c r="O10" t="n">
        <v>4.3</v>
      </c>
      <c r="P10" t="n">
        <v>4.6</v>
      </c>
      <c r="Q10" t="n">
        <v>5</v>
      </c>
      <c r="R10" t="n">
        <v>6.6</v>
      </c>
      <c r="S10" t="n">
        <v>8.4</v>
      </c>
      <c r="T10" t="n">
        <v>8.4</v>
      </c>
      <c r="U10" t="n">
        <v>9</v>
      </c>
      <c r="V10" t="n">
        <v>7.8</v>
      </c>
      <c r="W10" t="n">
        <v>7.4</v>
      </c>
      <c r="X10" t="n">
        <v>9.9</v>
      </c>
      <c r="Y10" t="n">
        <v>8.3</v>
      </c>
      <c r="Z10" t="n">
        <v>8.7</v>
      </c>
      <c r="AA10" t="n">
        <v>8.4</v>
      </c>
      <c r="AB10" t="n">
        <v>8.1</v>
      </c>
      <c r="AC10" t="n">
        <v>9.7</v>
      </c>
      <c r="AD10" t="n">
        <v>11.2</v>
      </c>
      <c r="AE10" t="n">
        <v>12.4</v>
      </c>
      <c r="AF10" t="n">
        <v>13.6</v>
      </c>
    </row>
    <row r="11">
      <c r="A11" t="s">
        <v>122</v>
      </c>
      <c r="B11" t="s">
        <v>292</v>
      </c>
      <c r="C11" t="s">
        <v>217</v>
      </c>
      <c r="D11" t="s">
        <v>293</v>
      </c>
      <c r="E11" t="s">
        <v>218</v>
      </c>
      <c r="F11" t="n">
        <v>0.1</v>
      </c>
      <c r="G11" t="n">
        <v>0.2</v>
      </c>
      <c r="H11" t="n">
        <v>0.3</v>
      </c>
      <c r="I11" t="n">
        <v>0.3</v>
      </c>
      <c r="J11" t="n">
        <v>0.4</v>
      </c>
      <c r="K11" t="n">
        <v>0.6</v>
      </c>
      <c r="L11" t="n">
        <v>0.7</v>
      </c>
      <c r="M11" t="n">
        <v>0.8</v>
      </c>
      <c r="N11" t="n">
        <v>0.9</v>
      </c>
      <c r="O11" t="n">
        <v>1.1</v>
      </c>
      <c r="P11" t="n">
        <v>1.5</v>
      </c>
      <c r="Q11" t="n">
        <v>1.5</v>
      </c>
      <c r="R11" t="n">
        <v>2.5</v>
      </c>
      <c r="S11" t="n">
        <v>2.4</v>
      </c>
      <c r="T11" t="n">
        <v>3.2</v>
      </c>
      <c r="U11" t="n">
        <v>3.7</v>
      </c>
      <c r="V11" t="n">
        <v>3</v>
      </c>
      <c r="W11" t="n">
        <v>2.7</v>
      </c>
      <c r="X11" t="n">
        <v>4.7</v>
      </c>
      <c r="Y11" t="n">
        <v>3.6</v>
      </c>
      <c r="Z11" t="n">
        <v>4.2</v>
      </c>
      <c r="AA11" t="n">
        <v>3.9</v>
      </c>
      <c r="AB11" t="n">
        <v>3.6</v>
      </c>
      <c r="AC11" t="n">
        <v>5</v>
      </c>
      <c r="AD11" t="n">
        <v>6.3</v>
      </c>
      <c r="AE11" t="n">
        <v>7.3</v>
      </c>
      <c r="AF11" t="n">
        <v>8.2</v>
      </c>
    </row>
    <row r="12">
      <c r="A12" t="s">
        <v>122</v>
      </c>
      <c r="B12" t="s">
        <v>294</v>
      </c>
      <c r="C12" t="s">
        <v>217</v>
      </c>
      <c r="D12" t="s">
        <v>295</v>
      </c>
      <c r="E12" t="s">
        <v>218</v>
      </c>
      <c r="F12" t="n">
        <v>0.2</v>
      </c>
      <c r="G12" t="n">
        <v>0.3</v>
      </c>
      <c r="H12" t="n">
        <v>0.5</v>
      </c>
      <c r="I12" t="n">
        <v>0.7</v>
      </c>
      <c r="J12" t="n">
        <v>0.9</v>
      </c>
      <c r="K12" t="n">
        <v>1.3</v>
      </c>
      <c r="L12" t="n">
        <v>1.4</v>
      </c>
      <c r="M12" t="n">
        <v>2.3</v>
      </c>
      <c r="N12" t="n">
        <v>3.1</v>
      </c>
      <c r="O12" t="n">
        <v>3.2</v>
      </c>
      <c r="P12" t="n">
        <v>3.1</v>
      </c>
      <c r="Q12" t="n">
        <v>3</v>
      </c>
      <c r="R12" t="n">
        <v>4.2</v>
      </c>
      <c r="S12" t="n">
        <v>6.1</v>
      </c>
      <c r="T12" t="n">
        <v>5.3</v>
      </c>
      <c r="U12" t="n">
        <v>5.3</v>
      </c>
      <c r="V12" t="n">
        <v>4.9</v>
      </c>
      <c r="W12" t="n">
        <v>4.3</v>
      </c>
      <c r="X12" t="n">
        <v>5</v>
      </c>
      <c r="Y12" t="n">
        <v>4.2</v>
      </c>
      <c r="Z12" t="n">
        <v>3.4</v>
      </c>
      <c r="AA12" t="n">
        <v>3.9</v>
      </c>
      <c r="AB12" t="n">
        <v>4.1</v>
      </c>
      <c r="AC12" t="n">
        <v>4</v>
      </c>
      <c r="AD12" t="n">
        <v>10.9</v>
      </c>
      <c r="AE12" t="n">
        <v>8.3</v>
      </c>
      <c r="AF12" t="n">
        <v>6.9</v>
      </c>
    </row>
    <row r="13">
      <c r="A13" t="s">
        <v>122</v>
      </c>
      <c r="B13" t="s">
        <v>296</v>
      </c>
      <c r="C13" t="s">
        <v>217</v>
      </c>
      <c r="D13" t="s">
        <v>297</v>
      </c>
      <c r="E13" t="s">
        <v>218</v>
      </c>
      <c r="F13" t="n">
        <v>1.1</v>
      </c>
      <c r="G13" t="n">
        <v>1.9</v>
      </c>
      <c r="H13" t="n">
        <v>2.7</v>
      </c>
      <c r="I13" t="n">
        <v>3.5</v>
      </c>
      <c r="J13" t="n">
        <v>4.4</v>
      </c>
      <c r="K13" t="n">
        <v>6.4</v>
      </c>
      <c r="L13" t="n">
        <v>6.2</v>
      </c>
      <c r="M13" t="n">
        <v>7.3</v>
      </c>
      <c r="N13" t="n">
        <v>8.1</v>
      </c>
      <c r="O13" t="n">
        <v>8.7</v>
      </c>
      <c r="P13" t="n">
        <v>15.3</v>
      </c>
      <c r="Q13" t="n">
        <v>16.9</v>
      </c>
      <c r="R13" t="n">
        <v>18.5</v>
      </c>
      <c r="S13" t="n">
        <v>17</v>
      </c>
      <c r="T13" t="n">
        <v>14.9</v>
      </c>
      <c r="U13" t="n">
        <v>18.6</v>
      </c>
      <c r="V13" t="n">
        <v>17.6</v>
      </c>
      <c r="W13" t="n">
        <v>15.6</v>
      </c>
      <c r="X13" t="n">
        <v>13.5</v>
      </c>
      <c r="Y13" t="n">
        <v>12.7</v>
      </c>
      <c r="Z13" t="n">
        <v>13.1</v>
      </c>
      <c r="AA13" t="n">
        <v>12.1</v>
      </c>
      <c r="AB13" t="n">
        <v>11.8</v>
      </c>
      <c r="AC13" t="n">
        <v>12.8</v>
      </c>
      <c r="AD13" t="n">
        <v>13.8</v>
      </c>
      <c r="AE13" t="n">
        <v>14.6</v>
      </c>
      <c r="AF13" t="n">
        <v>15.4</v>
      </c>
    </row>
    <row r="14">
      <c r="A14" t="s">
        <v>122</v>
      </c>
      <c r="B14" t="s">
        <v>298</v>
      </c>
      <c r="C14" t="s">
        <v>217</v>
      </c>
      <c r="D14" t="s">
        <v>299</v>
      </c>
      <c r="E14" t="s">
        <v>218</v>
      </c>
      <c r="F14" t="n">
        <v>2</v>
      </c>
      <c r="G14" t="n">
        <v>3.4</v>
      </c>
      <c r="H14" t="n">
        <v>4.4</v>
      </c>
      <c r="I14" t="n">
        <v>5.6</v>
      </c>
      <c r="J14" t="n">
        <v>6.9</v>
      </c>
      <c r="K14" t="n">
        <v>8.6</v>
      </c>
      <c r="L14" t="n">
        <v>10.6</v>
      </c>
      <c r="M14" t="n">
        <v>11.3</v>
      </c>
      <c r="N14" t="n">
        <v>12.9</v>
      </c>
      <c r="O14" t="n">
        <v>13.7</v>
      </c>
      <c r="P14" t="n">
        <v>28.6</v>
      </c>
      <c r="Q14" t="n">
        <v>31.4</v>
      </c>
      <c r="R14" t="n">
        <v>28.2</v>
      </c>
      <c r="S14" t="n">
        <v>25.3</v>
      </c>
      <c r="T14" t="n">
        <v>24</v>
      </c>
      <c r="U14" t="n">
        <v>24.8</v>
      </c>
      <c r="V14" t="n">
        <v>22.8</v>
      </c>
      <c r="W14" t="n">
        <v>22</v>
      </c>
      <c r="X14" t="n">
        <v>21.7</v>
      </c>
      <c r="Y14" t="n">
        <v>21.1</v>
      </c>
      <c r="Z14" t="n">
        <v>21</v>
      </c>
      <c r="AA14" t="n">
        <v>21.6</v>
      </c>
      <c r="AB14" t="n">
        <v>22.3</v>
      </c>
      <c r="AC14" t="n">
        <v>24</v>
      </c>
      <c r="AD14" t="n">
        <v>24.9</v>
      </c>
      <c r="AE14" t="n">
        <v>25.3</v>
      </c>
      <c r="AF14" t="n">
        <v>25.8</v>
      </c>
    </row>
    <row r="15">
      <c r="A15" t="s">
        <v>122</v>
      </c>
      <c r="B15" t="s">
        <v>300</v>
      </c>
      <c r="C15" t="s">
        <v>217</v>
      </c>
      <c r="D15" t="s">
        <v>301</v>
      </c>
      <c r="E15" t="s">
        <v>218</v>
      </c>
      <c r="F15" t="n">
        <v>2.1</v>
      </c>
      <c r="G15" t="n">
        <v>3.6</v>
      </c>
      <c r="H15" t="n">
        <v>4.7</v>
      </c>
      <c r="I15" t="n">
        <v>5.9</v>
      </c>
      <c r="J15" t="n">
        <v>7.3</v>
      </c>
      <c r="K15" t="n">
        <v>9.2</v>
      </c>
      <c r="L15" t="n">
        <v>11.1</v>
      </c>
      <c r="M15" t="n">
        <v>12</v>
      </c>
      <c r="N15" t="n">
        <v>13.7</v>
      </c>
      <c r="O15" t="n">
        <v>14.6</v>
      </c>
      <c r="P15" t="n">
        <v>30.1</v>
      </c>
      <c r="Q15" t="n">
        <v>35.3</v>
      </c>
      <c r="R15" t="n">
        <v>31.4</v>
      </c>
      <c r="S15" t="n">
        <v>27.7</v>
      </c>
      <c r="T15" t="n">
        <v>26.1</v>
      </c>
      <c r="U15" t="n">
        <v>27.1</v>
      </c>
      <c r="V15" t="n">
        <v>24.7</v>
      </c>
      <c r="W15" t="n">
        <v>23.7</v>
      </c>
      <c r="X15" t="n">
        <v>23.1</v>
      </c>
      <c r="Y15" t="n">
        <v>22.3</v>
      </c>
      <c r="Z15" t="n">
        <v>22.5</v>
      </c>
      <c r="AA15" t="n">
        <v>22.9</v>
      </c>
      <c r="AB15" t="n">
        <v>23.5</v>
      </c>
      <c r="AC15" t="n">
        <v>26.5</v>
      </c>
      <c r="AD15" t="n">
        <v>28.8</v>
      </c>
      <c r="AE15" t="n">
        <v>30.1</v>
      </c>
      <c r="AF15" t="n">
        <v>31.3</v>
      </c>
    </row>
    <row r="16">
      <c r="A16" t="s">
        <v>122</v>
      </c>
      <c r="B16" t="s">
        <v>302</v>
      </c>
      <c r="C16" t="s">
        <v>217</v>
      </c>
      <c r="D16" t="s">
        <v>303</v>
      </c>
      <c r="E16" t="s">
        <v>218</v>
      </c>
      <c r="F16" t="n">
        <v>0.1</v>
      </c>
      <c r="G16" t="n">
        <v>0.2</v>
      </c>
      <c r="H16" t="n">
        <v>0.3</v>
      </c>
      <c r="I16" t="n">
        <v>0.3</v>
      </c>
      <c r="J16" t="n">
        <v>0.4</v>
      </c>
      <c r="K16" t="n">
        <v>0.6</v>
      </c>
      <c r="L16" t="n">
        <v>0.5</v>
      </c>
      <c r="M16" t="n">
        <v>0.7</v>
      </c>
      <c r="N16" t="n">
        <v>0.8</v>
      </c>
      <c r="O16" t="n">
        <v>0.9</v>
      </c>
      <c r="P16" t="n">
        <v>1.5</v>
      </c>
      <c r="Q16" t="n">
        <v>3.9</v>
      </c>
      <c r="R16" t="n">
        <v>3.2</v>
      </c>
      <c r="S16" t="n">
        <v>2.4</v>
      </c>
      <c r="T16" t="n">
        <v>2.1</v>
      </c>
      <c r="U16" t="n">
        <v>2.3</v>
      </c>
      <c r="V16" t="n">
        <v>1.9</v>
      </c>
      <c r="W16" t="n">
        <v>1.7</v>
      </c>
      <c r="X16" t="n">
        <v>1.4</v>
      </c>
      <c r="Y16" t="n">
        <v>1.2</v>
      </c>
      <c r="Z16" t="n">
        <v>1.5</v>
      </c>
      <c r="AA16" t="n">
        <v>1.3</v>
      </c>
      <c r="AB16" t="n">
        <v>1.2</v>
      </c>
      <c r="AC16" t="n">
        <v>2.5</v>
      </c>
      <c r="AD16" t="n">
        <v>3.9</v>
      </c>
      <c r="AE16" t="n">
        <v>4.8</v>
      </c>
      <c r="AF16" t="n">
        <v>5.5</v>
      </c>
    </row>
    <row r="17">
      <c r="A17" t="s">
        <v>122</v>
      </c>
      <c r="B17" t="s">
        <v>304</v>
      </c>
      <c r="C17" t="s">
        <v>217</v>
      </c>
      <c r="D17" t="s">
        <v>305</v>
      </c>
      <c r="E17" t="s">
        <v>218</v>
      </c>
      <c r="F17" t="n">
        <v>0.3</v>
      </c>
      <c r="G17" t="n">
        <v>0.6</v>
      </c>
      <c r="H17" t="n">
        <v>0.7</v>
      </c>
      <c r="I17" t="n">
        <v>1</v>
      </c>
      <c r="J17" t="n">
        <v>1.2</v>
      </c>
      <c r="K17" t="n">
        <v>1.5</v>
      </c>
      <c r="L17" t="n">
        <v>1.7</v>
      </c>
      <c r="M17" t="n">
        <v>2.1</v>
      </c>
      <c r="N17" t="n">
        <v>2.3</v>
      </c>
      <c r="O17" t="n">
        <v>2.5</v>
      </c>
      <c r="P17" t="n">
        <v>3.1</v>
      </c>
      <c r="Q17" t="n">
        <v>4</v>
      </c>
      <c r="R17" t="n">
        <v>4.1</v>
      </c>
      <c r="S17" t="n">
        <v>4.5</v>
      </c>
      <c r="T17" t="n">
        <v>4.2</v>
      </c>
      <c r="U17" t="n">
        <v>4.3</v>
      </c>
      <c r="V17" t="n">
        <v>4.1</v>
      </c>
      <c r="W17" t="n">
        <v>3.9</v>
      </c>
      <c r="X17" t="n">
        <v>3.9</v>
      </c>
      <c r="Y17" t="n">
        <v>3.7</v>
      </c>
      <c r="Z17" t="n">
        <v>3.7</v>
      </c>
      <c r="AA17" t="n">
        <v>5</v>
      </c>
      <c r="AB17" t="n">
        <v>5.7</v>
      </c>
      <c r="AC17" t="n">
        <v>8.5</v>
      </c>
      <c r="AD17" t="n">
        <v>8.8</v>
      </c>
      <c r="AE17" t="n">
        <v>9.1</v>
      </c>
      <c r="AF17" t="n">
        <v>9.6</v>
      </c>
    </row>
    <row r="18">
      <c r="A18" t="s">
        <v>122</v>
      </c>
      <c r="B18" t="s">
        <v>306</v>
      </c>
      <c r="C18" t="s">
        <v>217</v>
      </c>
      <c r="D18" t="s">
        <v>307</v>
      </c>
      <c r="E18" t="s">
        <v>218</v>
      </c>
      <c r="F18" t="n">
        <v>0.2</v>
      </c>
      <c r="G18" t="n">
        <v>0.3</v>
      </c>
      <c r="H18" t="n">
        <v>0.5</v>
      </c>
      <c r="I18" t="n">
        <v>0.6</v>
      </c>
      <c r="J18" t="n">
        <v>0.7</v>
      </c>
      <c r="K18" t="n">
        <v>1</v>
      </c>
      <c r="L18" t="n">
        <v>1.1</v>
      </c>
      <c r="M18" t="n">
        <v>1.4</v>
      </c>
      <c r="N18" t="n">
        <v>1.5</v>
      </c>
      <c r="O18" t="n">
        <v>1.6</v>
      </c>
      <c r="P18" t="n">
        <v>1.8</v>
      </c>
      <c r="Q18" t="n">
        <v>2.4</v>
      </c>
      <c r="R18" t="n">
        <v>2.2</v>
      </c>
      <c r="S18" t="n">
        <v>2.8</v>
      </c>
      <c r="T18" t="n">
        <v>3.5</v>
      </c>
      <c r="U18" t="n">
        <v>3.3</v>
      </c>
      <c r="V18" t="n">
        <v>2.7</v>
      </c>
      <c r="W18" t="n">
        <v>2.4</v>
      </c>
      <c r="X18" t="n">
        <v>2.2</v>
      </c>
      <c r="Y18" t="n">
        <v>2.1</v>
      </c>
      <c r="Z18" t="n">
        <v>2</v>
      </c>
      <c r="AA18" t="n">
        <v>2.1</v>
      </c>
      <c r="AB18" t="n">
        <v>2.2</v>
      </c>
      <c r="AC18" t="n">
        <v>2.4</v>
      </c>
      <c r="AD18" t="n">
        <v>2.4</v>
      </c>
      <c r="AE18" t="n">
        <v>2.5</v>
      </c>
      <c r="AF18" t="n">
        <v>2.7</v>
      </c>
    </row>
    <row r="19">
      <c r="A19" t="s">
        <v>122</v>
      </c>
      <c r="B19" t="s">
        <v>308</v>
      </c>
      <c r="C19" t="s">
        <v>217</v>
      </c>
      <c r="D19" t="s">
        <v>309</v>
      </c>
      <c r="E19" t="s">
        <v>218</v>
      </c>
      <c r="F19" t="n">
        <v>0.6</v>
      </c>
      <c r="G19" t="n">
        <v>1</v>
      </c>
      <c r="H19" t="n">
        <v>1.2</v>
      </c>
      <c r="I19" t="n">
        <v>1.6</v>
      </c>
      <c r="J19" t="n">
        <v>2</v>
      </c>
      <c r="K19" t="n">
        <v>2.4</v>
      </c>
      <c r="L19" t="n">
        <v>2.9</v>
      </c>
      <c r="M19" t="n">
        <v>3.5</v>
      </c>
      <c r="N19" t="n">
        <v>4.1</v>
      </c>
      <c r="O19" t="n">
        <v>4.5</v>
      </c>
      <c r="P19" t="n">
        <v>5.2</v>
      </c>
      <c r="Q19" t="n">
        <v>6.8</v>
      </c>
      <c r="R19" t="n">
        <v>8</v>
      </c>
      <c r="S19" t="n">
        <v>8.2</v>
      </c>
      <c r="T19" t="n">
        <v>8.5</v>
      </c>
      <c r="U19" t="n">
        <v>8.6</v>
      </c>
      <c r="V19" t="n">
        <v>8.2</v>
      </c>
      <c r="W19" t="n">
        <v>8</v>
      </c>
      <c r="X19" t="n">
        <v>7.6</v>
      </c>
      <c r="Y19" t="n">
        <v>7.6</v>
      </c>
      <c r="Z19" t="n">
        <v>7.7</v>
      </c>
      <c r="AA19" t="n">
        <v>7.7</v>
      </c>
      <c r="AB19" t="n">
        <v>7.9</v>
      </c>
      <c r="AC19" t="n">
        <v>8.3</v>
      </c>
      <c r="AD19" t="n">
        <v>8.7</v>
      </c>
      <c r="AE19" t="n">
        <v>9</v>
      </c>
      <c r="AF19" t="n">
        <v>9.3</v>
      </c>
    </row>
    <row r="20">
      <c r="A20" t="s">
        <v>122</v>
      </c>
      <c r="B20" t="s">
        <v>310</v>
      </c>
      <c r="C20" t="s">
        <v>217</v>
      </c>
      <c r="D20" t="s">
        <v>311</v>
      </c>
      <c r="E20" t="s">
        <v>218</v>
      </c>
      <c r="F20" t="n">
        <v>2.4</v>
      </c>
      <c r="G20" t="n">
        <v>4.2</v>
      </c>
      <c r="H20" t="n">
        <v>5.7</v>
      </c>
      <c r="I20" t="n">
        <v>7.3</v>
      </c>
      <c r="J20" t="n">
        <v>9.1</v>
      </c>
      <c r="K20" t="n">
        <v>12.2</v>
      </c>
      <c r="L20" t="n">
        <v>13</v>
      </c>
      <c r="M20" t="n">
        <v>13.4</v>
      </c>
      <c r="N20" t="n">
        <v>14.6</v>
      </c>
      <c r="O20" t="n">
        <v>15.8</v>
      </c>
      <c r="P20" t="n">
        <v>17.4</v>
      </c>
      <c r="Q20" t="n">
        <v>18.8</v>
      </c>
      <c r="R20" t="n">
        <v>18.9</v>
      </c>
      <c r="S20" t="n">
        <v>18.8</v>
      </c>
      <c r="T20" t="n">
        <v>20.5</v>
      </c>
      <c r="U20" t="n">
        <v>23.3</v>
      </c>
      <c r="V20" t="n">
        <v>22.2</v>
      </c>
      <c r="W20" t="n">
        <v>23.8</v>
      </c>
      <c r="X20" t="n">
        <v>25</v>
      </c>
      <c r="Y20" t="n">
        <v>31.8</v>
      </c>
      <c r="Z20" t="n">
        <v>34</v>
      </c>
      <c r="AA20" t="n">
        <v>37.4</v>
      </c>
      <c r="AB20" t="n">
        <v>38.4</v>
      </c>
      <c r="AC20" t="n">
        <v>40.2</v>
      </c>
      <c r="AD20" t="n">
        <v>49.4</v>
      </c>
      <c r="AE20" t="n">
        <v>54.4</v>
      </c>
      <c r="AF20" t="n">
        <v>58.3</v>
      </c>
    </row>
    <row r="21">
      <c r="A21" t="s">
        <v>122</v>
      </c>
      <c r="B21" t="s">
        <v>312</v>
      </c>
      <c r="C21" t="s">
        <v>217</v>
      </c>
      <c r="D21" t="s">
        <v>313</v>
      </c>
      <c r="E21" t="s">
        <v>218</v>
      </c>
      <c r="F21" t="n">
        <v>2.8</v>
      </c>
      <c r="G21" t="n">
        <v>4.9</v>
      </c>
      <c r="H21" t="n">
        <v>6.6</v>
      </c>
      <c r="I21" t="n">
        <v>8.5</v>
      </c>
      <c r="J21" t="n">
        <v>10.6</v>
      </c>
      <c r="K21" t="n">
        <v>14.3</v>
      </c>
      <c r="L21" t="n">
        <v>16.3</v>
      </c>
      <c r="M21" t="n">
        <v>17.2</v>
      </c>
      <c r="N21" t="n">
        <v>18.2</v>
      </c>
      <c r="O21" t="n">
        <v>18.9</v>
      </c>
      <c r="P21" t="n">
        <v>22</v>
      </c>
      <c r="Q21" t="n">
        <v>97.9</v>
      </c>
      <c r="R21" t="n">
        <v>132.6</v>
      </c>
      <c r="S21" t="n">
        <v>92.4</v>
      </c>
      <c r="T21" t="n">
        <v>70.9</v>
      </c>
      <c r="U21" t="n">
        <v>59.7</v>
      </c>
      <c r="V21" t="n">
        <v>47.2</v>
      </c>
      <c r="W21" t="n">
        <v>42.2</v>
      </c>
      <c r="X21" t="n">
        <v>39</v>
      </c>
      <c r="Y21" t="n">
        <v>46.3</v>
      </c>
      <c r="Z21" t="n">
        <v>51.3</v>
      </c>
      <c r="AA21" t="n">
        <v>53.1</v>
      </c>
      <c r="AB21" t="n">
        <v>52.7</v>
      </c>
      <c r="AC21" t="n">
        <v>53.6</v>
      </c>
      <c r="AD21" t="n">
        <v>62.5</v>
      </c>
      <c r="AE21" t="n">
        <v>67.4</v>
      </c>
      <c r="AF21" t="n">
        <v>72.3</v>
      </c>
    </row>
    <row r="22">
      <c r="A22" t="s">
        <v>122</v>
      </c>
      <c r="B22" t="s">
        <v>314</v>
      </c>
      <c r="C22" t="s">
        <v>217</v>
      </c>
      <c r="D22" t="s">
        <v>315</v>
      </c>
      <c r="E22" t="s">
        <v>218</v>
      </c>
      <c r="F22" t="n">
        <v>0.4</v>
      </c>
      <c r="G22" t="n">
        <v>0.7</v>
      </c>
      <c r="H22" t="n">
        <v>0.9</v>
      </c>
      <c r="I22" t="n">
        <v>1.2</v>
      </c>
      <c r="J22" t="n">
        <v>1.5</v>
      </c>
      <c r="K22" t="n">
        <v>2.1</v>
      </c>
      <c r="L22" t="n">
        <v>3.3</v>
      </c>
      <c r="M22" t="n">
        <v>3.8</v>
      </c>
      <c r="N22" t="n">
        <v>3.6</v>
      </c>
      <c r="O22" t="n">
        <v>3.1</v>
      </c>
      <c r="P22" t="n">
        <v>4.6</v>
      </c>
      <c r="Q22" t="n">
        <v>79.1</v>
      </c>
      <c r="R22" t="n">
        <v>113.7</v>
      </c>
      <c r="S22" t="n">
        <v>73.6</v>
      </c>
      <c r="T22" t="n">
        <v>50.4</v>
      </c>
      <c r="U22" t="n">
        <v>36.4</v>
      </c>
      <c r="V22" t="n">
        <v>25</v>
      </c>
      <c r="W22" t="n">
        <v>18.4</v>
      </c>
      <c r="X22" t="n">
        <v>14</v>
      </c>
      <c r="Y22" t="n">
        <v>14.5</v>
      </c>
      <c r="Z22" t="n">
        <v>17.3</v>
      </c>
      <c r="AA22" t="n">
        <v>15.7</v>
      </c>
      <c r="AB22" t="n">
        <v>14.3</v>
      </c>
      <c r="AC22" t="n">
        <v>13.4</v>
      </c>
      <c r="AD22" t="n">
        <v>13.1</v>
      </c>
      <c r="AE22" t="n">
        <v>13</v>
      </c>
      <c r="AF22" t="n">
        <v>14</v>
      </c>
    </row>
    <row r="23">
      <c r="A23" t="s">
        <v>122</v>
      </c>
      <c r="B23" t="s">
        <v>316</v>
      </c>
      <c r="C23" t="s">
        <v>217</v>
      </c>
      <c r="D23" t="s">
        <v>317</v>
      </c>
      <c r="E23" t="s">
        <v>218</v>
      </c>
      <c r="F23" t="n">
        <v>1.1</v>
      </c>
      <c r="G23" t="n">
        <v>1.4</v>
      </c>
      <c r="H23" t="n">
        <v>1.7</v>
      </c>
      <c r="I23" t="n">
        <v>2.1</v>
      </c>
      <c r="J23" t="n">
        <v>2.6</v>
      </c>
      <c r="K23" t="n">
        <v>3.5</v>
      </c>
      <c r="L23" t="n">
        <v>4.7</v>
      </c>
      <c r="M23" t="n">
        <v>9.3</v>
      </c>
      <c r="N23" t="n">
        <v>11.5</v>
      </c>
      <c r="O23" t="n">
        <v>11.9</v>
      </c>
      <c r="P23" t="n">
        <v>15.9</v>
      </c>
      <c r="Q23" t="n">
        <v>24.5</v>
      </c>
      <c r="R23" t="n">
        <v>31.8</v>
      </c>
      <c r="S23" t="n">
        <v>28</v>
      </c>
      <c r="T23" t="n">
        <v>22.5</v>
      </c>
      <c r="U23" t="n">
        <v>19.1</v>
      </c>
      <c r="V23" t="n">
        <v>15.6</v>
      </c>
      <c r="W23" t="n">
        <v>17.4</v>
      </c>
      <c r="X23" t="n">
        <v>17.1</v>
      </c>
      <c r="Y23" t="n">
        <v>12.7</v>
      </c>
      <c r="Z23" t="n">
        <v>11.3</v>
      </c>
      <c r="AA23" t="n">
        <v>10.6</v>
      </c>
      <c r="AB23" t="n">
        <v>10.1</v>
      </c>
      <c r="AC23" t="n">
        <v>12.8</v>
      </c>
      <c r="AD23" t="n">
        <v>15.1</v>
      </c>
      <c r="AE23" t="n">
        <v>17.8</v>
      </c>
      <c r="AF23" t="n">
        <v>20.1</v>
      </c>
    </row>
    <row r="24">
      <c r="A24" t="s">
        <v>122</v>
      </c>
      <c r="B24" t="s">
        <v>318</v>
      </c>
      <c r="C24" t="s">
        <v>217</v>
      </c>
      <c r="D24" t="s">
        <v>319</v>
      </c>
      <c r="E24" t="s">
        <v>218</v>
      </c>
      <c r="F24" t="n">
        <v>12.4</v>
      </c>
      <c r="G24" t="n">
        <v>16.1</v>
      </c>
      <c r="H24" t="n">
        <v>18.2</v>
      </c>
      <c r="I24" t="n">
        <v>22.1</v>
      </c>
      <c r="J24" t="n">
        <v>26.8</v>
      </c>
      <c r="K24" t="n">
        <v>30.9</v>
      </c>
      <c r="L24" t="n">
        <v>53.5</v>
      </c>
      <c r="M24" t="n">
        <v>120.3</v>
      </c>
      <c r="N24" t="n">
        <v>147.5</v>
      </c>
      <c r="O24" t="n">
        <v>176.6</v>
      </c>
      <c r="P24" t="n">
        <v>246.4</v>
      </c>
      <c r="Q24" t="n">
        <v>316.5</v>
      </c>
      <c r="R24" t="n">
        <v>359.5</v>
      </c>
      <c r="S24" t="n">
        <v>348.1</v>
      </c>
      <c r="T24" t="n">
        <v>324.3</v>
      </c>
      <c r="U24" t="n">
        <v>263.7</v>
      </c>
      <c r="V24" t="n">
        <v>433.7</v>
      </c>
      <c r="W24" t="n">
        <v>395.6</v>
      </c>
      <c r="X24" t="n">
        <v>386.7</v>
      </c>
      <c r="Y24" t="n">
        <v>325.5</v>
      </c>
      <c r="Z24" t="n">
        <v>362.8</v>
      </c>
      <c r="AA24" t="n">
        <v>380.8</v>
      </c>
      <c r="AB24" t="n">
        <v>392</v>
      </c>
      <c r="AC24" t="n">
        <v>356.6</v>
      </c>
      <c r="AD24" t="n">
        <v>349.8</v>
      </c>
      <c r="AE24" t="n">
        <v>333.2</v>
      </c>
      <c r="AF24" t="n">
        <v>335.3</v>
      </c>
    </row>
    <row r="25">
      <c r="A25" t="s">
        <v>122</v>
      </c>
      <c r="B25" t="s">
        <v>320</v>
      </c>
      <c r="C25" t="s">
        <v>217</v>
      </c>
      <c r="D25" t="s">
        <v>321</v>
      </c>
      <c r="E25" t="s">
        <v>218</v>
      </c>
      <c r="F25" t="n">
        <v>0.1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1.8</v>
      </c>
      <c r="M25" t="n">
        <v>4.4</v>
      </c>
      <c r="N25" t="n">
        <v>9.6</v>
      </c>
      <c r="O25" t="n">
        <v>9.5</v>
      </c>
      <c r="P25" t="n">
        <v>12</v>
      </c>
      <c r="Q25" t="n">
        <v>16</v>
      </c>
      <c r="R25" t="n">
        <v>19.7</v>
      </c>
      <c r="S25" t="n">
        <v>19.9</v>
      </c>
      <c r="T25" t="n">
        <v>17.5</v>
      </c>
      <c r="U25" t="n">
        <v>12.2</v>
      </c>
      <c r="V25" t="n">
        <v>21.8</v>
      </c>
      <c r="W25" t="n">
        <v>17.9</v>
      </c>
      <c r="X25" t="n">
        <v>15.4</v>
      </c>
      <c r="Y25" t="n">
        <v>12.4</v>
      </c>
      <c r="Z25" t="n">
        <v>13.3</v>
      </c>
      <c r="AA25" t="n">
        <v>21.2</v>
      </c>
      <c r="AB25" t="n">
        <v>25.7</v>
      </c>
      <c r="AC25" t="n">
        <v>21.1</v>
      </c>
      <c r="AD25" t="n">
        <v>16.4</v>
      </c>
      <c r="AE25" t="n">
        <v>15</v>
      </c>
      <c r="AF25" t="n">
        <v>14.9</v>
      </c>
    </row>
    <row r="26">
      <c r="A26" t="s">
        <v>122</v>
      </c>
      <c r="B26" t="s">
        <v>322</v>
      </c>
      <c r="C26" t="s">
        <v>217</v>
      </c>
      <c r="D26" t="s">
        <v>323</v>
      </c>
      <c r="E26" t="s">
        <v>218</v>
      </c>
      <c r="F26" t="n">
        <v>4.6</v>
      </c>
      <c r="G26" t="n">
        <v>6.1</v>
      </c>
      <c r="H26" t="n">
        <v>6.9</v>
      </c>
      <c r="I26" t="n">
        <v>8.4</v>
      </c>
      <c r="J26" t="n">
        <v>10.2</v>
      </c>
      <c r="K26" t="n">
        <v>11.8</v>
      </c>
      <c r="L26" t="n">
        <v>21.7</v>
      </c>
      <c r="M26" t="n">
        <v>49.1</v>
      </c>
      <c r="N26" t="n">
        <v>67.9</v>
      </c>
      <c r="O26" t="n">
        <v>96.2</v>
      </c>
      <c r="P26" t="n">
        <v>137.4</v>
      </c>
      <c r="Q26" t="n">
        <v>189.8</v>
      </c>
      <c r="R26" t="n">
        <v>219.5</v>
      </c>
      <c r="S26" t="n">
        <v>214.8</v>
      </c>
      <c r="T26" t="n">
        <v>198.6</v>
      </c>
      <c r="U26" t="n">
        <v>152.4</v>
      </c>
      <c r="V26" t="n">
        <v>235.4</v>
      </c>
      <c r="W26" t="n">
        <v>213.4</v>
      </c>
      <c r="X26" t="n">
        <v>210.1</v>
      </c>
      <c r="Y26" t="n">
        <v>174</v>
      </c>
      <c r="Z26" t="n">
        <v>206.7</v>
      </c>
      <c r="AA26" t="n">
        <v>202</v>
      </c>
      <c r="AB26" t="n">
        <v>199.4</v>
      </c>
      <c r="AC26" t="n">
        <v>183</v>
      </c>
      <c r="AD26" t="n">
        <v>178.1</v>
      </c>
      <c r="AE26" t="n">
        <v>177</v>
      </c>
      <c r="AF26" t="n">
        <v>184</v>
      </c>
    </row>
    <row r="27">
      <c r="A27" t="s">
        <v>122</v>
      </c>
      <c r="B27" t="s">
        <v>324</v>
      </c>
      <c r="C27" t="s">
        <v>217</v>
      </c>
      <c r="D27" t="s">
        <v>325</v>
      </c>
      <c r="E27" t="s">
        <v>218</v>
      </c>
      <c r="F27" t="n">
        <v>7.7</v>
      </c>
      <c r="G27" t="n">
        <v>10</v>
      </c>
      <c r="H27" t="n">
        <v>11.3</v>
      </c>
      <c r="I27" t="n">
        <v>13.7</v>
      </c>
      <c r="J27" t="n">
        <v>16.6</v>
      </c>
      <c r="K27" t="n">
        <v>19.1</v>
      </c>
      <c r="L27" t="n">
        <v>30</v>
      </c>
      <c r="M27" t="n">
        <v>66.8</v>
      </c>
      <c r="N27" t="n">
        <v>70</v>
      </c>
      <c r="O27" t="n">
        <v>70.9</v>
      </c>
      <c r="P27" t="n">
        <v>97</v>
      </c>
      <c r="Q27" t="n">
        <v>110.7</v>
      </c>
      <c r="R27" t="n">
        <v>120.3</v>
      </c>
      <c r="S27" t="n">
        <v>113.4</v>
      </c>
      <c r="T27" t="n">
        <v>108.2</v>
      </c>
      <c r="U27" t="n">
        <v>99.1</v>
      </c>
      <c r="V27" t="n">
        <v>176.5</v>
      </c>
      <c r="W27" t="n">
        <v>164.3</v>
      </c>
      <c r="X27" t="n">
        <v>161.2</v>
      </c>
      <c r="Y27" t="n">
        <v>139.1</v>
      </c>
      <c r="Z27" t="n">
        <v>142.8</v>
      </c>
      <c r="AA27" t="n">
        <v>157.6</v>
      </c>
      <c r="AB27" t="n">
        <v>166.9</v>
      </c>
      <c r="AC27" t="n">
        <v>152.5</v>
      </c>
      <c r="AD27" t="n">
        <v>155.3</v>
      </c>
      <c r="AE27" t="n">
        <v>141.2</v>
      </c>
      <c r="AF27" t="n">
        <v>136.4</v>
      </c>
    </row>
    <row r="28">
      <c r="A28" t="s">
        <v>122</v>
      </c>
      <c r="B28" t="s">
        <v>326</v>
      </c>
      <c r="C28" t="s">
        <v>217</v>
      </c>
      <c r="D28" t="s">
        <v>327</v>
      </c>
      <c r="E28" t="s">
        <v>218</v>
      </c>
      <c r="F28" t="n">
        <v>5.8</v>
      </c>
      <c r="G28" t="n">
        <v>8.8</v>
      </c>
      <c r="H28" t="n">
        <v>10.3</v>
      </c>
      <c r="I28" t="n">
        <v>13.8</v>
      </c>
      <c r="J28" t="n">
        <v>18.6</v>
      </c>
      <c r="K28" t="n">
        <v>21.2</v>
      </c>
      <c r="L28" t="n">
        <v>34.5</v>
      </c>
      <c r="M28" t="n">
        <v>71.9</v>
      </c>
      <c r="N28" t="n">
        <v>59.6</v>
      </c>
      <c r="O28" t="n">
        <v>50.7</v>
      </c>
      <c r="P28" t="n">
        <v>47.3</v>
      </c>
      <c r="Q28" t="n">
        <v>48.2</v>
      </c>
      <c r="R28" t="n">
        <v>50.3</v>
      </c>
      <c r="S28" t="n">
        <v>50.3</v>
      </c>
      <c r="T28" t="n">
        <v>52.3</v>
      </c>
      <c r="U28" t="n">
        <v>116</v>
      </c>
      <c r="V28" t="n">
        <v>48.5</v>
      </c>
      <c r="W28" t="n">
        <v>46.2</v>
      </c>
      <c r="X28" t="n">
        <v>45.7</v>
      </c>
      <c r="Y28" t="n">
        <v>43.6</v>
      </c>
      <c r="Z28" t="n">
        <v>48</v>
      </c>
      <c r="AA28" t="n">
        <v>53.5</v>
      </c>
      <c r="AB28" t="n">
        <v>57.2</v>
      </c>
      <c r="AC28" t="n">
        <v>63.1</v>
      </c>
      <c r="AD28" t="n">
        <v>60.3</v>
      </c>
      <c r="AE28" t="n">
        <v>55.8</v>
      </c>
      <c r="AF28" t="n">
        <v>53.8</v>
      </c>
    </row>
    <row r="29">
      <c r="A29" t="s">
        <v>122</v>
      </c>
      <c r="B29" t="s">
        <v>328</v>
      </c>
      <c r="C29" t="s">
        <v>217</v>
      </c>
      <c r="D29" t="s">
        <v>329</v>
      </c>
      <c r="E29" t="s">
        <v>218</v>
      </c>
      <c r="F29" t="n">
        <v>1</v>
      </c>
      <c r="G29" t="n">
        <v>1.3</v>
      </c>
      <c r="H29" t="n">
        <v>1.7</v>
      </c>
      <c r="I29" t="n">
        <v>2</v>
      </c>
      <c r="J29" t="n">
        <v>2.5</v>
      </c>
      <c r="K29" t="n">
        <v>3.4</v>
      </c>
      <c r="L29" t="n">
        <v>6.2</v>
      </c>
      <c r="M29" t="n">
        <v>5.7</v>
      </c>
      <c r="N29" t="n">
        <v>5.7</v>
      </c>
      <c r="O29" t="n">
        <v>6.6</v>
      </c>
      <c r="P29" t="n">
        <v>10.4</v>
      </c>
      <c r="Q29" t="n">
        <v>14</v>
      </c>
      <c r="R29" t="n">
        <v>12.6</v>
      </c>
      <c r="S29" t="n">
        <v>12.5</v>
      </c>
      <c r="T29" t="n">
        <v>12.3</v>
      </c>
      <c r="U29" t="n">
        <v>11.4</v>
      </c>
      <c r="V29" t="n">
        <v>9.8</v>
      </c>
      <c r="W29" t="n">
        <v>8.8</v>
      </c>
      <c r="X29" t="n">
        <v>8.6</v>
      </c>
      <c r="Y29" t="n">
        <v>8.6</v>
      </c>
      <c r="Z29" t="n">
        <v>8.3</v>
      </c>
      <c r="AA29" t="n">
        <v>8.3</v>
      </c>
      <c r="AB29" t="n">
        <v>9.6</v>
      </c>
      <c r="AC29" t="n">
        <v>10.4</v>
      </c>
      <c r="AD29" t="n">
        <v>10.7</v>
      </c>
      <c r="AE29" t="n">
        <v>10.6</v>
      </c>
      <c r="AF29" t="n">
        <v>10.6</v>
      </c>
    </row>
    <row r="30">
      <c r="A30" t="s">
        <v>122</v>
      </c>
      <c r="B30" t="s">
        <v>330</v>
      </c>
      <c r="C30" t="s">
        <v>217</v>
      </c>
      <c r="D30" t="s">
        <v>331</v>
      </c>
      <c r="E30" t="s">
        <v>218</v>
      </c>
      <c r="F30" t="n">
        <v>1.7</v>
      </c>
      <c r="G30" t="n">
        <v>2.9</v>
      </c>
      <c r="H30" t="n">
        <v>3.2</v>
      </c>
      <c r="I30" t="n">
        <v>4.5</v>
      </c>
      <c r="J30" t="n">
        <v>6.2</v>
      </c>
      <c r="K30" t="n">
        <v>6.3</v>
      </c>
      <c r="L30" t="n">
        <v>9.5</v>
      </c>
      <c r="M30" t="n">
        <v>8.8</v>
      </c>
      <c r="N30" t="n">
        <v>8.7</v>
      </c>
      <c r="O30" t="n">
        <v>9</v>
      </c>
      <c r="P30" t="n">
        <v>8.9</v>
      </c>
      <c r="Q30" t="n">
        <v>9.6</v>
      </c>
      <c r="R30" t="n">
        <v>10.1</v>
      </c>
      <c r="S30" t="n">
        <v>10.6</v>
      </c>
      <c r="T30" t="n">
        <v>11.8</v>
      </c>
      <c r="U30" t="n">
        <v>39.8</v>
      </c>
      <c r="V30" t="n">
        <v>13.3</v>
      </c>
      <c r="W30" t="n">
        <v>13.6</v>
      </c>
      <c r="X30" t="n">
        <v>14.2</v>
      </c>
      <c r="Y30" t="n">
        <v>13.9</v>
      </c>
      <c r="Z30" t="n">
        <v>14</v>
      </c>
      <c r="AA30" t="n">
        <v>14.5</v>
      </c>
      <c r="AB30" t="n">
        <v>15</v>
      </c>
      <c r="AC30" t="n">
        <v>15.7</v>
      </c>
      <c r="AD30" t="n">
        <v>16.1</v>
      </c>
      <c r="AE30" t="n">
        <v>16.2</v>
      </c>
      <c r="AF30" t="n">
        <v>16.5</v>
      </c>
    </row>
    <row r="31">
      <c r="A31" t="s">
        <v>122</v>
      </c>
      <c r="B31" t="s">
        <v>332</v>
      </c>
      <c r="C31" t="s">
        <v>217</v>
      </c>
      <c r="D31" t="s">
        <v>333</v>
      </c>
      <c r="E31" t="s">
        <v>218</v>
      </c>
      <c r="F31" t="n">
        <v>0.7</v>
      </c>
      <c r="G31" t="n">
        <v>1</v>
      </c>
      <c r="H31" t="n">
        <v>1.4</v>
      </c>
      <c r="I31" t="n">
        <v>1.7</v>
      </c>
      <c r="J31" t="n">
        <v>2.2</v>
      </c>
      <c r="K31" t="n">
        <v>3.6</v>
      </c>
      <c r="L31" t="n">
        <v>7</v>
      </c>
      <c r="M31" t="n">
        <v>43.3</v>
      </c>
      <c r="N31" t="n">
        <v>30</v>
      </c>
      <c r="O31" t="n">
        <v>19</v>
      </c>
      <c r="P31" t="n">
        <v>12.9</v>
      </c>
      <c r="Q31" t="n">
        <v>10</v>
      </c>
      <c r="R31" t="n">
        <v>11.8</v>
      </c>
      <c r="S31" t="n">
        <v>11.4</v>
      </c>
      <c r="T31" t="n">
        <v>11</v>
      </c>
      <c r="U31" t="n">
        <v>13.7</v>
      </c>
      <c r="V31" t="n">
        <v>7.2</v>
      </c>
      <c r="W31" t="n">
        <v>6.2</v>
      </c>
      <c r="X31" t="n">
        <v>5.2</v>
      </c>
      <c r="Y31" t="n">
        <v>3.4</v>
      </c>
      <c r="Z31" t="n">
        <v>7</v>
      </c>
      <c r="AA31" t="n">
        <v>9.6</v>
      </c>
      <c r="AB31" t="n">
        <v>10.3</v>
      </c>
      <c r="AC31" t="n">
        <v>13.6</v>
      </c>
      <c r="AD31" t="n">
        <v>10.7</v>
      </c>
      <c r="AE31" t="n">
        <v>7</v>
      </c>
      <c r="AF31" t="n">
        <v>4.9</v>
      </c>
    </row>
    <row r="32">
      <c r="A32" t="s">
        <v>122</v>
      </c>
      <c r="B32" t="s">
        <v>334</v>
      </c>
      <c r="C32" t="s">
        <v>217</v>
      </c>
      <c r="D32" t="s">
        <v>335</v>
      </c>
      <c r="E32" t="s">
        <v>218</v>
      </c>
      <c r="F32" t="n">
        <v>2.2</v>
      </c>
      <c r="G32" t="n">
        <v>3.4</v>
      </c>
      <c r="H32" t="n">
        <v>3.7</v>
      </c>
      <c r="I32" t="n">
        <v>5.2</v>
      </c>
      <c r="J32" t="n">
        <v>7.2</v>
      </c>
      <c r="K32" t="n">
        <v>7.1</v>
      </c>
      <c r="L32" t="n">
        <v>10.9</v>
      </c>
      <c r="M32" t="n">
        <v>10.1</v>
      </c>
      <c r="N32" t="n">
        <v>10.2</v>
      </c>
      <c r="O32" t="n">
        <v>11.1</v>
      </c>
      <c r="P32" t="n">
        <v>10.8</v>
      </c>
      <c r="Q32" t="n">
        <v>11.6</v>
      </c>
      <c r="R32" t="n">
        <v>12.4</v>
      </c>
      <c r="S32" t="n">
        <v>12.8</v>
      </c>
      <c r="T32" t="n">
        <v>14.7</v>
      </c>
      <c r="U32" t="n">
        <v>48.4</v>
      </c>
      <c r="V32" t="n">
        <v>16.8</v>
      </c>
      <c r="W32" t="n">
        <v>16.5</v>
      </c>
      <c r="X32" t="n">
        <v>16.8</v>
      </c>
      <c r="Y32" t="n">
        <v>17</v>
      </c>
      <c r="Z32" t="n">
        <v>17.9</v>
      </c>
      <c r="AA32" t="n">
        <v>20.3</v>
      </c>
      <c r="AB32" t="n">
        <v>21.5</v>
      </c>
      <c r="AC32" t="n">
        <v>22.6</v>
      </c>
      <c r="AD32" t="n">
        <v>21.9</v>
      </c>
      <c r="AE32" t="n">
        <v>21.2</v>
      </c>
      <c r="AF32" t="n">
        <v>21</v>
      </c>
    </row>
    <row r="33">
      <c r="A33" t="s">
        <v>122</v>
      </c>
      <c r="B33" t="s">
        <v>336</v>
      </c>
      <c r="C33" t="s">
        <v>217</v>
      </c>
      <c r="D33" t="s">
        <v>337</v>
      </c>
      <c r="E33" t="s">
        <v>218</v>
      </c>
      <c r="F33" t="n">
        <v>0.1</v>
      </c>
      <c r="G33" t="n">
        <v>0.2</v>
      </c>
      <c r="H33" t="n">
        <v>0.3</v>
      </c>
      <c r="I33" t="n">
        <v>0.4</v>
      </c>
      <c r="J33" t="n">
        <v>0.5</v>
      </c>
      <c r="K33" t="n">
        <v>0.8</v>
      </c>
      <c r="L33" t="n">
        <v>0.9</v>
      </c>
      <c r="M33" t="n">
        <v>4</v>
      </c>
      <c r="N33" t="n">
        <v>5</v>
      </c>
      <c r="O33" t="n">
        <v>5</v>
      </c>
      <c r="P33" t="n">
        <v>4.3</v>
      </c>
      <c r="Q33" t="n">
        <v>3</v>
      </c>
      <c r="R33" t="n">
        <v>3.4</v>
      </c>
      <c r="S33" t="n">
        <v>3</v>
      </c>
      <c r="T33" t="n">
        <v>2.5</v>
      </c>
      <c r="U33" t="n">
        <v>2.7</v>
      </c>
      <c r="V33" t="n">
        <v>1.4</v>
      </c>
      <c r="W33" t="n">
        <v>1.1</v>
      </c>
      <c r="X33" t="n">
        <v>0.9</v>
      </c>
      <c r="Y33" t="n">
        <v>0.7</v>
      </c>
      <c r="Z33" t="n">
        <v>0.8</v>
      </c>
      <c r="AA33" t="n">
        <v>0.8</v>
      </c>
      <c r="AB33" t="n">
        <v>0.8</v>
      </c>
      <c r="AC33" t="n">
        <v>0.8</v>
      </c>
      <c r="AD33" t="n">
        <v>0.9</v>
      </c>
      <c r="AE33" t="n">
        <v>0.8</v>
      </c>
      <c r="AF33" t="n">
        <v>0.8</v>
      </c>
    </row>
    <row r="34">
      <c r="A34" t="s">
        <v>122</v>
      </c>
      <c r="B34" t="s">
        <v>338</v>
      </c>
      <c r="C34" t="s">
        <v>217</v>
      </c>
      <c r="D34" t="s">
        <v>339</v>
      </c>
      <c r="E34" t="s">
        <v>218</v>
      </c>
      <c r="F34" t="n">
        <v>2.7</v>
      </c>
      <c r="G34" t="n">
        <v>5.3</v>
      </c>
      <c r="H34" t="n">
        <v>10.2</v>
      </c>
      <c r="I34" t="n">
        <v>12.8</v>
      </c>
      <c r="J34" t="n">
        <v>16.2</v>
      </c>
      <c r="K34" t="n">
        <v>31</v>
      </c>
      <c r="L34" t="n">
        <v>29.2</v>
      </c>
      <c r="M34" t="n">
        <v>52.7</v>
      </c>
      <c r="N34" t="n">
        <v>67.1</v>
      </c>
      <c r="O34" t="n">
        <v>76.9</v>
      </c>
      <c r="P34" t="n">
        <v>105.9</v>
      </c>
      <c r="Q34" t="n">
        <v>64.5</v>
      </c>
      <c r="R34" t="n">
        <v>39.3</v>
      </c>
      <c r="S34" t="n">
        <v>54.3</v>
      </c>
      <c r="T34" t="n">
        <v>53.4</v>
      </c>
      <c r="U34" t="n">
        <v>35.2</v>
      </c>
      <c r="V34" t="n">
        <v>130.6</v>
      </c>
      <c r="W34" t="n">
        <v>126.4</v>
      </c>
      <c r="X34" t="n">
        <v>125.9</v>
      </c>
      <c r="Y34" t="n">
        <v>90.1</v>
      </c>
      <c r="Z34" t="n">
        <v>130.1</v>
      </c>
      <c r="AA34" t="n">
        <v>138.7</v>
      </c>
      <c r="AB34" t="n">
        <v>144.5</v>
      </c>
      <c r="AC34" t="n">
        <v>116.8</v>
      </c>
      <c r="AD34" t="n">
        <v>107</v>
      </c>
      <c r="AE34" t="n">
        <v>93.4</v>
      </c>
      <c r="AF34" t="n">
        <v>89.6</v>
      </c>
    </row>
    <row r="35">
      <c r="A35" t="s">
        <v>122</v>
      </c>
      <c r="B35" t="s">
        <v>340</v>
      </c>
      <c r="C35" t="s">
        <v>217</v>
      </c>
      <c r="D35" t="s">
        <v>341</v>
      </c>
      <c r="E35" t="s">
        <v>218</v>
      </c>
      <c r="F35" t="n">
        <v>32.9</v>
      </c>
      <c r="G35" t="n">
        <v>56.5</v>
      </c>
      <c r="H35" t="n">
        <v>73.3</v>
      </c>
      <c r="I35" t="n">
        <v>100.2</v>
      </c>
      <c r="J35" t="n">
        <v>135.3</v>
      </c>
      <c r="K35" t="n">
        <v>164</v>
      </c>
      <c r="L35" t="n">
        <v>192.8</v>
      </c>
      <c r="M35" t="n">
        <v>246.2</v>
      </c>
      <c r="N35" t="n">
        <v>291.8</v>
      </c>
      <c r="O35" t="n">
        <v>317.5</v>
      </c>
      <c r="P35" t="n">
        <v>384.2</v>
      </c>
      <c r="Q35" t="n">
        <v>450.8</v>
      </c>
      <c r="R35" t="n">
        <v>509.1</v>
      </c>
      <c r="S35" t="n">
        <v>521.6</v>
      </c>
      <c r="T35" t="n">
        <v>531.8</v>
      </c>
      <c r="U35" t="n">
        <v>917.7</v>
      </c>
      <c r="V35" t="n">
        <v>416.4</v>
      </c>
      <c r="W35" t="n">
        <v>371.6</v>
      </c>
      <c r="X35" t="n">
        <v>337.5</v>
      </c>
      <c r="Y35" t="n">
        <v>310.4</v>
      </c>
      <c r="Z35" t="n">
        <v>311.4</v>
      </c>
      <c r="AA35" t="n">
        <v>338.5</v>
      </c>
      <c r="AB35" t="n">
        <v>352.9</v>
      </c>
      <c r="AC35" t="n">
        <v>355</v>
      </c>
      <c r="AD35" t="n">
        <v>354.9</v>
      </c>
      <c r="AE35" t="n">
        <v>367.8</v>
      </c>
      <c r="AF35" t="n">
        <v>382.2</v>
      </c>
    </row>
    <row r="36">
      <c r="A36" t="s">
        <v>122</v>
      </c>
      <c r="B36" t="s">
        <v>342</v>
      </c>
      <c r="C36" t="s">
        <v>217</v>
      </c>
      <c r="D36" t="s">
        <v>343</v>
      </c>
      <c r="E36" t="s">
        <v>218</v>
      </c>
      <c r="F36" t="n">
        <v>8.4</v>
      </c>
      <c r="G36" t="n">
        <v>14.5</v>
      </c>
      <c r="H36" t="n">
        <v>19.4</v>
      </c>
      <c r="I36" t="n">
        <v>26</v>
      </c>
      <c r="J36" t="n">
        <v>34.5</v>
      </c>
      <c r="K36" t="n">
        <v>46.9</v>
      </c>
      <c r="L36" t="n">
        <v>51.7</v>
      </c>
      <c r="M36" t="n">
        <v>64.5</v>
      </c>
      <c r="N36" t="n">
        <v>76.9</v>
      </c>
      <c r="O36" t="n">
        <v>88.2</v>
      </c>
      <c r="P36" t="n">
        <v>138.2</v>
      </c>
      <c r="Q36" t="n">
        <v>191.5</v>
      </c>
      <c r="R36" t="n">
        <v>238.7</v>
      </c>
      <c r="S36" t="n">
        <v>246.3</v>
      </c>
      <c r="T36" t="n">
        <v>257.5</v>
      </c>
      <c r="U36" t="n">
        <v>295.9</v>
      </c>
      <c r="V36" t="n">
        <v>133.6</v>
      </c>
      <c r="W36" t="n">
        <v>101.7</v>
      </c>
      <c r="X36" t="n">
        <v>81.5</v>
      </c>
      <c r="Y36" t="n">
        <v>66</v>
      </c>
      <c r="Z36" t="n">
        <v>60</v>
      </c>
      <c r="AA36" t="n">
        <v>57.9</v>
      </c>
      <c r="AB36" t="n">
        <v>57.8</v>
      </c>
      <c r="AC36" t="n">
        <v>58.6</v>
      </c>
      <c r="AD36" t="n">
        <v>60.1</v>
      </c>
      <c r="AE36" t="n">
        <v>73</v>
      </c>
      <c r="AF36" t="n">
        <v>84</v>
      </c>
    </row>
    <row r="37">
      <c r="A37" t="s">
        <v>122</v>
      </c>
      <c r="B37" t="s">
        <v>344</v>
      </c>
      <c r="C37" t="s">
        <v>217</v>
      </c>
      <c r="D37" t="s">
        <v>345</v>
      </c>
      <c r="E37" t="s">
        <v>218</v>
      </c>
      <c r="F37" t="n">
        <v>11.1</v>
      </c>
      <c r="G37" t="n">
        <v>18.8</v>
      </c>
      <c r="H37" t="n">
        <v>21.7</v>
      </c>
      <c r="I37" t="n">
        <v>30.5</v>
      </c>
      <c r="J37" t="n">
        <v>41.6</v>
      </c>
      <c r="K37" t="n">
        <v>45.1</v>
      </c>
      <c r="L37" t="n">
        <v>64.3</v>
      </c>
      <c r="M37" t="n">
        <v>90.9</v>
      </c>
      <c r="N37" t="n">
        <v>100.1</v>
      </c>
      <c r="O37" t="n">
        <v>101.9</v>
      </c>
      <c r="P37" t="n">
        <v>141.4</v>
      </c>
      <c r="Q37" t="n">
        <v>158.7</v>
      </c>
      <c r="R37" t="n">
        <v>166.5</v>
      </c>
      <c r="S37" t="n">
        <v>176</v>
      </c>
      <c r="T37" t="n">
        <v>168.1</v>
      </c>
      <c r="U37" t="n">
        <v>352.1</v>
      </c>
      <c r="V37" t="n">
        <v>161.2</v>
      </c>
      <c r="W37" t="n">
        <v>152</v>
      </c>
      <c r="X37" t="n">
        <v>139.4</v>
      </c>
      <c r="Y37" t="n">
        <v>129.4</v>
      </c>
      <c r="Z37" t="n">
        <v>130.6</v>
      </c>
      <c r="AA37" t="n">
        <v>137.4</v>
      </c>
      <c r="AB37" t="n">
        <v>138.4</v>
      </c>
      <c r="AC37" t="n">
        <v>140.4</v>
      </c>
      <c r="AD37" t="n">
        <v>137.8</v>
      </c>
      <c r="AE37" t="n">
        <v>137.3</v>
      </c>
      <c r="AF37" t="n">
        <v>138.7</v>
      </c>
    </row>
    <row r="38">
      <c r="A38" t="s">
        <v>122</v>
      </c>
      <c r="B38" t="s">
        <v>346</v>
      </c>
      <c r="C38" t="s">
        <v>217</v>
      </c>
      <c r="D38" t="s">
        <v>347</v>
      </c>
      <c r="E38" t="s">
        <v>218</v>
      </c>
      <c r="F38" t="n">
        <v>13.4</v>
      </c>
      <c r="G38" t="n">
        <v>23.2</v>
      </c>
      <c r="H38" t="n">
        <v>32.2</v>
      </c>
      <c r="I38" t="n">
        <v>43.7</v>
      </c>
      <c r="J38" t="n">
        <v>59.2</v>
      </c>
      <c r="K38" t="n">
        <v>72</v>
      </c>
      <c r="L38" t="n">
        <v>76.8</v>
      </c>
      <c r="M38" t="n">
        <v>90.8</v>
      </c>
      <c r="N38" t="n">
        <v>114.8</v>
      </c>
      <c r="O38" t="n">
        <v>127.4</v>
      </c>
      <c r="P38" t="n">
        <v>104.6</v>
      </c>
      <c r="Q38" t="n">
        <v>100.6</v>
      </c>
      <c r="R38" t="n">
        <v>103.9</v>
      </c>
      <c r="S38" t="n">
        <v>99.3</v>
      </c>
      <c r="T38" t="n">
        <v>106.2</v>
      </c>
      <c r="U38" t="n">
        <v>269.7</v>
      </c>
      <c r="V38" t="n">
        <v>121.6</v>
      </c>
      <c r="W38" t="n">
        <v>117.9</v>
      </c>
      <c r="X38" t="n">
        <v>116.6</v>
      </c>
      <c r="Y38" t="n">
        <v>115</v>
      </c>
      <c r="Z38" t="n">
        <v>120.8</v>
      </c>
      <c r="AA38" t="n">
        <v>143.2</v>
      </c>
      <c r="AB38" t="n">
        <v>156.7</v>
      </c>
      <c r="AC38" t="n">
        <v>156</v>
      </c>
      <c r="AD38" t="n">
        <v>157</v>
      </c>
      <c r="AE38" t="n">
        <v>157.5</v>
      </c>
      <c r="AF38" t="n">
        <v>159.5</v>
      </c>
    </row>
    <row r="39">
      <c r="A39" t="s">
        <v>122</v>
      </c>
      <c r="B39" t="s">
        <v>348</v>
      </c>
      <c r="C39" t="s">
        <v>217</v>
      </c>
      <c r="D39" t="s">
        <v>349</v>
      </c>
      <c r="E39" t="s">
        <v>218</v>
      </c>
      <c r="F39" t="n">
        <v>21.8</v>
      </c>
      <c r="G39" t="n">
        <v>37</v>
      </c>
      <c r="H39" t="n">
        <v>48.7</v>
      </c>
      <c r="I39" t="n">
        <v>62.2</v>
      </c>
      <c r="J39" t="n">
        <v>77.2</v>
      </c>
      <c r="K39" t="n">
        <v>99.6</v>
      </c>
      <c r="L39" t="n">
        <v>116</v>
      </c>
      <c r="M39" t="n">
        <v>192.9</v>
      </c>
      <c r="N39" t="n">
        <v>177.1</v>
      </c>
      <c r="O39" t="n">
        <v>240.7</v>
      </c>
      <c r="P39" t="n">
        <v>248.8</v>
      </c>
      <c r="Q39" t="n">
        <v>279</v>
      </c>
      <c r="R39" t="n">
        <v>336</v>
      </c>
      <c r="S39" t="n">
        <v>398.2</v>
      </c>
      <c r="T39" t="n">
        <v>421.9</v>
      </c>
      <c r="U39" t="n">
        <v>412.7</v>
      </c>
      <c r="V39" t="n">
        <v>515.4</v>
      </c>
      <c r="W39" t="n">
        <v>536.3</v>
      </c>
      <c r="X39" t="n">
        <v>554.4</v>
      </c>
      <c r="Y39" t="n">
        <v>535.2</v>
      </c>
      <c r="Z39" t="n">
        <v>523.1</v>
      </c>
      <c r="AA39" t="n">
        <v>561.2</v>
      </c>
      <c r="AB39" t="n">
        <v>566.6</v>
      </c>
      <c r="AC39" t="n">
        <v>640.2</v>
      </c>
      <c r="AD39" t="n">
        <v>733.5</v>
      </c>
      <c r="AE39" t="n">
        <v>797.6</v>
      </c>
      <c r="AF39" t="n">
        <v>859.7</v>
      </c>
    </row>
    <row r="40">
      <c r="A40" t="s">
        <v>122</v>
      </c>
      <c r="B40" t="s">
        <v>350</v>
      </c>
      <c r="C40" t="s">
        <v>217</v>
      </c>
      <c r="D40" t="s">
        <v>351</v>
      </c>
      <c r="E40" t="s">
        <v>218</v>
      </c>
      <c r="F40" t="n">
        <v>0.6</v>
      </c>
      <c r="G40" t="n">
        <v>0.8</v>
      </c>
      <c r="H40" t="n">
        <v>1.2</v>
      </c>
      <c r="I40" t="n">
        <v>1.4</v>
      </c>
      <c r="J40" t="n">
        <v>1.7</v>
      </c>
      <c r="K40" t="n">
        <v>2.9</v>
      </c>
      <c r="L40" t="n">
        <v>17.2</v>
      </c>
      <c r="M40" t="n">
        <v>64.2</v>
      </c>
      <c r="N40" t="n">
        <v>75.5</v>
      </c>
      <c r="O40" t="n">
        <v>83.2</v>
      </c>
      <c r="P40" t="n">
        <v>52</v>
      </c>
      <c r="Q40" t="n">
        <v>33.4</v>
      </c>
      <c r="R40" t="n">
        <v>27.5</v>
      </c>
      <c r="S40" t="n">
        <v>19.6</v>
      </c>
      <c r="T40" t="n">
        <v>14.2</v>
      </c>
      <c r="U40" t="n">
        <v>13.7</v>
      </c>
      <c r="V40" t="n">
        <v>31.8</v>
      </c>
      <c r="W40" t="n">
        <v>22.7</v>
      </c>
      <c r="X40" t="n">
        <v>17.1</v>
      </c>
      <c r="Y40" t="n">
        <v>12.3</v>
      </c>
      <c r="Z40" t="n">
        <v>26.5</v>
      </c>
      <c r="AA40" t="n">
        <v>34.9</v>
      </c>
      <c r="AB40" t="n">
        <v>39.8</v>
      </c>
      <c r="AC40" t="n">
        <v>35.9</v>
      </c>
      <c r="AD40" t="n">
        <v>39.3</v>
      </c>
      <c r="AE40" t="n">
        <v>48.2</v>
      </c>
      <c r="AF40" t="n">
        <v>55.5</v>
      </c>
    </row>
    <row r="41">
      <c r="A41" t="s">
        <v>122</v>
      </c>
      <c r="B41" t="s">
        <v>352</v>
      </c>
      <c r="C41" t="s">
        <v>217</v>
      </c>
      <c r="D41" t="s">
        <v>353</v>
      </c>
      <c r="E41" t="s">
        <v>218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122</v>
      </c>
      <c r="B42" t="s">
        <v>354</v>
      </c>
      <c r="C42" t="s">
        <v>217</v>
      </c>
      <c r="D42" t="s">
        <v>355</v>
      </c>
      <c r="E42" t="s">
        <v>218</v>
      </c>
      <c r="F42" t="n">
        <v>19.7</v>
      </c>
      <c r="G42" t="n">
        <v>33.1</v>
      </c>
      <c r="H42" t="n">
        <v>50.7</v>
      </c>
      <c r="I42" t="n">
        <v>66.4</v>
      </c>
      <c r="J42" t="n">
        <v>87.2</v>
      </c>
      <c r="K42" t="n">
        <v>136.7</v>
      </c>
      <c r="L42" t="n">
        <v>139.5</v>
      </c>
      <c r="M42" t="n">
        <v>136.8</v>
      </c>
      <c r="N42" t="n">
        <v>186.4</v>
      </c>
      <c r="O42" t="n">
        <v>219.5</v>
      </c>
      <c r="P42" t="n">
        <v>201.8</v>
      </c>
      <c r="Q42" t="n">
        <v>197.2</v>
      </c>
      <c r="R42" t="n">
        <v>246.3</v>
      </c>
      <c r="S42" t="n">
        <v>254.8</v>
      </c>
      <c r="T42" t="n">
        <v>248.6</v>
      </c>
      <c r="U42" t="n">
        <v>317.3</v>
      </c>
      <c r="V42" t="n">
        <v>246.8</v>
      </c>
      <c r="W42" t="n">
        <v>237.5</v>
      </c>
      <c r="X42" t="n">
        <v>214.9</v>
      </c>
      <c r="Y42" t="n">
        <v>167.2</v>
      </c>
      <c r="Z42" t="n">
        <v>193.9</v>
      </c>
      <c r="AA42" t="n">
        <v>202.7</v>
      </c>
      <c r="AB42" t="n">
        <v>205.2</v>
      </c>
      <c r="AC42" t="n">
        <v>193.6</v>
      </c>
      <c r="AD42" t="n">
        <v>198.6</v>
      </c>
      <c r="AE42" t="n">
        <v>212.3</v>
      </c>
      <c r="AF42" t="n">
        <v>227.7</v>
      </c>
    </row>
    <row r="43">
      <c r="A43" t="s">
        <v>122</v>
      </c>
      <c r="B43" t="s">
        <v>356</v>
      </c>
      <c r="C43" t="s">
        <v>217</v>
      </c>
      <c r="D43" t="s">
        <v>357</v>
      </c>
      <c r="E43" t="s">
        <v>218</v>
      </c>
      <c r="F43" t="n">
        <v>22.8</v>
      </c>
      <c r="G43" t="n">
        <v>37.7</v>
      </c>
      <c r="H43" t="n">
        <v>56.4</v>
      </c>
      <c r="I43" t="n">
        <v>74</v>
      </c>
      <c r="J43" t="n">
        <v>97.3</v>
      </c>
      <c r="K43" t="n">
        <v>149.2</v>
      </c>
      <c r="L43" t="n">
        <v>155.3</v>
      </c>
      <c r="M43" t="n">
        <v>197.3</v>
      </c>
      <c r="N43" t="n">
        <v>234.9</v>
      </c>
      <c r="O43" t="n">
        <v>262.5</v>
      </c>
      <c r="P43" t="n">
        <v>246</v>
      </c>
      <c r="Q43" t="n">
        <v>244.2</v>
      </c>
      <c r="R43" t="n">
        <v>297</v>
      </c>
      <c r="S43" t="n">
        <v>327.9</v>
      </c>
      <c r="T43" t="n">
        <v>323.7</v>
      </c>
      <c r="U43" t="n">
        <v>411.7</v>
      </c>
      <c r="V43" t="n">
        <v>325.7</v>
      </c>
      <c r="W43" t="n">
        <v>310.3</v>
      </c>
      <c r="X43" t="n">
        <v>271.9</v>
      </c>
      <c r="Y43" t="n">
        <v>215.7</v>
      </c>
      <c r="Z43" t="n">
        <v>242.9</v>
      </c>
      <c r="AA43" t="n">
        <v>249.5</v>
      </c>
      <c r="AB43" t="n">
        <v>249</v>
      </c>
      <c r="AC43" t="n">
        <v>234.9</v>
      </c>
      <c r="AD43" t="n">
        <v>242.7</v>
      </c>
      <c r="AE43" t="n">
        <v>254.6</v>
      </c>
      <c r="AF43" t="n">
        <v>269.7</v>
      </c>
    </row>
    <row r="44">
      <c r="A44" t="s">
        <v>122</v>
      </c>
      <c r="B44" t="s">
        <v>358</v>
      </c>
      <c r="C44" t="s">
        <v>217</v>
      </c>
      <c r="D44" t="s">
        <v>359</v>
      </c>
      <c r="E44" t="s">
        <v>218</v>
      </c>
      <c r="F44" t="n">
        <v>122.9</v>
      </c>
      <c r="G44" t="n">
        <v>204.7</v>
      </c>
      <c r="H44" t="n">
        <v>279.6</v>
      </c>
      <c r="I44" t="n">
        <v>364.7</v>
      </c>
      <c r="J44" t="n">
        <v>471.3</v>
      </c>
      <c r="K44" t="n">
        <v>644.1</v>
      </c>
      <c r="L44" t="n">
        <v>728.4</v>
      </c>
      <c r="M44" t="n">
        <v>1053.8</v>
      </c>
      <c r="N44" t="n">
        <v>1169</v>
      </c>
      <c r="O44" t="n">
        <v>1330.7</v>
      </c>
      <c r="P44" t="n">
        <v>1498.9</v>
      </c>
      <c r="Q44" t="n">
        <v>1717</v>
      </c>
      <c r="R44" t="n">
        <v>1955.4</v>
      </c>
      <c r="S44" t="n">
        <v>2021.6</v>
      </c>
      <c r="T44" t="n">
        <v>2004.2</v>
      </c>
      <c r="U44" t="n">
        <v>2486.6</v>
      </c>
      <c r="V44" t="n">
        <v>2132.4</v>
      </c>
      <c r="W44" t="n">
        <v>2033.5</v>
      </c>
      <c r="X44" t="n">
        <v>1965.3</v>
      </c>
      <c r="Y44" t="n">
        <v>1758.7</v>
      </c>
      <c r="Z44" t="n">
        <v>1857.1</v>
      </c>
      <c r="AA44" t="n">
        <v>1965</v>
      </c>
      <c r="AB44" t="n">
        <v>2007.4</v>
      </c>
      <c r="AC44" t="n">
        <v>2029.8</v>
      </c>
      <c r="AD44" t="n">
        <v>2139.6</v>
      </c>
      <c r="AE44" t="n">
        <v>2203.7</v>
      </c>
      <c r="AF44" t="n">
        <v>2304.9</v>
      </c>
    </row>
    <row r="45">
      <c r="A45" t="s">
        <v>122</v>
      </c>
      <c r="B45" t="s">
        <v>360</v>
      </c>
      <c r="C45" t="s">
        <v>217</v>
      </c>
      <c r="D45" t="s">
        <v>361</v>
      </c>
      <c r="E45" t="s">
        <v>218</v>
      </c>
      <c r="F45" t="n">
        <v>122.9</v>
      </c>
      <c r="G45" t="n">
        <v>204.7</v>
      </c>
      <c r="H45" t="n">
        <v>279.5</v>
      </c>
      <c r="I45" t="n">
        <v>364.6</v>
      </c>
      <c r="J45" t="n">
        <v>471.2</v>
      </c>
      <c r="K45" t="n">
        <v>643.9</v>
      </c>
      <c r="L45" t="n">
        <v>728.2</v>
      </c>
      <c r="M45" t="n">
        <v>1053.5</v>
      </c>
      <c r="N45" t="n">
        <v>1168.8</v>
      </c>
      <c r="O45" t="n">
        <v>1330.6</v>
      </c>
      <c r="P45" t="n">
        <v>1498.8</v>
      </c>
      <c r="Q45" t="n">
        <v>1717</v>
      </c>
      <c r="R45" t="n">
        <v>1955.4</v>
      </c>
      <c r="S45" t="n">
        <v>2021.6</v>
      </c>
      <c r="T45" t="n">
        <v>2004.2</v>
      </c>
      <c r="U45" t="n">
        <v>2486.6</v>
      </c>
      <c r="V45" t="n">
        <v>2132.4</v>
      </c>
      <c r="W45" t="n">
        <v>2033.5</v>
      </c>
      <c r="X45" t="n">
        <v>1965.3</v>
      </c>
      <c r="Y45" t="n">
        <v>1758.7</v>
      </c>
      <c r="Z45" t="n">
        <v>1857.1</v>
      </c>
      <c r="AA45" t="n">
        <v>1965</v>
      </c>
      <c r="AB45" t="n">
        <v>2007.4</v>
      </c>
      <c r="AC45" t="n">
        <v>2029.8</v>
      </c>
      <c r="AD45" t="n">
        <v>2139.6</v>
      </c>
      <c r="AE45" t="n">
        <v>2203.7</v>
      </c>
      <c r="AF45" t="n">
        <v>2304.9</v>
      </c>
    </row>
    <row r="46">
      <c r="A46" t="s">
        <v>122</v>
      </c>
      <c r="B46" t="s">
        <v>362</v>
      </c>
      <c r="C46" t="s">
        <v>217</v>
      </c>
      <c r="D46" t="s">
        <v>363</v>
      </c>
      <c r="E46" t="s">
        <v>218</v>
      </c>
      <c r="F46" t="n">
        <v>3.1</v>
      </c>
      <c r="G46" t="n">
        <v>4.6</v>
      </c>
      <c r="H46" t="n">
        <v>5.7</v>
      </c>
      <c r="I46" t="n">
        <v>7.6</v>
      </c>
      <c r="J46" t="n">
        <v>10.1</v>
      </c>
      <c r="K46" t="n">
        <v>12.5</v>
      </c>
      <c r="L46" t="n">
        <v>15.8</v>
      </c>
      <c r="M46" t="n">
        <v>60.5</v>
      </c>
      <c r="N46" t="n">
        <v>48.5</v>
      </c>
      <c r="O46" t="n">
        <v>43</v>
      </c>
      <c r="P46" t="n">
        <v>44.2</v>
      </c>
      <c r="Q46" t="n">
        <v>47</v>
      </c>
      <c r="R46" t="n">
        <v>50.7</v>
      </c>
      <c r="S46" t="n">
        <v>73.1</v>
      </c>
      <c r="T46" t="n">
        <v>75.1</v>
      </c>
      <c r="U46" t="n">
        <v>94.4</v>
      </c>
      <c r="V46" t="n">
        <v>78.9</v>
      </c>
      <c r="W46" t="n">
        <v>72.8</v>
      </c>
      <c r="X46" t="n">
        <v>57</v>
      </c>
      <c r="Y46" t="n">
        <v>48.5</v>
      </c>
      <c r="Z46" t="n">
        <v>49</v>
      </c>
      <c r="AA46" t="n">
        <v>46.8</v>
      </c>
      <c r="AB46" t="n">
        <v>43.8</v>
      </c>
      <c r="AC46" t="n">
        <v>41.3</v>
      </c>
      <c r="AD46" t="n">
        <v>44.1</v>
      </c>
      <c r="AE46" t="n">
        <v>42.3</v>
      </c>
      <c r="AF46" t="n">
        <v>42</v>
      </c>
    </row>
    <row r="47">
      <c r="A47" t="s">
        <v>122</v>
      </c>
      <c r="B47" t="s">
        <v>364</v>
      </c>
      <c r="C47" t="s">
        <v>217</v>
      </c>
      <c r="D47" t="s">
        <v>365</v>
      </c>
      <c r="E47" t="s">
        <v>218</v>
      </c>
      <c r="F47" t="n">
        <v>17.6</v>
      </c>
      <c r="G47" t="n">
        <v>37.2</v>
      </c>
      <c r="H47" t="n">
        <v>56.2</v>
      </c>
      <c r="I47" t="n">
        <v>73.3</v>
      </c>
      <c r="J47" t="n">
        <v>71.8</v>
      </c>
      <c r="K47" t="n">
        <v>86.6</v>
      </c>
      <c r="L47" t="n">
        <v>92.4</v>
      </c>
      <c r="M47" t="n">
        <v>135.2</v>
      </c>
      <c r="N47" t="n">
        <v>175.2</v>
      </c>
      <c r="O47" t="n">
        <v>200.8</v>
      </c>
      <c r="P47" t="n">
        <v>228.7</v>
      </c>
      <c r="Q47" t="n">
        <v>319.5</v>
      </c>
      <c r="R47" t="n">
        <v>337.7</v>
      </c>
      <c r="S47" t="n">
        <v>355.2</v>
      </c>
      <c r="T47" t="n">
        <v>458.4</v>
      </c>
      <c r="U47" t="n">
        <v>359.2</v>
      </c>
      <c r="V47" t="n">
        <v>382.1</v>
      </c>
      <c r="W47" t="n">
        <v>295.3</v>
      </c>
      <c r="X47" t="n">
        <v>255.8</v>
      </c>
      <c r="Y47" t="n">
        <v>201.3</v>
      </c>
      <c r="Z47" t="n">
        <v>181.4</v>
      </c>
      <c r="AA47" t="n">
        <v>161</v>
      </c>
      <c r="AB47" t="n">
        <v>180.9</v>
      </c>
      <c r="AC47" t="n">
        <v>177.6</v>
      </c>
      <c r="AD47" t="n">
        <v>178.6</v>
      </c>
      <c r="AE47" t="n">
        <v>185.3</v>
      </c>
      <c r="AF47" t="n">
        <v>198.4</v>
      </c>
    </row>
    <row r="48">
      <c r="A48" t="s">
        <v>122</v>
      </c>
      <c r="B48" t="s">
        <v>366</v>
      </c>
      <c r="C48" t="s">
        <v>217</v>
      </c>
      <c r="D48" t="s">
        <v>367</v>
      </c>
      <c r="E48" t="s">
        <v>218</v>
      </c>
      <c r="F48" t="n">
        <v>57.9</v>
      </c>
      <c r="G48" t="n">
        <v>82.7</v>
      </c>
      <c r="H48" t="n">
        <v>112.6</v>
      </c>
      <c r="I48" t="n">
        <v>140.4</v>
      </c>
      <c r="J48" t="n">
        <v>154.7</v>
      </c>
      <c r="K48" t="n">
        <v>196.7</v>
      </c>
      <c r="L48" t="n">
        <v>204.1</v>
      </c>
      <c r="M48" t="n">
        <v>259.3</v>
      </c>
      <c r="N48" t="n">
        <v>284.7</v>
      </c>
      <c r="O48" t="n">
        <v>331.3</v>
      </c>
      <c r="P48" t="n">
        <v>408.2</v>
      </c>
      <c r="Q48" t="n">
        <v>541.5</v>
      </c>
      <c r="R48" t="n">
        <v>572.5</v>
      </c>
      <c r="S48" t="n">
        <v>589.3</v>
      </c>
      <c r="T48" t="n">
        <v>695.9</v>
      </c>
      <c r="U48" t="n">
        <v>539.2</v>
      </c>
      <c r="V48" t="n">
        <v>518.8</v>
      </c>
      <c r="W48" t="n">
        <v>403.8</v>
      </c>
      <c r="X48" t="n">
        <v>345.5</v>
      </c>
      <c r="Y48" t="n">
        <v>279.6</v>
      </c>
      <c r="Z48" t="n">
        <v>265.1</v>
      </c>
      <c r="AA48" t="n">
        <v>249.2</v>
      </c>
      <c r="AB48" t="n">
        <v>272.9</v>
      </c>
      <c r="AC48" t="n">
        <v>277.3</v>
      </c>
      <c r="AD48" t="n">
        <v>282.7</v>
      </c>
      <c r="AE48" t="n">
        <v>291.6</v>
      </c>
      <c r="AF48" t="n">
        <v>308.9</v>
      </c>
    </row>
    <row r="49">
      <c r="A49" t="s">
        <v>122</v>
      </c>
      <c r="B49" t="s">
        <v>368</v>
      </c>
      <c r="C49" t="s">
        <v>217</v>
      </c>
      <c r="D49" t="s">
        <v>369</v>
      </c>
      <c r="E49" t="s">
        <v>218</v>
      </c>
      <c r="F49" t="n">
        <v>35.6</v>
      </c>
      <c r="G49" t="n">
        <v>39.9</v>
      </c>
      <c r="H49" t="n">
        <v>49.9</v>
      </c>
      <c r="I49" t="n">
        <v>59.4</v>
      </c>
      <c r="J49" t="n">
        <v>73.9</v>
      </c>
      <c r="K49" t="n">
        <v>98.6</v>
      </c>
      <c r="L49" t="n">
        <v>99</v>
      </c>
      <c r="M49" t="n">
        <v>109.7</v>
      </c>
      <c r="N49" t="n">
        <v>94.2</v>
      </c>
      <c r="O49" t="n">
        <v>113.4</v>
      </c>
      <c r="P49" t="n">
        <v>137.6</v>
      </c>
      <c r="Q49" t="n">
        <v>163.2</v>
      </c>
      <c r="R49" t="n">
        <v>166.7</v>
      </c>
      <c r="S49" t="n">
        <v>163.1</v>
      </c>
      <c r="T49" t="n">
        <v>167.7</v>
      </c>
      <c r="U49" t="n">
        <v>122.5</v>
      </c>
      <c r="V49" t="n">
        <v>94.7</v>
      </c>
      <c r="W49" t="n">
        <v>74.6</v>
      </c>
      <c r="X49" t="n">
        <v>61.1</v>
      </c>
      <c r="Y49" t="n">
        <v>54.4</v>
      </c>
      <c r="Z49" t="n">
        <v>50.7</v>
      </c>
      <c r="AA49" t="n">
        <v>48.3</v>
      </c>
      <c r="AB49" t="n">
        <v>47.7</v>
      </c>
      <c r="AC49" t="n">
        <v>49.4</v>
      </c>
      <c r="AD49" t="n">
        <v>51.2</v>
      </c>
      <c r="AE49" t="n">
        <v>51.8</v>
      </c>
      <c r="AF49" t="n">
        <v>52.5</v>
      </c>
    </row>
    <row r="50">
      <c r="A50" t="s">
        <v>122</v>
      </c>
      <c r="B50" t="s">
        <v>370</v>
      </c>
      <c r="C50" t="s">
        <v>217</v>
      </c>
      <c r="D50" t="s">
        <v>371</v>
      </c>
      <c r="E50" t="s">
        <v>218</v>
      </c>
      <c r="F50" t="n">
        <v>4.7</v>
      </c>
      <c r="G50" t="n">
        <v>5.6</v>
      </c>
      <c r="H50" t="n">
        <v>6.5</v>
      </c>
      <c r="I50" t="n">
        <v>7.6</v>
      </c>
      <c r="J50" t="n">
        <v>9</v>
      </c>
      <c r="K50" t="n">
        <v>11.5</v>
      </c>
      <c r="L50" t="n">
        <v>12.7</v>
      </c>
      <c r="M50" t="n">
        <v>14.3</v>
      </c>
      <c r="N50" t="n">
        <v>15.3</v>
      </c>
      <c r="O50" t="n">
        <v>17.1</v>
      </c>
      <c r="P50" t="n">
        <v>41.8</v>
      </c>
      <c r="Q50" t="n">
        <v>58.8</v>
      </c>
      <c r="R50" t="n">
        <v>68.1</v>
      </c>
      <c r="S50" t="n">
        <v>71</v>
      </c>
      <c r="T50" t="n">
        <v>69.8</v>
      </c>
      <c r="U50" t="n">
        <v>57.5</v>
      </c>
      <c r="V50" t="n">
        <v>42</v>
      </c>
      <c r="W50" t="n">
        <v>33.9</v>
      </c>
      <c r="X50" t="n">
        <v>28.5</v>
      </c>
      <c r="Y50" t="n">
        <v>23.8</v>
      </c>
      <c r="Z50" t="n">
        <v>33.1</v>
      </c>
      <c r="AA50" t="n">
        <v>39.9</v>
      </c>
      <c r="AB50" t="n">
        <v>44.2</v>
      </c>
      <c r="AC50" t="n">
        <v>50.3</v>
      </c>
      <c r="AD50" t="n">
        <v>52.9</v>
      </c>
      <c r="AE50" t="n">
        <v>54.5</v>
      </c>
      <c r="AF50" t="n">
        <v>57.9</v>
      </c>
    </row>
    <row r="51">
      <c r="A51" t="s">
        <v>122</v>
      </c>
      <c r="B51" t="s">
        <v>372</v>
      </c>
      <c r="C51" t="s">
        <v>217</v>
      </c>
      <c r="D51" t="s">
        <v>373</v>
      </c>
      <c r="E51" t="s">
        <v>218</v>
      </c>
      <c r="F51" t="n">
        <v>4.4</v>
      </c>
      <c r="G51" t="n">
        <v>5.1</v>
      </c>
      <c r="H51" t="n">
        <v>5.9</v>
      </c>
      <c r="I51" t="n">
        <v>6.9</v>
      </c>
      <c r="J51" t="n">
        <v>8.3</v>
      </c>
      <c r="K51" t="n">
        <v>10.8</v>
      </c>
      <c r="L51" t="n">
        <v>12.2</v>
      </c>
      <c r="M51" t="n">
        <v>13.8</v>
      </c>
      <c r="N51" t="n">
        <v>15.5</v>
      </c>
      <c r="O51" t="n">
        <v>17.9</v>
      </c>
      <c r="P51" t="n">
        <v>41.5</v>
      </c>
      <c r="Q51" t="n">
        <v>57.1</v>
      </c>
      <c r="R51" t="n">
        <v>66</v>
      </c>
      <c r="S51" t="n">
        <v>68.5</v>
      </c>
      <c r="T51" t="n">
        <v>67.6</v>
      </c>
      <c r="U51" t="n">
        <v>56.1</v>
      </c>
      <c r="V51" t="n">
        <v>39.9</v>
      </c>
      <c r="W51" t="n">
        <v>32.4</v>
      </c>
      <c r="X51" t="n">
        <v>27.4</v>
      </c>
      <c r="Y51" t="n">
        <v>23</v>
      </c>
      <c r="Z51" t="n">
        <v>32.5</v>
      </c>
      <c r="AA51" t="n">
        <v>39.5</v>
      </c>
      <c r="AB51" t="n">
        <v>43.9</v>
      </c>
      <c r="AC51" t="n">
        <v>50</v>
      </c>
      <c r="AD51" t="n">
        <v>52.7</v>
      </c>
      <c r="AE51" t="n">
        <v>54.3</v>
      </c>
      <c r="AF51" t="n">
        <v>57.6</v>
      </c>
    </row>
    <row r="52">
      <c r="A52" t="s">
        <v>122</v>
      </c>
      <c r="B52" t="s">
        <v>374</v>
      </c>
      <c r="C52" t="s">
        <v>217</v>
      </c>
      <c r="D52" t="s">
        <v>375</v>
      </c>
      <c r="E52" t="s">
        <v>218</v>
      </c>
      <c r="F52" t="n">
        <v>0.3</v>
      </c>
      <c r="G52" t="n">
        <v>0.4</v>
      </c>
      <c r="H52" t="n">
        <v>0.6</v>
      </c>
      <c r="I52" t="n">
        <v>0.7</v>
      </c>
      <c r="J52" t="n">
        <v>0.7</v>
      </c>
      <c r="K52" t="n">
        <v>0.7</v>
      </c>
      <c r="L52" t="n">
        <v>0.5</v>
      </c>
      <c r="M52" t="n">
        <v>0.5</v>
      </c>
      <c r="N52" t="n">
        <v>-0.2</v>
      </c>
      <c r="O52" t="n">
        <v>-0.8</v>
      </c>
      <c r="P52" t="n">
        <v>0.3</v>
      </c>
      <c r="Q52" t="n">
        <v>1.7</v>
      </c>
      <c r="R52" t="n">
        <v>2.1</v>
      </c>
      <c r="S52" t="n">
        <v>2.5</v>
      </c>
      <c r="T52" t="n">
        <v>2.2</v>
      </c>
      <c r="U52" t="n">
        <v>1.4</v>
      </c>
      <c r="V52" t="n">
        <v>2.1</v>
      </c>
      <c r="W52" t="n">
        <v>1.5</v>
      </c>
      <c r="X52" t="n">
        <v>1.1</v>
      </c>
      <c r="Y52" t="n">
        <v>0.8</v>
      </c>
      <c r="Z52" t="n">
        <v>0.6</v>
      </c>
      <c r="AA52" t="n">
        <v>0.4</v>
      </c>
      <c r="AB52" t="n">
        <v>0.3</v>
      </c>
      <c r="AC52" t="n">
        <v>0.3</v>
      </c>
      <c r="AD52" t="n">
        <v>0.2</v>
      </c>
      <c r="AE52" t="n">
        <v>0.2</v>
      </c>
      <c r="AF52" t="n">
        <v>0.3</v>
      </c>
    </row>
    <row r="53">
      <c r="A53" t="s">
        <v>122</v>
      </c>
      <c r="B53" t="s">
        <v>376</v>
      </c>
      <c r="C53" t="s">
        <v>217</v>
      </c>
      <c r="D53" t="s">
        <v>377</v>
      </c>
      <c r="E53" t="s">
        <v>218</v>
      </c>
      <c r="F53" t="n">
        <v>2.9</v>
      </c>
      <c r="G53" t="n">
        <v>5.5</v>
      </c>
      <c r="H53" t="n">
        <v>8.2</v>
      </c>
      <c r="I53" t="n">
        <v>10.2</v>
      </c>
      <c r="J53" t="n">
        <v>12.6</v>
      </c>
      <c r="K53" t="n">
        <v>20.6</v>
      </c>
      <c r="L53" t="n">
        <v>21.6</v>
      </c>
      <c r="M53" t="n">
        <v>32</v>
      </c>
      <c r="N53" t="n">
        <v>37.6</v>
      </c>
      <c r="O53" t="n">
        <v>43.4</v>
      </c>
      <c r="P53" t="n">
        <v>30.3</v>
      </c>
      <c r="Q53" t="n">
        <v>24.1</v>
      </c>
      <c r="R53" t="n">
        <v>19.9</v>
      </c>
      <c r="S53" t="n">
        <v>17</v>
      </c>
      <c r="T53" t="n">
        <v>15.3</v>
      </c>
      <c r="U53" t="n">
        <v>37.5</v>
      </c>
      <c r="V53" t="n">
        <v>12.2</v>
      </c>
      <c r="W53" t="n">
        <v>10.1</v>
      </c>
      <c r="X53" t="n">
        <v>9</v>
      </c>
      <c r="Y53" t="n">
        <v>8.1</v>
      </c>
      <c r="Z53" t="n">
        <v>7.6</v>
      </c>
      <c r="AA53" t="n">
        <v>7.6</v>
      </c>
      <c r="AB53" t="n">
        <v>7.8</v>
      </c>
      <c r="AC53" t="n">
        <v>8</v>
      </c>
      <c r="AD53" t="n">
        <v>8.2</v>
      </c>
      <c r="AE53" t="n">
        <v>8.3</v>
      </c>
      <c r="AF53" t="n">
        <v>9.2</v>
      </c>
    </row>
    <row r="54">
      <c r="A54" t="s">
        <v>122</v>
      </c>
      <c r="B54" t="s">
        <v>378</v>
      </c>
      <c r="C54" t="s">
        <v>217</v>
      </c>
      <c r="D54" t="s">
        <v>379</v>
      </c>
      <c r="E54" t="s">
        <v>218</v>
      </c>
      <c r="F54" t="n">
        <v>8.9</v>
      </c>
      <c r="G54" t="n">
        <v>16.1</v>
      </c>
      <c r="H54" t="n">
        <v>24.6</v>
      </c>
      <c r="I54" t="n">
        <v>31.1</v>
      </c>
      <c r="J54" t="n">
        <v>39.1</v>
      </c>
      <c r="K54" t="n">
        <v>62.9</v>
      </c>
      <c r="L54" t="n">
        <v>58.6</v>
      </c>
      <c r="M54" t="n">
        <v>70.5</v>
      </c>
      <c r="N54" t="n">
        <v>79</v>
      </c>
      <c r="O54" t="n">
        <v>88.7</v>
      </c>
      <c r="P54" t="n">
        <v>71.2</v>
      </c>
      <c r="Q54" t="n">
        <v>64.2</v>
      </c>
      <c r="R54" t="n">
        <v>60</v>
      </c>
      <c r="S54" t="n">
        <v>56.4</v>
      </c>
      <c r="T54" t="n">
        <v>56</v>
      </c>
      <c r="U54" t="n">
        <v>89.7</v>
      </c>
      <c r="V54" t="n">
        <v>51.1</v>
      </c>
      <c r="W54" t="n">
        <v>44.6</v>
      </c>
      <c r="X54" t="n">
        <v>45.5</v>
      </c>
      <c r="Y54" t="n">
        <v>45</v>
      </c>
      <c r="Z54" t="n">
        <v>43.3</v>
      </c>
      <c r="AA54" t="n">
        <v>41</v>
      </c>
      <c r="AB54" t="n">
        <v>40.3</v>
      </c>
      <c r="AC54" t="n">
        <v>40.8</v>
      </c>
      <c r="AD54" t="n">
        <v>41.3</v>
      </c>
      <c r="AE54" t="n">
        <v>41.2</v>
      </c>
      <c r="AF54" t="n">
        <v>42.4</v>
      </c>
    </row>
    <row r="55">
      <c r="A55" t="s">
        <v>122</v>
      </c>
      <c r="B55" t="s">
        <v>380</v>
      </c>
      <c r="C55" t="s">
        <v>217</v>
      </c>
      <c r="D55" t="s">
        <v>381</v>
      </c>
      <c r="E55" t="s">
        <v>218</v>
      </c>
      <c r="F55" t="n">
        <v>6</v>
      </c>
      <c r="G55" t="n">
        <v>10.6</v>
      </c>
      <c r="H55" t="n">
        <v>16.4</v>
      </c>
      <c r="I55" t="n">
        <v>20.9</v>
      </c>
      <c r="J55" t="n">
        <v>26.5</v>
      </c>
      <c r="K55" t="n">
        <v>42.3</v>
      </c>
      <c r="L55" t="n">
        <v>37</v>
      </c>
      <c r="M55" t="n">
        <v>38.5</v>
      </c>
      <c r="N55" t="n">
        <v>41.4</v>
      </c>
      <c r="O55" t="n">
        <v>45.3</v>
      </c>
      <c r="P55" t="n">
        <v>40.9</v>
      </c>
      <c r="Q55" t="n">
        <v>40.1</v>
      </c>
      <c r="R55" t="n">
        <v>40.1</v>
      </c>
      <c r="S55" t="n">
        <v>39.4</v>
      </c>
      <c r="T55" t="n">
        <v>40.7</v>
      </c>
      <c r="U55" t="n">
        <v>52.2</v>
      </c>
      <c r="V55" t="n">
        <v>38.9</v>
      </c>
      <c r="W55" t="n">
        <v>34.5</v>
      </c>
      <c r="X55" t="n">
        <v>36.5</v>
      </c>
      <c r="Y55" t="n">
        <v>36.9</v>
      </c>
      <c r="Z55" t="n">
        <v>35.7</v>
      </c>
      <c r="AA55" t="n">
        <v>33.4</v>
      </c>
      <c r="AB55" t="n">
        <v>32.5</v>
      </c>
      <c r="AC55" t="n">
        <v>32.8</v>
      </c>
      <c r="AD55" t="n">
        <v>33.1</v>
      </c>
      <c r="AE55" t="n">
        <v>32.9</v>
      </c>
      <c r="AF55" t="n">
        <v>33.2</v>
      </c>
    </row>
    <row r="56">
      <c r="A56" t="s">
        <v>122</v>
      </c>
      <c r="B56" t="s">
        <v>382</v>
      </c>
      <c r="C56" t="s">
        <v>217</v>
      </c>
      <c r="D56" t="s">
        <v>383</v>
      </c>
      <c r="E56" t="s">
        <v>218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122</v>
      </c>
      <c r="B57" t="s">
        <v>384</v>
      </c>
      <c r="C57" t="s">
        <v>217</v>
      </c>
      <c r="D57" t="s">
        <v>385</v>
      </c>
      <c r="E57" t="s">
        <v>218</v>
      </c>
      <c r="F57" t="n">
        <v>181.4</v>
      </c>
      <c r="G57" t="n">
        <v>288.2</v>
      </c>
      <c r="H57" t="n">
        <v>393.4</v>
      </c>
      <c r="I57" t="n">
        <v>506.4</v>
      </c>
      <c r="J57" t="n">
        <v>627.7</v>
      </c>
      <c r="K57" t="n">
        <v>843.7</v>
      </c>
      <c r="L57" t="n">
        <v>949.7</v>
      </c>
      <c r="M57" t="n">
        <v>1377.2</v>
      </c>
      <c r="N57" t="n">
        <v>1529.2</v>
      </c>
      <c r="O57" t="n">
        <v>1745.2</v>
      </c>
      <c r="P57" t="n">
        <v>1959</v>
      </c>
      <c r="Q57" t="n">
        <v>2291.9</v>
      </c>
      <c r="R57" t="n">
        <v>2555.4</v>
      </c>
      <c r="S57" t="n">
        <v>2630.5</v>
      </c>
      <c r="T57" t="n">
        <v>2714.3</v>
      </c>
      <c r="U57" t="n">
        <v>3039.5</v>
      </c>
      <c r="V57" t="n">
        <v>2683</v>
      </c>
      <c r="W57" t="n">
        <v>2460</v>
      </c>
      <c r="X57" t="n">
        <v>2327.8</v>
      </c>
      <c r="Y57" t="n">
        <v>2050.5</v>
      </c>
      <c r="Z57" t="n">
        <v>2148.8</v>
      </c>
      <c r="AA57" t="n">
        <v>2249.1</v>
      </c>
      <c r="AB57" t="n">
        <v>2320</v>
      </c>
      <c r="AC57" t="n">
        <v>2343</v>
      </c>
      <c r="AD57" t="n">
        <v>2461.6</v>
      </c>
      <c r="AE57" t="n">
        <v>2543.5</v>
      </c>
      <c r="AF57" t="n">
        <v>2669.2</v>
      </c>
    </row>
    <row r="58">
      <c r="A58" t="s">
        <v>122</v>
      </c>
      <c r="B58" t="s">
        <v>386</v>
      </c>
      <c r="C58" t="s">
        <v>217</v>
      </c>
      <c r="D58" t="s">
        <v>387</v>
      </c>
      <c r="E58" t="s">
        <v>218</v>
      </c>
      <c r="F58" t="n">
        <v>181.4</v>
      </c>
      <c r="G58" t="n">
        <v>288.2</v>
      </c>
      <c r="H58" t="n">
        <v>393.4</v>
      </c>
      <c r="I58" t="n">
        <v>506.4</v>
      </c>
      <c r="J58" t="n">
        <v>627.7</v>
      </c>
      <c r="K58" t="n">
        <v>843.7</v>
      </c>
      <c r="L58" t="n">
        <v>949.7</v>
      </c>
      <c r="M58" t="n">
        <v>1377.2</v>
      </c>
      <c r="N58" t="n">
        <v>1529.2</v>
      </c>
      <c r="O58" t="n">
        <v>1745.2</v>
      </c>
      <c r="P58" t="n">
        <v>1959</v>
      </c>
      <c r="Q58" t="n">
        <v>2291.9</v>
      </c>
      <c r="R58" t="n">
        <v>2555.4</v>
      </c>
      <c r="S58" t="n">
        <v>2630.5</v>
      </c>
      <c r="T58" t="n">
        <v>2714.3</v>
      </c>
      <c r="U58" t="n">
        <v>3039.5</v>
      </c>
      <c r="V58" t="n">
        <v>2683</v>
      </c>
      <c r="W58" t="n">
        <v>2460</v>
      </c>
      <c r="X58" t="n">
        <v>2327.8</v>
      </c>
      <c r="Y58" t="n">
        <v>2050.5</v>
      </c>
      <c r="Z58" t="n">
        <v>2148.8</v>
      </c>
      <c r="AA58" t="n">
        <v>2249.1</v>
      </c>
      <c r="AB58" t="n">
        <v>2320</v>
      </c>
      <c r="AC58" t="n">
        <v>2343</v>
      </c>
      <c r="AD58" t="n">
        <v>2461.6</v>
      </c>
      <c r="AE58" t="n">
        <v>2543.5</v>
      </c>
      <c r="AF58" t="n">
        <v>2669.2</v>
      </c>
    </row>
    <row r="59">
      <c r="A59" t="s">
        <v>122</v>
      </c>
      <c r="B59" t="s">
        <v>388</v>
      </c>
      <c r="C59" t="s">
        <v>217</v>
      </c>
      <c r="D59" t="s">
        <v>389</v>
      </c>
      <c r="E59" t="s">
        <v>218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124</v>
      </c>
      <c r="B2" t="s">
        <v>197</v>
      </c>
      <c r="C2" t="s">
        <v>217</v>
      </c>
      <c r="D2" t="s">
        <v>199</v>
      </c>
      <c r="E2" t="s">
        <v>218</v>
      </c>
      <c r="F2" t="n">
        <v>564.3</v>
      </c>
      <c r="G2" t="n">
        <v>687.9</v>
      </c>
      <c r="H2" t="n">
        <v>870.3</v>
      </c>
      <c r="I2" t="n">
        <v>908.4</v>
      </c>
      <c r="J2" t="n">
        <v>1046.2</v>
      </c>
      <c r="K2" t="n">
        <v>1186.9</v>
      </c>
      <c r="L2" t="n">
        <v>1546.7</v>
      </c>
      <c r="M2" t="n">
        <v>1783.3</v>
      </c>
      <c r="N2" t="n">
        <v>1956.6</v>
      </c>
      <c r="O2" t="n">
        <v>2151.6</v>
      </c>
      <c r="P2" t="n">
        <v>2211.2</v>
      </c>
      <c r="Q2" t="n">
        <v>2241</v>
      </c>
      <c r="R2" t="n">
        <v>2584.8</v>
      </c>
      <c r="S2" t="n">
        <v>2798</v>
      </c>
      <c r="T2" t="n">
        <v>2839.5</v>
      </c>
      <c r="U2" t="n">
        <v>2688</v>
      </c>
      <c r="V2" t="n">
        <v>2476.4</v>
      </c>
      <c r="W2" t="n">
        <v>2279.7</v>
      </c>
      <c r="X2" t="n">
        <v>2128.2</v>
      </c>
      <c r="Y2" t="n">
        <v>2004.3</v>
      </c>
      <c r="Z2" t="n">
        <v>1935.7</v>
      </c>
      <c r="AA2" t="n">
        <v>1927</v>
      </c>
      <c r="AB2" t="n">
        <v>1956.3</v>
      </c>
      <c r="AC2" t="n">
        <v>1973</v>
      </c>
      <c r="AD2" t="n">
        <v>2017.3</v>
      </c>
      <c r="AE2" t="n">
        <v>1995</v>
      </c>
      <c r="AF2" t="n">
        <v>2011</v>
      </c>
    </row>
    <row r="3">
      <c r="A3" t="s">
        <v>124</v>
      </c>
      <c r="B3" t="s">
        <v>276</v>
      </c>
      <c r="C3" t="s">
        <v>217</v>
      </c>
      <c r="D3" t="s">
        <v>277</v>
      </c>
      <c r="E3" t="s">
        <v>218</v>
      </c>
      <c r="F3" t="n">
        <v>18.8</v>
      </c>
      <c r="G3" t="n">
        <v>18.9</v>
      </c>
      <c r="H3" t="n">
        <v>20.3</v>
      </c>
      <c r="I3" t="n">
        <v>18.2</v>
      </c>
      <c r="J3" t="n">
        <v>19.5</v>
      </c>
      <c r="K3" t="n">
        <v>20.7</v>
      </c>
      <c r="L3" t="n">
        <v>27.9</v>
      </c>
      <c r="M3" t="n">
        <v>26.7</v>
      </c>
      <c r="N3" t="n">
        <v>27.4</v>
      </c>
      <c r="O3" t="n">
        <v>29.7</v>
      </c>
      <c r="P3" t="n">
        <v>33.3</v>
      </c>
      <c r="Q3" t="n">
        <v>31.2</v>
      </c>
      <c r="R3" t="n">
        <v>28.6</v>
      </c>
      <c r="S3" t="n">
        <v>29.8</v>
      </c>
      <c r="T3" t="n">
        <v>29.2</v>
      </c>
      <c r="U3" t="n">
        <v>23.7</v>
      </c>
      <c r="V3" t="n">
        <v>15.4</v>
      </c>
      <c r="W3" t="n">
        <v>13.4</v>
      </c>
      <c r="X3" t="n">
        <v>9.8</v>
      </c>
      <c r="Y3" t="n">
        <v>14.1</v>
      </c>
      <c r="Z3" t="n">
        <v>13.8</v>
      </c>
      <c r="AA3" t="n">
        <v>8.1</v>
      </c>
      <c r="AB3" t="n">
        <v>3.5</v>
      </c>
      <c r="AC3" t="n">
        <v>4.7</v>
      </c>
      <c r="AD3" t="n">
        <v>4.9</v>
      </c>
      <c r="AE3" t="n">
        <v>4.9</v>
      </c>
      <c r="AF3" t="n">
        <v>5.1</v>
      </c>
    </row>
    <row r="4">
      <c r="A4" t="s">
        <v>124</v>
      </c>
      <c r="B4" t="s">
        <v>278</v>
      </c>
      <c r="C4" t="s">
        <v>217</v>
      </c>
      <c r="D4" t="s">
        <v>279</v>
      </c>
      <c r="E4" t="s">
        <v>218</v>
      </c>
      <c r="F4" t="n">
        <v>338.1</v>
      </c>
      <c r="G4" t="n">
        <v>451.4</v>
      </c>
      <c r="H4" t="n">
        <v>673.4</v>
      </c>
      <c r="I4" t="n">
        <v>701.5</v>
      </c>
      <c r="J4" t="n">
        <v>857</v>
      </c>
      <c r="K4" t="n">
        <v>993.2</v>
      </c>
      <c r="L4" t="n">
        <v>966.4</v>
      </c>
      <c r="M4" t="n">
        <v>864.6</v>
      </c>
      <c r="N4" t="n">
        <v>759.5</v>
      </c>
      <c r="O4" t="n">
        <v>719.9</v>
      </c>
      <c r="P4" t="n">
        <v>619.4</v>
      </c>
      <c r="Q4" t="n">
        <v>527.9</v>
      </c>
      <c r="R4" t="n">
        <v>518.1</v>
      </c>
      <c r="S4" t="n">
        <v>484</v>
      </c>
      <c r="T4" t="n">
        <v>441.8</v>
      </c>
      <c r="U4" t="n">
        <v>384.4</v>
      </c>
      <c r="V4" t="n">
        <v>310</v>
      </c>
      <c r="W4" t="n">
        <v>236.1</v>
      </c>
      <c r="X4" t="n">
        <v>183.8</v>
      </c>
      <c r="Y4" t="n">
        <v>169.5</v>
      </c>
      <c r="Z4" t="n">
        <v>148.3</v>
      </c>
      <c r="AA4" t="n">
        <v>134.3</v>
      </c>
      <c r="AB4" t="n">
        <v>125.3</v>
      </c>
      <c r="AC4" t="n">
        <v>117.6</v>
      </c>
      <c r="AD4" t="n">
        <v>129.8</v>
      </c>
      <c r="AE4" t="n">
        <v>134.1</v>
      </c>
      <c r="AF4" t="n">
        <v>143.6</v>
      </c>
    </row>
    <row r="5">
      <c r="A5" t="s">
        <v>124</v>
      </c>
      <c r="B5" t="s">
        <v>280</v>
      </c>
      <c r="C5" t="s">
        <v>217</v>
      </c>
      <c r="D5" t="s">
        <v>281</v>
      </c>
      <c r="E5" t="s">
        <v>218</v>
      </c>
      <c r="F5" t="n">
        <v>52.7</v>
      </c>
      <c r="G5" t="n">
        <v>55.5</v>
      </c>
      <c r="H5" t="n">
        <v>64</v>
      </c>
      <c r="I5" t="n">
        <v>59.8</v>
      </c>
      <c r="J5" t="n">
        <v>66.5</v>
      </c>
      <c r="K5" t="n">
        <v>72.5</v>
      </c>
      <c r="L5" t="n">
        <v>92.8</v>
      </c>
      <c r="M5" t="n">
        <v>108.9</v>
      </c>
      <c r="N5" t="n">
        <v>102.7</v>
      </c>
      <c r="O5" t="n">
        <v>114</v>
      </c>
      <c r="P5" t="n">
        <v>108.3</v>
      </c>
      <c r="Q5" t="n">
        <v>104.4</v>
      </c>
      <c r="R5" t="n">
        <v>105.5</v>
      </c>
      <c r="S5" t="n">
        <v>107</v>
      </c>
      <c r="T5" t="n">
        <v>98.7</v>
      </c>
      <c r="U5" t="n">
        <v>98.7</v>
      </c>
      <c r="V5" t="n">
        <v>83.4</v>
      </c>
      <c r="W5" t="n">
        <v>70.1</v>
      </c>
      <c r="X5" t="n">
        <v>58.7</v>
      </c>
      <c r="Y5" t="n">
        <v>52.7</v>
      </c>
      <c r="Z5" t="n">
        <v>52.7</v>
      </c>
      <c r="AA5" t="n">
        <v>52.3</v>
      </c>
      <c r="AB5" t="n">
        <v>52.8</v>
      </c>
      <c r="AC5" t="n">
        <v>50.5</v>
      </c>
      <c r="AD5" t="n">
        <v>49.2</v>
      </c>
      <c r="AE5" t="n">
        <v>52.4</v>
      </c>
      <c r="AF5" t="n">
        <v>57.8</v>
      </c>
    </row>
    <row r="6">
      <c r="A6" t="s">
        <v>124</v>
      </c>
      <c r="B6" t="s">
        <v>282</v>
      </c>
      <c r="C6" t="s">
        <v>217</v>
      </c>
      <c r="D6" t="s">
        <v>283</v>
      </c>
      <c r="E6" t="s">
        <v>218</v>
      </c>
      <c r="F6" t="n">
        <v>35.2</v>
      </c>
      <c r="G6" t="n">
        <v>34.4</v>
      </c>
      <c r="H6" t="n">
        <v>35.4</v>
      </c>
      <c r="I6" t="n">
        <v>31</v>
      </c>
      <c r="J6" t="n">
        <v>32.3</v>
      </c>
      <c r="K6" t="n">
        <v>33.6</v>
      </c>
      <c r="L6" t="n">
        <v>38</v>
      </c>
      <c r="M6" t="n">
        <v>48.4</v>
      </c>
      <c r="N6" t="n">
        <v>46.8</v>
      </c>
      <c r="O6" t="n">
        <v>51.7</v>
      </c>
      <c r="P6" t="n">
        <v>45.8</v>
      </c>
      <c r="Q6" t="n">
        <v>23.3</v>
      </c>
      <c r="R6" t="n">
        <v>20</v>
      </c>
      <c r="S6" t="n">
        <v>18.9</v>
      </c>
      <c r="T6" t="n">
        <v>17.6</v>
      </c>
      <c r="U6" t="n">
        <v>11.6</v>
      </c>
      <c r="V6" t="n">
        <v>9.6</v>
      </c>
      <c r="W6" t="n">
        <v>8</v>
      </c>
      <c r="X6" t="n">
        <v>6.5</v>
      </c>
      <c r="Y6" t="n">
        <v>5.7</v>
      </c>
      <c r="Z6" t="n">
        <v>4</v>
      </c>
      <c r="AA6" t="n">
        <v>3.8</v>
      </c>
      <c r="AB6" t="n">
        <v>3.7</v>
      </c>
      <c r="AC6" t="n">
        <v>0</v>
      </c>
      <c r="AD6" t="n">
        <v>0.2</v>
      </c>
      <c r="AE6" t="n">
        <v>0</v>
      </c>
      <c r="AF6" t="n">
        <v>0</v>
      </c>
    </row>
    <row r="7">
      <c r="A7" t="s">
        <v>124</v>
      </c>
      <c r="B7" t="s">
        <v>284</v>
      </c>
      <c r="C7" t="s">
        <v>217</v>
      </c>
      <c r="D7" t="s">
        <v>285</v>
      </c>
      <c r="E7" t="s">
        <v>218</v>
      </c>
      <c r="F7" t="n">
        <v>32.6</v>
      </c>
      <c r="G7" t="n">
        <v>31.4</v>
      </c>
      <c r="H7" t="n">
        <v>31.6</v>
      </c>
      <c r="I7" t="n">
        <v>27.3</v>
      </c>
      <c r="J7" t="n">
        <v>28.1</v>
      </c>
      <c r="K7" t="n">
        <v>28.8</v>
      </c>
      <c r="L7" t="n">
        <v>32.5</v>
      </c>
      <c r="M7" t="n">
        <v>15.9</v>
      </c>
      <c r="N7" t="n">
        <v>16.5</v>
      </c>
      <c r="O7" t="n">
        <v>19.5</v>
      </c>
      <c r="P7" t="n">
        <v>20</v>
      </c>
      <c r="Q7" t="n">
        <v>19.2</v>
      </c>
      <c r="R7" t="n">
        <v>23.1</v>
      </c>
      <c r="S7" t="n">
        <v>23.6</v>
      </c>
      <c r="T7" t="n">
        <v>24.6</v>
      </c>
      <c r="U7" t="n">
        <v>21.4</v>
      </c>
      <c r="V7" t="n">
        <v>16.3</v>
      </c>
      <c r="W7" t="n">
        <v>12.1</v>
      </c>
      <c r="X7" t="n">
        <v>8.8</v>
      </c>
      <c r="Y7" t="n">
        <v>9.3</v>
      </c>
      <c r="Z7" t="n">
        <v>7.8</v>
      </c>
      <c r="AA7" t="n">
        <v>7.4</v>
      </c>
      <c r="AB7" t="n">
        <v>7.2</v>
      </c>
      <c r="AC7" t="n">
        <v>6.4</v>
      </c>
      <c r="AD7" t="n">
        <v>5.8</v>
      </c>
      <c r="AE7" t="n">
        <v>6.4</v>
      </c>
      <c r="AF7" t="n">
        <v>7.2</v>
      </c>
    </row>
    <row r="8">
      <c r="A8" t="s">
        <v>124</v>
      </c>
      <c r="B8" t="s">
        <v>286</v>
      </c>
      <c r="C8" t="s">
        <v>217</v>
      </c>
      <c r="D8" t="s">
        <v>287</v>
      </c>
      <c r="E8" t="s">
        <v>218</v>
      </c>
      <c r="F8" t="n">
        <v>2.9</v>
      </c>
      <c r="G8" t="n">
        <v>2.7</v>
      </c>
      <c r="H8" t="n">
        <v>2.6</v>
      </c>
      <c r="I8" t="n">
        <v>2.2</v>
      </c>
      <c r="J8" t="n">
        <v>2.2</v>
      </c>
      <c r="K8" t="n">
        <v>2.2</v>
      </c>
      <c r="L8" t="n">
        <v>2.2</v>
      </c>
      <c r="M8" t="n">
        <v>3.3</v>
      </c>
      <c r="N8" t="n">
        <v>3</v>
      </c>
      <c r="O8" t="n">
        <v>3.2</v>
      </c>
      <c r="P8" t="n">
        <v>3.5</v>
      </c>
      <c r="Q8" t="n">
        <v>3.3</v>
      </c>
      <c r="R8" t="n">
        <v>3.1</v>
      </c>
      <c r="S8" t="n">
        <v>3.8</v>
      </c>
      <c r="T8" t="n">
        <v>4.3</v>
      </c>
      <c r="U8" t="n">
        <v>4</v>
      </c>
      <c r="V8" t="n">
        <v>3.4</v>
      </c>
      <c r="W8" t="n">
        <v>2.1</v>
      </c>
      <c r="X8" t="n">
        <v>1.9</v>
      </c>
      <c r="Y8" t="n">
        <v>2.2</v>
      </c>
      <c r="Z8" t="n">
        <v>2.6</v>
      </c>
      <c r="AA8" t="n">
        <v>3</v>
      </c>
      <c r="AB8" t="n">
        <v>3.4</v>
      </c>
      <c r="AC8" t="n">
        <v>2.8</v>
      </c>
      <c r="AD8" t="n">
        <v>14.8</v>
      </c>
      <c r="AE8" t="n">
        <v>12.2</v>
      </c>
      <c r="AF8" t="n">
        <v>9.9</v>
      </c>
    </row>
    <row r="9">
      <c r="A9" t="s">
        <v>124</v>
      </c>
      <c r="B9" t="s">
        <v>288</v>
      </c>
      <c r="C9" t="s">
        <v>217</v>
      </c>
      <c r="D9" t="s">
        <v>289</v>
      </c>
      <c r="E9" t="s">
        <v>218</v>
      </c>
      <c r="F9" t="n">
        <v>12.2</v>
      </c>
      <c r="G9" t="n">
        <v>11.8</v>
      </c>
      <c r="H9" t="n">
        <v>11.9</v>
      </c>
      <c r="I9" t="n">
        <v>10.3</v>
      </c>
      <c r="J9" t="n">
        <v>10.6</v>
      </c>
      <c r="K9" t="n">
        <v>10.9</v>
      </c>
      <c r="L9" t="n">
        <v>14.4</v>
      </c>
      <c r="M9" t="n">
        <v>15.9</v>
      </c>
      <c r="N9" t="n">
        <v>14.7</v>
      </c>
      <c r="O9" t="n">
        <v>18.2</v>
      </c>
      <c r="P9" t="n">
        <v>16.4</v>
      </c>
      <c r="Q9" t="n">
        <v>14.7</v>
      </c>
      <c r="R9" t="n">
        <v>16.5</v>
      </c>
      <c r="S9" t="n">
        <v>20.1</v>
      </c>
      <c r="T9" t="n">
        <v>19.2</v>
      </c>
      <c r="U9" t="n">
        <v>17.6</v>
      </c>
      <c r="V9" t="n">
        <v>16.3</v>
      </c>
      <c r="W9" t="n">
        <v>13.5</v>
      </c>
      <c r="X9" t="n">
        <v>11.6</v>
      </c>
      <c r="Y9" t="n">
        <v>10.4</v>
      </c>
      <c r="Z9" t="n">
        <v>7.9</v>
      </c>
      <c r="AA9" t="n">
        <v>7.2</v>
      </c>
      <c r="AB9" t="n">
        <v>6.7</v>
      </c>
      <c r="AC9" t="n">
        <v>6.6</v>
      </c>
      <c r="AD9" t="n">
        <v>6.5</v>
      </c>
      <c r="AE9" t="n">
        <v>5.2</v>
      </c>
      <c r="AF9" t="n">
        <v>3.9</v>
      </c>
    </row>
    <row r="10">
      <c r="A10" t="s">
        <v>124</v>
      </c>
      <c r="B10" t="s">
        <v>290</v>
      </c>
      <c r="C10" t="s">
        <v>217</v>
      </c>
      <c r="D10" t="s">
        <v>291</v>
      </c>
      <c r="E10" t="s">
        <v>218</v>
      </c>
      <c r="F10" t="n">
        <v>16.7</v>
      </c>
      <c r="G10" t="n">
        <v>16.1</v>
      </c>
      <c r="H10" t="n">
        <v>16.3</v>
      </c>
      <c r="I10" t="n">
        <v>14.1</v>
      </c>
      <c r="J10" t="n">
        <v>14.5</v>
      </c>
      <c r="K10" t="n">
        <v>14.9</v>
      </c>
      <c r="L10" t="n">
        <v>19.7</v>
      </c>
      <c r="M10" t="n">
        <v>21.8</v>
      </c>
      <c r="N10" t="n">
        <v>20.1</v>
      </c>
      <c r="O10" t="n">
        <v>24.9</v>
      </c>
      <c r="P10" t="n">
        <v>21.6</v>
      </c>
      <c r="Q10" t="n">
        <v>18.9</v>
      </c>
      <c r="R10" t="n">
        <v>20.1</v>
      </c>
      <c r="S10" t="n">
        <v>24.2</v>
      </c>
      <c r="T10" t="n">
        <v>22.7</v>
      </c>
      <c r="U10" t="n">
        <v>20.7</v>
      </c>
      <c r="V10" t="n">
        <v>19.9</v>
      </c>
      <c r="W10" t="n">
        <v>17.4</v>
      </c>
      <c r="X10" t="n">
        <v>15.4</v>
      </c>
      <c r="Y10" t="n">
        <v>13.9</v>
      </c>
      <c r="Z10" t="n">
        <v>11.3</v>
      </c>
      <c r="AA10" t="n">
        <v>10.3</v>
      </c>
      <c r="AB10" t="n">
        <v>9.6</v>
      </c>
      <c r="AC10" t="n">
        <v>8.3</v>
      </c>
      <c r="AD10" t="n">
        <v>8.2</v>
      </c>
      <c r="AE10" t="n">
        <v>6.4</v>
      </c>
      <c r="AF10" t="n">
        <v>4.7</v>
      </c>
    </row>
    <row r="11">
      <c r="A11" t="s">
        <v>124</v>
      </c>
      <c r="B11" t="s">
        <v>292</v>
      </c>
      <c r="C11" t="s">
        <v>217</v>
      </c>
      <c r="D11" t="s">
        <v>293</v>
      </c>
      <c r="E11" t="s">
        <v>218</v>
      </c>
      <c r="F11" t="n">
        <v>4.5</v>
      </c>
      <c r="G11" t="n">
        <v>4.3</v>
      </c>
      <c r="H11" t="n">
        <v>4.4</v>
      </c>
      <c r="I11" t="n">
        <v>3.8</v>
      </c>
      <c r="J11" t="n">
        <v>3.9</v>
      </c>
      <c r="K11" t="n">
        <v>4</v>
      </c>
      <c r="L11" t="n">
        <v>5.3</v>
      </c>
      <c r="M11" t="n">
        <v>5.9</v>
      </c>
      <c r="N11" t="n">
        <v>5.4</v>
      </c>
      <c r="O11" t="n">
        <v>6.7</v>
      </c>
      <c r="P11" t="n">
        <v>5.2</v>
      </c>
      <c r="Q11" t="n">
        <v>4.2</v>
      </c>
      <c r="R11" t="n">
        <v>3.6</v>
      </c>
      <c r="S11" t="n">
        <v>4.1</v>
      </c>
      <c r="T11" t="n">
        <v>3.5</v>
      </c>
      <c r="U11" t="n">
        <v>3.1</v>
      </c>
      <c r="V11" t="n">
        <v>3.6</v>
      </c>
      <c r="W11" t="n">
        <v>3.9</v>
      </c>
      <c r="X11" t="n">
        <v>3.8</v>
      </c>
      <c r="Y11" t="n">
        <v>3.5</v>
      </c>
      <c r="Z11" t="n">
        <v>3.4</v>
      </c>
      <c r="AA11" t="n">
        <v>3.1</v>
      </c>
      <c r="AB11" t="n">
        <v>2.9</v>
      </c>
      <c r="AC11" t="n">
        <v>1.7</v>
      </c>
      <c r="AD11" t="n">
        <v>1.7</v>
      </c>
      <c r="AE11" t="n">
        <v>1.2</v>
      </c>
      <c r="AF11" t="n">
        <v>0.8</v>
      </c>
    </row>
    <row r="12">
      <c r="A12" t="s">
        <v>124</v>
      </c>
      <c r="B12" t="s">
        <v>294</v>
      </c>
      <c r="C12" t="s">
        <v>217</v>
      </c>
      <c r="D12" t="s">
        <v>295</v>
      </c>
      <c r="E12" t="s">
        <v>218</v>
      </c>
      <c r="F12" t="n">
        <v>130.9</v>
      </c>
      <c r="G12" t="n">
        <v>244.3</v>
      </c>
      <c r="H12" t="n">
        <v>452</v>
      </c>
      <c r="I12" t="n">
        <v>502.8</v>
      </c>
      <c r="J12" t="n">
        <v>644.8</v>
      </c>
      <c r="K12" t="n">
        <v>768.7</v>
      </c>
      <c r="L12" t="n">
        <v>677.3</v>
      </c>
      <c r="M12" t="n">
        <v>558.1</v>
      </c>
      <c r="N12" t="n">
        <v>459.2</v>
      </c>
      <c r="O12" t="n">
        <v>392.4</v>
      </c>
      <c r="P12" t="n">
        <v>311.2</v>
      </c>
      <c r="Q12" t="n">
        <v>251.1</v>
      </c>
      <c r="R12" t="n">
        <v>236</v>
      </c>
      <c r="S12" t="n">
        <v>203.7</v>
      </c>
      <c r="T12" t="n">
        <v>172.4</v>
      </c>
      <c r="U12" t="n">
        <v>141.7</v>
      </c>
      <c r="V12" t="n">
        <v>115.4</v>
      </c>
      <c r="W12" t="n">
        <v>80</v>
      </c>
      <c r="X12" t="n">
        <v>57</v>
      </c>
      <c r="Y12" t="n">
        <v>49.6</v>
      </c>
      <c r="Z12" t="n">
        <v>41.4</v>
      </c>
      <c r="AA12" t="n">
        <v>31.8</v>
      </c>
      <c r="AB12" t="n">
        <v>24.7</v>
      </c>
      <c r="AC12" t="n">
        <v>24.8</v>
      </c>
      <c r="AD12" t="n">
        <v>24.2</v>
      </c>
      <c r="AE12" t="n">
        <v>23.6</v>
      </c>
      <c r="AF12" t="n">
        <v>23.9</v>
      </c>
    </row>
    <row r="13">
      <c r="A13" t="s">
        <v>124</v>
      </c>
      <c r="B13" t="s">
        <v>296</v>
      </c>
      <c r="C13" t="s">
        <v>217</v>
      </c>
      <c r="D13" t="s">
        <v>297</v>
      </c>
      <c r="E13" t="s">
        <v>218</v>
      </c>
      <c r="F13" t="n">
        <v>22.2</v>
      </c>
      <c r="G13" t="n">
        <v>23.7</v>
      </c>
      <c r="H13" t="n">
        <v>27.8</v>
      </c>
      <c r="I13" t="n">
        <v>26.3</v>
      </c>
      <c r="J13" t="n">
        <v>29.5</v>
      </c>
      <c r="K13" t="n">
        <v>32.3</v>
      </c>
      <c r="L13" t="n">
        <v>49.1</v>
      </c>
      <c r="M13" t="n">
        <v>57.7</v>
      </c>
      <c r="N13" t="n">
        <v>58.6</v>
      </c>
      <c r="O13" t="n">
        <v>56.7</v>
      </c>
      <c r="P13" t="n">
        <v>52.7</v>
      </c>
      <c r="Q13" t="n">
        <v>52.8</v>
      </c>
      <c r="R13" t="n">
        <v>56.9</v>
      </c>
      <c r="S13" t="n">
        <v>51.5</v>
      </c>
      <c r="T13" t="n">
        <v>50.9</v>
      </c>
      <c r="U13" t="n">
        <v>40.6</v>
      </c>
      <c r="V13" t="n">
        <v>34.1</v>
      </c>
      <c r="W13" t="n">
        <v>22.3</v>
      </c>
      <c r="X13" t="n">
        <v>14.3</v>
      </c>
      <c r="Y13" t="n">
        <v>13.8</v>
      </c>
      <c r="Z13" t="n">
        <v>12.8</v>
      </c>
      <c r="AA13" t="n">
        <v>11.7</v>
      </c>
      <c r="AB13" t="n">
        <v>11</v>
      </c>
      <c r="AC13" t="n">
        <v>11</v>
      </c>
      <c r="AD13" t="n">
        <v>12.1</v>
      </c>
      <c r="AE13" t="n">
        <v>15.7</v>
      </c>
      <c r="AF13" t="n">
        <v>19.9</v>
      </c>
    </row>
    <row r="14">
      <c r="A14" t="s">
        <v>124</v>
      </c>
      <c r="B14" t="s">
        <v>298</v>
      </c>
      <c r="C14" t="s">
        <v>217</v>
      </c>
      <c r="D14" t="s">
        <v>299</v>
      </c>
      <c r="E14" t="s">
        <v>218</v>
      </c>
      <c r="F14" t="n">
        <v>1.3</v>
      </c>
      <c r="G14" t="n">
        <v>1.3</v>
      </c>
      <c r="H14" t="n">
        <v>1.5</v>
      </c>
      <c r="I14" t="n">
        <v>1.4</v>
      </c>
      <c r="J14" t="n">
        <v>1.6</v>
      </c>
      <c r="K14" t="n">
        <v>1.7</v>
      </c>
      <c r="L14" t="n">
        <v>2.5</v>
      </c>
      <c r="M14" t="n">
        <v>1.8</v>
      </c>
      <c r="N14" t="n">
        <v>1.7</v>
      </c>
      <c r="O14" t="n">
        <v>1.7</v>
      </c>
      <c r="P14" t="n">
        <v>1.3</v>
      </c>
      <c r="Q14" t="n">
        <v>1.1</v>
      </c>
      <c r="R14" t="n">
        <v>0.9</v>
      </c>
      <c r="S14" t="n">
        <v>0.8</v>
      </c>
      <c r="T14" t="n">
        <v>0.4</v>
      </c>
      <c r="U14" t="n">
        <v>1.5</v>
      </c>
      <c r="V14" t="n">
        <v>1.1</v>
      </c>
      <c r="W14" t="n">
        <v>0</v>
      </c>
      <c r="X14" t="n">
        <v>0.2</v>
      </c>
      <c r="Y14" t="n">
        <v>0.4</v>
      </c>
      <c r="Z14" t="n">
        <v>0.3</v>
      </c>
      <c r="AA14" t="n">
        <v>0.5</v>
      </c>
      <c r="AB14" t="n">
        <v>0.7</v>
      </c>
      <c r="AC14" t="n">
        <v>0.6</v>
      </c>
      <c r="AD14" t="n">
        <v>0</v>
      </c>
      <c r="AE14" t="n">
        <v>0</v>
      </c>
      <c r="AF14" t="n">
        <v>0</v>
      </c>
    </row>
    <row r="15">
      <c r="A15" t="s">
        <v>124</v>
      </c>
      <c r="B15" t="s">
        <v>300</v>
      </c>
      <c r="C15" t="s">
        <v>217</v>
      </c>
      <c r="D15" t="s">
        <v>301</v>
      </c>
      <c r="E15" t="s">
        <v>218</v>
      </c>
      <c r="F15" t="n">
        <v>5.8</v>
      </c>
      <c r="G15" t="n">
        <v>6.1</v>
      </c>
      <c r="H15" t="n">
        <v>7.1</v>
      </c>
      <c r="I15" t="n">
        <v>6.7</v>
      </c>
      <c r="J15" t="n">
        <v>7.5</v>
      </c>
      <c r="K15" t="n">
        <v>8.2</v>
      </c>
      <c r="L15" t="n">
        <v>11.6</v>
      </c>
      <c r="M15" t="n">
        <v>10.8</v>
      </c>
      <c r="N15" t="n">
        <v>9.6</v>
      </c>
      <c r="O15" t="n">
        <v>9.1</v>
      </c>
      <c r="P15" t="n">
        <v>7.4</v>
      </c>
      <c r="Q15" t="n">
        <v>7.6</v>
      </c>
      <c r="R15" t="n">
        <v>7.6</v>
      </c>
      <c r="S15" t="n">
        <v>8.2</v>
      </c>
      <c r="T15" t="n">
        <v>7.2</v>
      </c>
      <c r="U15" t="n">
        <v>8.2</v>
      </c>
      <c r="V15" t="n">
        <v>5.8</v>
      </c>
      <c r="W15" t="n">
        <v>4</v>
      </c>
      <c r="X15" t="n">
        <v>2.2</v>
      </c>
      <c r="Y15" t="n">
        <v>2.7</v>
      </c>
      <c r="Z15" t="n">
        <v>1.5</v>
      </c>
      <c r="AA15" t="n">
        <v>1.4</v>
      </c>
      <c r="AB15" t="n">
        <v>1.4</v>
      </c>
      <c r="AC15" t="n">
        <v>2</v>
      </c>
      <c r="AD15" t="n">
        <v>2.6</v>
      </c>
      <c r="AE15" t="n">
        <v>2.8</v>
      </c>
      <c r="AF15" t="n">
        <v>3</v>
      </c>
    </row>
    <row r="16">
      <c r="A16" t="s">
        <v>124</v>
      </c>
      <c r="B16" t="s">
        <v>302</v>
      </c>
      <c r="C16" t="s">
        <v>217</v>
      </c>
      <c r="D16" t="s">
        <v>303</v>
      </c>
      <c r="E16" t="s">
        <v>218</v>
      </c>
      <c r="F16" t="n">
        <v>4.5</v>
      </c>
      <c r="G16" t="n">
        <v>4.8</v>
      </c>
      <c r="H16" t="n">
        <v>5.6</v>
      </c>
      <c r="I16" t="n">
        <v>5.3</v>
      </c>
      <c r="J16" t="n">
        <v>5.9</v>
      </c>
      <c r="K16" t="n">
        <v>6.5</v>
      </c>
      <c r="L16" t="n">
        <v>9.1</v>
      </c>
      <c r="M16" t="n">
        <v>9</v>
      </c>
      <c r="N16" t="n">
        <v>7.9</v>
      </c>
      <c r="O16" t="n">
        <v>7.4</v>
      </c>
      <c r="P16" t="n">
        <v>6.1</v>
      </c>
      <c r="Q16" t="n">
        <v>6.5</v>
      </c>
      <c r="R16" t="n">
        <v>6.7</v>
      </c>
      <c r="S16" t="n">
        <v>7.4</v>
      </c>
      <c r="T16" t="n">
        <v>6.8</v>
      </c>
      <c r="U16" t="n">
        <v>6.7</v>
      </c>
      <c r="V16" t="n">
        <v>4.7</v>
      </c>
      <c r="W16" t="n">
        <v>4</v>
      </c>
      <c r="X16" t="n">
        <v>2</v>
      </c>
      <c r="Y16" t="n">
        <v>2.3</v>
      </c>
      <c r="Z16" t="n">
        <v>1.2</v>
      </c>
      <c r="AA16" t="n">
        <v>0.9</v>
      </c>
      <c r="AB16" t="n">
        <v>0.7</v>
      </c>
      <c r="AC16" t="n">
        <v>1.4</v>
      </c>
      <c r="AD16" t="n">
        <v>2.6</v>
      </c>
      <c r="AE16" t="n">
        <v>2.8</v>
      </c>
      <c r="AF16" t="n">
        <v>3</v>
      </c>
    </row>
    <row r="17">
      <c r="A17" t="s">
        <v>124</v>
      </c>
      <c r="B17" t="s">
        <v>304</v>
      </c>
      <c r="C17" t="s">
        <v>217</v>
      </c>
      <c r="D17" t="s">
        <v>305</v>
      </c>
      <c r="E17" t="s">
        <v>218</v>
      </c>
      <c r="F17" t="n">
        <v>6.3</v>
      </c>
      <c r="G17" t="n">
        <v>6.3</v>
      </c>
      <c r="H17" t="n">
        <v>6.8</v>
      </c>
      <c r="I17" t="n">
        <v>6.2</v>
      </c>
      <c r="J17" t="n">
        <v>6.6</v>
      </c>
      <c r="K17" t="n">
        <v>7</v>
      </c>
      <c r="L17" t="n">
        <v>9.8</v>
      </c>
      <c r="M17" t="n">
        <v>9.5</v>
      </c>
      <c r="N17" t="n">
        <v>9</v>
      </c>
      <c r="O17" t="n">
        <v>9.4</v>
      </c>
      <c r="P17" t="n">
        <v>9.7</v>
      </c>
      <c r="Q17" t="n">
        <v>11.8</v>
      </c>
      <c r="R17" t="n">
        <v>11.4</v>
      </c>
      <c r="S17" t="n">
        <v>10.6</v>
      </c>
      <c r="T17" t="n">
        <v>12.6</v>
      </c>
      <c r="U17" t="n">
        <v>11.6</v>
      </c>
      <c r="V17" t="n">
        <v>9.7</v>
      </c>
      <c r="W17" t="n">
        <v>9.2</v>
      </c>
      <c r="X17" t="n">
        <v>12.3</v>
      </c>
      <c r="Y17" t="n">
        <v>12</v>
      </c>
      <c r="Z17" t="n">
        <v>10.7</v>
      </c>
      <c r="AA17" t="n">
        <v>9.5</v>
      </c>
      <c r="AB17" t="n">
        <v>8.6</v>
      </c>
      <c r="AC17" t="n">
        <v>7.7</v>
      </c>
      <c r="AD17" t="n">
        <v>6.8</v>
      </c>
      <c r="AE17" t="n">
        <v>5.7</v>
      </c>
      <c r="AF17" t="n">
        <v>4.9</v>
      </c>
    </row>
    <row r="18">
      <c r="A18" t="s">
        <v>124</v>
      </c>
      <c r="B18" t="s">
        <v>306</v>
      </c>
      <c r="C18" t="s">
        <v>217</v>
      </c>
      <c r="D18" t="s">
        <v>307</v>
      </c>
      <c r="E18" t="s">
        <v>218</v>
      </c>
      <c r="F18" t="n">
        <v>17.6</v>
      </c>
      <c r="G18" t="n">
        <v>15.9</v>
      </c>
      <c r="H18" t="n">
        <v>14.1</v>
      </c>
      <c r="I18" t="n">
        <v>11.2</v>
      </c>
      <c r="J18" t="n">
        <v>10.3</v>
      </c>
      <c r="K18" t="n">
        <v>9.6</v>
      </c>
      <c r="L18" t="n">
        <v>13.3</v>
      </c>
      <c r="M18" t="n">
        <v>12.1</v>
      </c>
      <c r="N18" t="n">
        <v>13.4</v>
      </c>
      <c r="O18" t="n">
        <v>16.2</v>
      </c>
      <c r="P18" t="n">
        <v>14</v>
      </c>
      <c r="Q18" t="n">
        <v>12.1</v>
      </c>
      <c r="R18" t="n">
        <v>11.4</v>
      </c>
      <c r="S18" t="n">
        <v>9.5</v>
      </c>
      <c r="T18" t="n">
        <v>7.5</v>
      </c>
      <c r="U18" t="n">
        <v>5</v>
      </c>
      <c r="V18" t="n">
        <v>3</v>
      </c>
      <c r="W18" t="n">
        <v>2.5</v>
      </c>
      <c r="X18" t="n">
        <v>1.5</v>
      </c>
      <c r="Y18" t="n">
        <v>1.3</v>
      </c>
      <c r="Z18" t="n">
        <v>1.2</v>
      </c>
      <c r="AA18" t="n">
        <v>1.1</v>
      </c>
      <c r="AB18" t="n">
        <v>1</v>
      </c>
      <c r="AC18" t="n">
        <v>0.7</v>
      </c>
      <c r="AD18" t="n">
        <v>0.6</v>
      </c>
      <c r="AE18" t="n">
        <v>1.1</v>
      </c>
      <c r="AF18" t="n">
        <v>1.7</v>
      </c>
    </row>
    <row r="19">
      <c r="A19" t="s">
        <v>124</v>
      </c>
      <c r="B19" t="s">
        <v>308</v>
      </c>
      <c r="C19" t="s">
        <v>217</v>
      </c>
      <c r="D19" t="s">
        <v>309</v>
      </c>
      <c r="E19" t="s">
        <v>218</v>
      </c>
      <c r="F19" t="n">
        <v>15.2</v>
      </c>
      <c r="G19" t="n">
        <v>15</v>
      </c>
      <c r="H19" t="n">
        <v>15.7</v>
      </c>
      <c r="I19" t="n">
        <v>13.9</v>
      </c>
      <c r="J19" t="n">
        <v>14.7</v>
      </c>
      <c r="K19" t="n">
        <v>15.4</v>
      </c>
      <c r="L19" t="n">
        <v>20.1</v>
      </c>
      <c r="M19" t="n">
        <v>18.1</v>
      </c>
      <c r="N19" t="n">
        <v>20.6</v>
      </c>
      <c r="O19" t="n">
        <v>22.8</v>
      </c>
      <c r="P19" t="n">
        <v>25.2</v>
      </c>
      <c r="Q19" t="n">
        <v>23.4</v>
      </c>
      <c r="R19" t="n">
        <v>23</v>
      </c>
      <c r="S19" t="n">
        <v>23</v>
      </c>
      <c r="T19" t="n">
        <v>23.3</v>
      </c>
      <c r="U19" t="n">
        <v>20.9</v>
      </c>
      <c r="V19" t="n">
        <v>9.4</v>
      </c>
      <c r="W19" t="n">
        <v>8.4</v>
      </c>
      <c r="X19" t="n">
        <v>5.2</v>
      </c>
      <c r="Y19" t="n">
        <v>6.3</v>
      </c>
      <c r="Z19" t="n">
        <v>2.3</v>
      </c>
      <c r="AA19" t="n">
        <v>2</v>
      </c>
      <c r="AB19" t="n">
        <v>1.9</v>
      </c>
      <c r="AC19" t="n">
        <v>3.4</v>
      </c>
      <c r="AD19" t="n">
        <v>5.3</v>
      </c>
      <c r="AE19" t="n">
        <v>7.8</v>
      </c>
      <c r="AF19" t="n">
        <v>10.6</v>
      </c>
    </row>
    <row r="20">
      <c r="A20" t="s">
        <v>124</v>
      </c>
      <c r="B20" t="s">
        <v>310</v>
      </c>
      <c r="C20" t="s">
        <v>217</v>
      </c>
      <c r="D20" t="s">
        <v>311</v>
      </c>
      <c r="E20" t="s">
        <v>218</v>
      </c>
      <c r="F20" t="n">
        <v>10.5</v>
      </c>
      <c r="G20" t="n">
        <v>11.9</v>
      </c>
      <c r="H20" t="n">
        <v>15</v>
      </c>
      <c r="I20" t="n">
        <v>14.7</v>
      </c>
      <c r="J20" t="n">
        <v>17</v>
      </c>
      <c r="K20" t="n">
        <v>19</v>
      </c>
      <c r="L20" t="n">
        <v>18.3</v>
      </c>
      <c r="M20" t="n">
        <v>82.8</v>
      </c>
      <c r="N20" t="n">
        <v>68.8</v>
      </c>
      <c r="O20" t="n">
        <v>59.3</v>
      </c>
      <c r="P20" t="n">
        <v>56.4</v>
      </c>
      <c r="Q20" t="n">
        <v>47.1</v>
      </c>
      <c r="R20" t="n">
        <v>41</v>
      </c>
      <c r="S20" t="n">
        <v>42.7</v>
      </c>
      <c r="T20" t="n">
        <v>44.6</v>
      </c>
      <c r="U20" t="n">
        <v>44.4</v>
      </c>
      <c r="V20" t="n">
        <v>34.1</v>
      </c>
      <c r="W20" t="n">
        <v>30.9</v>
      </c>
      <c r="X20" t="n">
        <v>24.4</v>
      </c>
      <c r="Y20" t="n">
        <v>24.7</v>
      </c>
      <c r="Z20" t="n">
        <v>23.4</v>
      </c>
      <c r="AA20" t="n">
        <v>21.4</v>
      </c>
      <c r="AB20" t="n">
        <v>20.2</v>
      </c>
      <c r="AC20" t="n">
        <v>20.2</v>
      </c>
      <c r="AD20" t="n">
        <v>19.3</v>
      </c>
      <c r="AE20" t="n">
        <v>20.3</v>
      </c>
      <c r="AF20" t="n">
        <v>21.8</v>
      </c>
    </row>
    <row r="21">
      <c r="A21" t="s">
        <v>124</v>
      </c>
      <c r="B21" t="s">
        <v>312</v>
      </c>
      <c r="C21" t="s">
        <v>217</v>
      </c>
      <c r="D21" t="s">
        <v>313</v>
      </c>
      <c r="E21" t="s">
        <v>218</v>
      </c>
      <c r="F21" t="n">
        <v>49.4</v>
      </c>
      <c r="G21" t="n">
        <v>50.5</v>
      </c>
      <c r="H21" t="n">
        <v>55.9</v>
      </c>
      <c r="I21" t="n">
        <v>51.2</v>
      </c>
      <c r="J21" t="n">
        <v>55.8</v>
      </c>
      <c r="K21" t="n">
        <v>59.9</v>
      </c>
      <c r="L21" t="n">
        <v>82.7</v>
      </c>
      <c r="M21" t="n">
        <v>156.8</v>
      </c>
      <c r="N21" t="n">
        <v>153</v>
      </c>
      <c r="O21" t="n">
        <v>159.1</v>
      </c>
      <c r="P21" t="n">
        <v>153</v>
      </c>
      <c r="Q21" t="n">
        <v>137.4</v>
      </c>
      <c r="R21" t="n">
        <v>129.2</v>
      </c>
      <c r="S21" t="n">
        <v>138.9</v>
      </c>
      <c r="T21" t="n">
        <v>151.7</v>
      </c>
      <c r="U21" t="n">
        <v>214.3</v>
      </c>
      <c r="V21" t="n">
        <v>128.4</v>
      </c>
      <c r="W21" t="n">
        <v>122.3</v>
      </c>
      <c r="X21" t="n">
        <v>106.5</v>
      </c>
      <c r="Y21" t="n">
        <v>110.8</v>
      </c>
      <c r="Z21" t="n">
        <v>104</v>
      </c>
      <c r="AA21" t="n">
        <v>91.3</v>
      </c>
      <c r="AB21" t="n">
        <v>92.7</v>
      </c>
      <c r="AC21" t="n">
        <v>93.2</v>
      </c>
      <c r="AD21" t="n">
        <v>96.3</v>
      </c>
      <c r="AE21" t="n">
        <v>105.7</v>
      </c>
      <c r="AF21" t="n">
        <v>116.9</v>
      </c>
    </row>
    <row r="22">
      <c r="A22" t="s">
        <v>124</v>
      </c>
      <c r="B22" t="s">
        <v>314</v>
      </c>
      <c r="C22" t="s">
        <v>217</v>
      </c>
      <c r="D22" t="s">
        <v>315</v>
      </c>
      <c r="E22" t="s">
        <v>218</v>
      </c>
      <c r="F22" t="n">
        <v>38.9</v>
      </c>
      <c r="G22" t="n">
        <v>38.6</v>
      </c>
      <c r="H22" t="n">
        <v>40.9</v>
      </c>
      <c r="I22" t="n">
        <v>36.5</v>
      </c>
      <c r="J22" t="n">
        <v>38.8</v>
      </c>
      <c r="K22" t="n">
        <v>40.9</v>
      </c>
      <c r="L22" t="n">
        <v>64.4</v>
      </c>
      <c r="M22" t="n">
        <v>74</v>
      </c>
      <c r="N22" t="n">
        <v>84.2</v>
      </c>
      <c r="O22" t="n">
        <v>99.8</v>
      </c>
      <c r="P22" t="n">
        <v>96.6</v>
      </c>
      <c r="Q22" t="n">
        <v>90.3</v>
      </c>
      <c r="R22" t="n">
        <v>88.2</v>
      </c>
      <c r="S22" t="n">
        <v>96.2</v>
      </c>
      <c r="T22" t="n">
        <v>107.1</v>
      </c>
      <c r="U22" t="n">
        <v>169.9</v>
      </c>
      <c r="V22" t="n">
        <v>94.3</v>
      </c>
      <c r="W22" t="n">
        <v>91.4</v>
      </c>
      <c r="X22" t="n">
        <v>82.1</v>
      </c>
      <c r="Y22" t="n">
        <v>86.1</v>
      </c>
      <c r="Z22" t="n">
        <v>80.6</v>
      </c>
      <c r="AA22" t="n">
        <v>69.9</v>
      </c>
      <c r="AB22" t="n">
        <v>72.5</v>
      </c>
      <c r="AC22" t="n">
        <v>73</v>
      </c>
      <c r="AD22" t="n">
        <v>77</v>
      </c>
      <c r="AE22" t="n">
        <v>85.4</v>
      </c>
      <c r="AF22" t="n">
        <v>95.1</v>
      </c>
    </row>
    <row r="23">
      <c r="A23" t="s">
        <v>124</v>
      </c>
      <c r="B23" t="s">
        <v>316</v>
      </c>
      <c r="C23" t="s">
        <v>217</v>
      </c>
      <c r="D23" t="s">
        <v>317</v>
      </c>
      <c r="E23" t="s">
        <v>218</v>
      </c>
      <c r="F23" t="n">
        <v>156.7</v>
      </c>
      <c r="G23" t="n">
        <v>171.1</v>
      </c>
      <c r="H23" t="n">
        <v>205</v>
      </c>
      <c r="I23" t="n">
        <v>197</v>
      </c>
      <c r="J23" t="n">
        <v>222.7</v>
      </c>
      <c r="K23" t="n">
        <v>246.5</v>
      </c>
      <c r="L23" t="n">
        <v>486.8</v>
      </c>
      <c r="M23" t="n">
        <v>390.9</v>
      </c>
      <c r="N23" t="n">
        <v>534.5</v>
      </c>
      <c r="O23" t="n">
        <v>577.9</v>
      </c>
      <c r="P23" t="n">
        <v>581.7</v>
      </c>
      <c r="Q23" t="n">
        <v>599.8</v>
      </c>
      <c r="R23" t="n">
        <v>710.7</v>
      </c>
      <c r="S23" t="n">
        <v>743</v>
      </c>
      <c r="T23" t="n">
        <v>686.3</v>
      </c>
      <c r="U23" t="n">
        <v>496.7</v>
      </c>
      <c r="V23" t="n">
        <v>467.8</v>
      </c>
      <c r="W23" t="n">
        <v>400.1</v>
      </c>
      <c r="X23" t="n">
        <v>339.2</v>
      </c>
      <c r="Y23" t="n">
        <v>297.3</v>
      </c>
      <c r="Z23" t="n">
        <v>253.4</v>
      </c>
      <c r="AA23" t="n">
        <v>220.1</v>
      </c>
      <c r="AB23" t="n">
        <v>196.3</v>
      </c>
      <c r="AC23" t="n">
        <v>169.5</v>
      </c>
      <c r="AD23" t="n">
        <v>143.4</v>
      </c>
      <c r="AE23" t="n">
        <v>124.2</v>
      </c>
      <c r="AF23" t="n">
        <v>109.6</v>
      </c>
    </row>
    <row r="24">
      <c r="A24" t="s">
        <v>124</v>
      </c>
      <c r="B24" t="s">
        <v>318</v>
      </c>
      <c r="C24" t="s">
        <v>217</v>
      </c>
      <c r="D24" t="s">
        <v>319</v>
      </c>
      <c r="E24" t="s">
        <v>218</v>
      </c>
      <c r="F24" t="n">
        <v>806.7</v>
      </c>
      <c r="G24" t="n">
        <v>757.7</v>
      </c>
      <c r="H24" t="n">
        <v>728.3</v>
      </c>
      <c r="I24" t="n">
        <v>611.4</v>
      </c>
      <c r="J24" t="n">
        <v>606.8</v>
      </c>
      <c r="K24" t="n">
        <v>605.8</v>
      </c>
      <c r="L24" t="n">
        <v>1058.7</v>
      </c>
      <c r="M24" t="n">
        <v>1059</v>
      </c>
      <c r="N24" t="n">
        <v>1228.9</v>
      </c>
      <c r="O24" t="n">
        <v>1354</v>
      </c>
      <c r="P24" t="n">
        <v>1455.8</v>
      </c>
      <c r="Q24" t="n">
        <v>1539.2</v>
      </c>
      <c r="R24" t="n">
        <v>1702.4</v>
      </c>
      <c r="S24" t="n">
        <v>1805.3</v>
      </c>
      <c r="T24" t="n">
        <v>1793.2</v>
      </c>
      <c r="U24" t="n">
        <v>1669.8</v>
      </c>
      <c r="V24" t="n">
        <v>1362.8</v>
      </c>
      <c r="W24" t="n">
        <v>1152.2</v>
      </c>
      <c r="X24" t="n">
        <v>973</v>
      </c>
      <c r="Y24" t="n">
        <v>986.6</v>
      </c>
      <c r="Z24" t="n">
        <v>972.4</v>
      </c>
      <c r="AA24" t="n">
        <v>998.3</v>
      </c>
      <c r="AB24" t="n">
        <v>1038</v>
      </c>
      <c r="AC24" t="n">
        <v>964.6</v>
      </c>
      <c r="AD24" t="n">
        <v>887.8</v>
      </c>
      <c r="AE24" t="n">
        <v>839.4</v>
      </c>
      <c r="AF24" t="n">
        <v>824.6</v>
      </c>
    </row>
    <row r="25">
      <c r="A25" t="s">
        <v>124</v>
      </c>
      <c r="B25" t="s">
        <v>320</v>
      </c>
      <c r="C25" t="s">
        <v>217</v>
      </c>
      <c r="D25" t="s">
        <v>321</v>
      </c>
      <c r="E25" t="s">
        <v>218</v>
      </c>
      <c r="F25" t="n">
        <v>22</v>
      </c>
      <c r="G25" t="n">
        <v>34.1</v>
      </c>
      <c r="H25" t="n">
        <v>56.7</v>
      </c>
      <c r="I25" t="n">
        <v>61.2</v>
      </c>
      <c r="J25" t="n">
        <v>76.8</v>
      </c>
      <c r="K25" t="n">
        <v>90.5</v>
      </c>
      <c r="L25" t="n">
        <v>379.9</v>
      </c>
      <c r="M25" t="n">
        <v>354.4</v>
      </c>
      <c r="N25" t="n">
        <v>377</v>
      </c>
      <c r="O25" t="n">
        <v>403.9</v>
      </c>
      <c r="P25" t="n">
        <v>417.8</v>
      </c>
      <c r="Q25" t="n">
        <v>445.3</v>
      </c>
      <c r="R25" t="n">
        <v>510.2</v>
      </c>
      <c r="S25" t="n">
        <v>561.4</v>
      </c>
      <c r="T25" t="n">
        <v>559.3</v>
      </c>
      <c r="U25" t="n">
        <v>515</v>
      </c>
      <c r="V25" t="n">
        <v>407.3</v>
      </c>
      <c r="W25" t="n">
        <v>330.2</v>
      </c>
      <c r="X25" t="n">
        <v>274.8</v>
      </c>
      <c r="Y25" t="n">
        <v>257.9</v>
      </c>
      <c r="Z25" t="n">
        <v>242.4</v>
      </c>
      <c r="AA25" t="n">
        <v>264.9</v>
      </c>
      <c r="AB25" t="n">
        <v>288.4</v>
      </c>
      <c r="AC25" t="n">
        <v>273.5</v>
      </c>
      <c r="AD25" t="n">
        <v>239.8</v>
      </c>
      <c r="AE25" t="n">
        <v>218.9</v>
      </c>
      <c r="AF25" t="n">
        <v>206.6</v>
      </c>
    </row>
    <row r="26">
      <c r="A26" t="s">
        <v>124</v>
      </c>
      <c r="B26" t="s">
        <v>322</v>
      </c>
      <c r="C26" t="s">
        <v>217</v>
      </c>
      <c r="D26" t="s">
        <v>323</v>
      </c>
      <c r="E26" t="s">
        <v>218</v>
      </c>
      <c r="F26" t="n">
        <v>291.8</v>
      </c>
      <c r="G26" t="n">
        <v>277</v>
      </c>
      <c r="H26" t="n">
        <v>271.5</v>
      </c>
      <c r="I26" t="n">
        <v>230.9</v>
      </c>
      <c r="J26" t="n">
        <v>232.7</v>
      </c>
      <c r="K26" t="n">
        <v>235.3</v>
      </c>
      <c r="L26" t="n">
        <v>337.3</v>
      </c>
      <c r="M26" t="n">
        <v>378.2</v>
      </c>
      <c r="N26" t="n">
        <v>524.2</v>
      </c>
      <c r="O26" t="n">
        <v>607.3</v>
      </c>
      <c r="P26" t="n">
        <v>648.3</v>
      </c>
      <c r="Q26" t="n">
        <v>704.4</v>
      </c>
      <c r="R26" t="n">
        <v>779.3</v>
      </c>
      <c r="S26" t="n">
        <v>829.7</v>
      </c>
      <c r="T26" t="n">
        <v>834.1</v>
      </c>
      <c r="U26" t="n">
        <v>773.3</v>
      </c>
      <c r="V26" t="n">
        <v>633.4</v>
      </c>
      <c r="W26" t="n">
        <v>537.6</v>
      </c>
      <c r="X26" t="n">
        <v>446.6</v>
      </c>
      <c r="Y26" t="n">
        <v>473.1</v>
      </c>
      <c r="Z26" t="n">
        <v>483</v>
      </c>
      <c r="AA26" t="n">
        <v>462.9</v>
      </c>
      <c r="AB26" t="n">
        <v>454.6</v>
      </c>
      <c r="AC26" t="n">
        <v>424.2</v>
      </c>
      <c r="AD26" t="n">
        <v>396.2</v>
      </c>
      <c r="AE26" t="n">
        <v>388.6</v>
      </c>
      <c r="AF26" t="n">
        <v>396.9</v>
      </c>
    </row>
    <row r="27">
      <c r="A27" t="s">
        <v>124</v>
      </c>
      <c r="B27" t="s">
        <v>324</v>
      </c>
      <c r="C27" t="s">
        <v>217</v>
      </c>
      <c r="D27" t="s">
        <v>325</v>
      </c>
      <c r="E27" t="s">
        <v>218</v>
      </c>
      <c r="F27" t="n">
        <v>492.9</v>
      </c>
      <c r="G27" t="n">
        <v>446.6</v>
      </c>
      <c r="H27" t="n">
        <v>400.1</v>
      </c>
      <c r="I27" t="n">
        <v>319.3</v>
      </c>
      <c r="J27" t="n">
        <v>297.3</v>
      </c>
      <c r="K27" t="n">
        <v>280</v>
      </c>
      <c r="L27" t="n">
        <v>341.5</v>
      </c>
      <c r="M27" t="n">
        <v>326.4</v>
      </c>
      <c r="N27" t="n">
        <v>327.7</v>
      </c>
      <c r="O27" t="n">
        <v>342.8</v>
      </c>
      <c r="P27" t="n">
        <v>389.7</v>
      </c>
      <c r="Q27" t="n">
        <v>389.5</v>
      </c>
      <c r="R27" t="n">
        <v>412.9</v>
      </c>
      <c r="S27" t="n">
        <v>414.2</v>
      </c>
      <c r="T27" t="n">
        <v>399.8</v>
      </c>
      <c r="U27" t="n">
        <v>381.5</v>
      </c>
      <c r="V27" t="n">
        <v>322.1</v>
      </c>
      <c r="W27" t="n">
        <v>284.4</v>
      </c>
      <c r="X27" t="n">
        <v>251.6</v>
      </c>
      <c r="Y27" t="n">
        <v>255.6</v>
      </c>
      <c r="Z27" t="n">
        <v>247</v>
      </c>
      <c r="AA27" t="n">
        <v>270.5</v>
      </c>
      <c r="AB27" t="n">
        <v>295</v>
      </c>
      <c r="AC27" t="n">
        <v>266.9</v>
      </c>
      <c r="AD27" t="n">
        <v>251.8</v>
      </c>
      <c r="AE27" t="n">
        <v>231.9</v>
      </c>
      <c r="AF27" t="n">
        <v>221.1</v>
      </c>
    </row>
    <row r="28">
      <c r="A28" t="s">
        <v>124</v>
      </c>
      <c r="B28" t="s">
        <v>326</v>
      </c>
      <c r="C28" t="s">
        <v>217</v>
      </c>
      <c r="D28" t="s">
        <v>327</v>
      </c>
      <c r="E28" t="s">
        <v>218</v>
      </c>
      <c r="F28" t="n">
        <v>2187.1</v>
      </c>
      <c r="G28" t="n">
        <v>3460.5</v>
      </c>
      <c r="H28" t="n">
        <v>4256.5</v>
      </c>
      <c r="I28" t="n">
        <v>6091.5</v>
      </c>
      <c r="J28" t="n">
        <v>7161.4</v>
      </c>
      <c r="K28" t="n">
        <v>8785.2</v>
      </c>
      <c r="L28" t="n">
        <v>11957.4</v>
      </c>
      <c r="M28" t="n">
        <v>14675.1</v>
      </c>
      <c r="N28" t="n">
        <v>17329.2</v>
      </c>
      <c r="O28" t="n">
        <v>18499</v>
      </c>
      <c r="P28" t="n">
        <v>19564.3</v>
      </c>
      <c r="Q28" t="n">
        <v>23723.8</v>
      </c>
      <c r="R28" t="n">
        <v>28742.8</v>
      </c>
      <c r="S28" t="n">
        <v>32325.2</v>
      </c>
      <c r="T28" t="n">
        <v>35548.1</v>
      </c>
      <c r="U28" t="n">
        <v>38212.8</v>
      </c>
      <c r="V28" t="n">
        <v>32056.5</v>
      </c>
      <c r="W28" t="n">
        <v>29047.4</v>
      </c>
      <c r="X28" t="n">
        <v>26794.3</v>
      </c>
      <c r="Y28" t="n">
        <v>24863.4</v>
      </c>
      <c r="Z28" t="n">
        <v>23270</v>
      </c>
      <c r="AA28" t="n">
        <v>21500.2</v>
      </c>
      <c r="AB28" t="n">
        <v>20266.1</v>
      </c>
      <c r="AC28" t="n">
        <v>19114.5</v>
      </c>
      <c r="AD28" t="n">
        <v>18486</v>
      </c>
      <c r="AE28" t="n">
        <v>17230.3</v>
      </c>
      <c r="AF28" t="n">
        <v>15928.9</v>
      </c>
    </row>
    <row r="29">
      <c r="A29" t="s">
        <v>124</v>
      </c>
      <c r="B29" t="s">
        <v>328</v>
      </c>
      <c r="C29" t="s">
        <v>217</v>
      </c>
      <c r="D29" t="s">
        <v>329</v>
      </c>
      <c r="E29" t="s">
        <v>218</v>
      </c>
      <c r="F29" t="n">
        <v>969.2</v>
      </c>
      <c r="G29" t="n">
        <v>1124.3</v>
      </c>
      <c r="H29" t="n">
        <v>1374.3</v>
      </c>
      <c r="I29" t="n">
        <v>1375.9</v>
      </c>
      <c r="J29" t="n">
        <v>1582</v>
      </c>
      <c r="K29" t="n">
        <v>1785.5</v>
      </c>
      <c r="L29" t="n">
        <v>3456</v>
      </c>
      <c r="M29" t="n">
        <v>3359.8</v>
      </c>
      <c r="N29" t="n">
        <v>3371.1</v>
      </c>
      <c r="O29" t="n">
        <v>3852.2</v>
      </c>
      <c r="P29" t="n">
        <v>4393.5</v>
      </c>
      <c r="Q29" t="n">
        <v>5422.4</v>
      </c>
      <c r="R29" t="n">
        <v>5654</v>
      </c>
      <c r="S29" t="n">
        <v>5840.6</v>
      </c>
      <c r="T29" t="n">
        <v>6115.3</v>
      </c>
      <c r="U29" t="n">
        <v>5931.5</v>
      </c>
      <c r="V29" t="n">
        <v>5221.2</v>
      </c>
      <c r="W29" t="n">
        <v>4573.8</v>
      </c>
      <c r="X29" t="n">
        <v>4092.2</v>
      </c>
      <c r="Y29" t="n">
        <v>3583.4</v>
      </c>
      <c r="Z29" t="n">
        <v>3288.4</v>
      </c>
      <c r="AA29" t="n">
        <v>2786.4</v>
      </c>
      <c r="AB29" t="n">
        <v>2738.1</v>
      </c>
      <c r="AC29" t="n">
        <v>2661.6</v>
      </c>
      <c r="AD29" t="n">
        <v>2597.9</v>
      </c>
      <c r="AE29" t="n">
        <v>2477.9</v>
      </c>
      <c r="AF29" t="n">
        <v>2390.9</v>
      </c>
    </row>
    <row r="30">
      <c r="A30" t="s">
        <v>124</v>
      </c>
      <c r="B30" t="s">
        <v>330</v>
      </c>
      <c r="C30" t="s">
        <v>217</v>
      </c>
      <c r="D30" t="s">
        <v>331</v>
      </c>
      <c r="E30" t="s">
        <v>218</v>
      </c>
      <c r="F30" t="n">
        <v>967.1</v>
      </c>
      <c r="G30" t="n">
        <v>2073.2</v>
      </c>
      <c r="H30" t="n">
        <v>2622.7</v>
      </c>
      <c r="I30" t="n">
        <v>4481</v>
      </c>
      <c r="J30" t="n">
        <v>5345.1</v>
      </c>
      <c r="K30" t="n">
        <v>6761.5</v>
      </c>
      <c r="L30" t="n">
        <v>8063.6</v>
      </c>
      <c r="M30" t="n">
        <v>10643.5</v>
      </c>
      <c r="N30" t="n">
        <v>13314.6</v>
      </c>
      <c r="O30" t="n">
        <v>14010</v>
      </c>
      <c r="P30" t="n">
        <v>14031.7</v>
      </c>
      <c r="Q30" t="n">
        <v>17232.8</v>
      </c>
      <c r="R30" t="n">
        <v>22043.1</v>
      </c>
      <c r="S30" t="n">
        <v>25446</v>
      </c>
      <c r="T30" t="n">
        <v>28347.8</v>
      </c>
      <c r="U30" t="n">
        <v>31231.8</v>
      </c>
      <c r="V30" t="n">
        <v>25888.3</v>
      </c>
      <c r="W30" t="n">
        <v>23603</v>
      </c>
      <c r="X30" t="n">
        <v>21891.8</v>
      </c>
      <c r="Y30" t="n">
        <v>20498.5</v>
      </c>
      <c r="Z30" t="n">
        <v>19180.7</v>
      </c>
      <c r="AA30" t="n">
        <v>17781.2</v>
      </c>
      <c r="AB30" t="n">
        <v>16459.4</v>
      </c>
      <c r="AC30" t="n">
        <v>15320.2</v>
      </c>
      <c r="AD30" t="n">
        <v>14851.3</v>
      </c>
      <c r="AE30" t="n">
        <v>13808.2</v>
      </c>
      <c r="AF30" t="n">
        <v>12683</v>
      </c>
    </row>
    <row r="31">
      <c r="A31" t="s">
        <v>124</v>
      </c>
      <c r="B31" t="s">
        <v>332</v>
      </c>
      <c r="C31" t="s">
        <v>217</v>
      </c>
      <c r="D31" t="s">
        <v>333</v>
      </c>
      <c r="E31" t="s">
        <v>218</v>
      </c>
      <c r="F31" t="n">
        <v>161</v>
      </c>
      <c r="G31" t="n">
        <v>175.7</v>
      </c>
      <c r="H31" t="n">
        <v>177</v>
      </c>
      <c r="I31" t="n">
        <v>165</v>
      </c>
      <c r="J31" t="n">
        <v>167</v>
      </c>
      <c r="K31" t="n">
        <v>172.8</v>
      </c>
      <c r="L31" t="n">
        <v>360.7</v>
      </c>
      <c r="M31" t="n">
        <v>601.1</v>
      </c>
      <c r="N31" t="n">
        <v>570.3</v>
      </c>
      <c r="O31" t="n">
        <v>542.6</v>
      </c>
      <c r="P31" t="n">
        <v>1033.3</v>
      </c>
      <c r="Q31" t="n">
        <v>959.9</v>
      </c>
      <c r="R31" t="n">
        <v>910.1</v>
      </c>
      <c r="S31" t="n">
        <v>870.5</v>
      </c>
      <c r="T31" t="n">
        <v>834.1</v>
      </c>
      <c r="U31" t="n">
        <v>786.9</v>
      </c>
      <c r="V31" t="n">
        <v>696.7</v>
      </c>
      <c r="W31" t="n">
        <v>643.6</v>
      </c>
      <c r="X31" t="n">
        <v>586.3</v>
      </c>
      <c r="Y31" t="n">
        <v>541.8</v>
      </c>
      <c r="Z31" t="n">
        <v>517</v>
      </c>
      <c r="AA31" t="n">
        <v>491.9</v>
      </c>
      <c r="AB31" t="n">
        <v>474.9</v>
      </c>
      <c r="AC31" t="n">
        <v>466.4</v>
      </c>
      <c r="AD31" t="n">
        <v>432.5</v>
      </c>
      <c r="AE31" t="n">
        <v>401.2</v>
      </c>
      <c r="AF31" t="n">
        <v>367.4</v>
      </c>
    </row>
    <row r="32">
      <c r="A32" t="s">
        <v>124</v>
      </c>
      <c r="B32" t="s">
        <v>334</v>
      </c>
      <c r="C32" t="s">
        <v>217</v>
      </c>
      <c r="D32" t="s">
        <v>335</v>
      </c>
      <c r="E32" t="s">
        <v>218</v>
      </c>
      <c r="F32" t="n">
        <v>88.9</v>
      </c>
      <c r="G32" t="n">
        <v>86.4</v>
      </c>
      <c r="H32" t="n">
        <v>81.5</v>
      </c>
      <c r="I32" t="n">
        <v>68.7</v>
      </c>
      <c r="J32" t="n">
        <v>66.4</v>
      </c>
      <c r="K32" t="n">
        <v>64.4</v>
      </c>
      <c r="L32" t="n">
        <v>73.2</v>
      </c>
      <c r="M32" t="n">
        <v>65.9</v>
      </c>
      <c r="N32" t="n">
        <v>67.9</v>
      </c>
      <c r="O32" t="n">
        <v>87.8</v>
      </c>
      <c r="P32" t="n">
        <v>91.4</v>
      </c>
      <c r="Q32" t="n">
        <v>95.5</v>
      </c>
      <c r="R32" t="n">
        <v>112.4</v>
      </c>
      <c r="S32" t="n">
        <v>141.3</v>
      </c>
      <c r="T32" t="n">
        <v>221.9</v>
      </c>
      <c r="U32" t="n">
        <v>236.5</v>
      </c>
      <c r="V32" t="n">
        <v>229.4</v>
      </c>
      <c r="W32" t="n">
        <v>209.6</v>
      </c>
      <c r="X32" t="n">
        <v>209.8</v>
      </c>
      <c r="Y32" t="n">
        <v>227.8</v>
      </c>
      <c r="Z32" t="n">
        <v>272.6</v>
      </c>
      <c r="AA32" t="n">
        <v>430.1</v>
      </c>
      <c r="AB32" t="n">
        <v>583.5</v>
      </c>
      <c r="AC32" t="n">
        <v>657.1</v>
      </c>
      <c r="AD32" t="n">
        <v>595.8</v>
      </c>
      <c r="AE32" t="n">
        <v>535.5</v>
      </c>
      <c r="AF32" t="n">
        <v>480.9</v>
      </c>
    </row>
    <row r="33">
      <c r="A33" t="s">
        <v>124</v>
      </c>
      <c r="B33" t="s">
        <v>336</v>
      </c>
      <c r="C33" t="s">
        <v>217</v>
      </c>
      <c r="D33" t="s">
        <v>337</v>
      </c>
      <c r="E33" t="s">
        <v>218</v>
      </c>
      <c r="F33" t="n">
        <v>0.9</v>
      </c>
      <c r="G33" t="n">
        <v>0.9</v>
      </c>
      <c r="H33" t="n">
        <v>1</v>
      </c>
      <c r="I33" t="n">
        <v>0.9</v>
      </c>
      <c r="J33" t="n">
        <v>0.9</v>
      </c>
      <c r="K33" t="n">
        <v>1</v>
      </c>
      <c r="L33" t="n">
        <v>3.9</v>
      </c>
      <c r="M33" t="n">
        <v>4.8</v>
      </c>
      <c r="N33" t="n">
        <v>5.3</v>
      </c>
      <c r="O33" t="n">
        <v>6.4</v>
      </c>
      <c r="P33" t="n">
        <v>14.4</v>
      </c>
      <c r="Q33" t="n">
        <v>13.2</v>
      </c>
      <c r="R33" t="n">
        <v>23.2</v>
      </c>
      <c r="S33" t="n">
        <v>26.8</v>
      </c>
      <c r="T33" t="n">
        <v>29</v>
      </c>
      <c r="U33" t="n">
        <v>26.1</v>
      </c>
      <c r="V33" t="n">
        <v>20.9</v>
      </c>
      <c r="W33" t="n">
        <v>17.4</v>
      </c>
      <c r="X33" t="n">
        <v>14.2</v>
      </c>
      <c r="Y33" t="n">
        <v>11.9</v>
      </c>
      <c r="Z33" t="n">
        <v>11.3</v>
      </c>
      <c r="AA33" t="n">
        <v>10.6</v>
      </c>
      <c r="AB33" t="n">
        <v>10.2</v>
      </c>
      <c r="AC33" t="n">
        <v>9.2</v>
      </c>
      <c r="AD33" t="n">
        <v>8.5</v>
      </c>
      <c r="AE33" t="n">
        <v>7.5</v>
      </c>
      <c r="AF33" t="n">
        <v>6.7</v>
      </c>
    </row>
    <row r="34">
      <c r="A34" t="s">
        <v>124</v>
      </c>
      <c r="B34" t="s">
        <v>338</v>
      </c>
      <c r="C34" t="s">
        <v>217</v>
      </c>
      <c r="D34" t="s">
        <v>339</v>
      </c>
      <c r="E34" t="s">
        <v>218</v>
      </c>
      <c r="F34" t="n">
        <v>52.1</v>
      </c>
      <c r="G34" t="n">
        <v>59.2</v>
      </c>
      <c r="H34" t="n">
        <v>75.3</v>
      </c>
      <c r="I34" t="n">
        <v>73.7</v>
      </c>
      <c r="J34" t="n">
        <v>85.5</v>
      </c>
      <c r="K34" t="n">
        <v>95.9</v>
      </c>
      <c r="L34" t="n">
        <v>141.1</v>
      </c>
      <c r="M34" t="n">
        <v>131.4</v>
      </c>
      <c r="N34" t="n">
        <v>118.6</v>
      </c>
      <c r="O34" t="n">
        <v>123.8</v>
      </c>
      <c r="P34" t="n">
        <v>117.3</v>
      </c>
      <c r="Q34" t="n">
        <v>112</v>
      </c>
      <c r="R34" t="n">
        <v>119.8</v>
      </c>
      <c r="S34" t="n">
        <v>141.5</v>
      </c>
      <c r="T34" t="n">
        <v>174.7</v>
      </c>
      <c r="U34" t="n">
        <v>175.5</v>
      </c>
      <c r="V34" t="n">
        <v>182.7</v>
      </c>
      <c r="W34" t="n">
        <v>172</v>
      </c>
      <c r="X34" t="n">
        <v>161.5</v>
      </c>
      <c r="Y34" t="n">
        <v>210.4</v>
      </c>
      <c r="Z34" t="n">
        <v>185.5</v>
      </c>
      <c r="AA34" t="n">
        <v>165.2</v>
      </c>
      <c r="AB34" t="n">
        <v>151.3</v>
      </c>
      <c r="AC34" t="n">
        <v>128.7</v>
      </c>
      <c r="AD34" t="n">
        <v>108.8</v>
      </c>
      <c r="AE34" t="n">
        <v>93.7</v>
      </c>
      <c r="AF34" t="n">
        <v>82.2</v>
      </c>
    </row>
    <row r="35">
      <c r="A35" t="s">
        <v>124</v>
      </c>
      <c r="B35" t="s">
        <v>340</v>
      </c>
      <c r="C35" t="s">
        <v>217</v>
      </c>
      <c r="D35" t="s">
        <v>341</v>
      </c>
      <c r="E35" t="s">
        <v>218</v>
      </c>
      <c r="F35" t="n">
        <v>41.4</v>
      </c>
      <c r="G35" t="n">
        <v>48.2</v>
      </c>
      <c r="H35" t="n">
        <v>61.8</v>
      </c>
      <c r="I35" t="n">
        <v>61.1</v>
      </c>
      <c r="J35" t="n">
        <v>71.1</v>
      </c>
      <c r="K35" t="n">
        <v>80.3</v>
      </c>
      <c r="L35" t="n">
        <v>128.9</v>
      </c>
      <c r="M35" t="n">
        <v>204</v>
      </c>
      <c r="N35" t="n">
        <v>230.5</v>
      </c>
      <c r="O35" t="n">
        <v>245.2</v>
      </c>
      <c r="P35" t="n">
        <v>213</v>
      </c>
      <c r="Q35" t="n">
        <v>176.1</v>
      </c>
      <c r="R35" t="n">
        <v>159.7</v>
      </c>
      <c r="S35" t="n">
        <v>152.2</v>
      </c>
      <c r="T35" t="n">
        <v>144.3</v>
      </c>
      <c r="U35" t="n">
        <v>125.3</v>
      </c>
      <c r="V35" t="n">
        <v>102.6</v>
      </c>
      <c r="W35" t="n">
        <v>84.5</v>
      </c>
      <c r="X35" t="n">
        <v>68.2</v>
      </c>
      <c r="Y35" t="n">
        <v>62.9</v>
      </c>
      <c r="Z35" t="n">
        <v>58.1</v>
      </c>
      <c r="AA35" t="n">
        <v>53.8</v>
      </c>
      <c r="AB35" t="n">
        <v>51</v>
      </c>
      <c r="AC35" t="n">
        <v>45.2</v>
      </c>
      <c r="AD35" t="n">
        <v>39.6</v>
      </c>
      <c r="AE35" t="n">
        <v>38.3</v>
      </c>
      <c r="AF35" t="n">
        <v>37.9</v>
      </c>
    </row>
    <row r="36">
      <c r="A36" t="s">
        <v>124</v>
      </c>
      <c r="B36" t="s">
        <v>342</v>
      </c>
      <c r="C36" t="s">
        <v>217</v>
      </c>
      <c r="D36" t="s">
        <v>343</v>
      </c>
      <c r="E36" t="s">
        <v>218</v>
      </c>
      <c r="F36" t="n">
        <v>29.2</v>
      </c>
      <c r="G36" t="n">
        <v>34.1</v>
      </c>
      <c r="H36" t="n">
        <v>43.7</v>
      </c>
      <c r="I36" t="n">
        <v>43.3</v>
      </c>
      <c r="J36" t="n">
        <v>50.4</v>
      </c>
      <c r="K36" t="n">
        <v>56.9</v>
      </c>
      <c r="L36" t="n">
        <v>68.9</v>
      </c>
      <c r="M36" t="n">
        <v>96.6</v>
      </c>
      <c r="N36" t="n">
        <v>121.4</v>
      </c>
      <c r="O36" t="n">
        <v>126.2</v>
      </c>
      <c r="P36" t="n">
        <v>104.6</v>
      </c>
      <c r="Q36" t="n">
        <v>89.1</v>
      </c>
      <c r="R36" t="n">
        <v>84.8</v>
      </c>
      <c r="S36" t="n">
        <v>85.9</v>
      </c>
      <c r="T36" t="n">
        <v>84.9</v>
      </c>
      <c r="U36" t="n">
        <v>70.9</v>
      </c>
      <c r="V36" t="n">
        <v>57.2</v>
      </c>
      <c r="W36" t="n">
        <v>46.3</v>
      </c>
      <c r="X36" t="n">
        <v>37</v>
      </c>
      <c r="Y36" t="n">
        <v>32.6</v>
      </c>
      <c r="Z36" t="n">
        <v>27.2</v>
      </c>
      <c r="AA36" t="n">
        <v>22.6</v>
      </c>
      <c r="AB36" t="n">
        <v>19</v>
      </c>
      <c r="AC36" t="n">
        <v>16.1</v>
      </c>
      <c r="AD36" t="n">
        <v>14.3</v>
      </c>
      <c r="AE36" t="n">
        <v>14.7</v>
      </c>
      <c r="AF36" t="n">
        <v>15</v>
      </c>
    </row>
    <row r="37">
      <c r="A37" t="s">
        <v>124</v>
      </c>
      <c r="B37" t="s">
        <v>344</v>
      </c>
      <c r="C37" t="s">
        <v>217</v>
      </c>
      <c r="D37" t="s">
        <v>345</v>
      </c>
      <c r="E37" t="s">
        <v>218</v>
      </c>
      <c r="F37" t="n">
        <v>8.6</v>
      </c>
      <c r="G37" t="n">
        <v>8.7</v>
      </c>
      <c r="H37" t="n">
        <v>9.3</v>
      </c>
      <c r="I37" t="n">
        <v>8.4</v>
      </c>
      <c r="J37" t="n">
        <v>9</v>
      </c>
      <c r="K37" t="n">
        <v>9.6</v>
      </c>
      <c r="L37" t="n">
        <v>38.3</v>
      </c>
      <c r="M37" t="n">
        <v>47.1</v>
      </c>
      <c r="N37" t="n">
        <v>52.1</v>
      </c>
      <c r="O37" t="n">
        <v>62.6</v>
      </c>
      <c r="P37" t="n">
        <v>63.7</v>
      </c>
      <c r="Q37" t="n">
        <v>51</v>
      </c>
      <c r="R37" t="n">
        <v>43.5</v>
      </c>
      <c r="S37" t="n">
        <v>38.7</v>
      </c>
      <c r="T37" t="n">
        <v>34.1</v>
      </c>
      <c r="U37" t="n">
        <v>30.7</v>
      </c>
      <c r="V37" t="n">
        <v>24.8</v>
      </c>
      <c r="W37" t="n">
        <v>20.7</v>
      </c>
      <c r="X37" t="n">
        <v>16.9</v>
      </c>
      <c r="Y37" t="n">
        <v>14.8</v>
      </c>
      <c r="Z37" t="n">
        <v>15.8</v>
      </c>
      <c r="AA37" t="n">
        <v>14.8</v>
      </c>
      <c r="AB37" t="n">
        <v>14.2</v>
      </c>
      <c r="AC37" t="n">
        <v>13.2</v>
      </c>
      <c r="AD37" t="n">
        <v>11.3</v>
      </c>
      <c r="AE37" t="n">
        <v>9.8</v>
      </c>
      <c r="AF37" t="n">
        <v>8.8</v>
      </c>
    </row>
    <row r="38">
      <c r="A38" t="s">
        <v>124</v>
      </c>
      <c r="B38" t="s">
        <v>346</v>
      </c>
      <c r="C38" t="s">
        <v>217</v>
      </c>
      <c r="D38" t="s">
        <v>347</v>
      </c>
      <c r="E38" t="s">
        <v>218</v>
      </c>
      <c r="F38" t="n">
        <v>3.6</v>
      </c>
      <c r="G38" t="n">
        <v>5.4</v>
      </c>
      <c r="H38" t="n">
        <v>8.8</v>
      </c>
      <c r="I38" t="n">
        <v>9.4</v>
      </c>
      <c r="J38" t="n">
        <v>11.7</v>
      </c>
      <c r="K38" t="n">
        <v>13.8</v>
      </c>
      <c r="L38" t="n">
        <v>21.7</v>
      </c>
      <c r="M38" t="n">
        <v>60.3</v>
      </c>
      <c r="N38" t="n">
        <v>57</v>
      </c>
      <c r="O38" t="n">
        <v>56.4</v>
      </c>
      <c r="P38" t="n">
        <v>44.7</v>
      </c>
      <c r="Q38" t="n">
        <v>36</v>
      </c>
      <c r="R38" t="n">
        <v>31.4</v>
      </c>
      <c r="S38" t="n">
        <v>27.6</v>
      </c>
      <c r="T38" t="n">
        <v>25.3</v>
      </c>
      <c r="U38" t="n">
        <v>23.7</v>
      </c>
      <c r="V38" t="n">
        <v>20.6</v>
      </c>
      <c r="W38" t="n">
        <v>17.5</v>
      </c>
      <c r="X38" t="n">
        <v>14.3</v>
      </c>
      <c r="Y38" t="n">
        <v>15.5</v>
      </c>
      <c r="Z38" t="n">
        <v>15.1</v>
      </c>
      <c r="AA38" t="n">
        <v>16.4</v>
      </c>
      <c r="AB38" t="n">
        <v>17.8</v>
      </c>
      <c r="AC38" t="n">
        <v>15.9</v>
      </c>
      <c r="AD38" t="n">
        <v>14</v>
      </c>
      <c r="AE38" t="n">
        <v>13.8</v>
      </c>
      <c r="AF38" t="n">
        <v>14.1</v>
      </c>
    </row>
    <row r="39">
      <c r="A39" t="s">
        <v>124</v>
      </c>
      <c r="B39" t="s">
        <v>348</v>
      </c>
      <c r="C39" t="s">
        <v>217</v>
      </c>
      <c r="D39" t="s">
        <v>349</v>
      </c>
      <c r="E39" t="s">
        <v>218</v>
      </c>
      <c r="F39" t="n">
        <v>15</v>
      </c>
      <c r="G39" t="n">
        <v>15.1</v>
      </c>
      <c r="H39" t="n">
        <v>16.1</v>
      </c>
      <c r="I39" t="n">
        <v>14.7</v>
      </c>
      <c r="J39" t="n">
        <v>15.7</v>
      </c>
      <c r="K39" t="n">
        <v>16.7</v>
      </c>
      <c r="L39" t="n">
        <v>20.1</v>
      </c>
      <c r="M39" t="n">
        <v>26.3</v>
      </c>
      <c r="N39" t="n">
        <v>25.4</v>
      </c>
      <c r="O39" t="n">
        <v>23.3</v>
      </c>
      <c r="P39" t="n">
        <v>19.6</v>
      </c>
      <c r="Q39" t="n">
        <v>16.2</v>
      </c>
      <c r="R39" t="n">
        <v>13.9</v>
      </c>
      <c r="S39" t="n">
        <v>11.6</v>
      </c>
      <c r="T39" t="n">
        <v>10.1</v>
      </c>
      <c r="U39" t="n">
        <v>8.6</v>
      </c>
      <c r="V39" t="n">
        <v>10.4</v>
      </c>
      <c r="W39" t="n">
        <v>9.3</v>
      </c>
      <c r="X39" t="n">
        <v>9.4</v>
      </c>
      <c r="Y39" t="n">
        <v>9.6</v>
      </c>
      <c r="Z39" t="n">
        <v>9.3</v>
      </c>
      <c r="AA39" t="n">
        <v>8.5</v>
      </c>
      <c r="AB39" t="n">
        <v>7.9</v>
      </c>
      <c r="AC39" t="n">
        <v>7.5</v>
      </c>
      <c r="AD39" t="n">
        <v>6.6</v>
      </c>
      <c r="AE39" t="n">
        <v>6.6</v>
      </c>
      <c r="AF39" t="n">
        <v>6.8</v>
      </c>
    </row>
    <row r="40">
      <c r="A40" t="s">
        <v>124</v>
      </c>
      <c r="B40" t="s">
        <v>350</v>
      </c>
      <c r="C40" t="s">
        <v>217</v>
      </c>
      <c r="D40" t="s">
        <v>351</v>
      </c>
      <c r="E40" t="s">
        <v>218</v>
      </c>
      <c r="F40" t="n">
        <v>3.2</v>
      </c>
      <c r="G40" t="n">
        <v>3.4</v>
      </c>
      <c r="H40" t="n">
        <v>3.8</v>
      </c>
      <c r="I40" t="n">
        <v>3.5</v>
      </c>
      <c r="J40" t="n">
        <v>3.8</v>
      </c>
      <c r="K40" t="n">
        <v>4.2</v>
      </c>
      <c r="L40" t="n">
        <v>50.8</v>
      </c>
      <c r="M40" t="n">
        <v>59.4</v>
      </c>
      <c r="N40" t="n">
        <v>63.8</v>
      </c>
      <c r="O40" t="n">
        <v>71.3</v>
      </c>
      <c r="P40" t="n">
        <v>55.2</v>
      </c>
      <c r="Q40" t="n">
        <v>42.3</v>
      </c>
      <c r="R40" t="n">
        <v>36.1</v>
      </c>
      <c r="S40" t="n">
        <v>29.8</v>
      </c>
      <c r="T40" t="n">
        <v>24.4</v>
      </c>
      <c r="U40" t="n">
        <v>20.6</v>
      </c>
      <c r="V40" t="n">
        <v>17</v>
      </c>
      <c r="W40" t="n">
        <v>13.7</v>
      </c>
      <c r="X40" t="n">
        <v>10.9</v>
      </c>
      <c r="Y40" t="n">
        <v>10.5</v>
      </c>
      <c r="Z40" t="n">
        <v>9.4</v>
      </c>
      <c r="AA40" t="n">
        <v>7.8</v>
      </c>
      <c r="AB40" t="n">
        <v>6.7</v>
      </c>
      <c r="AC40" t="n">
        <v>5.3</v>
      </c>
      <c r="AD40" t="n">
        <v>3.6</v>
      </c>
      <c r="AE40" t="n">
        <v>0</v>
      </c>
      <c r="AF40" t="n">
        <v>0</v>
      </c>
    </row>
    <row r="41">
      <c r="A41" t="s">
        <v>124</v>
      </c>
      <c r="B41" t="s">
        <v>352</v>
      </c>
      <c r="C41" t="s">
        <v>217</v>
      </c>
      <c r="D41" t="s">
        <v>353</v>
      </c>
      <c r="E41" t="s">
        <v>218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124</v>
      </c>
      <c r="B42" t="s">
        <v>354</v>
      </c>
      <c r="C42" t="s">
        <v>217</v>
      </c>
      <c r="D42" t="s">
        <v>355</v>
      </c>
      <c r="E42" t="s">
        <v>218</v>
      </c>
      <c r="F42" t="n">
        <v>34.9</v>
      </c>
      <c r="G42" t="n">
        <v>60.6</v>
      </c>
      <c r="H42" t="n">
        <v>108.9</v>
      </c>
      <c r="I42" t="n">
        <v>119.6</v>
      </c>
      <c r="J42" t="n">
        <v>153.6</v>
      </c>
      <c r="K42" t="n">
        <v>182</v>
      </c>
      <c r="L42" t="n">
        <v>275</v>
      </c>
      <c r="M42" t="n">
        <v>311.8</v>
      </c>
      <c r="N42" t="n">
        <v>354.2</v>
      </c>
      <c r="O42" t="n">
        <v>386.8</v>
      </c>
      <c r="P42" t="n">
        <v>347.1</v>
      </c>
      <c r="Q42" t="n">
        <v>315.2</v>
      </c>
      <c r="R42" t="n">
        <v>303.5</v>
      </c>
      <c r="S42" t="n">
        <v>271.8</v>
      </c>
      <c r="T42" t="n">
        <v>261.9</v>
      </c>
      <c r="U42" t="n">
        <v>230.4</v>
      </c>
      <c r="V42" t="n">
        <v>197.9</v>
      </c>
      <c r="W42" t="n">
        <v>170.9</v>
      </c>
      <c r="X42" t="n">
        <v>141.4</v>
      </c>
      <c r="Y42" t="n">
        <v>126.1</v>
      </c>
      <c r="Z42" t="n">
        <v>110.9</v>
      </c>
      <c r="AA42" t="n">
        <v>96.6</v>
      </c>
      <c r="AB42" t="n">
        <v>86.2</v>
      </c>
      <c r="AC42" t="n">
        <v>74.9</v>
      </c>
      <c r="AD42" t="n">
        <v>90.8</v>
      </c>
      <c r="AE42" t="n">
        <v>101.3</v>
      </c>
      <c r="AF42" t="n">
        <v>117.9</v>
      </c>
    </row>
    <row r="43">
      <c r="A43" t="s">
        <v>124</v>
      </c>
      <c r="B43" t="s">
        <v>356</v>
      </c>
      <c r="C43" t="s">
        <v>217</v>
      </c>
      <c r="D43" t="s">
        <v>357</v>
      </c>
      <c r="E43" t="s">
        <v>218</v>
      </c>
      <c r="F43" t="n">
        <v>256.8</v>
      </c>
      <c r="G43" t="n">
        <v>340.8</v>
      </c>
      <c r="H43" t="n">
        <v>433.2</v>
      </c>
      <c r="I43" t="n">
        <v>492.9</v>
      </c>
      <c r="J43" t="n">
        <v>567.9</v>
      </c>
      <c r="K43" t="n">
        <v>656.3</v>
      </c>
      <c r="L43" t="n">
        <v>855.7</v>
      </c>
      <c r="M43" t="n">
        <v>876.2</v>
      </c>
      <c r="N43" t="n">
        <v>973.4</v>
      </c>
      <c r="O43" t="n">
        <v>1147.8</v>
      </c>
      <c r="P43" t="n">
        <v>1548</v>
      </c>
      <c r="Q43" t="n">
        <v>1896.5</v>
      </c>
      <c r="R43" t="n">
        <v>2607.1</v>
      </c>
      <c r="S43" t="n">
        <v>3016.1</v>
      </c>
      <c r="T43" t="n">
        <v>3039.4</v>
      </c>
      <c r="U43" t="n">
        <v>2672.3</v>
      </c>
      <c r="V43" t="n">
        <v>2585.8</v>
      </c>
      <c r="W43" t="n">
        <v>2129.8</v>
      </c>
      <c r="X43" t="n">
        <v>1704.9</v>
      </c>
      <c r="Y43" t="n">
        <v>1529.8</v>
      </c>
      <c r="Z43" t="n">
        <v>1245.3</v>
      </c>
      <c r="AA43" t="n">
        <v>1021.1</v>
      </c>
      <c r="AB43" t="n">
        <v>817</v>
      </c>
      <c r="AC43" t="n">
        <v>676.9</v>
      </c>
      <c r="AD43" t="n">
        <v>627.3</v>
      </c>
      <c r="AE43" t="n">
        <v>566</v>
      </c>
      <c r="AF43" t="n">
        <v>523.9</v>
      </c>
    </row>
    <row r="44">
      <c r="A44" t="s">
        <v>124</v>
      </c>
      <c r="B44" t="s">
        <v>358</v>
      </c>
      <c r="C44" t="s">
        <v>217</v>
      </c>
      <c r="D44" t="s">
        <v>359</v>
      </c>
      <c r="E44" t="s">
        <v>218</v>
      </c>
      <c r="F44" t="n">
        <v>4598.3</v>
      </c>
      <c r="G44" t="n">
        <v>6231</v>
      </c>
      <c r="H44" t="n">
        <v>7665.7</v>
      </c>
      <c r="I44" t="n">
        <v>9518.7</v>
      </c>
      <c r="J44" t="n">
        <v>11075.5</v>
      </c>
      <c r="K44" t="n">
        <v>13176.5</v>
      </c>
      <c r="L44" t="n">
        <v>17718.1</v>
      </c>
      <c r="M44" t="n">
        <v>20631.8</v>
      </c>
      <c r="N44" t="n">
        <v>23799.1</v>
      </c>
      <c r="O44" t="n">
        <v>25494.5</v>
      </c>
      <c r="P44" t="n">
        <v>26953.5</v>
      </c>
      <c r="Q44" t="n">
        <v>31409.8</v>
      </c>
      <c r="R44" t="n">
        <v>37709.8</v>
      </c>
      <c r="S44" t="n">
        <v>42029</v>
      </c>
      <c r="T44" t="n">
        <v>45217</v>
      </c>
      <c r="U44" t="n">
        <v>46993.1</v>
      </c>
      <c r="V44" t="n">
        <v>39965.4</v>
      </c>
      <c r="W44" t="n">
        <v>35883.1</v>
      </c>
      <c r="X44" t="n">
        <v>32693.4</v>
      </c>
      <c r="Y44" t="n">
        <v>30448.6</v>
      </c>
      <c r="Z44" t="n">
        <v>28360.6</v>
      </c>
      <c r="AA44" t="n">
        <v>26270.8</v>
      </c>
      <c r="AB44" t="n">
        <v>24832.8</v>
      </c>
      <c r="AC44" t="n">
        <v>23410.2</v>
      </c>
      <c r="AD44" t="n">
        <v>22651.7</v>
      </c>
      <c r="AE44" t="n">
        <v>21232.3</v>
      </c>
      <c r="AF44" t="n">
        <v>19878.8</v>
      </c>
    </row>
    <row r="45">
      <c r="A45" t="s">
        <v>124</v>
      </c>
      <c r="B45" t="s">
        <v>360</v>
      </c>
      <c r="C45" t="s">
        <v>217</v>
      </c>
      <c r="D45" t="s">
        <v>361</v>
      </c>
      <c r="E45" t="s">
        <v>218</v>
      </c>
      <c r="F45" t="n">
        <v>4034</v>
      </c>
      <c r="G45" t="n">
        <v>5543.1</v>
      </c>
      <c r="H45" t="n">
        <v>6795.4</v>
      </c>
      <c r="I45" t="n">
        <v>8610.3</v>
      </c>
      <c r="J45" t="n">
        <v>10029.3</v>
      </c>
      <c r="K45" t="n">
        <v>11989.6</v>
      </c>
      <c r="L45" t="n">
        <v>16171.4</v>
      </c>
      <c r="M45" t="n">
        <v>18848.5</v>
      </c>
      <c r="N45" t="n">
        <v>21842.5</v>
      </c>
      <c r="O45" t="n">
        <v>23342.9</v>
      </c>
      <c r="P45" t="n">
        <v>24742.3</v>
      </c>
      <c r="Q45" t="n">
        <v>29168.8</v>
      </c>
      <c r="R45" t="n">
        <v>35125</v>
      </c>
      <c r="S45" t="n">
        <v>39231</v>
      </c>
      <c r="T45" t="n">
        <v>42377.5</v>
      </c>
      <c r="U45" t="n">
        <v>44305.1</v>
      </c>
      <c r="V45" t="n">
        <v>37489</v>
      </c>
      <c r="W45" t="n">
        <v>33603.4</v>
      </c>
      <c r="X45" t="n">
        <v>30565.2</v>
      </c>
      <c r="Y45" t="n">
        <v>28444.3</v>
      </c>
      <c r="Z45" t="n">
        <v>26424.9</v>
      </c>
      <c r="AA45" t="n">
        <v>24343.8</v>
      </c>
      <c r="AB45" t="n">
        <v>22876.5</v>
      </c>
      <c r="AC45" t="n">
        <v>21437.2</v>
      </c>
      <c r="AD45" t="n">
        <v>20634.4</v>
      </c>
      <c r="AE45" t="n">
        <v>19237.3</v>
      </c>
      <c r="AF45" t="n">
        <v>17867.8</v>
      </c>
    </row>
    <row r="46">
      <c r="A46" t="s">
        <v>124</v>
      </c>
      <c r="B46" t="s">
        <v>362</v>
      </c>
      <c r="C46" t="s">
        <v>217</v>
      </c>
      <c r="D46" t="s">
        <v>363</v>
      </c>
      <c r="E46" t="s">
        <v>218</v>
      </c>
      <c r="F46" t="n">
        <v>221.9</v>
      </c>
      <c r="G46" t="n">
        <v>280.2</v>
      </c>
      <c r="H46" t="n">
        <v>324.3</v>
      </c>
      <c r="I46" t="n">
        <v>373.3</v>
      </c>
      <c r="J46" t="n">
        <v>414.3</v>
      </c>
      <c r="K46" t="n">
        <v>474.3</v>
      </c>
      <c r="L46" t="n">
        <v>580.7</v>
      </c>
      <c r="M46" t="n">
        <v>564.4</v>
      </c>
      <c r="N46" t="n">
        <v>619.2</v>
      </c>
      <c r="O46" t="n">
        <v>761</v>
      </c>
      <c r="P46" t="n">
        <v>1200.9</v>
      </c>
      <c r="Q46" t="n">
        <v>1581.3</v>
      </c>
      <c r="R46" t="n">
        <v>2303.6</v>
      </c>
      <c r="S46" t="n">
        <v>2744.3</v>
      </c>
      <c r="T46" t="n">
        <v>2777.5</v>
      </c>
      <c r="U46" t="n">
        <v>2441.9</v>
      </c>
      <c r="V46" t="n">
        <v>2387.9</v>
      </c>
      <c r="W46" t="n">
        <v>1958.9</v>
      </c>
      <c r="X46" t="n">
        <v>1563.5</v>
      </c>
      <c r="Y46" t="n">
        <v>1403.7</v>
      </c>
      <c r="Z46" t="n">
        <v>1134.4</v>
      </c>
      <c r="AA46" t="n">
        <v>924.5</v>
      </c>
      <c r="AB46" t="n">
        <v>730.8</v>
      </c>
      <c r="AC46" t="n">
        <v>602</v>
      </c>
      <c r="AD46" t="n">
        <v>536.5</v>
      </c>
      <c r="AE46" t="n">
        <v>464.7</v>
      </c>
      <c r="AF46" t="n">
        <v>406</v>
      </c>
    </row>
    <row r="47">
      <c r="A47" t="s">
        <v>124</v>
      </c>
      <c r="B47" t="s">
        <v>364</v>
      </c>
      <c r="C47" t="s">
        <v>217</v>
      </c>
      <c r="D47" t="s">
        <v>365</v>
      </c>
      <c r="E47" t="s">
        <v>218</v>
      </c>
      <c r="F47" t="n">
        <v>9553.2</v>
      </c>
      <c r="G47" t="n">
        <v>11807.7</v>
      </c>
      <c r="H47" t="n">
        <v>11457.3</v>
      </c>
      <c r="I47" t="n">
        <v>12260</v>
      </c>
      <c r="J47" t="n">
        <v>11808.4</v>
      </c>
      <c r="K47" t="n">
        <v>11568</v>
      </c>
      <c r="L47" t="n">
        <v>11983</v>
      </c>
      <c r="M47" t="n">
        <v>12065</v>
      </c>
      <c r="N47" t="n">
        <v>13137.8</v>
      </c>
      <c r="O47" t="n">
        <v>13336.8</v>
      </c>
      <c r="P47" t="n">
        <v>12840.5</v>
      </c>
      <c r="Q47" t="n">
        <v>12887.6</v>
      </c>
      <c r="R47" t="n">
        <v>13411.7</v>
      </c>
      <c r="S47" t="n">
        <v>14294.7</v>
      </c>
      <c r="T47" t="n">
        <v>16112.3</v>
      </c>
      <c r="U47" t="n">
        <v>16619.7</v>
      </c>
      <c r="V47" t="n">
        <v>628.8</v>
      </c>
      <c r="W47" t="n">
        <v>567</v>
      </c>
      <c r="X47" t="n">
        <v>533.5</v>
      </c>
      <c r="Y47" t="n">
        <v>846.4</v>
      </c>
      <c r="Z47" t="n">
        <v>989</v>
      </c>
      <c r="AA47" t="n">
        <v>1097.7</v>
      </c>
      <c r="AB47" t="n">
        <v>1126.5</v>
      </c>
      <c r="AC47" t="n">
        <v>1027.3</v>
      </c>
      <c r="AD47" t="n">
        <v>938.6</v>
      </c>
      <c r="AE47" t="n">
        <v>857.7</v>
      </c>
      <c r="AF47" t="n">
        <v>778.8</v>
      </c>
    </row>
    <row r="48">
      <c r="A48" t="s">
        <v>124</v>
      </c>
      <c r="B48" t="s">
        <v>366</v>
      </c>
      <c r="C48" t="s">
        <v>217</v>
      </c>
      <c r="D48" t="s">
        <v>367</v>
      </c>
      <c r="E48" t="s">
        <v>218</v>
      </c>
      <c r="F48" t="n">
        <v>9626.7</v>
      </c>
      <c r="G48" t="n">
        <v>11907.8</v>
      </c>
      <c r="H48" t="n">
        <v>11601.8</v>
      </c>
      <c r="I48" t="n">
        <v>12413.5</v>
      </c>
      <c r="J48" t="n">
        <v>11995.8</v>
      </c>
      <c r="K48" t="n">
        <v>11783.9</v>
      </c>
      <c r="L48" t="n">
        <v>12236.8</v>
      </c>
      <c r="M48" t="n">
        <v>12317.3</v>
      </c>
      <c r="N48" t="n">
        <v>13395.5</v>
      </c>
      <c r="O48" t="n">
        <v>13622.8</v>
      </c>
      <c r="P48" t="n">
        <v>13315.3</v>
      </c>
      <c r="Q48" t="n">
        <v>13373.5</v>
      </c>
      <c r="R48" t="n">
        <v>13852.2</v>
      </c>
      <c r="S48" t="n">
        <v>14704.2</v>
      </c>
      <c r="T48" t="n">
        <v>16484.3</v>
      </c>
      <c r="U48" t="n">
        <v>16944.3</v>
      </c>
      <c r="V48" t="n">
        <v>886.1</v>
      </c>
      <c r="W48" t="n">
        <v>776.2</v>
      </c>
      <c r="X48" t="n">
        <v>704.5</v>
      </c>
      <c r="Y48" t="n">
        <v>988.1</v>
      </c>
      <c r="Z48" t="n">
        <v>1108.9</v>
      </c>
      <c r="AA48" t="n">
        <v>1201.6</v>
      </c>
      <c r="AB48" t="n">
        <v>1213.5</v>
      </c>
      <c r="AC48" t="n">
        <v>1101.8</v>
      </c>
      <c r="AD48" t="n">
        <v>1003.4</v>
      </c>
      <c r="AE48" t="n">
        <v>913.8</v>
      </c>
      <c r="AF48" t="n">
        <v>831.6</v>
      </c>
    </row>
    <row r="49">
      <c r="A49" t="s">
        <v>124</v>
      </c>
      <c r="B49" t="s">
        <v>368</v>
      </c>
      <c r="C49" t="s">
        <v>217</v>
      </c>
      <c r="D49" t="s">
        <v>369</v>
      </c>
      <c r="E49" t="s">
        <v>218</v>
      </c>
      <c r="F49" t="n">
        <v>54.7</v>
      </c>
      <c r="G49" t="n">
        <v>73</v>
      </c>
      <c r="H49" t="n">
        <v>102.3</v>
      </c>
      <c r="I49" t="n">
        <v>108.4</v>
      </c>
      <c r="J49" t="n">
        <v>132.4</v>
      </c>
      <c r="K49" t="n">
        <v>151.9</v>
      </c>
      <c r="L49" t="n">
        <v>181.7</v>
      </c>
      <c r="M49" t="n">
        <v>180.3</v>
      </c>
      <c r="N49" t="n">
        <v>169.9</v>
      </c>
      <c r="O49" t="n">
        <v>191.5</v>
      </c>
      <c r="P49" t="n">
        <v>345.5</v>
      </c>
      <c r="Q49" t="n">
        <v>362.3</v>
      </c>
      <c r="R49" t="n">
        <v>329.3</v>
      </c>
      <c r="S49" t="n">
        <v>305.7</v>
      </c>
      <c r="T49" t="n">
        <v>278.3</v>
      </c>
      <c r="U49" t="n">
        <v>243.1</v>
      </c>
      <c r="V49" t="n">
        <v>187</v>
      </c>
      <c r="W49" t="n">
        <v>150.5</v>
      </c>
      <c r="X49" t="n">
        <v>121.8</v>
      </c>
      <c r="Y49" t="n">
        <v>100.1</v>
      </c>
      <c r="Z49" t="n">
        <v>81.8</v>
      </c>
      <c r="AA49" t="n">
        <v>66.5</v>
      </c>
      <c r="AB49" t="n">
        <v>54.6</v>
      </c>
      <c r="AC49" t="n">
        <v>45.4</v>
      </c>
      <c r="AD49" t="n">
        <v>39.2</v>
      </c>
      <c r="AE49" t="n">
        <v>33.4</v>
      </c>
      <c r="AF49" t="n">
        <v>28.5</v>
      </c>
    </row>
    <row r="50">
      <c r="A50" t="s">
        <v>124</v>
      </c>
      <c r="B50" t="s">
        <v>370</v>
      </c>
      <c r="C50" t="s">
        <v>217</v>
      </c>
      <c r="D50" t="s">
        <v>371</v>
      </c>
      <c r="E50" t="s">
        <v>218</v>
      </c>
      <c r="F50" t="n">
        <v>18.8</v>
      </c>
      <c r="G50" t="n">
        <v>27</v>
      </c>
      <c r="H50" t="n">
        <v>42.3</v>
      </c>
      <c r="I50" t="n">
        <v>45.1</v>
      </c>
      <c r="J50" t="n">
        <v>55</v>
      </c>
      <c r="K50" t="n">
        <v>64</v>
      </c>
      <c r="L50" t="n">
        <v>72.1</v>
      </c>
      <c r="M50" t="n">
        <v>71.9</v>
      </c>
      <c r="N50" t="n">
        <v>87.7</v>
      </c>
      <c r="O50" t="n">
        <v>94.6</v>
      </c>
      <c r="P50" t="n">
        <v>129.4</v>
      </c>
      <c r="Q50" t="n">
        <v>123.5</v>
      </c>
      <c r="R50" t="n">
        <v>111.2</v>
      </c>
      <c r="S50" t="n">
        <v>103.8</v>
      </c>
      <c r="T50" t="n">
        <v>93.7</v>
      </c>
      <c r="U50" t="n">
        <v>81.5</v>
      </c>
      <c r="V50" t="n">
        <v>70.4</v>
      </c>
      <c r="W50" t="n">
        <v>58.7</v>
      </c>
      <c r="X50" t="n">
        <v>49.2</v>
      </c>
      <c r="Y50" t="n">
        <v>41.7</v>
      </c>
      <c r="Z50" t="n">
        <v>38.1</v>
      </c>
      <c r="AA50" t="n">
        <v>37.4</v>
      </c>
      <c r="AB50" t="n">
        <v>32.5</v>
      </c>
      <c r="AC50" t="n">
        <v>29</v>
      </c>
      <c r="AD50" t="n">
        <v>25.5</v>
      </c>
      <c r="AE50" t="n">
        <v>22.7</v>
      </c>
      <c r="AF50" t="n">
        <v>24.3</v>
      </c>
    </row>
    <row r="51">
      <c r="A51" t="s">
        <v>124</v>
      </c>
      <c r="B51" t="s">
        <v>372</v>
      </c>
      <c r="C51" t="s">
        <v>217</v>
      </c>
      <c r="D51" t="s">
        <v>373</v>
      </c>
      <c r="E51" t="s">
        <v>218</v>
      </c>
      <c r="F51" t="n">
        <v>17.2</v>
      </c>
      <c r="G51" t="n">
        <v>24.4</v>
      </c>
      <c r="H51" t="n">
        <v>38.3</v>
      </c>
      <c r="I51" t="n">
        <v>40.5</v>
      </c>
      <c r="J51" t="n">
        <v>50.1</v>
      </c>
      <c r="K51" t="n">
        <v>58.6</v>
      </c>
      <c r="L51" t="n">
        <v>66.2</v>
      </c>
      <c r="M51" t="n">
        <v>66.2</v>
      </c>
      <c r="N51" t="n">
        <v>80.9</v>
      </c>
      <c r="O51" t="n">
        <v>87.1</v>
      </c>
      <c r="P51" t="n">
        <v>111.6</v>
      </c>
      <c r="Q51" t="n">
        <v>106</v>
      </c>
      <c r="R51" t="n">
        <v>94.3</v>
      </c>
      <c r="S51" t="n">
        <v>86.8</v>
      </c>
      <c r="T51" t="n">
        <v>77.4</v>
      </c>
      <c r="U51" t="n">
        <v>67.6</v>
      </c>
      <c r="V51" t="n">
        <v>54.1</v>
      </c>
      <c r="W51" t="n">
        <v>45.1</v>
      </c>
      <c r="X51" t="n">
        <v>37.9</v>
      </c>
      <c r="Y51" t="n">
        <v>32.2</v>
      </c>
      <c r="Z51" t="n">
        <v>30.1</v>
      </c>
      <c r="AA51" t="n">
        <v>30.6</v>
      </c>
      <c r="AB51" t="n">
        <v>26.5</v>
      </c>
      <c r="AC51" t="n">
        <v>23.7</v>
      </c>
      <c r="AD51" t="n">
        <v>20.8</v>
      </c>
      <c r="AE51" t="n">
        <v>18.4</v>
      </c>
      <c r="AF51" t="n">
        <v>20.3</v>
      </c>
    </row>
    <row r="52">
      <c r="A52" t="s">
        <v>124</v>
      </c>
      <c r="B52" t="s">
        <v>374</v>
      </c>
      <c r="C52" t="s">
        <v>217</v>
      </c>
      <c r="D52" t="s">
        <v>375</v>
      </c>
      <c r="E52" t="s">
        <v>218</v>
      </c>
      <c r="F52" t="n">
        <v>1.6</v>
      </c>
      <c r="G52" t="n">
        <v>2.6</v>
      </c>
      <c r="H52" t="n">
        <v>4</v>
      </c>
      <c r="I52" t="n">
        <v>4.6</v>
      </c>
      <c r="J52" t="n">
        <v>4.9</v>
      </c>
      <c r="K52" t="n">
        <v>5.4</v>
      </c>
      <c r="L52" t="n">
        <v>5.9</v>
      </c>
      <c r="M52" t="n">
        <v>5.7</v>
      </c>
      <c r="N52" t="n">
        <v>6.8</v>
      </c>
      <c r="O52" t="n">
        <v>7.5</v>
      </c>
      <c r="P52" t="n">
        <v>17.8</v>
      </c>
      <c r="Q52" t="n">
        <v>17.5</v>
      </c>
      <c r="R52" t="n">
        <v>16.9</v>
      </c>
      <c r="S52" t="n">
        <v>17</v>
      </c>
      <c r="T52" t="n">
        <v>16.3</v>
      </c>
      <c r="U52" t="n">
        <v>13.9</v>
      </c>
      <c r="V52" t="n">
        <v>16.3</v>
      </c>
      <c r="W52" t="n">
        <v>13.6</v>
      </c>
      <c r="X52" t="n">
        <v>11.3</v>
      </c>
      <c r="Y52" t="n">
        <v>9.5</v>
      </c>
      <c r="Z52" t="n">
        <v>8</v>
      </c>
      <c r="AA52" t="n">
        <v>6.8</v>
      </c>
      <c r="AB52" t="n">
        <v>6</v>
      </c>
      <c r="AC52" t="n">
        <v>5.3</v>
      </c>
      <c r="AD52" t="n">
        <v>4.7</v>
      </c>
      <c r="AE52" t="n">
        <v>4.3</v>
      </c>
      <c r="AF52" t="n">
        <v>4</v>
      </c>
    </row>
    <row r="53">
      <c r="A53" t="s">
        <v>124</v>
      </c>
      <c r="B53" t="s">
        <v>376</v>
      </c>
      <c r="C53" t="s">
        <v>217</v>
      </c>
      <c r="D53" t="s">
        <v>377</v>
      </c>
      <c r="E53" t="s">
        <v>218</v>
      </c>
      <c r="F53" t="n">
        <v>54.2</v>
      </c>
      <c r="G53" t="n">
        <v>70.9</v>
      </c>
      <c r="H53" t="n">
        <v>94.9</v>
      </c>
      <c r="I53" t="n">
        <v>105.1</v>
      </c>
      <c r="J53" t="n">
        <v>121.8</v>
      </c>
      <c r="K53" t="n">
        <v>139.5</v>
      </c>
      <c r="L53" t="n">
        <v>159.4</v>
      </c>
      <c r="M53" t="n">
        <v>189.9</v>
      </c>
      <c r="N53" t="n">
        <v>249.6</v>
      </c>
      <c r="O53" t="n">
        <v>261.8</v>
      </c>
      <c r="P53" t="n">
        <v>272.8</v>
      </c>
      <c r="Q53" t="n">
        <v>276.3</v>
      </c>
      <c r="R53" t="n">
        <v>264.8</v>
      </c>
      <c r="S53" t="n">
        <v>261.6</v>
      </c>
      <c r="T53" t="n">
        <v>249.3</v>
      </c>
      <c r="U53" t="n">
        <v>217.3</v>
      </c>
      <c r="V53" t="n">
        <v>206.3</v>
      </c>
      <c r="W53" t="n">
        <v>186.2</v>
      </c>
      <c r="X53" t="n">
        <v>173.1</v>
      </c>
      <c r="Y53" t="n">
        <v>154.7</v>
      </c>
      <c r="Z53" t="n">
        <v>135.5</v>
      </c>
      <c r="AA53" t="n">
        <v>118.8</v>
      </c>
      <c r="AB53" t="n">
        <v>107.1</v>
      </c>
      <c r="AC53" t="n">
        <v>97.7</v>
      </c>
      <c r="AD53" t="n">
        <v>89.4</v>
      </c>
      <c r="AE53" t="n">
        <v>81.7</v>
      </c>
      <c r="AF53" t="n">
        <v>77.6</v>
      </c>
    </row>
    <row r="54">
      <c r="A54" t="s">
        <v>124</v>
      </c>
      <c r="B54" t="s">
        <v>378</v>
      </c>
      <c r="C54" t="s">
        <v>217</v>
      </c>
      <c r="D54" t="s">
        <v>379</v>
      </c>
      <c r="E54" t="s">
        <v>218</v>
      </c>
      <c r="F54" t="n">
        <v>111.9</v>
      </c>
      <c r="G54" t="n">
        <v>169.7</v>
      </c>
      <c r="H54" t="n">
        <v>269.6</v>
      </c>
      <c r="I54" t="n">
        <v>297.1</v>
      </c>
      <c r="J54" t="n">
        <v>365.9</v>
      </c>
      <c r="K54" t="n">
        <v>429.1</v>
      </c>
      <c r="L54" t="n">
        <v>445.7</v>
      </c>
      <c r="M54" t="n">
        <v>437.5</v>
      </c>
      <c r="N54" t="n">
        <v>462.1</v>
      </c>
      <c r="O54" t="n">
        <v>463.2</v>
      </c>
      <c r="P54" t="n">
        <v>436.9</v>
      </c>
      <c r="Q54" t="n">
        <v>408.7</v>
      </c>
      <c r="R54" t="n">
        <v>392.7</v>
      </c>
      <c r="S54" t="n">
        <v>383.4</v>
      </c>
      <c r="T54" t="n">
        <v>358.7</v>
      </c>
      <c r="U54" t="n">
        <v>321.7</v>
      </c>
      <c r="V54" t="n">
        <v>266.6</v>
      </c>
      <c r="W54" t="n">
        <v>236.3</v>
      </c>
      <c r="X54" t="n">
        <v>214.6</v>
      </c>
      <c r="Y54" t="n">
        <v>189.9</v>
      </c>
      <c r="Z54" t="n">
        <v>164.8</v>
      </c>
      <c r="AA54" t="n">
        <v>142.9</v>
      </c>
      <c r="AB54" t="n">
        <v>127.4</v>
      </c>
      <c r="AC54" t="n">
        <v>114.8</v>
      </c>
      <c r="AD54" t="n">
        <v>103.9</v>
      </c>
      <c r="AE54" t="n">
        <v>94.1</v>
      </c>
      <c r="AF54" t="n">
        <v>88.3</v>
      </c>
    </row>
    <row r="55">
      <c r="A55" t="s">
        <v>124</v>
      </c>
      <c r="B55" t="s">
        <v>380</v>
      </c>
      <c r="C55" t="s">
        <v>217</v>
      </c>
      <c r="D55" t="s">
        <v>381</v>
      </c>
      <c r="E55" t="s">
        <v>218</v>
      </c>
      <c r="F55" t="n">
        <v>57.7</v>
      </c>
      <c r="G55" t="n">
        <v>98.8</v>
      </c>
      <c r="H55" t="n">
        <v>174.7</v>
      </c>
      <c r="I55" t="n">
        <v>192</v>
      </c>
      <c r="J55" t="n">
        <v>244.1</v>
      </c>
      <c r="K55" t="n">
        <v>289.6</v>
      </c>
      <c r="L55" t="n">
        <v>286.3</v>
      </c>
      <c r="M55" t="n">
        <v>247.6</v>
      </c>
      <c r="N55" t="n">
        <v>212.5</v>
      </c>
      <c r="O55" t="n">
        <v>201.4</v>
      </c>
      <c r="P55" t="n">
        <v>164.1</v>
      </c>
      <c r="Q55" t="n">
        <v>132.4</v>
      </c>
      <c r="R55" t="n">
        <v>127.9</v>
      </c>
      <c r="S55" t="n">
        <v>121.8</v>
      </c>
      <c r="T55" t="n">
        <v>109.4</v>
      </c>
      <c r="U55" t="n">
        <v>104.4</v>
      </c>
      <c r="V55" t="n">
        <v>60.3</v>
      </c>
      <c r="W55" t="n">
        <v>50.1</v>
      </c>
      <c r="X55" t="n">
        <v>41.5</v>
      </c>
      <c r="Y55" t="n">
        <v>35.2</v>
      </c>
      <c r="Z55" t="n">
        <v>29.3</v>
      </c>
      <c r="AA55" t="n">
        <v>24.1</v>
      </c>
      <c r="AB55" t="n">
        <v>20.3</v>
      </c>
      <c r="AC55" t="n">
        <v>17.1</v>
      </c>
      <c r="AD55" t="n">
        <v>14.5</v>
      </c>
      <c r="AE55" t="n">
        <v>12.4</v>
      </c>
      <c r="AF55" t="n">
        <v>10.7</v>
      </c>
    </row>
    <row r="56">
      <c r="A56" t="s">
        <v>124</v>
      </c>
      <c r="B56" t="s">
        <v>382</v>
      </c>
      <c r="C56" t="s">
        <v>217</v>
      </c>
      <c r="D56" t="s">
        <v>383</v>
      </c>
      <c r="E56" t="s">
        <v>218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124</v>
      </c>
      <c r="B57" t="s">
        <v>384</v>
      </c>
      <c r="C57" t="s">
        <v>217</v>
      </c>
      <c r="D57" t="s">
        <v>385</v>
      </c>
      <c r="E57" t="s">
        <v>218</v>
      </c>
      <c r="F57" t="n">
        <v>14228.2</v>
      </c>
      <c r="G57" t="n">
        <v>18142.1</v>
      </c>
      <c r="H57" t="n">
        <v>19271.4</v>
      </c>
      <c r="I57" t="n">
        <v>21935.7</v>
      </c>
      <c r="J57" t="n">
        <v>23075.1</v>
      </c>
      <c r="K57" t="n">
        <v>24964.6</v>
      </c>
      <c r="L57" t="n">
        <v>30005.7</v>
      </c>
      <c r="M57" t="n">
        <v>33008.4</v>
      </c>
      <c r="N57" t="n">
        <v>37258.3</v>
      </c>
      <c r="O57" t="n">
        <v>39188.7</v>
      </c>
      <c r="P57" t="n">
        <v>40324.1</v>
      </c>
      <c r="Q57" t="n">
        <v>44825.5</v>
      </c>
      <c r="R57" t="n">
        <v>51598.1</v>
      </c>
      <c r="S57" t="n">
        <v>56763</v>
      </c>
      <c r="T57" t="n">
        <v>61725.7</v>
      </c>
      <c r="U57" t="n">
        <v>63958</v>
      </c>
      <c r="V57" t="n">
        <v>40868.6</v>
      </c>
      <c r="W57" t="n">
        <v>36673</v>
      </c>
      <c r="X57" t="n">
        <v>33408.8</v>
      </c>
      <c r="Y57" t="n">
        <v>31447.3</v>
      </c>
      <c r="Z57" t="n">
        <v>29478.9</v>
      </c>
      <c r="AA57" t="n">
        <v>27480.2</v>
      </c>
      <c r="AB57" t="n">
        <v>26053.1</v>
      </c>
      <c r="AC57" t="n">
        <v>24517.2</v>
      </c>
      <c r="AD57" t="n">
        <v>23658.6</v>
      </c>
      <c r="AE57" t="n">
        <v>22146.1</v>
      </c>
      <c r="AF57" t="n">
        <v>20710.4</v>
      </c>
    </row>
    <row r="58">
      <c r="A58" t="s">
        <v>124</v>
      </c>
      <c r="B58" t="s">
        <v>386</v>
      </c>
      <c r="C58" t="s">
        <v>217</v>
      </c>
      <c r="D58" t="s">
        <v>387</v>
      </c>
      <c r="E58" t="s">
        <v>218</v>
      </c>
      <c r="F58" t="n">
        <v>14228.2</v>
      </c>
      <c r="G58" t="n">
        <v>18142.1</v>
      </c>
      <c r="H58" t="n">
        <v>19271.4</v>
      </c>
      <c r="I58" t="n">
        <v>21935.7</v>
      </c>
      <c r="J58" t="n">
        <v>23075.1</v>
      </c>
      <c r="K58" t="n">
        <v>24964.6</v>
      </c>
      <c r="L58" t="n">
        <v>30005.7</v>
      </c>
      <c r="M58" t="n">
        <v>33008.4</v>
      </c>
      <c r="N58" t="n">
        <v>37258.3</v>
      </c>
      <c r="O58" t="n">
        <v>39188.7</v>
      </c>
      <c r="P58" t="n">
        <v>40324.1</v>
      </c>
      <c r="Q58" t="n">
        <v>44825.5</v>
      </c>
      <c r="R58" t="n">
        <v>51598.1</v>
      </c>
      <c r="S58" t="n">
        <v>56763</v>
      </c>
      <c r="T58" t="n">
        <v>61725.7</v>
      </c>
      <c r="U58" t="n">
        <v>63958</v>
      </c>
      <c r="V58" t="n">
        <v>40868.6</v>
      </c>
      <c r="W58" t="n">
        <v>36673</v>
      </c>
      <c r="X58" t="n">
        <v>33408.8</v>
      </c>
      <c r="Y58" t="n">
        <v>31447.3</v>
      </c>
      <c r="Z58" t="n">
        <v>29478.9</v>
      </c>
      <c r="AA58" t="n">
        <v>27480.2</v>
      </c>
      <c r="AB58" t="n">
        <v>26053.1</v>
      </c>
      <c r="AC58" t="n">
        <v>24517.2</v>
      </c>
      <c r="AD58" t="n">
        <v>23658.6</v>
      </c>
      <c r="AE58" t="n">
        <v>22146.1</v>
      </c>
      <c r="AF58" t="n">
        <v>20710.4</v>
      </c>
    </row>
    <row r="59">
      <c r="A59" t="s">
        <v>124</v>
      </c>
      <c r="B59" t="s">
        <v>388</v>
      </c>
      <c r="C59" t="s">
        <v>217</v>
      </c>
      <c r="D59" t="s">
        <v>389</v>
      </c>
      <c r="E59" t="s">
        <v>218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126</v>
      </c>
      <c r="B2" t="s">
        <v>197</v>
      </c>
      <c r="C2" t="s">
        <v>217</v>
      </c>
      <c r="D2" t="s">
        <v>199</v>
      </c>
      <c r="E2" t="s">
        <v>218</v>
      </c>
      <c r="F2" t="n">
        <v>1433.9</v>
      </c>
      <c r="G2" t="n">
        <v>1484.6</v>
      </c>
      <c r="H2" t="n">
        <v>1593</v>
      </c>
      <c r="I2" t="n">
        <v>1729.3</v>
      </c>
      <c r="J2" t="n">
        <v>1969.7</v>
      </c>
      <c r="K2" t="n">
        <v>2089.1</v>
      </c>
      <c r="L2" t="n">
        <v>2220.6</v>
      </c>
      <c r="M2" t="n">
        <v>2239.1</v>
      </c>
      <c r="N2" t="n">
        <v>2454.8</v>
      </c>
      <c r="O2" t="n">
        <v>2730.7</v>
      </c>
      <c r="P2" t="n">
        <v>2914.3</v>
      </c>
      <c r="Q2" t="n">
        <v>2891.9</v>
      </c>
      <c r="R2" t="n">
        <v>3236.1</v>
      </c>
      <c r="S2" t="n">
        <v>3851.8</v>
      </c>
      <c r="T2" t="n">
        <v>4147.6</v>
      </c>
      <c r="U2" t="n">
        <v>4315.9</v>
      </c>
      <c r="V2" t="n">
        <v>4220.1</v>
      </c>
      <c r="W2" t="n">
        <v>4139.6</v>
      </c>
      <c r="X2" t="n">
        <v>4074.3</v>
      </c>
      <c r="Y2" t="n">
        <v>4039.5</v>
      </c>
      <c r="Z2" t="n">
        <v>4043.1</v>
      </c>
      <c r="AA2" t="n">
        <v>4051.5</v>
      </c>
      <c r="AB2" t="n">
        <v>4068.1</v>
      </c>
      <c r="AC2" t="n">
        <v>4124.2</v>
      </c>
      <c r="AD2" t="n">
        <v>4183.8</v>
      </c>
      <c r="AE2" t="n">
        <v>4361.2</v>
      </c>
      <c r="AF2" t="n">
        <v>4669.2</v>
      </c>
    </row>
    <row r="3">
      <c r="A3" t="s">
        <v>126</v>
      </c>
      <c r="B3" t="s">
        <v>276</v>
      </c>
      <c r="C3" t="s">
        <v>217</v>
      </c>
      <c r="D3" t="s">
        <v>277</v>
      </c>
      <c r="E3" t="s">
        <v>218</v>
      </c>
      <c r="F3" t="n">
        <v>381</v>
      </c>
      <c r="G3" t="n">
        <v>372.8</v>
      </c>
      <c r="H3" t="n">
        <v>382.5</v>
      </c>
      <c r="I3" t="n">
        <v>384.6</v>
      </c>
      <c r="J3" t="n">
        <v>404.7</v>
      </c>
      <c r="K3" t="n">
        <v>393.5</v>
      </c>
      <c r="L3" t="n">
        <v>410.9</v>
      </c>
      <c r="M3" t="n">
        <v>420.5</v>
      </c>
      <c r="N3" t="n">
        <v>442.1</v>
      </c>
      <c r="O3" t="n">
        <v>471.7</v>
      </c>
      <c r="P3" t="n">
        <v>488.9</v>
      </c>
      <c r="Q3" t="n">
        <v>524.5</v>
      </c>
      <c r="R3" t="n">
        <v>619.6</v>
      </c>
      <c r="S3" t="n">
        <v>623.7</v>
      </c>
      <c r="T3" t="n">
        <v>617.3</v>
      </c>
      <c r="U3" t="n">
        <v>580</v>
      </c>
      <c r="V3" t="n">
        <v>537.5</v>
      </c>
      <c r="W3" t="n">
        <v>508.5</v>
      </c>
      <c r="X3" t="n">
        <v>468.1</v>
      </c>
      <c r="Y3" t="n">
        <v>451</v>
      </c>
      <c r="Z3" t="n">
        <v>444.2</v>
      </c>
      <c r="AA3" t="n">
        <v>421.4</v>
      </c>
      <c r="AB3" t="n">
        <v>399.5</v>
      </c>
      <c r="AC3" t="n">
        <v>406.4</v>
      </c>
      <c r="AD3" t="n">
        <v>443.4</v>
      </c>
      <c r="AE3" t="n">
        <v>438.6</v>
      </c>
      <c r="AF3" t="n">
        <v>447.9</v>
      </c>
    </row>
    <row r="4">
      <c r="A4" t="s">
        <v>126</v>
      </c>
      <c r="B4" t="s">
        <v>278</v>
      </c>
      <c r="C4" t="s">
        <v>217</v>
      </c>
      <c r="D4" t="s">
        <v>279</v>
      </c>
      <c r="E4" t="s">
        <v>218</v>
      </c>
      <c r="F4" t="n">
        <v>4850.9</v>
      </c>
      <c r="G4" t="n">
        <v>5140.7</v>
      </c>
      <c r="H4" t="n">
        <v>5716</v>
      </c>
      <c r="I4" t="n">
        <v>6374.9</v>
      </c>
      <c r="J4" t="n">
        <v>7412.8</v>
      </c>
      <c r="K4" t="n">
        <v>8001</v>
      </c>
      <c r="L4" t="n">
        <v>8939.9</v>
      </c>
      <c r="M4" t="n">
        <v>9386.2</v>
      </c>
      <c r="N4" t="n">
        <v>9533.5</v>
      </c>
      <c r="O4" t="n">
        <v>9936.5</v>
      </c>
      <c r="P4" t="n">
        <v>9975.8</v>
      </c>
      <c r="Q4" t="n">
        <v>10060</v>
      </c>
      <c r="R4" t="n">
        <v>10689.7</v>
      </c>
      <c r="S4" t="n">
        <v>11759.2</v>
      </c>
      <c r="T4" t="n">
        <v>12061.7</v>
      </c>
      <c r="U4" t="n">
        <v>11961.6</v>
      </c>
      <c r="V4" t="n">
        <v>11627.8</v>
      </c>
      <c r="W4" t="n">
        <v>12528.7</v>
      </c>
      <c r="X4" t="n">
        <v>11606</v>
      </c>
      <c r="Y4" t="n">
        <v>11342.6</v>
      </c>
      <c r="Z4" t="n">
        <v>11019.8</v>
      </c>
      <c r="AA4" t="n">
        <v>10661.8</v>
      </c>
      <c r="AB4" t="n">
        <v>10299.2</v>
      </c>
      <c r="AC4" t="n">
        <v>10209.3</v>
      </c>
      <c r="AD4" t="n">
        <v>10035.7</v>
      </c>
      <c r="AE4" t="n">
        <v>10080.9</v>
      </c>
      <c r="AF4" t="n">
        <v>10356.5</v>
      </c>
    </row>
    <row r="5">
      <c r="A5" t="s">
        <v>126</v>
      </c>
      <c r="B5" t="s">
        <v>280</v>
      </c>
      <c r="C5" t="s">
        <v>217</v>
      </c>
      <c r="D5" t="s">
        <v>281</v>
      </c>
      <c r="E5" t="s">
        <v>218</v>
      </c>
      <c r="F5" t="n">
        <v>1045.2</v>
      </c>
      <c r="G5" t="n">
        <v>1122.6</v>
      </c>
      <c r="H5" t="n">
        <v>1244</v>
      </c>
      <c r="I5" t="n">
        <v>1385.4</v>
      </c>
      <c r="J5" t="n">
        <v>1613.8</v>
      </c>
      <c r="K5" t="n">
        <v>1735.7</v>
      </c>
      <c r="L5" t="n">
        <v>1907.6</v>
      </c>
      <c r="M5" t="n">
        <v>2012</v>
      </c>
      <c r="N5" t="n">
        <v>2085.1</v>
      </c>
      <c r="O5" t="n">
        <v>2247.2</v>
      </c>
      <c r="P5" t="n">
        <v>2257.5</v>
      </c>
      <c r="Q5" t="n">
        <v>2279</v>
      </c>
      <c r="R5" t="n">
        <v>2563.1</v>
      </c>
      <c r="S5" t="n">
        <v>2852.7</v>
      </c>
      <c r="T5" t="n">
        <v>2911.5</v>
      </c>
      <c r="U5" t="n">
        <v>2888</v>
      </c>
      <c r="V5" t="n">
        <v>2784.4</v>
      </c>
      <c r="W5" t="n">
        <v>2658.8</v>
      </c>
      <c r="X5" t="n">
        <v>2553.7</v>
      </c>
      <c r="Y5" t="n">
        <v>2577.4</v>
      </c>
      <c r="Z5" t="n">
        <v>2609.6</v>
      </c>
      <c r="AA5" t="n">
        <v>2600.7</v>
      </c>
      <c r="AB5" t="n">
        <v>2588.7</v>
      </c>
      <c r="AC5" t="n">
        <v>2726.5</v>
      </c>
      <c r="AD5" t="n">
        <v>2705.4</v>
      </c>
      <c r="AE5" t="n">
        <v>2735.3</v>
      </c>
      <c r="AF5" t="n">
        <v>2833.3</v>
      </c>
    </row>
    <row r="6">
      <c r="A6" t="s">
        <v>126</v>
      </c>
      <c r="B6" t="s">
        <v>282</v>
      </c>
      <c r="C6" t="s">
        <v>217</v>
      </c>
      <c r="D6" t="s">
        <v>283</v>
      </c>
      <c r="E6" t="s">
        <v>218</v>
      </c>
      <c r="F6" t="n">
        <v>922.5</v>
      </c>
      <c r="G6" t="n">
        <v>932</v>
      </c>
      <c r="H6" t="n">
        <v>978</v>
      </c>
      <c r="I6" t="n">
        <v>1024.4</v>
      </c>
      <c r="J6" t="n">
        <v>1122.1</v>
      </c>
      <c r="K6" t="n">
        <v>1148.4</v>
      </c>
      <c r="L6" t="n">
        <v>1247.8</v>
      </c>
      <c r="M6" t="n">
        <v>1219.5</v>
      </c>
      <c r="N6" t="n">
        <v>1179.6</v>
      </c>
      <c r="O6" t="n">
        <v>1172.6</v>
      </c>
      <c r="P6" t="n">
        <v>1105.9</v>
      </c>
      <c r="Q6" t="n">
        <v>979.7</v>
      </c>
      <c r="R6" t="n">
        <v>935.9</v>
      </c>
      <c r="S6" t="n">
        <v>893.9</v>
      </c>
      <c r="T6" t="n">
        <v>840</v>
      </c>
      <c r="U6" t="n">
        <v>745.1</v>
      </c>
      <c r="V6" t="n">
        <v>684.9</v>
      </c>
      <c r="W6" t="n">
        <v>605.4</v>
      </c>
      <c r="X6" t="n">
        <v>551.3</v>
      </c>
      <c r="Y6" t="n">
        <v>515.3</v>
      </c>
      <c r="Z6" t="n">
        <v>486</v>
      </c>
      <c r="AA6" t="n">
        <v>481.4</v>
      </c>
      <c r="AB6" t="n">
        <v>476.9</v>
      </c>
      <c r="AC6" t="n">
        <v>440.9</v>
      </c>
      <c r="AD6" t="n">
        <v>408</v>
      </c>
      <c r="AE6" t="n">
        <v>377.4</v>
      </c>
      <c r="AF6" t="n">
        <v>354.3</v>
      </c>
    </row>
    <row r="7">
      <c r="A7" t="s">
        <v>126</v>
      </c>
      <c r="B7" t="s">
        <v>284</v>
      </c>
      <c r="C7" t="s">
        <v>217</v>
      </c>
      <c r="D7" t="s">
        <v>285</v>
      </c>
      <c r="E7" t="s">
        <v>218</v>
      </c>
      <c r="F7" t="n">
        <v>365</v>
      </c>
      <c r="G7" t="n">
        <v>420.4</v>
      </c>
      <c r="H7" t="n">
        <v>501.1</v>
      </c>
      <c r="I7" t="n">
        <v>596.2</v>
      </c>
      <c r="J7" t="n">
        <v>738.9</v>
      </c>
      <c r="K7" t="n">
        <v>827.9</v>
      </c>
      <c r="L7" t="n">
        <v>877.9</v>
      </c>
      <c r="M7" t="n">
        <v>943</v>
      </c>
      <c r="N7" t="n">
        <v>915.5</v>
      </c>
      <c r="O7" t="n">
        <v>909.2</v>
      </c>
      <c r="P7" t="n">
        <v>820.3</v>
      </c>
      <c r="Q7" t="n">
        <v>862.1</v>
      </c>
      <c r="R7" t="n">
        <v>949.7</v>
      </c>
      <c r="S7" t="n">
        <v>970</v>
      </c>
      <c r="T7" t="n">
        <v>944.4</v>
      </c>
      <c r="U7" t="n">
        <v>906.4</v>
      </c>
      <c r="V7" t="n">
        <v>852.1</v>
      </c>
      <c r="W7" t="n">
        <v>783.2</v>
      </c>
      <c r="X7" t="n">
        <v>722.7</v>
      </c>
      <c r="Y7" t="n">
        <v>708.8</v>
      </c>
      <c r="Z7" t="n">
        <v>689.3</v>
      </c>
      <c r="AA7" t="n">
        <v>691.1</v>
      </c>
      <c r="AB7" t="n">
        <v>691.8</v>
      </c>
      <c r="AC7" t="n">
        <v>678.1</v>
      </c>
      <c r="AD7" t="n">
        <v>647.5</v>
      </c>
      <c r="AE7" t="n">
        <v>641.5</v>
      </c>
      <c r="AF7" t="n">
        <v>650.1</v>
      </c>
    </row>
    <row r="8">
      <c r="A8" t="s">
        <v>126</v>
      </c>
      <c r="B8" t="s">
        <v>286</v>
      </c>
      <c r="C8" t="s">
        <v>217</v>
      </c>
      <c r="D8" t="s">
        <v>287</v>
      </c>
      <c r="E8" t="s">
        <v>218</v>
      </c>
      <c r="F8" t="n">
        <v>296.3</v>
      </c>
      <c r="G8" t="n">
        <v>312</v>
      </c>
      <c r="H8" t="n">
        <v>328.4</v>
      </c>
      <c r="I8" t="n">
        <v>361.5</v>
      </c>
      <c r="J8" t="n">
        <v>382.6</v>
      </c>
      <c r="K8" t="n">
        <v>434.3</v>
      </c>
      <c r="L8" t="n">
        <v>459.8</v>
      </c>
      <c r="M8" t="n">
        <v>477.6</v>
      </c>
      <c r="N8" t="n">
        <v>492.7</v>
      </c>
      <c r="O8" t="n">
        <v>476.6</v>
      </c>
      <c r="P8" t="n">
        <v>753.8</v>
      </c>
      <c r="Q8" t="n">
        <v>707</v>
      </c>
      <c r="R8" t="n">
        <v>689.4</v>
      </c>
      <c r="S8" t="n">
        <v>1060.1</v>
      </c>
      <c r="T8" t="n">
        <v>1138.7</v>
      </c>
      <c r="U8" t="n">
        <v>1316.3</v>
      </c>
      <c r="V8" t="n">
        <v>1482</v>
      </c>
      <c r="W8" t="n">
        <v>2997.3</v>
      </c>
      <c r="X8" t="n">
        <v>2787.9</v>
      </c>
      <c r="Y8" t="n">
        <v>2674.3</v>
      </c>
      <c r="Z8" t="n">
        <v>2589.4</v>
      </c>
      <c r="AA8" t="n">
        <v>2433.6</v>
      </c>
      <c r="AB8" t="n">
        <v>2285</v>
      </c>
      <c r="AC8" t="n">
        <v>2149</v>
      </c>
      <c r="AD8" t="n">
        <v>2110.6</v>
      </c>
      <c r="AE8" t="n">
        <v>2110.1</v>
      </c>
      <c r="AF8" t="n">
        <v>2160</v>
      </c>
    </row>
    <row r="9">
      <c r="A9" t="s">
        <v>126</v>
      </c>
      <c r="B9" t="s">
        <v>288</v>
      </c>
      <c r="C9" t="s">
        <v>217</v>
      </c>
      <c r="D9" t="s">
        <v>289</v>
      </c>
      <c r="E9" t="s">
        <v>218</v>
      </c>
      <c r="F9" t="n">
        <v>144.9</v>
      </c>
      <c r="G9" t="n">
        <v>166.1</v>
      </c>
      <c r="H9" t="n">
        <v>197.4</v>
      </c>
      <c r="I9" t="n">
        <v>233.2</v>
      </c>
      <c r="J9" t="n">
        <v>286</v>
      </c>
      <c r="K9" t="n">
        <v>317</v>
      </c>
      <c r="L9" t="n">
        <v>411.5</v>
      </c>
      <c r="M9" t="n">
        <v>412.9</v>
      </c>
      <c r="N9" t="n">
        <v>405.8</v>
      </c>
      <c r="O9" t="n">
        <v>449.8</v>
      </c>
      <c r="P9" t="n">
        <v>449.4</v>
      </c>
      <c r="Q9" t="n">
        <v>444.3</v>
      </c>
      <c r="R9" t="n">
        <v>498.6</v>
      </c>
      <c r="S9" t="n">
        <v>539.4</v>
      </c>
      <c r="T9" t="n">
        <v>607.3</v>
      </c>
      <c r="U9" t="n">
        <v>551.7</v>
      </c>
      <c r="V9" t="n">
        <v>526.7</v>
      </c>
      <c r="W9" t="n">
        <v>509.9</v>
      </c>
      <c r="X9" t="n">
        <v>491.3</v>
      </c>
      <c r="Y9" t="n">
        <v>474.7</v>
      </c>
      <c r="Z9" t="n">
        <v>418.3</v>
      </c>
      <c r="AA9" t="n">
        <v>405.8</v>
      </c>
      <c r="AB9" t="n">
        <v>391.6</v>
      </c>
      <c r="AC9" t="n">
        <v>389.5</v>
      </c>
      <c r="AD9" t="n">
        <v>387.5</v>
      </c>
      <c r="AE9" t="n">
        <v>382.1</v>
      </c>
      <c r="AF9" t="n">
        <v>381.6</v>
      </c>
    </row>
    <row r="10">
      <c r="A10" t="s">
        <v>126</v>
      </c>
      <c r="B10" t="s">
        <v>290</v>
      </c>
      <c r="C10" t="s">
        <v>217</v>
      </c>
      <c r="D10" t="s">
        <v>291</v>
      </c>
      <c r="E10" t="s">
        <v>218</v>
      </c>
      <c r="F10" t="n">
        <v>198.3</v>
      </c>
      <c r="G10" t="n">
        <v>227.3</v>
      </c>
      <c r="H10" t="n">
        <v>270.2</v>
      </c>
      <c r="I10" t="n">
        <v>319.2</v>
      </c>
      <c r="J10" t="n">
        <v>391.4</v>
      </c>
      <c r="K10" t="n">
        <v>433.9</v>
      </c>
      <c r="L10" t="n">
        <v>563.1</v>
      </c>
      <c r="M10" t="n">
        <v>565</v>
      </c>
      <c r="N10" t="n">
        <v>555.3</v>
      </c>
      <c r="O10" t="n">
        <v>615.5</v>
      </c>
      <c r="P10" t="n">
        <v>610.4</v>
      </c>
      <c r="Q10" t="n">
        <v>613.2</v>
      </c>
      <c r="R10" t="n">
        <v>701.1</v>
      </c>
      <c r="S10" t="n">
        <v>798.3</v>
      </c>
      <c r="T10" t="n">
        <v>985</v>
      </c>
      <c r="U10" t="n">
        <v>868.8</v>
      </c>
      <c r="V10" t="n">
        <v>825.6</v>
      </c>
      <c r="W10" t="n">
        <v>787.2</v>
      </c>
      <c r="X10" t="n">
        <v>773.2</v>
      </c>
      <c r="Y10" t="n">
        <v>749.1</v>
      </c>
      <c r="Z10" t="n">
        <v>691.5</v>
      </c>
      <c r="AA10" t="n">
        <v>680.9</v>
      </c>
      <c r="AB10" t="n">
        <v>667</v>
      </c>
      <c r="AC10" t="n">
        <v>694.5</v>
      </c>
      <c r="AD10" t="n">
        <v>715.2</v>
      </c>
      <c r="AE10" t="n">
        <v>729.9</v>
      </c>
      <c r="AF10" t="n">
        <v>756.4</v>
      </c>
    </row>
    <row r="11">
      <c r="A11" t="s">
        <v>126</v>
      </c>
      <c r="B11" t="s">
        <v>292</v>
      </c>
      <c r="C11" t="s">
        <v>217</v>
      </c>
      <c r="D11" t="s">
        <v>293</v>
      </c>
      <c r="E11" t="s">
        <v>218</v>
      </c>
      <c r="F11" t="n">
        <v>53.4</v>
      </c>
      <c r="G11" t="n">
        <v>61.2</v>
      </c>
      <c r="H11" t="n">
        <v>72.8</v>
      </c>
      <c r="I11" t="n">
        <v>86</v>
      </c>
      <c r="J11" t="n">
        <v>105.4</v>
      </c>
      <c r="K11" t="n">
        <v>116.9</v>
      </c>
      <c r="L11" t="n">
        <v>151.6</v>
      </c>
      <c r="M11" t="n">
        <v>152.1</v>
      </c>
      <c r="N11" t="n">
        <v>149.5</v>
      </c>
      <c r="O11" t="n">
        <v>165.7</v>
      </c>
      <c r="P11" t="n">
        <v>161</v>
      </c>
      <c r="Q11" t="n">
        <v>168.9</v>
      </c>
      <c r="R11" t="n">
        <v>202.5</v>
      </c>
      <c r="S11" t="n">
        <v>258.9</v>
      </c>
      <c r="T11" t="n">
        <v>377.7</v>
      </c>
      <c r="U11" t="n">
        <v>317.1</v>
      </c>
      <c r="V11" t="n">
        <v>298.9</v>
      </c>
      <c r="W11" t="n">
        <v>277.3</v>
      </c>
      <c r="X11" t="n">
        <v>281.9</v>
      </c>
      <c r="Y11" t="n">
        <v>274.4</v>
      </c>
      <c r="Z11" t="n">
        <v>273.2</v>
      </c>
      <c r="AA11" t="n">
        <v>275.1</v>
      </c>
      <c r="AB11" t="n">
        <v>275.4</v>
      </c>
      <c r="AC11" t="n">
        <v>305</v>
      </c>
      <c r="AD11" t="n">
        <v>327.7</v>
      </c>
      <c r="AE11" t="n">
        <v>347.8</v>
      </c>
      <c r="AF11" t="n">
        <v>374.8</v>
      </c>
    </row>
    <row r="12">
      <c r="A12" t="s">
        <v>126</v>
      </c>
      <c r="B12" t="s">
        <v>294</v>
      </c>
      <c r="C12" t="s">
        <v>217</v>
      </c>
      <c r="D12" t="s">
        <v>295</v>
      </c>
      <c r="E12" t="s">
        <v>218</v>
      </c>
      <c r="F12" t="n">
        <v>380.3</v>
      </c>
      <c r="G12" t="n">
        <v>441</v>
      </c>
      <c r="H12" t="n">
        <v>532.4</v>
      </c>
      <c r="I12" t="n">
        <v>638.4</v>
      </c>
      <c r="J12" t="n">
        <v>795.9</v>
      </c>
      <c r="K12" t="n">
        <v>894.4</v>
      </c>
      <c r="L12" t="n">
        <v>1013.6</v>
      </c>
      <c r="M12" t="n">
        <v>1093.4</v>
      </c>
      <c r="N12" t="n">
        <v>1151.9</v>
      </c>
      <c r="O12" t="n">
        <v>1205.1</v>
      </c>
      <c r="P12" t="n">
        <v>1192.1</v>
      </c>
      <c r="Q12" t="n">
        <v>1216.7</v>
      </c>
      <c r="R12" t="n">
        <v>1349.9</v>
      </c>
      <c r="S12" t="n">
        <v>1432.5</v>
      </c>
      <c r="T12" t="n">
        <v>1470.2</v>
      </c>
      <c r="U12" t="n">
        <v>1450.9</v>
      </c>
      <c r="V12" t="n">
        <v>1419</v>
      </c>
      <c r="W12" t="n">
        <v>1323.9</v>
      </c>
      <c r="X12" t="n">
        <v>1240.6</v>
      </c>
      <c r="Y12" t="n">
        <v>1220.3</v>
      </c>
      <c r="Z12" t="n">
        <v>1181.6</v>
      </c>
      <c r="AA12" t="n">
        <v>1137.7</v>
      </c>
      <c r="AB12" t="n">
        <v>1095.7</v>
      </c>
      <c r="AC12" t="n">
        <v>1071.7</v>
      </c>
      <c r="AD12" t="n">
        <v>1048.1</v>
      </c>
      <c r="AE12" t="n">
        <v>1014.9</v>
      </c>
      <c r="AF12" t="n">
        <v>1002.5</v>
      </c>
    </row>
    <row r="13">
      <c r="A13" t="s">
        <v>126</v>
      </c>
      <c r="B13" t="s">
        <v>296</v>
      </c>
      <c r="C13" t="s">
        <v>217</v>
      </c>
      <c r="D13" t="s">
        <v>297</v>
      </c>
      <c r="E13" t="s">
        <v>218</v>
      </c>
      <c r="F13" t="n">
        <v>965.7</v>
      </c>
      <c r="G13" t="n">
        <v>1012.9</v>
      </c>
      <c r="H13" t="n">
        <v>1147.1</v>
      </c>
      <c r="I13" t="n">
        <v>1294.3</v>
      </c>
      <c r="J13" t="n">
        <v>1529.8</v>
      </c>
      <c r="K13" t="n">
        <v>1660.5</v>
      </c>
      <c r="L13" t="n">
        <v>1853.9</v>
      </c>
      <c r="M13" t="n">
        <v>1955.8</v>
      </c>
      <c r="N13" t="n">
        <v>2041.4</v>
      </c>
      <c r="O13" t="n">
        <v>2157.7</v>
      </c>
      <c r="P13" t="n">
        <v>2106.4</v>
      </c>
      <c r="Q13" t="n">
        <v>2241.5</v>
      </c>
      <c r="R13" t="n">
        <v>2326.2</v>
      </c>
      <c r="S13" t="n">
        <v>2473.3</v>
      </c>
      <c r="T13" t="n">
        <v>2487.1</v>
      </c>
      <c r="U13" t="n">
        <v>2568.3</v>
      </c>
      <c r="V13" t="n">
        <v>2423.6</v>
      </c>
      <c r="W13" t="n">
        <v>2318.1</v>
      </c>
      <c r="X13" t="n">
        <v>2004.6</v>
      </c>
      <c r="Y13" t="n">
        <v>1929.5</v>
      </c>
      <c r="Z13" t="n">
        <v>1865.1</v>
      </c>
      <c r="AA13" t="n">
        <v>1786.1</v>
      </c>
      <c r="AB13" t="n">
        <v>1706.7</v>
      </c>
      <c r="AC13" t="n">
        <v>1690.3</v>
      </c>
      <c r="AD13" t="n">
        <v>1656.1</v>
      </c>
      <c r="AE13" t="n">
        <v>1736.2</v>
      </c>
      <c r="AF13" t="n">
        <v>1859.3</v>
      </c>
    </row>
    <row r="14">
      <c r="A14" t="s">
        <v>126</v>
      </c>
      <c r="B14" t="s">
        <v>298</v>
      </c>
      <c r="C14" t="s">
        <v>217</v>
      </c>
      <c r="D14" t="s">
        <v>299</v>
      </c>
      <c r="E14" t="s">
        <v>218</v>
      </c>
      <c r="F14" t="n">
        <v>29.8</v>
      </c>
      <c r="G14" t="n">
        <v>33.5</v>
      </c>
      <c r="H14" t="n">
        <v>38.7</v>
      </c>
      <c r="I14" t="n">
        <v>45.1</v>
      </c>
      <c r="J14" t="n">
        <v>53.8</v>
      </c>
      <c r="K14" t="n">
        <v>60.8</v>
      </c>
      <c r="L14" t="n">
        <v>170.1</v>
      </c>
      <c r="M14" t="n">
        <v>172.9</v>
      </c>
      <c r="N14" t="n">
        <v>178.8</v>
      </c>
      <c r="O14" t="n">
        <v>175.7</v>
      </c>
      <c r="P14" t="n">
        <v>166.8</v>
      </c>
      <c r="Q14" t="n">
        <v>168.9</v>
      </c>
      <c r="R14" t="n">
        <v>163.6</v>
      </c>
      <c r="S14" t="n">
        <v>164.1</v>
      </c>
      <c r="T14" t="n">
        <v>158.5</v>
      </c>
      <c r="U14" t="n">
        <v>153.4</v>
      </c>
      <c r="V14" t="n">
        <v>145.3</v>
      </c>
      <c r="W14" t="n">
        <v>112.2</v>
      </c>
      <c r="X14" t="n">
        <v>107.6</v>
      </c>
      <c r="Y14" t="n">
        <v>117.5</v>
      </c>
      <c r="Z14" t="n">
        <v>110.5</v>
      </c>
      <c r="AA14" t="n">
        <v>104.6</v>
      </c>
      <c r="AB14" t="n">
        <v>98.7</v>
      </c>
      <c r="AC14" t="n">
        <v>94.1</v>
      </c>
      <c r="AD14" t="n">
        <v>89.1</v>
      </c>
      <c r="AE14" t="n">
        <v>84.9</v>
      </c>
      <c r="AF14" t="n">
        <v>81.7</v>
      </c>
    </row>
    <row r="15">
      <c r="A15" t="s">
        <v>126</v>
      </c>
      <c r="B15" t="s">
        <v>300</v>
      </c>
      <c r="C15" t="s">
        <v>217</v>
      </c>
      <c r="D15" t="s">
        <v>301</v>
      </c>
      <c r="E15" t="s">
        <v>218</v>
      </c>
      <c r="F15" t="n">
        <v>206.8</v>
      </c>
      <c r="G15" t="n">
        <v>217.1</v>
      </c>
      <c r="H15" t="n">
        <v>239.4</v>
      </c>
      <c r="I15" t="n">
        <v>264.1</v>
      </c>
      <c r="J15" t="n">
        <v>304.2</v>
      </c>
      <c r="K15" t="n">
        <v>325.6</v>
      </c>
      <c r="L15" t="n">
        <v>442.4</v>
      </c>
      <c r="M15" t="n">
        <v>503.1</v>
      </c>
      <c r="N15" t="n">
        <v>501.9</v>
      </c>
      <c r="O15" t="n">
        <v>499.2</v>
      </c>
      <c r="P15" t="n">
        <v>476</v>
      </c>
      <c r="Q15" t="n">
        <v>483.1</v>
      </c>
      <c r="R15" t="n">
        <v>471.4</v>
      </c>
      <c r="S15" t="n">
        <v>495.7</v>
      </c>
      <c r="T15" t="n">
        <v>480.2</v>
      </c>
      <c r="U15" t="n">
        <v>453.8</v>
      </c>
      <c r="V15" t="n">
        <v>436.4</v>
      </c>
      <c r="W15" t="n">
        <v>372.2</v>
      </c>
      <c r="X15" t="n">
        <v>348</v>
      </c>
      <c r="Y15" t="n">
        <v>382.1</v>
      </c>
      <c r="Z15" t="n">
        <v>361.7</v>
      </c>
      <c r="AA15" t="n">
        <v>346.3</v>
      </c>
      <c r="AB15" t="n">
        <v>330.3</v>
      </c>
      <c r="AC15" t="n">
        <v>326.5</v>
      </c>
      <c r="AD15" t="n">
        <v>332.4</v>
      </c>
      <c r="AE15" t="n">
        <v>337.7</v>
      </c>
      <c r="AF15" t="n">
        <v>350.1</v>
      </c>
    </row>
    <row r="16">
      <c r="A16" t="s">
        <v>126</v>
      </c>
      <c r="B16" t="s">
        <v>302</v>
      </c>
      <c r="C16" t="s">
        <v>217</v>
      </c>
      <c r="D16" t="s">
        <v>303</v>
      </c>
      <c r="E16" t="s">
        <v>218</v>
      </c>
      <c r="F16" t="n">
        <v>177</v>
      </c>
      <c r="G16" t="n">
        <v>183.6</v>
      </c>
      <c r="H16" t="n">
        <v>200.7</v>
      </c>
      <c r="I16" t="n">
        <v>219</v>
      </c>
      <c r="J16" t="n">
        <v>250.4</v>
      </c>
      <c r="K16" t="n">
        <v>264.8</v>
      </c>
      <c r="L16" t="n">
        <v>272.3</v>
      </c>
      <c r="M16" t="n">
        <v>330.2</v>
      </c>
      <c r="N16" t="n">
        <v>323.1</v>
      </c>
      <c r="O16" t="n">
        <v>323.5</v>
      </c>
      <c r="P16" t="n">
        <v>309.2</v>
      </c>
      <c r="Q16" t="n">
        <v>314.2</v>
      </c>
      <c r="R16" t="n">
        <v>307.8</v>
      </c>
      <c r="S16" t="n">
        <v>331.6</v>
      </c>
      <c r="T16" t="n">
        <v>321.7</v>
      </c>
      <c r="U16" t="n">
        <v>300.4</v>
      </c>
      <c r="V16" t="n">
        <v>291.1</v>
      </c>
      <c r="W16" t="n">
        <v>260</v>
      </c>
      <c r="X16" t="n">
        <v>240.4</v>
      </c>
      <c r="Y16" t="n">
        <v>264.6</v>
      </c>
      <c r="Z16" t="n">
        <v>251.2</v>
      </c>
      <c r="AA16" t="n">
        <v>241.7</v>
      </c>
      <c r="AB16" t="n">
        <v>231.6</v>
      </c>
      <c r="AC16" t="n">
        <v>232.4</v>
      </c>
      <c r="AD16" t="n">
        <v>243.3</v>
      </c>
      <c r="AE16" t="n">
        <v>252.8</v>
      </c>
      <c r="AF16" t="n">
        <v>268.4</v>
      </c>
    </row>
    <row r="17">
      <c r="A17" t="s">
        <v>126</v>
      </c>
      <c r="B17" t="s">
        <v>304</v>
      </c>
      <c r="C17" t="s">
        <v>217</v>
      </c>
      <c r="D17" t="s">
        <v>305</v>
      </c>
      <c r="E17" t="s">
        <v>218</v>
      </c>
      <c r="F17" t="n">
        <v>131.2</v>
      </c>
      <c r="G17" t="n">
        <v>124.9</v>
      </c>
      <c r="H17" t="n">
        <v>129.4</v>
      </c>
      <c r="I17" t="n">
        <v>131.8</v>
      </c>
      <c r="J17" t="n">
        <v>141</v>
      </c>
      <c r="K17" t="n">
        <v>140.2</v>
      </c>
      <c r="L17" t="n">
        <v>143.6</v>
      </c>
      <c r="M17" t="n">
        <v>147.3</v>
      </c>
      <c r="N17" t="n">
        <v>144.8</v>
      </c>
      <c r="O17" t="n">
        <v>150.5</v>
      </c>
      <c r="P17" t="n">
        <v>154.1</v>
      </c>
      <c r="Q17" t="n">
        <v>166.1</v>
      </c>
      <c r="R17" t="n">
        <v>180.5</v>
      </c>
      <c r="S17" t="n">
        <v>205</v>
      </c>
      <c r="T17" t="n">
        <v>225.7</v>
      </c>
      <c r="U17" t="n">
        <v>218</v>
      </c>
      <c r="V17" t="n">
        <v>216.8</v>
      </c>
      <c r="W17" t="n">
        <v>205.5</v>
      </c>
      <c r="X17" t="n">
        <v>193.5</v>
      </c>
      <c r="Y17" t="n">
        <v>182.3</v>
      </c>
      <c r="Z17" t="n">
        <v>172.6</v>
      </c>
      <c r="AA17" t="n">
        <v>163</v>
      </c>
      <c r="AB17" t="n">
        <v>153.5</v>
      </c>
      <c r="AC17" t="n">
        <v>146.2</v>
      </c>
      <c r="AD17" t="n">
        <v>138.2</v>
      </c>
      <c r="AE17" t="n">
        <v>132.4</v>
      </c>
      <c r="AF17" t="n">
        <v>128.9</v>
      </c>
    </row>
    <row r="18">
      <c r="A18" t="s">
        <v>126</v>
      </c>
      <c r="B18" t="s">
        <v>306</v>
      </c>
      <c r="C18" t="s">
        <v>217</v>
      </c>
      <c r="D18" t="s">
        <v>307</v>
      </c>
      <c r="E18" t="s">
        <v>218</v>
      </c>
      <c r="F18" t="n">
        <v>122.2</v>
      </c>
      <c r="G18" t="n">
        <v>119.6</v>
      </c>
      <c r="H18" t="n">
        <v>126</v>
      </c>
      <c r="I18" t="n">
        <v>131.3</v>
      </c>
      <c r="J18" t="n">
        <v>143.8</v>
      </c>
      <c r="K18" t="n">
        <v>146.3</v>
      </c>
      <c r="L18" t="n">
        <v>154.5</v>
      </c>
      <c r="M18" t="n">
        <v>163.5</v>
      </c>
      <c r="N18" t="n">
        <v>161.1</v>
      </c>
      <c r="O18" t="n">
        <v>169.8</v>
      </c>
      <c r="P18" t="n">
        <v>167.1</v>
      </c>
      <c r="Q18" t="n">
        <v>164.4</v>
      </c>
      <c r="R18" t="n">
        <v>169.7</v>
      </c>
      <c r="S18" t="n">
        <v>181.5</v>
      </c>
      <c r="T18" t="n">
        <v>189.4</v>
      </c>
      <c r="U18" t="n">
        <v>192.1</v>
      </c>
      <c r="V18" t="n">
        <v>180.6</v>
      </c>
      <c r="W18" t="n">
        <v>190.8</v>
      </c>
      <c r="X18" t="n">
        <v>172.9</v>
      </c>
      <c r="Y18" t="n">
        <v>158</v>
      </c>
      <c r="Z18" t="n">
        <v>143.9</v>
      </c>
      <c r="AA18" t="n">
        <v>132.3</v>
      </c>
      <c r="AB18" t="n">
        <v>121.1</v>
      </c>
      <c r="AC18" t="n">
        <v>110.9</v>
      </c>
      <c r="AD18" t="n">
        <v>101</v>
      </c>
      <c r="AE18" t="n">
        <v>92.5</v>
      </c>
      <c r="AF18" t="n">
        <v>85.1</v>
      </c>
    </row>
    <row r="19">
      <c r="A19" t="s">
        <v>126</v>
      </c>
      <c r="B19" t="s">
        <v>308</v>
      </c>
      <c r="C19" t="s">
        <v>217</v>
      </c>
      <c r="D19" t="s">
        <v>309</v>
      </c>
      <c r="E19" t="s">
        <v>218</v>
      </c>
      <c r="F19" t="n">
        <v>217.4</v>
      </c>
      <c r="G19" t="n">
        <v>210.9</v>
      </c>
      <c r="H19" t="n">
        <v>220</v>
      </c>
      <c r="I19" t="n">
        <v>228.3</v>
      </c>
      <c r="J19" t="n">
        <v>249.3</v>
      </c>
      <c r="K19" t="n">
        <v>253.8</v>
      </c>
      <c r="L19" t="n">
        <v>275.7</v>
      </c>
      <c r="M19" t="n">
        <v>306</v>
      </c>
      <c r="N19" t="n">
        <v>304.2</v>
      </c>
      <c r="O19" t="n">
        <v>333.1</v>
      </c>
      <c r="P19" t="n">
        <v>332.2</v>
      </c>
      <c r="Q19" t="n">
        <v>347.2</v>
      </c>
      <c r="R19" t="n">
        <v>352.8</v>
      </c>
      <c r="S19" t="n">
        <v>396.2</v>
      </c>
      <c r="T19" t="n">
        <v>389.5</v>
      </c>
      <c r="U19" t="n">
        <v>353.9</v>
      </c>
      <c r="V19" t="n">
        <v>322.4</v>
      </c>
      <c r="W19" t="n">
        <v>286.3</v>
      </c>
      <c r="X19" t="n">
        <v>257.6</v>
      </c>
      <c r="Y19" t="n">
        <v>245.5</v>
      </c>
      <c r="Z19" t="n">
        <v>229.1</v>
      </c>
      <c r="AA19" t="n">
        <v>208.7</v>
      </c>
      <c r="AB19" t="n">
        <v>182.5</v>
      </c>
      <c r="AC19" t="n">
        <v>174.7</v>
      </c>
      <c r="AD19" t="n">
        <v>173.2</v>
      </c>
      <c r="AE19" t="n">
        <v>173</v>
      </c>
      <c r="AF19" t="n">
        <v>176.5</v>
      </c>
    </row>
    <row r="20">
      <c r="A20" t="s">
        <v>126</v>
      </c>
      <c r="B20" t="s">
        <v>310</v>
      </c>
      <c r="C20" t="s">
        <v>217</v>
      </c>
      <c r="D20" t="s">
        <v>311</v>
      </c>
      <c r="E20" t="s">
        <v>218</v>
      </c>
      <c r="F20" t="n">
        <v>882.6</v>
      </c>
      <c r="G20" t="n">
        <v>822.5</v>
      </c>
      <c r="H20" t="n">
        <v>814.5</v>
      </c>
      <c r="I20" t="n">
        <v>768.6</v>
      </c>
      <c r="J20" t="n">
        <v>741.6</v>
      </c>
      <c r="K20" t="n">
        <v>659.7</v>
      </c>
      <c r="L20" t="n">
        <v>614.8</v>
      </c>
      <c r="M20" t="n">
        <v>607.5</v>
      </c>
      <c r="N20" t="n">
        <v>558.4</v>
      </c>
      <c r="O20" t="n">
        <v>515.7</v>
      </c>
      <c r="P20" t="n">
        <v>467.8</v>
      </c>
      <c r="Q20" t="n">
        <v>423.4</v>
      </c>
      <c r="R20" t="n">
        <v>400.7</v>
      </c>
      <c r="S20" t="n">
        <v>379.9</v>
      </c>
      <c r="T20" t="n">
        <v>361</v>
      </c>
      <c r="U20" t="n">
        <v>334</v>
      </c>
      <c r="V20" t="n">
        <v>342.8</v>
      </c>
      <c r="W20" t="n">
        <v>312.7</v>
      </c>
      <c r="X20" t="n">
        <v>279.7</v>
      </c>
      <c r="Y20" t="n">
        <v>258.9</v>
      </c>
      <c r="Z20" t="n">
        <v>525.3</v>
      </c>
      <c r="AA20" t="n">
        <v>503.3</v>
      </c>
      <c r="AB20" t="n">
        <v>481.9</v>
      </c>
      <c r="AC20" t="n">
        <v>734.8</v>
      </c>
      <c r="AD20" t="n">
        <v>1006.7</v>
      </c>
      <c r="AE20" t="n">
        <v>1655.7</v>
      </c>
      <c r="AF20" t="n">
        <v>2412.3</v>
      </c>
    </row>
    <row r="21">
      <c r="A21" t="s">
        <v>126</v>
      </c>
      <c r="B21" t="s">
        <v>312</v>
      </c>
      <c r="C21" t="s">
        <v>217</v>
      </c>
      <c r="D21" t="s">
        <v>313</v>
      </c>
      <c r="E21" t="s">
        <v>218</v>
      </c>
      <c r="F21" t="n">
        <v>929.9</v>
      </c>
      <c r="G21" t="n">
        <v>871.5</v>
      </c>
      <c r="H21" t="n">
        <v>866.4</v>
      </c>
      <c r="I21" t="n">
        <v>824.7</v>
      </c>
      <c r="J21" t="n">
        <v>803.6</v>
      </c>
      <c r="K21" t="n">
        <v>725.6</v>
      </c>
      <c r="L21" t="n">
        <v>705.8</v>
      </c>
      <c r="M21" t="n">
        <v>702.8</v>
      </c>
      <c r="N21" t="n">
        <v>650.5</v>
      </c>
      <c r="O21" t="n">
        <v>612.1</v>
      </c>
      <c r="P21" t="n">
        <v>555.3</v>
      </c>
      <c r="Q21" t="n">
        <v>534.7</v>
      </c>
      <c r="R21" t="n">
        <v>521.3</v>
      </c>
      <c r="S21" t="n">
        <v>504.1</v>
      </c>
      <c r="T21" t="n">
        <v>493.4</v>
      </c>
      <c r="U21" t="n">
        <v>517.3</v>
      </c>
      <c r="V21" t="n">
        <v>595.7</v>
      </c>
      <c r="W21" t="n">
        <v>650.2</v>
      </c>
      <c r="X21" t="n">
        <v>639.5</v>
      </c>
      <c r="Y21" t="n">
        <v>699.1</v>
      </c>
      <c r="Z21" t="n">
        <v>982.6</v>
      </c>
      <c r="AA21" t="n">
        <v>974.8</v>
      </c>
      <c r="AB21" t="n">
        <v>959.8</v>
      </c>
      <c r="AC21" t="n">
        <v>1223.5</v>
      </c>
      <c r="AD21" t="n">
        <v>1505.2</v>
      </c>
      <c r="AE21" t="n">
        <v>2157.9</v>
      </c>
      <c r="AF21" t="n">
        <v>2938.8</v>
      </c>
    </row>
    <row r="22">
      <c r="A22" t="s">
        <v>126</v>
      </c>
      <c r="B22" t="s">
        <v>314</v>
      </c>
      <c r="C22" t="s">
        <v>217</v>
      </c>
      <c r="D22" t="s">
        <v>315</v>
      </c>
      <c r="E22" t="s">
        <v>218</v>
      </c>
      <c r="F22" t="n">
        <v>47.3</v>
      </c>
      <c r="G22" t="n">
        <v>49</v>
      </c>
      <c r="H22" t="n">
        <v>51.9</v>
      </c>
      <c r="I22" t="n">
        <v>56.1</v>
      </c>
      <c r="J22" t="n">
        <v>62</v>
      </c>
      <c r="K22" t="n">
        <v>65.9</v>
      </c>
      <c r="L22" t="n">
        <v>91</v>
      </c>
      <c r="M22" t="n">
        <v>95.3</v>
      </c>
      <c r="N22" t="n">
        <v>92.1</v>
      </c>
      <c r="O22" t="n">
        <v>96.4</v>
      </c>
      <c r="P22" t="n">
        <v>87.5</v>
      </c>
      <c r="Q22" t="n">
        <v>111.3</v>
      </c>
      <c r="R22" t="n">
        <v>120.6</v>
      </c>
      <c r="S22" t="n">
        <v>124.2</v>
      </c>
      <c r="T22" t="n">
        <v>132.4</v>
      </c>
      <c r="U22" t="n">
        <v>183.3</v>
      </c>
      <c r="V22" t="n">
        <v>252.9</v>
      </c>
      <c r="W22" t="n">
        <v>337.5</v>
      </c>
      <c r="X22" t="n">
        <v>359.8</v>
      </c>
      <c r="Y22" t="n">
        <v>440.2</v>
      </c>
      <c r="Z22" t="n">
        <v>457.3</v>
      </c>
      <c r="AA22" t="n">
        <v>471.5</v>
      </c>
      <c r="AB22" t="n">
        <v>477.9</v>
      </c>
      <c r="AC22" t="n">
        <v>488.7</v>
      </c>
      <c r="AD22" t="n">
        <v>498.5</v>
      </c>
      <c r="AE22" t="n">
        <v>502.2</v>
      </c>
      <c r="AF22" t="n">
        <v>526.5</v>
      </c>
    </row>
    <row r="23">
      <c r="A23" t="s">
        <v>126</v>
      </c>
      <c r="B23" t="s">
        <v>316</v>
      </c>
      <c r="C23" t="s">
        <v>217</v>
      </c>
      <c r="D23" t="s">
        <v>317</v>
      </c>
      <c r="E23" t="s">
        <v>218</v>
      </c>
      <c r="F23" t="n">
        <v>603.5</v>
      </c>
      <c r="G23" t="n">
        <v>675.8</v>
      </c>
      <c r="H23" t="n">
        <v>771.1</v>
      </c>
      <c r="I23" t="n">
        <v>891</v>
      </c>
      <c r="J23" t="n">
        <v>1080.3</v>
      </c>
      <c r="K23" t="n">
        <v>1184.8</v>
      </c>
      <c r="L23" t="n">
        <v>1484</v>
      </c>
      <c r="M23" t="n">
        <v>1733.7</v>
      </c>
      <c r="N23" t="n">
        <v>1921.8</v>
      </c>
      <c r="O23" t="n">
        <v>2160.1</v>
      </c>
      <c r="P23" t="n">
        <v>2192.3</v>
      </c>
      <c r="Q23" t="n">
        <v>2432</v>
      </c>
      <c r="R23" t="n">
        <v>2984.1</v>
      </c>
      <c r="S23" t="n">
        <v>3666.3</v>
      </c>
      <c r="T23" t="n">
        <v>3773.8</v>
      </c>
      <c r="U23" t="n">
        <v>3499.4</v>
      </c>
      <c r="V23" t="n">
        <v>2904</v>
      </c>
      <c r="W23" t="n">
        <v>2581.7</v>
      </c>
      <c r="X23" t="n">
        <v>2321.1</v>
      </c>
      <c r="Y23" t="n">
        <v>2090.5</v>
      </c>
      <c r="Z23" t="n">
        <v>1862</v>
      </c>
      <c r="AA23" t="n">
        <v>1680.6</v>
      </c>
      <c r="AB23" t="n">
        <v>1514.4</v>
      </c>
      <c r="AC23" t="n">
        <v>1329.9</v>
      </c>
      <c r="AD23" t="n">
        <v>1156.4</v>
      </c>
      <c r="AE23" t="n">
        <v>962.1</v>
      </c>
      <c r="AF23" t="n">
        <v>832.7</v>
      </c>
    </row>
    <row r="24">
      <c r="A24" t="s">
        <v>126</v>
      </c>
      <c r="B24" t="s">
        <v>318</v>
      </c>
      <c r="C24" t="s">
        <v>217</v>
      </c>
      <c r="D24" t="s">
        <v>319</v>
      </c>
      <c r="E24" t="s">
        <v>218</v>
      </c>
      <c r="F24" t="n">
        <v>1215.6</v>
      </c>
      <c r="G24" t="n">
        <v>1219.2</v>
      </c>
      <c r="H24" t="n">
        <v>1251.8</v>
      </c>
      <c r="I24" t="n">
        <v>1279.9</v>
      </c>
      <c r="J24" t="n">
        <v>1375.2</v>
      </c>
      <c r="K24" t="n">
        <v>1367.6</v>
      </c>
      <c r="L24" t="n">
        <v>1479</v>
      </c>
      <c r="M24" t="n">
        <v>1714.7</v>
      </c>
      <c r="N24" t="n">
        <v>1988.2</v>
      </c>
      <c r="O24" t="n">
        <v>2334.3</v>
      </c>
      <c r="P24" t="n">
        <v>2864.3</v>
      </c>
      <c r="Q24" t="n">
        <v>3619.1</v>
      </c>
      <c r="R24" t="n">
        <v>4471.7</v>
      </c>
      <c r="S24" t="n">
        <v>4784.3</v>
      </c>
      <c r="T24" t="n">
        <v>4920.6</v>
      </c>
      <c r="U24" t="n">
        <v>4755.3</v>
      </c>
      <c r="V24" t="n">
        <v>4386.4</v>
      </c>
      <c r="W24" t="n">
        <v>4017.5</v>
      </c>
      <c r="X24" t="n">
        <v>3686</v>
      </c>
      <c r="Y24" t="n">
        <v>3689.4</v>
      </c>
      <c r="Z24" t="n">
        <v>3552</v>
      </c>
      <c r="AA24" t="n">
        <v>3481.4</v>
      </c>
      <c r="AB24" t="n">
        <v>3422.1</v>
      </c>
      <c r="AC24" t="n">
        <v>3241.5</v>
      </c>
      <c r="AD24" t="n">
        <v>3093.4</v>
      </c>
      <c r="AE24" t="n">
        <v>2960.4</v>
      </c>
      <c r="AF24" t="n">
        <v>2914.7</v>
      </c>
    </row>
    <row r="25">
      <c r="A25" t="s">
        <v>126</v>
      </c>
      <c r="B25" t="s">
        <v>320</v>
      </c>
      <c r="C25" t="s">
        <v>217</v>
      </c>
      <c r="D25" t="s">
        <v>321</v>
      </c>
      <c r="E25" t="s">
        <v>218</v>
      </c>
      <c r="F25" t="n">
        <v>119</v>
      </c>
      <c r="G25" t="n">
        <v>115.4</v>
      </c>
      <c r="H25" t="n">
        <v>114.3</v>
      </c>
      <c r="I25" t="n">
        <v>112.6</v>
      </c>
      <c r="J25" t="n">
        <v>116.4</v>
      </c>
      <c r="K25" t="n">
        <v>112.6</v>
      </c>
      <c r="L25" t="n">
        <v>132.5</v>
      </c>
      <c r="M25" t="n">
        <v>149.3</v>
      </c>
      <c r="N25" t="n">
        <v>169.4</v>
      </c>
      <c r="O25" t="n">
        <v>201.6</v>
      </c>
      <c r="P25" t="n">
        <v>236.3</v>
      </c>
      <c r="Q25" t="n">
        <v>306.7</v>
      </c>
      <c r="R25" t="n">
        <v>400.1</v>
      </c>
      <c r="S25" t="n">
        <v>446.5</v>
      </c>
      <c r="T25" t="n">
        <v>462.7</v>
      </c>
      <c r="U25" t="n">
        <v>442.8</v>
      </c>
      <c r="V25" t="n">
        <v>393.3</v>
      </c>
      <c r="W25" t="n">
        <v>344.7</v>
      </c>
      <c r="X25" t="n">
        <v>310.9</v>
      </c>
      <c r="Y25" t="n">
        <v>295.7</v>
      </c>
      <c r="Z25" t="n">
        <v>276</v>
      </c>
      <c r="AA25" t="n">
        <v>286.2</v>
      </c>
      <c r="AB25" t="n">
        <v>296</v>
      </c>
      <c r="AC25" t="n">
        <v>281.9</v>
      </c>
      <c r="AD25" t="n">
        <v>256.7</v>
      </c>
      <c r="AE25" t="n">
        <v>236.6</v>
      </c>
      <c r="AF25" t="n">
        <v>222.9</v>
      </c>
    </row>
    <row r="26">
      <c r="A26" t="s">
        <v>126</v>
      </c>
      <c r="B26" t="s">
        <v>322</v>
      </c>
      <c r="C26" t="s">
        <v>217</v>
      </c>
      <c r="D26" t="s">
        <v>323</v>
      </c>
      <c r="E26" t="s">
        <v>218</v>
      </c>
      <c r="F26" t="n">
        <v>398.9</v>
      </c>
      <c r="G26" t="n">
        <v>407.2</v>
      </c>
      <c r="H26" t="n">
        <v>427.9</v>
      </c>
      <c r="I26" t="n">
        <v>446.6</v>
      </c>
      <c r="J26" t="n">
        <v>490.4</v>
      </c>
      <c r="K26" t="n">
        <v>493</v>
      </c>
      <c r="L26" t="n">
        <v>594.1</v>
      </c>
      <c r="M26" t="n">
        <v>720.6</v>
      </c>
      <c r="N26" t="n">
        <v>809.2</v>
      </c>
      <c r="O26" t="n">
        <v>1056.5</v>
      </c>
      <c r="P26" t="n">
        <v>1296.5</v>
      </c>
      <c r="Q26" t="n">
        <v>1737.4</v>
      </c>
      <c r="R26" t="n">
        <v>2262.1</v>
      </c>
      <c r="S26" t="n">
        <v>2462</v>
      </c>
      <c r="T26" t="n">
        <v>2572.2</v>
      </c>
      <c r="U26" t="n">
        <v>2468.5</v>
      </c>
      <c r="V26" t="n">
        <v>2279.3</v>
      </c>
      <c r="W26" t="n">
        <v>2078.2</v>
      </c>
      <c r="X26" t="n">
        <v>1875.2</v>
      </c>
      <c r="Y26" t="n">
        <v>1902.9</v>
      </c>
      <c r="Z26" t="n">
        <v>1858.1</v>
      </c>
      <c r="AA26" t="n">
        <v>1774</v>
      </c>
      <c r="AB26" t="n">
        <v>1699.1</v>
      </c>
      <c r="AC26" t="n">
        <v>1618.3</v>
      </c>
      <c r="AD26" t="n">
        <v>1541.8</v>
      </c>
      <c r="AE26" t="n">
        <v>1506.5</v>
      </c>
      <c r="AF26" t="n">
        <v>1517.7</v>
      </c>
    </row>
    <row r="27">
      <c r="A27" t="s">
        <v>126</v>
      </c>
      <c r="B27" t="s">
        <v>324</v>
      </c>
      <c r="C27" t="s">
        <v>217</v>
      </c>
      <c r="D27" t="s">
        <v>325</v>
      </c>
      <c r="E27" t="s">
        <v>218</v>
      </c>
      <c r="F27" t="n">
        <v>697.7</v>
      </c>
      <c r="G27" t="n">
        <v>696.6</v>
      </c>
      <c r="H27" t="n">
        <v>709.6</v>
      </c>
      <c r="I27" t="n">
        <v>720.7</v>
      </c>
      <c r="J27" t="n">
        <v>768.4</v>
      </c>
      <c r="K27" t="n">
        <v>762</v>
      </c>
      <c r="L27" t="n">
        <v>752.4</v>
      </c>
      <c r="M27" t="n">
        <v>844.8</v>
      </c>
      <c r="N27" t="n">
        <v>1009.6</v>
      </c>
      <c r="O27" t="n">
        <v>1076.2</v>
      </c>
      <c r="P27" t="n">
        <v>1331.5</v>
      </c>
      <c r="Q27" t="n">
        <v>1575</v>
      </c>
      <c r="R27" t="n">
        <v>1809.5</v>
      </c>
      <c r="S27" t="n">
        <v>1875.8</v>
      </c>
      <c r="T27" t="n">
        <v>1885.7</v>
      </c>
      <c r="U27" t="n">
        <v>1844</v>
      </c>
      <c r="V27" t="n">
        <v>1713.8</v>
      </c>
      <c r="W27" t="n">
        <v>1594.6</v>
      </c>
      <c r="X27" t="n">
        <v>1499.9</v>
      </c>
      <c r="Y27" t="n">
        <v>1490.8</v>
      </c>
      <c r="Z27" t="n">
        <v>1417.9</v>
      </c>
      <c r="AA27" t="n">
        <v>1421.2</v>
      </c>
      <c r="AB27" t="n">
        <v>1427</v>
      </c>
      <c r="AC27" t="n">
        <v>1341.3</v>
      </c>
      <c r="AD27" t="n">
        <v>1294.9</v>
      </c>
      <c r="AE27" t="n">
        <v>1217.3</v>
      </c>
      <c r="AF27" t="n">
        <v>1174.1</v>
      </c>
    </row>
    <row r="28">
      <c r="A28" t="s">
        <v>126</v>
      </c>
      <c r="B28" t="s">
        <v>326</v>
      </c>
      <c r="C28" t="s">
        <v>217</v>
      </c>
      <c r="D28" t="s">
        <v>327</v>
      </c>
      <c r="E28" t="s">
        <v>218</v>
      </c>
      <c r="F28" t="n">
        <v>686.7</v>
      </c>
      <c r="G28" t="n">
        <v>738</v>
      </c>
      <c r="H28" t="n">
        <v>732.8</v>
      </c>
      <c r="I28" t="n">
        <v>749.8</v>
      </c>
      <c r="J28" t="n">
        <v>800.5</v>
      </c>
      <c r="K28" t="n">
        <v>855.1</v>
      </c>
      <c r="L28" t="n">
        <v>949.2</v>
      </c>
      <c r="M28" t="n">
        <v>1198.5</v>
      </c>
      <c r="N28" t="n">
        <v>1421.9</v>
      </c>
      <c r="O28" t="n">
        <v>1605.3</v>
      </c>
      <c r="P28" t="n">
        <v>1473.1</v>
      </c>
      <c r="Q28" t="n">
        <v>1367.7</v>
      </c>
      <c r="R28" t="n">
        <v>1310.8</v>
      </c>
      <c r="S28" t="n">
        <v>1317.9</v>
      </c>
      <c r="T28" t="n">
        <v>1485</v>
      </c>
      <c r="U28" t="n">
        <v>1505.8</v>
      </c>
      <c r="V28" t="n">
        <v>941.5</v>
      </c>
      <c r="W28" t="n">
        <v>811.6</v>
      </c>
      <c r="X28" t="n">
        <v>727.7</v>
      </c>
      <c r="Y28" t="n">
        <v>663.9</v>
      </c>
      <c r="Z28" t="n">
        <v>617.5</v>
      </c>
      <c r="AA28" t="n">
        <v>640.1</v>
      </c>
      <c r="AB28" t="n">
        <v>666.3</v>
      </c>
      <c r="AC28" t="n">
        <v>686.6</v>
      </c>
      <c r="AD28" t="n">
        <v>614.9</v>
      </c>
      <c r="AE28" t="n">
        <v>545.9</v>
      </c>
      <c r="AF28" t="n">
        <v>490.8</v>
      </c>
    </row>
    <row r="29">
      <c r="A29" t="s">
        <v>126</v>
      </c>
      <c r="B29" t="s">
        <v>328</v>
      </c>
      <c r="C29" t="s">
        <v>217</v>
      </c>
      <c r="D29" t="s">
        <v>329</v>
      </c>
      <c r="E29" t="s">
        <v>218</v>
      </c>
      <c r="F29" t="n">
        <v>388.1</v>
      </c>
      <c r="G29" t="n">
        <v>366.4</v>
      </c>
      <c r="H29" t="n">
        <v>335.8</v>
      </c>
      <c r="I29" t="n">
        <v>306.4</v>
      </c>
      <c r="J29" t="n">
        <v>284.4</v>
      </c>
      <c r="K29" t="n">
        <v>254</v>
      </c>
      <c r="L29" t="n">
        <v>257.9</v>
      </c>
      <c r="M29" t="n">
        <v>269.3</v>
      </c>
      <c r="N29" t="n">
        <v>264.8</v>
      </c>
      <c r="O29" t="n">
        <v>294.1</v>
      </c>
      <c r="P29" t="n">
        <v>299.5</v>
      </c>
      <c r="Q29" t="n">
        <v>304.3</v>
      </c>
      <c r="R29" t="n">
        <v>308.7</v>
      </c>
      <c r="S29" t="n">
        <v>330.7</v>
      </c>
      <c r="T29" t="n">
        <v>374</v>
      </c>
      <c r="U29" t="n">
        <v>427.5</v>
      </c>
      <c r="V29" t="n">
        <v>274.2</v>
      </c>
      <c r="W29" t="n">
        <v>237.8</v>
      </c>
      <c r="X29" t="n">
        <v>207</v>
      </c>
      <c r="Y29" t="n">
        <v>182.2</v>
      </c>
      <c r="Z29" t="n">
        <v>159.5</v>
      </c>
      <c r="AA29" t="n">
        <v>140.6</v>
      </c>
      <c r="AB29" t="n">
        <v>127</v>
      </c>
      <c r="AC29" t="n">
        <v>114.4</v>
      </c>
      <c r="AD29" t="n">
        <v>102.2</v>
      </c>
      <c r="AE29" t="n">
        <v>91.6</v>
      </c>
      <c r="AF29" t="n">
        <v>82.3</v>
      </c>
    </row>
    <row r="30">
      <c r="A30" t="s">
        <v>126</v>
      </c>
      <c r="B30" t="s">
        <v>330</v>
      </c>
      <c r="C30" t="s">
        <v>217</v>
      </c>
      <c r="D30" t="s">
        <v>331</v>
      </c>
      <c r="E30" t="s">
        <v>218</v>
      </c>
      <c r="F30" t="n">
        <v>194.2</v>
      </c>
      <c r="G30" t="n">
        <v>263</v>
      </c>
      <c r="H30" t="n">
        <v>290.5</v>
      </c>
      <c r="I30" t="n">
        <v>336.4</v>
      </c>
      <c r="J30" t="n">
        <v>403.9</v>
      </c>
      <c r="K30" t="n">
        <v>487.5</v>
      </c>
      <c r="L30" t="n">
        <v>558.3</v>
      </c>
      <c r="M30" t="n">
        <v>788.5</v>
      </c>
      <c r="N30" t="n">
        <v>1007.7</v>
      </c>
      <c r="O30" t="n">
        <v>1120</v>
      </c>
      <c r="P30" t="n">
        <v>972.1</v>
      </c>
      <c r="Q30" t="n">
        <v>866.4</v>
      </c>
      <c r="R30" t="n">
        <v>774.4</v>
      </c>
      <c r="S30" t="n">
        <v>689.6</v>
      </c>
      <c r="T30" t="n">
        <v>617.6</v>
      </c>
      <c r="U30" t="n">
        <v>540.1</v>
      </c>
      <c r="V30" t="n">
        <v>242.3</v>
      </c>
      <c r="W30" t="n">
        <v>194.5</v>
      </c>
      <c r="X30" t="n">
        <v>163.6</v>
      </c>
      <c r="Y30" t="n">
        <v>133.9</v>
      </c>
      <c r="Z30" t="n">
        <v>108.8</v>
      </c>
      <c r="AA30" t="n">
        <v>88.6</v>
      </c>
      <c r="AB30" t="n">
        <v>72.5</v>
      </c>
      <c r="AC30" t="n">
        <v>59.3</v>
      </c>
      <c r="AD30" t="n">
        <v>48.3</v>
      </c>
      <c r="AE30" t="n">
        <v>39.5</v>
      </c>
      <c r="AF30" t="n">
        <v>32.5</v>
      </c>
    </row>
    <row r="31">
      <c r="A31" t="s">
        <v>126</v>
      </c>
      <c r="B31" t="s">
        <v>332</v>
      </c>
      <c r="C31" t="s">
        <v>217</v>
      </c>
      <c r="D31" t="s">
        <v>333</v>
      </c>
      <c r="E31" t="s">
        <v>218</v>
      </c>
      <c r="F31" t="n">
        <v>66.7</v>
      </c>
      <c r="G31" t="n">
        <v>66.7</v>
      </c>
      <c r="H31" t="n">
        <v>59.9</v>
      </c>
      <c r="I31" t="n">
        <v>53.9</v>
      </c>
      <c r="J31" t="n">
        <v>49.1</v>
      </c>
      <c r="K31" t="n">
        <v>43.3</v>
      </c>
      <c r="L31" t="n">
        <v>57.9</v>
      </c>
      <c r="M31" t="n">
        <v>58.1</v>
      </c>
      <c r="N31" t="n">
        <v>51.1</v>
      </c>
      <c r="O31" t="n">
        <v>44.4</v>
      </c>
      <c r="P31" t="n">
        <v>38.6</v>
      </c>
      <c r="Q31" t="n">
        <v>34.3</v>
      </c>
      <c r="R31" t="n">
        <v>31.4</v>
      </c>
      <c r="S31" t="n">
        <v>29.6</v>
      </c>
      <c r="T31" t="n">
        <v>29</v>
      </c>
      <c r="U31" t="n">
        <v>27.3</v>
      </c>
      <c r="V31" t="n">
        <v>12.1</v>
      </c>
      <c r="W31" t="n">
        <v>10.5</v>
      </c>
      <c r="X31" t="n">
        <v>9</v>
      </c>
      <c r="Y31" t="n">
        <v>8.3</v>
      </c>
      <c r="Z31" t="n">
        <v>7.3</v>
      </c>
      <c r="AA31" t="n">
        <v>7.1</v>
      </c>
      <c r="AB31" t="n">
        <v>6.9</v>
      </c>
      <c r="AC31" t="n">
        <v>7</v>
      </c>
      <c r="AD31" t="n">
        <v>6.1</v>
      </c>
      <c r="AE31" t="n">
        <v>5.2</v>
      </c>
      <c r="AF31" t="n">
        <v>4.5</v>
      </c>
    </row>
    <row r="32">
      <c r="A32" t="s">
        <v>126</v>
      </c>
      <c r="B32" t="s">
        <v>334</v>
      </c>
      <c r="C32" t="s">
        <v>217</v>
      </c>
      <c r="D32" t="s">
        <v>335</v>
      </c>
      <c r="E32" t="s">
        <v>218</v>
      </c>
      <c r="F32" t="n">
        <v>33.2</v>
      </c>
      <c r="G32" t="n">
        <v>32.9</v>
      </c>
      <c r="H32" t="n">
        <v>33</v>
      </c>
      <c r="I32" t="n">
        <v>33.6</v>
      </c>
      <c r="J32" t="n">
        <v>35.8</v>
      </c>
      <c r="K32" t="n">
        <v>36.5</v>
      </c>
      <c r="L32" t="n">
        <v>42.4</v>
      </c>
      <c r="M32" t="n">
        <v>50.2</v>
      </c>
      <c r="N32" t="n">
        <v>66.4</v>
      </c>
      <c r="O32" t="n">
        <v>115.8</v>
      </c>
      <c r="P32" t="n">
        <v>117</v>
      </c>
      <c r="Q32" t="n">
        <v>118.5</v>
      </c>
      <c r="R32" t="n">
        <v>132.3</v>
      </c>
      <c r="S32" t="n">
        <v>184.5</v>
      </c>
      <c r="T32" t="n">
        <v>361</v>
      </c>
      <c r="U32" t="n">
        <v>408.5</v>
      </c>
      <c r="V32" t="n">
        <v>329.7</v>
      </c>
      <c r="W32" t="n">
        <v>295.4</v>
      </c>
      <c r="X32" t="n">
        <v>283.5</v>
      </c>
      <c r="Y32" t="n">
        <v>282.4</v>
      </c>
      <c r="Z32" t="n">
        <v>289.9</v>
      </c>
      <c r="AA32" t="n">
        <v>356.1</v>
      </c>
      <c r="AB32" t="n">
        <v>416.1</v>
      </c>
      <c r="AC32" t="n">
        <v>466.4</v>
      </c>
      <c r="AD32" t="n">
        <v>422.2</v>
      </c>
      <c r="AE32" t="n">
        <v>377.3</v>
      </c>
      <c r="AF32" t="n">
        <v>342.2</v>
      </c>
    </row>
    <row r="33">
      <c r="A33" t="s">
        <v>126</v>
      </c>
      <c r="B33" t="s">
        <v>336</v>
      </c>
      <c r="C33" t="s">
        <v>217</v>
      </c>
      <c r="D33" t="s">
        <v>337</v>
      </c>
      <c r="E33" t="s">
        <v>218</v>
      </c>
      <c r="F33" t="n">
        <v>4.5</v>
      </c>
      <c r="G33" t="n">
        <v>9</v>
      </c>
      <c r="H33" t="n">
        <v>13.6</v>
      </c>
      <c r="I33" t="n">
        <v>19.5</v>
      </c>
      <c r="J33" t="n">
        <v>27.3</v>
      </c>
      <c r="K33" t="n">
        <v>33.8</v>
      </c>
      <c r="L33" t="n">
        <v>32.7</v>
      </c>
      <c r="M33" t="n">
        <v>32.4</v>
      </c>
      <c r="N33" t="n">
        <v>31.9</v>
      </c>
      <c r="O33" t="n">
        <v>31</v>
      </c>
      <c r="P33" t="n">
        <v>45.9</v>
      </c>
      <c r="Q33" t="n">
        <v>44.2</v>
      </c>
      <c r="R33" t="n">
        <v>64</v>
      </c>
      <c r="S33" t="n">
        <v>83.5</v>
      </c>
      <c r="T33" t="n">
        <v>103.4</v>
      </c>
      <c r="U33" t="n">
        <v>102.4</v>
      </c>
      <c r="V33" t="n">
        <v>83.2</v>
      </c>
      <c r="W33" t="n">
        <v>73.4</v>
      </c>
      <c r="X33" t="n">
        <v>64.6</v>
      </c>
      <c r="Y33" t="n">
        <v>57.1</v>
      </c>
      <c r="Z33" t="n">
        <v>52</v>
      </c>
      <c r="AA33" t="n">
        <v>47.7</v>
      </c>
      <c r="AB33" t="n">
        <v>43.8</v>
      </c>
      <c r="AC33" t="n">
        <v>39.5</v>
      </c>
      <c r="AD33" t="n">
        <v>36.1</v>
      </c>
      <c r="AE33" t="n">
        <v>32.3</v>
      </c>
      <c r="AF33" t="n">
        <v>29.3</v>
      </c>
    </row>
    <row r="34">
      <c r="A34" t="s">
        <v>126</v>
      </c>
      <c r="B34" t="s">
        <v>338</v>
      </c>
      <c r="C34" t="s">
        <v>217</v>
      </c>
      <c r="D34" t="s">
        <v>339</v>
      </c>
      <c r="E34" t="s">
        <v>218</v>
      </c>
      <c r="F34" t="n">
        <v>552.5</v>
      </c>
      <c r="G34" t="n">
        <v>546.7</v>
      </c>
      <c r="H34" t="n">
        <v>561</v>
      </c>
      <c r="I34" t="n">
        <v>576.4</v>
      </c>
      <c r="J34" t="n">
        <v>612.4</v>
      </c>
      <c r="K34" t="n">
        <v>623.9</v>
      </c>
      <c r="L34" t="n">
        <v>656.4</v>
      </c>
      <c r="M34" t="n">
        <v>670.3</v>
      </c>
      <c r="N34" t="n">
        <v>705.1</v>
      </c>
      <c r="O34" t="n">
        <v>772.3</v>
      </c>
      <c r="P34" t="n">
        <v>997</v>
      </c>
      <c r="Q34" t="n">
        <v>1294.5</v>
      </c>
      <c r="R34" t="n">
        <v>1551.9</v>
      </c>
      <c r="S34" t="n">
        <v>1993.3</v>
      </c>
      <c r="T34" t="n">
        <v>2285.7</v>
      </c>
      <c r="U34" t="n">
        <v>2201.2</v>
      </c>
      <c r="V34" t="n">
        <v>2223</v>
      </c>
      <c r="W34" t="n">
        <v>2108</v>
      </c>
      <c r="X34" t="n">
        <v>1987.7</v>
      </c>
      <c r="Y34" t="n">
        <v>2145.5</v>
      </c>
      <c r="Z34" t="n">
        <v>2191.5</v>
      </c>
      <c r="AA34" t="n">
        <v>2198.1</v>
      </c>
      <c r="AB34" t="n">
        <v>2191.4</v>
      </c>
      <c r="AC34" t="n">
        <v>2040.3</v>
      </c>
      <c r="AD34" t="n">
        <v>1917.3</v>
      </c>
      <c r="AE34" t="n">
        <v>1809.6</v>
      </c>
      <c r="AF34" t="n">
        <v>1721.9</v>
      </c>
    </row>
    <row r="35">
      <c r="A35" t="s">
        <v>126</v>
      </c>
      <c r="B35" t="s">
        <v>340</v>
      </c>
      <c r="C35" t="s">
        <v>217</v>
      </c>
      <c r="D35" t="s">
        <v>341</v>
      </c>
      <c r="E35" t="s">
        <v>218</v>
      </c>
      <c r="F35" t="n">
        <v>284.6</v>
      </c>
      <c r="G35" t="n">
        <v>369.2</v>
      </c>
      <c r="H35" t="n">
        <v>462.2</v>
      </c>
      <c r="I35" t="n">
        <v>581.2</v>
      </c>
      <c r="J35" t="n">
        <v>736.8</v>
      </c>
      <c r="K35" t="n">
        <v>862.9</v>
      </c>
      <c r="L35" t="n">
        <v>995.5</v>
      </c>
      <c r="M35" t="n">
        <v>1163.7</v>
      </c>
      <c r="N35" t="n">
        <v>1247.1</v>
      </c>
      <c r="O35" t="n">
        <v>1317.1</v>
      </c>
      <c r="P35" t="n">
        <v>1329.8</v>
      </c>
      <c r="Q35" t="n">
        <v>1444.8</v>
      </c>
      <c r="R35" t="n">
        <v>1600.9</v>
      </c>
      <c r="S35" t="n">
        <v>1947.2</v>
      </c>
      <c r="T35" t="n">
        <v>2288.1</v>
      </c>
      <c r="U35" t="n">
        <v>2359.8</v>
      </c>
      <c r="V35" t="n">
        <v>2030.9</v>
      </c>
      <c r="W35" t="n">
        <v>1878.2</v>
      </c>
      <c r="X35" t="n">
        <v>1711.7</v>
      </c>
      <c r="Y35" t="n">
        <v>1604.1</v>
      </c>
      <c r="Z35" t="n">
        <v>1508.9</v>
      </c>
      <c r="AA35" t="n">
        <v>1412.9</v>
      </c>
      <c r="AB35" t="n">
        <v>1321.2</v>
      </c>
      <c r="AC35" t="n">
        <v>1243.9</v>
      </c>
      <c r="AD35" t="n">
        <v>1164</v>
      </c>
      <c r="AE35" t="n">
        <v>1124.2</v>
      </c>
      <c r="AF35" t="n">
        <v>1102.4</v>
      </c>
    </row>
    <row r="36">
      <c r="A36" t="s">
        <v>126</v>
      </c>
      <c r="B36" t="s">
        <v>342</v>
      </c>
      <c r="C36" t="s">
        <v>217</v>
      </c>
      <c r="D36" t="s">
        <v>343</v>
      </c>
      <c r="E36" t="s">
        <v>218</v>
      </c>
      <c r="F36" t="n">
        <v>221.4</v>
      </c>
      <c r="G36" t="n">
        <v>255.6</v>
      </c>
      <c r="H36" t="n">
        <v>296.1</v>
      </c>
      <c r="I36" t="n">
        <v>347.3</v>
      </c>
      <c r="J36" t="n">
        <v>414.3</v>
      </c>
      <c r="K36" t="n">
        <v>466.4</v>
      </c>
      <c r="L36" t="n">
        <v>595.3</v>
      </c>
      <c r="M36" t="n">
        <v>732</v>
      </c>
      <c r="N36" t="n">
        <v>804.1</v>
      </c>
      <c r="O36" t="n">
        <v>861.5</v>
      </c>
      <c r="P36" t="n">
        <v>880.2</v>
      </c>
      <c r="Q36" t="n">
        <v>986.2</v>
      </c>
      <c r="R36" t="n">
        <v>1128.7</v>
      </c>
      <c r="S36" t="n">
        <v>1431.2</v>
      </c>
      <c r="T36" t="n">
        <v>1700.7</v>
      </c>
      <c r="U36" t="n">
        <v>1684.4</v>
      </c>
      <c r="V36" t="n">
        <v>1508.6</v>
      </c>
      <c r="W36" t="n">
        <v>1401.4</v>
      </c>
      <c r="X36" t="n">
        <v>1281.4</v>
      </c>
      <c r="Y36" t="n">
        <v>1191.9</v>
      </c>
      <c r="Z36" t="n">
        <v>1090.5</v>
      </c>
      <c r="AA36" t="n">
        <v>1004.3</v>
      </c>
      <c r="AB36" t="n">
        <v>921.3</v>
      </c>
      <c r="AC36" t="n">
        <v>865</v>
      </c>
      <c r="AD36" t="n">
        <v>816.4</v>
      </c>
      <c r="AE36" t="n">
        <v>800.1</v>
      </c>
      <c r="AF36" t="n">
        <v>793.9</v>
      </c>
    </row>
    <row r="37">
      <c r="A37" t="s">
        <v>126</v>
      </c>
      <c r="B37" t="s">
        <v>344</v>
      </c>
      <c r="C37" t="s">
        <v>217</v>
      </c>
      <c r="D37" t="s">
        <v>345</v>
      </c>
      <c r="E37" t="s">
        <v>218</v>
      </c>
      <c r="F37" t="n">
        <v>45.4</v>
      </c>
      <c r="G37" t="n">
        <v>90.4</v>
      </c>
      <c r="H37" t="n">
        <v>136.8</v>
      </c>
      <c r="I37" t="n">
        <v>196.6</v>
      </c>
      <c r="J37" t="n">
        <v>274.2</v>
      </c>
      <c r="K37" t="n">
        <v>340</v>
      </c>
      <c r="L37" t="n">
        <v>329.4</v>
      </c>
      <c r="M37" t="n">
        <v>328.4</v>
      </c>
      <c r="N37" t="n">
        <v>326.2</v>
      </c>
      <c r="O37" t="n">
        <v>319.5</v>
      </c>
      <c r="P37" t="n">
        <v>321</v>
      </c>
      <c r="Q37" t="n">
        <v>327.2</v>
      </c>
      <c r="R37" t="n">
        <v>334.1</v>
      </c>
      <c r="S37" t="n">
        <v>380.8</v>
      </c>
      <c r="T37" t="n">
        <v>430.3</v>
      </c>
      <c r="U37" t="n">
        <v>496.2</v>
      </c>
      <c r="V37" t="n">
        <v>374.3</v>
      </c>
      <c r="W37" t="n">
        <v>338.8</v>
      </c>
      <c r="X37" t="n">
        <v>304.1</v>
      </c>
      <c r="Y37" t="n">
        <v>282.7</v>
      </c>
      <c r="Z37" t="n">
        <v>293.9</v>
      </c>
      <c r="AA37" t="n">
        <v>281.6</v>
      </c>
      <c r="AB37" t="n">
        <v>271</v>
      </c>
      <c r="AC37" t="n">
        <v>257</v>
      </c>
      <c r="AD37" t="n">
        <v>233</v>
      </c>
      <c r="AE37" t="n">
        <v>212.3</v>
      </c>
      <c r="AF37" t="n">
        <v>196.8</v>
      </c>
    </row>
    <row r="38">
      <c r="A38" t="s">
        <v>126</v>
      </c>
      <c r="B38" t="s">
        <v>346</v>
      </c>
      <c r="C38" t="s">
        <v>217</v>
      </c>
      <c r="D38" t="s">
        <v>347</v>
      </c>
      <c r="E38" t="s">
        <v>218</v>
      </c>
      <c r="F38" t="n">
        <v>17.8</v>
      </c>
      <c r="G38" t="n">
        <v>23.2</v>
      </c>
      <c r="H38" t="n">
        <v>29.3</v>
      </c>
      <c r="I38" t="n">
        <v>37.3</v>
      </c>
      <c r="J38" t="n">
        <v>48.3</v>
      </c>
      <c r="K38" t="n">
        <v>56.5</v>
      </c>
      <c r="L38" t="n">
        <v>70.8</v>
      </c>
      <c r="M38" t="n">
        <v>103.3</v>
      </c>
      <c r="N38" t="n">
        <v>116.8</v>
      </c>
      <c r="O38" t="n">
        <v>136.1</v>
      </c>
      <c r="P38" t="n">
        <v>128.6</v>
      </c>
      <c r="Q38" t="n">
        <v>131.4</v>
      </c>
      <c r="R38" t="n">
        <v>138.1</v>
      </c>
      <c r="S38" t="n">
        <v>135.2</v>
      </c>
      <c r="T38" t="n">
        <v>157.1</v>
      </c>
      <c r="U38" t="n">
        <v>179.2</v>
      </c>
      <c r="V38" t="n">
        <v>148</v>
      </c>
      <c r="W38" t="n">
        <v>138</v>
      </c>
      <c r="X38" t="n">
        <v>126.2</v>
      </c>
      <c r="Y38" t="n">
        <v>129.5</v>
      </c>
      <c r="Z38" t="n">
        <v>124.5</v>
      </c>
      <c r="AA38" t="n">
        <v>127</v>
      </c>
      <c r="AB38" t="n">
        <v>128.9</v>
      </c>
      <c r="AC38" t="n">
        <v>121.9</v>
      </c>
      <c r="AD38" t="n">
        <v>114.6</v>
      </c>
      <c r="AE38" t="n">
        <v>111.8</v>
      </c>
      <c r="AF38" t="n">
        <v>111.7</v>
      </c>
    </row>
    <row r="39">
      <c r="A39" t="s">
        <v>126</v>
      </c>
      <c r="B39" t="s">
        <v>348</v>
      </c>
      <c r="C39" t="s">
        <v>217</v>
      </c>
      <c r="D39" t="s">
        <v>349</v>
      </c>
      <c r="E39" t="s">
        <v>218</v>
      </c>
      <c r="F39" t="n">
        <v>138.3</v>
      </c>
      <c r="G39" t="n">
        <v>187.8</v>
      </c>
      <c r="H39" t="n">
        <v>231.1</v>
      </c>
      <c r="I39" t="n">
        <v>289.4</v>
      </c>
      <c r="J39" t="n">
        <v>362</v>
      </c>
      <c r="K39" t="n">
        <v>444.1</v>
      </c>
      <c r="L39" t="n">
        <v>511.4</v>
      </c>
      <c r="M39" t="n">
        <v>493.3</v>
      </c>
      <c r="N39" t="n">
        <v>468.8</v>
      </c>
      <c r="O39" t="n">
        <v>427.5</v>
      </c>
      <c r="P39" t="n">
        <v>418</v>
      </c>
      <c r="Q39" t="n">
        <v>433.7</v>
      </c>
      <c r="R39" t="n">
        <v>446.6</v>
      </c>
      <c r="S39" t="n">
        <v>488.8</v>
      </c>
      <c r="T39" t="n">
        <v>496.2</v>
      </c>
      <c r="U39" t="n">
        <v>477.6</v>
      </c>
      <c r="V39" t="n">
        <v>485.9</v>
      </c>
      <c r="W39" t="n">
        <v>476.7</v>
      </c>
      <c r="X39" t="n">
        <v>464.3</v>
      </c>
      <c r="Y39" t="n">
        <v>459.6</v>
      </c>
      <c r="Z39" t="n">
        <v>427.9</v>
      </c>
      <c r="AA39" t="n">
        <v>387.7</v>
      </c>
      <c r="AB39" t="n">
        <v>352.4</v>
      </c>
      <c r="AC39" t="n">
        <v>319.3</v>
      </c>
      <c r="AD39" t="n">
        <v>291.2</v>
      </c>
      <c r="AE39" t="n">
        <v>302.4</v>
      </c>
      <c r="AF39" t="n">
        <v>324.8</v>
      </c>
    </row>
    <row r="40">
      <c r="A40" t="s">
        <v>126</v>
      </c>
      <c r="B40" t="s">
        <v>350</v>
      </c>
      <c r="C40" t="s">
        <v>217</v>
      </c>
      <c r="D40" t="s">
        <v>351</v>
      </c>
      <c r="E40" t="s">
        <v>218</v>
      </c>
      <c r="F40" t="n">
        <v>13.4</v>
      </c>
      <c r="G40" t="n">
        <v>13.5</v>
      </c>
      <c r="H40" t="n">
        <v>13.2</v>
      </c>
      <c r="I40" t="n">
        <v>13.4</v>
      </c>
      <c r="J40" t="n">
        <v>13.7</v>
      </c>
      <c r="K40" t="n">
        <v>14</v>
      </c>
      <c r="L40" t="n">
        <v>64.2</v>
      </c>
      <c r="M40" t="n">
        <v>101.9</v>
      </c>
      <c r="N40" t="n">
        <v>106.4</v>
      </c>
      <c r="O40" t="n">
        <v>111.5</v>
      </c>
      <c r="P40" t="n">
        <v>100.3</v>
      </c>
      <c r="Q40" t="n">
        <v>92.4</v>
      </c>
      <c r="R40" t="n">
        <v>87.3</v>
      </c>
      <c r="S40" t="n">
        <v>83.4</v>
      </c>
      <c r="T40" t="n">
        <v>83.3</v>
      </c>
      <c r="U40" t="n">
        <v>83.1</v>
      </c>
      <c r="V40" t="n">
        <v>86</v>
      </c>
      <c r="W40" t="n">
        <v>78.9</v>
      </c>
      <c r="X40" t="n">
        <v>72.1</v>
      </c>
      <c r="Y40" t="n">
        <v>74.3</v>
      </c>
      <c r="Z40" t="n">
        <v>71.2</v>
      </c>
      <c r="AA40" t="n">
        <v>67.3</v>
      </c>
      <c r="AB40" t="n">
        <v>63</v>
      </c>
      <c r="AC40" t="n">
        <v>60.2</v>
      </c>
      <c r="AD40" t="n">
        <v>57.5</v>
      </c>
      <c r="AE40" t="n">
        <v>41.6</v>
      </c>
      <c r="AF40" t="n">
        <v>24.6</v>
      </c>
    </row>
    <row r="41">
      <c r="A41" t="s">
        <v>126</v>
      </c>
      <c r="B41" t="s">
        <v>352</v>
      </c>
      <c r="C41" t="s">
        <v>217</v>
      </c>
      <c r="D41" t="s">
        <v>353</v>
      </c>
      <c r="E41" t="s">
        <v>218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126</v>
      </c>
      <c r="B42" t="s">
        <v>354</v>
      </c>
      <c r="C42" t="s">
        <v>217</v>
      </c>
      <c r="D42" t="s">
        <v>355</v>
      </c>
      <c r="E42" t="s">
        <v>218</v>
      </c>
      <c r="F42" t="n">
        <v>227.9</v>
      </c>
      <c r="G42" t="n">
        <v>275.5</v>
      </c>
      <c r="H42" t="n">
        <v>330.9</v>
      </c>
      <c r="I42" t="n">
        <v>402.8</v>
      </c>
      <c r="J42" t="n">
        <v>490.8</v>
      </c>
      <c r="K42" t="n">
        <v>568.6</v>
      </c>
      <c r="L42" t="n">
        <v>647</v>
      </c>
      <c r="M42" t="n">
        <v>715</v>
      </c>
      <c r="N42" t="n">
        <v>834.3</v>
      </c>
      <c r="O42" t="n">
        <v>961.5</v>
      </c>
      <c r="P42" t="n">
        <v>1002.9</v>
      </c>
      <c r="Q42" t="n">
        <v>1053.4</v>
      </c>
      <c r="R42" t="n">
        <v>1123.5</v>
      </c>
      <c r="S42" t="n">
        <v>1153.6</v>
      </c>
      <c r="T42" t="n">
        <v>1243.2</v>
      </c>
      <c r="U42" t="n">
        <v>1182.7</v>
      </c>
      <c r="V42" t="n">
        <v>1116.5</v>
      </c>
      <c r="W42" t="n">
        <v>1054.9</v>
      </c>
      <c r="X42" t="n">
        <v>976.8</v>
      </c>
      <c r="Y42" t="n">
        <v>924</v>
      </c>
      <c r="Z42" t="n">
        <v>867.9</v>
      </c>
      <c r="AA42" t="n">
        <v>808.5</v>
      </c>
      <c r="AB42" t="n">
        <v>749.4</v>
      </c>
      <c r="AC42" t="n">
        <v>695.4</v>
      </c>
      <c r="AD42" t="n">
        <v>675.5</v>
      </c>
      <c r="AE42" t="n">
        <v>659.3</v>
      </c>
      <c r="AF42" t="n">
        <v>652.4</v>
      </c>
    </row>
    <row r="43">
      <c r="A43" t="s">
        <v>126</v>
      </c>
      <c r="B43" t="s">
        <v>356</v>
      </c>
      <c r="C43" t="s">
        <v>217</v>
      </c>
      <c r="D43" t="s">
        <v>357</v>
      </c>
      <c r="E43" t="s">
        <v>218</v>
      </c>
      <c r="F43" t="n">
        <v>344.1</v>
      </c>
      <c r="G43" t="n">
        <v>402.2</v>
      </c>
      <c r="H43" t="n">
        <v>463.2</v>
      </c>
      <c r="I43" t="n">
        <v>544.6</v>
      </c>
      <c r="J43" t="n">
        <v>645.9</v>
      </c>
      <c r="K43" t="n">
        <v>736.3</v>
      </c>
      <c r="L43" t="n">
        <v>834.6</v>
      </c>
      <c r="M43" t="n">
        <v>936.4</v>
      </c>
      <c r="N43" t="n">
        <v>1086.9</v>
      </c>
      <c r="O43" t="n">
        <v>1279.7</v>
      </c>
      <c r="P43" t="n">
        <v>1418.8</v>
      </c>
      <c r="Q43" t="n">
        <v>1590.1</v>
      </c>
      <c r="R43" t="n">
        <v>1800.5</v>
      </c>
      <c r="S43" t="n">
        <v>2622.8</v>
      </c>
      <c r="T43" t="n">
        <v>3565.8</v>
      </c>
      <c r="U43" t="n">
        <v>3541.4</v>
      </c>
      <c r="V43" t="n">
        <v>3160.1</v>
      </c>
      <c r="W43" t="n">
        <v>2947.3</v>
      </c>
      <c r="X43" t="n">
        <v>2690.4</v>
      </c>
      <c r="Y43" t="n">
        <v>2510.6</v>
      </c>
      <c r="Z43" t="n">
        <v>2400.8</v>
      </c>
      <c r="AA43" t="n">
        <v>2241.5</v>
      </c>
      <c r="AB43" t="n">
        <v>2087.3</v>
      </c>
      <c r="AC43" t="n">
        <v>1960.1</v>
      </c>
      <c r="AD43" t="n">
        <v>1922.3</v>
      </c>
      <c r="AE43" t="n">
        <v>1863.4</v>
      </c>
      <c r="AF43" t="n">
        <v>1840.7</v>
      </c>
    </row>
    <row r="44">
      <c r="A44" t="s">
        <v>126</v>
      </c>
      <c r="B44" t="s">
        <v>358</v>
      </c>
      <c r="C44" t="s">
        <v>217</v>
      </c>
      <c r="D44" t="s">
        <v>359</v>
      </c>
      <c r="E44" t="s">
        <v>218</v>
      </c>
      <c r="F44" t="n">
        <v>12061.9</v>
      </c>
      <c r="G44" t="n">
        <v>12977</v>
      </c>
      <c r="H44" t="n">
        <v>14335.6</v>
      </c>
      <c r="I44" t="n">
        <v>15954.1</v>
      </c>
      <c r="J44" t="n">
        <v>18431.7</v>
      </c>
      <c r="K44" t="n">
        <v>20043.2</v>
      </c>
      <c r="L44" t="n">
        <v>22144.6</v>
      </c>
      <c r="M44" t="n">
        <v>23802.7</v>
      </c>
      <c r="N44" t="n">
        <v>25177.4</v>
      </c>
      <c r="O44" t="n">
        <v>27046</v>
      </c>
      <c r="P44" t="n">
        <v>28096.5</v>
      </c>
      <c r="Q44" t="n">
        <v>29836.6</v>
      </c>
      <c r="R44" t="n">
        <v>33044.6</v>
      </c>
      <c r="S44" t="n">
        <v>37612.8</v>
      </c>
      <c r="T44" t="n">
        <v>40277.1</v>
      </c>
      <c r="U44" t="n">
        <v>39916.2</v>
      </c>
      <c r="V44" t="n">
        <v>36542.4</v>
      </c>
      <c r="W44" t="n">
        <v>35827.8</v>
      </c>
      <c r="X44" t="n">
        <v>33334.6</v>
      </c>
      <c r="Y44" t="n">
        <v>32450.5</v>
      </c>
      <c r="Z44" t="n">
        <v>31626.7</v>
      </c>
      <c r="AA44" t="n">
        <v>30567.6</v>
      </c>
      <c r="AB44" t="n">
        <v>29544.6</v>
      </c>
      <c r="AC44" t="n">
        <v>28929.1</v>
      </c>
      <c r="AD44" t="n">
        <v>28349.7</v>
      </c>
      <c r="AE44" t="n">
        <v>28524.5</v>
      </c>
      <c r="AF44" t="n">
        <v>29481.6</v>
      </c>
    </row>
    <row r="45">
      <c r="A45" t="s">
        <v>126</v>
      </c>
      <c r="B45" t="s">
        <v>360</v>
      </c>
      <c r="C45" t="s">
        <v>217</v>
      </c>
      <c r="D45" t="s">
        <v>361</v>
      </c>
      <c r="E45" t="s">
        <v>218</v>
      </c>
      <c r="F45" t="n">
        <v>10628</v>
      </c>
      <c r="G45" t="n">
        <v>11492.4</v>
      </c>
      <c r="H45" t="n">
        <v>12742.6</v>
      </c>
      <c r="I45" t="n">
        <v>14224.8</v>
      </c>
      <c r="J45" t="n">
        <v>16462</v>
      </c>
      <c r="K45" t="n">
        <v>17954.1</v>
      </c>
      <c r="L45" t="n">
        <v>19924</v>
      </c>
      <c r="M45" t="n">
        <v>21563.6</v>
      </c>
      <c r="N45" t="n">
        <v>22722.6</v>
      </c>
      <c r="O45" t="n">
        <v>24315.3</v>
      </c>
      <c r="P45" t="n">
        <v>25182.2</v>
      </c>
      <c r="Q45" t="n">
        <v>26944.7</v>
      </c>
      <c r="R45" t="n">
        <v>29808.5</v>
      </c>
      <c r="S45" t="n">
        <v>33761</v>
      </c>
      <c r="T45" t="n">
        <v>36129.5</v>
      </c>
      <c r="U45" t="n">
        <v>35600.3</v>
      </c>
      <c r="V45" t="n">
        <v>32322.3</v>
      </c>
      <c r="W45" t="n">
        <v>31688.2</v>
      </c>
      <c r="X45" t="n">
        <v>29260.3</v>
      </c>
      <c r="Y45" t="n">
        <v>28411</v>
      </c>
      <c r="Z45" t="n">
        <v>27583.6</v>
      </c>
      <c r="AA45" t="n">
        <v>26516.1</v>
      </c>
      <c r="AB45" t="n">
        <v>25476.5</v>
      </c>
      <c r="AC45" t="n">
        <v>24804.9</v>
      </c>
      <c r="AD45" t="n">
        <v>24165.9</v>
      </c>
      <c r="AE45" t="n">
        <v>24163.3</v>
      </c>
      <c r="AF45" t="n">
        <v>24812.4</v>
      </c>
    </row>
    <row r="46">
      <c r="A46" t="s">
        <v>126</v>
      </c>
      <c r="B46" t="s">
        <v>362</v>
      </c>
      <c r="C46" t="s">
        <v>217</v>
      </c>
      <c r="D46" t="s">
        <v>363</v>
      </c>
      <c r="E46" t="s">
        <v>218</v>
      </c>
      <c r="F46" t="n">
        <v>116.2</v>
      </c>
      <c r="G46" t="n">
        <v>126.7</v>
      </c>
      <c r="H46" t="n">
        <v>132.3</v>
      </c>
      <c r="I46" t="n">
        <v>141.8</v>
      </c>
      <c r="J46" t="n">
        <v>155.1</v>
      </c>
      <c r="K46" t="n">
        <v>167.7</v>
      </c>
      <c r="L46" t="n">
        <v>187.6</v>
      </c>
      <c r="M46" t="n">
        <v>221.4</v>
      </c>
      <c r="N46" t="n">
        <v>252.6</v>
      </c>
      <c r="O46" t="n">
        <v>318.2</v>
      </c>
      <c r="P46" t="n">
        <v>415.9</v>
      </c>
      <c r="Q46" t="n">
        <v>536.7</v>
      </c>
      <c r="R46" t="n">
        <v>677</v>
      </c>
      <c r="S46" t="n">
        <v>1469.2</v>
      </c>
      <c r="T46" t="n">
        <v>2322.6</v>
      </c>
      <c r="U46" t="n">
        <v>2358.7</v>
      </c>
      <c r="V46" t="n">
        <v>2043.6</v>
      </c>
      <c r="W46" t="n">
        <v>1892.4</v>
      </c>
      <c r="X46" t="n">
        <v>1713.6</v>
      </c>
      <c r="Y46" t="n">
        <v>1586.6</v>
      </c>
      <c r="Z46" t="n">
        <v>1532.9</v>
      </c>
      <c r="AA46" t="n">
        <v>1433</v>
      </c>
      <c r="AB46" t="n">
        <v>1337.9</v>
      </c>
      <c r="AC46" t="n">
        <v>1264.7</v>
      </c>
      <c r="AD46" t="n">
        <v>1246.8</v>
      </c>
      <c r="AE46" t="n">
        <v>1204.1</v>
      </c>
      <c r="AF46" t="n">
        <v>1188.3</v>
      </c>
    </row>
    <row r="47">
      <c r="A47" t="s">
        <v>126</v>
      </c>
      <c r="B47" t="s">
        <v>364</v>
      </c>
      <c r="C47" t="s">
        <v>217</v>
      </c>
      <c r="D47" t="s">
        <v>365</v>
      </c>
      <c r="E47" t="s">
        <v>218</v>
      </c>
      <c r="F47" t="n">
        <v>1468.2</v>
      </c>
      <c r="G47" t="n">
        <v>1443.2</v>
      </c>
      <c r="H47" t="n">
        <v>1670.4</v>
      </c>
      <c r="I47" t="n">
        <v>2038</v>
      </c>
      <c r="J47" t="n">
        <v>3174.2</v>
      </c>
      <c r="K47" t="n">
        <v>3224</v>
      </c>
      <c r="L47" t="n">
        <v>3459.4</v>
      </c>
      <c r="M47" t="n">
        <v>4463.4</v>
      </c>
      <c r="N47" t="n">
        <v>5229.1</v>
      </c>
      <c r="O47" t="n">
        <v>5818.6</v>
      </c>
      <c r="P47" t="n">
        <v>5973.5</v>
      </c>
      <c r="Q47" t="n">
        <v>6637</v>
      </c>
      <c r="R47" t="n">
        <v>6986.8</v>
      </c>
      <c r="S47" t="n">
        <v>7504.4</v>
      </c>
      <c r="T47" t="n">
        <v>8605.9</v>
      </c>
      <c r="U47" t="n">
        <v>8801.5</v>
      </c>
      <c r="V47" t="n">
        <v>23858</v>
      </c>
      <c r="W47" t="n">
        <v>22333.8</v>
      </c>
      <c r="X47" t="n">
        <v>21086.1</v>
      </c>
      <c r="Y47" t="n">
        <v>20865.8</v>
      </c>
      <c r="Z47" t="n">
        <v>20306.5</v>
      </c>
      <c r="AA47" t="n">
        <v>19137.1</v>
      </c>
      <c r="AB47" t="n">
        <v>18953.5</v>
      </c>
      <c r="AC47" t="n">
        <v>17956.4</v>
      </c>
      <c r="AD47" t="n">
        <v>17283.6</v>
      </c>
      <c r="AE47" t="n">
        <v>16589</v>
      </c>
      <c r="AF47" t="n">
        <v>16434.9</v>
      </c>
    </row>
    <row r="48">
      <c r="A48" t="s">
        <v>126</v>
      </c>
      <c r="B48" t="s">
        <v>366</v>
      </c>
      <c r="C48" t="s">
        <v>217</v>
      </c>
      <c r="D48" t="s">
        <v>367</v>
      </c>
      <c r="E48" t="s">
        <v>218</v>
      </c>
      <c r="F48" t="n">
        <v>2622.3</v>
      </c>
      <c r="G48" t="n">
        <v>2803.2</v>
      </c>
      <c r="H48" t="n">
        <v>3257.7</v>
      </c>
      <c r="I48" t="n">
        <v>3923.5</v>
      </c>
      <c r="J48" t="n">
        <v>5411.3</v>
      </c>
      <c r="K48" t="n">
        <v>5831.6</v>
      </c>
      <c r="L48" t="n">
        <v>6553.4</v>
      </c>
      <c r="M48" t="n">
        <v>7981.6</v>
      </c>
      <c r="N48" t="n">
        <v>9126</v>
      </c>
      <c r="O48" t="n">
        <v>10109.2</v>
      </c>
      <c r="P48" t="n">
        <v>10324.1</v>
      </c>
      <c r="Q48" t="n">
        <v>11038.4</v>
      </c>
      <c r="R48" t="n">
        <v>11546.4</v>
      </c>
      <c r="S48" t="n">
        <v>12191</v>
      </c>
      <c r="T48" t="n">
        <v>13424.3</v>
      </c>
      <c r="U48" t="n">
        <v>13505.4</v>
      </c>
      <c r="V48" t="n">
        <v>28170.1</v>
      </c>
      <c r="W48" t="n">
        <v>26393.4</v>
      </c>
      <c r="X48" t="n">
        <v>24909.2</v>
      </c>
      <c r="Y48" t="n">
        <v>24465.7</v>
      </c>
      <c r="Z48" t="n">
        <v>23721.2</v>
      </c>
      <c r="AA48" t="n">
        <v>22348.9</v>
      </c>
      <c r="AB48" t="n">
        <v>21999.8</v>
      </c>
      <c r="AC48" t="n">
        <v>20906.7</v>
      </c>
      <c r="AD48" t="n">
        <v>20158.1</v>
      </c>
      <c r="AE48" t="n">
        <v>19387.4</v>
      </c>
      <c r="AF48" t="n">
        <v>19191.8</v>
      </c>
    </row>
    <row r="49">
      <c r="A49" t="s">
        <v>126</v>
      </c>
      <c r="B49" t="s">
        <v>368</v>
      </c>
      <c r="C49" t="s">
        <v>217</v>
      </c>
      <c r="D49" t="s">
        <v>369</v>
      </c>
      <c r="E49" t="s">
        <v>218</v>
      </c>
      <c r="F49" t="n">
        <v>365.7</v>
      </c>
      <c r="G49" t="n">
        <v>451.3</v>
      </c>
      <c r="H49" t="n">
        <v>543</v>
      </c>
      <c r="I49" t="n">
        <v>660.6</v>
      </c>
      <c r="J49" t="n">
        <v>813.7</v>
      </c>
      <c r="K49" t="n">
        <v>974.8</v>
      </c>
      <c r="L49" t="n">
        <v>1094.9</v>
      </c>
      <c r="M49" t="n">
        <v>1184.3</v>
      </c>
      <c r="N49" t="n">
        <v>1383</v>
      </c>
      <c r="O49" t="n">
        <v>1537.9</v>
      </c>
      <c r="P49" t="n">
        <v>1547.8</v>
      </c>
      <c r="Q49" t="n">
        <v>1619.7</v>
      </c>
      <c r="R49" t="n">
        <v>1671.1</v>
      </c>
      <c r="S49" t="n">
        <v>1722.8</v>
      </c>
      <c r="T49" t="n">
        <v>1726.6</v>
      </c>
      <c r="U49" t="n">
        <v>1675.5</v>
      </c>
      <c r="V49" t="n">
        <v>1487.1</v>
      </c>
      <c r="W49" t="n">
        <v>1378.7</v>
      </c>
      <c r="X49" t="n">
        <v>1280.1</v>
      </c>
      <c r="Y49" t="n">
        <v>1187.9</v>
      </c>
      <c r="Z49" t="n">
        <v>1099.2</v>
      </c>
      <c r="AA49" t="n">
        <v>1008.6</v>
      </c>
      <c r="AB49" t="n">
        <v>923.2</v>
      </c>
      <c r="AC49" t="n">
        <v>860.6</v>
      </c>
      <c r="AD49" t="n">
        <v>811.8</v>
      </c>
      <c r="AE49" t="n">
        <v>770</v>
      </c>
      <c r="AF49" t="n">
        <v>729</v>
      </c>
    </row>
    <row r="50">
      <c r="A50" t="s">
        <v>126</v>
      </c>
      <c r="B50" t="s">
        <v>370</v>
      </c>
      <c r="C50" t="s">
        <v>217</v>
      </c>
      <c r="D50" t="s">
        <v>371</v>
      </c>
      <c r="E50" t="s">
        <v>218</v>
      </c>
      <c r="F50" t="n">
        <v>788.4</v>
      </c>
      <c r="G50" t="n">
        <v>908.7</v>
      </c>
      <c r="H50" t="n">
        <v>1044.3</v>
      </c>
      <c r="I50" t="n">
        <v>1224.9</v>
      </c>
      <c r="J50" t="n">
        <v>1423.4</v>
      </c>
      <c r="K50" t="n">
        <v>1632.8</v>
      </c>
      <c r="L50" t="n">
        <v>1999.1</v>
      </c>
      <c r="M50" t="n">
        <v>2333.8</v>
      </c>
      <c r="N50" t="n">
        <v>2513.9</v>
      </c>
      <c r="O50" t="n">
        <v>2752.7</v>
      </c>
      <c r="P50" t="n">
        <v>2802.8</v>
      </c>
      <c r="Q50" t="n">
        <v>2781.7</v>
      </c>
      <c r="R50" t="n">
        <v>2888.5</v>
      </c>
      <c r="S50" t="n">
        <v>2963.8</v>
      </c>
      <c r="T50" t="n">
        <v>3091.8</v>
      </c>
      <c r="U50" t="n">
        <v>3028.5</v>
      </c>
      <c r="V50" t="n">
        <v>2825.1</v>
      </c>
      <c r="W50" t="n">
        <v>2680.9</v>
      </c>
      <c r="X50" t="n">
        <v>2543.1</v>
      </c>
      <c r="Y50" t="n">
        <v>2412</v>
      </c>
      <c r="Z50" t="n">
        <v>2315.5</v>
      </c>
      <c r="AA50" t="n">
        <v>2203.2</v>
      </c>
      <c r="AB50" t="n">
        <v>2123</v>
      </c>
      <c r="AC50" t="n">
        <v>2089.7</v>
      </c>
      <c r="AD50" t="n">
        <v>2062.6</v>
      </c>
      <c r="AE50" t="n">
        <v>2028.4</v>
      </c>
      <c r="AF50" t="n">
        <v>2028</v>
      </c>
    </row>
    <row r="51">
      <c r="A51" t="s">
        <v>126</v>
      </c>
      <c r="B51" t="s">
        <v>372</v>
      </c>
      <c r="C51" t="s">
        <v>217</v>
      </c>
      <c r="D51" t="s">
        <v>373</v>
      </c>
      <c r="E51" t="s">
        <v>218</v>
      </c>
      <c r="F51" t="n">
        <v>734.7</v>
      </c>
      <c r="G51" t="n">
        <v>845.1</v>
      </c>
      <c r="H51" t="n">
        <v>969.1</v>
      </c>
      <c r="I51" t="n">
        <v>1135.2</v>
      </c>
      <c r="J51" t="n">
        <v>1322.2</v>
      </c>
      <c r="K51" t="n">
        <v>1521.8</v>
      </c>
      <c r="L51" t="n">
        <v>1869.7</v>
      </c>
      <c r="M51" t="n">
        <v>2186.6</v>
      </c>
      <c r="N51" t="n">
        <v>2357.3</v>
      </c>
      <c r="O51" t="n">
        <v>2582.8</v>
      </c>
      <c r="P51" t="n">
        <v>2631.7</v>
      </c>
      <c r="Q51" t="n">
        <v>2601.6</v>
      </c>
      <c r="R51" t="n">
        <v>2699.8</v>
      </c>
      <c r="S51" t="n">
        <v>2759</v>
      </c>
      <c r="T51" t="n">
        <v>2879.7</v>
      </c>
      <c r="U51" t="n">
        <v>2826.5</v>
      </c>
      <c r="V51" t="n">
        <v>2602.2</v>
      </c>
      <c r="W51" t="n">
        <v>2470.8</v>
      </c>
      <c r="X51" t="n">
        <v>2345.5</v>
      </c>
      <c r="Y51" t="n">
        <v>2229.3</v>
      </c>
      <c r="Z51" t="n">
        <v>2145.4</v>
      </c>
      <c r="AA51" t="n">
        <v>2043.1</v>
      </c>
      <c r="AB51" t="n">
        <v>1973.6</v>
      </c>
      <c r="AC51" t="n">
        <v>1948.5</v>
      </c>
      <c r="AD51" t="n">
        <v>1930.4</v>
      </c>
      <c r="AE51" t="n">
        <v>1902.8</v>
      </c>
      <c r="AF51" t="n">
        <v>1907.5</v>
      </c>
    </row>
    <row r="52">
      <c r="A52" t="s">
        <v>126</v>
      </c>
      <c r="B52" t="s">
        <v>374</v>
      </c>
      <c r="C52" t="s">
        <v>217</v>
      </c>
      <c r="D52" t="s">
        <v>375</v>
      </c>
      <c r="E52" t="s">
        <v>218</v>
      </c>
      <c r="F52" t="n">
        <v>53.7</v>
      </c>
      <c r="G52" t="n">
        <v>63.6</v>
      </c>
      <c r="H52" t="n">
        <v>75.2</v>
      </c>
      <c r="I52" t="n">
        <v>89.7</v>
      </c>
      <c r="J52" t="n">
        <v>101.2</v>
      </c>
      <c r="K52" t="n">
        <v>111</v>
      </c>
      <c r="L52" t="n">
        <v>129.4</v>
      </c>
      <c r="M52" t="n">
        <v>147.2</v>
      </c>
      <c r="N52" t="n">
        <v>156.6</v>
      </c>
      <c r="O52" t="n">
        <v>169.9</v>
      </c>
      <c r="P52" t="n">
        <v>171.1</v>
      </c>
      <c r="Q52" t="n">
        <v>180.1</v>
      </c>
      <c r="R52" t="n">
        <v>188.7</v>
      </c>
      <c r="S52" t="n">
        <v>204.8</v>
      </c>
      <c r="T52" t="n">
        <v>212.1</v>
      </c>
      <c r="U52" t="n">
        <v>202</v>
      </c>
      <c r="V52" t="n">
        <v>222.9</v>
      </c>
      <c r="W52" t="n">
        <v>210.1</v>
      </c>
      <c r="X52" t="n">
        <v>197.6</v>
      </c>
      <c r="Y52" t="n">
        <v>182.7</v>
      </c>
      <c r="Z52" t="n">
        <v>170.1</v>
      </c>
      <c r="AA52" t="n">
        <v>160.1</v>
      </c>
      <c r="AB52" t="n">
        <v>149.4</v>
      </c>
      <c r="AC52" t="n">
        <v>141.2</v>
      </c>
      <c r="AD52" t="n">
        <v>132.2</v>
      </c>
      <c r="AE52" t="n">
        <v>125.6</v>
      </c>
      <c r="AF52" t="n">
        <v>120.5</v>
      </c>
    </row>
    <row r="53">
      <c r="A53" t="s">
        <v>126</v>
      </c>
      <c r="B53" t="s">
        <v>376</v>
      </c>
      <c r="C53" t="s">
        <v>217</v>
      </c>
      <c r="D53" t="s">
        <v>377</v>
      </c>
      <c r="E53" t="s">
        <v>218</v>
      </c>
      <c r="F53" t="n">
        <v>241.1</v>
      </c>
      <c r="G53" t="n">
        <v>277.2</v>
      </c>
      <c r="H53" t="n">
        <v>320</v>
      </c>
      <c r="I53" t="n">
        <v>376</v>
      </c>
      <c r="J53" t="n">
        <v>432.1</v>
      </c>
      <c r="K53" t="n">
        <v>484.6</v>
      </c>
      <c r="L53" t="n">
        <v>669.2</v>
      </c>
      <c r="M53" t="n">
        <v>845.4</v>
      </c>
      <c r="N53" t="n">
        <v>995.5</v>
      </c>
      <c r="O53" t="n">
        <v>1095.5</v>
      </c>
      <c r="P53" t="n">
        <v>1129.1</v>
      </c>
      <c r="Q53" t="n">
        <v>1236.4</v>
      </c>
      <c r="R53" t="n">
        <v>1316.5</v>
      </c>
      <c r="S53" t="n">
        <v>1450.3</v>
      </c>
      <c r="T53" t="n">
        <v>1492.2</v>
      </c>
      <c r="U53" t="n">
        <v>1474</v>
      </c>
      <c r="V53" t="n">
        <v>1453.7</v>
      </c>
      <c r="W53" t="n">
        <v>1356.4</v>
      </c>
      <c r="X53" t="n">
        <v>1281.7</v>
      </c>
      <c r="Y53" t="n">
        <v>1214.1</v>
      </c>
      <c r="Z53" t="n">
        <v>1138.1</v>
      </c>
      <c r="AA53" t="n">
        <v>1081.5</v>
      </c>
      <c r="AB53" t="n">
        <v>1030.2</v>
      </c>
      <c r="AC53" t="n">
        <v>988.3</v>
      </c>
      <c r="AD53" t="n">
        <v>943.2</v>
      </c>
      <c r="AE53" t="n">
        <v>904</v>
      </c>
      <c r="AF53" t="n">
        <v>886.5</v>
      </c>
    </row>
    <row r="54">
      <c r="A54" t="s">
        <v>126</v>
      </c>
      <c r="B54" t="s">
        <v>378</v>
      </c>
      <c r="C54" t="s">
        <v>217</v>
      </c>
      <c r="D54" t="s">
        <v>379</v>
      </c>
      <c r="E54" t="s">
        <v>218</v>
      </c>
      <c r="F54" t="n">
        <v>640.9</v>
      </c>
      <c r="G54" t="n">
        <v>968.5</v>
      </c>
      <c r="H54" t="n">
        <v>1304.5</v>
      </c>
      <c r="I54" t="n">
        <v>1728.3</v>
      </c>
      <c r="J54" t="n">
        <v>2227.8</v>
      </c>
      <c r="K54" t="n">
        <v>2759.3</v>
      </c>
      <c r="L54" t="n">
        <v>2957.3</v>
      </c>
      <c r="M54" t="n">
        <v>3143.5</v>
      </c>
      <c r="N54" t="n">
        <v>3256.7</v>
      </c>
      <c r="O54" t="n">
        <v>3398.7</v>
      </c>
      <c r="P54" t="n">
        <v>3468.9</v>
      </c>
      <c r="Q54" t="n">
        <v>3643.6</v>
      </c>
      <c r="R54" t="n">
        <v>3811.4</v>
      </c>
      <c r="S54" t="n">
        <v>4053.4</v>
      </c>
      <c r="T54" t="n">
        <v>4141.9</v>
      </c>
      <c r="U54" t="n">
        <v>4200.9</v>
      </c>
      <c r="V54" t="n">
        <v>3429.5</v>
      </c>
      <c r="W54" t="n">
        <v>3179.8</v>
      </c>
      <c r="X54" t="n">
        <v>2957.8</v>
      </c>
      <c r="Y54" t="n">
        <v>2754.7</v>
      </c>
      <c r="Z54" t="n">
        <v>2576.4</v>
      </c>
      <c r="AA54" t="n">
        <v>2415.8</v>
      </c>
      <c r="AB54" t="n">
        <v>2262.9</v>
      </c>
      <c r="AC54" t="n">
        <v>2144.1</v>
      </c>
      <c r="AD54" t="n">
        <v>2022.1</v>
      </c>
      <c r="AE54" t="n">
        <v>1917.9</v>
      </c>
      <c r="AF54" t="n">
        <v>1841.2</v>
      </c>
    </row>
    <row r="55">
      <c r="A55" t="s">
        <v>126</v>
      </c>
      <c r="B55" t="s">
        <v>380</v>
      </c>
      <c r="C55" t="s">
        <v>217</v>
      </c>
      <c r="D55" t="s">
        <v>381</v>
      </c>
      <c r="E55" t="s">
        <v>218</v>
      </c>
      <c r="F55" t="n">
        <v>399.8</v>
      </c>
      <c r="G55" t="n">
        <v>691.3</v>
      </c>
      <c r="H55" t="n">
        <v>984.5</v>
      </c>
      <c r="I55" t="n">
        <v>1352.3</v>
      </c>
      <c r="J55" t="n">
        <v>1795.7</v>
      </c>
      <c r="K55" t="n">
        <v>2274.7</v>
      </c>
      <c r="L55" t="n">
        <v>2288.1</v>
      </c>
      <c r="M55" t="n">
        <v>2298.1</v>
      </c>
      <c r="N55" t="n">
        <v>2261.2</v>
      </c>
      <c r="O55" t="n">
        <v>2303.2</v>
      </c>
      <c r="P55" t="n">
        <v>2339.8</v>
      </c>
      <c r="Q55" t="n">
        <v>2407.2</v>
      </c>
      <c r="R55" t="n">
        <v>2494.9</v>
      </c>
      <c r="S55" t="n">
        <v>2603.1</v>
      </c>
      <c r="T55" t="n">
        <v>2649.7</v>
      </c>
      <c r="U55" t="n">
        <v>2726.9</v>
      </c>
      <c r="V55" t="n">
        <v>1975.8</v>
      </c>
      <c r="W55" t="n">
        <v>1823.4</v>
      </c>
      <c r="X55" t="n">
        <v>1676.1</v>
      </c>
      <c r="Y55" t="n">
        <v>1540.6</v>
      </c>
      <c r="Z55" t="n">
        <v>1438.3</v>
      </c>
      <c r="AA55" t="n">
        <v>1334.3</v>
      </c>
      <c r="AB55" t="n">
        <v>1232.7</v>
      </c>
      <c r="AC55" t="n">
        <v>1155.8</v>
      </c>
      <c r="AD55" t="n">
        <v>1078.9</v>
      </c>
      <c r="AE55" t="n">
        <v>1013.9</v>
      </c>
      <c r="AF55" t="n">
        <v>954.7</v>
      </c>
    </row>
    <row r="56">
      <c r="A56" t="s">
        <v>126</v>
      </c>
      <c r="B56" t="s">
        <v>382</v>
      </c>
      <c r="C56" t="s">
        <v>217</v>
      </c>
      <c r="D56" t="s">
        <v>383</v>
      </c>
      <c r="E56" t="s">
        <v>218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126</v>
      </c>
      <c r="B57" t="s">
        <v>384</v>
      </c>
      <c r="C57" t="s">
        <v>217</v>
      </c>
      <c r="D57" t="s">
        <v>385</v>
      </c>
      <c r="E57" t="s">
        <v>218</v>
      </c>
      <c r="F57" t="n">
        <v>14697.6</v>
      </c>
      <c r="G57" t="n">
        <v>15793.7</v>
      </c>
      <c r="H57" t="n">
        <v>17606.5</v>
      </c>
      <c r="I57" t="n">
        <v>19891</v>
      </c>
      <c r="J57" t="n">
        <v>23856.7</v>
      </c>
      <c r="K57" t="n">
        <v>25888.8</v>
      </c>
      <c r="L57" t="n">
        <v>28762.2</v>
      </c>
      <c r="M57" t="n">
        <v>31886.1</v>
      </c>
      <c r="N57" t="n">
        <v>34409.8</v>
      </c>
      <c r="O57" t="n">
        <v>37266.7</v>
      </c>
      <c r="P57" t="n">
        <v>38520.9</v>
      </c>
      <c r="Q57" t="n">
        <v>40967.4</v>
      </c>
      <c r="R57" t="n">
        <v>44678.3</v>
      </c>
      <c r="S57" t="n">
        <v>49887.2</v>
      </c>
      <c r="T57" t="n">
        <v>53784.7</v>
      </c>
      <c r="U57" t="n">
        <v>53504.8</v>
      </c>
      <c r="V57" t="n">
        <v>64798.6</v>
      </c>
      <c r="W57" t="n">
        <v>62300.1</v>
      </c>
      <c r="X57" t="n">
        <v>58316</v>
      </c>
      <c r="Y57" t="n">
        <v>56990.5</v>
      </c>
      <c r="Z57" t="n">
        <v>55419.1</v>
      </c>
      <c r="AA57" t="n">
        <v>52983.8</v>
      </c>
      <c r="AB57" t="n">
        <v>51607.3</v>
      </c>
      <c r="AC57" t="n">
        <v>49896</v>
      </c>
      <c r="AD57" t="n">
        <v>48565.2</v>
      </c>
      <c r="AE57" t="n">
        <v>47953.5</v>
      </c>
      <c r="AF57" t="n">
        <v>48698.1</v>
      </c>
    </row>
    <row r="58">
      <c r="A58" t="s">
        <v>126</v>
      </c>
      <c r="B58" t="s">
        <v>386</v>
      </c>
      <c r="C58" t="s">
        <v>217</v>
      </c>
      <c r="D58" t="s">
        <v>387</v>
      </c>
      <c r="E58" t="s">
        <v>218</v>
      </c>
      <c r="F58" t="n">
        <v>14697.6</v>
      </c>
      <c r="G58" t="n">
        <v>15793.7</v>
      </c>
      <c r="H58" t="n">
        <v>17606.5</v>
      </c>
      <c r="I58" t="n">
        <v>19891</v>
      </c>
      <c r="J58" t="n">
        <v>23856.7</v>
      </c>
      <c r="K58" t="n">
        <v>25888.8</v>
      </c>
      <c r="L58" t="n">
        <v>28762.2</v>
      </c>
      <c r="M58" t="n">
        <v>31886.1</v>
      </c>
      <c r="N58" t="n">
        <v>34409.8</v>
      </c>
      <c r="O58" t="n">
        <v>37266.7</v>
      </c>
      <c r="P58" t="n">
        <v>38520.9</v>
      </c>
      <c r="Q58" t="n">
        <v>40967.4</v>
      </c>
      <c r="R58" t="n">
        <v>44678.3</v>
      </c>
      <c r="S58" t="n">
        <v>49887.2</v>
      </c>
      <c r="T58" t="n">
        <v>53784.7</v>
      </c>
      <c r="U58" t="n">
        <v>53504.8</v>
      </c>
      <c r="V58" t="n">
        <v>64798.6</v>
      </c>
      <c r="W58" t="n">
        <v>62300.1</v>
      </c>
      <c r="X58" t="n">
        <v>58316</v>
      </c>
      <c r="Y58" t="n">
        <v>56990.5</v>
      </c>
      <c r="Z58" t="n">
        <v>55419.1</v>
      </c>
      <c r="AA58" t="n">
        <v>52983.8</v>
      </c>
      <c r="AB58" t="n">
        <v>51607.3</v>
      </c>
      <c r="AC58" t="n">
        <v>49896</v>
      </c>
      <c r="AD58" t="n">
        <v>48565.2</v>
      </c>
      <c r="AE58" t="n">
        <v>47953.5</v>
      </c>
      <c r="AF58" t="n">
        <v>48698.1</v>
      </c>
    </row>
    <row r="59">
      <c r="A59" t="s">
        <v>126</v>
      </c>
      <c r="B59" t="s">
        <v>388</v>
      </c>
      <c r="C59" t="s">
        <v>217</v>
      </c>
      <c r="D59" t="s">
        <v>389</v>
      </c>
      <c r="E59" t="s">
        <v>218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128</v>
      </c>
      <c r="B2" t="s">
        <v>197</v>
      </c>
      <c r="C2" t="s">
        <v>217</v>
      </c>
      <c r="D2" t="s">
        <v>199</v>
      </c>
      <c r="E2" t="s">
        <v>218</v>
      </c>
      <c r="F2" t="n">
        <v>6516.5</v>
      </c>
      <c r="G2" t="n">
        <v>6947.6</v>
      </c>
      <c r="H2" t="n">
        <v>7320.3</v>
      </c>
      <c r="I2" t="n">
        <v>7663.4</v>
      </c>
      <c r="J2" t="n">
        <v>8030.6</v>
      </c>
      <c r="K2" t="n">
        <v>8266.9</v>
      </c>
      <c r="L2" t="n">
        <v>8462</v>
      </c>
      <c r="M2" t="n">
        <v>8568.4</v>
      </c>
      <c r="N2" t="n">
        <v>8825</v>
      </c>
      <c r="O2" t="n">
        <v>8982.1</v>
      </c>
      <c r="P2" t="n">
        <v>9174.6</v>
      </c>
      <c r="Q2" t="n">
        <v>9184.8</v>
      </c>
      <c r="R2" t="n">
        <v>9765.6</v>
      </c>
      <c r="S2" t="n">
        <v>10008.9</v>
      </c>
      <c r="T2" t="n">
        <v>10246.2</v>
      </c>
      <c r="U2" t="n">
        <v>9942.2</v>
      </c>
      <c r="V2" t="n">
        <v>9864</v>
      </c>
      <c r="W2" t="n">
        <v>9338.6</v>
      </c>
      <c r="X2" t="n">
        <v>9060</v>
      </c>
      <c r="Y2" t="n">
        <v>8773.7</v>
      </c>
      <c r="Z2" t="n">
        <v>8344.6</v>
      </c>
      <c r="AA2" t="n">
        <v>8009.4</v>
      </c>
      <c r="AB2" t="n">
        <v>7739.4</v>
      </c>
      <c r="AC2" t="n">
        <v>7576.7</v>
      </c>
      <c r="AD2" t="n">
        <v>7459.6</v>
      </c>
      <c r="AE2" t="n">
        <v>7279.3</v>
      </c>
      <c r="AF2" t="n">
        <v>7134</v>
      </c>
    </row>
    <row r="3">
      <c r="A3" t="s">
        <v>128</v>
      </c>
      <c r="B3" t="s">
        <v>276</v>
      </c>
      <c r="C3" t="s">
        <v>217</v>
      </c>
      <c r="D3" t="s">
        <v>277</v>
      </c>
      <c r="E3" t="s">
        <v>218</v>
      </c>
      <c r="F3" t="n">
        <v>1422.3</v>
      </c>
      <c r="G3" t="n">
        <v>1523.7</v>
      </c>
      <c r="H3" t="n">
        <v>1613.9</v>
      </c>
      <c r="I3" t="n">
        <v>1699.2</v>
      </c>
      <c r="J3" t="n">
        <v>1791.4</v>
      </c>
      <c r="K3" t="n">
        <v>1853.9</v>
      </c>
      <c r="L3" t="n">
        <v>1871.7</v>
      </c>
      <c r="M3" t="n">
        <v>1861.5</v>
      </c>
      <c r="N3" t="n">
        <v>1877.9</v>
      </c>
      <c r="O3" t="n">
        <v>1860.1</v>
      </c>
      <c r="P3" t="n">
        <v>1860.4</v>
      </c>
      <c r="Q3" t="n">
        <v>1811.1</v>
      </c>
      <c r="R3" t="n">
        <v>1883.9</v>
      </c>
      <c r="S3" t="n">
        <v>1963.3</v>
      </c>
      <c r="T3" t="n">
        <v>2078.1</v>
      </c>
      <c r="U3" t="n">
        <v>2122.5</v>
      </c>
      <c r="V3" t="n">
        <v>2159.5</v>
      </c>
      <c r="W3" t="n">
        <v>2130.4</v>
      </c>
      <c r="X3" t="n">
        <v>2142.1</v>
      </c>
      <c r="Y3" t="n">
        <v>2107.2</v>
      </c>
      <c r="Z3" t="n">
        <v>2069</v>
      </c>
      <c r="AA3" t="n">
        <v>2229.9</v>
      </c>
      <c r="AB3" t="n">
        <v>2343.2</v>
      </c>
      <c r="AC3" t="n">
        <v>2345.1</v>
      </c>
      <c r="AD3" t="n">
        <v>2345.9</v>
      </c>
      <c r="AE3" t="n">
        <v>2270.5</v>
      </c>
      <c r="AF3" t="n">
        <v>2206.3</v>
      </c>
    </row>
    <row r="4">
      <c r="A4" t="s">
        <v>128</v>
      </c>
      <c r="B4" t="s">
        <v>278</v>
      </c>
      <c r="C4" t="s">
        <v>217</v>
      </c>
      <c r="D4" t="s">
        <v>279</v>
      </c>
      <c r="E4" t="s">
        <v>218</v>
      </c>
      <c r="F4" t="n">
        <v>4364.6</v>
      </c>
      <c r="G4" t="n">
        <v>4714.3</v>
      </c>
      <c r="H4" t="n">
        <v>5044.6</v>
      </c>
      <c r="I4" t="n">
        <v>5375.9</v>
      </c>
      <c r="J4" t="n">
        <v>5745.5</v>
      </c>
      <c r="K4" t="n">
        <v>6012.9</v>
      </c>
      <c r="L4" t="n">
        <v>6364.1</v>
      </c>
      <c r="M4" t="n">
        <v>6333.6</v>
      </c>
      <c r="N4" t="n">
        <v>6623.3</v>
      </c>
      <c r="O4" t="n">
        <v>6859.1</v>
      </c>
      <c r="P4" t="n">
        <v>6978.9</v>
      </c>
      <c r="Q4" t="n">
        <v>7360.3</v>
      </c>
      <c r="R4" t="n">
        <v>7848.9</v>
      </c>
      <c r="S4" t="n">
        <v>8012.8</v>
      </c>
      <c r="T4" t="n">
        <v>8992.3</v>
      </c>
      <c r="U4" t="n">
        <v>9654.1</v>
      </c>
      <c r="V4" t="n">
        <v>8415.8</v>
      </c>
      <c r="W4" t="n">
        <v>8146.3</v>
      </c>
      <c r="X4" t="n">
        <v>7878.3</v>
      </c>
      <c r="Y4" t="n">
        <v>7665.4</v>
      </c>
      <c r="Z4" t="n">
        <v>7293.4</v>
      </c>
      <c r="AA4" t="n">
        <v>6983.8</v>
      </c>
      <c r="AB4" t="n">
        <v>6717.8</v>
      </c>
      <c r="AC4" t="n">
        <v>6687.2</v>
      </c>
      <c r="AD4" t="n">
        <v>6619.8</v>
      </c>
      <c r="AE4" t="n">
        <v>6538.1</v>
      </c>
      <c r="AF4" t="n">
        <v>6493.1</v>
      </c>
    </row>
    <row r="5">
      <c r="A5" t="s">
        <v>128</v>
      </c>
      <c r="B5" t="s">
        <v>280</v>
      </c>
      <c r="C5" t="s">
        <v>217</v>
      </c>
      <c r="D5" t="s">
        <v>281</v>
      </c>
      <c r="E5" t="s">
        <v>218</v>
      </c>
      <c r="F5" t="n">
        <v>1033.4</v>
      </c>
      <c r="G5" t="n">
        <v>1115.3</v>
      </c>
      <c r="H5" t="n">
        <v>1192.9</v>
      </c>
      <c r="I5" t="n">
        <v>1271</v>
      </c>
      <c r="J5" t="n">
        <v>1358.6</v>
      </c>
      <c r="K5" t="n">
        <v>1422</v>
      </c>
      <c r="L5" t="n">
        <v>1499.4</v>
      </c>
      <c r="M5" t="n">
        <v>1493.2</v>
      </c>
      <c r="N5" t="n">
        <v>1587.9</v>
      </c>
      <c r="O5" t="n">
        <v>1691.6</v>
      </c>
      <c r="P5" t="n">
        <v>1708.8</v>
      </c>
      <c r="Q5" t="n">
        <v>1744.6</v>
      </c>
      <c r="R5" t="n">
        <v>1856.2</v>
      </c>
      <c r="S5" t="n">
        <v>1922.4</v>
      </c>
      <c r="T5" t="n">
        <v>2107.4</v>
      </c>
      <c r="U5" t="n">
        <v>2185.4</v>
      </c>
      <c r="V5" t="n">
        <v>1974.9</v>
      </c>
      <c r="W5" t="n">
        <v>1867.6</v>
      </c>
      <c r="X5" t="n">
        <v>1822.3</v>
      </c>
      <c r="Y5" t="n">
        <v>1814.2</v>
      </c>
      <c r="Z5" t="n">
        <v>1790.1</v>
      </c>
      <c r="AA5" t="n">
        <v>1759.4</v>
      </c>
      <c r="AB5" t="n">
        <v>1726.5</v>
      </c>
      <c r="AC5" t="n">
        <v>1764.3</v>
      </c>
      <c r="AD5" t="n">
        <v>1770.3</v>
      </c>
      <c r="AE5" t="n">
        <v>1775</v>
      </c>
      <c r="AF5" t="n">
        <v>1790.2</v>
      </c>
    </row>
    <row r="6">
      <c r="A6" t="s">
        <v>128</v>
      </c>
      <c r="B6" t="s">
        <v>282</v>
      </c>
      <c r="C6" t="s">
        <v>217</v>
      </c>
      <c r="D6" t="s">
        <v>283</v>
      </c>
      <c r="E6" t="s">
        <v>218</v>
      </c>
      <c r="F6" t="n">
        <v>1050.6</v>
      </c>
      <c r="G6" t="n">
        <v>1104.2</v>
      </c>
      <c r="H6" t="n">
        <v>1147.5</v>
      </c>
      <c r="I6" t="n">
        <v>1185.7</v>
      </c>
      <c r="J6" t="n">
        <v>1227.1</v>
      </c>
      <c r="K6" t="n">
        <v>1247.9</v>
      </c>
      <c r="L6" t="n">
        <v>1284.4</v>
      </c>
      <c r="M6" t="n">
        <v>1271.2</v>
      </c>
      <c r="N6" t="n">
        <v>1294.1</v>
      </c>
      <c r="O6" t="n">
        <v>1295.4</v>
      </c>
      <c r="P6" t="n">
        <v>1288.5</v>
      </c>
      <c r="Q6" t="n">
        <v>1261.9</v>
      </c>
      <c r="R6" t="n">
        <v>1337</v>
      </c>
      <c r="S6" t="n">
        <v>1308.8</v>
      </c>
      <c r="T6" t="n">
        <v>1335.7</v>
      </c>
      <c r="U6" t="n">
        <v>1262.3</v>
      </c>
      <c r="V6" t="n">
        <v>1194.9</v>
      </c>
      <c r="W6" t="n">
        <v>1099.4</v>
      </c>
      <c r="X6" t="n">
        <v>1044.1</v>
      </c>
      <c r="Y6" t="n">
        <v>995.8</v>
      </c>
      <c r="Z6" t="n">
        <v>921.7</v>
      </c>
      <c r="AA6" t="n">
        <v>860.9</v>
      </c>
      <c r="AB6" t="n">
        <v>811.9</v>
      </c>
      <c r="AC6" t="n">
        <v>778</v>
      </c>
      <c r="AD6" t="n">
        <v>748.2</v>
      </c>
      <c r="AE6" t="n">
        <v>723.9</v>
      </c>
      <c r="AF6" t="n">
        <v>704</v>
      </c>
    </row>
    <row r="7">
      <c r="A7" t="s">
        <v>128</v>
      </c>
      <c r="B7" t="s">
        <v>284</v>
      </c>
      <c r="C7" t="s">
        <v>217</v>
      </c>
      <c r="D7" t="s">
        <v>285</v>
      </c>
      <c r="E7" t="s">
        <v>218</v>
      </c>
      <c r="F7" t="n">
        <v>160.7</v>
      </c>
      <c r="G7" t="n">
        <v>192.4</v>
      </c>
      <c r="H7" t="n">
        <v>226.5</v>
      </c>
      <c r="I7" t="n">
        <v>263.6</v>
      </c>
      <c r="J7" t="n">
        <v>305.4</v>
      </c>
      <c r="K7" t="n">
        <v>341.5</v>
      </c>
      <c r="L7" t="n">
        <v>358.2</v>
      </c>
      <c r="M7" t="n">
        <v>361.5</v>
      </c>
      <c r="N7" t="n">
        <v>365.6</v>
      </c>
      <c r="O7" t="n">
        <v>430.8</v>
      </c>
      <c r="P7" t="n">
        <v>435.6</v>
      </c>
      <c r="Q7" t="n">
        <v>487.5</v>
      </c>
      <c r="R7" t="n">
        <v>545.1</v>
      </c>
      <c r="S7" t="n">
        <v>551.1</v>
      </c>
      <c r="T7" t="n">
        <v>573.6</v>
      </c>
      <c r="U7" t="n">
        <v>589.7</v>
      </c>
      <c r="V7" t="n">
        <v>519.3</v>
      </c>
      <c r="W7" t="n">
        <v>491.5</v>
      </c>
      <c r="X7" t="n">
        <v>472.9</v>
      </c>
      <c r="Y7" t="n">
        <v>468</v>
      </c>
      <c r="Z7" t="n">
        <v>446.1</v>
      </c>
      <c r="AA7" t="n">
        <v>433.7</v>
      </c>
      <c r="AB7" t="n">
        <v>422.5</v>
      </c>
      <c r="AC7" t="n">
        <v>411.7</v>
      </c>
      <c r="AD7" t="n">
        <v>402.8</v>
      </c>
      <c r="AE7" t="n">
        <v>394.5</v>
      </c>
      <c r="AF7" t="n">
        <v>388.5</v>
      </c>
    </row>
    <row r="8">
      <c r="A8" t="s">
        <v>128</v>
      </c>
      <c r="B8" t="s">
        <v>286</v>
      </c>
      <c r="C8" t="s">
        <v>217</v>
      </c>
      <c r="D8" t="s">
        <v>287</v>
      </c>
      <c r="E8" t="s">
        <v>218</v>
      </c>
      <c r="F8" t="n">
        <v>159</v>
      </c>
      <c r="G8" t="n">
        <v>166.8</v>
      </c>
      <c r="H8" t="n">
        <v>173.1</v>
      </c>
      <c r="I8" t="n">
        <v>178.7</v>
      </c>
      <c r="J8" t="n">
        <v>185</v>
      </c>
      <c r="K8" t="n">
        <v>188.2</v>
      </c>
      <c r="L8" t="n">
        <v>186.5</v>
      </c>
      <c r="M8" t="n">
        <v>182.8</v>
      </c>
      <c r="N8" t="n">
        <v>186.6</v>
      </c>
      <c r="O8" t="n">
        <v>189.5</v>
      </c>
      <c r="P8" t="n">
        <v>228.8</v>
      </c>
      <c r="Q8" t="n">
        <v>223.6</v>
      </c>
      <c r="R8" t="n">
        <v>231.3</v>
      </c>
      <c r="S8" t="n">
        <v>236.5</v>
      </c>
      <c r="T8" t="n">
        <v>594.7</v>
      </c>
      <c r="U8" t="n">
        <v>1089.2</v>
      </c>
      <c r="V8" t="n">
        <v>596</v>
      </c>
      <c r="W8" t="n">
        <v>831</v>
      </c>
      <c r="X8" t="n">
        <v>809.1</v>
      </c>
      <c r="Y8" t="n">
        <v>770.1</v>
      </c>
      <c r="Z8" t="n">
        <v>722.9</v>
      </c>
      <c r="AA8" t="n">
        <v>673.7</v>
      </c>
      <c r="AB8" t="n">
        <v>634.5</v>
      </c>
      <c r="AC8" t="n">
        <v>622.1</v>
      </c>
      <c r="AD8" t="n">
        <v>606.8</v>
      </c>
      <c r="AE8" t="n">
        <v>584.6</v>
      </c>
      <c r="AF8" t="n">
        <v>565.8</v>
      </c>
    </row>
    <row r="9">
      <c r="A9" t="s">
        <v>128</v>
      </c>
      <c r="B9" t="s">
        <v>288</v>
      </c>
      <c r="C9" t="s">
        <v>217</v>
      </c>
      <c r="D9" t="s">
        <v>289</v>
      </c>
      <c r="E9" t="s">
        <v>218</v>
      </c>
      <c r="F9" t="n">
        <v>171.7</v>
      </c>
      <c r="G9" t="n">
        <v>200.3</v>
      </c>
      <c r="H9" t="n">
        <v>230.4</v>
      </c>
      <c r="I9" t="n">
        <v>262.8</v>
      </c>
      <c r="J9" t="n">
        <v>299</v>
      </c>
      <c r="K9" t="n">
        <v>329.3</v>
      </c>
      <c r="L9" t="n">
        <v>352.4</v>
      </c>
      <c r="M9" t="n">
        <v>351.2</v>
      </c>
      <c r="N9" t="n">
        <v>366.8</v>
      </c>
      <c r="O9" t="n">
        <v>371.8</v>
      </c>
      <c r="P9" t="n">
        <v>386.4</v>
      </c>
      <c r="Q9" t="n">
        <v>382.7</v>
      </c>
      <c r="R9" t="n">
        <v>404.3</v>
      </c>
      <c r="S9" t="n">
        <v>414.8</v>
      </c>
      <c r="T9" t="n">
        <v>427.9</v>
      </c>
      <c r="U9" t="n">
        <v>420.1</v>
      </c>
      <c r="V9" t="n">
        <v>401.6</v>
      </c>
      <c r="W9" t="n">
        <v>374.8</v>
      </c>
      <c r="X9" t="n">
        <v>379.8</v>
      </c>
      <c r="Y9" t="n">
        <v>367.6</v>
      </c>
      <c r="Z9" t="n">
        <v>330.9</v>
      </c>
      <c r="AA9" t="n">
        <v>319</v>
      </c>
      <c r="AB9" t="n">
        <v>308.5</v>
      </c>
      <c r="AC9" t="n">
        <v>308.1</v>
      </c>
      <c r="AD9" t="n">
        <v>314.2</v>
      </c>
      <c r="AE9" t="n">
        <v>310.2</v>
      </c>
      <c r="AF9" t="n">
        <v>308</v>
      </c>
    </row>
    <row r="10">
      <c r="A10" t="s">
        <v>128</v>
      </c>
      <c r="B10" t="s">
        <v>290</v>
      </c>
      <c r="C10" t="s">
        <v>217</v>
      </c>
      <c r="D10" t="s">
        <v>291</v>
      </c>
      <c r="E10" t="s">
        <v>218</v>
      </c>
      <c r="F10" t="n">
        <v>235</v>
      </c>
      <c r="G10" t="n">
        <v>274.2</v>
      </c>
      <c r="H10" t="n">
        <v>315.4</v>
      </c>
      <c r="I10" t="n">
        <v>359.8</v>
      </c>
      <c r="J10" t="n">
        <v>409.3</v>
      </c>
      <c r="K10" t="n">
        <v>450.8</v>
      </c>
      <c r="L10" t="n">
        <v>482.5</v>
      </c>
      <c r="M10" t="n">
        <v>480.9</v>
      </c>
      <c r="N10" t="n">
        <v>502.3</v>
      </c>
      <c r="O10" t="n">
        <v>509.2</v>
      </c>
      <c r="P10" t="n">
        <v>527.6</v>
      </c>
      <c r="Q10" t="n">
        <v>523.9</v>
      </c>
      <c r="R10" t="n">
        <v>557</v>
      </c>
      <c r="S10" t="n">
        <v>577.3</v>
      </c>
      <c r="T10" t="n">
        <v>645.9</v>
      </c>
      <c r="U10" t="n">
        <v>665.7</v>
      </c>
      <c r="V10" t="n">
        <v>583.2</v>
      </c>
      <c r="W10" t="n">
        <v>543.9</v>
      </c>
      <c r="X10" t="n">
        <v>547.6</v>
      </c>
      <c r="Y10" t="n">
        <v>547.8</v>
      </c>
      <c r="Z10" t="n">
        <v>506.8</v>
      </c>
      <c r="AA10" t="n">
        <v>494</v>
      </c>
      <c r="AB10" t="n">
        <v>481.9</v>
      </c>
      <c r="AC10" t="n">
        <v>517.1</v>
      </c>
      <c r="AD10" t="n">
        <v>542.8</v>
      </c>
      <c r="AE10" t="n">
        <v>561</v>
      </c>
      <c r="AF10" t="n">
        <v>582.3</v>
      </c>
    </row>
    <row r="11">
      <c r="A11" t="s">
        <v>128</v>
      </c>
      <c r="B11" t="s">
        <v>292</v>
      </c>
      <c r="C11" t="s">
        <v>217</v>
      </c>
      <c r="D11" t="s">
        <v>293</v>
      </c>
      <c r="E11" t="s">
        <v>218</v>
      </c>
      <c r="F11" t="n">
        <v>63.3</v>
      </c>
      <c r="G11" t="n">
        <v>73.9</v>
      </c>
      <c r="H11" t="n">
        <v>85</v>
      </c>
      <c r="I11" t="n">
        <v>97</v>
      </c>
      <c r="J11" t="n">
        <v>110.3</v>
      </c>
      <c r="K11" t="n">
        <v>121.5</v>
      </c>
      <c r="L11" t="n">
        <v>130.1</v>
      </c>
      <c r="M11" t="n">
        <v>129.7</v>
      </c>
      <c r="N11" t="n">
        <v>135.5</v>
      </c>
      <c r="O11" t="n">
        <v>137.4</v>
      </c>
      <c r="P11" t="n">
        <v>141.2</v>
      </c>
      <c r="Q11" t="n">
        <v>141.2</v>
      </c>
      <c r="R11" t="n">
        <v>152.7</v>
      </c>
      <c r="S11" t="n">
        <v>162.5</v>
      </c>
      <c r="T11" t="n">
        <v>218</v>
      </c>
      <c r="U11" t="n">
        <v>245.6</v>
      </c>
      <c r="V11" t="n">
        <v>181.6</v>
      </c>
      <c r="W11" t="n">
        <v>169.1</v>
      </c>
      <c r="X11" t="n">
        <v>167.8</v>
      </c>
      <c r="Y11" t="n">
        <v>180.2</v>
      </c>
      <c r="Z11" t="n">
        <v>175.9</v>
      </c>
      <c r="AA11" t="n">
        <v>175</v>
      </c>
      <c r="AB11" t="n">
        <v>173.4</v>
      </c>
      <c r="AC11" t="n">
        <v>209</v>
      </c>
      <c r="AD11" t="n">
        <v>228.6</v>
      </c>
      <c r="AE11" t="n">
        <v>250.8</v>
      </c>
      <c r="AF11" t="n">
        <v>274.3</v>
      </c>
    </row>
    <row r="12">
      <c r="A12" t="s">
        <v>128</v>
      </c>
      <c r="B12" t="s">
        <v>294</v>
      </c>
      <c r="C12" t="s">
        <v>217</v>
      </c>
      <c r="D12" t="s">
        <v>295</v>
      </c>
      <c r="E12" t="s">
        <v>218</v>
      </c>
      <c r="F12" t="n">
        <v>453.2</v>
      </c>
      <c r="G12" t="n">
        <v>487</v>
      </c>
      <c r="H12" t="n">
        <v>518.5</v>
      </c>
      <c r="I12" t="n">
        <v>549.7</v>
      </c>
      <c r="J12" t="n">
        <v>584.6</v>
      </c>
      <c r="K12" t="n">
        <v>608.9</v>
      </c>
      <c r="L12" t="n">
        <v>645.8</v>
      </c>
      <c r="M12" t="n">
        <v>642.1</v>
      </c>
      <c r="N12" t="n">
        <v>715.6</v>
      </c>
      <c r="O12" t="n">
        <v>729.9</v>
      </c>
      <c r="P12" t="n">
        <v>744.9</v>
      </c>
      <c r="Q12" t="n">
        <v>753.3</v>
      </c>
      <c r="R12" t="n">
        <v>817.7</v>
      </c>
      <c r="S12" t="n">
        <v>867.3</v>
      </c>
      <c r="T12" t="n">
        <v>1023.3</v>
      </c>
      <c r="U12" t="n">
        <v>1015.1</v>
      </c>
      <c r="V12" t="n">
        <v>965.1</v>
      </c>
      <c r="W12" t="n">
        <v>905.9</v>
      </c>
      <c r="X12" t="n">
        <v>888.4</v>
      </c>
      <c r="Y12" t="n">
        <v>853.9</v>
      </c>
      <c r="Z12" t="n">
        <v>804.9</v>
      </c>
      <c r="AA12" t="n">
        <v>764.6</v>
      </c>
      <c r="AB12" t="n">
        <v>730.6</v>
      </c>
      <c r="AC12" t="n">
        <v>713.3</v>
      </c>
      <c r="AD12" t="n">
        <v>701.3</v>
      </c>
      <c r="AE12" t="n">
        <v>685.1</v>
      </c>
      <c r="AF12" t="n">
        <v>673.3</v>
      </c>
    </row>
    <row r="13">
      <c r="A13" t="s">
        <v>128</v>
      </c>
      <c r="B13" t="s">
        <v>296</v>
      </c>
      <c r="C13" t="s">
        <v>217</v>
      </c>
      <c r="D13" t="s">
        <v>297</v>
      </c>
      <c r="E13" t="s">
        <v>218</v>
      </c>
      <c r="F13" t="n">
        <v>569.4</v>
      </c>
      <c r="G13" t="n">
        <v>629.5</v>
      </c>
      <c r="H13" t="n">
        <v>689.6</v>
      </c>
      <c r="I13" t="n">
        <v>752.4</v>
      </c>
      <c r="J13" t="n">
        <v>822.8</v>
      </c>
      <c r="K13" t="n">
        <v>878.2</v>
      </c>
      <c r="L13" t="n">
        <v>961.8</v>
      </c>
      <c r="M13" t="n">
        <v>958.7</v>
      </c>
      <c r="N13" t="n">
        <v>982.3</v>
      </c>
      <c r="O13" t="n">
        <v>1006.9</v>
      </c>
      <c r="P13" t="n">
        <v>1009.9</v>
      </c>
      <c r="Q13" t="n">
        <v>1196</v>
      </c>
      <c r="R13" t="n">
        <v>1258</v>
      </c>
      <c r="S13" t="n">
        <v>1280.6</v>
      </c>
      <c r="T13" t="n">
        <v>1362.3</v>
      </c>
      <c r="U13" t="n">
        <v>1430.7</v>
      </c>
      <c r="V13" t="n">
        <v>1311.5</v>
      </c>
      <c r="W13" t="n">
        <v>1217.4</v>
      </c>
      <c r="X13" t="n">
        <v>1175.4</v>
      </c>
      <c r="Y13" t="n">
        <v>1118.2</v>
      </c>
      <c r="Z13" t="n">
        <v>1049.5</v>
      </c>
      <c r="AA13" t="n">
        <v>985.7</v>
      </c>
      <c r="AB13" t="n">
        <v>933.1</v>
      </c>
      <c r="AC13" t="n">
        <v>929.1</v>
      </c>
      <c r="AD13" t="n">
        <v>898.8</v>
      </c>
      <c r="AE13" t="n">
        <v>885.4</v>
      </c>
      <c r="AF13" t="n">
        <v>875</v>
      </c>
    </row>
    <row r="14">
      <c r="A14" t="s">
        <v>128</v>
      </c>
      <c r="B14" t="s">
        <v>298</v>
      </c>
      <c r="C14" t="s">
        <v>217</v>
      </c>
      <c r="D14" t="s">
        <v>299</v>
      </c>
      <c r="E14" t="s">
        <v>218</v>
      </c>
      <c r="F14" t="n">
        <v>38.6</v>
      </c>
      <c r="G14" t="n">
        <v>40.9</v>
      </c>
      <c r="H14" t="n">
        <v>43.1</v>
      </c>
      <c r="I14" t="n">
        <v>45.2</v>
      </c>
      <c r="J14" t="n">
        <v>47.5</v>
      </c>
      <c r="K14" t="n">
        <v>49</v>
      </c>
      <c r="L14" t="n">
        <v>72.8</v>
      </c>
      <c r="M14" t="n">
        <v>73.4</v>
      </c>
      <c r="N14" t="n">
        <v>77.1</v>
      </c>
      <c r="O14" t="n">
        <v>90.5</v>
      </c>
      <c r="P14" t="n">
        <v>91.8</v>
      </c>
      <c r="Q14" t="n">
        <v>88.3</v>
      </c>
      <c r="R14" t="n">
        <v>92.6</v>
      </c>
      <c r="S14" t="n">
        <v>90.9</v>
      </c>
      <c r="T14" t="n">
        <v>90.1</v>
      </c>
      <c r="U14" t="n">
        <v>111.7</v>
      </c>
      <c r="V14" t="n">
        <v>81</v>
      </c>
      <c r="W14" t="n">
        <v>76.6</v>
      </c>
      <c r="X14" t="n">
        <v>74.7</v>
      </c>
      <c r="Y14" t="n">
        <v>72</v>
      </c>
      <c r="Z14" t="n">
        <v>66</v>
      </c>
      <c r="AA14" t="n">
        <v>62.2</v>
      </c>
      <c r="AB14" t="n">
        <v>59</v>
      </c>
      <c r="AC14" t="n">
        <v>57.2</v>
      </c>
      <c r="AD14" t="n">
        <v>56.5</v>
      </c>
      <c r="AE14" t="n">
        <v>54.6</v>
      </c>
      <c r="AF14" t="n">
        <v>53.1</v>
      </c>
    </row>
    <row r="15">
      <c r="A15" t="s">
        <v>128</v>
      </c>
      <c r="B15" t="s">
        <v>300</v>
      </c>
      <c r="C15" t="s">
        <v>217</v>
      </c>
      <c r="D15" t="s">
        <v>301</v>
      </c>
      <c r="E15" t="s">
        <v>218</v>
      </c>
      <c r="F15" t="n">
        <v>188.6</v>
      </c>
      <c r="G15" t="n">
        <v>206.9</v>
      </c>
      <c r="H15" t="n">
        <v>225.1</v>
      </c>
      <c r="I15" t="n">
        <v>243.8</v>
      </c>
      <c r="J15" t="n">
        <v>264.7</v>
      </c>
      <c r="K15" t="n">
        <v>280.6</v>
      </c>
      <c r="L15" t="n">
        <v>305.6</v>
      </c>
      <c r="M15" t="n">
        <v>305.1</v>
      </c>
      <c r="N15" t="n">
        <v>318.8</v>
      </c>
      <c r="O15" t="n">
        <v>338</v>
      </c>
      <c r="P15" t="n">
        <v>342.5</v>
      </c>
      <c r="Q15" t="n">
        <v>357.9</v>
      </c>
      <c r="R15" t="n">
        <v>378.4</v>
      </c>
      <c r="S15" t="n">
        <v>370</v>
      </c>
      <c r="T15" t="n">
        <v>381.1</v>
      </c>
      <c r="U15" t="n">
        <v>397.6</v>
      </c>
      <c r="V15" t="n">
        <v>342.7</v>
      </c>
      <c r="W15" t="n">
        <v>316.8</v>
      </c>
      <c r="X15" t="n">
        <v>299</v>
      </c>
      <c r="Y15" t="n">
        <v>301.5</v>
      </c>
      <c r="Z15" t="n">
        <v>282.6</v>
      </c>
      <c r="AA15" t="n">
        <v>267.2</v>
      </c>
      <c r="AB15" t="n">
        <v>254.3</v>
      </c>
      <c r="AC15" t="n">
        <v>256.5</v>
      </c>
      <c r="AD15" t="n">
        <v>274.6</v>
      </c>
      <c r="AE15" t="n">
        <v>272.7</v>
      </c>
      <c r="AF15" t="n">
        <v>272.6</v>
      </c>
    </row>
    <row r="16">
      <c r="A16" t="s">
        <v>128</v>
      </c>
      <c r="B16" t="s">
        <v>302</v>
      </c>
      <c r="C16" t="s">
        <v>217</v>
      </c>
      <c r="D16" t="s">
        <v>303</v>
      </c>
      <c r="E16" t="s">
        <v>218</v>
      </c>
      <c r="F16" t="n">
        <v>150</v>
      </c>
      <c r="G16" t="n">
        <v>166</v>
      </c>
      <c r="H16" t="n">
        <v>182</v>
      </c>
      <c r="I16" t="n">
        <v>198.6</v>
      </c>
      <c r="J16" t="n">
        <v>217.2</v>
      </c>
      <c r="K16" t="n">
        <v>231.6</v>
      </c>
      <c r="L16" t="n">
        <v>232.8</v>
      </c>
      <c r="M16" t="n">
        <v>231.7</v>
      </c>
      <c r="N16" t="n">
        <v>241.7</v>
      </c>
      <c r="O16" t="n">
        <v>247.5</v>
      </c>
      <c r="P16" t="n">
        <v>250.7</v>
      </c>
      <c r="Q16" t="n">
        <v>269.6</v>
      </c>
      <c r="R16" t="n">
        <v>285.8</v>
      </c>
      <c r="S16" t="n">
        <v>279.1</v>
      </c>
      <c r="T16" t="n">
        <v>291</v>
      </c>
      <c r="U16" t="n">
        <v>285.9</v>
      </c>
      <c r="V16" t="n">
        <v>261.7</v>
      </c>
      <c r="W16" t="n">
        <v>240.2</v>
      </c>
      <c r="X16" t="n">
        <v>224.3</v>
      </c>
      <c r="Y16" t="n">
        <v>229.5</v>
      </c>
      <c r="Z16" t="n">
        <v>216.6</v>
      </c>
      <c r="AA16" t="n">
        <v>205</v>
      </c>
      <c r="AB16" t="n">
        <v>195.3</v>
      </c>
      <c r="AC16" t="n">
        <v>199.3</v>
      </c>
      <c r="AD16" t="n">
        <v>218.1</v>
      </c>
      <c r="AE16" t="n">
        <v>218.1</v>
      </c>
      <c r="AF16" t="n">
        <v>219.5</v>
      </c>
    </row>
    <row r="17">
      <c r="A17" t="s">
        <v>128</v>
      </c>
      <c r="B17" t="s">
        <v>304</v>
      </c>
      <c r="C17" t="s">
        <v>217</v>
      </c>
      <c r="D17" t="s">
        <v>305</v>
      </c>
      <c r="E17" t="s">
        <v>218</v>
      </c>
      <c r="F17" t="n">
        <v>210.2</v>
      </c>
      <c r="G17" t="n">
        <v>218.2</v>
      </c>
      <c r="H17" t="n">
        <v>223.6</v>
      </c>
      <c r="I17" t="n">
        <v>227.5</v>
      </c>
      <c r="J17" t="n">
        <v>231.5</v>
      </c>
      <c r="K17" t="n">
        <v>231.8</v>
      </c>
      <c r="L17" t="n">
        <v>232.6</v>
      </c>
      <c r="M17" t="n">
        <v>230</v>
      </c>
      <c r="N17" t="n">
        <v>233.8</v>
      </c>
      <c r="O17" t="n">
        <v>229.9</v>
      </c>
      <c r="P17" t="n">
        <v>229.3</v>
      </c>
      <c r="Q17" t="n">
        <v>292.2</v>
      </c>
      <c r="R17" t="n">
        <v>317.5</v>
      </c>
      <c r="S17" t="n">
        <v>333.6</v>
      </c>
      <c r="T17" t="n">
        <v>360.3</v>
      </c>
      <c r="U17" t="n">
        <v>352.8</v>
      </c>
      <c r="V17" t="n">
        <v>338.4</v>
      </c>
      <c r="W17" t="n">
        <v>323.2</v>
      </c>
      <c r="X17" t="n">
        <v>315.2</v>
      </c>
      <c r="Y17" t="n">
        <v>299.3</v>
      </c>
      <c r="Z17" t="n">
        <v>283.4</v>
      </c>
      <c r="AA17" t="n">
        <v>267.4</v>
      </c>
      <c r="AB17" t="n">
        <v>254.3</v>
      </c>
      <c r="AC17" t="n">
        <v>245.8</v>
      </c>
      <c r="AD17" t="n">
        <v>238</v>
      </c>
      <c r="AE17" t="n">
        <v>228.6</v>
      </c>
      <c r="AF17" t="n">
        <v>220.5</v>
      </c>
    </row>
    <row r="18">
      <c r="A18" t="s">
        <v>128</v>
      </c>
      <c r="B18" t="s">
        <v>306</v>
      </c>
      <c r="C18" t="s">
        <v>217</v>
      </c>
      <c r="D18" t="s">
        <v>307</v>
      </c>
      <c r="E18" t="s">
        <v>218</v>
      </c>
      <c r="F18" t="n">
        <v>47.2</v>
      </c>
      <c r="G18" t="n">
        <v>50.2</v>
      </c>
      <c r="H18" t="n">
        <v>52.9</v>
      </c>
      <c r="I18" t="n">
        <v>55.5</v>
      </c>
      <c r="J18" t="n">
        <v>58.5</v>
      </c>
      <c r="K18" t="n">
        <v>60.4</v>
      </c>
      <c r="L18" t="n">
        <v>78.1</v>
      </c>
      <c r="M18" t="n">
        <v>79</v>
      </c>
      <c r="N18" t="n">
        <v>82.4</v>
      </c>
      <c r="O18" t="n">
        <v>85.9</v>
      </c>
      <c r="P18" t="n">
        <v>104.7</v>
      </c>
      <c r="Q18" t="n">
        <v>123.6</v>
      </c>
      <c r="R18" t="n">
        <v>138.5</v>
      </c>
      <c r="S18" t="n">
        <v>143.4</v>
      </c>
      <c r="T18" t="n">
        <v>146.2</v>
      </c>
      <c r="U18" t="n">
        <v>156</v>
      </c>
      <c r="V18" t="n">
        <v>115.3</v>
      </c>
      <c r="W18" t="n">
        <v>113</v>
      </c>
      <c r="X18" t="n">
        <v>106.3</v>
      </c>
      <c r="Y18" t="n">
        <v>103.9</v>
      </c>
      <c r="Z18" t="n">
        <v>97.9</v>
      </c>
      <c r="AA18" t="n">
        <v>96.2</v>
      </c>
      <c r="AB18" t="n">
        <v>94.3</v>
      </c>
      <c r="AC18" t="n">
        <v>92.8</v>
      </c>
      <c r="AD18" t="n">
        <v>89.9</v>
      </c>
      <c r="AE18" t="n">
        <v>94</v>
      </c>
      <c r="AF18" t="n">
        <v>98.5</v>
      </c>
    </row>
    <row r="19">
      <c r="A19" t="s">
        <v>128</v>
      </c>
      <c r="B19" t="s">
        <v>308</v>
      </c>
      <c r="C19" t="s">
        <v>217</v>
      </c>
      <c r="D19" t="s">
        <v>309</v>
      </c>
      <c r="E19" t="s">
        <v>218</v>
      </c>
      <c r="F19" t="n">
        <v>257.3</v>
      </c>
      <c r="G19" t="n">
        <v>269.6</v>
      </c>
      <c r="H19" t="n">
        <v>279.5</v>
      </c>
      <c r="I19" t="n">
        <v>288.2</v>
      </c>
      <c r="J19" t="n">
        <v>298</v>
      </c>
      <c r="K19" t="n">
        <v>302.6</v>
      </c>
      <c r="L19" t="n">
        <v>329.2</v>
      </c>
      <c r="M19" t="n">
        <v>329.1</v>
      </c>
      <c r="N19" t="n">
        <v>353.9</v>
      </c>
      <c r="O19" t="n">
        <v>352</v>
      </c>
      <c r="P19" t="n">
        <v>358.3</v>
      </c>
      <c r="Q19" t="n">
        <v>395.8</v>
      </c>
      <c r="R19" t="n">
        <v>412.2</v>
      </c>
      <c r="S19" t="n">
        <v>421.8</v>
      </c>
      <c r="T19" t="n">
        <v>461.8</v>
      </c>
      <c r="U19" t="n">
        <v>509.6</v>
      </c>
      <c r="V19" t="n">
        <v>474.5</v>
      </c>
      <c r="W19" t="n">
        <v>436.6</v>
      </c>
      <c r="X19" t="n">
        <v>398</v>
      </c>
      <c r="Y19" t="n">
        <v>392.7</v>
      </c>
      <c r="Z19" t="n">
        <v>387.5</v>
      </c>
      <c r="AA19" t="n">
        <v>381</v>
      </c>
      <c r="AB19" t="n">
        <v>373.9</v>
      </c>
      <c r="AC19" t="n">
        <v>356.5</v>
      </c>
      <c r="AD19" t="n">
        <v>346.3</v>
      </c>
      <c r="AE19" t="n">
        <v>333.3</v>
      </c>
      <c r="AF19" t="n">
        <v>322.4</v>
      </c>
    </row>
    <row r="20">
      <c r="A20" t="s">
        <v>128</v>
      </c>
      <c r="B20" t="s">
        <v>310</v>
      </c>
      <c r="C20" t="s">
        <v>217</v>
      </c>
      <c r="D20" t="s">
        <v>311</v>
      </c>
      <c r="E20" t="s">
        <v>218</v>
      </c>
      <c r="F20" t="n">
        <v>5728.5</v>
      </c>
      <c r="G20" t="n">
        <v>6604.1</v>
      </c>
      <c r="H20" t="n">
        <v>7516.8</v>
      </c>
      <c r="I20" t="n">
        <v>8488.1</v>
      </c>
      <c r="J20" t="n">
        <v>9573.9</v>
      </c>
      <c r="K20" t="n">
        <v>10493</v>
      </c>
      <c r="L20" t="n">
        <v>11212</v>
      </c>
      <c r="M20" t="n">
        <v>11655.7</v>
      </c>
      <c r="N20" t="n">
        <v>12359</v>
      </c>
      <c r="O20" t="n">
        <v>12891.2</v>
      </c>
      <c r="P20" t="n">
        <v>13404</v>
      </c>
      <c r="Q20" t="n">
        <v>13503.5</v>
      </c>
      <c r="R20" t="n">
        <v>14442.4</v>
      </c>
      <c r="S20" t="n">
        <v>14956.2</v>
      </c>
      <c r="T20" t="n">
        <v>15683</v>
      </c>
      <c r="U20" t="n">
        <v>15678.1</v>
      </c>
      <c r="V20" t="n">
        <v>14924.6</v>
      </c>
      <c r="W20" t="n">
        <v>14520.2</v>
      </c>
      <c r="X20" t="n">
        <v>14229.7</v>
      </c>
      <c r="Y20" t="n">
        <v>14135.6</v>
      </c>
      <c r="Z20" t="n">
        <v>13430.9</v>
      </c>
      <c r="AA20" t="n">
        <v>13316.2</v>
      </c>
      <c r="AB20" t="n">
        <v>13197.2</v>
      </c>
      <c r="AC20" t="n">
        <v>12716.6</v>
      </c>
      <c r="AD20" t="n">
        <v>12331.3</v>
      </c>
      <c r="AE20" t="n">
        <v>11872.8</v>
      </c>
      <c r="AF20" t="n">
        <v>11472.5</v>
      </c>
    </row>
    <row r="21">
      <c r="A21" t="s">
        <v>128</v>
      </c>
      <c r="B21" t="s">
        <v>312</v>
      </c>
      <c r="C21" t="s">
        <v>217</v>
      </c>
      <c r="D21" t="s">
        <v>313</v>
      </c>
      <c r="E21" t="s">
        <v>218</v>
      </c>
      <c r="F21" t="n">
        <v>9967.2</v>
      </c>
      <c r="G21" t="n">
        <v>11031.9</v>
      </c>
      <c r="H21" t="n">
        <v>12080.1</v>
      </c>
      <c r="I21" t="n">
        <v>13152.8</v>
      </c>
      <c r="J21" t="n">
        <v>14339.2</v>
      </c>
      <c r="K21" t="n">
        <v>15281.8</v>
      </c>
      <c r="L21" t="n">
        <v>16022.1</v>
      </c>
      <c r="M21" t="n">
        <v>16438.2</v>
      </c>
      <c r="N21" t="n">
        <v>17242.5</v>
      </c>
      <c r="O21" t="n">
        <v>17761</v>
      </c>
      <c r="P21" t="n">
        <v>18357.7</v>
      </c>
      <c r="Q21" t="n">
        <v>18391.5</v>
      </c>
      <c r="R21" t="n">
        <v>19608</v>
      </c>
      <c r="S21" t="n">
        <v>20232.4</v>
      </c>
      <c r="T21" t="n">
        <v>21139.2</v>
      </c>
      <c r="U21" t="n">
        <v>21127.5</v>
      </c>
      <c r="V21" t="n">
        <v>20360.6</v>
      </c>
      <c r="W21" t="n">
        <v>19746.5</v>
      </c>
      <c r="X21" t="n">
        <v>19448.3</v>
      </c>
      <c r="Y21" t="n">
        <v>19430.1</v>
      </c>
      <c r="Z21" t="n">
        <v>18656.7</v>
      </c>
      <c r="AA21" t="n">
        <v>18407.5</v>
      </c>
      <c r="AB21" t="n">
        <v>18178.1</v>
      </c>
      <c r="AC21" t="n">
        <v>17669.3</v>
      </c>
      <c r="AD21" t="n">
        <v>17240.9</v>
      </c>
      <c r="AE21" t="n">
        <v>16705.7</v>
      </c>
      <c r="AF21" t="n">
        <v>16244.3</v>
      </c>
    </row>
    <row r="22">
      <c r="A22" t="s">
        <v>128</v>
      </c>
      <c r="B22" t="s">
        <v>314</v>
      </c>
      <c r="C22" t="s">
        <v>217</v>
      </c>
      <c r="D22" t="s">
        <v>315</v>
      </c>
      <c r="E22" t="s">
        <v>218</v>
      </c>
      <c r="F22" t="n">
        <v>4238.7</v>
      </c>
      <c r="G22" t="n">
        <v>4427.8</v>
      </c>
      <c r="H22" t="n">
        <v>4563.3</v>
      </c>
      <c r="I22" t="n">
        <v>4664.7</v>
      </c>
      <c r="J22" t="n">
        <v>4765.3</v>
      </c>
      <c r="K22" t="n">
        <v>4788.8</v>
      </c>
      <c r="L22" t="n">
        <v>4810.1</v>
      </c>
      <c r="M22" t="n">
        <v>4782.5</v>
      </c>
      <c r="N22" t="n">
        <v>4883.5</v>
      </c>
      <c r="O22" t="n">
        <v>4869.8</v>
      </c>
      <c r="P22" t="n">
        <v>4953.7</v>
      </c>
      <c r="Q22" t="n">
        <v>4888</v>
      </c>
      <c r="R22" t="n">
        <v>5165.6</v>
      </c>
      <c r="S22" t="n">
        <v>5276.2</v>
      </c>
      <c r="T22" t="n">
        <v>5456.2</v>
      </c>
      <c r="U22" t="n">
        <v>5449.4</v>
      </c>
      <c r="V22" t="n">
        <v>5436</v>
      </c>
      <c r="W22" t="n">
        <v>5226.3</v>
      </c>
      <c r="X22" t="n">
        <v>5218.6</v>
      </c>
      <c r="Y22" t="n">
        <v>5294.5</v>
      </c>
      <c r="Z22" t="n">
        <v>5225.8</v>
      </c>
      <c r="AA22" t="n">
        <v>5091.3</v>
      </c>
      <c r="AB22" t="n">
        <v>4980.9</v>
      </c>
      <c r="AC22" t="n">
        <v>4952.7</v>
      </c>
      <c r="AD22" t="n">
        <v>4909.6</v>
      </c>
      <c r="AE22" t="n">
        <v>4832.9</v>
      </c>
      <c r="AF22" t="n">
        <v>4771.8</v>
      </c>
    </row>
    <row r="23">
      <c r="A23" t="s">
        <v>128</v>
      </c>
      <c r="B23" t="s">
        <v>316</v>
      </c>
      <c r="C23" t="s">
        <v>217</v>
      </c>
      <c r="D23" t="s">
        <v>317</v>
      </c>
      <c r="E23" t="s">
        <v>218</v>
      </c>
      <c r="F23" t="n">
        <v>2284.4</v>
      </c>
      <c r="G23" t="n">
        <v>2382</v>
      </c>
      <c r="H23" t="n">
        <v>2451.9</v>
      </c>
      <c r="I23" t="n">
        <v>2504.9</v>
      </c>
      <c r="J23" t="n">
        <v>2559</v>
      </c>
      <c r="K23" t="n">
        <v>2571</v>
      </c>
      <c r="L23" t="n">
        <v>2661.6</v>
      </c>
      <c r="M23" t="n">
        <v>2660.9</v>
      </c>
      <c r="N23" t="n">
        <v>2929.6</v>
      </c>
      <c r="O23" t="n">
        <v>2986.8</v>
      </c>
      <c r="P23" t="n">
        <v>3148.9</v>
      </c>
      <c r="Q23" t="n">
        <v>3098.4</v>
      </c>
      <c r="R23" t="n">
        <v>3299.4</v>
      </c>
      <c r="S23" t="n">
        <v>3258.2</v>
      </c>
      <c r="T23" t="n">
        <v>3211.9</v>
      </c>
      <c r="U23" t="n">
        <v>3043.1</v>
      </c>
      <c r="V23" t="n">
        <v>2845.1</v>
      </c>
      <c r="W23" t="n">
        <v>2935.1</v>
      </c>
      <c r="X23" t="n">
        <v>3456.5</v>
      </c>
      <c r="Y23" t="n">
        <v>3388.6</v>
      </c>
      <c r="Z23" t="n">
        <v>3261.6</v>
      </c>
      <c r="AA23" t="n">
        <v>3134.3</v>
      </c>
      <c r="AB23" t="n">
        <v>3024.2</v>
      </c>
      <c r="AC23" t="n">
        <v>2963.2</v>
      </c>
      <c r="AD23" t="n">
        <v>2940.9</v>
      </c>
      <c r="AE23" t="n">
        <v>2920.2</v>
      </c>
      <c r="AF23" t="n">
        <v>2914.5</v>
      </c>
    </row>
    <row r="24">
      <c r="A24" t="s">
        <v>128</v>
      </c>
      <c r="B24" t="s">
        <v>318</v>
      </c>
      <c r="C24" t="s">
        <v>217</v>
      </c>
      <c r="D24" t="s">
        <v>319</v>
      </c>
      <c r="E24" t="s">
        <v>218</v>
      </c>
      <c r="F24" t="n">
        <v>5813.9</v>
      </c>
      <c r="G24" t="n">
        <v>6394.4</v>
      </c>
      <c r="H24" t="n">
        <v>6957</v>
      </c>
      <c r="I24" t="n">
        <v>7525.5</v>
      </c>
      <c r="J24" t="n">
        <v>8151.4</v>
      </c>
      <c r="K24" t="n">
        <v>8641.7</v>
      </c>
      <c r="L24" t="n">
        <v>8736.4</v>
      </c>
      <c r="M24" t="n">
        <v>9603.8</v>
      </c>
      <c r="N24" t="n">
        <v>9927.4</v>
      </c>
      <c r="O24" t="n">
        <v>10243.1</v>
      </c>
      <c r="P24" t="n">
        <v>10781.4</v>
      </c>
      <c r="Q24" t="n">
        <v>10819.1</v>
      </c>
      <c r="R24" t="n">
        <v>11685.7</v>
      </c>
      <c r="S24" t="n">
        <v>12446.3</v>
      </c>
      <c r="T24" t="n">
        <v>12961</v>
      </c>
      <c r="U24" t="n">
        <v>13170.6</v>
      </c>
      <c r="V24" t="n">
        <v>13449.1</v>
      </c>
      <c r="W24" t="n">
        <v>13265.3</v>
      </c>
      <c r="X24" t="n">
        <v>13256</v>
      </c>
      <c r="Y24" t="n">
        <v>13135.5</v>
      </c>
      <c r="Z24" t="n">
        <v>12586</v>
      </c>
      <c r="AA24" t="n">
        <v>12176.4</v>
      </c>
      <c r="AB24" t="n">
        <v>11848.8</v>
      </c>
      <c r="AC24" t="n">
        <v>11999.2</v>
      </c>
      <c r="AD24" t="n">
        <v>12175.7</v>
      </c>
      <c r="AE24" t="n">
        <v>12259.9</v>
      </c>
      <c r="AF24" t="n">
        <v>12404.2</v>
      </c>
    </row>
    <row r="25">
      <c r="A25" t="s">
        <v>128</v>
      </c>
      <c r="B25" t="s">
        <v>320</v>
      </c>
      <c r="C25" t="s">
        <v>217</v>
      </c>
      <c r="D25" t="s">
        <v>321</v>
      </c>
      <c r="E25" t="s">
        <v>218</v>
      </c>
      <c r="F25" t="n">
        <v>141.1</v>
      </c>
      <c r="G25" t="n">
        <v>171.6</v>
      </c>
      <c r="H25" t="n">
        <v>204.7</v>
      </c>
      <c r="I25" t="n">
        <v>240.7</v>
      </c>
      <c r="J25" t="n">
        <v>281.3</v>
      </c>
      <c r="K25" t="n">
        <v>317</v>
      </c>
      <c r="L25" t="n">
        <v>325</v>
      </c>
      <c r="M25" t="n">
        <v>416.7</v>
      </c>
      <c r="N25" t="n">
        <v>448.3</v>
      </c>
      <c r="O25" t="n">
        <v>498.7</v>
      </c>
      <c r="P25" t="n">
        <v>638.6</v>
      </c>
      <c r="Q25" t="n">
        <v>669.9</v>
      </c>
      <c r="R25" t="n">
        <v>767.8</v>
      </c>
      <c r="S25" t="n">
        <v>842.4</v>
      </c>
      <c r="T25" t="n">
        <v>961.9</v>
      </c>
      <c r="U25" t="n">
        <v>931.4</v>
      </c>
      <c r="V25" t="n">
        <v>1161.3</v>
      </c>
      <c r="W25" t="n">
        <v>1146.3</v>
      </c>
      <c r="X25" t="n">
        <v>1161</v>
      </c>
      <c r="Y25" t="n">
        <v>1172.2</v>
      </c>
      <c r="Z25" t="n">
        <v>1114.5</v>
      </c>
      <c r="AA25" t="n">
        <v>1097.1</v>
      </c>
      <c r="AB25" t="n">
        <v>1082.1</v>
      </c>
      <c r="AC25" t="n">
        <v>1160.1</v>
      </c>
      <c r="AD25" t="n">
        <v>1192.3</v>
      </c>
      <c r="AE25" t="n">
        <v>1220.6</v>
      </c>
      <c r="AF25" t="n">
        <v>1255.1</v>
      </c>
    </row>
    <row r="26">
      <c r="A26" t="s">
        <v>128</v>
      </c>
      <c r="B26" t="s">
        <v>322</v>
      </c>
      <c r="C26" t="s">
        <v>217</v>
      </c>
      <c r="D26" t="s">
        <v>323</v>
      </c>
      <c r="E26" t="s">
        <v>218</v>
      </c>
      <c r="F26" t="n">
        <v>1623</v>
      </c>
      <c r="G26" t="n">
        <v>1830.4</v>
      </c>
      <c r="H26" t="n">
        <v>2041</v>
      </c>
      <c r="I26" t="n">
        <v>2261.2</v>
      </c>
      <c r="J26" t="n">
        <v>2505.9</v>
      </c>
      <c r="K26" t="n">
        <v>2708.5</v>
      </c>
      <c r="L26" t="n">
        <v>2767.9</v>
      </c>
      <c r="M26" t="n">
        <v>3213.3</v>
      </c>
      <c r="N26" t="n">
        <v>3340.2</v>
      </c>
      <c r="O26" t="n">
        <v>3533.6</v>
      </c>
      <c r="P26" t="n">
        <v>3729.1</v>
      </c>
      <c r="Q26" t="n">
        <v>3828.5</v>
      </c>
      <c r="R26" t="n">
        <v>4170.3</v>
      </c>
      <c r="S26" t="n">
        <v>4659.6</v>
      </c>
      <c r="T26" t="n">
        <v>4978.3</v>
      </c>
      <c r="U26" t="n">
        <v>5384.3</v>
      </c>
      <c r="V26" t="n">
        <v>5530.6</v>
      </c>
      <c r="W26" t="n">
        <v>5577.8</v>
      </c>
      <c r="X26" t="n">
        <v>5598.1</v>
      </c>
      <c r="Y26" t="n">
        <v>5499.4</v>
      </c>
      <c r="Z26" t="n">
        <v>5274.7</v>
      </c>
      <c r="AA26" t="n">
        <v>5079.4</v>
      </c>
      <c r="AB26" t="n">
        <v>4924.4</v>
      </c>
      <c r="AC26" t="n">
        <v>4943</v>
      </c>
      <c r="AD26" t="n">
        <v>4988.7</v>
      </c>
      <c r="AE26" t="n">
        <v>5051.3</v>
      </c>
      <c r="AF26" t="n">
        <v>5138.6</v>
      </c>
    </row>
    <row r="27">
      <c r="A27" t="s">
        <v>128</v>
      </c>
      <c r="B27" t="s">
        <v>324</v>
      </c>
      <c r="C27" t="s">
        <v>217</v>
      </c>
      <c r="D27" t="s">
        <v>325</v>
      </c>
      <c r="E27" t="s">
        <v>218</v>
      </c>
      <c r="F27" t="n">
        <v>4049.8</v>
      </c>
      <c r="G27" t="n">
        <v>4392.4</v>
      </c>
      <c r="H27" t="n">
        <v>4711.3</v>
      </c>
      <c r="I27" t="n">
        <v>5023.6</v>
      </c>
      <c r="J27" t="n">
        <v>5364.2</v>
      </c>
      <c r="K27" t="n">
        <v>5616.2</v>
      </c>
      <c r="L27" t="n">
        <v>5643.5</v>
      </c>
      <c r="M27" t="n">
        <v>5973.8</v>
      </c>
      <c r="N27" t="n">
        <v>6138.9</v>
      </c>
      <c r="O27" t="n">
        <v>6210.8</v>
      </c>
      <c r="P27" t="n">
        <v>6413.7</v>
      </c>
      <c r="Q27" t="n">
        <v>6320.7</v>
      </c>
      <c r="R27" t="n">
        <v>6747.6</v>
      </c>
      <c r="S27" t="n">
        <v>6944.3</v>
      </c>
      <c r="T27" t="n">
        <v>7020.8</v>
      </c>
      <c r="U27" t="n">
        <v>6854.9</v>
      </c>
      <c r="V27" t="n">
        <v>6757.2</v>
      </c>
      <c r="W27" t="n">
        <v>6541.2</v>
      </c>
      <c r="X27" t="n">
        <v>6496.9</v>
      </c>
      <c r="Y27" t="n">
        <v>6463.9</v>
      </c>
      <c r="Z27" t="n">
        <v>6196.8</v>
      </c>
      <c r="AA27" t="n">
        <v>5999.9</v>
      </c>
      <c r="AB27" t="n">
        <v>5842.3</v>
      </c>
      <c r="AC27" t="n">
        <v>5896.1</v>
      </c>
      <c r="AD27" t="n">
        <v>5994.7</v>
      </c>
      <c r="AE27" t="n">
        <v>5988</v>
      </c>
      <c r="AF27" t="n">
        <v>6010.5</v>
      </c>
    </row>
    <row r="28">
      <c r="A28" t="s">
        <v>128</v>
      </c>
      <c r="B28" t="s">
        <v>326</v>
      </c>
      <c r="C28" t="s">
        <v>217</v>
      </c>
      <c r="D28" t="s">
        <v>327</v>
      </c>
      <c r="E28" t="s">
        <v>218</v>
      </c>
      <c r="F28" t="n">
        <v>2602.5</v>
      </c>
      <c r="G28" t="n">
        <v>3187</v>
      </c>
      <c r="H28" t="n">
        <v>3821.7</v>
      </c>
      <c r="I28" t="n">
        <v>4514.6</v>
      </c>
      <c r="J28" t="n">
        <v>5294.3</v>
      </c>
      <c r="K28" t="n">
        <v>5980</v>
      </c>
      <c r="L28" t="n">
        <v>7217.1</v>
      </c>
      <c r="M28" t="n">
        <v>8408.7</v>
      </c>
      <c r="N28" t="n">
        <v>10303.7</v>
      </c>
      <c r="O28" t="n">
        <v>12140.5</v>
      </c>
      <c r="P28" t="n">
        <v>13249.7</v>
      </c>
      <c r="Q28" t="n">
        <v>13944.5</v>
      </c>
      <c r="R28" t="n">
        <v>15188.3</v>
      </c>
      <c r="S28" t="n">
        <v>16037.4</v>
      </c>
      <c r="T28" t="n">
        <v>16653</v>
      </c>
      <c r="U28" t="n">
        <v>16298.6</v>
      </c>
      <c r="V28" t="n">
        <v>16083.9</v>
      </c>
      <c r="W28" t="n">
        <v>15416.5</v>
      </c>
      <c r="X28" t="n">
        <v>15033.5</v>
      </c>
      <c r="Y28" t="n">
        <v>14613.8</v>
      </c>
      <c r="Z28" t="n">
        <v>14167.4</v>
      </c>
      <c r="AA28" t="n">
        <v>13943.2</v>
      </c>
      <c r="AB28" t="n">
        <v>13587</v>
      </c>
      <c r="AC28" t="n">
        <v>13439.9</v>
      </c>
      <c r="AD28" t="n">
        <v>13337</v>
      </c>
      <c r="AE28" t="n">
        <v>12929.7</v>
      </c>
      <c r="AF28" t="n">
        <v>12671.9</v>
      </c>
    </row>
    <row r="29">
      <c r="A29" t="s">
        <v>128</v>
      </c>
      <c r="B29" t="s">
        <v>328</v>
      </c>
      <c r="C29" t="s">
        <v>217</v>
      </c>
      <c r="D29" t="s">
        <v>329</v>
      </c>
      <c r="E29" t="s">
        <v>218</v>
      </c>
      <c r="F29" t="n">
        <v>2234.9</v>
      </c>
      <c r="G29" t="n">
        <v>2738.8</v>
      </c>
      <c r="H29" t="n">
        <v>3286</v>
      </c>
      <c r="I29" t="n">
        <v>3883.3</v>
      </c>
      <c r="J29" t="n">
        <v>4555.5</v>
      </c>
      <c r="K29" t="n">
        <v>5146.6</v>
      </c>
      <c r="L29" t="n">
        <v>6141.7</v>
      </c>
      <c r="M29" t="n">
        <v>7176.6</v>
      </c>
      <c r="N29" t="n">
        <v>8943.8</v>
      </c>
      <c r="O29" t="n">
        <v>10623.4</v>
      </c>
      <c r="P29" t="n">
        <v>11670.1</v>
      </c>
      <c r="Q29" t="n">
        <v>12344.6</v>
      </c>
      <c r="R29" t="n">
        <v>13517.8</v>
      </c>
      <c r="S29" t="n">
        <v>14351.9</v>
      </c>
      <c r="T29" t="n">
        <v>14951</v>
      </c>
      <c r="U29" t="n">
        <v>14645.9</v>
      </c>
      <c r="V29" t="n">
        <v>14273.8</v>
      </c>
      <c r="W29" t="n">
        <v>13708.9</v>
      </c>
      <c r="X29" t="n">
        <v>13347</v>
      </c>
      <c r="Y29" t="n">
        <v>12951.2</v>
      </c>
      <c r="Z29" t="n">
        <v>12535.8</v>
      </c>
      <c r="AA29" t="n">
        <v>12355.1</v>
      </c>
      <c r="AB29" t="n">
        <v>12034.4</v>
      </c>
      <c r="AC29" t="n">
        <v>11773.4</v>
      </c>
      <c r="AD29" t="n">
        <v>11535.7</v>
      </c>
      <c r="AE29" t="n">
        <v>11186.9</v>
      </c>
      <c r="AF29" t="n">
        <v>10979</v>
      </c>
    </row>
    <row r="30">
      <c r="A30" t="s">
        <v>128</v>
      </c>
      <c r="B30" t="s">
        <v>330</v>
      </c>
      <c r="C30" t="s">
        <v>217</v>
      </c>
      <c r="D30" t="s">
        <v>331</v>
      </c>
      <c r="E30" t="s">
        <v>218</v>
      </c>
      <c r="F30" t="n">
        <v>8.8</v>
      </c>
      <c r="G30" t="n">
        <v>9.4</v>
      </c>
      <c r="H30" t="n">
        <v>9.8</v>
      </c>
      <c r="I30" t="n">
        <v>10.3</v>
      </c>
      <c r="J30" t="n">
        <v>10.8</v>
      </c>
      <c r="K30" t="n">
        <v>11</v>
      </c>
      <c r="L30" t="n">
        <v>11.9</v>
      </c>
      <c r="M30" t="n">
        <v>11.9</v>
      </c>
      <c r="N30" t="n">
        <v>12</v>
      </c>
      <c r="O30" t="n">
        <v>12.2</v>
      </c>
      <c r="P30" t="n">
        <v>12.9</v>
      </c>
      <c r="Q30" t="n">
        <v>12.5</v>
      </c>
      <c r="R30" t="n">
        <v>12.8</v>
      </c>
      <c r="S30" t="n">
        <v>12.5</v>
      </c>
      <c r="T30" t="n">
        <v>12.4</v>
      </c>
      <c r="U30" t="n">
        <v>13.5</v>
      </c>
      <c r="V30" t="n">
        <v>24.1</v>
      </c>
      <c r="W30" t="n">
        <v>21.4</v>
      </c>
      <c r="X30" t="n">
        <v>25</v>
      </c>
      <c r="Y30" t="n">
        <v>26.1</v>
      </c>
      <c r="Z30" t="n">
        <v>25.9</v>
      </c>
      <c r="AA30" t="n">
        <v>27.2</v>
      </c>
      <c r="AB30" t="n">
        <v>28</v>
      </c>
      <c r="AC30" t="n">
        <v>26.7</v>
      </c>
      <c r="AD30" t="n">
        <v>24.3</v>
      </c>
      <c r="AE30" t="n">
        <v>21.4</v>
      </c>
      <c r="AF30" t="n">
        <v>18.5</v>
      </c>
    </row>
    <row r="31">
      <c r="A31" t="s">
        <v>128</v>
      </c>
      <c r="B31" t="s">
        <v>332</v>
      </c>
      <c r="C31" t="s">
        <v>217</v>
      </c>
      <c r="D31" t="s">
        <v>333</v>
      </c>
      <c r="E31" t="s">
        <v>218</v>
      </c>
      <c r="F31" t="n">
        <v>117.3</v>
      </c>
      <c r="G31" t="n">
        <v>122.9</v>
      </c>
      <c r="H31" t="n">
        <v>127.1</v>
      </c>
      <c r="I31" t="n">
        <v>130.3</v>
      </c>
      <c r="J31" t="n">
        <v>133.6</v>
      </c>
      <c r="K31" t="n">
        <v>134.7</v>
      </c>
      <c r="L31" t="n">
        <v>143.7</v>
      </c>
      <c r="M31" t="n">
        <v>244.2</v>
      </c>
      <c r="N31" t="n">
        <v>248.6</v>
      </c>
      <c r="O31" t="n">
        <v>247</v>
      </c>
      <c r="P31" t="n">
        <v>245.1</v>
      </c>
      <c r="Q31" t="n">
        <v>236.4</v>
      </c>
      <c r="R31" t="n">
        <v>243.2</v>
      </c>
      <c r="S31" t="n">
        <v>238.4</v>
      </c>
      <c r="T31" t="n">
        <v>235.9</v>
      </c>
      <c r="U31" t="n">
        <v>224.6</v>
      </c>
      <c r="V31" t="n">
        <v>211.8</v>
      </c>
      <c r="W31" t="n">
        <v>200.3</v>
      </c>
      <c r="X31" t="n">
        <v>194.3</v>
      </c>
      <c r="Y31" t="n">
        <v>190.3</v>
      </c>
      <c r="Z31" t="n">
        <v>177.5</v>
      </c>
      <c r="AA31" t="n">
        <v>166.4</v>
      </c>
      <c r="AB31" t="n">
        <v>157.8</v>
      </c>
      <c r="AC31" t="n">
        <v>152.8</v>
      </c>
      <c r="AD31" t="n">
        <v>148.5</v>
      </c>
      <c r="AE31" t="n">
        <v>143.5</v>
      </c>
      <c r="AF31" t="n">
        <v>139.2</v>
      </c>
    </row>
    <row r="32">
      <c r="A32" t="s">
        <v>128</v>
      </c>
      <c r="B32" t="s">
        <v>334</v>
      </c>
      <c r="C32" t="s">
        <v>217</v>
      </c>
      <c r="D32" t="s">
        <v>335</v>
      </c>
      <c r="E32" t="s">
        <v>218</v>
      </c>
      <c r="F32" t="n">
        <v>168.5</v>
      </c>
      <c r="G32" t="n">
        <v>192.5</v>
      </c>
      <c r="H32" t="n">
        <v>217.4</v>
      </c>
      <c r="I32" t="n">
        <v>243.7</v>
      </c>
      <c r="J32" t="n">
        <v>273</v>
      </c>
      <c r="K32" t="n">
        <v>297.7</v>
      </c>
      <c r="L32" t="n">
        <v>343.7</v>
      </c>
      <c r="M32" t="n">
        <v>363.6</v>
      </c>
      <c r="N32" t="n">
        <v>439.5</v>
      </c>
      <c r="O32" t="n">
        <v>571.2</v>
      </c>
      <c r="P32" t="n">
        <v>639.9</v>
      </c>
      <c r="Q32" t="n">
        <v>684.5</v>
      </c>
      <c r="R32" t="n">
        <v>726.3</v>
      </c>
      <c r="S32" t="n">
        <v>759</v>
      </c>
      <c r="T32" t="n">
        <v>784.2</v>
      </c>
      <c r="U32" t="n">
        <v>776.1</v>
      </c>
      <c r="V32" t="n">
        <v>969.4</v>
      </c>
      <c r="W32" t="n">
        <v>918.9</v>
      </c>
      <c r="X32" t="n">
        <v>922.2</v>
      </c>
      <c r="Y32" t="n">
        <v>920.9</v>
      </c>
      <c r="Z32" t="n">
        <v>926.1</v>
      </c>
      <c r="AA32" t="n">
        <v>919.4</v>
      </c>
      <c r="AB32" t="n">
        <v>912.7</v>
      </c>
      <c r="AC32" t="n">
        <v>1047.4</v>
      </c>
      <c r="AD32" t="n">
        <v>1198.2</v>
      </c>
      <c r="AE32" t="n">
        <v>1162.5</v>
      </c>
      <c r="AF32" t="n">
        <v>1132.7</v>
      </c>
    </row>
    <row r="33">
      <c r="A33" t="s">
        <v>128</v>
      </c>
      <c r="B33" t="s">
        <v>336</v>
      </c>
      <c r="C33" t="s">
        <v>217</v>
      </c>
      <c r="D33" t="s">
        <v>337</v>
      </c>
      <c r="E33" t="s">
        <v>218</v>
      </c>
      <c r="F33" t="n">
        <v>73</v>
      </c>
      <c r="G33" t="n">
        <v>123.4</v>
      </c>
      <c r="H33" t="n">
        <v>181.4</v>
      </c>
      <c r="I33" t="n">
        <v>247</v>
      </c>
      <c r="J33" t="n">
        <v>321.4</v>
      </c>
      <c r="K33" t="n">
        <v>390</v>
      </c>
      <c r="L33" t="n">
        <v>576.1</v>
      </c>
      <c r="M33" t="n">
        <v>612.4</v>
      </c>
      <c r="N33" t="n">
        <v>659.8</v>
      </c>
      <c r="O33" t="n">
        <v>686.7</v>
      </c>
      <c r="P33" t="n">
        <v>681.7</v>
      </c>
      <c r="Q33" t="n">
        <v>666.5</v>
      </c>
      <c r="R33" t="n">
        <v>688.2</v>
      </c>
      <c r="S33" t="n">
        <v>675.6</v>
      </c>
      <c r="T33" t="n">
        <v>669.5</v>
      </c>
      <c r="U33" t="n">
        <v>638.5</v>
      </c>
      <c r="V33" t="n">
        <v>604.8</v>
      </c>
      <c r="W33" t="n">
        <v>567</v>
      </c>
      <c r="X33" t="n">
        <v>545</v>
      </c>
      <c r="Y33" t="n">
        <v>525.3</v>
      </c>
      <c r="Z33" t="n">
        <v>502.1</v>
      </c>
      <c r="AA33" t="n">
        <v>475.1</v>
      </c>
      <c r="AB33" t="n">
        <v>454.1</v>
      </c>
      <c r="AC33" t="n">
        <v>439.6</v>
      </c>
      <c r="AD33" t="n">
        <v>430.3</v>
      </c>
      <c r="AE33" t="n">
        <v>415.4</v>
      </c>
      <c r="AF33" t="n">
        <v>402.5</v>
      </c>
    </row>
    <row r="34">
      <c r="A34" t="s">
        <v>128</v>
      </c>
      <c r="B34" t="s">
        <v>338</v>
      </c>
      <c r="C34" t="s">
        <v>217</v>
      </c>
      <c r="D34" t="s">
        <v>339</v>
      </c>
      <c r="E34" t="s">
        <v>218</v>
      </c>
      <c r="F34" t="n">
        <v>6693.4</v>
      </c>
      <c r="G34" t="n">
        <v>7165.1</v>
      </c>
      <c r="H34" t="n">
        <v>7580.7</v>
      </c>
      <c r="I34" t="n">
        <v>7969.2</v>
      </c>
      <c r="J34" t="n">
        <v>8386.3</v>
      </c>
      <c r="K34" t="n">
        <v>8666.2</v>
      </c>
      <c r="L34" t="n">
        <v>8881</v>
      </c>
      <c r="M34" t="n">
        <v>8913.9</v>
      </c>
      <c r="N34" t="n">
        <v>9338.2</v>
      </c>
      <c r="O34" t="n">
        <v>9659.2</v>
      </c>
      <c r="P34" t="n">
        <v>9713.8</v>
      </c>
      <c r="Q34" t="n">
        <v>9560.5</v>
      </c>
      <c r="R34" t="n">
        <v>10203.5</v>
      </c>
      <c r="S34" t="n">
        <v>10507.9</v>
      </c>
      <c r="T34" t="n">
        <v>10721.5</v>
      </c>
      <c r="U34" t="n">
        <v>10337.7</v>
      </c>
      <c r="V34" t="n">
        <v>10223.8</v>
      </c>
      <c r="W34" t="n">
        <v>9660.6</v>
      </c>
      <c r="X34" t="n">
        <v>9403.4</v>
      </c>
      <c r="Y34" t="n">
        <v>9247.3</v>
      </c>
      <c r="Z34" t="n">
        <v>8952.1</v>
      </c>
      <c r="AA34" t="n">
        <v>8672.1</v>
      </c>
      <c r="AB34" t="n">
        <v>8447.5</v>
      </c>
      <c r="AC34" t="n">
        <v>8448</v>
      </c>
      <c r="AD34" t="n">
        <v>8609.6</v>
      </c>
      <c r="AE34" t="n">
        <v>8631.6</v>
      </c>
      <c r="AF34" t="n">
        <v>8695.9</v>
      </c>
    </row>
    <row r="35">
      <c r="A35" t="s">
        <v>128</v>
      </c>
      <c r="B35" t="s">
        <v>340</v>
      </c>
      <c r="C35" t="s">
        <v>217</v>
      </c>
      <c r="D35" t="s">
        <v>341</v>
      </c>
      <c r="E35" t="s">
        <v>218</v>
      </c>
      <c r="F35" t="n">
        <v>7030.4</v>
      </c>
      <c r="G35" t="n">
        <v>7850.2</v>
      </c>
      <c r="H35" t="n">
        <v>8669.5</v>
      </c>
      <c r="I35" t="n">
        <v>9519.3</v>
      </c>
      <c r="J35" t="n">
        <v>10463.2</v>
      </c>
      <c r="K35" t="n">
        <v>11231.4</v>
      </c>
      <c r="L35" t="n">
        <v>13102.5</v>
      </c>
      <c r="M35" t="n">
        <v>13523.8</v>
      </c>
      <c r="N35" t="n">
        <v>14240.4</v>
      </c>
      <c r="O35" t="n">
        <v>14665.6</v>
      </c>
      <c r="P35" t="n">
        <v>15221.6</v>
      </c>
      <c r="Q35" t="n">
        <v>14740.5</v>
      </c>
      <c r="R35" t="n">
        <v>15180.5</v>
      </c>
      <c r="S35" t="n">
        <v>14929.8</v>
      </c>
      <c r="T35" t="n">
        <v>14799.1</v>
      </c>
      <c r="U35" t="n">
        <v>14081.8</v>
      </c>
      <c r="V35" t="n">
        <v>13874.7</v>
      </c>
      <c r="W35" t="n">
        <v>13190.8</v>
      </c>
      <c r="X35" t="n">
        <v>12749.5</v>
      </c>
      <c r="Y35" t="n">
        <v>12323.3</v>
      </c>
      <c r="Z35" t="n">
        <v>11708.6</v>
      </c>
      <c r="AA35" t="n">
        <v>11230.1</v>
      </c>
      <c r="AB35" t="n">
        <v>10850.1</v>
      </c>
      <c r="AC35" t="n">
        <v>10748.4</v>
      </c>
      <c r="AD35" t="n">
        <v>10654.9</v>
      </c>
      <c r="AE35" t="n">
        <v>10494.9</v>
      </c>
      <c r="AF35" t="n">
        <v>10386.8</v>
      </c>
    </row>
    <row r="36">
      <c r="A36" t="s">
        <v>128</v>
      </c>
      <c r="B36" t="s">
        <v>342</v>
      </c>
      <c r="C36" t="s">
        <v>217</v>
      </c>
      <c r="D36" t="s">
        <v>343</v>
      </c>
      <c r="E36" t="s">
        <v>218</v>
      </c>
      <c r="F36" t="n">
        <v>345.1</v>
      </c>
      <c r="G36" t="n">
        <v>425.6</v>
      </c>
      <c r="H36" t="n">
        <v>511</v>
      </c>
      <c r="I36" t="n">
        <v>604.8</v>
      </c>
      <c r="J36" t="n">
        <v>710</v>
      </c>
      <c r="K36" t="n">
        <v>803.4</v>
      </c>
      <c r="L36" t="n">
        <v>878.2</v>
      </c>
      <c r="M36" t="n">
        <v>975.8</v>
      </c>
      <c r="N36" t="n">
        <v>1167.9</v>
      </c>
      <c r="O36" t="n">
        <v>1383.8</v>
      </c>
      <c r="P36" t="n">
        <v>1412</v>
      </c>
      <c r="Q36" t="n">
        <v>1416.6</v>
      </c>
      <c r="R36" t="n">
        <v>1508.2</v>
      </c>
      <c r="S36" t="n">
        <v>1529.7</v>
      </c>
      <c r="T36" t="n">
        <v>1554.2</v>
      </c>
      <c r="U36" t="n">
        <v>1480.4</v>
      </c>
      <c r="V36" t="n">
        <v>1565.3</v>
      </c>
      <c r="W36" t="n">
        <v>1560.2</v>
      </c>
      <c r="X36" t="n">
        <v>1517.9</v>
      </c>
      <c r="Y36" t="n">
        <v>1478.5</v>
      </c>
      <c r="Z36" t="n">
        <v>1430.2</v>
      </c>
      <c r="AA36" t="n">
        <v>1362.1</v>
      </c>
      <c r="AB36" t="n">
        <v>1308.3</v>
      </c>
      <c r="AC36" t="n">
        <v>1263.1</v>
      </c>
      <c r="AD36" t="n">
        <v>1226.9</v>
      </c>
      <c r="AE36" t="n">
        <v>1207.5</v>
      </c>
      <c r="AF36" t="n">
        <v>1194.2</v>
      </c>
    </row>
    <row r="37">
      <c r="A37" t="s">
        <v>128</v>
      </c>
      <c r="B37" t="s">
        <v>344</v>
      </c>
      <c r="C37" t="s">
        <v>217</v>
      </c>
      <c r="D37" t="s">
        <v>345</v>
      </c>
      <c r="E37" t="s">
        <v>218</v>
      </c>
      <c r="F37" t="n">
        <v>6673.4</v>
      </c>
      <c r="G37" t="n">
        <v>7409.3</v>
      </c>
      <c r="H37" t="n">
        <v>8139.4</v>
      </c>
      <c r="I37" t="n">
        <v>8891.3</v>
      </c>
      <c r="J37" t="n">
        <v>9725.3</v>
      </c>
      <c r="K37" t="n">
        <v>10396</v>
      </c>
      <c r="L37" t="n">
        <v>12187.2</v>
      </c>
      <c r="M37" t="n">
        <v>12503.7</v>
      </c>
      <c r="N37" t="n">
        <v>13017.9</v>
      </c>
      <c r="O37" t="n">
        <v>13218.1</v>
      </c>
      <c r="P37" t="n">
        <v>13735.8</v>
      </c>
      <c r="Q37" t="n">
        <v>13240</v>
      </c>
      <c r="R37" t="n">
        <v>13582.3</v>
      </c>
      <c r="S37" t="n">
        <v>13303.9</v>
      </c>
      <c r="T37" t="n">
        <v>13148.4</v>
      </c>
      <c r="U37" t="n">
        <v>12500.6</v>
      </c>
      <c r="V37" t="n">
        <v>12129.5</v>
      </c>
      <c r="W37" t="n">
        <v>11445.8</v>
      </c>
      <c r="X37" t="n">
        <v>11045.7</v>
      </c>
      <c r="Y37" t="n">
        <v>10660.7</v>
      </c>
      <c r="Z37" t="n">
        <v>10084.8</v>
      </c>
      <c r="AA37" t="n">
        <v>9670.1</v>
      </c>
      <c r="AB37" t="n">
        <v>9341.2</v>
      </c>
      <c r="AC37" t="n">
        <v>9265.3</v>
      </c>
      <c r="AD37" t="n">
        <v>9184.3</v>
      </c>
      <c r="AE37" t="n">
        <v>9020.9</v>
      </c>
      <c r="AF37" t="n">
        <v>8901.9</v>
      </c>
    </row>
    <row r="38">
      <c r="A38" t="s">
        <v>128</v>
      </c>
      <c r="B38" t="s">
        <v>346</v>
      </c>
      <c r="C38" t="s">
        <v>217</v>
      </c>
      <c r="D38" t="s">
        <v>347</v>
      </c>
      <c r="E38" t="s">
        <v>218</v>
      </c>
      <c r="F38" t="n">
        <v>11.9</v>
      </c>
      <c r="G38" t="n">
        <v>15.3</v>
      </c>
      <c r="H38" t="n">
        <v>19.1</v>
      </c>
      <c r="I38" t="n">
        <v>23.2</v>
      </c>
      <c r="J38" t="n">
        <v>27.9</v>
      </c>
      <c r="K38" t="n">
        <v>32</v>
      </c>
      <c r="L38" t="n">
        <v>37.1</v>
      </c>
      <c r="M38" t="n">
        <v>44.3</v>
      </c>
      <c r="N38" t="n">
        <v>54.6</v>
      </c>
      <c r="O38" t="n">
        <v>63.7</v>
      </c>
      <c r="P38" t="n">
        <v>73.8</v>
      </c>
      <c r="Q38" t="n">
        <v>83.9</v>
      </c>
      <c r="R38" t="n">
        <v>90</v>
      </c>
      <c r="S38" t="n">
        <v>96.2</v>
      </c>
      <c r="T38" t="n">
        <v>96.5</v>
      </c>
      <c r="U38" t="n">
        <v>100.8</v>
      </c>
      <c r="V38" t="n">
        <v>179.9</v>
      </c>
      <c r="W38" t="n">
        <v>184.8</v>
      </c>
      <c r="X38" t="n">
        <v>185.9</v>
      </c>
      <c r="Y38" t="n">
        <v>184.1</v>
      </c>
      <c r="Z38" t="n">
        <v>193.6</v>
      </c>
      <c r="AA38" t="n">
        <v>197.9</v>
      </c>
      <c r="AB38" t="n">
        <v>200.6</v>
      </c>
      <c r="AC38" t="n">
        <v>220</v>
      </c>
      <c r="AD38" t="n">
        <v>243.7</v>
      </c>
      <c r="AE38" t="n">
        <v>266.5</v>
      </c>
      <c r="AF38" t="n">
        <v>290.7</v>
      </c>
    </row>
    <row r="39">
      <c r="A39" t="s">
        <v>128</v>
      </c>
      <c r="B39" t="s">
        <v>348</v>
      </c>
      <c r="C39" t="s">
        <v>217</v>
      </c>
      <c r="D39" t="s">
        <v>349</v>
      </c>
      <c r="E39" t="s">
        <v>218</v>
      </c>
      <c r="F39" t="n">
        <v>808</v>
      </c>
      <c r="G39" t="n">
        <v>879</v>
      </c>
      <c r="H39" t="n">
        <v>945.9</v>
      </c>
      <c r="I39" t="n">
        <v>1012.2</v>
      </c>
      <c r="J39" t="n">
        <v>1084.9</v>
      </c>
      <c r="K39" t="n">
        <v>1139.4</v>
      </c>
      <c r="L39" t="n">
        <v>1188.1</v>
      </c>
      <c r="M39" t="n">
        <v>1267.1</v>
      </c>
      <c r="N39" t="n">
        <v>1305.5</v>
      </c>
      <c r="O39" t="n">
        <v>1312.5</v>
      </c>
      <c r="P39" t="n">
        <v>1369.5</v>
      </c>
      <c r="Q39" t="n">
        <v>1427.2</v>
      </c>
      <c r="R39" t="n">
        <v>1581.7</v>
      </c>
      <c r="S39" t="n">
        <v>1638.9</v>
      </c>
      <c r="T39" t="n">
        <v>1703.7</v>
      </c>
      <c r="U39" t="n">
        <v>1656.2</v>
      </c>
      <c r="V39" t="n">
        <v>2090.9</v>
      </c>
      <c r="W39" t="n">
        <v>1986.6</v>
      </c>
      <c r="X39" t="n">
        <v>2239.9</v>
      </c>
      <c r="Y39" t="n">
        <v>2318.5</v>
      </c>
      <c r="Z39" t="n">
        <v>2363.7</v>
      </c>
      <c r="AA39" t="n">
        <v>2398</v>
      </c>
      <c r="AB39" t="n">
        <v>2417</v>
      </c>
      <c r="AC39" t="n">
        <v>2635.1</v>
      </c>
      <c r="AD39" t="n">
        <v>2835.9</v>
      </c>
      <c r="AE39" t="n">
        <v>2944.8</v>
      </c>
      <c r="AF39" t="n">
        <v>3068.7</v>
      </c>
    </row>
    <row r="40">
      <c r="A40" t="s">
        <v>128</v>
      </c>
      <c r="B40" t="s">
        <v>350</v>
      </c>
      <c r="C40" t="s">
        <v>217</v>
      </c>
      <c r="D40" t="s">
        <v>351</v>
      </c>
      <c r="E40" t="s">
        <v>218</v>
      </c>
      <c r="F40" t="n">
        <v>107.5</v>
      </c>
      <c r="G40" t="n">
        <v>169.2</v>
      </c>
      <c r="H40" t="n">
        <v>229.8</v>
      </c>
      <c r="I40" t="n">
        <v>308</v>
      </c>
      <c r="J40" t="n">
        <v>394.3</v>
      </c>
      <c r="K40" t="n">
        <v>481.4</v>
      </c>
      <c r="L40" t="n">
        <v>561.8</v>
      </c>
      <c r="M40" t="n">
        <v>646.5</v>
      </c>
      <c r="N40" t="n">
        <v>760.5</v>
      </c>
      <c r="O40" t="n">
        <v>883.9</v>
      </c>
      <c r="P40" t="n">
        <v>874.7</v>
      </c>
      <c r="Q40" t="n">
        <v>841.6</v>
      </c>
      <c r="R40" t="n">
        <v>877.4</v>
      </c>
      <c r="S40" t="n">
        <v>994.7</v>
      </c>
      <c r="T40" t="n">
        <v>1197.7</v>
      </c>
      <c r="U40" t="n">
        <v>1367</v>
      </c>
      <c r="V40" t="n">
        <v>2604.3</v>
      </c>
      <c r="W40" t="n">
        <v>3321.2</v>
      </c>
      <c r="X40" t="n">
        <v>3445.8</v>
      </c>
      <c r="Y40" t="n">
        <v>3630.7</v>
      </c>
      <c r="Z40" t="n">
        <v>3516.3</v>
      </c>
      <c r="AA40" t="n">
        <v>3554.7</v>
      </c>
      <c r="AB40" t="n">
        <v>3573.9</v>
      </c>
      <c r="AC40" t="n">
        <v>3557.2</v>
      </c>
      <c r="AD40" t="n">
        <v>3646.9</v>
      </c>
      <c r="AE40" t="n">
        <v>3664.2</v>
      </c>
      <c r="AF40" t="n">
        <v>3700.5</v>
      </c>
    </row>
    <row r="41">
      <c r="A41" t="s">
        <v>128</v>
      </c>
      <c r="B41" t="s">
        <v>352</v>
      </c>
      <c r="C41" t="s">
        <v>217</v>
      </c>
      <c r="D41" t="s">
        <v>353</v>
      </c>
      <c r="E41" t="s">
        <v>218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128</v>
      </c>
      <c r="B42" t="s">
        <v>354</v>
      </c>
      <c r="C42" t="s">
        <v>217</v>
      </c>
      <c r="D42" t="s">
        <v>355</v>
      </c>
      <c r="E42" t="s">
        <v>218</v>
      </c>
      <c r="F42" t="n">
        <v>226.8</v>
      </c>
      <c r="G42" t="n">
        <v>266.1</v>
      </c>
      <c r="H42" t="n">
        <v>309.3</v>
      </c>
      <c r="I42" t="n">
        <v>353</v>
      </c>
      <c r="J42" t="n">
        <v>407.6</v>
      </c>
      <c r="K42" t="n">
        <v>451.8</v>
      </c>
      <c r="L42" t="n">
        <v>503.8</v>
      </c>
      <c r="M42" t="n">
        <v>551.5</v>
      </c>
      <c r="N42" t="n">
        <v>639.1</v>
      </c>
      <c r="O42" t="n">
        <v>716.2</v>
      </c>
      <c r="P42" t="n">
        <v>798.7</v>
      </c>
      <c r="Q42" t="n">
        <v>860.6</v>
      </c>
      <c r="R42" t="n">
        <v>1001.6</v>
      </c>
      <c r="S42" t="n">
        <v>1177.3</v>
      </c>
      <c r="T42" t="n">
        <v>1224.1</v>
      </c>
      <c r="U42" t="n">
        <v>1175.3</v>
      </c>
      <c r="V42" t="n">
        <v>1396.4</v>
      </c>
      <c r="W42" t="n">
        <v>1408.5</v>
      </c>
      <c r="X42" t="n">
        <v>1386.4</v>
      </c>
      <c r="Y42" t="n">
        <v>1340.4</v>
      </c>
      <c r="Z42" t="n">
        <v>1283.3</v>
      </c>
      <c r="AA42" t="n">
        <v>1229.2</v>
      </c>
      <c r="AB42" t="n">
        <v>1188.3</v>
      </c>
      <c r="AC42" t="n">
        <v>1157.2</v>
      </c>
      <c r="AD42" t="n">
        <v>1165.4</v>
      </c>
      <c r="AE42" t="n">
        <v>1158.2</v>
      </c>
      <c r="AF42" t="n">
        <v>1157</v>
      </c>
    </row>
    <row r="43">
      <c r="A43" t="s">
        <v>128</v>
      </c>
      <c r="B43" t="s">
        <v>356</v>
      </c>
      <c r="C43" t="s">
        <v>217</v>
      </c>
      <c r="D43" t="s">
        <v>357</v>
      </c>
      <c r="E43" t="s">
        <v>218</v>
      </c>
      <c r="F43" t="n">
        <v>352.6</v>
      </c>
      <c r="G43" t="n">
        <v>428</v>
      </c>
      <c r="H43" t="n">
        <v>510.9</v>
      </c>
      <c r="I43" t="n">
        <v>598.5</v>
      </c>
      <c r="J43" t="n">
        <v>702.7</v>
      </c>
      <c r="K43" t="n">
        <v>791.2</v>
      </c>
      <c r="L43" t="n">
        <v>908</v>
      </c>
      <c r="M43" t="n">
        <v>1000.9</v>
      </c>
      <c r="N43" t="n">
        <v>1202.4</v>
      </c>
      <c r="O43" t="n">
        <v>1436.2</v>
      </c>
      <c r="P43" t="n">
        <v>1519</v>
      </c>
      <c r="Q43" t="n">
        <v>1571.2</v>
      </c>
      <c r="R43" t="n">
        <v>1750.8</v>
      </c>
      <c r="S43" t="n">
        <v>1921.7</v>
      </c>
      <c r="T43" t="n">
        <v>1964.7</v>
      </c>
      <c r="U43" t="n">
        <v>2322</v>
      </c>
      <c r="V43" t="n">
        <v>2568.4</v>
      </c>
      <c r="W43" t="n">
        <v>2529.2</v>
      </c>
      <c r="X43" t="n">
        <v>2474.3</v>
      </c>
      <c r="Y43" t="n">
        <v>2389</v>
      </c>
      <c r="Z43" t="n">
        <v>2261.6</v>
      </c>
      <c r="AA43" t="n">
        <v>2150.1</v>
      </c>
      <c r="AB43" t="n">
        <v>2064.6</v>
      </c>
      <c r="AC43" t="n">
        <v>2017.8</v>
      </c>
      <c r="AD43" t="n">
        <v>2028.1</v>
      </c>
      <c r="AE43" t="n">
        <v>1999.7</v>
      </c>
      <c r="AF43" t="n">
        <v>1981.5</v>
      </c>
    </row>
    <row r="44">
      <c r="A44" t="s">
        <v>128</v>
      </c>
      <c r="B44" t="s">
        <v>358</v>
      </c>
      <c r="C44" t="s">
        <v>217</v>
      </c>
      <c r="D44" t="s">
        <v>359</v>
      </c>
      <c r="E44" t="s">
        <v>218</v>
      </c>
      <c r="F44" t="n">
        <v>49603.9</v>
      </c>
      <c r="G44" t="n">
        <v>54525.9</v>
      </c>
      <c r="H44" t="n">
        <v>59295.5</v>
      </c>
      <c r="I44" t="n">
        <v>64120.4</v>
      </c>
      <c r="J44" t="n">
        <v>69497.5</v>
      </c>
      <c r="K44" t="n">
        <v>73678.3</v>
      </c>
      <c r="L44" t="n">
        <v>78832.2</v>
      </c>
      <c r="M44" t="n">
        <v>82329</v>
      </c>
      <c r="N44" t="n">
        <v>87985.2</v>
      </c>
      <c r="O44" t="n">
        <v>92382.7</v>
      </c>
      <c r="P44" t="n">
        <v>96034</v>
      </c>
      <c r="Q44" t="n">
        <v>96631.7</v>
      </c>
      <c r="R44" t="n">
        <v>103086.2</v>
      </c>
      <c r="S44" t="n">
        <v>106286.7</v>
      </c>
      <c r="T44" t="n">
        <v>111017.6</v>
      </c>
      <c r="U44" t="n">
        <v>110674.3</v>
      </c>
      <c r="V44" t="n">
        <v>106916.5</v>
      </c>
      <c r="W44" t="n">
        <v>103115.9</v>
      </c>
      <c r="X44" t="n">
        <v>101908.1</v>
      </c>
      <c r="Y44" t="n">
        <v>100169.7</v>
      </c>
      <c r="Z44" t="n">
        <v>96365.4</v>
      </c>
      <c r="AA44" t="n">
        <v>93938.3</v>
      </c>
      <c r="AB44" t="n">
        <v>91705</v>
      </c>
      <c r="AC44" t="n">
        <v>90918.7</v>
      </c>
      <c r="AD44" t="n">
        <v>90550.3</v>
      </c>
      <c r="AE44" t="n">
        <v>89162.6</v>
      </c>
      <c r="AF44" t="n">
        <v>88292.7</v>
      </c>
    </row>
    <row r="45">
      <c r="A45" t="s">
        <v>128</v>
      </c>
      <c r="B45" t="s">
        <v>360</v>
      </c>
      <c r="C45" t="s">
        <v>217</v>
      </c>
      <c r="D45" t="s">
        <v>361</v>
      </c>
      <c r="E45" t="s">
        <v>218</v>
      </c>
      <c r="F45" t="n">
        <v>43087.4</v>
      </c>
      <c r="G45" t="n">
        <v>47578.3</v>
      </c>
      <c r="H45" t="n">
        <v>51975.2</v>
      </c>
      <c r="I45" t="n">
        <v>56457</v>
      </c>
      <c r="J45" t="n">
        <v>61466.9</v>
      </c>
      <c r="K45" t="n">
        <v>65411.4</v>
      </c>
      <c r="L45" t="n">
        <v>70370.2</v>
      </c>
      <c r="M45" t="n">
        <v>73760.6</v>
      </c>
      <c r="N45" t="n">
        <v>79160.2</v>
      </c>
      <c r="O45" t="n">
        <v>83400.6</v>
      </c>
      <c r="P45" t="n">
        <v>86859.4</v>
      </c>
      <c r="Q45" t="n">
        <v>87446.9</v>
      </c>
      <c r="R45" t="n">
        <v>93320.6</v>
      </c>
      <c r="S45" t="n">
        <v>96277.8</v>
      </c>
      <c r="T45" t="n">
        <v>100771.4</v>
      </c>
      <c r="U45" t="n">
        <v>100732.1</v>
      </c>
      <c r="V45" t="n">
        <v>97052.5</v>
      </c>
      <c r="W45" t="n">
        <v>93777.3</v>
      </c>
      <c r="X45" t="n">
        <v>92848.1</v>
      </c>
      <c r="Y45" t="n">
        <v>91396</v>
      </c>
      <c r="Z45" t="n">
        <v>88020.8</v>
      </c>
      <c r="AA45" t="n">
        <v>85928.9</v>
      </c>
      <c r="AB45" t="n">
        <v>83965.6</v>
      </c>
      <c r="AC45" t="n">
        <v>83342</v>
      </c>
      <c r="AD45" t="n">
        <v>83090.7</v>
      </c>
      <c r="AE45" t="n">
        <v>81883.3</v>
      </c>
      <c r="AF45" t="n">
        <v>81158.7</v>
      </c>
    </row>
    <row r="46">
      <c r="A46" t="s">
        <v>128</v>
      </c>
      <c r="B46" t="s">
        <v>362</v>
      </c>
      <c r="C46" t="s">
        <v>217</v>
      </c>
      <c r="D46" t="s">
        <v>363</v>
      </c>
      <c r="E46" t="s">
        <v>218</v>
      </c>
      <c r="F46" t="n">
        <v>125.8</v>
      </c>
      <c r="G46" t="n">
        <v>161.9</v>
      </c>
      <c r="H46" t="n">
        <v>201.6</v>
      </c>
      <c r="I46" t="n">
        <v>245.5</v>
      </c>
      <c r="J46" t="n">
        <v>295.1</v>
      </c>
      <c r="K46" t="n">
        <v>339.4</v>
      </c>
      <c r="L46" t="n">
        <v>404.2</v>
      </c>
      <c r="M46" t="n">
        <v>449.4</v>
      </c>
      <c r="N46" t="n">
        <v>563.3</v>
      </c>
      <c r="O46" t="n">
        <v>720</v>
      </c>
      <c r="P46" t="n">
        <v>720.3</v>
      </c>
      <c r="Q46" t="n">
        <v>710.6</v>
      </c>
      <c r="R46" t="n">
        <v>749.2</v>
      </c>
      <c r="S46" t="n">
        <v>744.4</v>
      </c>
      <c r="T46" t="n">
        <v>740.6</v>
      </c>
      <c r="U46" t="n">
        <v>1146.7</v>
      </c>
      <c r="V46" t="n">
        <v>1172</v>
      </c>
      <c r="W46" t="n">
        <v>1120.7</v>
      </c>
      <c r="X46" t="n">
        <v>1087.9</v>
      </c>
      <c r="Y46" t="n">
        <v>1048.6</v>
      </c>
      <c r="Z46" t="n">
        <v>978.3</v>
      </c>
      <c r="AA46" t="n">
        <v>920.9</v>
      </c>
      <c r="AB46" t="n">
        <v>876.3</v>
      </c>
      <c r="AC46" t="n">
        <v>860.6</v>
      </c>
      <c r="AD46" t="n">
        <v>862.7</v>
      </c>
      <c r="AE46" t="n">
        <v>841.5</v>
      </c>
      <c r="AF46" t="n">
        <v>824.5</v>
      </c>
    </row>
    <row r="47">
      <c r="A47" t="s">
        <v>128</v>
      </c>
      <c r="B47" t="s">
        <v>364</v>
      </c>
      <c r="C47" t="s">
        <v>217</v>
      </c>
      <c r="D47" t="s">
        <v>365</v>
      </c>
      <c r="E47" t="s">
        <v>218</v>
      </c>
      <c r="F47" t="n">
        <v>27110.7</v>
      </c>
      <c r="G47" t="n">
        <v>29989.2</v>
      </c>
      <c r="H47" t="n">
        <v>32880.9</v>
      </c>
      <c r="I47" t="n">
        <v>35812.3</v>
      </c>
      <c r="J47" t="n">
        <v>38811.4</v>
      </c>
      <c r="K47" t="n">
        <v>41840</v>
      </c>
      <c r="L47" t="n">
        <v>45237.1</v>
      </c>
      <c r="M47" t="n">
        <v>48716.5</v>
      </c>
      <c r="N47" t="n">
        <v>53110.4</v>
      </c>
      <c r="O47" t="n">
        <v>56677.5</v>
      </c>
      <c r="P47" t="n">
        <v>58462.4</v>
      </c>
      <c r="Q47" t="n">
        <v>59791.2</v>
      </c>
      <c r="R47" t="n">
        <v>64936</v>
      </c>
      <c r="S47" t="n">
        <v>67920.4</v>
      </c>
      <c r="T47" t="n">
        <v>71784.9</v>
      </c>
      <c r="U47" t="n">
        <v>71165</v>
      </c>
      <c r="V47" t="n">
        <v>69532.3</v>
      </c>
      <c r="W47" t="n">
        <v>67166.4</v>
      </c>
      <c r="X47" t="n">
        <v>67751.6</v>
      </c>
      <c r="Y47" t="n">
        <v>67601.3</v>
      </c>
      <c r="Z47" t="n">
        <v>66093.3</v>
      </c>
      <c r="AA47" t="n">
        <v>65441.1</v>
      </c>
      <c r="AB47" t="n">
        <v>66234.9</v>
      </c>
      <c r="AC47" t="n">
        <v>66696.6</v>
      </c>
      <c r="AD47" t="n">
        <v>66352.3</v>
      </c>
      <c r="AE47" t="n">
        <v>65780.6</v>
      </c>
      <c r="AF47" t="n">
        <v>65854.4</v>
      </c>
    </row>
    <row r="48">
      <c r="A48" t="s">
        <v>128</v>
      </c>
      <c r="B48" t="s">
        <v>366</v>
      </c>
      <c r="C48" t="s">
        <v>217</v>
      </c>
      <c r="D48" t="s">
        <v>367</v>
      </c>
      <c r="E48" t="s">
        <v>218</v>
      </c>
      <c r="F48" t="n">
        <v>30876.4</v>
      </c>
      <c r="G48" t="n">
        <v>34342.4</v>
      </c>
      <c r="H48" t="n">
        <v>37838.1</v>
      </c>
      <c r="I48" t="n">
        <v>41411.8</v>
      </c>
      <c r="J48" t="n">
        <v>45143.4</v>
      </c>
      <c r="K48" t="n">
        <v>48768.4</v>
      </c>
      <c r="L48" t="n">
        <v>52659.4</v>
      </c>
      <c r="M48" t="n">
        <v>56429.8</v>
      </c>
      <c r="N48" t="n">
        <v>61695.4</v>
      </c>
      <c r="O48" t="n">
        <v>65644.2</v>
      </c>
      <c r="P48" t="n">
        <v>67768.4</v>
      </c>
      <c r="Q48" t="n">
        <v>69237.7</v>
      </c>
      <c r="R48" t="n">
        <v>75019.8</v>
      </c>
      <c r="S48" t="n">
        <v>78272.9</v>
      </c>
      <c r="T48" t="n">
        <v>82413.2</v>
      </c>
      <c r="U48" t="n">
        <v>81477.1</v>
      </c>
      <c r="V48" t="n">
        <v>79486.7</v>
      </c>
      <c r="W48" t="n">
        <v>76639</v>
      </c>
      <c r="X48" t="n">
        <v>77101.2</v>
      </c>
      <c r="Y48" t="n">
        <v>76686.3</v>
      </c>
      <c r="Z48" t="n">
        <v>74719.1</v>
      </c>
      <c r="AA48" t="n">
        <v>73664.5</v>
      </c>
      <c r="AB48" t="n">
        <v>74105.3</v>
      </c>
      <c r="AC48" t="n">
        <v>74348.3</v>
      </c>
      <c r="AD48" t="n">
        <v>73835</v>
      </c>
      <c r="AE48" t="n">
        <v>73062.2</v>
      </c>
      <c r="AF48" t="n">
        <v>72964.4</v>
      </c>
    </row>
    <row r="49">
      <c r="A49" t="s">
        <v>128</v>
      </c>
      <c r="B49" t="s">
        <v>368</v>
      </c>
      <c r="C49" t="s">
        <v>217</v>
      </c>
      <c r="D49" t="s">
        <v>369</v>
      </c>
      <c r="E49" t="s">
        <v>218</v>
      </c>
      <c r="F49" t="n">
        <v>3091.6</v>
      </c>
      <c r="G49" t="n">
        <v>3578.4</v>
      </c>
      <c r="H49" t="n">
        <v>4076.8</v>
      </c>
      <c r="I49" t="n">
        <v>4606.1</v>
      </c>
      <c r="J49" t="n">
        <v>5225.4</v>
      </c>
      <c r="K49" t="n">
        <v>5731</v>
      </c>
      <c r="L49" t="n">
        <v>6143.1</v>
      </c>
      <c r="M49" t="n">
        <v>6372.9</v>
      </c>
      <c r="N49" t="n">
        <v>6967.9</v>
      </c>
      <c r="O49" t="n">
        <v>7221.4</v>
      </c>
      <c r="P49" t="n">
        <v>7450.2</v>
      </c>
      <c r="Q49" t="n">
        <v>7548.1</v>
      </c>
      <c r="R49" t="n">
        <v>8045.1</v>
      </c>
      <c r="S49" t="n">
        <v>8232.9</v>
      </c>
      <c r="T49" t="n">
        <v>8391.5</v>
      </c>
      <c r="U49" t="n">
        <v>8147.1</v>
      </c>
      <c r="V49" t="n">
        <v>7836.4</v>
      </c>
      <c r="W49" t="n">
        <v>7468</v>
      </c>
      <c r="X49" t="n">
        <v>7395.7</v>
      </c>
      <c r="Y49" t="n">
        <v>7197.2</v>
      </c>
      <c r="Z49" t="n">
        <v>6845.8</v>
      </c>
      <c r="AA49" t="n">
        <v>6537.3</v>
      </c>
      <c r="AB49" t="n">
        <v>6256.8</v>
      </c>
      <c r="AC49" t="n">
        <v>6086.1</v>
      </c>
      <c r="AD49" t="n">
        <v>5954</v>
      </c>
      <c r="AE49" t="n">
        <v>5798.2</v>
      </c>
      <c r="AF49" t="n">
        <v>5666.7</v>
      </c>
    </row>
    <row r="50">
      <c r="A50" t="s">
        <v>128</v>
      </c>
      <c r="B50" t="s">
        <v>370</v>
      </c>
      <c r="C50" t="s">
        <v>217</v>
      </c>
      <c r="D50" t="s">
        <v>371</v>
      </c>
      <c r="E50" t="s">
        <v>218</v>
      </c>
      <c r="F50" t="n">
        <v>674.1</v>
      </c>
      <c r="G50" t="n">
        <v>774.8</v>
      </c>
      <c r="H50" t="n">
        <v>880.5</v>
      </c>
      <c r="I50" t="n">
        <v>993.4</v>
      </c>
      <c r="J50" t="n">
        <v>1106.6</v>
      </c>
      <c r="K50" t="n">
        <v>1197.3</v>
      </c>
      <c r="L50" t="n">
        <v>1279.2</v>
      </c>
      <c r="M50" t="n">
        <v>1340.4</v>
      </c>
      <c r="N50" t="n">
        <v>1617.1</v>
      </c>
      <c r="O50" t="n">
        <v>1745.3</v>
      </c>
      <c r="P50" t="n">
        <v>1855.7</v>
      </c>
      <c r="Q50" t="n">
        <v>1898.5</v>
      </c>
      <c r="R50" t="n">
        <v>2038.8</v>
      </c>
      <c r="S50" t="n">
        <v>2119.7</v>
      </c>
      <c r="T50" t="n">
        <v>2236.9</v>
      </c>
      <c r="U50" t="n">
        <v>2165</v>
      </c>
      <c r="V50" t="n">
        <v>2117.9</v>
      </c>
      <c r="W50" t="n">
        <v>2004.6</v>
      </c>
      <c r="X50" t="n">
        <v>1953.9</v>
      </c>
      <c r="Y50" t="n">
        <v>1887.8</v>
      </c>
      <c r="Z50" t="n">
        <v>1780.1</v>
      </c>
      <c r="AA50" t="n">
        <v>1686.1</v>
      </c>
      <c r="AB50" t="n">
        <v>1613.6</v>
      </c>
      <c r="AC50" t="n">
        <v>1565.6</v>
      </c>
      <c r="AD50" t="n">
        <v>1528.8</v>
      </c>
      <c r="AE50" t="n">
        <v>1483.5</v>
      </c>
      <c r="AF50" t="n">
        <v>1443.3</v>
      </c>
    </row>
    <row r="51">
      <c r="A51" t="s">
        <v>128</v>
      </c>
      <c r="B51" t="s">
        <v>372</v>
      </c>
      <c r="C51" t="s">
        <v>217</v>
      </c>
      <c r="D51" t="s">
        <v>373</v>
      </c>
      <c r="E51" t="s">
        <v>218</v>
      </c>
      <c r="F51" t="n">
        <v>619.1</v>
      </c>
      <c r="G51" t="n">
        <v>702.6</v>
      </c>
      <c r="H51" t="n">
        <v>788.2</v>
      </c>
      <c r="I51" t="n">
        <v>878.2</v>
      </c>
      <c r="J51" t="n">
        <v>978.5</v>
      </c>
      <c r="K51" t="n">
        <v>1061.9</v>
      </c>
      <c r="L51" t="n">
        <v>1137</v>
      </c>
      <c r="M51" t="n">
        <v>1192</v>
      </c>
      <c r="N51" t="n">
        <v>1446.1</v>
      </c>
      <c r="O51" t="n">
        <v>1560.8</v>
      </c>
      <c r="P51" t="n">
        <v>1592.9</v>
      </c>
      <c r="Q51" t="n">
        <v>1561.4</v>
      </c>
      <c r="R51" t="n">
        <v>1637.3</v>
      </c>
      <c r="S51" t="n">
        <v>1652</v>
      </c>
      <c r="T51" t="n">
        <v>1736.2</v>
      </c>
      <c r="U51" t="n">
        <v>1677.1</v>
      </c>
      <c r="V51" t="n">
        <v>1595.4</v>
      </c>
      <c r="W51" t="n">
        <v>1503.1</v>
      </c>
      <c r="X51" t="n">
        <v>1452.4</v>
      </c>
      <c r="Y51" t="n">
        <v>1399.2</v>
      </c>
      <c r="Z51" t="n">
        <v>1319.4</v>
      </c>
      <c r="AA51" t="n">
        <v>1248.5</v>
      </c>
      <c r="AB51" t="n">
        <v>1195.2</v>
      </c>
      <c r="AC51" t="n">
        <v>1159.1</v>
      </c>
      <c r="AD51" t="n">
        <v>1134.6</v>
      </c>
      <c r="AE51" t="n">
        <v>1101.9</v>
      </c>
      <c r="AF51" t="n">
        <v>1072.6</v>
      </c>
    </row>
    <row r="52">
      <c r="A52" t="s">
        <v>128</v>
      </c>
      <c r="B52" t="s">
        <v>374</v>
      </c>
      <c r="C52" t="s">
        <v>217</v>
      </c>
      <c r="D52" t="s">
        <v>375</v>
      </c>
      <c r="E52" t="s">
        <v>218</v>
      </c>
      <c r="F52" t="n">
        <v>55</v>
      </c>
      <c r="G52" t="n">
        <v>72.2</v>
      </c>
      <c r="H52" t="n">
        <v>92.3</v>
      </c>
      <c r="I52" t="n">
        <v>115.2</v>
      </c>
      <c r="J52" t="n">
        <v>128.1</v>
      </c>
      <c r="K52" t="n">
        <v>135.4</v>
      </c>
      <c r="L52" t="n">
        <v>142.2</v>
      </c>
      <c r="M52" t="n">
        <v>148.4</v>
      </c>
      <c r="N52" t="n">
        <v>171</v>
      </c>
      <c r="O52" t="n">
        <v>184.5</v>
      </c>
      <c r="P52" t="n">
        <v>262.8</v>
      </c>
      <c r="Q52" t="n">
        <v>337.1</v>
      </c>
      <c r="R52" t="n">
        <v>401.5</v>
      </c>
      <c r="S52" t="n">
        <v>467.7</v>
      </c>
      <c r="T52" t="n">
        <v>500.7</v>
      </c>
      <c r="U52" t="n">
        <v>487.9</v>
      </c>
      <c r="V52" t="n">
        <v>522.5</v>
      </c>
      <c r="W52" t="n">
        <v>501.5</v>
      </c>
      <c r="X52" t="n">
        <v>501.5</v>
      </c>
      <c r="Y52" t="n">
        <v>488.6</v>
      </c>
      <c r="Z52" t="n">
        <v>460.7</v>
      </c>
      <c r="AA52" t="n">
        <v>437.6</v>
      </c>
      <c r="AB52" t="n">
        <v>418.4</v>
      </c>
      <c r="AC52" t="n">
        <v>406.5</v>
      </c>
      <c r="AD52" t="n">
        <v>394.2</v>
      </c>
      <c r="AE52" t="n">
        <v>381.6</v>
      </c>
      <c r="AF52" t="n">
        <v>370.7</v>
      </c>
    </row>
    <row r="53">
      <c r="A53" t="s">
        <v>128</v>
      </c>
      <c r="B53" t="s">
        <v>376</v>
      </c>
      <c r="C53" t="s">
        <v>217</v>
      </c>
      <c r="D53" t="s">
        <v>377</v>
      </c>
      <c r="E53" t="s">
        <v>218</v>
      </c>
      <c r="F53" t="n">
        <v>844.1</v>
      </c>
      <c r="G53" t="n">
        <v>975.5</v>
      </c>
      <c r="H53" t="n">
        <v>1102</v>
      </c>
      <c r="I53" t="n">
        <v>1227.9</v>
      </c>
      <c r="J53" t="n">
        <v>1413.2</v>
      </c>
      <c r="K53" t="n">
        <v>1553.9</v>
      </c>
      <c r="L53" t="n">
        <v>1705.2</v>
      </c>
      <c r="M53" t="n">
        <v>1956.8</v>
      </c>
      <c r="N53" t="n">
        <v>2288.5</v>
      </c>
      <c r="O53" t="n">
        <v>2588.9</v>
      </c>
      <c r="P53" t="n">
        <v>2741</v>
      </c>
      <c r="Q53" t="n">
        <v>2789</v>
      </c>
      <c r="R53" t="n">
        <v>2991.3</v>
      </c>
      <c r="S53" t="n">
        <v>3106.8</v>
      </c>
      <c r="T53" t="n">
        <v>3210.5</v>
      </c>
      <c r="U53" t="n">
        <v>3132.9</v>
      </c>
      <c r="V53" t="n">
        <v>3146.8</v>
      </c>
      <c r="W53" t="n">
        <v>3013.5</v>
      </c>
      <c r="X53" t="n">
        <v>3025.6</v>
      </c>
      <c r="Y53" t="n">
        <v>2994.1</v>
      </c>
      <c r="Z53" t="n">
        <v>2911.2</v>
      </c>
      <c r="AA53" t="n">
        <v>2838.3</v>
      </c>
      <c r="AB53" t="n">
        <v>2744.5</v>
      </c>
      <c r="AC53" t="n">
        <v>2704.3</v>
      </c>
      <c r="AD53" t="n">
        <v>2663</v>
      </c>
      <c r="AE53" t="n">
        <v>2606.1</v>
      </c>
      <c r="AF53" t="n">
        <v>2559</v>
      </c>
    </row>
    <row r="54">
      <c r="A54" t="s">
        <v>128</v>
      </c>
      <c r="B54" t="s">
        <v>378</v>
      </c>
      <c r="C54" t="s">
        <v>217</v>
      </c>
      <c r="D54" t="s">
        <v>379</v>
      </c>
      <c r="E54" t="s">
        <v>218</v>
      </c>
      <c r="F54" t="n">
        <v>1748.1</v>
      </c>
      <c r="G54" t="n">
        <v>2022.7</v>
      </c>
      <c r="H54" t="n">
        <v>2299</v>
      </c>
      <c r="I54" t="n">
        <v>2584.9</v>
      </c>
      <c r="J54" t="n">
        <v>2949</v>
      </c>
      <c r="K54" t="n">
        <v>3241.9</v>
      </c>
      <c r="L54" t="n">
        <v>3417.6</v>
      </c>
      <c r="M54" t="n">
        <v>3748.2</v>
      </c>
      <c r="N54" t="n">
        <v>4169.3</v>
      </c>
      <c r="O54" t="n">
        <v>4476.5</v>
      </c>
      <c r="P54" t="n">
        <v>4658.5</v>
      </c>
      <c r="Q54" t="n">
        <v>4722.6</v>
      </c>
      <c r="R54" t="n">
        <v>5089.9</v>
      </c>
      <c r="S54" t="n">
        <v>5329.1</v>
      </c>
      <c r="T54" t="n">
        <v>6546.9</v>
      </c>
      <c r="U54" t="n">
        <v>6918</v>
      </c>
      <c r="V54" t="n">
        <v>4980.7</v>
      </c>
      <c r="W54" t="n">
        <v>4770</v>
      </c>
      <c r="X54" t="n">
        <v>4766.3</v>
      </c>
      <c r="Y54" t="n">
        <v>4777.3</v>
      </c>
      <c r="Z54" t="n">
        <v>4700.7</v>
      </c>
      <c r="AA54" t="n">
        <v>4603.5</v>
      </c>
      <c r="AB54" t="n">
        <v>4487.3</v>
      </c>
      <c r="AC54" t="n">
        <v>4388.8</v>
      </c>
      <c r="AD54" t="n">
        <v>4302</v>
      </c>
      <c r="AE54" t="n">
        <v>4188.2</v>
      </c>
      <c r="AF54" t="n">
        <v>4091.5</v>
      </c>
    </row>
    <row r="55">
      <c r="A55" t="s">
        <v>128</v>
      </c>
      <c r="B55" t="s">
        <v>380</v>
      </c>
      <c r="C55" t="s">
        <v>217</v>
      </c>
      <c r="D55" t="s">
        <v>381</v>
      </c>
      <c r="E55" t="s">
        <v>218</v>
      </c>
      <c r="F55" t="n">
        <v>904</v>
      </c>
      <c r="G55" t="n">
        <v>1047.2</v>
      </c>
      <c r="H55" t="n">
        <v>1197</v>
      </c>
      <c r="I55" t="n">
        <v>1357</v>
      </c>
      <c r="J55" t="n">
        <v>1535.8</v>
      </c>
      <c r="K55" t="n">
        <v>1688</v>
      </c>
      <c r="L55" t="n">
        <v>1712.4</v>
      </c>
      <c r="M55" t="n">
        <v>1791.4</v>
      </c>
      <c r="N55" t="n">
        <v>1880.8</v>
      </c>
      <c r="O55" t="n">
        <v>1887.6</v>
      </c>
      <c r="P55" t="n">
        <v>1917.5</v>
      </c>
      <c r="Q55" t="n">
        <v>1933.6</v>
      </c>
      <c r="R55" t="n">
        <v>2098.6</v>
      </c>
      <c r="S55" t="n">
        <v>2222.3</v>
      </c>
      <c r="T55" t="n">
        <v>3336.4</v>
      </c>
      <c r="U55" t="n">
        <v>3785.1</v>
      </c>
      <c r="V55" t="n">
        <v>1833.9</v>
      </c>
      <c r="W55" t="n">
        <v>1756.5</v>
      </c>
      <c r="X55" t="n">
        <v>1740.7</v>
      </c>
      <c r="Y55" t="n">
        <v>1783.2</v>
      </c>
      <c r="Z55" t="n">
        <v>1789.5</v>
      </c>
      <c r="AA55" t="n">
        <v>1765.2</v>
      </c>
      <c r="AB55" t="n">
        <v>1742.8</v>
      </c>
      <c r="AC55" t="n">
        <v>1684.5</v>
      </c>
      <c r="AD55" t="n">
        <v>1639</v>
      </c>
      <c r="AE55" t="n">
        <v>1582.1</v>
      </c>
      <c r="AF55" t="n">
        <v>1532.5</v>
      </c>
    </row>
    <row r="56">
      <c r="A56" t="s">
        <v>128</v>
      </c>
      <c r="B56" t="s">
        <v>382</v>
      </c>
      <c r="C56" t="s">
        <v>217</v>
      </c>
      <c r="D56" t="s">
        <v>383</v>
      </c>
      <c r="E56" t="s">
        <v>218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128</v>
      </c>
      <c r="B57" t="s">
        <v>384</v>
      </c>
      <c r="C57" t="s">
        <v>217</v>
      </c>
      <c r="D57" t="s">
        <v>385</v>
      </c>
      <c r="E57" t="s">
        <v>218</v>
      </c>
      <c r="F57" t="n">
        <v>80587.8</v>
      </c>
      <c r="G57" t="n">
        <v>89037.5</v>
      </c>
      <c r="H57" t="n">
        <v>97363.5</v>
      </c>
      <c r="I57" t="n">
        <v>105840.2</v>
      </c>
      <c r="J57" t="n">
        <v>115035.2</v>
      </c>
      <c r="K57" t="n">
        <v>122928</v>
      </c>
      <c r="L57" t="n">
        <v>132053.4</v>
      </c>
      <c r="M57" t="n">
        <v>139405.3</v>
      </c>
      <c r="N57" t="n">
        <v>150441.1</v>
      </c>
      <c r="O57" t="n">
        <v>158910.8</v>
      </c>
      <c r="P57" t="n">
        <v>164677</v>
      </c>
      <c r="Q57" t="n">
        <v>166711.1</v>
      </c>
      <c r="R57" t="n">
        <v>178983.5</v>
      </c>
      <c r="S57" t="n">
        <v>185554.4</v>
      </c>
      <c r="T57" t="n">
        <v>194628.6</v>
      </c>
      <c r="U57" t="n">
        <v>193518.4</v>
      </c>
      <c r="V57" t="n">
        <v>189007.4</v>
      </c>
      <c r="W57" t="n">
        <v>183076.1</v>
      </c>
      <c r="X57" t="n">
        <v>182455.1</v>
      </c>
      <c r="Y57" t="n">
        <v>180486.7</v>
      </c>
      <c r="Z57" t="n">
        <v>174600.9</v>
      </c>
      <c r="AA57" t="n">
        <v>171157.5</v>
      </c>
      <c r="AB57" t="n">
        <v>169384.2</v>
      </c>
      <c r="AC57" t="n">
        <v>168824.2</v>
      </c>
      <c r="AD57" t="n">
        <v>168032.3</v>
      </c>
      <c r="AE57" t="n">
        <v>165889.1</v>
      </c>
      <c r="AF57" t="n">
        <v>164957.6</v>
      </c>
    </row>
    <row r="58">
      <c r="A58" t="s">
        <v>128</v>
      </c>
      <c r="B58" t="s">
        <v>386</v>
      </c>
      <c r="C58" t="s">
        <v>217</v>
      </c>
      <c r="D58" t="s">
        <v>387</v>
      </c>
      <c r="E58" t="s">
        <v>218</v>
      </c>
      <c r="F58" t="n">
        <v>80587.8</v>
      </c>
      <c r="G58" t="n">
        <v>89037.5</v>
      </c>
      <c r="H58" t="n">
        <v>97363.5</v>
      </c>
      <c r="I58" t="n">
        <v>105840.2</v>
      </c>
      <c r="J58" t="n">
        <v>115035.2</v>
      </c>
      <c r="K58" t="n">
        <v>122928</v>
      </c>
      <c r="L58" t="n">
        <v>132053.4</v>
      </c>
      <c r="M58" t="n">
        <v>139405.3</v>
      </c>
      <c r="N58" t="n">
        <v>150441.1</v>
      </c>
      <c r="O58" t="n">
        <v>158910.8</v>
      </c>
      <c r="P58" t="n">
        <v>164677</v>
      </c>
      <c r="Q58" t="n">
        <v>166711.1</v>
      </c>
      <c r="R58" t="n">
        <v>178983.5</v>
      </c>
      <c r="S58" t="n">
        <v>185554.4</v>
      </c>
      <c r="T58" t="n">
        <v>194628.6</v>
      </c>
      <c r="U58" t="n">
        <v>193518.4</v>
      </c>
      <c r="V58" t="n">
        <v>189007.4</v>
      </c>
      <c r="W58" t="n">
        <v>183076.1</v>
      </c>
      <c r="X58" t="n">
        <v>182455.1</v>
      </c>
      <c r="Y58" t="n">
        <v>180486.7</v>
      </c>
      <c r="Z58" t="n">
        <v>174600.9</v>
      </c>
      <c r="AA58" t="n">
        <v>171157.5</v>
      </c>
      <c r="AB58" t="n">
        <v>169384.2</v>
      </c>
      <c r="AC58" t="n">
        <v>168824.2</v>
      </c>
      <c r="AD58" t="n">
        <v>168032.3</v>
      </c>
      <c r="AE58" t="n">
        <v>165889.1</v>
      </c>
      <c r="AF58" t="n">
        <v>164957.6</v>
      </c>
    </row>
    <row r="59">
      <c r="A59" t="s">
        <v>128</v>
      </c>
      <c r="B59" t="s">
        <v>388</v>
      </c>
      <c r="C59" t="s">
        <v>217</v>
      </c>
      <c r="D59" t="s">
        <v>389</v>
      </c>
      <c r="E59" t="s">
        <v>218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130</v>
      </c>
      <c r="B2" t="s">
        <v>197</v>
      </c>
      <c r="C2" t="s">
        <v>217</v>
      </c>
      <c r="D2" t="s">
        <v>199</v>
      </c>
      <c r="E2" t="s">
        <v>218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130</v>
      </c>
      <c r="B3" t="s">
        <v>276</v>
      </c>
      <c r="C3" t="s">
        <v>217</v>
      </c>
      <c r="D3" t="s">
        <v>277</v>
      </c>
      <c r="E3" t="s">
        <v>218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130</v>
      </c>
      <c r="B4" t="s">
        <v>278</v>
      </c>
      <c r="C4" t="s">
        <v>217</v>
      </c>
      <c r="D4" t="s">
        <v>279</v>
      </c>
      <c r="E4" t="s">
        <v>218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130</v>
      </c>
      <c r="B5" t="s">
        <v>280</v>
      </c>
      <c r="C5" t="s">
        <v>217</v>
      </c>
      <c r="D5" t="s">
        <v>281</v>
      </c>
      <c r="E5" t="s">
        <v>218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130</v>
      </c>
      <c r="B6" t="s">
        <v>282</v>
      </c>
      <c r="C6" t="s">
        <v>217</v>
      </c>
      <c r="D6" t="s">
        <v>283</v>
      </c>
      <c r="E6" t="s">
        <v>218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130</v>
      </c>
      <c r="B7" t="s">
        <v>284</v>
      </c>
      <c r="C7" t="s">
        <v>217</v>
      </c>
      <c r="D7" t="s">
        <v>285</v>
      </c>
      <c r="E7" t="s">
        <v>218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130</v>
      </c>
      <c r="B8" t="s">
        <v>286</v>
      </c>
      <c r="C8" t="s">
        <v>217</v>
      </c>
      <c r="D8" t="s">
        <v>287</v>
      </c>
      <c r="E8" t="s">
        <v>218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130</v>
      </c>
      <c r="B9" t="s">
        <v>288</v>
      </c>
      <c r="C9" t="s">
        <v>217</v>
      </c>
      <c r="D9" t="s">
        <v>289</v>
      </c>
      <c r="E9" t="s">
        <v>218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130</v>
      </c>
      <c r="B10" t="s">
        <v>290</v>
      </c>
      <c r="C10" t="s">
        <v>217</v>
      </c>
      <c r="D10" t="s">
        <v>291</v>
      </c>
      <c r="E10" t="s">
        <v>218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130</v>
      </c>
      <c r="B11" t="s">
        <v>292</v>
      </c>
      <c r="C11" t="s">
        <v>217</v>
      </c>
      <c r="D11" t="s">
        <v>293</v>
      </c>
      <c r="E11" t="s">
        <v>218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130</v>
      </c>
      <c r="B12" t="s">
        <v>294</v>
      </c>
      <c r="C12" t="s">
        <v>217</v>
      </c>
      <c r="D12" t="s">
        <v>295</v>
      </c>
      <c r="E12" t="s">
        <v>218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130</v>
      </c>
      <c r="B13" t="s">
        <v>296</v>
      </c>
      <c r="C13" t="s">
        <v>217</v>
      </c>
      <c r="D13" t="s">
        <v>297</v>
      </c>
      <c r="E13" t="s">
        <v>218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130</v>
      </c>
      <c r="B14" t="s">
        <v>298</v>
      </c>
      <c r="C14" t="s">
        <v>217</v>
      </c>
      <c r="D14" t="s">
        <v>299</v>
      </c>
      <c r="E14" t="s">
        <v>218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130</v>
      </c>
      <c r="B15" t="s">
        <v>300</v>
      </c>
      <c r="C15" t="s">
        <v>217</v>
      </c>
      <c r="D15" t="s">
        <v>301</v>
      </c>
      <c r="E15" t="s">
        <v>218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130</v>
      </c>
      <c r="B16" t="s">
        <v>302</v>
      </c>
      <c r="C16" t="s">
        <v>217</v>
      </c>
      <c r="D16" t="s">
        <v>303</v>
      </c>
      <c r="E16" t="s">
        <v>218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130</v>
      </c>
      <c r="B17" t="s">
        <v>304</v>
      </c>
      <c r="C17" t="s">
        <v>217</v>
      </c>
      <c r="D17" t="s">
        <v>305</v>
      </c>
      <c r="E17" t="s">
        <v>218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130</v>
      </c>
      <c r="B18" t="s">
        <v>306</v>
      </c>
      <c r="C18" t="s">
        <v>217</v>
      </c>
      <c r="D18" t="s">
        <v>307</v>
      </c>
      <c r="E18" t="s">
        <v>218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130</v>
      </c>
      <c r="B19" t="s">
        <v>308</v>
      </c>
      <c r="C19" t="s">
        <v>217</v>
      </c>
      <c r="D19" t="s">
        <v>309</v>
      </c>
      <c r="E19" t="s">
        <v>218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130</v>
      </c>
      <c r="B20" t="s">
        <v>310</v>
      </c>
      <c r="C20" t="s">
        <v>217</v>
      </c>
      <c r="D20" t="s">
        <v>311</v>
      </c>
      <c r="E20" t="s">
        <v>218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130</v>
      </c>
      <c r="B21" t="s">
        <v>312</v>
      </c>
      <c r="C21" t="s">
        <v>217</v>
      </c>
      <c r="D21" t="s">
        <v>313</v>
      </c>
      <c r="E21" t="s">
        <v>218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130</v>
      </c>
      <c r="B22" t="s">
        <v>314</v>
      </c>
      <c r="C22" t="s">
        <v>217</v>
      </c>
      <c r="D22" t="s">
        <v>315</v>
      </c>
      <c r="E22" t="s">
        <v>218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130</v>
      </c>
      <c r="B23" t="s">
        <v>316</v>
      </c>
      <c r="C23" t="s">
        <v>217</v>
      </c>
      <c r="D23" t="s">
        <v>317</v>
      </c>
      <c r="E23" t="s">
        <v>218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130</v>
      </c>
      <c r="B24" t="s">
        <v>318</v>
      </c>
      <c r="C24" t="s">
        <v>217</v>
      </c>
      <c r="D24" t="s">
        <v>319</v>
      </c>
      <c r="E24" t="s">
        <v>218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130</v>
      </c>
      <c r="B25" t="s">
        <v>320</v>
      </c>
      <c r="C25" t="s">
        <v>217</v>
      </c>
      <c r="D25" t="s">
        <v>321</v>
      </c>
      <c r="E25" t="s">
        <v>218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130</v>
      </c>
      <c r="B26" t="s">
        <v>322</v>
      </c>
      <c r="C26" t="s">
        <v>217</v>
      </c>
      <c r="D26" t="s">
        <v>323</v>
      </c>
      <c r="E26" t="s">
        <v>218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130</v>
      </c>
      <c r="B27" t="s">
        <v>324</v>
      </c>
      <c r="C27" t="s">
        <v>217</v>
      </c>
      <c r="D27" t="s">
        <v>325</v>
      </c>
      <c r="E27" t="s">
        <v>218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130</v>
      </c>
      <c r="B28" t="s">
        <v>326</v>
      </c>
      <c r="C28" t="s">
        <v>217</v>
      </c>
      <c r="D28" t="s">
        <v>327</v>
      </c>
      <c r="E28" t="s">
        <v>218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130</v>
      </c>
      <c r="B29" t="s">
        <v>328</v>
      </c>
      <c r="C29" t="s">
        <v>217</v>
      </c>
      <c r="D29" t="s">
        <v>329</v>
      </c>
      <c r="E29" t="s">
        <v>218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130</v>
      </c>
      <c r="B30" t="s">
        <v>330</v>
      </c>
      <c r="C30" t="s">
        <v>217</v>
      </c>
      <c r="D30" t="s">
        <v>331</v>
      </c>
      <c r="E30" t="s">
        <v>218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130</v>
      </c>
      <c r="B31" t="s">
        <v>332</v>
      </c>
      <c r="C31" t="s">
        <v>217</v>
      </c>
      <c r="D31" t="s">
        <v>333</v>
      </c>
      <c r="E31" t="s">
        <v>218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130</v>
      </c>
      <c r="B32" t="s">
        <v>334</v>
      </c>
      <c r="C32" t="s">
        <v>217</v>
      </c>
      <c r="D32" t="s">
        <v>335</v>
      </c>
      <c r="E32" t="s">
        <v>218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130</v>
      </c>
      <c r="B33" t="s">
        <v>336</v>
      </c>
      <c r="C33" t="s">
        <v>217</v>
      </c>
      <c r="D33" t="s">
        <v>337</v>
      </c>
      <c r="E33" t="s">
        <v>218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130</v>
      </c>
      <c r="B34" t="s">
        <v>338</v>
      </c>
      <c r="C34" t="s">
        <v>217</v>
      </c>
      <c r="D34" t="s">
        <v>339</v>
      </c>
      <c r="E34" t="s">
        <v>218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130</v>
      </c>
      <c r="B35" t="s">
        <v>340</v>
      </c>
      <c r="C35" t="s">
        <v>217</v>
      </c>
      <c r="D35" t="s">
        <v>341</v>
      </c>
      <c r="E35" t="s">
        <v>218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s">
        <v>130</v>
      </c>
      <c r="B36" t="s">
        <v>342</v>
      </c>
      <c r="C36" t="s">
        <v>217</v>
      </c>
      <c r="D36" t="s">
        <v>343</v>
      </c>
      <c r="E36" t="s">
        <v>218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130</v>
      </c>
      <c r="B37" t="s">
        <v>344</v>
      </c>
      <c r="C37" t="s">
        <v>217</v>
      </c>
      <c r="D37" t="s">
        <v>345</v>
      </c>
      <c r="E37" t="s">
        <v>218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130</v>
      </c>
      <c r="B38" t="s">
        <v>346</v>
      </c>
      <c r="C38" t="s">
        <v>217</v>
      </c>
      <c r="D38" t="s">
        <v>347</v>
      </c>
      <c r="E38" t="s">
        <v>218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130</v>
      </c>
      <c r="B39" t="s">
        <v>348</v>
      </c>
      <c r="C39" t="s">
        <v>217</v>
      </c>
      <c r="D39" t="s">
        <v>349</v>
      </c>
      <c r="E39" t="s">
        <v>218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130</v>
      </c>
      <c r="B40" t="s">
        <v>350</v>
      </c>
      <c r="C40" t="s">
        <v>217</v>
      </c>
      <c r="D40" t="s">
        <v>351</v>
      </c>
      <c r="E40" t="s">
        <v>218</v>
      </c>
      <c r="F40" t="n">
        <v>145513.3</v>
      </c>
      <c r="G40" t="n">
        <v>160481.2</v>
      </c>
      <c r="H40" t="n">
        <v>173662.9</v>
      </c>
      <c r="I40" t="n">
        <v>188304.5</v>
      </c>
      <c r="J40" t="n">
        <v>204067.6</v>
      </c>
      <c r="K40" t="n">
        <v>217661.2</v>
      </c>
      <c r="L40" t="n">
        <v>229751.9</v>
      </c>
      <c r="M40" t="n">
        <v>242280.3</v>
      </c>
      <c r="N40" t="n">
        <v>261105.2</v>
      </c>
      <c r="O40" t="n">
        <v>278735.3</v>
      </c>
      <c r="P40" t="n">
        <v>294881</v>
      </c>
      <c r="Q40" t="n">
        <v>305701.3</v>
      </c>
      <c r="R40" t="n">
        <v>338893.4</v>
      </c>
      <c r="S40" t="n">
        <v>351993.9</v>
      </c>
      <c r="T40" t="n">
        <v>364639</v>
      </c>
      <c r="U40" t="n">
        <v>359302.7</v>
      </c>
      <c r="V40" t="n">
        <v>352727.5</v>
      </c>
      <c r="W40" t="n">
        <v>336598.8</v>
      </c>
      <c r="X40" t="n">
        <v>327968.4</v>
      </c>
      <c r="Y40" t="n">
        <v>315845.9</v>
      </c>
      <c r="Z40" t="n">
        <v>297166.7</v>
      </c>
      <c r="AA40" t="n">
        <v>281098.4</v>
      </c>
      <c r="AB40" t="n">
        <v>268873</v>
      </c>
      <c r="AC40" t="n">
        <v>261141.5</v>
      </c>
      <c r="AD40" t="n">
        <v>255390.9</v>
      </c>
      <c r="AE40" t="n">
        <v>248133.1</v>
      </c>
      <c r="AF40" t="n">
        <v>242402.6</v>
      </c>
    </row>
    <row r="41">
      <c r="A41" t="s">
        <v>130</v>
      </c>
      <c r="B41" t="s">
        <v>352</v>
      </c>
      <c r="C41" t="s">
        <v>217</v>
      </c>
      <c r="D41" t="s">
        <v>353</v>
      </c>
      <c r="E41" t="s">
        <v>218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130</v>
      </c>
      <c r="B42" t="s">
        <v>354</v>
      </c>
      <c r="C42" t="s">
        <v>217</v>
      </c>
      <c r="D42" t="s">
        <v>355</v>
      </c>
      <c r="E42" t="s">
        <v>218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130</v>
      </c>
      <c r="B43" t="s">
        <v>356</v>
      </c>
      <c r="C43" t="s">
        <v>217</v>
      </c>
      <c r="D43" t="s">
        <v>357</v>
      </c>
      <c r="E43" t="s">
        <v>218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130</v>
      </c>
      <c r="B44" t="s">
        <v>358</v>
      </c>
      <c r="C44" t="s">
        <v>217</v>
      </c>
      <c r="D44" t="s">
        <v>359</v>
      </c>
      <c r="E44" t="s">
        <v>218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</row>
    <row r="45">
      <c r="A45" t="s">
        <v>130</v>
      </c>
      <c r="B45" t="s">
        <v>360</v>
      </c>
      <c r="C45" t="s">
        <v>217</v>
      </c>
      <c r="D45" t="s">
        <v>361</v>
      </c>
      <c r="E45" t="s">
        <v>218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</row>
    <row r="46">
      <c r="A46" t="s">
        <v>130</v>
      </c>
      <c r="B46" t="s">
        <v>362</v>
      </c>
      <c r="C46" t="s">
        <v>217</v>
      </c>
      <c r="D46" t="s">
        <v>363</v>
      </c>
      <c r="E46" t="s">
        <v>218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130</v>
      </c>
      <c r="B47" t="s">
        <v>364</v>
      </c>
      <c r="C47" t="s">
        <v>217</v>
      </c>
      <c r="D47" t="s">
        <v>365</v>
      </c>
      <c r="E47" t="s">
        <v>218</v>
      </c>
      <c r="F47" t="n">
        <v>2017.6</v>
      </c>
      <c r="G47" t="n">
        <v>2126.1</v>
      </c>
      <c r="H47" t="n">
        <v>2211.4</v>
      </c>
      <c r="I47" t="n">
        <v>2281.9</v>
      </c>
      <c r="J47" t="n">
        <v>2351.8</v>
      </c>
      <c r="K47" t="n">
        <v>2389.4</v>
      </c>
      <c r="L47" t="n">
        <v>2421.5</v>
      </c>
      <c r="M47" t="n">
        <v>2451</v>
      </c>
      <c r="N47" t="n">
        <v>2516.2</v>
      </c>
      <c r="O47" t="n">
        <v>2538.9</v>
      </c>
      <c r="P47" t="n">
        <v>2631.6</v>
      </c>
      <c r="Q47" t="n">
        <v>2548.8</v>
      </c>
      <c r="R47" t="n">
        <v>2624.3</v>
      </c>
      <c r="S47" t="n">
        <v>2585.8</v>
      </c>
      <c r="T47" t="n">
        <v>2571.1</v>
      </c>
      <c r="U47" t="n">
        <v>2766.2</v>
      </c>
      <c r="V47" t="n">
        <v>2323.4</v>
      </c>
      <c r="W47" t="n">
        <v>2180.4</v>
      </c>
      <c r="X47" t="n">
        <v>2101.9</v>
      </c>
      <c r="Y47" t="n">
        <v>2014.6</v>
      </c>
      <c r="Z47" t="n">
        <v>1888.4</v>
      </c>
      <c r="AA47" t="n">
        <v>1780.6</v>
      </c>
      <c r="AB47" t="n">
        <v>1697.6</v>
      </c>
      <c r="AC47" t="n">
        <v>1641.7</v>
      </c>
      <c r="AD47" t="n">
        <v>1597.2</v>
      </c>
      <c r="AE47" t="n">
        <v>1541.7</v>
      </c>
      <c r="AF47" t="n">
        <v>1493</v>
      </c>
    </row>
    <row r="48">
      <c r="A48" t="s">
        <v>130</v>
      </c>
      <c r="B48" t="s">
        <v>366</v>
      </c>
      <c r="C48" t="s">
        <v>217</v>
      </c>
      <c r="D48" t="s">
        <v>367</v>
      </c>
      <c r="E48" t="s">
        <v>218</v>
      </c>
      <c r="F48" t="n">
        <v>2017.6</v>
      </c>
      <c r="G48" t="n">
        <v>2126.1</v>
      </c>
      <c r="H48" t="n">
        <v>2211.4</v>
      </c>
      <c r="I48" t="n">
        <v>2281.9</v>
      </c>
      <c r="J48" t="n">
        <v>2351.8</v>
      </c>
      <c r="K48" t="n">
        <v>2389.4</v>
      </c>
      <c r="L48" t="n">
        <v>2421.5</v>
      </c>
      <c r="M48" t="n">
        <v>2451</v>
      </c>
      <c r="N48" t="n">
        <v>2516.2</v>
      </c>
      <c r="O48" t="n">
        <v>2538.9</v>
      </c>
      <c r="P48" t="n">
        <v>2631.6</v>
      </c>
      <c r="Q48" t="n">
        <v>2548.8</v>
      </c>
      <c r="R48" t="n">
        <v>2624.3</v>
      </c>
      <c r="S48" t="n">
        <v>2585.8</v>
      </c>
      <c r="T48" t="n">
        <v>2571.1</v>
      </c>
      <c r="U48" t="n">
        <v>2766.2</v>
      </c>
      <c r="V48" t="n">
        <v>2323.4</v>
      </c>
      <c r="W48" t="n">
        <v>2180.4</v>
      </c>
      <c r="X48" t="n">
        <v>2101.9</v>
      </c>
      <c r="Y48" t="n">
        <v>2014.6</v>
      </c>
      <c r="Z48" t="n">
        <v>1888.4</v>
      </c>
      <c r="AA48" t="n">
        <v>1780.6</v>
      </c>
      <c r="AB48" t="n">
        <v>1697.6</v>
      </c>
      <c r="AC48" t="n">
        <v>1641.7</v>
      </c>
      <c r="AD48" t="n">
        <v>1597.2</v>
      </c>
      <c r="AE48" t="n">
        <v>1541.7</v>
      </c>
      <c r="AF48" t="n">
        <v>1493</v>
      </c>
    </row>
    <row r="49">
      <c r="A49" t="s">
        <v>130</v>
      </c>
      <c r="B49" t="s">
        <v>368</v>
      </c>
      <c r="C49" t="s">
        <v>217</v>
      </c>
      <c r="D49" t="s">
        <v>369</v>
      </c>
      <c r="E49" t="s">
        <v>218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130</v>
      </c>
      <c r="B50" t="s">
        <v>370</v>
      </c>
      <c r="C50" t="s">
        <v>217</v>
      </c>
      <c r="D50" t="s">
        <v>371</v>
      </c>
      <c r="E50" t="s">
        <v>218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130</v>
      </c>
      <c r="B51" t="s">
        <v>372</v>
      </c>
      <c r="C51" t="s">
        <v>217</v>
      </c>
      <c r="D51" t="s">
        <v>373</v>
      </c>
      <c r="E51" t="s">
        <v>218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130</v>
      </c>
      <c r="B52" t="s">
        <v>374</v>
      </c>
      <c r="C52" t="s">
        <v>217</v>
      </c>
      <c r="D52" t="s">
        <v>375</v>
      </c>
      <c r="E52" t="s">
        <v>218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130</v>
      </c>
      <c r="B53" t="s">
        <v>376</v>
      </c>
      <c r="C53" t="s">
        <v>217</v>
      </c>
      <c r="D53" t="s">
        <v>377</v>
      </c>
      <c r="E53" t="s">
        <v>218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130</v>
      </c>
      <c r="B54" t="s">
        <v>378</v>
      </c>
      <c r="C54" t="s">
        <v>217</v>
      </c>
      <c r="D54" t="s">
        <v>379</v>
      </c>
      <c r="E54" t="s">
        <v>218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s">
        <v>130</v>
      </c>
      <c r="B55" t="s">
        <v>380</v>
      </c>
      <c r="C55" t="s">
        <v>217</v>
      </c>
      <c r="D55" t="s">
        <v>381</v>
      </c>
      <c r="E55" t="s">
        <v>218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130</v>
      </c>
      <c r="B56" t="s">
        <v>382</v>
      </c>
      <c r="C56" t="s">
        <v>217</v>
      </c>
      <c r="D56" t="s">
        <v>383</v>
      </c>
      <c r="E56" t="s">
        <v>218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130</v>
      </c>
      <c r="B57" t="s">
        <v>384</v>
      </c>
      <c r="C57" t="s">
        <v>217</v>
      </c>
      <c r="D57" t="s">
        <v>385</v>
      </c>
      <c r="E57" t="s">
        <v>218</v>
      </c>
      <c r="F57" t="n">
        <v>147530.9</v>
      </c>
      <c r="G57" t="n">
        <v>162607.3</v>
      </c>
      <c r="H57" t="n">
        <v>175874.3</v>
      </c>
      <c r="I57" t="n">
        <v>190586.4</v>
      </c>
      <c r="J57" t="n">
        <v>206419.4</v>
      </c>
      <c r="K57" t="n">
        <v>220050.6</v>
      </c>
      <c r="L57" t="n">
        <v>232173.4</v>
      </c>
      <c r="M57" t="n">
        <v>244731.3</v>
      </c>
      <c r="N57" t="n">
        <v>263621.4</v>
      </c>
      <c r="O57" t="n">
        <v>281274.2</v>
      </c>
      <c r="P57" t="n">
        <v>297512.6</v>
      </c>
      <c r="Q57" t="n">
        <v>308250.1</v>
      </c>
      <c r="R57" t="n">
        <v>341517.7</v>
      </c>
      <c r="S57" t="n">
        <v>354579.7</v>
      </c>
      <c r="T57" t="n">
        <v>367210.1</v>
      </c>
      <c r="U57" t="n">
        <v>362068.9</v>
      </c>
      <c r="V57" t="n">
        <v>355050.9</v>
      </c>
      <c r="W57" t="n">
        <v>338779.2</v>
      </c>
      <c r="X57" t="n">
        <v>330070.3</v>
      </c>
      <c r="Y57" t="n">
        <v>317860.5</v>
      </c>
      <c r="Z57" t="n">
        <v>299055.1</v>
      </c>
      <c r="AA57" t="n">
        <v>282879</v>
      </c>
      <c r="AB57" t="n">
        <v>270570.6</v>
      </c>
      <c r="AC57" t="n">
        <v>262783.2</v>
      </c>
      <c r="AD57" t="n">
        <v>256988.1</v>
      </c>
      <c r="AE57" t="n">
        <v>249674.8</v>
      </c>
      <c r="AF57" t="n">
        <v>243895.6</v>
      </c>
    </row>
    <row r="58">
      <c r="A58" t="s">
        <v>130</v>
      </c>
      <c r="B58" t="s">
        <v>386</v>
      </c>
      <c r="C58" t="s">
        <v>217</v>
      </c>
      <c r="D58" t="s">
        <v>387</v>
      </c>
      <c r="E58" t="s">
        <v>218</v>
      </c>
      <c r="F58" t="n">
        <v>147530.9</v>
      </c>
      <c r="G58" t="n">
        <v>162607.3</v>
      </c>
      <c r="H58" t="n">
        <v>175874.3</v>
      </c>
      <c r="I58" t="n">
        <v>190586.4</v>
      </c>
      <c r="J58" t="n">
        <v>206419.4</v>
      </c>
      <c r="K58" t="n">
        <v>220050.6</v>
      </c>
      <c r="L58" t="n">
        <v>232173.4</v>
      </c>
      <c r="M58" t="n">
        <v>244731.3</v>
      </c>
      <c r="N58" t="n">
        <v>263621.4</v>
      </c>
      <c r="O58" t="n">
        <v>281274.2</v>
      </c>
      <c r="P58" t="n">
        <v>297512.6</v>
      </c>
      <c r="Q58" t="n">
        <v>308250.1</v>
      </c>
      <c r="R58" t="n">
        <v>341517.7</v>
      </c>
      <c r="S58" t="n">
        <v>354579.7</v>
      </c>
      <c r="T58" t="n">
        <v>367210.1</v>
      </c>
      <c r="U58" t="n">
        <v>362068.9</v>
      </c>
      <c r="V58" t="n">
        <v>355050.9</v>
      </c>
      <c r="W58" t="n">
        <v>338779.2</v>
      </c>
      <c r="X58" t="n">
        <v>330070.3</v>
      </c>
      <c r="Y58" t="n">
        <v>317860.5</v>
      </c>
      <c r="Z58" t="n">
        <v>299055.1</v>
      </c>
      <c r="AA58" t="n">
        <v>282879</v>
      </c>
      <c r="AB58" t="n">
        <v>270570.6</v>
      </c>
      <c r="AC58" t="n">
        <v>262783.2</v>
      </c>
      <c r="AD58" t="n">
        <v>256988.1</v>
      </c>
      <c r="AE58" t="n">
        <v>249674.8</v>
      </c>
      <c r="AF58" t="n">
        <v>243895.6</v>
      </c>
    </row>
    <row r="59">
      <c r="A59" t="s">
        <v>130</v>
      </c>
      <c r="B59" t="s">
        <v>388</v>
      </c>
      <c r="C59" t="s">
        <v>217</v>
      </c>
      <c r="D59" t="s">
        <v>389</v>
      </c>
      <c r="E59" t="s">
        <v>218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132</v>
      </c>
      <c r="B2" t="s">
        <v>197</v>
      </c>
      <c r="C2" t="s">
        <v>217</v>
      </c>
      <c r="D2" t="s">
        <v>199</v>
      </c>
      <c r="E2" t="s">
        <v>218</v>
      </c>
      <c r="F2" t="n">
        <v>228.9</v>
      </c>
      <c r="G2" t="n">
        <v>233.8</v>
      </c>
      <c r="H2" t="n">
        <v>215.2</v>
      </c>
      <c r="I2" t="n">
        <v>214.5</v>
      </c>
      <c r="J2" t="n">
        <v>229.8</v>
      </c>
      <c r="K2" t="n">
        <v>260.6</v>
      </c>
      <c r="L2" t="n">
        <v>302.3</v>
      </c>
      <c r="M2" t="n">
        <v>345.3</v>
      </c>
      <c r="N2" t="n">
        <v>462.5</v>
      </c>
      <c r="O2" t="n">
        <v>472</v>
      </c>
      <c r="P2" t="n">
        <v>588.1</v>
      </c>
      <c r="Q2" t="n">
        <v>610.9</v>
      </c>
      <c r="R2" t="n">
        <v>683.5</v>
      </c>
      <c r="S2" t="n">
        <v>657</v>
      </c>
      <c r="T2" t="n">
        <v>733.2</v>
      </c>
      <c r="U2" t="n">
        <v>728.3</v>
      </c>
      <c r="V2" t="n">
        <v>756</v>
      </c>
      <c r="W2" t="n">
        <v>777.3</v>
      </c>
      <c r="X2" t="n">
        <v>522.5</v>
      </c>
      <c r="Y2" t="n">
        <v>554.8</v>
      </c>
      <c r="Z2" t="n">
        <v>534.1</v>
      </c>
      <c r="AA2" t="n">
        <v>590</v>
      </c>
      <c r="AB2" t="n">
        <v>576.2</v>
      </c>
      <c r="AC2" t="n">
        <v>568.7</v>
      </c>
      <c r="AD2" t="n">
        <v>577.5</v>
      </c>
      <c r="AE2" t="n">
        <v>571</v>
      </c>
      <c r="AF2" t="n">
        <v>532.6</v>
      </c>
    </row>
    <row r="3">
      <c r="A3" t="s">
        <v>132</v>
      </c>
      <c r="B3" t="s">
        <v>276</v>
      </c>
      <c r="C3" t="s">
        <v>217</v>
      </c>
      <c r="D3" t="s">
        <v>277</v>
      </c>
      <c r="E3" t="s">
        <v>218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132</v>
      </c>
      <c r="B4" t="s">
        <v>278</v>
      </c>
      <c r="C4" t="s">
        <v>217</v>
      </c>
      <c r="D4" t="s">
        <v>279</v>
      </c>
      <c r="E4" t="s">
        <v>218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132</v>
      </c>
      <c r="B5" t="s">
        <v>280</v>
      </c>
      <c r="C5" t="s">
        <v>217</v>
      </c>
      <c r="D5" t="s">
        <v>281</v>
      </c>
      <c r="E5" t="s">
        <v>218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132</v>
      </c>
      <c r="B6" t="s">
        <v>282</v>
      </c>
      <c r="C6" t="s">
        <v>217</v>
      </c>
      <c r="D6" t="s">
        <v>283</v>
      </c>
      <c r="E6" t="s">
        <v>218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132</v>
      </c>
      <c r="B7" t="s">
        <v>284</v>
      </c>
      <c r="C7" t="s">
        <v>217</v>
      </c>
      <c r="D7" t="s">
        <v>285</v>
      </c>
      <c r="E7" t="s">
        <v>218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132</v>
      </c>
      <c r="B8" t="s">
        <v>286</v>
      </c>
      <c r="C8" t="s">
        <v>217</v>
      </c>
      <c r="D8" t="s">
        <v>287</v>
      </c>
      <c r="E8" t="s">
        <v>218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132</v>
      </c>
      <c r="B9" t="s">
        <v>288</v>
      </c>
      <c r="C9" t="s">
        <v>217</v>
      </c>
      <c r="D9" t="s">
        <v>289</v>
      </c>
      <c r="E9" t="s">
        <v>218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132</v>
      </c>
      <c r="B10" t="s">
        <v>290</v>
      </c>
      <c r="C10" t="s">
        <v>217</v>
      </c>
      <c r="D10" t="s">
        <v>291</v>
      </c>
      <c r="E10" t="s">
        <v>218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132</v>
      </c>
      <c r="B11" t="s">
        <v>292</v>
      </c>
      <c r="C11" t="s">
        <v>217</v>
      </c>
      <c r="D11" t="s">
        <v>293</v>
      </c>
      <c r="E11" t="s">
        <v>218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132</v>
      </c>
      <c r="B12" t="s">
        <v>294</v>
      </c>
      <c r="C12" t="s">
        <v>217</v>
      </c>
      <c r="D12" t="s">
        <v>295</v>
      </c>
      <c r="E12" t="s">
        <v>218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132</v>
      </c>
      <c r="B13" t="s">
        <v>296</v>
      </c>
      <c r="C13" t="s">
        <v>217</v>
      </c>
      <c r="D13" t="s">
        <v>297</v>
      </c>
      <c r="E13" t="s">
        <v>218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132</v>
      </c>
      <c r="B14" t="s">
        <v>298</v>
      </c>
      <c r="C14" t="s">
        <v>217</v>
      </c>
      <c r="D14" t="s">
        <v>299</v>
      </c>
      <c r="E14" t="s">
        <v>218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132</v>
      </c>
      <c r="B15" t="s">
        <v>300</v>
      </c>
      <c r="C15" t="s">
        <v>217</v>
      </c>
      <c r="D15" t="s">
        <v>301</v>
      </c>
      <c r="E15" t="s">
        <v>218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132</v>
      </c>
      <c r="B16" t="s">
        <v>302</v>
      </c>
      <c r="C16" t="s">
        <v>217</v>
      </c>
      <c r="D16" t="s">
        <v>303</v>
      </c>
      <c r="E16" t="s">
        <v>218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132</v>
      </c>
      <c r="B17" t="s">
        <v>304</v>
      </c>
      <c r="C17" t="s">
        <v>217</v>
      </c>
      <c r="D17" t="s">
        <v>305</v>
      </c>
      <c r="E17" t="s">
        <v>218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132</v>
      </c>
      <c r="B18" t="s">
        <v>306</v>
      </c>
      <c r="C18" t="s">
        <v>217</v>
      </c>
      <c r="D18" t="s">
        <v>307</v>
      </c>
      <c r="E18" t="s">
        <v>218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132</v>
      </c>
      <c r="B19" t="s">
        <v>308</v>
      </c>
      <c r="C19" t="s">
        <v>217</v>
      </c>
      <c r="D19" t="s">
        <v>309</v>
      </c>
      <c r="E19" t="s">
        <v>218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132</v>
      </c>
      <c r="B20" t="s">
        <v>310</v>
      </c>
      <c r="C20" t="s">
        <v>217</v>
      </c>
      <c r="D20" t="s">
        <v>311</v>
      </c>
      <c r="E20" t="s">
        <v>218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132</v>
      </c>
      <c r="B21" t="s">
        <v>312</v>
      </c>
      <c r="C21" t="s">
        <v>217</v>
      </c>
      <c r="D21" t="s">
        <v>313</v>
      </c>
      <c r="E21" t="s">
        <v>218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132</v>
      </c>
      <c r="B22" t="s">
        <v>314</v>
      </c>
      <c r="C22" t="s">
        <v>217</v>
      </c>
      <c r="D22" t="s">
        <v>315</v>
      </c>
      <c r="E22" t="s">
        <v>218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132</v>
      </c>
      <c r="B23" t="s">
        <v>316</v>
      </c>
      <c r="C23" t="s">
        <v>217</v>
      </c>
      <c r="D23" t="s">
        <v>317</v>
      </c>
      <c r="E23" t="s">
        <v>218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132</v>
      </c>
      <c r="B24" t="s">
        <v>318</v>
      </c>
      <c r="C24" t="s">
        <v>217</v>
      </c>
      <c r="D24" t="s">
        <v>319</v>
      </c>
      <c r="E24" t="s">
        <v>218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132</v>
      </c>
      <c r="B25" t="s">
        <v>320</v>
      </c>
      <c r="C25" t="s">
        <v>217</v>
      </c>
      <c r="D25" t="s">
        <v>321</v>
      </c>
      <c r="E25" t="s">
        <v>218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132</v>
      </c>
      <c r="B26" t="s">
        <v>322</v>
      </c>
      <c r="C26" t="s">
        <v>217</v>
      </c>
      <c r="D26" t="s">
        <v>323</v>
      </c>
      <c r="E26" t="s">
        <v>218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132</v>
      </c>
      <c r="B27" t="s">
        <v>324</v>
      </c>
      <c r="C27" t="s">
        <v>217</v>
      </c>
      <c r="D27" t="s">
        <v>325</v>
      </c>
      <c r="E27" t="s">
        <v>218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132</v>
      </c>
      <c r="B28" t="s">
        <v>326</v>
      </c>
      <c r="C28" t="s">
        <v>217</v>
      </c>
      <c r="D28" t="s">
        <v>327</v>
      </c>
      <c r="E28" t="s">
        <v>218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132</v>
      </c>
      <c r="B29" t="s">
        <v>328</v>
      </c>
      <c r="C29" t="s">
        <v>217</v>
      </c>
      <c r="D29" t="s">
        <v>329</v>
      </c>
      <c r="E29" t="s">
        <v>218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132</v>
      </c>
      <c r="B30" t="s">
        <v>330</v>
      </c>
      <c r="C30" t="s">
        <v>217</v>
      </c>
      <c r="D30" t="s">
        <v>331</v>
      </c>
      <c r="E30" t="s">
        <v>218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132</v>
      </c>
      <c r="B31" t="s">
        <v>332</v>
      </c>
      <c r="C31" t="s">
        <v>217</v>
      </c>
      <c r="D31" t="s">
        <v>333</v>
      </c>
      <c r="E31" t="s">
        <v>218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132</v>
      </c>
      <c r="B32" t="s">
        <v>334</v>
      </c>
      <c r="C32" t="s">
        <v>217</v>
      </c>
      <c r="D32" t="s">
        <v>335</v>
      </c>
      <c r="E32" t="s">
        <v>218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132</v>
      </c>
      <c r="B33" t="s">
        <v>336</v>
      </c>
      <c r="C33" t="s">
        <v>217</v>
      </c>
      <c r="D33" t="s">
        <v>337</v>
      </c>
      <c r="E33" t="s">
        <v>218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132</v>
      </c>
      <c r="B34" t="s">
        <v>338</v>
      </c>
      <c r="C34" t="s">
        <v>217</v>
      </c>
      <c r="D34" t="s">
        <v>339</v>
      </c>
      <c r="E34" t="s">
        <v>218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132</v>
      </c>
      <c r="B35" t="s">
        <v>340</v>
      </c>
      <c r="C35" t="s">
        <v>217</v>
      </c>
      <c r="D35" t="s">
        <v>341</v>
      </c>
      <c r="E35" t="s">
        <v>218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s">
        <v>132</v>
      </c>
      <c r="B36" t="s">
        <v>342</v>
      </c>
      <c r="C36" t="s">
        <v>217</v>
      </c>
      <c r="D36" t="s">
        <v>343</v>
      </c>
      <c r="E36" t="s">
        <v>218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132</v>
      </c>
      <c r="B37" t="s">
        <v>344</v>
      </c>
      <c r="C37" t="s">
        <v>217</v>
      </c>
      <c r="D37" t="s">
        <v>345</v>
      </c>
      <c r="E37" t="s">
        <v>218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132</v>
      </c>
      <c r="B38" t="s">
        <v>346</v>
      </c>
      <c r="C38" t="s">
        <v>217</v>
      </c>
      <c r="D38" t="s">
        <v>347</v>
      </c>
      <c r="E38" t="s">
        <v>218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132</v>
      </c>
      <c r="B39" t="s">
        <v>348</v>
      </c>
      <c r="C39" t="s">
        <v>217</v>
      </c>
      <c r="D39" t="s">
        <v>349</v>
      </c>
      <c r="E39" t="s">
        <v>218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132</v>
      </c>
      <c r="B40" t="s">
        <v>350</v>
      </c>
      <c r="C40" t="s">
        <v>217</v>
      </c>
      <c r="D40" t="s">
        <v>351</v>
      </c>
      <c r="E40" t="s">
        <v>218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s">
        <v>132</v>
      </c>
      <c r="B41" t="s">
        <v>352</v>
      </c>
      <c r="C41" t="s">
        <v>217</v>
      </c>
      <c r="D41" t="s">
        <v>353</v>
      </c>
      <c r="E41" t="s">
        <v>218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132</v>
      </c>
      <c r="B42" t="s">
        <v>354</v>
      </c>
      <c r="C42" t="s">
        <v>217</v>
      </c>
      <c r="D42" t="s">
        <v>355</v>
      </c>
      <c r="E42" t="s">
        <v>218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132</v>
      </c>
      <c r="B43" t="s">
        <v>356</v>
      </c>
      <c r="C43" t="s">
        <v>217</v>
      </c>
      <c r="D43" t="s">
        <v>357</v>
      </c>
      <c r="E43" t="s">
        <v>218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132</v>
      </c>
      <c r="B44" t="s">
        <v>358</v>
      </c>
      <c r="C44" t="s">
        <v>217</v>
      </c>
      <c r="D44" t="s">
        <v>359</v>
      </c>
      <c r="E44" t="s">
        <v>218</v>
      </c>
      <c r="F44" t="n">
        <v>228.9</v>
      </c>
      <c r="G44" t="n">
        <v>233.8</v>
      </c>
      <c r="H44" t="n">
        <v>215.2</v>
      </c>
      <c r="I44" t="n">
        <v>214.5</v>
      </c>
      <c r="J44" t="n">
        <v>229.8</v>
      </c>
      <c r="K44" t="n">
        <v>260.6</v>
      </c>
      <c r="L44" t="n">
        <v>302.3</v>
      </c>
      <c r="M44" t="n">
        <v>345.3</v>
      </c>
      <c r="N44" t="n">
        <v>462.5</v>
      </c>
      <c r="O44" t="n">
        <v>472</v>
      </c>
      <c r="P44" t="n">
        <v>588.1</v>
      </c>
      <c r="Q44" t="n">
        <v>610.9</v>
      </c>
      <c r="R44" t="n">
        <v>683.5</v>
      </c>
      <c r="S44" t="n">
        <v>657</v>
      </c>
      <c r="T44" t="n">
        <v>733.2</v>
      </c>
      <c r="U44" t="n">
        <v>728.3</v>
      </c>
      <c r="V44" t="n">
        <v>756</v>
      </c>
      <c r="W44" t="n">
        <v>777.3</v>
      </c>
      <c r="X44" t="n">
        <v>522.5</v>
      </c>
      <c r="Y44" t="n">
        <v>554.8</v>
      </c>
      <c r="Z44" t="n">
        <v>534.1</v>
      </c>
      <c r="AA44" t="n">
        <v>590</v>
      </c>
      <c r="AB44" t="n">
        <v>576.2</v>
      </c>
      <c r="AC44" t="n">
        <v>568.7</v>
      </c>
      <c r="AD44" t="n">
        <v>577.5</v>
      </c>
      <c r="AE44" t="n">
        <v>571</v>
      </c>
      <c r="AF44" t="n">
        <v>532.6</v>
      </c>
    </row>
    <row r="45">
      <c r="A45" t="s">
        <v>132</v>
      </c>
      <c r="B45" t="s">
        <v>360</v>
      </c>
      <c r="C45" t="s">
        <v>217</v>
      </c>
      <c r="D45" t="s">
        <v>361</v>
      </c>
      <c r="E45" t="s">
        <v>218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</row>
    <row r="46">
      <c r="A46" t="s">
        <v>132</v>
      </c>
      <c r="B46" t="s">
        <v>362</v>
      </c>
      <c r="C46" t="s">
        <v>217</v>
      </c>
      <c r="D46" t="s">
        <v>363</v>
      </c>
      <c r="E46" t="s">
        <v>218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132</v>
      </c>
      <c r="B47" t="s">
        <v>364</v>
      </c>
      <c r="C47" t="s">
        <v>217</v>
      </c>
      <c r="D47" t="s">
        <v>365</v>
      </c>
      <c r="E47" t="s">
        <v>218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s">
        <v>132</v>
      </c>
      <c r="B48" t="s">
        <v>366</v>
      </c>
      <c r="C48" t="s">
        <v>217</v>
      </c>
      <c r="D48" t="s">
        <v>367</v>
      </c>
      <c r="E48" t="s">
        <v>218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s">
        <v>132</v>
      </c>
      <c r="B49" t="s">
        <v>368</v>
      </c>
      <c r="C49" t="s">
        <v>217</v>
      </c>
      <c r="D49" t="s">
        <v>369</v>
      </c>
      <c r="E49" t="s">
        <v>218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132</v>
      </c>
      <c r="B50" t="s">
        <v>370</v>
      </c>
      <c r="C50" t="s">
        <v>217</v>
      </c>
      <c r="D50" t="s">
        <v>371</v>
      </c>
      <c r="E50" t="s">
        <v>218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132</v>
      </c>
      <c r="B51" t="s">
        <v>372</v>
      </c>
      <c r="C51" t="s">
        <v>217</v>
      </c>
      <c r="D51" t="s">
        <v>373</v>
      </c>
      <c r="E51" t="s">
        <v>218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132</v>
      </c>
      <c r="B52" t="s">
        <v>374</v>
      </c>
      <c r="C52" t="s">
        <v>217</v>
      </c>
      <c r="D52" t="s">
        <v>375</v>
      </c>
      <c r="E52" t="s">
        <v>218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132</v>
      </c>
      <c r="B53" t="s">
        <v>376</v>
      </c>
      <c r="C53" t="s">
        <v>217</v>
      </c>
      <c r="D53" t="s">
        <v>377</v>
      </c>
      <c r="E53" t="s">
        <v>218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132</v>
      </c>
      <c r="B54" t="s">
        <v>378</v>
      </c>
      <c r="C54" t="s">
        <v>217</v>
      </c>
      <c r="D54" t="s">
        <v>379</v>
      </c>
      <c r="E54" t="s">
        <v>218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s">
        <v>132</v>
      </c>
      <c r="B55" t="s">
        <v>380</v>
      </c>
      <c r="C55" t="s">
        <v>217</v>
      </c>
      <c r="D55" t="s">
        <v>381</v>
      </c>
      <c r="E55" t="s">
        <v>218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132</v>
      </c>
      <c r="B56" t="s">
        <v>382</v>
      </c>
      <c r="C56" t="s">
        <v>217</v>
      </c>
      <c r="D56" t="s">
        <v>383</v>
      </c>
      <c r="E56" t="s">
        <v>218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132</v>
      </c>
      <c r="B57" t="s">
        <v>384</v>
      </c>
      <c r="C57" t="s">
        <v>217</v>
      </c>
      <c r="D57" t="s">
        <v>385</v>
      </c>
      <c r="E57" t="s">
        <v>218</v>
      </c>
      <c r="F57" t="n">
        <v>228.9</v>
      </c>
      <c r="G57" t="n">
        <v>233.8</v>
      </c>
      <c r="H57" t="n">
        <v>215.2</v>
      </c>
      <c r="I57" t="n">
        <v>214.5</v>
      </c>
      <c r="J57" t="n">
        <v>229.8</v>
      </c>
      <c r="K57" t="n">
        <v>260.6</v>
      </c>
      <c r="L57" t="n">
        <v>302.3</v>
      </c>
      <c r="M57" t="n">
        <v>345.3</v>
      </c>
      <c r="N57" t="n">
        <v>462.5</v>
      </c>
      <c r="O57" t="n">
        <v>472</v>
      </c>
      <c r="P57" t="n">
        <v>588.1</v>
      </c>
      <c r="Q57" t="n">
        <v>610.9</v>
      </c>
      <c r="R57" t="n">
        <v>683.5</v>
      </c>
      <c r="S57" t="n">
        <v>657</v>
      </c>
      <c r="T57" t="n">
        <v>733.2</v>
      </c>
      <c r="U57" t="n">
        <v>728.3</v>
      </c>
      <c r="V57" t="n">
        <v>768.2</v>
      </c>
      <c r="W57" t="n">
        <v>788.2</v>
      </c>
      <c r="X57" t="n">
        <v>530</v>
      </c>
      <c r="Y57" t="n">
        <v>560.7</v>
      </c>
      <c r="Z57" t="n">
        <v>540.6</v>
      </c>
      <c r="AA57" t="n">
        <v>599</v>
      </c>
      <c r="AB57" t="n">
        <v>585.8</v>
      </c>
      <c r="AC57" t="n">
        <v>577.2</v>
      </c>
      <c r="AD57" t="n">
        <v>585.1</v>
      </c>
      <c r="AE57" t="n">
        <v>577.8</v>
      </c>
      <c r="AF57" t="n">
        <v>538.5</v>
      </c>
    </row>
    <row r="58">
      <c r="A58" t="s">
        <v>132</v>
      </c>
      <c r="B58" t="s">
        <v>386</v>
      </c>
      <c r="C58" t="s">
        <v>217</v>
      </c>
      <c r="D58" t="s">
        <v>387</v>
      </c>
      <c r="E58" t="s">
        <v>218</v>
      </c>
      <c r="F58" t="n">
        <v>228.9</v>
      </c>
      <c r="G58" t="n">
        <v>233.8</v>
      </c>
      <c r="H58" t="n">
        <v>215.2</v>
      </c>
      <c r="I58" t="n">
        <v>214.5</v>
      </c>
      <c r="J58" t="n">
        <v>229.8</v>
      </c>
      <c r="K58" t="n">
        <v>260.6</v>
      </c>
      <c r="L58" t="n">
        <v>302.3</v>
      </c>
      <c r="M58" t="n">
        <v>345.3</v>
      </c>
      <c r="N58" t="n">
        <v>462.5</v>
      </c>
      <c r="O58" t="n">
        <v>472</v>
      </c>
      <c r="P58" t="n">
        <v>588.1</v>
      </c>
      <c r="Q58" t="n">
        <v>610.9</v>
      </c>
      <c r="R58" t="n">
        <v>683.5</v>
      </c>
      <c r="S58" t="n">
        <v>657</v>
      </c>
      <c r="T58" t="n">
        <v>733.2</v>
      </c>
      <c r="U58" t="n">
        <v>728.3</v>
      </c>
      <c r="V58" t="n">
        <v>768.2</v>
      </c>
      <c r="W58" t="n">
        <v>788.2</v>
      </c>
      <c r="X58" t="n">
        <v>530</v>
      </c>
      <c r="Y58" t="n">
        <v>560.7</v>
      </c>
      <c r="Z58" t="n">
        <v>540.6</v>
      </c>
      <c r="AA58" t="n">
        <v>599</v>
      </c>
      <c r="AB58" t="n">
        <v>585.8</v>
      </c>
      <c r="AC58" t="n">
        <v>577.2</v>
      </c>
      <c r="AD58" t="n">
        <v>585.1</v>
      </c>
      <c r="AE58" t="n">
        <v>577.8</v>
      </c>
      <c r="AF58" t="n">
        <v>538.5</v>
      </c>
    </row>
    <row r="59">
      <c r="A59" t="s">
        <v>132</v>
      </c>
      <c r="B59" t="s">
        <v>388</v>
      </c>
      <c r="C59" t="s">
        <v>217</v>
      </c>
      <c r="D59" t="s">
        <v>389</v>
      </c>
      <c r="E59" t="s">
        <v>218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134</v>
      </c>
      <c r="B2" t="s">
        <v>197</v>
      </c>
      <c r="C2" t="s">
        <v>217</v>
      </c>
      <c r="D2" t="s">
        <v>199</v>
      </c>
      <c r="E2" t="s">
        <v>218</v>
      </c>
      <c r="F2" t="n">
        <v>0.8</v>
      </c>
      <c r="G2" t="n">
        <v>1</v>
      </c>
      <c r="H2" t="n">
        <v>1.2</v>
      </c>
      <c r="I2" t="n">
        <v>1.4</v>
      </c>
      <c r="J2" t="n">
        <v>1.7</v>
      </c>
      <c r="K2" t="n">
        <v>2.1</v>
      </c>
      <c r="L2" t="n">
        <v>2.6</v>
      </c>
      <c r="M2" t="n">
        <v>3</v>
      </c>
      <c r="N2" t="n">
        <v>3.4</v>
      </c>
      <c r="O2" t="n">
        <v>3.7</v>
      </c>
      <c r="P2" t="n">
        <v>4.2</v>
      </c>
      <c r="Q2" t="n">
        <v>4.6</v>
      </c>
      <c r="R2" t="n">
        <v>5.2</v>
      </c>
      <c r="S2" t="n">
        <v>5.5</v>
      </c>
      <c r="T2" t="n">
        <v>6.1</v>
      </c>
      <c r="U2" t="n">
        <v>6.5</v>
      </c>
      <c r="V2" t="n">
        <v>6.4</v>
      </c>
      <c r="W2" t="n">
        <v>6.3</v>
      </c>
      <c r="X2" t="n">
        <v>6.2</v>
      </c>
      <c r="Y2" t="n">
        <v>6.1</v>
      </c>
      <c r="Z2" t="n">
        <v>5.8</v>
      </c>
      <c r="AA2" t="n">
        <v>5.8</v>
      </c>
      <c r="AB2" t="n">
        <v>6.6</v>
      </c>
      <c r="AC2" t="n">
        <v>6.7</v>
      </c>
      <c r="AD2" t="n">
        <v>10</v>
      </c>
      <c r="AE2" t="n">
        <v>13.7</v>
      </c>
      <c r="AF2" t="n">
        <v>17.1</v>
      </c>
    </row>
    <row r="3">
      <c r="A3" t="s">
        <v>134</v>
      </c>
      <c r="B3" t="s">
        <v>276</v>
      </c>
      <c r="C3" t="s">
        <v>217</v>
      </c>
      <c r="D3" t="s">
        <v>277</v>
      </c>
      <c r="E3" t="s">
        <v>218</v>
      </c>
      <c r="F3" t="n">
        <v>0.1</v>
      </c>
      <c r="G3" t="n">
        <v>0.2</v>
      </c>
      <c r="H3" t="n">
        <v>0.2</v>
      </c>
      <c r="I3" t="n">
        <v>0.3</v>
      </c>
      <c r="J3" t="n">
        <v>0.3</v>
      </c>
      <c r="K3" t="n">
        <v>0.4</v>
      </c>
      <c r="L3" t="n">
        <v>0.5</v>
      </c>
      <c r="M3" t="n">
        <v>0.6</v>
      </c>
      <c r="N3" t="n">
        <v>0.6</v>
      </c>
      <c r="O3" t="n">
        <v>0.7</v>
      </c>
      <c r="P3" t="n">
        <v>0.8</v>
      </c>
      <c r="Q3" t="n">
        <v>0.9</v>
      </c>
      <c r="R3" t="n">
        <v>1</v>
      </c>
      <c r="S3" t="n">
        <v>1</v>
      </c>
      <c r="T3" t="n">
        <v>1.2</v>
      </c>
      <c r="U3" t="n">
        <v>1.2</v>
      </c>
      <c r="V3" t="n">
        <v>1.2</v>
      </c>
      <c r="W3" t="n">
        <v>1.2</v>
      </c>
      <c r="X3" t="n">
        <v>1.2</v>
      </c>
      <c r="Y3" t="n">
        <v>1.2</v>
      </c>
      <c r="Z3" t="n">
        <v>1.1</v>
      </c>
      <c r="AA3" t="n">
        <v>1</v>
      </c>
      <c r="AB3" t="n">
        <v>7</v>
      </c>
      <c r="AC3" t="n">
        <v>11.4</v>
      </c>
      <c r="AD3" t="n">
        <v>19.4</v>
      </c>
      <c r="AE3" t="n">
        <v>22</v>
      </c>
      <c r="AF3" t="n">
        <v>24.4</v>
      </c>
    </row>
    <row r="4">
      <c r="A4" t="s">
        <v>134</v>
      </c>
      <c r="B4" t="s">
        <v>278</v>
      </c>
      <c r="C4" t="s">
        <v>217</v>
      </c>
      <c r="D4" t="s">
        <v>279</v>
      </c>
      <c r="E4" t="s">
        <v>218</v>
      </c>
      <c r="F4" t="n">
        <v>87.6</v>
      </c>
      <c r="G4" t="n">
        <v>111</v>
      </c>
      <c r="H4" t="n">
        <v>131.7</v>
      </c>
      <c r="I4" t="n">
        <v>162</v>
      </c>
      <c r="J4" t="n">
        <v>203.3</v>
      </c>
      <c r="K4" t="n">
        <v>242.2</v>
      </c>
      <c r="L4" t="n">
        <v>293.3</v>
      </c>
      <c r="M4" t="n">
        <v>330.3</v>
      </c>
      <c r="N4" t="n">
        <v>368.7</v>
      </c>
      <c r="O4" t="n">
        <v>410.5</v>
      </c>
      <c r="P4" t="n">
        <v>462.6</v>
      </c>
      <c r="Q4" t="n">
        <v>517.8</v>
      </c>
      <c r="R4" t="n">
        <v>595.3</v>
      </c>
      <c r="S4" t="n">
        <v>640.3</v>
      </c>
      <c r="T4" t="n">
        <v>720.7</v>
      </c>
      <c r="U4" t="n">
        <v>771.1</v>
      </c>
      <c r="V4" t="n">
        <v>759</v>
      </c>
      <c r="W4" t="n">
        <v>755.5</v>
      </c>
      <c r="X4" t="n">
        <v>750.8</v>
      </c>
      <c r="Y4" t="n">
        <v>736.1</v>
      </c>
      <c r="Z4" t="n">
        <v>669.9</v>
      </c>
      <c r="AA4" t="n">
        <v>648.4</v>
      </c>
      <c r="AB4" t="n">
        <v>682.2</v>
      </c>
      <c r="AC4" t="n">
        <v>698.1</v>
      </c>
      <c r="AD4" t="n">
        <v>754.8</v>
      </c>
      <c r="AE4" t="n">
        <v>839.8</v>
      </c>
      <c r="AF4" t="n">
        <v>919.7</v>
      </c>
    </row>
    <row r="5">
      <c r="A5" t="s">
        <v>134</v>
      </c>
      <c r="B5" t="s">
        <v>280</v>
      </c>
      <c r="C5" t="s">
        <v>217</v>
      </c>
      <c r="D5" t="s">
        <v>281</v>
      </c>
      <c r="E5" t="s">
        <v>218</v>
      </c>
      <c r="F5" t="n">
        <v>8.1</v>
      </c>
      <c r="G5" t="n">
        <v>10.2</v>
      </c>
      <c r="H5" t="n">
        <v>12</v>
      </c>
      <c r="I5" t="n">
        <v>14.6</v>
      </c>
      <c r="J5" t="n">
        <v>18</v>
      </c>
      <c r="K5" t="n">
        <v>21.6</v>
      </c>
      <c r="L5" t="n">
        <v>26.7</v>
      </c>
      <c r="M5" t="n">
        <v>30.3</v>
      </c>
      <c r="N5" t="n">
        <v>33.8</v>
      </c>
      <c r="O5" t="n">
        <v>37.5</v>
      </c>
      <c r="P5" t="n">
        <v>42.1</v>
      </c>
      <c r="Q5" t="n">
        <v>47</v>
      </c>
      <c r="R5" t="n">
        <v>53.5</v>
      </c>
      <c r="S5" t="n">
        <v>57.1</v>
      </c>
      <c r="T5" t="n">
        <v>64</v>
      </c>
      <c r="U5" t="n">
        <v>68.2</v>
      </c>
      <c r="V5" t="n">
        <v>67</v>
      </c>
      <c r="W5" t="n">
        <v>66.5</v>
      </c>
      <c r="X5" t="n">
        <v>66</v>
      </c>
      <c r="Y5" t="n">
        <v>64.6</v>
      </c>
      <c r="Z5" t="n">
        <v>61.9</v>
      </c>
      <c r="AA5" t="n">
        <v>63.8</v>
      </c>
      <c r="AB5" t="n">
        <v>65</v>
      </c>
      <c r="AC5" t="n">
        <v>61.5</v>
      </c>
      <c r="AD5" t="n">
        <v>69</v>
      </c>
      <c r="AE5" t="n">
        <v>77.9</v>
      </c>
      <c r="AF5" t="n">
        <v>86.2</v>
      </c>
    </row>
    <row r="6">
      <c r="A6" t="s">
        <v>134</v>
      </c>
      <c r="B6" t="s">
        <v>282</v>
      </c>
      <c r="C6" t="s">
        <v>217</v>
      </c>
      <c r="D6" t="s">
        <v>283</v>
      </c>
      <c r="E6" t="s">
        <v>218</v>
      </c>
      <c r="F6" t="n">
        <v>0.7</v>
      </c>
      <c r="G6" t="n">
        <v>0.9</v>
      </c>
      <c r="H6" t="n">
        <v>1</v>
      </c>
      <c r="I6" t="n">
        <v>1.2</v>
      </c>
      <c r="J6" t="n">
        <v>1.5</v>
      </c>
      <c r="K6" t="n">
        <v>1.8</v>
      </c>
      <c r="L6" t="n">
        <v>2.3</v>
      </c>
      <c r="M6" t="n">
        <v>2.6</v>
      </c>
      <c r="N6" t="n">
        <v>2.9</v>
      </c>
      <c r="O6" t="n">
        <v>3.2</v>
      </c>
      <c r="P6" t="n">
        <v>3.5</v>
      </c>
      <c r="Q6" t="n">
        <v>3.9</v>
      </c>
      <c r="R6" t="n">
        <v>4.4</v>
      </c>
      <c r="S6" t="n">
        <v>4.6</v>
      </c>
      <c r="T6" t="n">
        <v>5.1</v>
      </c>
      <c r="U6" t="n">
        <v>5.4</v>
      </c>
      <c r="V6" t="n">
        <v>5.3</v>
      </c>
      <c r="W6" t="n">
        <v>5.3</v>
      </c>
      <c r="X6" t="n">
        <v>5.2</v>
      </c>
      <c r="Y6" t="n">
        <v>5.1</v>
      </c>
      <c r="Z6" t="n">
        <v>5.7</v>
      </c>
      <c r="AA6" t="n">
        <v>6.9</v>
      </c>
      <c r="AB6" t="n">
        <v>7.3</v>
      </c>
      <c r="AC6" t="n">
        <v>6.7</v>
      </c>
      <c r="AD6" t="n">
        <v>7.4</v>
      </c>
      <c r="AE6" t="n">
        <v>7.5</v>
      </c>
      <c r="AF6" t="n">
        <v>7.6</v>
      </c>
    </row>
    <row r="7">
      <c r="A7" t="s">
        <v>134</v>
      </c>
      <c r="B7" t="s">
        <v>284</v>
      </c>
      <c r="C7" t="s">
        <v>217</v>
      </c>
      <c r="D7" t="s">
        <v>285</v>
      </c>
      <c r="E7" t="s">
        <v>218</v>
      </c>
      <c r="F7" t="n">
        <v>4.9</v>
      </c>
      <c r="G7" t="n">
        <v>6.3</v>
      </c>
      <c r="H7" t="n">
        <v>7.5</v>
      </c>
      <c r="I7" t="n">
        <v>9.2</v>
      </c>
      <c r="J7" t="n">
        <v>11.6</v>
      </c>
      <c r="K7" t="n">
        <v>13.8</v>
      </c>
      <c r="L7" t="n">
        <v>16.7</v>
      </c>
      <c r="M7" t="n">
        <v>18.8</v>
      </c>
      <c r="N7" t="n">
        <v>21</v>
      </c>
      <c r="O7" t="n">
        <v>23.4</v>
      </c>
      <c r="P7" t="n">
        <v>26.4</v>
      </c>
      <c r="Q7" t="n">
        <v>29.6</v>
      </c>
      <c r="R7" t="n">
        <v>34.1</v>
      </c>
      <c r="S7" t="n">
        <v>36.7</v>
      </c>
      <c r="T7" t="n">
        <v>41.4</v>
      </c>
      <c r="U7" t="n">
        <v>44.4</v>
      </c>
      <c r="V7" t="n">
        <v>43.7</v>
      </c>
      <c r="W7" t="n">
        <v>43.5</v>
      </c>
      <c r="X7" t="n">
        <v>43.2</v>
      </c>
      <c r="Y7" t="n">
        <v>42.4</v>
      </c>
      <c r="Z7" t="n">
        <v>35.9</v>
      </c>
      <c r="AA7" t="n">
        <v>31.7</v>
      </c>
      <c r="AB7" t="n">
        <v>29.3</v>
      </c>
      <c r="AC7" t="n">
        <v>26.7</v>
      </c>
      <c r="AD7" t="n">
        <v>23.3</v>
      </c>
      <c r="AE7" t="n">
        <v>21.4</v>
      </c>
      <c r="AF7" t="n">
        <v>19.9</v>
      </c>
    </row>
    <row r="8">
      <c r="A8" t="s">
        <v>134</v>
      </c>
      <c r="B8" t="s">
        <v>286</v>
      </c>
      <c r="C8" t="s">
        <v>217</v>
      </c>
      <c r="D8" t="s">
        <v>287</v>
      </c>
      <c r="E8" t="s">
        <v>218</v>
      </c>
      <c r="F8" t="n">
        <v>0.3</v>
      </c>
      <c r="G8" t="n">
        <v>0.3</v>
      </c>
      <c r="H8" t="n">
        <v>0.4</v>
      </c>
      <c r="I8" t="n">
        <v>0.5</v>
      </c>
      <c r="J8" t="n">
        <v>0.6</v>
      </c>
      <c r="K8" t="n">
        <v>0.7</v>
      </c>
      <c r="L8" t="n">
        <v>0.9</v>
      </c>
      <c r="M8" t="n">
        <v>1</v>
      </c>
      <c r="N8" t="n">
        <v>1.1</v>
      </c>
      <c r="O8" t="n">
        <v>1.3</v>
      </c>
      <c r="P8" t="n">
        <v>1.4</v>
      </c>
      <c r="Q8" t="n">
        <v>1.6</v>
      </c>
      <c r="R8" t="n">
        <v>1.8</v>
      </c>
      <c r="S8" t="n">
        <v>1.9</v>
      </c>
      <c r="T8" t="n">
        <v>2.1</v>
      </c>
      <c r="U8" t="n">
        <v>2.2</v>
      </c>
      <c r="V8" t="n">
        <v>2.2</v>
      </c>
      <c r="W8" t="n">
        <v>2.2</v>
      </c>
      <c r="X8" t="n">
        <v>2.2</v>
      </c>
      <c r="Y8" t="n">
        <v>2.1</v>
      </c>
      <c r="Z8" t="n">
        <v>4.1</v>
      </c>
      <c r="AA8" t="n">
        <v>6.6</v>
      </c>
      <c r="AB8" t="n">
        <v>33.9</v>
      </c>
      <c r="AC8" t="n">
        <v>59.3</v>
      </c>
      <c r="AD8" t="n">
        <v>78.9</v>
      </c>
      <c r="AE8" t="n">
        <v>105.9</v>
      </c>
      <c r="AF8" t="n">
        <v>130.3</v>
      </c>
    </row>
    <row r="9">
      <c r="A9" t="s">
        <v>134</v>
      </c>
      <c r="B9" t="s">
        <v>288</v>
      </c>
      <c r="C9" t="s">
        <v>217</v>
      </c>
      <c r="D9" t="s">
        <v>289</v>
      </c>
      <c r="E9" t="s">
        <v>218</v>
      </c>
      <c r="F9" t="n">
        <v>7.5</v>
      </c>
      <c r="G9" t="n">
        <v>9.5</v>
      </c>
      <c r="H9" t="n">
        <v>11.2</v>
      </c>
      <c r="I9" t="n">
        <v>13.6</v>
      </c>
      <c r="J9" t="n">
        <v>16.9</v>
      </c>
      <c r="K9" t="n">
        <v>20.3</v>
      </c>
      <c r="L9" t="n">
        <v>24.9</v>
      </c>
      <c r="M9" t="n">
        <v>28.2</v>
      </c>
      <c r="N9" t="n">
        <v>31.5</v>
      </c>
      <c r="O9" t="n">
        <v>35</v>
      </c>
      <c r="P9" t="n">
        <v>39.3</v>
      </c>
      <c r="Q9" t="n">
        <v>43.9</v>
      </c>
      <c r="R9" t="n">
        <v>50</v>
      </c>
      <c r="S9" t="n">
        <v>53.5</v>
      </c>
      <c r="T9" t="n">
        <v>60</v>
      </c>
      <c r="U9" t="n">
        <v>64</v>
      </c>
      <c r="V9" t="n">
        <v>62.8</v>
      </c>
      <c r="W9" t="n">
        <v>62.4</v>
      </c>
      <c r="X9" t="n">
        <v>61.9</v>
      </c>
      <c r="Y9" t="n">
        <v>60.6</v>
      </c>
      <c r="Z9" t="n">
        <v>53.3</v>
      </c>
      <c r="AA9" t="n">
        <v>49.5</v>
      </c>
      <c r="AB9" t="n">
        <v>54.5</v>
      </c>
      <c r="AC9" t="n">
        <v>53.3</v>
      </c>
      <c r="AD9" t="n">
        <v>61.9</v>
      </c>
      <c r="AE9" t="n">
        <v>74</v>
      </c>
      <c r="AF9" t="n">
        <v>85.1</v>
      </c>
    </row>
    <row r="10">
      <c r="A10" t="s">
        <v>134</v>
      </c>
      <c r="B10" t="s">
        <v>290</v>
      </c>
      <c r="C10" t="s">
        <v>217</v>
      </c>
      <c r="D10" t="s">
        <v>291</v>
      </c>
      <c r="E10" t="s">
        <v>218</v>
      </c>
      <c r="F10" t="n">
        <v>34.4</v>
      </c>
      <c r="G10" t="n">
        <v>43.9</v>
      </c>
      <c r="H10" t="n">
        <v>52.3</v>
      </c>
      <c r="I10" t="n">
        <v>64.9</v>
      </c>
      <c r="J10" t="n">
        <v>82.5</v>
      </c>
      <c r="K10" t="n">
        <v>98</v>
      </c>
      <c r="L10" t="n">
        <v>117.2</v>
      </c>
      <c r="M10" t="n">
        <v>131.4</v>
      </c>
      <c r="N10" t="n">
        <v>146.7</v>
      </c>
      <c r="O10" t="n">
        <v>164</v>
      </c>
      <c r="P10" t="n">
        <v>185.3</v>
      </c>
      <c r="Q10" t="n">
        <v>207.9</v>
      </c>
      <c r="R10" t="n">
        <v>240.9</v>
      </c>
      <c r="S10" t="n">
        <v>260.5</v>
      </c>
      <c r="T10" t="n">
        <v>294.2</v>
      </c>
      <c r="U10" t="n">
        <v>315.8</v>
      </c>
      <c r="V10" t="n">
        <v>311.3</v>
      </c>
      <c r="W10" t="n">
        <v>310</v>
      </c>
      <c r="X10" t="n">
        <v>308.3</v>
      </c>
      <c r="Y10" t="n">
        <v>302.3</v>
      </c>
      <c r="Z10" t="n">
        <v>270.3</v>
      </c>
      <c r="AA10" t="n">
        <v>256.6</v>
      </c>
      <c r="AB10" t="n">
        <v>254.4</v>
      </c>
      <c r="AC10" t="n">
        <v>256.8</v>
      </c>
      <c r="AD10" t="n">
        <v>274.1</v>
      </c>
      <c r="AE10" t="n">
        <v>306.1</v>
      </c>
      <c r="AF10" t="n">
        <v>336.2</v>
      </c>
    </row>
    <row r="11">
      <c r="A11" t="s">
        <v>134</v>
      </c>
      <c r="B11" t="s">
        <v>292</v>
      </c>
      <c r="C11" t="s">
        <v>217</v>
      </c>
      <c r="D11" t="s">
        <v>293</v>
      </c>
      <c r="E11" t="s">
        <v>218</v>
      </c>
      <c r="F11" t="n">
        <v>26.9</v>
      </c>
      <c r="G11" t="n">
        <v>34.4</v>
      </c>
      <c r="H11" t="n">
        <v>41.1</v>
      </c>
      <c r="I11" t="n">
        <v>51.3</v>
      </c>
      <c r="J11" t="n">
        <v>65.6</v>
      </c>
      <c r="K11" t="n">
        <v>77.7</v>
      </c>
      <c r="L11" t="n">
        <v>92.3</v>
      </c>
      <c r="M11" t="n">
        <v>103.2</v>
      </c>
      <c r="N11" t="n">
        <v>115.2</v>
      </c>
      <c r="O11" t="n">
        <v>129</v>
      </c>
      <c r="P11" t="n">
        <v>146</v>
      </c>
      <c r="Q11" t="n">
        <v>164</v>
      </c>
      <c r="R11" t="n">
        <v>190.9</v>
      </c>
      <c r="S11" t="n">
        <v>207</v>
      </c>
      <c r="T11" t="n">
        <v>234.2</v>
      </c>
      <c r="U11" t="n">
        <v>251.8</v>
      </c>
      <c r="V11" t="n">
        <v>248.5</v>
      </c>
      <c r="W11" t="n">
        <v>247.6</v>
      </c>
      <c r="X11" t="n">
        <v>246.4</v>
      </c>
      <c r="Y11" t="n">
        <v>241.7</v>
      </c>
      <c r="Z11" t="n">
        <v>217</v>
      </c>
      <c r="AA11" t="n">
        <v>207.1</v>
      </c>
      <c r="AB11" t="n">
        <v>199.9</v>
      </c>
      <c r="AC11" t="n">
        <v>203.5</v>
      </c>
      <c r="AD11" t="n">
        <v>212.2</v>
      </c>
      <c r="AE11" t="n">
        <v>232.1</v>
      </c>
      <c r="AF11" t="n">
        <v>251.1</v>
      </c>
    </row>
    <row r="12">
      <c r="A12" t="s">
        <v>134</v>
      </c>
      <c r="B12" t="s">
        <v>294</v>
      </c>
      <c r="C12" t="s">
        <v>217</v>
      </c>
      <c r="D12" t="s">
        <v>295</v>
      </c>
      <c r="E12" t="s">
        <v>218</v>
      </c>
      <c r="F12" t="n">
        <v>3.1</v>
      </c>
      <c r="G12" t="n">
        <v>3.8</v>
      </c>
      <c r="H12" t="n">
        <v>4.5</v>
      </c>
      <c r="I12" t="n">
        <v>5.5</v>
      </c>
      <c r="J12" t="n">
        <v>6.7</v>
      </c>
      <c r="K12" t="n">
        <v>8.1</v>
      </c>
      <c r="L12" t="n">
        <v>10</v>
      </c>
      <c r="M12" t="n">
        <v>11.4</v>
      </c>
      <c r="N12" t="n">
        <v>12.8</v>
      </c>
      <c r="O12" t="n">
        <v>14.1</v>
      </c>
      <c r="P12" t="n">
        <v>15.8</v>
      </c>
      <c r="Q12" t="n">
        <v>17.6</v>
      </c>
      <c r="R12" t="n">
        <v>19.9</v>
      </c>
      <c r="S12" t="n">
        <v>21.2</v>
      </c>
      <c r="T12" t="n">
        <v>23.7</v>
      </c>
      <c r="U12" t="n">
        <v>25.2</v>
      </c>
      <c r="V12" t="n">
        <v>24.7</v>
      </c>
      <c r="W12" t="n">
        <v>24.5</v>
      </c>
      <c r="X12" t="n">
        <v>24.3</v>
      </c>
      <c r="Y12" t="n">
        <v>23.8</v>
      </c>
      <c r="Z12" t="n">
        <v>21.1</v>
      </c>
      <c r="AA12" t="n">
        <v>20</v>
      </c>
      <c r="AB12" t="n">
        <v>22.2</v>
      </c>
      <c r="AC12" t="n">
        <v>23.7</v>
      </c>
      <c r="AD12" t="n">
        <v>32.2</v>
      </c>
      <c r="AE12" t="n">
        <v>43.1</v>
      </c>
      <c r="AF12" t="n">
        <v>52.9</v>
      </c>
    </row>
    <row r="13">
      <c r="A13" t="s">
        <v>134</v>
      </c>
      <c r="B13" t="s">
        <v>296</v>
      </c>
      <c r="C13" t="s">
        <v>217</v>
      </c>
      <c r="D13" t="s">
        <v>297</v>
      </c>
      <c r="E13" t="s">
        <v>218</v>
      </c>
      <c r="F13" t="n">
        <v>11.6</v>
      </c>
      <c r="G13" t="n">
        <v>14.6</v>
      </c>
      <c r="H13" t="n">
        <v>17.3</v>
      </c>
      <c r="I13" t="n">
        <v>21.1</v>
      </c>
      <c r="J13" t="n">
        <v>26.4</v>
      </c>
      <c r="K13" t="n">
        <v>31.2</v>
      </c>
      <c r="L13" t="n">
        <v>37.5</v>
      </c>
      <c r="M13" t="n">
        <v>42.1</v>
      </c>
      <c r="N13" t="n">
        <v>47</v>
      </c>
      <c r="O13" t="n">
        <v>52.2</v>
      </c>
      <c r="P13" t="n">
        <v>58.8</v>
      </c>
      <c r="Q13" t="n">
        <v>65.7</v>
      </c>
      <c r="R13" t="n">
        <v>75.3</v>
      </c>
      <c r="S13" t="n">
        <v>81.2</v>
      </c>
      <c r="T13" t="n">
        <v>91.4</v>
      </c>
      <c r="U13" t="n">
        <v>97.4</v>
      </c>
      <c r="V13" t="n">
        <v>95.9</v>
      </c>
      <c r="W13" t="n">
        <v>95.8</v>
      </c>
      <c r="X13" t="n">
        <v>95.5</v>
      </c>
      <c r="Y13" t="n">
        <v>94</v>
      </c>
      <c r="Z13" t="n">
        <v>93.9</v>
      </c>
      <c r="AA13" t="n">
        <v>99</v>
      </c>
      <c r="AB13" t="n">
        <v>109.9</v>
      </c>
      <c r="AC13" t="n">
        <v>116.6</v>
      </c>
      <c r="AD13" t="n">
        <v>121.5</v>
      </c>
      <c r="AE13" t="n">
        <v>127.4</v>
      </c>
      <c r="AF13" t="n">
        <v>133.2</v>
      </c>
    </row>
    <row r="14">
      <c r="A14" t="s">
        <v>134</v>
      </c>
      <c r="B14" t="s">
        <v>298</v>
      </c>
      <c r="C14" t="s">
        <v>217</v>
      </c>
      <c r="D14" t="s">
        <v>299</v>
      </c>
      <c r="E14" t="s">
        <v>218</v>
      </c>
      <c r="F14" t="n">
        <v>10.7</v>
      </c>
      <c r="G14" t="n">
        <v>13.5</v>
      </c>
      <c r="H14" t="n">
        <v>15.9</v>
      </c>
      <c r="I14" t="n">
        <v>19.2</v>
      </c>
      <c r="J14" t="n">
        <v>23.6</v>
      </c>
      <c r="K14" t="n">
        <v>28.4</v>
      </c>
      <c r="L14" t="n">
        <v>35.4</v>
      </c>
      <c r="M14" t="n">
        <v>40.2</v>
      </c>
      <c r="N14" t="n">
        <v>44.9</v>
      </c>
      <c r="O14" t="n">
        <v>49.7</v>
      </c>
      <c r="P14" t="n">
        <v>55.7</v>
      </c>
      <c r="Q14" t="n">
        <v>62.1</v>
      </c>
      <c r="R14" t="n">
        <v>70.3</v>
      </c>
      <c r="S14" t="n">
        <v>74.8</v>
      </c>
      <c r="T14" t="n">
        <v>83.5</v>
      </c>
      <c r="U14" t="n">
        <v>88.9</v>
      </c>
      <c r="V14" t="n">
        <v>87.2</v>
      </c>
      <c r="W14" t="n">
        <v>86.6</v>
      </c>
      <c r="X14" t="n">
        <v>85.8</v>
      </c>
      <c r="Y14" t="n">
        <v>83.9</v>
      </c>
      <c r="Z14" t="n">
        <v>73.5</v>
      </c>
      <c r="AA14" t="n">
        <v>67.8</v>
      </c>
      <c r="AB14" t="n">
        <v>67.3</v>
      </c>
      <c r="AC14" t="n">
        <v>58.8</v>
      </c>
      <c r="AD14" t="n">
        <v>59.2</v>
      </c>
      <c r="AE14" t="n">
        <v>56.6</v>
      </c>
      <c r="AF14" t="n">
        <v>54.6</v>
      </c>
    </row>
    <row r="15">
      <c r="A15" t="s">
        <v>134</v>
      </c>
      <c r="B15" t="s">
        <v>300</v>
      </c>
      <c r="C15" t="s">
        <v>217</v>
      </c>
      <c r="D15" t="s">
        <v>301</v>
      </c>
      <c r="E15" t="s">
        <v>218</v>
      </c>
      <c r="F15" t="n">
        <v>15.4</v>
      </c>
      <c r="G15" t="n">
        <v>19.5</v>
      </c>
      <c r="H15" t="n">
        <v>23</v>
      </c>
      <c r="I15" t="n">
        <v>28.1</v>
      </c>
      <c r="J15" t="n">
        <v>35</v>
      </c>
      <c r="K15" t="n">
        <v>41.8</v>
      </c>
      <c r="L15" t="n">
        <v>51.4</v>
      </c>
      <c r="M15" t="n">
        <v>58.1</v>
      </c>
      <c r="N15" t="n">
        <v>64.9</v>
      </c>
      <c r="O15" t="n">
        <v>72</v>
      </c>
      <c r="P15" t="n">
        <v>81</v>
      </c>
      <c r="Q15" t="n">
        <v>90.5</v>
      </c>
      <c r="R15" t="n">
        <v>103.4</v>
      </c>
      <c r="S15" t="n">
        <v>110.6</v>
      </c>
      <c r="T15" t="n">
        <v>124</v>
      </c>
      <c r="U15" t="n">
        <v>132.5</v>
      </c>
      <c r="V15" t="n">
        <v>130.2</v>
      </c>
      <c r="W15" t="n">
        <v>129.5</v>
      </c>
      <c r="X15" t="n">
        <v>128.4</v>
      </c>
      <c r="Y15" t="n">
        <v>125.7</v>
      </c>
      <c r="Z15" t="n">
        <v>110.9</v>
      </c>
      <c r="AA15" t="n">
        <v>103.3</v>
      </c>
      <c r="AB15" t="n">
        <v>103.2</v>
      </c>
      <c r="AC15" t="n">
        <v>95.3</v>
      </c>
      <c r="AD15" t="n">
        <v>98.7</v>
      </c>
      <c r="AE15" t="n">
        <v>100.8</v>
      </c>
      <c r="AF15" t="n">
        <v>103.1</v>
      </c>
    </row>
    <row r="16">
      <c r="A16" t="s">
        <v>134</v>
      </c>
      <c r="B16" t="s">
        <v>302</v>
      </c>
      <c r="C16" t="s">
        <v>217</v>
      </c>
      <c r="D16" t="s">
        <v>303</v>
      </c>
      <c r="E16" t="s">
        <v>218</v>
      </c>
      <c r="F16" t="n">
        <v>4.7</v>
      </c>
      <c r="G16" t="n">
        <v>6</v>
      </c>
      <c r="H16" t="n">
        <v>7.1</v>
      </c>
      <c r="I16" t="n">
        <v>8.9</v>
      </c>
      <c r="J16" t="n">
        <v>11.4</v>
      </c>
      <c r="K16" t="n">
        <v>13.4</v>
      </c>
      <c r="L16" t="n">
        <v>16</v>
      </c>
      <c r="M16" t="n">
        <v>17.9</v>
      </c>
      <c r="N16" t="n">
        <v>20</v>
      </c>
      <c r="O16" t="n">
        <v>22.3</v>
      </c>
      <c r="P16" t="n">
        <v>25.3</v>
      </c>
      <c r="Q16" t="n">
        <v>28.4</v>
      </c>
      <c r="R16" t="n">
        <v>33.1</v>
      </c>
      <c r="S16" t="n">
        <v>35.8</v>
      </c>
      <c r="T16" t="n">
        <v>40.5</v>
      </c>
      <c r="U16" t="n">
        <v>43.6</v>
      </c>
      <c r="V16" t="n">
        <v>43</v>
      </c>
      <c r="W16" t="n">
        <v>42.9</v>
      </c>
      <c r="X16" t="n">
        <v>42.6</v>
      </c>
      <c r="Y16" t="n">
        <v>41.8</v>
      </c>
      <c r="Z16" t="n">
        <v>37.4</v>
      </c>
      <c r="AA16" t="n">
        <v>35.5</v>
      </c>
      <c r="AB16" t="n">
        <v>35.9</v>
      </c>
      <c r="AC16" t="n">
        <v>36.5</v>
      </c>
      <c r="AD16" t="n">
        <v>39.5</v>
      </c>
      <c r="AE16" t="n">
        <v>44.2</v>
      </c>
      <c r="AF16" t="n">
        <v>48.5</v>
      </c>
    </row>
    <row r="17">
      <c r="A17" t="s">
        <v>134</v>
      </c>
      <c r="B17" t="s">
        <v>304</v>
      </c>
      <c r="C17" t="s">
        <v>217</v>
      </c>
      <c r="D17" t="s">
        <v>305</v>
      </c>
      <c r="E17" t="s">
        <v>218</v>
      </c>
      <c r="F17" t="n">
        <v>3.1</v>
      </c>
      <c r="G17" t="n">
        <v>3.9</v>
      </c>
      <c r="H17" t="n">
        <v>4.7</v>
      </c>
      <c r="I17" t="n">
        <v>5.8</v>
      </c>
      <c r="J17" t="n">
        <v>7.3</v>
      </c>
      <c r="K17" t="n">
        <v>8.7</v>
      </c>
      <c r="L17" t="n">
        <v>10.5</v>
      </c>
      <c r="M17" t="n">
        <v>11.8</v>
      </c>
      <c r="N17" t="n">
        <v>13.1</v>
      </c>
      <c r="O17" t="n">
        <v>14.6</v>
      </c>
      <c r="P17" t="n">
        <v>16.5</v>
      </c>
      <c r="Q17" t="n">
        <v>18.5</v>
      </c>
      <c r="R17" t="n">
        <v>21.4</v>
      </c>
      <c r="S17" t="n">
        <v>23</v>
      </c>
      <c r="T17" t="n">
        <v>25.9</v>
      </c>
      <c r="U17" t="n">
        <v>27.8</v>
      </c>
      <c r="V17" t="n">
        <v>27.4</v>
      </c>
      <c r="W17" t="n">
        <v>27.2</v>
      </c>
      <c r="X17" t="n">
        <v>27.1</v>
      </c>
      <c r="Y17" t="n">
        <v>26.5</v>
      </c>
      <c r="Z17" t="n">
        <v>25.2</v>
      </c>
      <c r="AA17" t="n">
        <v>25.8</v>
      </c>
      <c r="AB17" t="n">
        <v>27.3</v>
      </c>
      <c r="AC17" t="n">
        <v>25.6</v>
      </c>
      <c r="AD17" t="n">
        <v>26.6</v>
      </c>
      <c r="AE17" t="n">
        <v>28.3</v>
      </c>
      <c r="AF17" t="n">
        <v>30</v>
      </c>
    </row>
    <row r="18">
      <c r="A18" t="s">
        <v>134</v>
      </c>
      <c r="B18" t="s">
        <v>306</v>
      </c>
      <c r="C18" t="s">
        <v>217</v>
      </c>
      <c r="D18" t="s">
        <v>307</v>
      </c>
      <c r="E18" t="s">
        <v>218</v>
      </c>
      <c r="F18" t="n">
        <v>3.4</v>
      </c>
      <c r="G18" t="n">
        <v>4.3</v>
      </c>
      <c r="H18" t="n">
        <v>5.1</v>
      </c>
      <c r="I18" t="n">
        <v>6.3</v>
      </c>
      <c r="J18" t="n">
        <v>7.8</v>
      </c>
      <c r="K18" t="n">
        <v>9.4</v>
      </c>
      <c r="L18" t="n">
        <v>11.4</v>
      </c>
      <c r="M18" t="n">
        <v>12.9</v>
      </c>
      <c r="N18" t="n">
        <v>14.4</v>
      </c>
      <c r="O18" t="n">
        <v>16</v>
      </c>
      <c r="P18" t="n">
        <v>18</v>
      </c>
      <c r="Q18" t="n">
        <v>20.1</v>
      </c>
      <c r="R18" t="n">
        <v>23.1</v>
      </c>
      <c r="S18" t="n">
        <v>24.8</v>
      </c>
      <c r="T18" t="n">
        <v>27.9</v>
      </c>
      <c r="U18" t="n">
        <v>29.8</v>
      </c>
      <c r="V18" t="n">
        <v>29.3</v>
      </c>
      <c r="W18" t="n">
        <v>29.2</v>
      </c>
      <c r="X18" t="n">
        <v>29</v>
      </c>
      <c r="Y18" t="n">
        <v>28.4</v>
      </c>
      <c r="Z18" t="n">
        <v>22.8</v>
      </c>
      <c r="AA18" t="n">
        <v>18.5</v>
      </c>
      <c r="AB18" t="n">
        <v>15.1</v>
      </c>
      <c r="AC18" t="n">
        <v>12.5</v>
      </c>
      <c r="AD18" t="n">
        <v>10.4</v>
      </c>
      <c r="AE18" t="n">
        <v>9.6</v>
      </c>
      <c r="AF18" t="n">
        <v>9.1</v>
      </c>
    </row>
    <row r="19">
      <c r="A19" t="s">
        <v>134</v>
      </c>
      <c r="B19" t="s">
        <v>308</v>
      </c>
      <c r="C19" t="s">
        <v>217</v>
      </c>
      <c r="D19" t="s">
        <v>309</v>
      </c>
      <c r="E19" t="s">
        <v>218</v>
      </c>
      <c r="F19" t="n">
        <v>2.6</v>
      </c>
      <c r="G19" t="n">
        <v>3.3</v>
      </c>
      <c r="H19" t="n">
        <v>3.9</v>
      </c>
      <c r="I19" t="n">
        <v>4.8</v>
      </c>
      <c r="J19" t="n">
        <v>5.9</v>
      </c>
      <c r="K19" t="n">
        <v>7.1</v>
      </c>
      <c r="L19" t="n">
        <v>8.7</v>
      </c>
      <c r="M19" t="n">
        <v>9.9</v>
      </c>
      <c r="N19" t="n">
        <v>11</v>
      </c>
      <c r="O19" t="n">
        <v>12.2</v>
      </c>
      <c r="P19" t="n">
        <v>13.8</v>
      </c>
      <c r="Q19" t="n">
        <v>15.4</v>
      </c>
      <c r="R19" t="n">
        <v>17.5</v>
      </c>
      <c r="S19" t="n">
        <v>18.7</v>
      </c>
      <c r="T19" t="n">
        <v>21</v>
      </c>
      <c r="U19" t="n">
        <v>22.4</v>
      </c>
      <c r="V19" t="n">
        <v>22</v>
      </c>
      <c r="W19" t="n">
        <v>21.8</v>
      </c>
      <c r="X19" t="n">
        <v>21.6</v>
      </c>
      <c r="Y19" t="n">
        <v>21.2</v>
      </c>
      <c r="Z19" t="n">
        <v>18.1</v>
      </c>
      <c r="AA19" t="n">
        <v>16.2</v>
      </c>
      <c r="AB19" t="n">
        <v>14.6</v>
      </c>
      <c r="AC19" t="n">
        <v>13.4</v>
      </c>
      <c r="AD19" t="n">
        <v>12.7</v>
      </c>
      <c r="AE19" t="n">
        <v>11.8</v>
      </c>
      <c r="AF19" t="n">
        <v>11.2</v>
      </c>
    </row>
    <row r="20">
      <c r="A20" t="s">
        <v>134</v>
      </c>
      <c r="B20" t="s">
        <v>310</v>
      </c>
      <c r="C20" t="s">
        <v>217</v>
      </c>
      <c r="D20" t="s">
        <v>311</v>
      </c>
      <c r="E20" t="s">
        <v>218</v>
      </c>
      <c r="F20" t="n">
        <v>2</v>
      </c>
      <c r="G20" t="n">
        <v>2.6</v>
      </c>
      <c r="H20" t="n">
        <v>3.1</v>
      </c>
      <c r="I20" t="n">
        <v>3.7</v>
      </c>
      <c r="J20" t="n">
        <v>4.6</v>
      </c>
      <c r="K20" t="n">
        <v>5.5</v>
      </c>
      <c r="L20" t="n">
        <v>6.8</v>
      </c>
      <c r="M20" t="n">
        <v>7.7</v>
      </c>
      <c r="N20" t="n">
        <v>8.6</v>
      </c>
      <c r="O20" t="n">
        <v>9.5</v>
      </c>
      <c r="P20" t="n">
        <v>10.7</v>
      </c>
      <c r="Q20" t="n">
        <v>11.9</v>
      </c>
      <c r="R20" t="n">
        <v>13.6</v>
      </c>
      <c r="S20" t="n">
        <v>14.5</v>
      </c>
      <c r="T20" t="n">
        <v>16.2</v>
      </c>
      <c r="U20" t="n">
        <v>17.3</v>
      </c>
      <c r="V20" t="n">
        <v>16.9</v>
      </c>
      <c r="W20" t="n">
        <v>16.8</v>
      </c>
      <c r="X20" t="n">
        <v>16.7</v>
      </c>
      <c r="Y20" t="n">
        <v>16.3</v>
      </c>
      <c r="Z20" t="n">
        <v>17.7</v>
      </c>
      <c r="AA20" t="n">
        <v>20.7</v>
      </c>
      <c r="AB20" t="n">
        <v>27.2</v>
      </c>
      <c r="AC20" t="n">
        <v>32.3</v>
      </c>
      <c r="AD20" t="n">
        <v>34.2</v>
      </c>
      <c r="AE20" t="n">
        <v>39.6</v>
      </c>
      <c r="AF20" t="n">
        <v>44.5</v>
      </c>
    </row>
    <row r="21">
      <c r="A21" t="s">
        <v>134</v>
      </c>
      <c r="B21" t="s">
        <v>312</v>
      </c>
      <c r="C21" t="s">
        <v>217</v>
      </c>
      <c r="D21" t="s">
        <v>313</v>
      </c>
      <c r="E21" t="s">
        <v>218</v>
      </c>
      <c r="F21" t="n">
        <v>3.2</v>
      </c>
      <c r="G21" t="n">
        <v>4.1</v>
      </c>
      <c r="H21" t="n">
        <v>4.9</v>
      </c>
      <c r="I21" t="n">
        <v>5.9</v>
      </c>
      <c r="J21" t="n">
        <v>7.3</v>
      </c>
      <c r="K21" t="n">
        <v>8.7</v>
      </c>
      <c r="L21" t="n">
        <v>10.8</v>
      </c>
      <c r="M21" t="n">
        <v>12.2</v>
      </c>
      <c r="N21" t="n">
        <v>13.6</v>
      </c>
      <c r="O21" t="n">
        <v>15.1</v>
      </c>
      <c r="P21" t="n">
        <v>16.9</v>
      </c>
      <c r="Q21" t="n">
        <v>18.9</v>
      </c>
      <c r="R21" t="n">
        <v>21.5</v>
      </c>
      <c r="S21" t="n">
        <v>23</v>
      </c>
      <c r="T21" t="n">
        <v>25.7</v>
      </c>
      <c r="U21" t="n">
        <v>27.4</v>
      </c>
      <c r="V21" t="n">
        <v>26.8</v>
      </c>
      <c r="W21" t="n">
        <v>26.7</v>
      </c>
      <c r="X21" t="n">
        <v>26.5</v>
      </c>
      <c r="Y21" t="n">
        <v>25.9</v>
      </c>
      <c r="Z21" t="n">
        <v>26.8</v>
      </c>
      <c r="AA21" t="n">
        <v>30</v>
      </c>
      <c r="AB21" t="n">
        <v>36.3</v>
      </c>
      <c r="AC21" t="n">
        <v>40.8</v>
      </c>
      <c r="AD21" t="n">
        <v>44.3</v>
      </c>
      <c r="AE21" t="n">
        <v>51.5</v>
      </c>
      <c r="AF21" t="n">
        <v>58.1</v>
      </c>
    </row>
    <row r="22">
      <c r="A22" t="s">
        <v>134</v>
      </c>
      <c r="B22" t="s">
        <v>314</v>
      </c>
      <c r="C22" t="s">
        <v>217</v>
      </c>
      <c r="D22" t="s">
        <v>315</v>
      </c>
      <c r="E22" t="s">
        <v>218</v>
      </c>
      <c r="F22" t="n">
        <v>1.2</v>
      </c>
      <c r="G22" t="n">
        <v>1.5</v>
      </c>
      <c r="H22" t="n">
        <v>1.8</v>
      </c>
      <c r="I22" t="n">
        <v>2.2</v>
      </c>
      <c r="J22" t="n">
        <v>2.7</v>
      </c>
      <c r="K22" t="n">
        <v>3.2</v>
      </c>
      <c r="L22" t="n">
        <v>4</v>
      </c>
      <c r="M22" t="n">
        <v>4.5</v>
      </c>
      <c r="N22" t="n">
        <v>5</v>
      </c>
      <c r="O22" t="n">
        <v>5.6</v>
      </c>
      <c r="P22" t="n">
        <v>6.2</v>
      </c>
      <c r="Q22" t="n">
        <v>7</v>
      </c>
      <c r="R22" t="n">
        <v>7.9</v>
      </c>
      <c r="S22" t="n">
        <v>8.5</v>
      </c>
      <c r="T22" t="n">
        <v>9.5</v>
      </c>
      <c r="U22" t="n">
        <v>10.1</v>
      </c>
      <c r="V22" t="n">
        <v>9.9</v>
      </c>
      <c r="W22" t="n">
        <v>9.9</v>
      </c>
      <c r="X22" t="n">
        <v>9.8</v>
      </c>
      <c r="Y22" t="n">
        <v>9.6</v>
      </c>
      <c r="Z22" t="n">
        <v>9.1</v>
      </c>
      <c r="AA22" t="n">
        <v>9.3</v>
      </c>
      <c r="AB22" t="n">
        <v>9.1</v>
      </c>
      <c r="AC22" t="n">
        <v>8.5</v>
      </c>
      <c r="AD22" t="n">
        <v>10.1</v>
      </c>
      <c r="AE22" t="n">
        <v>11.9</v>
      </c>
      <c r="AF22" t="n">
        <v>13.6</v>
      </c>
    </row>
    <row r="23">
      <c r="A23" t="s">
        <v>134</v>
      </c>
      <c r="B23" t="s">
        <v>316</v>
      </c>
      <c r="C23" t="s">
        <v>217</v>
      </c>
      <c r="D23" t="s">
        <v>317</v>
      </c>
      <c r="E23" t="s">
        <v>218</v>
      </c>
      <c r="F23" t="n">
        <v>2.2</v>
      </c>
      <c r="G23" t="n">
        <v>2.8</v>
      </c>
      <c r="H23" t="n">
        <v>3.4</v>
      </c>
      <c r="I23" t="n">
        <v>4.5</v>
      </c>
      <c r="J23" t="n">
        <v>5.9</v>
      </c>
      <c r="K23" t="n">
        <v>6.9</v>
      </c>
      <c r="L23" t="n">
        <v>7.8</v>
      </c>
      <c r="M23" t="n">
        <v>8.6</v>
      </c>
      <c r="N23" t="n">
        <v>9.6</v>
      </c>
      <c r="O23" t="n">
        <v>10.9</v>
      </c>
      <c r="P23" t="n">
        <v>12.5</v>
      </c>
      <c r="Q23" t="n">
        <v>14.1</v>
      </c>
      <c r="R23" t="n">
        <v>16.9</v>
      </c>
      <c r="S23" t="n">
        <v>18.6</v>
      </c>
      <c r="T23" t="n">
        <v>21.3</v>
      </c>
      <c r="U23" t="n">
        <v>23.1</v>
      </c>
      <c r="V23" t="n">
        <v>22.9</v>
      </c>
      <c r="W23" t="n">
        <v>22.9</v>
      </c>
      <c r="X23" t="n">
        <v>22.9</v>
      </c>
      <c r="Y23" t="n">
        <v>22.5</v>
      </c>
      <c r="Z23" t="n">
        <v>19.8</v>
      </c>
      <c r="AA23" t="n">
        <v>18.3</v>
      </c>
      <c r="AB23" t="n">
        <v>22.3</v>
      </c>
      <c r="AC23" t="n">
        <v>27.1</v>
      </c>
      <c r="AD23" t="n">
        <v>35.6</v>
      </c>
      <c r="AE23" t="n">
        <v>36.1</v>
      </c>
      <c r="AF23" t="n">
        <v>36.9</v>
      </c>
    </row>
    <row r="24">
      <c r="A24" t="s">
        <v>134</v>
      </c>
      <c r="B24" t="s">
        <v>318</v>
      </c>
      <c r="C24" t="s">
        <v>217</v>
      </c>
      <c r="D24" t="s">
        <v>319</v>
      </c>
      <c r="E24" t="s">
        <v>218</v>
      </c>
      <c r="F24" t="n">
        <v>13.2</v>
      </c>
      <c r="G24" t="n">
        <v>16.8</v>
      </c>
      <c r="H24" t="n">
        <v>20</v>
      </c>
      <c r="I24" t="n">
        <v>24.7</v>
      </c>
      <c r="J24" t="n">
        <v>31.2</v>
      </c>
      <c r="K24" t="n">
        <v>37.1</v>
      </c>
      <c r="L24" t="n">
        <v>44.8</v>
      </c>
      <c r="M24" t="n">
        <v>50.3</v>
      </c>
      <c r="N24" t="n">
        <v>56.2</v>
      </c>
      <c r="O24" t="n">
        <v>62.7</v>
      </c>
      <c r="P24" t="n">
        <v>70.7</v>
      </c>
      <c r="Q24" t="n">
        <v>79.3</v>
      </c>
      <c r="R24" t="n">
        <v>91.4</v>
      </c>
      <c r="S24" t="n">
        <v>98.5</v>
      </c>
      <c r="T24" t="n">
        <v>111</v>
      </c>
      <c r="U24" t="n">
        <v>119</v>
      </c>
      <c r="V24" t="n">
        <v>117.2</v>
      </c>
      <c r="W24" t="n">
        <v>116.6</v>
      </c>
      <c r="X24" t="n">
        <v>115.9</v>
      </c>
      <c r="Y24" t="n">
        <v>113.6</v>
      </c>
      <c r="Z24" t="n">
        <v>144.1</v>
      </c>
      <c r="AA24" t="n">
        <v>189.2</v>
      </c>
      <c r="AB24" t="n">
        <v>212.9</v>
      </c>
      <c r="AC24" t="n">
        <v>224.3</v>
      </c>
      <c r="AD24" t="n">
        <v>242.2</v>
      </c>
      <c r="AE24" t="n">
        <v>266.7</v>
      </c>
      <c r="AF24" t="n">
        <v>289.7</v>
      </c>
    </row>
    <row r="25">
      <c r="A25" t="s">
        <v>134</v>
      </c>
      <c r="B25" t="s">
        <v>320</v>
      </c>
      <c r="C25" t="s">
        <v>217</v>
      </c>
      <c r="D25" t="s">
        <v>321</v>
      </c>
      <c r="E25" t="s">
        <v>218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134</v>
      </c>
      <c r="B26" t="s">
        <v>322</v>
      </c>
      <c r="C26" t="s">
        <v>217</v>
      </c>
      <c r="D26" t="s">
        <v>323</v>
      </c>
      <c r="E26" t="s">
        <v>218</v>
      </c>
      <c r="F26" t="n">
        <v>13.2</v>
      </c>
      <c r="G26" t="n">
        <v>16.8</v>
      </c>
      <c r="H26" t="n">
        <v>20</v>
      </c>
      <c r="I26" t="n">
        <v>24.7</v>
      </c>
      <c r="J26" t="n">
        <v>31.2</v>
      </c>
      <c r="K26" t="n">
        <v>37.1</v>
      </c>
      <c r="L26" t="n">
        <v>44.8</v>
      </c>
      <c r="M26" t="n">
        <v>50.3</v>
      </c>
      <c r="N26" t="n">
        <v>56.2</v>
      </c>
      <c r="O26" t="n">
        <v>62.7</v>
      </c>
      <c r="P26" t="n">
        <v>70.7</v>
      </c>
      <c r="Q26" t="n">
        <v>79.3</v>
      </c>
      <c r="R26" t="n">
        <v>91.4</v>
      </c>
      <c r="S26" t="n">
        <v>98.5</v>
      </c>
      <c r="T26" t="n">
        <v>111</v>
      </c>
      <c r="U26" t="n">
        <v>119</v>
      </c>
      <c r="V26" t="n">
        <v>117.2</v>
      </c>
      <c r="W26" t="n">
        <v>116.6</v>
      </c>
      <c r="X26" t="n">
        <v>115.9</v>
      </c>
      <c r="Y26" t="n">
        <v>113.6</v>
      </c>
      <c r="Z26" t="n">
        <v>144.1</v>
      </c>
      <c r="AA26" t="n">
        <v>189.2</v>
      </c>
      <c r="AB26" t="n">
        <v>212.9</v>
      </c>
      <c r="AC26" t="n">
        <v>224.2</v>
      </c>
      <c r="AD26" t="n">
        <v>239.8</v>
      </c>
      <c r="AE26" t="n">
        <v>261.1</v>
      </c>
      <c r="AF26" t="n">
        <v>281.3</v>
      </c>
    </row>
    <row r="27">
      <c r="A27" t="s">
        <v>134</v>
      </c>
      <c r="B27" t="s">
        <v>324</v>
      </c>
      <c r="C27" t="s">
        <v>217</v>
      </c>
      <c r="D27" t="s">
        <v>325</v>
      </c>
      <c r="E27" t="s">
        <v>218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2.4</v>
      </c>
      <c r="AE27" t="n">
        <v>5.6</v>
      </c>
      <c r="AF27" t="n">
        <v>8.4</v>
      </c>
    </row>
    <row r="28">
      <c r="A28" t="s">
        <v>134</v>
      </c>
      <c r="B28" t="s">
        <v>326</v>
      </c>
      <c r="C28" t="s">
        <v>217</v>
      </c>
      <c r="D28" t="s">
        <v>327</v>
      </c>
      <c r="E28" t="s">
        <v>218</v>
      </c>
      <c r="F28" t="n">
        <v>0.1</v>
      </c>
      <c r="G28" t="n">
        <v>0.1</v>
      </c>
      <c r="H28" t="n">
        <v>0.2</v>
      </c>
      <c r="I28" t="n">
        <v>0.2</v>
      </c>
      <c r="J28" t="n">
        <v>0.2</v>
      </c>
      <c r="K28" t="n">
        <v>0.3</v>
      </c>
      <c r="L28" t="n">
        <v>0.3</v>
      </c>
      <c r="M28" t="n">
        <v>0.4</v>
      </c>
      <c r="N28" t="n">
        <v>0.4</v>
      </c>
      <c r="O28" t="n">
        <v>0.5</v>
      </c>
      <c r="P28" t="n">
        <v>0.5</v>
      </c>
      <c r="Q28" t="n">
        <v>0.6</v>
      </c>
      <c r="R28" t="n">
        <v>0.6</v>
      </c>
      <c r="S28" t="n">
        <v>0.7</v>
      </c>
      <c r="T28" t="n">
        <v>0.8</v>
      </c>
      <c r="U28" t="n">
        <v>0.8</v>
      </c>
      <c r="V28" t="n">
        <v>0.8</v>
      </c>
      <c r="W28" t="n">
        <v>0.8</v>
      </c>
      <c r="X28" t="n">
        <v>0.8</v>
      </c>
      <c r="Y28" t="n">
        <v>0.8</v>
      </c>
      <c r="Z28" t="n">
        <v>1.6</v>
      </c>
      <c r="AA28" t="n">
        <v>2.6</v>
      </c>
      <c r="AB28" t="n">
        <v>18.9</v>
      </c>
      <c r="AC28" t="n">
        <v>36.5</v>
      </c>
      <c r="AD28" t="n">
        <v>54.8</v>
      </c>
      <c r="AE28" t="n">
        <v>68.3</v>
      </c>
      <c r="AF28" t="n">
        <v>79.8</v>
      </c>
    </row>
    <row r="29">
      <c r="A29" t="s">
        <v>134</v>
      </c>
      <c r="B29" t="s">
        <v>328</v>
      </c>
      <c r="C29" t="s">
        <v>217</v>
      </c>
      <c r="D29" t="s">
        <v>329</v>
      </c>
      <c r="E29" t="s">
        <v>218</v>
      </c>
      <c r="F29" t="n">
        <v>0</v>
      </c>
      <c r="G29" t="n">
        <v>0</v>
      </c>
      <c r="H29" t="n">
        <v>0</v>
      </c>
      <c r="I29" t="n">
        <v>0.1</v>
      </c>
      <c r="J29" t="n">
        <v>0.1</v>
      </c>
      <c r="K29" t="n">
        <v>0.1</v>
      </c>
      <c r="L29" t="n">
        <v>0.1</v>
      </c>
      <c r="M29" t="n">
        <v>0.1</v>
      </c>
      <c r="N29" t="n">
        <v>0.1</v>
      </c>
      <c r="O29" t="n">
        <v>0.1</v>
      </c>
      <c r="P29" t="n">
        <v>0.1</v>
      </c>
      <c r="Q29" t="n">
        <v>0.1</v>
      </c>
      <c r="R29" t="n">
        <v>0.1</v>
      </c>
      <c r="S29" t="n">
        <v>0.2</v>
      </c>
      <c r="T29" t="n">
        <v>0.2</v>
      </c>
      <c r="U29" t="n">
        <v>0.2</v>
      </c>
      <c r="V29" t="n">
        <v>0.2</v>
      </c>
      <c r="W29" t="n">
        <v>0.2</v>
      </c>
      <c r="X29" t="n">
        <v>0.2</v>
      </c>
      <c r="Y29" t="n">
        <v>0.2</v>
      </c>
      <c r="Z29" t="n">
        <v>0.4</v>
      </c>
      <c r="AA29" t="n">
        <v>0.7</v>
      </c>
      <c r="AB29" t="n">
        <v>9.4</v>
      </c>
      <c r="AC29" t="n">
        <v>21.1</v>
      </c>
      <c r="AD29" t="n">
        <v>31</v>
      </c>
      <c r="AE29" t="n">
        <v>39.1</v>
      </c>
      <c r="AF29" t="n">
        <v>45.8</v>
      </c>
    </row>
    <row r="30">
      <c r="A30" t="s">
        <v>134</v>
      </c>
      <c r="B30" t="s">
        <v>330</v>
      </c>
      <c r="C30" t="s">
        <v>217</v>
      </c>
      <c r="D30" t="s">
        <v>331</v>
      </c>
      <c r="E30" t="s">
        <v>218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134</v>
      </c>
      <c r="B31" t="s">
        <v>332</v>
      </c>
      <c r="C31" t="s">
        <v>217</v>
      </c>
      <c r="D31" t="s">
        <v>333</v>
      </c>
      <c r="E31" t="s">
        <v>218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0.1</v>
      </c>
      <c r="M31" t="n">
        <v>0.1</v>
      </c>
      <c r="N31" t="n">
        <v>0.1</v>
      </c>
      <c r="O31" t="n">
        <v>0.1</v>
      </c>
      <c r="P31" t="n">
        <v>0.1</v>
      </c>
      <c r="Q31" t="n">
        <v>0.1</v>
      </c>
      <c r="R31" t="n">
        <v>0.1</v>
      </c>
      <c r="S31" t="n">
        <v>0.1</v>
      </c>
      <c r="T31" t="n">
        <v>0.1</v>
      </c>
      <c r="U31" t="n">
        <v>0.1</v>
      </c>
      <c r="V31" t="n">
        <v>0.1</v>
      </c>
      <c r="W31" t="n">
        <v>0.1</v>
      </c>
      <c r="X31" t="n">
        <v>0.1</v>
      </c>
      <c r="Y31" t="n">
        <v>0.1</v>
      </c>
      <c r="Z31" t="n">
        <v>0.3</v>
      </c>
      <c r="AA31" t="n">
        <v>0.6</v>
      </c>
      <c r="AB31" t="n">
        <v>0.4</v>
      </c>
      <c r="AC31" t="n">
        <v>0.4</v>
      </c>
      <c r="AD31" t="n">
        <v>0.5</v>
      </c>
      <c r="AE31" t="n">
        <v>0.6</v>
      </c>
      <c r="AF31" t="n">
        <v>0.7</v>
      </c>
    </row>
    <row r="32">
      <c r="A32" t="s">
        <v>134</v>
      </c>
      <c r="B32" t="s">
        <v>334</v>
      </c>
      <c r="C32" t="s">
        <v>217</v>
      </c>
      <c r="D32" t="s">
        <v>335</v>
      </c>
      <c r="E32" t="s">
        <v>218</v>
      </c>
      <c r="F32" t="n">
        <v>0.1</v>
      </c>
      <c r="G32" t="n">
        <v>0.1</v>
      </c>
      <c r="H32" t="n">
        <v>0.1</v>
      </c>
      <c r="I32" t="n">
        <v>0.1</v>
      </c>
      <c r="J32" t="n">
        <v>0.1</v>
      </c>
      <c r="K32" t="n">
        <v>0.2</v>
      </c>
      <c r="L32" t="n">
        <v>0.2</v>
      </c>
      <c r="M32" t="n">
        <v>0.2</v>
      </c>
      <c r="N32" t="n">
        <v>0.3</v>
      </c>
      <c r="O32" t="n">
        <v>0.3</v>
      </c>
      <c r="P32" t="n">
        <v>0.3</v>
      </c>
      <c r="Q32" t="n">
        <v>0.4</v>
      </c>
      <c r="R32" t="n">
        <v>0.4</v>
      </c>
      <c r="S32" t="n">
        <v>0.4</v>
      </c>
      <c r="T32" t="n">
        <v>0.5</v>
      </c>
      <c r="U32" t="n">
        <v>0.5</v>
      </c>
      <c r="V32" t="n">
        <v>0.5</v>
      </c>
      <c r="W32" t="n">
        <v>0.5</v>
      </c>
      <c r="X32" t="n">
        <v>0.5</v>
      </c>
      <c r="Y32" t="n">
        <v>0.5</v>
      </c>
      <c r="Z32" t="n">
        <v>0.8</v>
      </c>
      <c r="AA32" t="n">
        <v>1.2</v>
      </c>
      <c r="AB32" t="n">
        <v>8.5</v>
      </c>
      <c r="AC32" t="n">
        <v>14</v>
      </c>
      <c r="AD32" t="n">
        <v>21.6</v>
      </c>
      <c r="AE32" t="n">
        <v>26.1</v>
      </c>
      <c r="AF32" t="n">
        <v>30.2</v>
      </c>
    </row>
    <row r="33">
      <c r="A33" t="s">
        <v>134</v>
      </c>
      <c r="B33" t="s">
        <v>336</v>
      </c>
      <c r="C33" t="s">
        <v>217</v>
      </c>
      <c r="D33" t="s">
        <v>337</v>
      </c>
      <c r="E33" t="s">
        <v>218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0.1</v>
      </c>
      <c r="AA33" t="n">
        <v>0.2</v>
      </c>
      <c r="AB33" t="n">
        <v>0.6</v>
      </c>
      <c r="AC33" t="n">
        <v>1</v>
      </c>
      <c r="AD33" t="n">
        <v>1.7</v>
      </c>
      <c r="AE33" t="n">
        <v>2.5</v>
      </c>
      <c r="AF33" t="n">
        <v>3.1</v>
      </c>
    </row>
    <row r="34">
      <c r="A34" t="s">
        <v>134</v>
      </c>
      <c r="B34" t="s">
        <v>338</v>
      </c>
      <c r="C34" t="s">
        <v>217</v>
      </c>
      <c r="D34" t="s">
        <v>339</v>
      </c>
      <c r="E34" t="s">
        <v>218</v>
      </c>
      <c r="F34" t="n">
        <v>0</v>
      </c>
      <c r="G34" t="n">
        <v>0</v>
      </c>
      <c r="H34" t="n">
        <v>0</v>
      </c>
      <c r="I34" t="n">
        <v>0.1</v>
      </c>
      <c r="J34" t="n">
        <v>0.1</v>
      </c>
      <c r="K34" t="n">
        <v>0.1</v>
      </c>
      <c r="L34" t="n">
        <v>0.1</v>
      </c>
      <c r="M34" t="n">
        <v>0.1</v>
      </c>
      <c r="N34" t="n">
        <v>0.1</v>
      </c>
      <c r="O34" t="n">
        <v>0.1</v>
      </c>
      <c r="P34" t="n">
        <v>0.2</v>
      </c>
      <c r="Q34" t="n">
        <v>0.2</v>
      </c>
      <c r="R34" t="n">
        <v>0.2</v>
      </c>
      <c r="S34" t="n">
        <v>0.2</v>
      </c>
      <c r="T34" t="n">
        <v>0.2</v>
      </c>
      <c r="U34" t="n">
        <v>0.2</v>
      </c>
      <c r="V34" t="n">
        <v>0.2</v>
      </c>
      <c r="W34" t="n">
        <v>0.2</v>
      </c>
      <c r="X34" t="n">
        <v>0.2</v>
      </c>
      <c r="Y34" t="n">
        <v>0.2</v>
      </c>
      <c r="Z34" t="n">
        <v>0.5</v>
      </c>
      <c r="AA34" t="n">
        <v>0.9</v>
      </c>
      <c r="AB34" t="n">
        <v>0.7</v>
      </c>
      <c r="AC34" t="n">
        <v>0.7</v>
      </c>
      <c r="AD34" t="n">
        <v>0.7</v>
      </c>
      <c r="AE34" t="n">
        <v>0.8</v>
      </c>
      <c r="AF34" t="n">
        <v>0.9</v>
      </c>
    </row>
    <row r="35">
      <c r="A35" t="s">
        <v>134</v>
      </c>
      <c r="B35" t="s">
        <v>340</v>
      </c>
      <c r="C35" t="s">
        <v>217</v>
      </c>
      <c r="D35" t="s">
        <v>341</v>
      </c>
      <c r="E35" t="s">
        <v>218</v>
      </c>
      <c r="F35" t="n">
        <v>32.1</v>
      </c>
      <c r="G35" t="n">
        <v>40.9</v>
      </c>
      <c r="H35" t="n">
        <v>48.5</v>
      </c>
      <c r="I35" t="n">
        <v>59.7</v>
      </c>
      <c r="J35" t="n">
        <v>75.1</v>
      </c>
      <c r="K35" t="n">
        <v>89.6</v>
      </c>
      <c r="L35" t="n">
        <v>108.5</v>
      </c>
      <c r="M35" t="n">
        <v>122.1</v>
      </c>
      <c r="N35" t="n">
        <v>136.2</v>
      </c>
      <c r="O35" t="n">
        <v>151.7</v>
      </c>
      <c r="P35" t="n">
        <v>171.2</v>
      </c>
      <c r="Q35" t="n">
        <v>191.7</v>
      </c>
      <c r="R35" t="n">
        <v>220.7</v>
      </c>
      <c r="S35" t="n">
        <v>237.5</v>
      </c>
      <c r="T35" t="n">
        <v>267.4</v>
      </c>
      <c r="U35" t="n">
        <v>286.3</v>
      </c>
      <c r="V35" t="n">
        <v>281.9</v>
      </c>
      <c r="W35" t="n">
        <v>280.5</v>
      </c>
      <c r="X35" t="n">
        <v>278.7</v>
      </c>
      <c r="Y35" t="n">
        <v>273</v>
      </c>
      <c r="Z35" t="n">
        <v>263.2</v>
      </c>
      <c r="AA35" t="n">
        <v>273.4</v>
      </c>
      <c r="AB35" t="n">
        <v>312.3</v>
      </c>
      <c r="AC35" t="n">
        <v>326</v>
      </c>
      <c r="AD35" t="n">
        <v>372.9</v>
      </c>
      <c r="AE35" t="n">
        <v>435.2</v>
      </c>
      <c r="AF35" t="n">
        <v>492.5</v>
      </c>
    </row>
    <row r="36">
      <c r="A36" t="s">
        <v>134</v>
      </c>
      <c r="B36" t="s">
        <v>342</v>
      </c>
      <c r="C36" t="s">
        <v>217</v>
      </c>
      <c r="D36" t="s">
        <v>343</v>
      </c>
      <c r="E36" t="s">
        <v>218</v>
      </c>
      <c r="F36" t="n">
        <v>0</v>
      </c>
      <c r="G36" t="n">
        <v>0.1</v>
      </c>
      <c r="H36" t="n">
        <v>0.1</v>
      </c>
      <c r="I36" t="n">
        <v>0.1</v>
      </c>
      <c r="J36" t="n">
        <v>0.1</v>
      </c>
      <c r="K36" t="n">
        <v>0.1</v>
      </c>
      <c r="L36" t="n">
        <v>0.2</v>
      </c>
      <c r="M36" t="n">
        <v>0.2</v>
      </c>
      <c r="N36" t="n">
        <v>0.2</v>
      </c>
      <c r="O36" t="n">
        <v>0.2</v>
      </c>
      <c r="P36" t="n">
        <v>0.3</v>
      </c>
      <c r="Q36" t="n">
        <v>0.3</v>
      </c>
      <c r="R36" t="n">
        <v>0.3</v>
      </c>
      <c r="S36" t="n">
        <v>0.3</v>
      </c>
      <c r="T36" t="n">
        <v>0.4</v>
      </c>
      <c r="U36" t="n">
        <v>0.4</v>
      </c>
      <c r="V36" t="n">
        <v>0.4</v>
      </c>
      <c r="W36" t="n">
        <v>0.4</v>
      </c>
      <c r="X36" t="n">
        <v>0.4</v>
      </c>
      <c r="Y36" t="n">
        <v>0.4</v>
      </c>
      <c r="Z36" t="n">
        <v>2.2</v>
      </c>
      <c r="AA36" t="n">
        <v>4.4</v>
      </c>
      <c r="AB36" t="n">
        <v>5.4</v>
      </c>
      <c r="AC36" t="n">
        <v>7.4</v>
      </c>
      <c r="AD36" t="n">
        <v>20.9</v>
      </c>
      <c r="AE36" t="n">
        <v>34.6</v>
      </c>
      <c r="AF36" t="n">
        <v>46.8</v>
      </c>
    </row>
    <row r="37">
      <c r="A37" t="s">
        <v>134</v>
      </c>
      <c r="B37" t="s">
        <v>344</v>
      </c>
      <c r="C37" t="s">
        <v>217</v>
      </c>
      <c r="D37" t="s">
        <v>345</v>
      </c>
      <c r="E37" t="s">
        <v>218</v>
      </c>
      <c r="F37" t="n">
        <v>11.3</v>
      </c>
      <c r="G37" t="n">
        <v>14.6</v>
      </c>
      <c r="H37" t="n">
        <v>17.6</v>
      </c>
      <c r="I37" t="n">
        <v>22.4</v>
      </c>
      <c r="J37" t="n">
        <v>29.3</v>
      </c>
      <c r="K37" t="n">
        <v>34.4</v>
      </c>
      <c r="L37" t="n">
        <v>39.8</v>
      </c>
      <c r="M37" t="n">
        <v>44.1</v>
      </c>
      <c r="N37" t="n">
        <v>49.1</v>
      </c>
      <c r="O37" t="n">
        <v>55.4</v>
      </c>
      <c r="P37" t="n">
        <v>63.1</v>
      </c>
      <c r="Q37" t="n">
        <v>71.2</v>
      </c>
      <c r="R37" t="n">
        <v>84.2</v>
      </c>
      <c r="S37" t="n">
        <v>92.2</v>
      </c>
      <c r="T37" t="n">
        <v>105</v>
      </c>
      <c r="U37" t="n">
        <v>113.4</v>
      </c>
      <c r="V37" t="n">
        <v>112.3</v>
      </c>
      <c r="W37" t="n">
        <v>112.1</v>
      </c>
      <c r="X37" t="n">
        <v>111.8</v>
      </c>
      <c r="Y37" t="n">
        <v>109.8</v>
      </c>
      <c r="Z37" t="n">
        <v>92.2</v>
      </c>
      <c r="AA37" t="n">
        <v>80.2</v>
      </c>
      <c r="AB37" t="n">
        <v>91.4</v>
      </c>
      <c r="AC37" t="n">
        <v>98.8</v>
      </c>
      <c r="AD37" t="n">
        <v>102.9</v>
      </c>
      <c r="AE37" t="n">
        <v>106.9</v>
      </c>
      <c r="AF37" t="n">
        <v>111.1</v>
      </c>
    </row>
    <row r="38">
      <c r="A38" t="s">
        <v>134</v>
      </c>
      <c r="B38" t="s">
        <v>346</v>
      </c>
      <c r="C38" t="s">
        <v>217</v>
      </c>
      <c r="D38" t="s">
        <v>347</v>
      </c>
      <c r="E38" t="s">
        <v>218</v>
      </c>
      <c r="F38" t="n">
        <v>20.8</v>
      </c>
      <c r="G38" t="n">
        <v>26.2</v>
      </c>
      <c r="H38" t="n">
        <v>30.8</v>
      </c>
      <c r="I38" t="n">
        <v>37.2</v>
      </c>
      <c r="J38" t="n">
        <v>45.7</v>
      </c>
      <c r="K38" t="n">
        <v>55.1</v>
      </c>
      <c r="L38" t="n">
        <v>68.5</v>
      </c>
      <c r="M38" t="n">
        <v>77.8</v>
      </c>
      <c r="N38" t="n">
        <v>86.9</v>
      </c>
      <c r="O38" t="n">
        <v>96.1</v>
      </c>
      <c r="P38" t="n">
        <v>107.8</v>
      </c>
      <c r="Q38" t="n">
        <v>120.2</v>
      </c>
      <c r="R38" t="n">
        <v>136.2</v>
      </c>
      <c r="S38" t="n">
        <v>145</v>
      </c>
      <c r="T38" t="n">
        <v>162</v>
      </c>
      <c r="U38" t="n">
        <v>172.5</v>
      </c>
      <c r="V38" t="n">
        <v>169.2</v>
      </c>
      <c r="W38" t="n">
        <v>168</v>
      </c>
      <c r="X38" t="n">
        <v>166.5</v>
      </c>
      <c r="Y38" t="n">
        <v>162.8</v>
      </c>
      <c r="Z38" t="n">
        <v>168.8</v>
      </c>
      <c r="AA38" t="n">
        <v>188.8</v>
      </c>
      <c r="AB38" t="n">
        <v>215.5</v>
      </c>
      <c r="AC38" t="n">
        <v>219.8</v>
      </c>
      <c r="AD38" t="n">
        <v>249.1</v>
      </c>
      <c r="AE38" t="n">
        <v>293.7</v>
      </c>
      <c r="AF38" t="n">
        <v>334.6</v>
      </c>
    </row>
    <row r="39">
      <c r="A39" t="s">
        <v>134</v>
      </c>
      <c r="B39" t="s">
        <v>348</v>
      </c>
      <c r="C39" t="s">
        <v>217</v>
      </c>
      <c r="D39" t="s">
        <v>349</v>
      </c>
      <c r="E39" t="s">
        <v>218</v>
      </c>
      <c r="F39" t="n">
        <v>85.8</v>
      </c>
      <c r="G39" t="n">
        <v>82.7</v>
      </c>
      <c r="H39" t="n">
        <v>79</v>
      </c>
      <c r="I39" t="n">
        <v>77</v>
      </c>
      <c r="J39" t="n">
        <v>77.8</v>
      </c>
      <c r="K39" t="n">
        <v>80.7</v>
      </c>
      <c r="L39" t="n">
        <v>88.1</v>
      </c>
      <c r="M39" t="n">
        <v>93.5</v>
      </c>
      <c r="N39" t="n">
        <v>98.6</v>
      </c>
      <c r="O39" t="n">
        <v>105.1</v>
      </c>
      <c r="P39" t="n">
        <v>113.8</v>
      </c>
      <c r="Q39" t="n">
        <v>122.4</v>
      </c>
      <c r="R39" t="n">
        <v>132.8</v>
      </c>
      <c r="S39" t="n">
        <v>137.5</v>
      </c>
      <c r="T39" t="n">
        <v>153.3</v>
      </c>
      <c r="U39" t="n">
        <v>160.4</v>
      </c>
      <c r="V39" t="n">
        <v>157.2</v>
      </c>
      <c r="W39" t="n">
        <v>160.4</v>
      </c>
      <c r="X39" t="n">
        <v>162.8</v>
      </c>
      <c r="Y39" t="n">
        <v>162.3</v>
      </c>
      <c r="Z39" t="n">
        <v>207.9</v>
      </c>
      <c r="AA39" t="n">
        <v>273.9</v>
      </c>
      <c r="AB39" t="n">
        <v>307.1</v>
      </c>
      <c r="AC39" t="n">
        <v>347.1</v>
      </c>
      <c r="AD39" t="n">
        <v>371.8</v>
      </c>
      <c r="AE39" t="n">
        <v>392.7</v>
      </c>
      <c r="AF39" t="n">
        <v>404</v>
      </c>
    </row>
    <row r="40">
      <c r="A40" t="s">
        <v>134</v>
      </c>
      <c r="B40" t="s">
        <v>350</v>
      </c>
      <c r="C40" t="s">
        <v>217</v>
      </c>
      <c r="D40" t="s">
        <v>351</v>
      </c>
      <c r="E40" t="s">
        <v>218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0.1</v>
      </c>
      <c r="AB40" t="n">
        <v>0.1</v>
      </c>
      <c r="AC40" t="n">
        <v>0.1</v>
      </c>
      <c r="AD40" t="n">
        <v>0.2</v>
      </c>
      <c r="AE40" t="n">
        <v>0.1</v>
      </c>
      <c r="AF40" t="n">
        <v>0.1</v>
      </c>
    </row>
    <row r="41">
      <c r="A41" t="s">
        <v>134</v>
      </c>
      <c r="B41" t="s">
        <v>352</v>
      </c>
      <c r="C41" t="s">
        <v>217</v>
      </c>
      <c r="D41" t="s">
        <v>353</v>
      </c>
      <c r="E41" t="s">
        <v>218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134</v>
      </c>
      <c r="B42" t="s">
        <v>354</v>
      </c>
      <c r="C42" t="s">
        <v>217</v>
      </c>
      <c r="D42" t="s">
        <v>355</v>
      </c>
      <c r="E42" t="s">
        <v>218</v>
      </c>
      <c r="F42" t="n">
        <v>203.8</v>
      </c>
      <c r="G42" t="n">
        <v>243.9</v>
      </c>
      <c r="H42" t="n">
        <v>285.5</v>
      </c>
      <c r="I42" t="n">
        <v>334.4</v>
      </c>
      <c r="J42" t="n">
        <v>396</v>
      </c>
      <c r="K42" t="n">
        <v>448.8</v>
      </c>
      <c r="L42" t="n">
        <v>511.2</v>
      </c>
      <c r="M42" t="n">
        <v>564.4</v>
      </c>
      <c r="N42" t="n">
        <v>620.4</v>
      </c>
      <c r="O42" t="n">
        <v>677.7</v>
      </c>
      <c r="P42" t="n">
        <v>747.8</v>
      </c>
      <c r="Q42" t="n">
        <v>817.8</v>
      </c>
      <c r="R42" t="n">
        <v>899.5</v>
      </c>
      <c r="S42" t="n">
        <v>970.4</v>
      </c>
      <c r="T42" t="n">
        <v>1072.8</v>
      </c>
      <c r="U42" t="n">
        <v>1097.1</v>
      </c>
      <c r="V42" t="n">
        <v>1076.1</v>
      </c>
      <c r="W42" t="n">
        <v>1103.3</v>
      </c>
      <c r="X42" t="n">
        <v>1130.2</v>
      </c>
      <c r="Y42" t="n">
        <v>1136.8</v>
      </c>
      <c r="Z42" t="n">
        <v>1138.6</v>
      </c>
      <c r="AA42" t="n">
        <v>1120.7</v>
      </c>
      <c r="AB42" t="n">
        <v>1126.5</v>
      </c>
      <c r="AC42" t="n">
        <v>1132.7</v>
      </c>
      <c r="AD42" t="n">
        <v>1170.3</v>
      </c>
      <c r="AE42" t="n">
        <v>1225.7</v>
      </c>
      <c r="AF42" t="n">
        <v>1274.1</v>
      </c>
    </row>
    <row r="43">
      <c r="A43" t="s">
        <v>134</v>
      </c>
      <c r="B43" t="s">
        <v>356</v>
      </c>
      <c r="C43" t="s">
        <v>217</v>
      </c>
      <c r="D43" t="s">
        <v>357</v>
      </c>
      <c r="E43" t="s">
        <v>218</v>
      </c>
      <c r="F43" t="n">
        <v>204</v>
      </c>
      <c r="G43" t="n">
        <v>244.2</v>
      </c>
      <c r="H43" t="n">
        <v>285.8</v>
      </c>
      <c r="I43" t="n">
        <v>334.8</v>
      </c>
      <c r="J43" t="n">
        <v>396.5</v>
      </c>
      <c r="K43" t="n">
        <v>449.4</v>
      </c>
      <c r="L43" t="n">
        <v>512</v>
      </c>
      <c r="M43" t="n">
        <v>565.2</v>
      </c>
      <c r="N43" t="n">
        <v>621.3</v>
      </c>
      <c r="O43" t="n">
        <v>678.7</v>
      </c>
      <c r="P43" t="n">
        <v>749</v>
      </c>
      <c r="Q43" t="n">
        <v>819.1</v>
      </c>
      <c r="R43" t="n">
        <v>901.1</v>
      </c>
      <c r="S43" t="n">
        <v>972.1</v>
      </c>
      <c r="T43" t="n">
        <v>1074.7</v>
      </c>
      <c r="U43" t="n">
        <v>1099.2</v>
      </c>
      <c r="V43" t="n">
        <v>1078.2</v>
      </c>
      <c r="W43" t="n">
        <v>1105.3</v>
      </c>
      <c r="X43" t="n">
        <v>1132.2</v>
      </c>
      <c r="Y43" t="n">
        <v>1138.8</v>
      </c>
      <c r="Z43" t="n">
        <v>1140.2</v>
      </c>
      <c r="AA43" t="n">
        <v>1122</v>
      </c>
      <c r="AB43" t="n">
        <v>1129.1</v>
      </c>
      <c r="AC43" t="n">
        <v>1135.1</v>
      </c>
      <c r="AD43" t="n">
        <v>1172.4</v>
      </c>
      <c r="AE43" t="n">
        <v>1229.2</v>
      </c>
      <c r="AF43" t="n">
        <v>1278.9</v>
      </c>
    </row>
    <row r="44">
      <c r="A44" t="s">
        <v>134</v>
      </c>
      <c r="B44" t="s">
        <v>358</v>
      </c>
      <c r="C44" t="s">
        <v>217</v>
      </c>
      <c r="D44" t="s">
        <v>359</v>
      </c>
      <c r="E44" t="s">
        <v>218</v>
      </c>
      <c r="F44" t="n">
        <v>434.5</v>
      </c>
      <c r="G44" t="n">
        <v>510.5</v>
      </c>
      <c r="H44" t="n">
        <v>582.6</v>
      </c>
      <c r="I44" t="n">
        <v>679.7</v>
      </c>
      <c r="J44" t="n">
        <v>810.2</v>
      </c>
      <c r="K44" t="n">
        <v>930.1</v>
      </c>
      <c r="L44" t="n">
        <v>1084</v>
      </c>
      <c r="M44" t="n">
        <v>1203.3</v>
      </c>
      <c r="N44" t="n">
        <v>1327.4</v>
      </c>
      <c r="O44" t="n">
        <v>1460.2</v>
      </c>
      <c r="P44" t="n">
        <v>1625</v>
      </c>
      <c r="Q44" t="n">
        <v>1794.4</v>
      </c>
      <c r="R44" t="n">
        <v>2014.8</v>
      </c>
      <c r="S44" t="n">
        <v>2165</v>
      </c>
      <c r="T44" t="n">
        <v>2416</v>
      </c>
      <c r="U44" t="n">
        <v>2530.6</v>
      </c>
      <c r="V44" t="n">
        <v>2486.6</v>
      </c>
      <c r="W44" t="n">
        <v>2511.4</v>
      </c>
      <c r="X44" t="n">
        <v>2533.5</v>
      </c>
      <c r="Y44" t="n">
        <v>2515.1</v>
      </c>
      <c r="Z44" t="n">
        <v>2523.7</v>
      </c>
      <c r="AA44" t="n">
        <v>2616.4</v>
      </c>
      <c r="AB44" t="n">
        <v>2788.9</v>
      </c>
      <c r="AC44" t="n">
        <v>2901.4</v>
      </c>
      <c r="AD44" t="n">
        <v>3123.1</v>
      </c>
      <c r="AE44" t="n">
        <v>3395.7</v>
      </c>
      <c r="AF44" t="n">
        <v>3637.7</v>
      </c>
    </row>
    <row r="45">
      <c r="A45" t="s">
        <v>134</v>
      </c>
      <c r="B45" t="s">
        <v>360</v>
      </c>
      <c r="C45" t="s">
        <v>217</v>
      </c>
      <c r="D45" t="s">
        <v>361</v>
      </c>
      <c r="E45" t="s">
        <v>218</v>
      </c>
      <c r="F45" t="n">
        <v>433.7</v>
      </c>
      <c r="G45" t="n">
        <v>509.5</v>
      </c>
      <c r="H45" t="n">
        <v>581.4</v>
      </c>
      <c r="I45" t="n">
        <v>678.3</v>
      </c>
      <c r="J45" t="n">
        <v>808.5</v>
      </c>
      <c r="K45" t="n">
        <v>928</v>
      </c>
      <c r="L45" t="n">
        <v>1081.4</v>
      </c>
      <c r="M45" t="n">
        <v>1200.3</v>
      </c>
      <c r="N45" t="n">
        <v>1324</v>
      </c>
      <c r="O45" t="n">
        <v>1456.5</v>
      </c>
      <c r="P45" t="n">
        <v>1620.8</v>
      </c>
      <c r="Q45" t="n">
        <v>1789.8</v>
      </c>
      <c r="R45" t="n">
        <v>2009.6</v>
      </c>
      <c r="S45" t="n">
        <v>2159.5</v>
      </c>
      <c r="T45" t="n">
        <v>2409.9</v>
      </c>
      <c r="U45" t="n">
        <v>2524.1</v>
      </c>
      <c r="V45" t="n">
        <v>2480.2</v>
      </c>
      <c r="W45" t="n">
        <v>2505.1</v>
      </c>
      <c r="X45" t="n">
        <v>2527.3</v>
      </c>
      <c r="Y45" t="n">
        <v>2509</v>
      </c>
      <c r="Z45" t="n">
        <v>2517.9</v>
      </c>
      <c r="AA45" t="n">
        <v>2610.6</v>
      </c>
      <c r="AB45" t="n">
        <v>2782.3</v>
      </c>
      <c r="AC45" t="n">
        <v>2894.7</v>
      </c>
      <c r="AD45" t="n">
        <v>3113.1</v>
      </c>
      <c r="AE45" t="n">
        <v>3382</v>
      </c>
      <c r="AF45" t="n">
        <v>3620.6</v>
      </c>
    </row>
    <row r="46">
      <c r="A46" t="s">
        <v>134</v>
      </c>
      <c r="B46" t="s">
        <v>362</v>
      </c>
      <c r="C46" t="s">
        <v>217</v>
      </c>
      <c r="D46" t="s">
        <v>363</v>
      </c>
      <c r="E46" t="s">
        <v>218</v>
      </c>
      <c r="F46" t="n">
        <v>0.2</v>
      </c>
      <c r="G46" t="n">
        <v>0.3</v>
      </c>
      <c r="H46" t="n">
        <v>0.3</v>
      </c>
      <c r="I46" t="n">
        <v>0.4</v>
      </c>
      <c r="J46" t="n">
        <v>0.5</v>
      </c>
      <c r="K46" t="n">
        <v>0.6</v>
      </c>
      <c r="L46" t="n">
        <v>0.8</v>
      </c>
      <c r="M46" t="n">
        <v>0.8</v>
      </c>
      <c r="N46" t="n">
        <v>0.9</v>
      </c>
      <c r="O46" t="n">
        <v>1</v>
      </c>
      <c r="P46" t="n">
        <v>1.2</v>
      </c>
      <c r="Q46" t="n">
        <v>1.3</v>
      </c>
      <c r="R46" t="n">
        <v>1.6</v>
      </c>
      <c r="S46" t="n">
        <v>1.7</v>
      </c>
      <c r="T46" t="n">
        <v>1.9</v>
      </c>
      <c r="U46" t="n">
        <v>2.1</v>
      </c>
      <c r="V46" t="n">
        <v>2.1</v>
      </c>
      <c r="W46" t="n">
        <v>2</v>
      </c>
      <c r="X46" t="n">
        <v>2</v>
      </c>
      <c r="Y46" t="n">
        <v>2</v>
      </c>
      <c r="Z46" t="n">
        <v>1.6</v>
      </c>
      <c r="AA46" t="n">
        <v>1.3</v>
      </c>
      <c r="AB46" t="n">
        <v>2.6</v>
      </c>
      <c r="AC46" t="n">
        <v>2.4</v>
      </c>
      <c r="AD46" t="n">
        <v>2.1</v>
      </c>
      <c r="AE46" t="n">
        <v>3.5</v>
      </c>
      <c r="AF46" t="n">
        <v>4.8</v>
      </c>
    </row>
    <row r="47">
      <c r="A47" t="s">
        <v>134</v>
      </c>
      <c r="B47" t="s">
        <v>364</v>
      </c>
      <c r="C47" t="s">
        <v>217</v>
      </c>
      <c r="D47" t="s">
        <v>365</v>
      </c>
      <c r="E47" t="s">
        <v>218</v>
      </c>
      <c r="F47" t="n">
        <v>103.4</v>
      </c>
      <c r="G47" t="n">
        <v>122.5</v>
      </c>
      <c r="H47" t="n">
        <v>143.5</v>
      </c>
      <c r="I47" t="n">
        <v>167.3</v>
      </c>
      <c r="J47" t="n">
        <v>196.6</v>
      </c>
      <c r="K47" t="n">
        <v>219.2</v>
      </c>
      <c r="L47" t="n">
        <v>243</v>
      </c>
      <c r="M47" t="n">
        <v>266</v>
      </c>
      <c r="N47" t="n">
        <v>291.4</v>
      </c>
      <c r="O47" t="n">
        <v>317.5</v>
      </c>
      <c r="P47" t="n">
        <v>349.3</v>
      </c>
      <c r="Q47" t="n">
        <v>380.5</v>
      </c>
      <c r="R47" t="n">
        <v>420.1</v>
      </c>
      <c r="S47" t="n">
        <v>473.4</v>
      </c>
      <c r="T47" t="n">
        <v>532.3</v>
      </c>
      <c r="U47" t="n">
        <v>542.1</v>
      </c>
      <c r="V47" t="n">
        <v>523.8</v>
      </c>
      <c r="W47" t="n">
        <v>542.7</v>
      </c>
      <c r="X47" t="n">
        <v>560.8</v>
      </c>
      <c r="Y47" t="n">
        <v>569</v>
      </c>
      <c r="Z47" t="n">
        <v>632.9</v>
      </c>
      <c r="AA47" t="n">
        <v>658.6</v>
      </c>
      <c r="AB47" t="n">
        <v>660.6</v>
      </c>
      <c r="AC47" t="n">
        <v>697.6</v>
      </c>
      <c r="AD47" t="n">
        <v>704.4</v>
      </c>
      <c r="AE47" t="n">
        <v>715.5</v>
      </c>
      <c r="AF47" t="n">
        <v>724.7</v>
      </c>
    </row>
    <row r="48">
      <c r="A48" t="s">
        <v>134</v>
      </c>
      <c r="B48" t="s">
        <v>366</v>
      </c>
      <c r="C48" t="s">
        <v>217</v>
      </c>
      <c r="D48" t="s">
        <v>367</v>
      </c>
      <c r="E48" t="s">
        <v>218</v>
      </c>
      <c r="F48" t="n">
        <v>630.3</v>
      </c>
      <c r="G48" t="n">
        <v>747.6</v>
      </c>
      <c r="H48" t="n">
        <v>875.4</v>
      </c>
      <c r="I48" t="n">
        <v>1021.6</v>
      </c>
      <c r="J48" t="n">
        <v>1202.9</v>
      </c>
      <c r="K48" t="n">
        <v>1343.6</v>
      </c>
      <c r="L48" t="n">
        <v>1493.6</v>
      </c>
      <c r="M48" t="n">
        <v>1636.3</v>
      </c>
      <c r="N48" t="n">
        <v>1793</v>
      </c>
      <c r="O48" t="n">
        <v>1954.7</v>
      </c>
      <c r="P48" t="n">
        <v>2151.4</v>
      </c>
      <c r="Q48" t="n">
        <v>2343.3</v>
      </c>
      <c r="R48" t="n">
        <v>2572.6</v>
      </c>
      <c r="S48" t="n">
        <v>2822.1</v>
      </c>
      <c r="T48" t="n">
        <v>3130</v>
      </c>
      <c r="U48" t="n">
        <v>3171.6</v>
      </c>
      <c r="V48" t="n">
        <v>3108.6</v>
      </c>
      <c r="W48" t="n">
        <v>3221</v>
      </c>
      <c r="X48" t="n">
        <v>3335.2</v>
      </c>
      <c r="Y48" t="n">
        <v>3389.7</v>
      </c>
      <c r="Z48" t="n">
        <v>3499.2</v>
      </c>
      <c r="AA48" t="n">
        <v>3466.6</v>
      </c>
      <c r="AB48" t="n">
        <v>3501.6</v>
      </c>
      <c r="AC48" t="n">
        <v>3638.7</v>
      </c>
      <c r="AD48" t="n">
        <v>3827.2</v>
      </c>
      <c r="AE48" t="n">
        <v>4049.1</v>
      </c>
      <c r="AF48" t="n">
        <v>4235</v>
      </c>
    </row>
    <row r="49">
      <c r="A49" t="s">
        <v>134</v>
      </c>
      <c r="B49" t="s">
        <v>368</v>
      </c>
      <c r="C49" t="s">
        <v>217</v>
      </c>
      <c r="D49" t="s">
        <v>369</v>
      </c>
      <c r="E49" t="s">
        <v>218</v>
      </c>
      <c r="F49" t="n">
        <v>497</v>
      </c>
      <c r="G49" t="n">
        <v>589.4</v>
      </c>
      <c r="H49" t="n">
        <v>690.1</v>
      </c>
      <c r="I49" t="n">
        <v>805.7</v>
      </c>
      <c r="J49" t="n">
        <v>949.1</v>
      </c>
      <c r="K49" t="n">
        <v>1060.2</v>
      </c>
      <c r="L49" t="n">
        <v>1178.5</v>
      </c>
      <c r="M49" t="n">
        <v>1291</v>
      </c>
      <c r="N49" t="n">
        <v>1414.6</v>
      </c>
      <c r="O49" t="n">
        <v>1542.3</v>
      </c>
      <c r="P49" t="n">
        <v>1697.9</v>
      </c>
      <c r="Q49" t="n">
        <v>1849.3</v>
      </c>
      <c r="R49" t="n">
        <v>2027</v>
      </c>
      <c r="S49" t="n">
        <v>2212.3</v>
      </c>
      <c r="T49" t="n">
        <v>2446.6</v>
      </c>
      <c r="U49" t="n">
        <v>2475.2</v>
      </c>
      <c r="V49" t="n">
        <v>2433.2</v>
      </c>
      <c r="W49" t="n">
        <v>2521.8</v>
      </c>
      <c r="X49" t="n">
        <v>2613.1</v>
      </c>
      <c r="Y49" t="n">
        <v>2657.9</v>
      </c>
      <c r="Z49" t="n">
        <v>2654.5</v>
      </c>
      <c r="AA49" t="n">
        <v>2571.3</v>
      </c>
      <c r="AB49" t="n">
        <v>2469.9</v>
      </c>
      <c r="AC49" t="n">
        <v>2464.3</v>
      </c>
      <c r="AD49" t="n">
        <v>2524.2</v>
      </c>
      <c r="AE49" t="n">
        <v>2631.7</v>
      </c>
      <c r="AF49" t="n">
        <v>2721.4</v>
      </c>
    </row>
    <row r="50">
      <c r="A50" t="s">
        <v>134</v>
      </c>
      <c r="B50" t="s">
        <v>370</v>
      </c>
      <c r="C50" t="s">
        <v>217</v>
      </c>
      <c r="D50" t="s">
        <v>371</v>
      </c>
      <c r="E50" t="s">
        <v>218</v>
      </c>
      <c r="F50" t="n">
        <v>30</v>
      </c>
      <c r="G50" t="n">
        <v>35.7</v>
      </c>
      <c r="H50" t="n">
        <v>41.7</v>
      </c>
      <c r="I50" t="n">
        <v>48.6</v>
      </c>
      <c r="J50" t="n">
        <v>57.1</v>
      </c>
      <c r="K50" t="n">
        <v>64.2</v>
      </c>
      <c r="L50" t="n">
        <v>72.2</v>
      </c>
      <c r="M50" t="n">
        <v>79.4</v>
      </c>
      <c r="N50" t="n">
        <v>87.1</v>
      </c>
      <c r="O50" t="n">
        <v>94.8</v>
      </c>
      <c r="P50" t="n">
        <v>104.2</v>
      </c>
      <c r="Q50" t="n">
        <v>113.5</v>
      </c>
      <c r="R50" t="n">
        <v>125.5</v>
      </c>
      <c r="S50" t="n">
        <v>136.4</v>
      </c>
      <c r="T50" t="n">
        <v>151.2</v>
      </c>
      <c r="U50" t="n">
        <v>154.2</v>
      </c>
      <c r="V50" t="n">
        <v>151.6</v>
      </c>
      <c r="W50" t="n">
        <v>156.5</v>
      </c>
      <c r="X50" t="n">
        <v>161.3</v>
      </c>
      <c r="Y50" t="n">
        <v>162.9</v>
      </c>
      <c r="Z50" t="n">
        <v>211.8</v>
      </c>
      <c r="AA50" t="n">
        <v>236.7</v>
      </c>
      <c r="AB50" t="n">
        <v>371.1</v>
      </c>
      <c r="AC50" t="n">
        <v>476.8</v>
      </c>
      <c r="AD50" t="n">
        <v>598.5</v>
      </c>
      <c r="AE50" t="n">
        <v>701.9</v>
      </c>
      <c r="AF50" t="n">
        <v>789</v>
      </c>
    </row>
    <row r="51">
      <c r="A51" t="s">
        <v>134</v>
      </c>
      <c r="B51" t="s">
        <v>372</v>
      </c>
      <c r="C51" t="s">
        <v>217</v>
      </c>
      <c r="D51" t="s">
        <v>373</v>
      </c>
      <c r="E51" t="s">
        <v>218</v>
      </c>
      <c r="F51" t="n">
        <v>30</v>
      </c>
      <c r="G51" t="n">
        <v>35.7</v>
      </c>
      <c r="H51" t="n">
        <v>41.7</v>
      </c>
      <c r="I51" t="n">
        <v>48.6</v>
      </c>
      <c r="J51" t="n">
        <v>57.1</v>
      </c>
      <c r="K51" t="n">
        <v>64.2</v>
      </c>
      <c r="L51" t="n">
        <v>72.2</v>
      </c>
      <c r="M51" t="n">
        <v>79.4</v>
      </c>
      <c r="N51" t="n">
        <v>87.1</v>
      </c>
      <c r="O51" t="n">
        <v>94.8</v>
      </c>
      <c r="P51" t="n">
        <v>104.2</v>
      </c>
      <c r="Q51" t="n">
        <v>113.5</v>
      </c>
      <c r="R51" t="n">
        <v>125.5</v>
      </c>
      <c r="S51" t="n">
        <v>136.4</v>
      </c>
      <c r="T51" t="n">
        <v>151.2</v>
      </c>
      <c r="U51" t="n">
        <v>154.2</v>
      </c>
      <c r="V51" t="n">
        <v>151.6</v>
      </c>
      <c r="W51" t="n">
        <v>156.5</v>
      </c>
      <c r="X51" t="n">
        <v>161.3</v>
      </c>
      <c r="Y51" t="n">
        <v>162.9</v>
      </c>
      <c r="Z51" t="n">
        <v>211.7</v>
      </c>
      <c r="AA51" t="n">
        <v>236.4</v>
      </c>
      <c r="AB51" t="n">
        <v>370.2</v>
      </c>
      <c r="AC51" t="n">
        <v>475.9</v>
      </c>
      <c r="AD51" t="n">
        <v>597.6</v>
      </c>
      <c r="AE51" t="n">
        <v>700.8</v>
      </c>
      <c r="AF51" t="n">
        <v>787.7</v>
      </c>
    </row>
    <row r="52">
      <c r="A52" t="s">
        <v>134</v>
      </c>
      <c r="B52" t="s">
        <v>374</v>
      </c>
      <c r="C52" t="s">
        <v>217</v>
      </c>
      <c r="D52" t="s">
        <v>375</v>
      </c>
      <c r="E52" t="s">
        <v>218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0.1</v>
      </c>
      <c r="AA52" t="n">
        <v>0.3</v>
      </c>
      <c r="AB52" t="n">
        <v>0.9</v>
      </c>
      <c r="AC52" t="n">
        <v>0.9</v>
      </c>
      <c r="AD52" t="n">
        <v>0.9</v>
      </c>
      <c r="AE52" t="n">
        <v>1.1</v>
      </c>
      <c r="AF52" t="n">
        <v>1.3</v>
      </c>
    </row>
    <row r="53">
      <c r="A53" t="s">
        <v>134</v>
      </c>
      <c r="B53" t="s">
        <v>376</v>
      </c>
      <c r="C53" t="s">
        <v>217</v>
      </c>
      <c r="D53" t="s">
        <v>377</v>
      </c>
      <c r="E53" t="s">
        <v>218</v>
      </c>
      <c r="F53" t="n">
        <v>5.4</v>
      </c>
      <c r="G53" t="n">
        <v>6.6</v>
      </c>
      <c r="H53" t="n">
        <v>7.6</v>
      </c>
      <c r="I53" t="n">
        <v>9</v>
      </c>
      <c r="J53" t="n">
        <v>10.7</v>
      </c>
      <c r="K53" t="n">
        <v>12.5</v>
      </c>
      <c r="L53" t="n">
        <v>15</v>
      </c>
      <c r="M53" t="n">
        <v>16.8</v>
      </c>
      <c r="N53" t="n">
        <v>18.5</v>
      </c>
      <c r="O53" t="n">
        <v>20.3</v>
      </c>
      <c r="P53" t="n">
        <v>22.3</v>
      </c>
      <c r="Q53" t="n">
        <v>24.5</v>
      </c>
      <c r="R53" t="n">
        <v>27.1</v>
      </c>
      <c r="S53" t="n">
        <v>28.4</v>
      </c>
      <c r="T53" t="n">
        <v>31.2</v>
      </c>
      <c r="U53" t="n">
        <v>32.6</v>
      </c>
      <c r="V53" t="n">
        <v>31.8</v>
      </c>
      <c r="W53" t="n">
        <v>31.8</v>
      </c>
      <c r="X53" t="n">
        <v>31.8</v>
      </c>
      <c r="Y53" t="n">
        <v>30.9</v>
      </c>
      <c r="Z53" t="n">
        <v>25</v>
      </c>
      <c r="AA53" t="n">
        <v>21.1</v>
      </c>
      <c r="AB53" t="n">
        <v>17.9</v>
      </c>
      <c r="AC53" t="n">
        <v>16.7</v>
      </c>
      <c r="AD53" t="n">
        <v>16.4</v>
      </c>
      <c r="AE53" t="n">
        <v>16.2</v>
      </c>
      <c r="AF53" t="n">
        <v>15.9</v>
      </c>
    </row>
    <row r="54">
      <c r="A54" t="s">
        <v>134</v>
      </c>
      <c r="B54" t="s">
        <v>378</v>
      </c>
      <c r="C54" t="s">
        <v>217</v>
      </c>
      <c r="D54" t="s">
        <v>379</v>
      </c>
      <c r="E54" t="s">
        <v>218</v>
      </c>
      <c r="F54" t="n">
        <v>5.4</v>
      </c>
      <c r="G54" t="n">
        <v>6.7</v>
      </c>
      <c r="H54" t="n">
        <v>7.7</v>
      </c>
      <c r="I54" t="n">
        <v>9.1</v>
      </c>
      <c r="J54" t="n">
        <v>10.8</v>
      </c>
      <c r="K54" t="n">
        <v>12.6</v>
      </c>
      <c r="L54" t="n">
        <v>15.2</v>
      </c>
      <c r="M54" t="n">
        <v>17</v>
      </c>
      <c r="N54" t="n">
        <v>18.7</v>
      </c>
      <c r="O54" t="n">
        <v>20.5</v>
      </c>
      <c r="P54" t="n">
        <v>22.6</v>
      </c>
      <c r="Q54" t="n">
        <v>24.8</v>
      </c>
      <c r="R54" t="n">
        <v>28.1</v>
      </c>
      <c r="S54" t="n">
        <v>30.1</v>
      </c>
      <c r="T54" t="n">
        <v>33.6</v>
      </c>
      <c r="U54" t="n">
        <v>35.4</v>
      </c>
      <c r="V54" t="n">
        <v>34.8</v>
      </c>
      <c r="W54" t="n">
        <v>35</v>
      </c>
      <c r="X54" t="n">
        <v>35.3</v>
      </c>
      <c r="Y54" t="n">
        <v>34.6</v>
      </c>
      <c r="Z54" t="n">
        <v>42.8</v>
      </c>
      <c r="AA54" t="n">
        <v>50.9</v>
      </c>
      <c r="AB54" t="n">
        <v>53.5</v>
      </c>
      <c r="AC54" t="n">
        <v>47.6</v>
      </c>
      <c r="AD54" t="n">
        <v>44.2</v>
      </c>
      <c r="AE54" t="n">
        <v>39.7</v>
      </c>
      <c r="AF54" t="n">
        <v>35.7</v>
      </c>
    </row>
    <row r="55">
      <c r="A55" t="s">
        <v>134</v>
      </c>
      <c r="B55" t="s">
        <v>380</v>
      </c>
      <c r="C55" t="s">
        <v>217</v>
      </c>
      <c r="D55" t="s">
        <v>381</v>
      </c>
      <c r="E55" t="s">
        <v>218</v>
      </c>
      <c r="F55" t="n">
        <v>0</v>
      </c>
      <c r="G55" t="n">
        <v>0.1</v>
      </c>
      <c r="H55" t="n">
        <v>0.1</v>
      </c>
      <c r="I55" t="n">
        <v>0.1</v>
      </c>
      <c r="J55" t="n">
        <v>0.1</v>
      </c>
      <c r="K55" t="n">
        <v>0.1</v>
      </c>
      <c r="L55" t="n">
        <v>0.2</v>
      </c>
      <c r="M55" t="n">
        <v>0.2</v>
      </c>
      <c r="N55" t="n">
        <v>0.2</v>
      </c>
      <c r="O55" t="n">
        <v>0.2</v>
      </c>
      <c r="P55" t="n">
        <v>0.3</v>
      </c>
      <c r="Q55" t="n">
        <v>0.3</v>
      </c>
      <c r="R55" t="n">
        <v>1</v>
      </c>
      <c r="S55" t="n">
        <v>1.7</v>
      </c>
      <c r="T55" t="n">
        <v>2.4</v>
      </c>
      <c r="U55" t="n">
        <v>2.8</v>
      </c>
      <c r="V55" t="n">
        <v>3</v>
      </c>
      <c r="W55" t="n">
        <v>3.2</v>
      </c>
      <c r="X55" t="n">
        <v>3.5</v>
      </c>
      <c r="Y55" t="n">
        <v>3.7</v>
      </c>
      <c r="Z55" t="n">
        <v>17.8</v>
      </c>
      <c r="AA55" t="n">
        <v>29.8</v>
      </c>
      <c r="AB55" t="n">
        <v>35.6</v>
      </c>
      <c r="AC55" t="n">
        <v>30.9</v>
      </c>
      <c r="AD55" t="n">
        <v>27.8</v>
      </c>
      <c r="AE55" t="n">
        <v>23.5</v>
      </c>
      <c r="AF55" t="n">
        <v>19.8</v>
      </c>
    </row>
    <row r="56">
      <c r="A56" t="s">
        <v>134</v>
      </c>
      <c r="B56" t="s">
        <v>382</v>
      </c>
      <c r="C56" t="s">
        <v>217</v>
      </c>
      <c r="D56" t="s">
        <v>383</v>
      </c>
      <c r="E56" t="s">
        <v>218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134</v>
      </c>
      <c r="B57" t="s">
        <v>384</v>
      </c>
      <c r="C57" t="s">
        <v>217</v>
      </c>
      <c r="D57" t="s">
        <v>385</v>
      </c>
      <c r="E57" t="s">
        <v>218</v>
      </c>
      <c r="F57" t="n">
        <v>1064.9</v>
      </c>
      <c r="G57" t="n">
        <v>1258.1</v>
      </c>
      <c r="H57" t="n">
        <v>1457.9</v>
      </c>
      <c r="I57" t="n">
        <v>1701.3</v>
      </c>
      <c r="J57" t="n">
        <v>2013</v>
      </c>
      <c r="K57" t="n">
        <v>2273.7</v>
      </c>
      <c r="L57" t="n">
        <v>2577.7</v>
      </c>
      <c r="M57" t="n">
        <v>2839.7</v>
      </c>
      <c r="N57" t="n">
        <v>3120.5</v>
      </c>
      <c r="O57" t="n">
        <v>3414.8</v>
      </c>
      <c r="P57" t="n">
        <v>3776.4</v>
      </c>
      <c r="Q57" t="n">
        <v>4137.7</v>
      </c>
      <c r="R57" t="n">
        <v>4587.4</v>
      </c>
      <c r="S57" t="n">
        <v>4987.1</v>
      </c>
      <c r="T57" t="n">
        <v>5546.1</v>
      </c>
      <c r="U57" t="n">
        <v>5702.1</v>
      </c>
      <c r="V57" t="n">
        <v>5595.2</v>
      </c>
      <c r="W57" t="n">
        <v>5732.4</v>
      </c>
      <c r="X57" t="n">
        <v>5868.7</v>
      </c>
      <c r="Y57" t="n">
        <v>5904.9</v>
      </c>
      <c r="Z57" t="n">
        <v>6022.9</v>
      </c>
      <c r="AA57" t="n">
        <v>6083.1</v>
      </c>
      <c r="AB57" t="n">
        <v>6290.6</v>
      </c>
      <c r="AC57" t="n">
        <v>6540.2</v>
      </c>
      <c r="AD57" t="n">
        <v>6950.4</v>
      </c>
      <c r="AE57" t="n">
        <v>7444.9</v>
      </c>
      <c r="AF57" t="n">
        <v>7872.9</v>
      </c>
    </row>
    <row r="58">
      <c r="A58" t="s">
        <v>134</v>
      </c>
      <c r="B58" t="s">
        <v>386</v>
      </c>
      <c r="C58" t="s">
        <v>217</v>
      </c>
      <c r="D58" t="s">
        <v>387</v>
      </c>
      <c r="E58" t="s">
        <v>218</v>
      </c>
      <c r="F58" t="n">
        <v>1064.9</v>
      </c>
      <c r="G58" t="n">
        <v>1258.1</v>
      </c>
      <c r="H58" t="n">
        <v>1457.9</v>
      </c>
      <c r="I58" t="n">
        <v>1701.3</v>
      </c>
      <c r="J58" t="n">
        <v>2013</v>
      </c>
      <c r="K58" t="n">
        <v>2273.7</v>
      </c>
      <c r="L58" t="n">
        <v>2577.7</v>
      </c>
      <c r="M58" t="n">
        <v>2839.7</v>
      </c>
      <c r="N58" t="n">
        <v>3120.5</v>
      </c>
      <c r="O58" t="n">
        <v>3414.8</v>
      </c>
      <c r="P58" t="n">
        <v>3776.4</v>
      </c>
      <c r="Q58" t="n">
        <v>4137.7</v>
      </c>
      <c r="R58" t="n">
        <v>4587.4</v>
      </c>
      <c r="S58" t="n">
        <v>4987.1</v>
      </c>
      <c r="T58" t="n">
        <v>5546.1</v>
      </c>
      <c r="U58" t="n">
        <v>5702.1</v>
      </c>
      <c r="V58" t="n">
        <v>5595.2</v>
      </c>
      <c r="W58" t="n">
        <v>5732.4</v>
      </c>
      <c r="X58" t="n">
        <v>5868.7</v>
      </c>
      <c r="Y58" t="n">
        <v>5904.9</v>
      </c>
      <c r="Z58" t="n">
        <v>6022.9</v>
      </c>
      <c r="AA58" t="n">
        <v>6083.1</v>
      </c>
      <c r="AB58" t="n">
        <v>6290.6</v>
      </c>
      <c r="AC58" t="n">
        <v>6540.2</v>
      </c>
      <c r="AD58" t="n">
        <v>6950.4</v>
      </c>
      <c r="AE58" t="n">
        <v>7444.9</v>
      </c>
      <c r="AF58" t="n">
        <v>7872.9</v>
      </c>
    </row>
    <row r="59">
      <c r="A59" t="s">
        <v>134</v>
      </c>
      <c r="B59" t="s">
        <v>388</v>
      </c>
      <c r="C59" t="s">
        <v>217</v>
      </c>
      <c r="D59" t="s">
        <v>389</v>
      </c>
      <c r="E59" t="s">
        <v>218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136</v>
      </c>
      <c r="B2" t="s">
        <v>197</v>
      </c>
      <c r="C2" t="s">
        <v>217</v>
      </c>
      <c r="D2" t="s">
        <v>199</v>
      </c>
      <c r="E2" t="s">
        <v>218</v>
      </c>
      <c r="F2" t="n">
        <v>188.3</v>
      </c>
      <c r="G2" t="n">
        <v>234.4</v>
      </c>
      <c r="H2" t="n">
        <v>330.5</v>
      </c>
      <c r="I2" t="n">
        <v>393.1</v>
      </c>
      <c r="J2" t="n">
        <v>511.6</v>
      </c>
      <c r="K2" t="n">
        <v>562.4</v>
      </c>
      <c r="L2" t="n">
        <v>541.7</v>
      </c>
      <c r="M2" t="n">
        <v>501.7</v>
      </c>
      <c r="N2" t="n">
        <v>473.7</v>
      </c>
      <c r="O2" t="n">
        <v>461.6</v>
      </c>
      <c r="P2" t="n">
        <v>444.3</v>
      </c>
      <c r="Q2" t="n">
        <v>429.8</v>
      </c>
      <c r="R2" t="n">
        <v>422</v>
      </c>
      <c r="S2" t="n">
        <v>414.4</v>
      </c>
      <c r="T2" t="n">
        <v>399.9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136</v>
      </c>
      <c r="B3" t="s">
        <v>276</v>
      </c>
      <c r="C3" t="s">
        <v>217</v>
      </c>
      <c r="D3" t="s">
        <v>277</v>
      </c>
      <c r="E3" t="s">
        <v>218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136</v>
      </c>
      <c r="B4" t="s">
        <v>278</v>
      </c>
      <c r="C4" t="s">
        <v>217</v>
      </c>
      <c r="D4" t="s">
        <v>279</v>
      </c>
      <c r="E4" t="s">
        <v>218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136</v>
      </c>
      <c r="B5" t="s">
        <v>280</v>
      </c>
      <c r="C5" t="s">
        <v>217</v>
      </c>
      <c r="D5" t="s">
        <v>281</v>
      </c>
      <c r="E5" t="s">
        <v>218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136</v>
      </c>
      <c r="B6" t="s">
        <v>282</v>
      </c>
      <c r="C6" t="s">
        <v>217</v>
      </c>
      <c r="D6" t="s">
        <v>283</v>
      </c>
      <c r="E6" t="s">
        <v>218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136</v>
      </c>
      <c r="B7" t="s">
        <v>284</v>
      </c>
      <c r="C7" t="s">
        <v>217</v>
      </c>
      <c r="D7" t="s">
        <v>285</v>
      </c>
      <c r="E7" t="s">
        <v>218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136</v>
      </c>
      <c r="B8" t="s">
        <v>286</v>
      </c>
      <c r="C8" t="s">
        <v>217</v>
      </c>
      <c r="D8" t="s">
        <v>287</v>
      </c>
      <c r="E8" t="s">
        <v>218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136</v>
      </c>
      <c r="B9" t="s">
        <v>288</v>
      </c>
      <c r="C9" t="s">
        <v>217</v>
      </c>
      <c r="D9" t="s">
        <v>289</v>
      </c>
      <c r="E9" t="s">
        <v>218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136</v>
      </c>
      <c r="B10" t="s">
        <v>290</v>
      </c>
      <c r="C10" t="s">
        <v>217</v>
      </c>
      <c r="D10" t="s">
        <v>291</v>
      </c>
      <c r="E10" t="s">
        <v>218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136</v>
      </c>
      <c r="B11" t="s">
        <v>292</v>
      </c>
      <c r="C11" t="s">
        <v>217</v>
      </c>
      <c r="D11" t="s">
        <v>293</v>
      </c>
      <c r="E11" t="s">
        <v>218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136</v>
      </c>
      <c r="B12" t="s">
        <v>294</v>
      </c>
      <c r="C12" t="s">
        <v>217</v>
      </c>
      <c r="D12" t="s">
        <v>295</v>
      </c>
      <c r="E12" t="s">
        <v>218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136</v>
      </c>
      <c r="B13" t="s">
        <v>296</v>
      </c>
      <c r="C13" t="s">
        <v>217</v>
      </c>
      <c r="D13" t="s">
        <v>297</v>
      </c>
      <c r="E13" t="s">
        <v>218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136</v>
      </c>
      <c r="B14" t="s">
        <v>298</v>
      </c>
      <c r="C14" t="s">
        <v>217</v>
      </c>
      <c r="D14" t="s">
        <v>299</v>
      </c>
      <c r="E14" t="s">
        <v>218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136</v>
      </c>
      <c r="B15" t="s">
        <v>300</v>
      </c>
      <c r="C15" t="s">
        <v>217</v>
      </c>
      <c r="D15" t="s">
        <v>301</v>
      </c>
      <c r="E15" t="s">
        <v>218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136</v>
      </c>
      <c r="B16" t="s">
        <v>302</v>
      </c>
      <c r="C16" t="s">
        <v>217</v>
      </c>
      <c r="D16" t="s">
        <v>303</v>
      </c>
      <c r="E16" t="s">
        <v>218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136</v>
      </c>
      <c r="B17" t="s">
        <v>304</v>
      </c>
      <c r="C17" t="s">
        <v>217</v>
      </c>
      <c r="D17" t="s">
        <v>305</v>
      </c>
      <c r="E17" t="s">
        <v>218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136</v>
      </c>
      <c r="B18" t="s">
        <v>306</v>
      </c>
      <c r="C18" t="s">
        <v>217</v>
      </c>
      <c r="D18" t="s">
        <v>307</v>
      </c>
      <c r="E18" t="s">
        <v>218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136</v>
      </c>
      <c r="B19" t="s">
        <v>308</v>
      </c>
      <c r="C19" t="s">
        <v>217</v>
      </c>
      <c r="D19" t="s">
        <v>309</v>
      </c>
      <c r="E19" t="s">
        <v>218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136</v>
      </c>
      <c r="B20" t="s">
        <v>310</v>
      </c>
      <c r="C20" t="s">
        <v>217</v>
      </c>
      <c r="D20" t="s">
        <v>311</v>
      </c>
      <c r="E20" t="s">
        <v>218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136</v>
      </c>
      <c r="B21" t="s">
        <v>312</v>
      </c>
      <c r="C21" t="s">
        <v>217</v>
      </c>
      <c r="D21" t="s">
        <v>313</v>
      </c>
      <c r="E21" t="s">
        <v>218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136</v>
      </c>
      <c r="B22" t="s">
        <v>314</v>
      </c>
      <c r="C22" t="s">
        <v>217</v>
      </c>
      <c r="D22" t="s">
        <v>315</v>
      </c>
      <c r="E22" t="s">
        <v>218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136</v>
      </c>
      <c r="B23" t="s">
        <v>316</v>
      </c>
      <c r="C23" t="s">
        <v>217</v>
      </c>
      <c r="D23" t="s">
        <v>317</v>
      </c>
      <c r="E23" t="s">
        <v>218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136</v>
      </c>
      <c r="B24" t="s">
        <v>318</v>
      </c>
      <c r="C24" t="s">
        <v>217</v>
      </c>
      <c r="D24" t="s">
        <v>319</v>
      </c>
      <c r="E24" t="s">
        <v>218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136</v>
      </c>
      <c r="B25" t="s">
        <v>320</v>
      </c>
      <c r="C25" t="s">
        <v>217</v>
      </c>
      <c r="D25" t="s">
        <v>321</v>
      </c>
      <c r="E25" t="s">
        <v>218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136</v>
      </c>
      <c r="B26" t="s">
        <v>322</v>
      </c>
      <c r="C26" t="s">
        <v>217</v>
      </c>
      <c r="D26" t="s">
        <v>323</v>
      </c>
      <c r="E26" t="s">
        <v>218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136</v>
      </c>
      <c r="B27" t="s">
        <v>324</v>
      </c>
      <c r="C27" t="s">
        <v>217</v>
      </c>
      <c r="D27" t="s">
        <v>325</v>
      </c>
      <c r="E27" t="s">
        <v>218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136</v>
      </c>
      <c r="B28" t="s">
        <v>326</v>
      </c>
      <c r="C28" t="s">
        <v>217</v>
      </c>
      <c r="D28" t="s">
        <v>327</v>
      </c>
      <c r="E28" t="s">
        <v>218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136</v>
      </c>
      <c r="B29" t="s">
        <v>328</v>
      </c>
      <c r="C29" t="s">
        <v>217</v>
      </c>
      <c r="D29" t="s">
        <v>329</v>
      </c>
      <c r="E29" t="s">
        <v>218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136</v>
      </c>
      <c r="B30" t="s">
        <v>330</v>
      </c>
      <c r="C30" t="s">
        <v>217</v>
      </c>
      <c r="D30" t="s">
        <v>331</v>
      </c>
      <c r="E30" t="s">
        <v>218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136</v>
      </c>
      <c r="B31" t="s">
        <v>332</v>
      </c>
      <c r="C31" t="s">
        <v>217</v>
      </c>
      <c r="D31" t="s">
        <v>333</v>
      </c>
      <c r="E31" t="s">
        <v>218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136</v>
      </c>
      <c r="B32" t="s">
        <v>334</v>
      </c>
      <c r="C32" t="s">
        <v>217</v>
      </c>
      <c r="D32" t="s">
        <v>335</v>
      </c>
      <c r="E32" t="s">
        <v>218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136</v>
      </c>
      <c r="B33" t="s">
        <v>336</v>
      </c>
      <c r="C33" t="s">
        <v>217</v>
      </c>
      <c r="D33" t="s">
        <v>337</v>
      </c>
      <c r="E33" t="s">
        <v>218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136</v>
      </c>
      <c r="B34" t="s">
        <v>338</v>
      </c>
      <c r="C34" t="s">
        <v>217</v>
      </c>
      <c r="D34" t="s">
        <v>339</v>
      </c>
      <c r="E34" t="s">
        <v>218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136</v>
      </c>
      <c r="B35" t="s">
        <v>340</v>
      </c>
      <c r="C35" t="s">
        <v>217</v>
      </c>
      <c r="D35" t="s">
        <v>341</v>
      </c>
      <c r="E35" t="s">
        <v>218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s">
        <v>136</v>
      </c>
      <c r="B36" t="s">
        <v>342</v>
      </c>
      <c r="C36" t="s">
        <v>217</v>
      </c>
      <c r="D36" t="s">
        <v>343</v>
      </c>
      <c r="E36" t="s">
        <v>218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136</v>
      </c>
      <c r="B37" t="s">
        <v>344</v>
      </c>
      <c r="C37" t="s">
        <v>217</v>
      </c>
      <c r="D37" t="s">
        <v>345</v>
      </c>
      <c r="E37" t="s">
        <v>218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136</v>
      </c>
      <c r="B38" t="s">
        <v>346</v>
      </c>
      <c r="C38" t="s">
        <v>217</v>
      </c>
      <c r="D38" t="s">
        <v>347</v>
      </c>
      <c r="E38" t="s">
        <v>218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136</v>
      </c>
      <c r="B39" t="s">
        <v>348</v>
      </c>
      <c r="C39" t="s">
        <v>217</v>
      </c>
      <c r="D39" t="s">
        <v>349</v>
      </c>
      <c r="E39" t="s">
        <v>218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136</v>
      </c>
      <c r="B40" t="s">
        <v>350</v>
      </c>
      <c r="C40" t="s">
        <v>217</v>
      </c>
      <c r="D40" t="s">
        <v>351</v>
      </c>
      <c r="E40" t="s">
        <v>218</v>
      </c>
      <c r="F40" t="n">
        <v>1092.2</v>
      </c>
      <c r="G40" t="n">
        <v>1250.1</v>
      </c>
      <c r="H40" t="n">
        <v>1625.7</v>
      </c>
      <c r="I40" t="n">
        <v>1865.6</v>
      </c>
      <c r="J40" t="n">
        <v>2314.1</v>
      </c>
      <c r="K40" t="n">
        <v>2450.2</v>
      </c>
      <c r="L40" t="n">
        <v>2368.5</v>
      </c>
      <c r="M40" t="n">
        <v>2210.3</v>
      </c>
      <c r="N40" t="n">
        <v>2287.2</v>
      </c>
      <c r="O40" t="n">
        <v>2367</v>
      </c>
      <c r="P40" t="n">
        <v>2570.5</v>
      </c>
      <c r="Q40" t="n">
        <v>2727.6</v>
      </c>
      <c r="R40" t="n">
        <v>3236.5</v>
      </c>
      <c r="S40" t="n">
        <v>3325.9</v>
      </c>
      <c r="T40" t="n">
        <v>3299.6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0.1</v>
      </c>
      <c r="AA40" t="n">
        <v>0</v>
      </c>
      <c r="AB40" t="n">
        <v>0</v>
      </c>
      <c r="AC40" t="n">
        <v>0</v>
      </c>
      <c r="AD40" t="n">
        <v>-0.1</v>
      </c>
      <c r="AE40" t="n">
        <v>0.1</v>
      </c>
      <c r="AF40" t="n">
        <v>0</v>
      </c>
    </row>
    <row r="41">
      <c r="A41" t="s">
        <v>136</v>
      </c>
      <c r="B41" t="s">
        <v>352</v>
      </c>
      <c r="C41" t="s">
        <v>217</v>
      </c>
      <c r="D41" t="s">
        <v>353</v>
      </c>
      <c r="E41" t="s">
        <v>218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136</v>
      </c>
      <c r="B42" t="s">
        <v>354</v>
      </c>
      <c r="C42" t="s">
        <v>217</v>
      </c>
      <c r="D42" t="s">
        <v>355</v>
      </c>
      <c r="E42" t="s">
        <v>218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136</v>
      </c>
      <c r="B43" t="s">
        <v>356</v>
      </c>
      <c r="C43" t="s">
        <v>217</v>
      </c>
      <c r="D43" t="s">
        <v>357</v>
      </c>
      <c r="E43" t="s">
        <v>218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136</v>
      </c>
      <c r="B44" t="s">
        <v>358</v>
      </c>
      <c r="C44" t="s">
        <v>217</v>
      </c>
      <c r="D44" t="s">
        <v>359</v>
      </c>
      <c r="E44" t="s">
        <v>218</v>
      </c>
      <c r="F44" t="n">
        <v>506.8</v>
      </c>
      <c r="G44" t="n">
        <v>550.1</v>
      </c>
      <c r="H44" t="n">
        <v>664.7</v>
      </c>
      <c r="I44" t="n">
        <v>731.2</v>
      </c>
      <c r="J44" t="n">
        <v>867.1</v>
      </c>
      <c r="K44" t="n">
        <v>930.3</v>
      </c>
      <c r="L44" t="n">
        <v>911.6</v>
      </c>
      <c r="M44" t="n">
        <v>1022.4</v>
      </c>
      <c r="N44" t="n">
        <v>970.5</v>
      </c>
      <c r="O44" t="n">
        <v>942.4</v>
      </c>
      <c r="P44" t="n">
        <v>910.1</v>
      </c>
      <c r="Q44" t="n">
        <v>915.5</v>
      </c>
      <c r="R44" t="n">
        <v>920.2</v>
      </c>
      <c r="S44" t="n">
        <v>919</v>
      </c>
      <c r="T44" t="n">
        <v>914.5</v>
      </c>
      <c r="U44" t="n">
        <v>850.4</v>
      </c>
      <c r="V44" t="n">
        <v>309.4</v>
      </c>
      <c r="W44" t="n">
        <v>294.1</v>
      </c>
      <c r="X44" t="n">
        <v>262.4</v>
      </c>
      <c r="Y44" t="n">
        <v>257.3</v>
      </c>
      <c r="Z44" t="n">
        <v>248.2</v>
      </c>
      <c r="AA44" t="n">
        <v>238.9</v>
      </c>
      <c r="AB44" t="n">
        <v>229.5</v>
      </c>
      <c r="AC44" t="n">
        <v>222</v>
      </c>
      <c r="AD44" t="n">
        <v>213.2</v>
      </c>
      <c r="AE44" t="n">
        <v>214</v>
      </c>
      <c r="AF44" t="n">
        <v>219.1</v>
      </c>
    </row>
    <row r="45">
      <c r="A45" t="s">
        <v>136</v>
      </c>
      <c r="B45" t="s">
        <v>360</v>
      </c>
      <c r="C45" t="s">
        <v>217</v>
      </c>
      <c r="D45" t="s">
        <v>361</v>
      </c>
      <c r="E45" t="s">
        <v>218</v>
      </c>
      <c r="F45" t="n">
        <v>318.5</v>
      </c>
      <c r="G45" t="n">
        <v>315.7</v>
      </c>
      <c r="H45" t="n">
        <v>334.2</v>
      </c>
      <c r="I45" t="n">
        <v>338.1</v>
      </c>
      <c r="J45" t="n">
        <v>355.5</v>
      </c>
      <c r="K45" t="n">
        <v>367.9</v>
      </c>
      <c r="L45" t="n">
        <v>369.9</v>
      </c>
      <c r="M45" t="n">
        <v>520.7</v>
      </c>
      <c r="N45" t="n">
        <v>496.8</v>
      </c>
      <c r="O45" t="n">
        <v>480.8</v>
      </c>
      <c r="P45" t="n">
        <v>465.8</v>
      </c>
      <c r="Q45" t="n">
        <v>485.7</v>
      </c>
      <c r="R45" t="n">
        <v>498.2</v>
      </c>
      <c r="S45" t="n">
        <v>504.6</v>
      </c>
      <c r="T45" t="n">
        <v>514.6</v>
      </c>
      <c r="U45" t="n">
        <v>487</v>
      </c>
      <c r="V45" t="n">
        <v>309.4</v>
      </c>
      <c r="W45" t="n">
        <v>294.1</v>
      </c>
      <c r="X45" t="n">
        <v>262.4</v>
      </c>
      <c r="Y45" t="n">
        <v>257.3</v>
      </c>
      <c r="Z45" t="n">
        <v>248.2</v>
      </c>
      <c r="AA45" t="n">
        <v>238.9</v>
      </c>
      <c r="AB45" t="n">
        <v>229.5</v>
      </c>
      <c r="AC45" t="n">
        <v>222</v>
      </c>
      <c r="AD45" t="n">
        <v>213.2</v>
      </c>
      <c r="AE45" t="n">
        <v>214</v>
      </c>
      <c r="AF45" t="n">
        <v>219.1</v>
      </c>
    </row>
    <row r="46">
      <c r="A46" t="s">
        <v>136</v>
      </c>
      <c r="B46" t="s">
        <v>362</v>
      </c>
      <c r="C46" t="s">
        <v>217</v>
      </c>
      <c r="D46" t="s">
        <v>363</v>
      </c>
      <c r="E46" t="s">
        <v>218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136</v>
      </c>
      <c r="B47" t="s">
        <v>364</v>
      </c>
      <c r="C47" t="s">
        <v>217</v>
      </c>
      <c r="D47" t="s">
        <v>365</v>
      </c>
      <c r="E47" t="s">
        <v>218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s">
        <v>136</v>
      </c>
      <c r="B48" t="s">
        <v>366</v>
      </c>
      <c r="C48" t="s">
        <v>217</v>
      </c>
      <c r="D48" t="s">
        <v>367</v>
      </c>
      <c r="E48" t="s">
        <v>218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s">
        <v>136</v>
      </c>
      <c r="B49" t="s">
        <v>368</v>
      </c>
      <c r="C49" t="s">
        <v>217</v>
      </c>
      <c r="D49" t="s">
        <v>369</v>
      </c>
      <c r="E49" t="s">
        <v>218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136</v>
      </c>
      <c r="B50" t="s">
        <v>370</v>
      </c>
      <c r="C50" t="s">
        <v>217</v>
      </c>
      <c r="D50" t="s">
        <v>371</v>
      </c>
      <c r="E50" t="s">
        <v>218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136</v>
      </c>
      <c r="B51" t="s">
        <v>372</v>
      </c>
      <c r="C51" t="s">
        <v>217</v>
      </c>
      <c r="D51" t="s">
        <v>373</v>
      </c>
      <c r="E51" t="s">
        <v>218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136</v>
      </c>
      <c r="B52" t="s">
        <v>374</v>
      </c>
      <c r="C52" t="s">
        <v>217</v>
      </c>
      <c r="D52" t="s">
        <v>375</v>
      </c>
      <c r="E52" t="s">
        <v>218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136</v>
      </c>
      <c r="B53" t="s">
        <v>376</v>
      </c>
      <c r="C53" t="s">
        <v>217</v>
      </c>
      <c r="D53" t="s">
        <v>377</v>
      </c>
      <c r="E53" t="s">
        <v>218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136</v>
      </c>
      <c r="B54" t="s">
        <v>378</v>
      </c>
      <c r="C54" t="s">
        <v>217</v>
      </c>
      <c r="D54" t="s">
        <v>379</v>
      </c>
      <c r="E54" t="s">
        <v>218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s">
        <v>136</v>
      </c>
      <c r="B55" t="s">
        <v>380</v>
      </c>
      <c r="C55" t="s">
        <v>217</v>
      </c>
      <c r="D55" t="s">
        <v>381</v>
      </c>
      <c r="E55" t="s">
        <v>218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136</v>
      </c>
      <c r="B56" t="s">
        <v>382</v>
      </c>
      <c r="C56" t="s">
        <v>217</v>
      </c>
      <c r="D56" t="s">
        <v>383</v>
      </c>
      <c r="E56" t="s">
        <v>218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136</v>
      </c>
      <c r="B57" t="s">
        <v>384</v>
      </c>
      <c r="C57" t="s">
        <v>217</v>
      </c>
      <c r="D57" t="s">
        <v>385</v>
      </c>
      <c r="E57" t="s">
        <v>218</v>
      </c>
      <c r="F57" t="n">
        <v>1643.4</v>
      </c>
      <c r="G57" t="n">
        <v>1890.6</v>
      </c>
      <c r="H57" t="n">
        <v>2433.9</v>
      </c>
      <c r="I57" t="n">
        <v>2793.8</v>
      </c>
      <c r="J57" t="n">
        <v>3407.4</v>
      </c>
      <c r="K57" t="n">
        <v>3641.9</v>
      </c>
      <c r="L57" t="n">
        <v>3570.4</v>
      </c>
      <c r="M57" t="n">
        <v>3579.4</v>
      </c>
      <c r="N57" t="n">
        <v>3653.9</v>
      </c>
      <c r="O57" t="n">
        <v>3739.3</v>
      </c>
      <c r="P57" t="n">
        <v>3880.7</v>
      </c>
      <c r="Q57" t="n">
        <v>4166.4</v>
      </c>
      <c r="R57" t="n">
        <v>4766.3</v>
      </c>
      <c r="S57" t="n">
        <v>4900.8</v>
      </c>
      <c r="T57" t="n">
        <v>5031.4</v>
      </c>
      <c r="U57" t="n">
        <v>4636.6</v>
      </c>
      <c r="V57" t="n">
        <v>309.5</v>
      </c>
      <c r="W57" t="n">
        <v>294.1</v>
      </c>
      <c r="X57" t="n">
        <v>262.4</v>
      </c>
      <c r="Y57" t="n">
        <v>257.3</v>
      </c>
      <c r="Z57" t="n">
        <v>248.3</v>
      </c>
      <c r="AA57" t="n">
        <v>238.9</v>
      </c>
      <c r="AB57" t="n">
        <v>229.7</v>
      </c>
      <c r="AC57" t="n">
        <v>222</v>
      </c>
      <c r="AD57" t="n">
        <v>213.2</v>
      </c>
      <c r="AE57" t="n">
        <v>214.2</v>
      </c>
      <c r="AF57" t="n">
        <v>219.1</v>
      </c>
    </row>
    <row r="58">
      <c r="A58" t="s">
        <v>136</v>
      </c>
      <c r="B58" t="s">
        <v>386</v>
      </c>
      <c r="C58" t="s">
        <v>217</v>
      </c>
      <c r="D58" t="s">
        <v>387</v>
      </c>
      <c r="E58" t="s">
        <v>218</v>
      </c>
      <c r="F58" t="n">
        <v>1643.4</v>
      </c>
      <c r="G58" t="n">
        <v>1890.6</v>
      </c>
      <c r="H58" t="n">
        <v>2433.9</v>
      </c>
      <c r="I58" t="n">
        <v>2793.8</v>
      </c>
      <c r="J58" t="n">
        <v>3407.4</v>
      </c>
      <c r="K58" t="n">
        <v>3641.9</v>
      </c>
      <c r="L58" t="n">
        <v>3570.4</v>
      </c>
      <c r="M58" t="n">
        <v>3579.4</v>
      </c>
      <c r="N58" t="n">
        <v>3653.9</v>
      </c>
      <c r="O58" t="n">
        <v>3739.3</v>
      </c>
      <c r="P58" t="n">
        <v>3880.7</v>
      </c>
      <c r="Q58" t="n">
        <v>4166.4</v>
      </c>
      <c r="R58" t="n">
        <v>4766.3</v>
      </c>
      <c r="S58" t="n">
        <v>4900.8</v>
      </c>
      <c r="T58" t="n">
        <v>5031.4</v>
      </c>
      <c r="U58" t="n">
        <v>4636.6</v>
      </c>
      <c r="V58" t="n">
        <v>309.5</v>
      </c>
      <c r="W58" t="n">
        <v>294.1</v>
      </c>
      <c r="X58" t="n">
        <v>262.4</v>
      </c>
      <c r="Y58" t="n">
        <v>257.3</v>
      </c>
      <c r="Z58" t="n">
        <v>248.3</v>
      </c>
      <c r="AA58" t="n">
        <v>238.9</v>
      </c>
      <c r="AB58" t="n">
        <v>229.7</v>
      </c>
      <c r="AC58" t="n">
        <v>222</v>
      </c>
      <c r="AD58" t="n">
        <v>213.2</v>
      </c>
      <c r="AE58" t="n">
        <v>214.2</v>
      </c>
      <c r="AF58" t="n">
        <v>219.1</v>
      </c>
    </row>
    <row r="59">
      <c r="A59" t="s">
        <v>136</v>
      </c>
      <c r="B59" t="s">
        <v>388</v>
      </c>
      <c r="C59" t="s">
        <v>217</v>
      </c>
      <c r="D59" t="s">
        <v>389</v>
      </c>
      <c r="E59" t="s">
        <v>218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138</v>
      </c>
      <c r="B2" t="s">
        <v>197</v>
      </c>
      <c r="C2" t="s">
        <v>217</v>
      </c>
      <c r="D2" t="s">
        <v>199</v>
      </c>
      <c r="E2" t="s">
        <v>218</v>
      </c>
      <c r="F2" t="n">
        <v>8993</v>
      </c>
      <c r="G2" t="n">
        <v>9660.3</v>
      </c>
      <c r="H2" t="n">
        <v>10413.9</v>
      </c>
      <c r="I2" t="n">
        <v>11010.9</v>
      </c>
      <c r="J2" t="n">
        <v>11901.7</v>
      </c>
      <c r="K2" t="n">
        <v>12507.5</v>
      </c>
      <c r="L2" t="n">
        <v>13222.8</v>
      </c>
      <c r="M2" t="n">
        <v>13588.2</v>
      </c>
      <c r="N2" t="n">
        <v>14322.6</v>
      </c>
      <c r="O2" t="n">
        <v>14945.9</v>
      </c>
      <c r="P2" t="n">
        <v>15529.9</v>
      </c>
      <c r="Q2" t="n">
        <v>15570.8</v>
      </c>
      <c r="R2" t="n">
        <v>17001.7</v>
      </c>
      <c r="S2" t="n">
        <v>18115.2</v>
      </c>
      <c r="T2" t="n">
        <v>18834.3</v>
      </c>
      <c r="U2" t="n">
        <v>18545.8</v>
      </c>
      <c r="V2" t="n">
        <v>17831.7</v>
      </c>
      <c r="W2" t="n">
        <v>17059.6</v>
      </c>
      <c r="X2" t="n">
        <v>16327.8</v>
      </c>
      <c r="Y2" t="n">
        <v>15941.1</v>
      </c>
      <c r="Z2" t="n">
        <v>15475.2</v>
      </c>
      <c r="AA2" t="n">
        <v>15209.5</v>
      </c>
      <c r="AB2" t="n">
        <v>14988.2</v>
      </c>
      <c r="AC2" t="n">
        <v>14912.9</v>
      </c>
      <c r="AD2" t="n">
        <v>14937.8</v>
      </c>
      <c r="AE2" t="n">
        <v>14932.6</v>
      </c>
      <c r="AF2" t="n">
        <v>15125.5</v>
      </c>
    </row>
    <row r="3">
      <c r="A3" t="s">
        <v>138</v>
      </c>
      <c r="B3" t="s">
        <v>276</v>
      </c>
      <c r="C3" t="s">
        <v>217</v>
      </c>
      <c r="D3" t="s">
        <v>277</v>
      </c>
      <c r="E3" t="s">
        <v>218</v>
      </c>
      <c r="F3" t="n">
        <v>1851.7</v>
      </c>
      <c r="G3" t="n">
        <v>1940.6</v>
      </c>
      <c r="H3" t="n">
        <v>2040.6</v>
      </c>
      <c r="I3" t="n">
        <v>2124.2</v>
      </c>
      <c r="J3" t="n">
        <v>2237.4</v>
      </c>
      <c r="K3" t="n">
        <v>2289.2</v>
      </c>
      <c r="L3" t="n">
        <v>2329</v>
      </c>
      <c r="M3" t="n">
        <v>2325</v>
      </c>
      <c r="N3" t="n">
        <v>2362</v>
      </c>
      <c r="O3" t="n">
        <v>2374.5</v>
      </c>
      <c r="P3" t="n">
        <v>2395.6</v>
      </c>
      <c r="Q3" t="n">
        <v>2380.4</v>
      </c>
      <c r="R3" t="n">
        <v>2548.6</v>
      </c>
      <c r="S3" t="n">
        <v>2635.9</v>
      </c>
      <c r="T3" t="n">
        <v>2744.4</v>
      </c>
      <c r="U3" t="n">
        <v>2745.3</v>
      </c>
      <c r="V3" t="n">
        <v>2726.3</v>
      </c>
      <c r="W3" t="n">
        <v>2667.9</v>
      </c>
      <c r="X3" t="n">
        <v>2635</v>
      </c>
      <c r="Y3" t="n">
        <v>2584.9</v>
      </c>
      <c r="Z3" t="n">
        <v>2538.3</v>
      </c>
      <c r="AA3" t="n">
        <v>2669.6</v>
      </c>
      <c r="AB3" t="n">
        <v>2761.7</v>
      </c>
      <c r="AC3" t="n">
        <v>2776.8</v>
      </c>
      <c r="AD3" t="n">
        <v>2824</v>
      </c>
      <c r="AE3" t="n">
        <v>2745.7</v>
      </c>
      <c r="AF3" t="n">
        <v>2693</v>
      </c>
    </row>
    <row r="4">
      <c r="A4" t="s">
        <v>138</v>
      </c>
      <c r="B4" t="s">
        <v>278</v>
      </c>
      <c r="C4" t="s">
        <v>217</v>
      </c>
      <c r="D4" t="s">
        <v>279</v>
      </c>
      <c r="E4" t="s">
        <v>218</v>
      </c>
      <c r="F4" t="n">
        <v>9915.1</v>
      </c>
      <c r="G4" t="n">
        <v>10728.8</v>
      </c>
      <c r="H4" t="n">
        <v>11923.8</v>
      </c>
      <c r="I4" t="n">
        <v>13035.9</v>
      </c>
      <c r="J4" t="n">
        <v>14680.4</v>
      </c>
      <c r="K4" t="n">
        <v>15834.5</v>
      </c>
      <c r="L4" t="n">
        <v>17166</v>
      </c>
      <c r="M4" t="n">
        <v>17478.5</v>
      </c>
      <c r="N4" t="n">
        <v>17819.2</v>
      </c>
      <c r="O4" t="n">
        <v>18440.9</v>
      </c>
      <c r="P4" t="n">
        <v>18557.3</v>
      </c>
      <c r="Q4" t="n">
        <v>19026.9</v>
      </c>
      <c r="R4" t="n">
        <v>20242.8</v>
      </c>
      <c r="S4" t="n">
        <v>21549.8</v>
      </c>
      <c r="T4" t="n">
        <v>22863.9</v>
      </c>
      <c r="U4" t="n">
        <v>23390.7</v>
      </c>
      <c r="V4" t="n">
        <v>21629.3</v>
      </c>
      <c r="W4" t="n">
        <v>22131.5</v>
      </c>
      <c r="X4" t="n">
        <v>20838.9</v>
      </c>
      <c r="Y4" t="n">
        <v>20320.4</v>
      </c>
      <c r="Z4" t="n">
        <v>19509.7</v>
      </c>
      <c r="AA4" t="n">
        <v>18787.9</v>
      </c>
      <c r="AB4" t="n">
        <v>18171.8</v>
      </c>
      <c r="AC4" t="n">
        <v>18069.1</v>
      </c>
      <c r="AD4" t="n">
        <v>17906.6</v>
      </c>
      <c r="AE4" t="n">
        <v>17962.7</v>
      </c>
      <c r="AF4" t="n">
        <v>18296.4</v>
      </c>
    </row>
    <row r="5">
      <c r="A5" t="s">
        <v>138</v>
      </c>
      <c r="B5" t="s">
        <v>280</v>
      </c>
      <c r="C5" t="s">
        <v>217</v>
      </c>
      <c r="D5" t="s">
        <v>281</v>
      </c>
      <c r="E5" t="s">
        <v>218</v>
      </c>
      <c r="F5" t="n">
        <v>2210.5</v>
      </c>
      <c r="G5" t="n">
        <v>2372.4</v>
      </c>
      <c r="H5" t="n">
        <v>2582.9</v>
      </c>
      <c r="I5" t="n">
        <v>2806.1</v>
      </c>
      <c r="J5" t="n">
        <v>3134.8</v>
      </c>
      <c r="K5" t="n">
        <v>3344.3</v>
      </c>
      <c r="L5" t="n">
        <v>3633.5</v>
      </c>
      <c r="M5" t="n">
        <v>3758.2</v>
      </c>
      <c r="N5" t="n">
        <v>3929.4</v>
      </c>
      <c r="O5" t="n">
        <v>4208.6</v>
      </c>
      <c r="P5" t="n">
        <v>4240.8</v>
      </c>
      <c r="Q5" t="n">
        <v>4299.2</v>
      </c>
      <c r="R5" t="n">
        <v>4713.6</v>
      </c>
      <c r="S5" t="n">
        <v>5111.6</v>
      </c>
      <c r="T5" t="n">
        <v>5352.4</v>
      </c>
      <c r="U5" t="n">
        <v>5417.9</v>
      </c>
      <c r="V5" t="n">
        <v>5054.3</v>
      </c>
      <c r="W5" t="n">
        <v>4792.9</v>
      </c>
      <c r="X5" t="n">
        <v>4619.3</v>
      </c>
      <c r="Y5" t="n">
        <v>4627.3</v>
      </c>
      <c r="Z5" t="n">
        <v>4622.2</v>
      </c>
      <c r="AA5" t="n">
        <v>4573</v>
      </c>
      <c r="AB5" t="n">
        <v>4522.3</v>
      </c>
      <c r="AC5" t="n">
        <v>4699.5</v>
      </c>
      <c r="AD5" t="n">
        <v>4690.3</v>
      </c>
      <c r="AE5" t="n">
        <v>4736.5</v>
      </c>
      <c r="AF5" t="n">
        <v>4865.9</v>
      </c>
    </row>
    <row r="6">
      <c r="A6" t="s">
        <v>138</v>
      </c>
      <c r="B6" t="s">
        <v>282</v>
      </c>
      <c r="C6" t="s">
        <v>217</v>
      </c>
      <c r="D6" t="s">
        <v>283</v>
      </c>
      <c r="E6" t="s">
        <v>218</v>
      </c>
      <c r="F6" t="n">
        <v>2051.4</v>
      </c>
      <c r="G6" t="n">
        <v>2120.2</v>
      </c>
      <c r="H6" t="n">
        <v>2218.2</v>
      </c>
      <c r="I6" t="n">
        <v>2308.6</v>
      </c>
      <c r="J6" t="n">
        <v>2455</v>
      </c>
      <c r="K6" t="n">
        <v>2523.3</v>
      </c>
      <c r="L6" t="n">
        <v>2648.3</v>
      </c>
      <c r="M6" t="n">
        <v>2605.3</v>
      </c>
      <c r="N6" t="n">
        <v>2575.7</v>
      </c>
      <c r="O6" t="n">
        <v>2568.5</v>
      </c>
      <c r="P6" t="n">
        <v>2488.4</v>
      </c>
      <c r="Q6" t="n">
        <v>2307.9</v>
      </c>
      <c r="R6" t="n">
        <v>2338.7</v>
      </c>
      <c r="S6" t="n">
        <v>2267.4</v>
      </c>
      <c r="T6" t="n">
        <v>2233.7</v>
      </c>
      <c r="U6" t="n">
        <v>2050.3</v>
      </c>
      <c r="V6" t="n">
        <v>1916.8</v>
      </c>
      <c r="W6" t="n">
        <v>1738</v>
      </c>
      <c r="X6" t="n">
        <v>1625.8</v>
      </c>
      <c r="Y6" t="n">
        <v>1539.7</v>
      </c>
      <c r="Z6" t="n">
        <v>1433.3</v>
      </c>
      <c r="AA6" t="n">
        <v>1367.9</v>
      </c>
      <c r="AB6" t="n">
        <v>1314.1</v>
      </c>
      <c r="AC6" t="n">
        <v>1239.1</v>
      </c>
      <c r="AD6" t="n">
        <v>1176.8</v>
      </c>
      <c r="AE6" t="n">
        <v>1121.3</v>
      </c>
      <c r="AF6" t="n">
        <v>1077.9</v>
      </c>
    </row>
    <row r="7">
      <c r="A7" t="s">
        <v>138</v>
      </c>
      <c r="B7" t="s">
        <v>284</v>
      </c>
      <c r="C7" t="s">
        <v>217</v>
      </c>
      <c r="D7" t="s">
        <v>285</v>
      </c>
      <c r="E7" t="s">
        <v>218</v>
      </c>
      <c r="F7" t="n">
        <v>576.8</v>
      </c>
      <c r="G7" t="n">
        <v>667</v>
      </c>
      <c r="H7" t="n">
        <v>785.9</v>
      </c>
      <c r="I7" t="n">
        <v>919.4</v>
      </c>
      <c r="J7" t="n">
        <v>1110</v>
      </c>
      <c r="K7" t="n">
        <v>1244.3</v>
      </c>
      <c r="L7" t="n">
        <v>1320</v>
      </c>
      <c r="M7" t="n">
        <v>1377</v>
      </c>
      <c r="N7" t="n">
        <v>1355.8</v>
      </c>
      <c r="O7" t="n">
        <v>1420</v>
      </c>
      <c r="P7" t="n">
        <v>1339.7</v>
      </c>
      <c r="Q7" t="n">
        <v>1467.6</v>
      </c>
      <c r="R7" t="n">
        <v>1638.1</v>
      </c>
      <c r="S7" t="n">
        <v>1674.9</v>
      </c>
      <c r="T7" t="n">
        <v>1669.9</v>
      </c>
      <c r="U7" t="n">
        <v>1642</v>
      </c>
      <c r="V7" t="n">
        <v>1498.5</v>
      </c>
      <c r="W7" t="n">
        <v>1387.6</v>
      </c>
      <c r="X7" t="n">
        <v>1300.9</v>
      </c>
      <c r="Y7" t="n">
        <v>1283.3</v>
      </c>
      <c r="Z7" t="n">
        <v>1232.5</v>
      </c>
      <c r="AA7" t="n">
        <v>1219.3</v>
      </c>
      <c r="AB7" t="n">
        <v>1208.4</v>
      </c>
      <c r="AC7" t="n">
        <v>1178.1</v>
      </c>
      <c r="AD7" t="n">
        <v>1132</v>
      </c>
      <c r="AE7" t="n">
        <v>1115.6</v>
      </c>
      <c r="AF7" t="n">
        <v>1117.9</v>
      </c>
    </row>
    <row r="8">
      <c r="A8" t="s">
        <v>138</v>
      </c>
      <c r="B8" t="s">
        <v>286</v>
      </c>
      <c r="C8" t="s">
        <v>217</v>
      </c>
      <c r="D8" t="s">
        <v>287</v>
      </c>
      <c r="E8" t="s">
        <v>218</v>
      </c>
      <c r="F8" t="n">
        <v>498.6</v>
      </c>
      <c r="G8" t="n">
        <v>543.3</v>
      </c>
      <c r="H8" t="n">
        <v>588.1</v>
      </c>
      <c r="I8" t="n">
        <v>652</v>
      </c>
      <c r="J8" t="n">
        <v>695.8</v>
      </c>
      <c r="K8" t="n">
        <v>796.2</v>
      </c>
      <c r="L8" t="n">
        <v>780.9</v>
      </c>
      <c r="M8" t="n">
        <v>767.7</v>
      </c>
      <c r="N8" t="n">
        <v>763.3</v>
      </c>
      <c r="O8" t="n">
        <v>733.9</v>
      </c>
      <c r="P8" t="n">
        <v>1038.2</v>
      </c>
      <c r="Q8" t="n">
        <v>975</v>
      </c>
      <c r="R8" t="n">
        <v>958.3</v>
      </c>
      <c r="S8" t="n">
        <v>1334</v>
      </c>
      <c r="T8" t="n">
        <v>1766.7</v>
      </c>
      <c r="U8" t="n">
        <v>2436.3</v>
      </c>
      <c r="V8" t="n">
        <v>2104.3</v>
      </c>
      <c r="W8" t="n">
        <v>3856.6</v>
      </c>
      <c r="X8" t="n">
        <v>3621.5</v>
      </c>
      <c r="Y8" t="n">
        <v>3466.6</v>
      </c>
      <c r="Z8" t="n">
        <v>3335.5</v>
      </c>
      <c r="AA8" t="n">
        <v>3134.8</v>
      </c>
      <c r="AB8" t="n">
        <v>2974.8</v>
      </c>
      <c r="AC8" t="n">
        <v>2848.7</v>
      </c>
      <c r="AD8" t="n">
        <v>2827.5</v>
      </c>
      <c r="AE8" t="n">
        <v>2829.3</v>
      </c>
      <c r="AF8" t="n">
        <v>2883</v>
      </c>
    </row>
    <row r="9">
      <c r="A9" t="s">
        <v>138</v>
      </c>
      <c r="B9" t="s">
        <v>288</v>
      </c>
      <c r="C9" t="s">
        <v>217</v>
      </c>
      <c r="D9" t="s">
        <v>289</v>
      </c>
      <c r="E9" t="s">
        <v>218</v>
      </c>
      <c r="F9" t="n">
        <v>349.1</v>
      </c>
      <c r="G9" t="n">
        <v>400.7</v>
      </c>
      <c r="H9" t="n">
        <v>465.1</v>
      </c>
      <c r="I9" t="n">
        <v>535.9</v>
      </c>
      <c r="J9" t="n">
        <v>629.8</v>
      </c>
      <c r="K9" t="n">
        <v>698.7</v>
      </c>
      <c r="L9" t="n">
        <v>837.7</v>
      </c>
      <c r="M9" t="n">
        <v>841.6</v>
      </c>
      <c r="N9" t="n">
        <v>851.5</v>
      </c>
      <c r="O9" t="n">
        <v>911.6</v>
      </c>
      <c r="P9" t="n">
        <v>925</v>
      </c>
      <c r="Q9" t="n">
        <v>916.5</v>
      </c>
      <c r="R9" t="n">
        <v>999.9</v>
      </c>
      <c r="S9" t="n">
        <v>1061.2</v>
      </c>
      <c r="T9" t="n">
        <v>1149.3</v>
      </c>
      <c r="U9" t="n">
        <v>1083.2</v>
      </c>
      <c r="V9" t="n">
        <v>1033.5</v>
      </c>
      <c r="W9" t="n">
        <v>984.9</v>
      </c>
      <c r="X9" t="n">
        <v>968</v>
      </c>
      <c r="Y9" t="n">
        <v>934.8</v>
      </c>
      <c r="Z9" t="n">
        <v>828.3</v>
      </c>
      <c r="AA9" t="n">
        <v>798.7</v>
      </c>
      <c r="AB9" t="n">
        <v>777.8</v>
      </c>
      <c r="AC9" t="n">
        <v>774.1</v>
      </c>
      <c r="AD9" t="n">
        <v>787.1</v>
      </c>
      <c r="AE9" t="n">
        <v>788.4</v>
      </c>
      <c r="AF9" t="n">
        <v>796.2</v>
      </c>
    </row>
    <row r="10">
      <c r="A10" t="s">
        <v>138</v>
      </c>
      <c r="B10" t="s">
        <v>290</v>
      </c>
      <c r="C10" t="s">
        <v>217</v>
      </c>
      <c r="D10" t="s">
        <v>291</v>
      </c>
      <c r="E10" t="s">
        <v>218</v>
      </c>
      <c r="F10" t="n">
        <v>502</v>
      </c>
      <c r="G10" t="n">
        <v>579.4</v>
      </c>
      <c r="H10" t="n">
        <v>673.6</v>
      </c>
      <c r="I10" t="n">
        <v>779.8</v>
      </c>
      <c r="J10" t="n">
        <v>921.5</v>
      </c>
      <c r="K10" t="n">
        <v>1026.6</v>
      </c>
      <c r="L10" t="n">
        <v>1229.8</v>
      </c>
      <c r="M10" t="n">
        <v>1244.8</v>
      </c>
      <c r="N10" t="n">
        <v>1269.2</v>
      </c>
      <c r="O10" t="n">
        <v>1363.9</v>
      </c>
      <c r="P10" t="n">
        <v>1393.1</v>
      </c>
      <c r="Q10" t="n">
        <v>1413.1</v>
      </c>
      <c r="R10" t="n">
        <v>1572.9</v>
      </c>
      <c r="S10" t="n">
        <v>1720.8</v>
      </c>
      <c r="T10" t="n">
        <v>2036.8</v>
      </c>
      <c r="U10" t="n">
        <v>1938.7</v>
      </c>
      <c r="V10" t="n">
        <v>1800.1</v>
      </c>
      <c r="W10" t="n">
        <v>1712.2</v>
      </c>
      <c r="X10" t="n">
        <v>1700.2</v>
      </c>
      <c r="Y10" t="n">
        <v>1664.3</v>
      </c>
      <c r="Z10" t="n">
        <v>1527.4</v>
      </c>
      <c r="AA10" t="n">
        <v>1488</v>
      </c>
      <c r="AB10" t="n">
        <v>1458</v>
      </c>
      <c r="AC10" t="n">
        <v>1526.5</v>
      </c>
      <c r="AD10" t="n">
        <v>1594.9</v>
      </c>
      <c r="AE10" t="n">
        <v>1661.3</v>
      </c>
      <c r="AF10" t="n">
        <v>1742.8</v>
      </c>
    </row>
    <row r="11">
      <c r="A11" t="s">
        <v>138</v>
      </c>
      <c r="B11" t="s">
        <v>292</v>
      </c>
      <c r="C11" t="s">
        <v>217</v>
      </c>
      <c r="D11" t="s">
        <v>293</v>
      </c>
      <c r="E11" t="s">
        <v>218</v>
      </c>
      <c r="F11" t="n">
        <v>152.9</v>
      </c>
      <c r="G11" t="n">
        <v>178.7</v>
      </c>
      <c r="H11" t="n">
        <v>208.5</v>
      </c>
      <c r="I11" t="n">
        <v>243.9</v>
      </c>
      <c r="J11" t="n">
        <v>291.7</v>
      </c>
      <c r="K11" t="n">
        <v>327.9</v>
      </c>
      <c r="L11" t="n">
        <v>392.1</v>
      </c>
      <c r="M11" t="n">
        <v>403.2</v>
      </c>
      <c r="N11" t="n">
        <v>417.7</v>
      </c>
      <c r="O11" t="n">
        <v>452.3</v>
      </c>
      <c r="P11" t="n">
        <v>468.1</v>
      </c>
      <c r="Q11" t="n">
        <v>496.6</v>
      </c>
      <c r="R11" t="n">
        <v>573</v>
      </c>
      <c r="S11" t="n">
        <v>659.6</v>
      </c>
      <c r="T11" t="n">
        <v>887.5</v>
      </c>
      <c r="U11" t="n">
        <v>855.5</v>
      </c>
      <c r="V11" t="n">
        <v>766.6</v>
      </c>
      <c r="W11" t="n">
        <v>727.3</v>
      </c>
      <c r="X11" t="n">
        <v>732.2</v>
      </c>
      <c r="Y11" t="n">
        <v>729.5</v>
      </c>
      <c r="Z11" t="n">
        <v>699.1</v>
      </c>
      <c r="AA11" t="n">
        <v>689.3</v>
      </c>
      <c r="AB11" t="n">
        <v>680.2</v>
      </c>
      <c r="AC11" t="n">
        <v>752.4</v>
      </c>
      <c r="AD11" t="n">
        <v>807.8</v>
      </c>
      <c r="AE11" t="n">
        <v>872.9</v>
      </c>
      <c r="AF11" t="n">
        <v>946.6</v>
      </c>
    </row>
    <row r="12">
      <c r="A12" t="s">
        <v>138</v>
      </c>
      <c r="B12" t="s">
        <v>294</v>
      </c>
      <c r="C12" t="s">
        <v>217</v>
      </c>
      <c r="D12" t="s">
        <v>295</v>
      </c>
      <c r="E12" t="s">
        <v>218</v>
      </c>
      <c r="F12" t="n">
        <v>987.5</v>
      </c>
      <c r="G12" t="n">
        <v>1195.6</v>
      </c>
      <c r="H12" t="n">
        <v>1527.3</v>
      </c>
      <c r="I12" t="n">
        <v>1717.5</v>
      </c>
      <c r="J12" t="n">
        <v>2053.6</v>
      </c>
      <c r="K12" t="n">
        <v>2305.1</v>
      </c>
      <c r="L12" t="n">
        <v>2379.4</v>
      </c>
      <c r="M12" t="n">
        <v>2340</v>
      </c>
      <c r="N12" t="n">
        <v>2377.9</v>
      </c>
      <c r="O12" t="n">
        <v>2381.4</v>
      </c>
      <c r="P12" t="n">
        <v>2304.3</v>
      </c>
      <c r="Q12" t="n">
        <v>2281</v>
      </c>
      <c r="R12" t="n">
        <v>2470.5</v>
      </c>
      <c r="S12" t="n">
        <v>2577</v>
      </c>
      <c r="T12" t="n">
        <v>2738.6</v>
      </c>
      <c r="U12" t="n">
        <v>2680.5</v>
      </c>
      <c r="V12" t="n">
        <v>2565.5</v>
      </c>
      <c r="W12" t="n">
        <v>2369.5</v>
      </c>
      <c r="X12" t="n">
        <v>2242.1</v>
      </c>
      <c r="Y12" t="n">
        <v>2177.3</v>
      </c>
      <c r="Z12" t="n">
        <v>2075.2</v>
      </c>
      <c r="AA12" t="n">
        <v>1978.2</v>
      </c>
      <c r="AB12" t="n">
        <v>1895.7</v>
      </c>
      <c r="AC12" t="n">
        <v>1854.5</v>
      </c>
      <c r="AD12" t="n">
        <v>1832.6</v>
      </c>
      <c r="AE12" t="n">
        <v>1789.9</v>
      </c>
      <c r="AF12" t="n">
        <v>1773.9</v>
      </c>
    </row>
    <row r="13">
      <c r="A13" t="s">
        <v>138</v>
      </c>
      <c r="B13" t="s">
        <v>296</v>
      </c>
      <c r="C13" t="s">
        <v>217</v>
      </c>
      <c r="D13" t="s">
        <v>297</v>
      </c>
      <c r="E13" t="s">
        <v>218</v>
      </c>
      <c r="F13" t="n">
        <v>1599</v>
      </c>
      <c r="G13" t="n">
        <v>1716.5</v>
      </c>
      <c r="H13" t="n">
        <v>1924.3</v>
      </c>
      <c r="I13" t="n">
        <v>2145</v>
      </c>
      <c r="J13" t="n">
        <v>2464.7</v>
      </c>
      <c r="K13" t="n">
        <v>2673.8</v>
      </c>
      <c r="L13" t="n">
        <v>2972.8</v>
      </c>
      <c r="M13" t="n">
        <v>3082</v>
      </c>
      <c r="N13" t="n">
        <v>3193.9</v>
      </c>
      <c r="O13" t="n">
        <v>3339.1</v>
      </c>
      <c r="P13" t="n">
        <v>3299.5</v>
      </c>
      <c r="Q13" t="n">
        <v>3643.9</v>
      </c>
      <c r="R13" t="n">
        <v>3808.7</v>
      </c>
      <c r="S13" t="n">
        <v>3983.8</v>
      </c>
      <c r="T13" t="n">
        <v>4082</v>
      </c>
      <c r="U13" t="n">
        <v>4237.3</v>
      </c>
      <c r="V13" t="n">
        <v>3943.6</v>
      </c>
      <c r="W13" t="n">
        <v>3724.2</v>
      </c>
      <c r="X13" t="n">
        <v>3343.4</v>
      </c>
      <c r="Y13" t="n">
        <v>3205.8</v>
      </c>
      <c r="Z13" t="n">
        <v>3068.7</v>
      </c>
      <c r="AA13" t="n">
        <v>2924.5</v>
      </c>
      <c r="AB13" t="n">
        <v>2798.9</v>
      </c>
      <c r="AC13" t="n">
        <v>2786.1</v>
      </c>
      <c r="AD13" t="n">
        <v>2728</v>
      </c>
      <c r="AE13" t="n">
        <v>2808.2</v>
      </c>
      <c r="AF13" t="n">
        <v>2936.1</v>
      </c>
    </row>
    <row r="14">
      <c r="A14" t="s">
        <v>138</v>
      </c>
      <c r="B14" t="s">
        <v>298</v>
      </c>
      <c r="C14" t="s">
        <v>217</v>
      </c>
      <c r="D14" t="s">
        <v>299</v>
      </c>
      <c r="E14" t="s">
        <v>218</v>
      </c>
      <c r="F14" t="n">
        <v>89.6</v>
      </c>
      <c r="G14" t="n">
        <v>102.4</v>
      </c>
      <c r="H14" t="n">
        <v>115.9</v>
      </c>
      <c r="I14" t="n">
        <v>132.1</v>
      </c>
      <c r="J14" t="n">
        <v>151</v>
      </c>
      <c r="K14" t="n">
        <v>171.8</v>
      </c>
      <c r="L14" t="n">
        <v>341.4</v>
      </c>
      <c r="M14" t="n">
        <v>341.2</v>
      </c>
      <c r="N14" t="n">
        <v>355.3</v>
      </c>
      <c r="O14" t="n">
        <v>366.2</v>
      </c>
      <c r="P14" t="n">
        <v>371.2</v>
      </c>
      <c r="Q14" t="n">
        <v>373.8</v>
      </c>
      <c r="R14" t="n">
        <v>373.3</v>
      </c>
      <c r="S14" t="n">
        <v>370.9</v>
      </c>
      <c r="T14" t="n">
        <v>368.7</v>
      </c>
      <c r="U14" t="n">
        <v>391</v>
      </c>
      <c r="V14" t="n">
        <v>346.1</v>
      </c>
      <c r="W14" t="n">
        <v>303.6</v>
      </c>
      <c r="X14" t="n">
        <v>295.6</v>
      </c>
      <c r="Y14" t="n">
        <v>301</v>
      </c>
      <c r="Z14" t="n">
        <v>276.8</v>
      </c>
      <c r="AA14" t="n">
        <v>262.3</v>
      </c>
      <c r="AB14" t="n">
        <v>253.6</v>
      </c>
      <c r="AC14" t="n">
        <v>239.5</v>
      </c>
      <c r="AD14" t="n">
        <v>233.8</v>
      </c>
      <c r="AE14" t="n">
        <v>224.9</v>
      </c>
      <c r="AF14" t="n">
        <v>218.4</v>
      </c>
    </row>
    <row r="15">
      <c r="A15" t="s">
        <v>138</v>
      </c>
      <c r="B15" t="s">
        <v>300</v>
      </c>
      <c r="C15" t="s">
        <v>217</v>
      </c>
      <c r="D15" t="s">
        <v>301</v>
      </c>
      <c r="E15" t="s">
        <v>218</v>
      </c>
      <c r="F15" t="n">
        <v>433.9</v>
      </c>
      <c r="G15" t="n">
        <v>470.2</v>
      </c>
      <c r="H15" t="n">
        <v>518.5</v>
      </c>
      <c r="I15" t="n">
        <v>571.1</v>
      </c>
      <c r="J15" t="n">
        <v>643</v>
      </c>
      <c r="K15" t="n">
        <v>696.2</v>
      </c>
      <c r="L15" t="n">
        <v>878.9</v>
      </c>
      <c r="M15" t="n">
        <v>937</v>
      </c>
      <c r="N15" t="n">
        <v>954.7</v>
      </c>
      <c r="O15" t="n">
        <v>973.8</v>
      </c>
      <c r="P15" t="n">
        <v>970.6</v>
      </c>
      <c r="Q15" t="n">
        <v>1005.5</v>
      </c>
      <c r="R15" t="n">
        <v>1018.7</v>
      </c>
      <c r="S15" t="n">
        <v>1039.3</v>
      </c>
      <c r="T15" t="n">
        <v>1041.7</v>
      </c>
      <c r="U15" t="n">
        <v>1039.3</v>
      </c>
      <c r="V15" t="n">
        <v>956.7</v>
      </c>
      <c r="W15" t="n">
        <v>858.5</v>
      </c>
      <c r="X15" t="n">
        <v>811.7</v>
      </c>
      <c r="Y15" t="n">
        <v>847.7</v>
      </c>
      <c r="Z15" t="n">
        <v>790.9</v>
      </c>
      <c r="AA15" t="n">
        <v>752.1</v>
      </c>
      <c r="AB15" t="n">
        <v>723.1</v>
      </c>
      <c r="AC15" t="n">
        <v>716.3</v>
      </c>
      <c r="AD15" t="n">
        <v>746.1</v>
      </c>
      <c r="AE15" t="n">
        <v>752.7</v>
      </c>
      <c r="AF15" t="n">
        <v>768.9</v>
      </c>
    </row>
    <row r="16">
      <c r="A16" t="s">
        <v>138</v>
      </c>
      <c r="B16" t="s">
        <v>302</v>
      </c>
      <c r="C16" t="s">
        <v>217</v>
      </c>
      <c r="D16" t="s">
        <v>303</v>
      </c>
      <c r="E16" t="s">
        <v>218</v>
      </c>
      <c r="F16" t="n">
        <v>344.3</v>
      </c>
      <c r="G16" t="n">
        <v>367.8</v>
      </c>
      <c r="H16" t="n">
        <v>402.6</v>
      </c>
      <c r="I16" t="n">
        <v>439</v>
      </c>
      <c r="J16" t="n">
        <v>492</v>
      </c>
      <c r="K16" t="n">
        <v>524.4</v>
      </c>
      <c r="L16" t="n">
        <v>537.5</v>
      </c>
      <c r="M16" t="n">
        <v>595.8</v>
      </c>
      <c r="N16" t="n">
        <v>599.4</v>
      </c>
      <c r="O16" t="n">
        <v>607.6</v>
      </c>
      <c r="P16" t="n">
        <v>599.4</v>
      </c>
      <c r="Q16" t="n">
        <v>631.7</v>
      </c>
      <c r="R16" t="n">
        <v>645.4</v>
      </c>
      <c r="S16" t="n">
        <v>668.4</v>
      </c>
      <c r="T16" t="n">
        <v>673</v>
      </c>
      <c r="U16" t="n">
        <v>648.3</v>
      </c>
      <c r="V16" t="n">
        <v>610.6</v>
      </c>
      <c r="W16" t="n">
        <v>554.9</v>
      </c>
      <c r="X16" t="n">
        <v>516.1</v>
      </c>
      <c r="Y16" t="n">
        <v>546.7</v>
      </c>
      <c r="Z16" t="n">
        <v>514.1</v>
      </c>
      <c r="AA16" t="n">
        <v>489.8</v>
      </c>
      <c r="AB16" t="n">
        <v>469.5</v>
      </c>
      <c r="AC16" t="n">
        <v>476.8</v>
      </c>
      <c r="AD16" t="n">
        <v>512.3</v>
      </c>
      <c r="AE16" t="n">
        <v>527.8</v>
      </c>
      <c r="AF16" t="n">
        <v>550.5</v>
      </c>
    </row>
    <row r="17">
      <c r="A17" t="s">
        <v>138</v>
      </c>
      <c r="B17" t="s">
        <v>304</v>
      </c>
      <c r="C17" t="s">
        <v>217</v>
      </c>
      <c r="D17" t="s">
        <v>305</v>
      </c>
      <c r="E17" t="s">
        <v>218</v>
      </c>
      <c r="F17" t="n">
        <v>356.2</v>
      </c>
      <c r="G17" t="n">
        <v>359.3</v>
      </c>
      <c r="H17" t="n">
        <v>371.3</v>
      </c>
      <c r="I17" t="n">
        <v>379.1</v>
      </c>
      <c r="J17" t="n">
        <v>395.1</v>
      </c>
      <c r="K17" t="n">
        <v>398.4</v>
      </c>
      <c r="L17" t="n">
        <v>407.5</v>
      </c>
      <c r="M17" t="n">
        <v>410.3</v>
      </c>
      <c r="N17" t="n">
        <v>412.4</v>
      </c>
      <c r="O17" t="n">
        <v>417.1</v>
      </c>
      <c r="P17" t="n">
        <v>421.8</v>
      </c>
      <c r="Q17" t="n">
        <v>501.5</v>
      </c>
      <c r="R17" t="n">
        <v>543.7</v>
      </c>
      <c r="S17" t="n">
        <v>586.4</v>
      </c>
      <c r="T17" t="n">
        <v>638.9</v>
      </c>
      <c r="U17" t="n">
        <v>623.2</v>
      </c>
      <c r="V17" t="n">
        <v>603.6</v>
      </c>
      <c r="W17" t="n">
        <v>575.1</v>
      </c>
      <c r="X17" t="n">
        <v>557.1</v>
      </c>
      <c r="Y17" t="n">
        <v>528.1</v>
      </c>
      <c r="Z17" t="n">
        <v>499.2</v>
      </c>
      <c r="AA17" t="n">
        <v>473.6</v>
      </c>
      <c r="AB17" t="n">
        <v>452.2</v>
      </c>
      <c r="AC17" t="n">
        <v>436.2</v>
      </c>
      <c r="AD17" t="n">
        <v>420.4</v>
      </c>
      <c r="AE17" t="n">
        <v>406</v>
      </c>
      <c r="AF17" t="n">
        <v>395.8</v>
      </c>
    </row>
    <row r="18">
      <c r="A18" t="s">
        <v>138</v>
      </c>
      <c r="B18" t="s">
        <v>306</v>
      </c>
      <c r="C18" t="s">
        <v>217</v>
      </c>
      <c r="D18" t="s">
        <v>307</v>
      </c>
      <c r="E18" t="s">
        <v>218</v>
      </c>
      <c r="F18" t="n">
        <v>196.2</v>
      </c>
      <c r="G18" t="n">
        <v>196.6</v>
      </c>
      <c r="H18" t="n">
        <v>205.7</v>
      </c>
      <c r="I18" t="n">
        <v>213.2</v>
      </c>
      <c r="J18" t="n">
        <v>230.1</v>
      </c>
      <c r="K18" t="n">
        <v>237.9</v>
      </c>
      <c r="L18" t="n">
        <v>270.4</v>
      </c>
      <c r="M18" t="n">
        <v>281.3</v>
      </c>
      <c r="N18" t="n">
        <v>284.2</v>
      </c>
      <c r="O18" t="n">
        <v>300.4</v>
      </c>
      <c r="P18" t="n">
        <v>316.3</v>
      </c>
      <c r="Q18" t="n">
        <v>332.7</v>
      </c>
      <c r="R18" t="n">
        <v>355.2</v>
      </c>
      <c r="S18" t="n">
        <v>373.7</v>
      </c>
      <c r="T18" t="n">
        <v>386.9</v>
      </c>
      <c r="U18" t="n">
        <v>399.3</v>
      </c>
      <c r="V18" t="n">
        <v>340.4</v>
      </c>
      <c r="W18" t="n">
        <v>348</v>
      </c>
      <c r="X18" t="n">
        <v>319.9</v>
      </c>
      <c r="Y18" t="n">
        <v>300.1</v>
      </c>
      <c r="Z18" t="n">
        <v>273.1</v>
      </c>
      <c r="AA18" t="n">
        <v>254.3</v>
      </c>
      <c r="AB18" t="n">
        <v>237.2</v>
      </c>
      <c r="AC18" t="n">
        <v>222.1</v>
      </c>
      <c r="AD18" t="n">
        <v>206.6</v>
      </c>
      <c r="AE18" t="n">
        <v>201.7</v>
      </c>
      <c r="AF18" t="n">
        <v>198.7</v>
      </c>
    </row>
    <row r="19">
      <c r="A19" t="s">
        <v>138</v>
      </c>
      <c r="B19" t="s">
        <v>308</v>
      </c>
      <c r="C19" t="s">
        <v>217</v>
      </c>
      <c r="D19" t="s">
        <v>309</v>
      </c>
      <c r="E19" t="s">
        <v>218</v>
      </c>
      <c r="F19" t="n">
        <v>503</v>
      </c>
      <c r="G19" t="n">
        <v>508.3</v>
      </c>
      <c r="H19" t="n">
        <v>528</v>
      </c>
      <c r="I19" t="n">
        <v>544.1</v>
      </c>
      <c r="J19" t="n">
        <v>576.8</v>
      </c>
      <c r="K19" t="n">
        <v>588.4</v>
      </c>
      <c r="L19" t="n">
        <v>644.5</v>
      </c>
      <c r="M19" t="n">
        <v>674.9</v>
      </c>
      <c r="N19" t="n">
        <v>702.7</v>
      </c>
      <c r="O19" t="n">
        <v>734.2</v>
      </c>
      <c r="P19" t="n">
        <v>744.6</v>
      </c>
      <c r="Q19" t="n">
        <v>799.5</v>
      </c>
      <c r="R19" t="n">
        <v>824.4</v>
      </c>
      <c r="S19" t="n">
        <v>880.9</v>
      </c>
      <c r="T19" t="n">
        <v>916.3</v>
      </c>
      <c r="U19" t="n">
        <v>925.9</v>
      </c>
      <c r="V19" t="n">
        <v>845.5</v>
      </c>
      <c r="W19" t="n">
        <v>768.9</v>
      </c>
      <c r="X19" t="n">
        <v>697</v>
      </c>
      <c r="Y19" t="n">
        <v>680.2</v>
      </c>
      <c r="Z19" t="n">
        <v>651.7</v>
      </c>
      <c r="AA19" t="n">
        <v>622.2</v>
      </c>
      <c r="AB19" t="n">
        <v>587.1</v>
      </c>
      <c r="AC19" t="n">
        <v>562</v>
      </c>
      <c r="AD19" t="n">
        <v>551.4</v>
      </c>
      <c r="AE19" t="n">
        <v>540.2</v>
      </c>
      <c r="AF19" t="n">
        <v>535.5</v>
      </c>
    </row>
    <row r="20">
      <c r="A20" t="s">
        <v>138</v>
      </c>
      <c r="B20" t="s">
        <v>310</v>
      </c>
      <c r="C20" t="s">
        <v>217</v>
      </c>
      <c r="D20" t="s">
        <v>311</v>
      </c>
      <c r="E20" t="s">
        <v>218</v>
      </c>
      <c r="F20" t="n">
        <v>6646.7</v>
      </c>
      <c r="G20" t="n">
        <v>7463.7</v>
      </c>
      <c r="H20" t="n">
        <v>8372.2</v>
      </c>
      <c r="I20" t="n">
        <v>9299.5</v>
      </c>
      <c r="J20" t="n">
        <v>10362.4</v>
      </c>
      <c r="K20" t="n">
        <v>11207.1</v>
      </c>
      <c r="L20" t="n">
        <v>11883.3</v>
      </c>
      <c r="M20" t="n">
        <v>12404.2</v>
      </c>
      <c r="N20" t="n">
        <v>13042.4</v>
      </c>
      <c r="O20" t="n">
        <v>13520</v>
      </c>
      <c r="P20" t="n">
        <v>13980.7</v>
      </c>
      <c r="Q20" t="n">
        <v>14027.8</v>
      </c>
      <c r="R20" t="n">
        <v>14936.9</v>
      </c>
      <c r="S20" t="n">
        <v>15430.7</v>
      </c>
      <c r="T20" t="n">
        <v>16142.8</v>
      </c>
      <c r="U20" t="n">
        <v>16113.8</v>
      </c>
      <c r="V20" t="n">
        <v>15354.8</v>
      </c>
      <c r="W20" t="n">
        <v>14917.2</v>
      </c>
      <c r="X20" t="n">
        <v>14586.1</v>
      </c>
      <c r="Y20" t="n">
        <v>14477.4</v>
      </c>
      <c r="Z20" t="n">
        <v>14140.3</v>
      </c>
      <c r="AA20" t="n">
        <v>13987.7</v>
      </c>
      <c r="AB20" t="n">
        <v>13839.4</v>
      </c>
      <c r="AC20" t="n">
        <v>13701.7</v>
      </c>
      <c r="AD20" t="n">
        <v>13673.3</v>
      </c>
      <c r="AE20" t="n">
        <v>14069.3</v>
      </c>
      <c r="AF20" t="n">
        <v>14622.5</v>
      </c>
    </row>
    <row r="21">
      <c r="A21" t="s">
        <v>138</v>
      </c>
      <c r="B21" t="s">
        <v>312</v>
      </c>
      <c r="C21" t="s">
        <v>217</v>
      </c>
      <c r="D21" t="s">
        <v>313</v>
      </c>
      <c r="E21" t="s">
        <v>218</v>
      </c>
      <c r="F21" t="n">
        <v>10977.8</v>
      </c>
      <c r="G21" t="n">
        <v>11985.7</v>
      </c>
      <c r="H21" t="n">
        <v>13035.3</v>
      </c>
      <c r="I21" t="n">
        <v>14064.7</v>
      </c>
      <c r="J21" t="n">
        <v>15237.2</v>
      </c>
      <c r="K21" t="n">
        <v>16113.4</v>
      </c>
      <c r="L21" t="n">
        <v>16865</v>
      </c>
      <c r="M21" t="n">
        <v>17372.6</v>
      </c>
      <c r="N21" t="n">
        <v>18117.9</v>
      </c>
      <c r="O21" t="n">
        <v>18601.2</v>
      </c>
      <c r="P21" t="n">
        <v>19136.8</v>
      </c>
      <c r="Q21" t="n">
        <v>19213.7</v>
      </c>
      <c r="R21" t="n">
        <v>20443.6</v>
      </c>
      <c r="S21" t="n">
        <v>21019.3</v>
      </c>
      <c r="T21" t="n">
        <v>21909.4</v>
      </c>
      <c r="U21" t="n">
        <v>21981.2</v>
      </c>
      <c r="V21" t="n">
        <v>21200</v>
      </c>
      <c r="W21" t="n">
        <v>20632.8</v>
      </c>
      <c r="X21" t="n">
        <v>20300.6</v>
      </c>
      <c r="Y21" t="n">
        <v>20358.1</v>
      </c>
      <c r="Z21" t="n">
        <v>19967.7</v>
      </c>
      <c r="AA21" t="n">
        <v>19682.6</v>
      </c>
      <c r="AB21" t="n">
        <v>19432</v>
      </c>
      <c r="AC21" t="n">
        <v>19277.8</v>
      </c>
      <c r="AD21" t="n">
        <v>19223.8</v>
      </c>
      <c r="AE21" t="n">
        <v>19557.6</v>
      </c>
      <c r="AF21" t="n">
        <v>20090</v>
      </c>
    </row>
    <row r="22">
      <c r="A22" t="s">
        <v>138</v>
      </c>
      <c r="B22" t="s">
        <v>314</v>
      </c>
      <c r="C22" t="s">
        <v>217</v>
      </c>
      <c r="D22" t="s">
        <v>315</v>
      </c>
      <c r="E22" t="s">
        <v>218</v>
      </c>
      <c r="F22" t="n">
        <v>4331.1</v>
      </c>
      <c r="G22" t="n">
        <v>4522</v>
      </c>
      <c r="H22" t="n">
        <v>4663.1</v>
      </c>
      <c r="I22" t="n">
        <v>4765.2</v>
      </c>
      <c r="J22" t="n">
        <v>4874.8</v>
      </c>
      <c r="K22" t="n">
        <v>4906.3</v>
      </c>
      <c r="L22" t="n">
        <v>4981.7</v>
      </c>
      <c r="M22" t="n">
        <v>4968.4</v>
      </c>
      <c r="N22" t="n">
        <v>5075.5</v>
      </c>
      <c r="O22" t="n">
        <v>5081.2</v>
      </c>
      <c r="P22" t="n">
        <v>5156.1</v>
      </c>
      <c r="Q22" t="n">
        <v>5185.9</v>
      </c>
      <c r="R22" t="n">
        <v>5506.7</v>
      </c>
      <c r="S22" t="n">
        <v>5588.6</v>
      </c>
      <c r="T22" t="n">
        <v>5766.6</v>
      </c>
      <c r="U22" t="n">
        <v>5867.4</v>
      </c>
      <c r="V22" t="n">
        <v>5845.2</v>
      </c>
      <c r="W22" t="n">
        <v>5715.6</v>
      </c>
      <c r="X22" t="n">
        <v>5714.5</v>
      </c>
      <c r="Y22" t="n">
        <v>5880.7</v>
      </c>
      <c r="Z22" t="n">
        <v>5827.4</v>
      </c>
      <c r="AA22" t="n">
        <v>5694.9</v>
      </c>
      <c r="AB22" t="n">
        <v>5592.6</v>
      </c>
      <c r="AC22" t="n">
        <v>5576.1</v>
      </c>
      <c r="AD22" t="n">
        <v>5550.5</v>
      </c>
      <c r="AE22" t="n">
        <v>5488.3</v>
      </c>
      <c r="AF22" t="n">
        <v>5467.5</v>
      </c>
    </row>
    <row r="23">
      <c r="A23" t="s">
        <v>138</v>
      </c>
      <c r="B23" t="s">
        <v>316</v>
      </c>
      <c r="C23" t="s">
        <v>217</v>
      </c>
      <c r="D23" t="s">
        <v>317</v>
      </c>
      <c r="E23" t="s">
        <v>218</v>
      </c>
      <c r="F23" t="n">
        <v>3132.8</v>
      </c>
      <c r="G23" t="n">
        <v>3310.7</v>
      </c>
      <c r="H23" t="n">
        <v>3510.6</v>
      </c>
      <c r="I23" t="n">
        <v>3677.1</v>
      </c>
      <c r="J23" t="n">
        <v>3950</v>
      </c>
      <c r="K23" t="n">
        <v>4096.7</v>
      </c>
      <c r="L23" t="n">
        <v>4762.9</v>
      </c>
      <c r="M23" t="n">
        <v>5001.4</v>
      </c>
      <c r="N23" t="n">
        <v>5594.2</v>
      </c>
      <c r="O23" t="n">
        <v>5933.1</v>
      </c>
      <c r="P23" t="n">
        <v>6123.1</v>
      </c>
      <c r="Q23" t="n">
        <v>6346.4</v>
      </c>
      <c r="R23" t="n">
        <v>7236.7</v>
      </c>
      <c r="S23" t="n">
        <v>7966.3</v>
      </c>
      <c r="T23" t="n">
        <v>7944.3</v>
      </c>
      <c r="U23" t="n">
        <v>7276.8</v>
      </c>
      <c r="V23" t="n">
        <v>6396.3</v>
      </c>
      <c r="W23" t="n">
        <v>6076.2</v>
      </c>
      <c r="X23" t="n">
        <v>6260.1</v>
      </c>
      <c r="Y23" t="n">
        <v>5901.4</v>
      </c>
      <c r="Z23" t="n">
        <v>5484.4</v>
      </c>
      <c r="AA23" t="n">
        <v>5129.9</v>
      </c>
      <c r="AB23" t="n">
        <v>4825.1</v>
      </c>
      <c r="AC23" t="n">
        <v>4550.6</v>
      </c>
      <c r="AD23" t="n">
        <v>4331.5</v>
      </c>
      <c r="AE23" t="n">
        <v>4093.9</v>
      </c>
      <c r="AF23" t="n">
        <v>3941.7</v>
      </c>
    </row>
    <row r="24">
      <c r="A24" t="s">
        <v>138</v>
      </c>
      <c r="B24" t="s">
        <v>318</v>
      </c>
      <c r="C24" t="s">
        <v>217</v>
      </c>
      <c r="D24" t="s">
        <v>319</v>
      </c>
      <c r="E24" t="s">
        <v>218</v>
      </c>
      <c r="F24" t="n">
        <v>8317.9</v>
      </c>
      <c r="G24" t="n">
        <v>8868.4</v>
      </c>
      <c r="H24" t="n">
        <v>9464</v>
      </c>
      <c r="I24" t="n">
        <v>9999.4</v>
      </c>
      <c r="J24" t="n">
        <v>10747.7</v>
      </c>
      <c r="K24" t="n">
        <v>11333.8</v>
      </c>
      <c r="L24" t="n">
        <v>12037.4</v>
      </c>
      <c r="M24" t="n">
        <v>13279.6</v>
      </c>
      <c r="N24" t="n">
        <v>14178</v>
      </c>
      <c r="O24" t="n">
        <v>15068.2</v>
      </c>
      <c r="P24" t="n">
        <v>16484.7</v>
      </c>
      <c r="Q24" t="n">
        <v>17676.4</v>
      </c>
      <c r="R24" t="n">
        <v>19733.8</v>
      </c>
      <c r="S24" t="n">
        <v>20957.5</v>
      </c>
      <c r="T24" t="n">
        <v>21565</v>
      </c>
      <c r="U24" t="n">
        <v>21337.5</v>
      </c>
      <c r="V24" t="n">
        <v>20871.4</v>
      </c>
      <c r="W24" t="n">
        <v>19929.2</v>
      </c>
      <c r="X24" t="n">
        <v>19279.9</v>
      </c>
      <c r="Y24" t="n">
        <v>19096.3</v>
      </c>
      <c r="Z24" t="n">
        <v>18425.6</v>
      </c>
      <c r="AA24" t="n">
        <v>18009</v>
      </c>
      <c r="AB24" t="n">
        <v>17681.1</v>
      </c>
      <c r="AC24" t="n">
        <v>17484</v>
      </c>
      <c r="AD24" t="n">
        <v>17401.2</v>
      </c>
      <c r="AE24" t="n">
        <v>17268.9</v>
      </c>
      <c r="AF24" t="n">
        <v>17358</v>
      </c>
    </row>
    <row r="25">
      <c r="A25" t="s">
        <v>138</v>
      </c>
      <c r="B25" t="s">
        <v>320</v>
      </c>
      <c r="C25" t="s">
        <v>217</v>
      </c>
      <c r="D25" t="s">
        <v>321</v>
      </c>
      <c r="E25" t="s">
        <v>218</v>
      </c>
      <c r="F25" t="n">
        <v>299.2</v>
      </c>
      <c r="G25" t="n">
        <v>339.8</v>
      </c>
      <c r="H25" t="n">
        <v>396.6</v>
      </c>
      <c r="I25" t="n">
        <v>438.8</v>
      </c>
      <c r="J25" t="n">
        <v>500.6</v>
      </c>
      <c r="K25" t="n">
        <v>552</v>
      </c>
      <c r="L25" t="n">
        <v>893.1</v>
      </c>
      <c r="M25" t="n">
        <v>992.9</v>
      </c>
      <c r="N25" t="n">
        <v>1073.7</v>
      </c>
      <c r="O25" t="n">
        <v>1187</v>
      </c>
      <c r="P25" t="n">
        <v>1385.7</v>
      </c>
      <c r="Q25" t="n">
        <v>1537</v>
      </c>
      <c r="R25" t="n">
        <v>1811.6</v>
      </c>
      <c r="S25" t="n">
        <v>1994.6</v>
      </c>
      <c r="T25" t="n">
        <v>2124.6</v>
      </c>
      <c r="U25" t="n">
        <v>2015</v>
      </c>
      <c r="V25" t="n">
        <v>2074.5</v>
      </c>
      <c r="W25" t="n">
        <v>1914.8</v>
      </c>
      <c r="X25" t="n">
        <v>1827.9</v>
      </c>
      <c r="Y25" t="n">
        <v>1799</v>
      </c>
      <c r="Z25" t="n">
        <v>1701.9</v>
      </c>
      <c r="AA25" t="n">
        <v>1730.4</v>
      </c>
      <c r="AB25" t="n">
        <v>1757.9</v>
      </c>
      <c r="AC25" t="n">
        <v>1796</v>
      </c>
      <c r="AD25" t="n">
        <v>1757</v>
      </c>
      <c r="AE25" t="n">
        <v>1735.9</v>
      </c>
      <c r="AF25" t="n">
        <v>1739.1</v>
      </c>
    </row>
    <row r="26">
      <c r="A26" t="s">
        <v>138</v>
      </c>
      <c r="B26" t="s">
        <v>322</v>
      </c>
      <c r="C26" t="s">
        <v>217</v>
      </c>
      <c r="D26" t="s">
        <v>323</v>
      </c>
      <c r="E26" t="s">
        <v>218</v>
      </c>
      <c r="F26" t="n">
        <v>2481.5</v>
      </c>
      <c r="G26" t="n">
        <v>2690.3</v>
      </c>
      <c r="H26" t="n">
        <v>2928.1</v>
      </c>
      <c r="I26" t="n">
        <v>3148.3</v>
      </c>
      <c r="J26" t="n">
        <v>3453.9</v>
      </c>
      <c r="K26" t="n">
        <v>3700.8</v>
      </c>
      <c r="L26" t="n">
        <v>4013.9</v>
      </c>
      <c r="M26" t="n">
        <v>4699.4</v>
      </c>
      <c r="N26" t="n">
        <v>5153.3</v>
      </c>
      <c r="O26" t="n">
        <v>5797.3</v>
      </c>
      <c r="P26" t="n">
        <v>6429.3</v>
      </c>
      <c r="Q26" t="n">
        <v>7268.9</v>
      </c>
      <c r="R26" t="n">
        <v>8345</v>
      </c>
      <c r="S26" t="n">
        <v>9142.4</v>
      </c>
      <c r="T26" t="n">
        <v>9578.8</v>
      </c>
      <c r="U26" t="n">
        <v>9719.7</v>
      </c>
      <c r="V26" t="n">
        <v>9473.6</v>
      </c>
      <c r="W26" t="n">
        <v>9113</v>
      </c>
      <c r="X26" t="n">
        <v>8754.2</v>
      </c>
      <c r="Y26" t="n">
        <v>8662.3</v>
      </c>
      <c r="Z26" t="n">
        <v>8449.5</v>
      </c>
      <c r="AA26" t="n">
        <v>8156.8</v>
      </c>
      <c r="AB26" t="n">
        <v>7914.9</v>
      </c>
      <c r="AC26" t="n">
        <v>7779.6</v>
      </c>
      <c r="AD26" t="n">
        <v>7701.4</v>
      </c>
      <c r="AE26" t="n">
        <v>7727.4</v>
      </c>
      <c r="AF26" t="n">
        <v>7859.7</v>
      </c>
    </row>
    <row r="27">
      <c r="A27" t="s">
        <v>138</v>
      </c>
      <c r="B27" t="s">
        <v>324</v>
      </c>
      <c r="C27" t="s">
        <v>217</v>
      </c>
      <c r="D27" t="s">
        <v>325</v>
      </c>
      <c r="E27" t="s">
        <v>218</v>
      </c>
      <c r="F27" t="n">
        <v>5537.2</v>
      </c>
      <c r="G27" t="n">
        <v>5838.3</v>
      </c>
      <c r="H27" t="n">
        <v>6139.3</v>
      </c>
      <c r="I27" t="n">
        <v>6412.3</v>
      </c>
      <c r="J27" t="n">
        <v>6793.2</v>
      </c>
      <c r="K27" t="n">
        <v>7081</v>
      </c>
      <c r="L27" t="n">
        <v>7130.4</v>
      </c>
      <c r="M27" t="n">
        <v>7587.3</v>
      </c>
      <c r="N27" t="n">
        <v>7951</v>
      </c>
      <c r="O27" t="n">
        <v>8083.9</v>
      </c>
      <c r="P27" t="n">
        <v>8669.7</v>
      </c>
      <c r="Q27" t="n">
        <v>8870.5</v>
      </c>
      <c r="R27" t="n">
        <v>9577.2</v>
      </c>
      <c r="S27" t="n">
        <v>9820.5</v>
      </c>
      <c r="T27" t="n">
        <v>9861.6</v>
      </c>
      <c r="U27" t="n">
        <v>9602.8</v>
      </c>
      <c r="V27" t="n">
        <v>9323.3</v>
      </c>
      <c r="W27" t="n">
        <v>8901.4</v>
      </c>
      <c r="X27" t="n">
        <v>8697.8</v>
      </c>
      <c r="Y27" t="n">
        <v>8635</v>
      </c>
      <c r="Z27" t="n">
        <v>8274.2</v>
      </c>
      <c r="AA27" t="n">
        <v>8121.8</v>
      </c>
      <c r="AB27" t="n">
        <v>8008.3</v>
      </c>
      <c r="AC27" t="n">
        <v>7908.4</v>
      </c>
      <c r="AD27" t="n">
        <v>7942.8</v>
      </c>
      <c r="AE27" t="n">
        <v>7805.6</v>
      </c>
      <c r="AF27" t="n">
        <v>7759.2</v>
      </c>
    </row>
    <row r="28">
      <c r="A28" t="s">
        <v>138</v>
      </c>
      <c r="B28" t="s">
        <v>326</v>
      </c>
      <c r="C28" t="s">
        <v>217</v>
      </c>
      <c r="D28" t="s">
        <v>327</v>
      </c>
      <c r="E28" t="s">
        <v>218</v>
      </c>
      <c r="F28" t="n">
        <v>5599.5</v>
      </c>
      <c r="G28" t="n">
        <v>7516.4</v>
      </c>
      <c r="H28" t="n">
        <v>8949.9</v>
      </c>
      <c r="I28" t="n">
        <v>11510.7</v>
      </c>
      <c r="J28" t="n">
        <v>13419.7</v>
      </c>
      <c r="K28" t="n">
        <v>15810.7</v>
      </c>
      <c r="L28" t="n">
        <v>20399.8</v>
      </c>
      <c r="M28" t="n">
        <v>24609.7</v>
      </c>
      <c r="N28" t="n">
        <v>29359.9</v>
      </c>
      <c r="O28" t="n">
        <v>32555.2</v>
      </c>
      <c r="P28" t="n">
        <v>34557</v>
      </c>
      <c r="Q28" t="n">
        <v>39277.6</v>
      </c>
      <c r="R28" t="n">
        <v>45474.5</v>
      </c>
      <c r="S28" t="n">
        <v>49891.5</v>
      </c>
      <c r="T28" t="n">
        <v>53886.6</v>
      </c>
      <c r="U28" t="n">
        <v>56290.5</v>
      </c>
      <c r="V28" t="n">
        <v>49228.8</v>
      </c>
      <c r="W28" t="n">
        <v>45401.5</v>
      </c>
      <c r="X28" t="n">
        <v>42672.1</v>
      </c>
      <c r="Y28" t="n">
        <v>40248.8</v>
      </c>
      <c r="Z28" t="n">
        <v>38162.9</v>
      </c>
      <c r="AA28" t="n">
        <v>36199.8</v>
      </c>
      <c r="AB28" t="n">
        <v>34663.9</v>
      </c>
      <c r="AC28" t="n">
        <v>33413.7</v>
      </c>
      <c r="AD28" t="n">
        <v>32618.1</v>
      </c>
      <c r="AE28" t="n">
        <v>30887.4</v>
      </c>
      <c r="AF28" t="n">
        <v>29276.4</v>
      </c>
    </row>
    <row r="29">
      <c r="A29" t="s">
        <v>138</v>
      </c>
      <c r="B29" t="s">
        <v>328</v>
      </c>
      <c r="C29" t="s">
        <v>217</v>
      </c>
      <c r="D29" t="s">
        <v>329</v>
      </c>
      <c r="E29" t="s">
        <v>218</v>
      </c>
      <c r="F29" t="n">
        <v>3641.2</v>
      </c>
      <c r="G29" t="n">
        <v>4277.6</v>
      </c>
      <c r="H29" t="n">
        <v>5044.2</v>
      </c>
      <c r="I29" t="n">
        <v>5616</v>
      </c>
      <c r="J29" t="n">
        <v>6472.3</v>
      </c>
      <c r="K29" t="n">
        <v>7242</v>
      </c>
      <c r="L29" t="n">
        <v>9938.6</v>
      </c>
      <c r="M29" t="n">
        <v>10879.5</v>
      </c>
      <c r="N29" t="n">
        <v>12647.7</v>
      </c>
      <c r="O29" t="n">
        <v>14844.7</v>
      </c>
      <c r="P29" t="n">
        <v>16445</v>
      </c>
      <c r="Q29" t="n">
        <v>18160</v>
      </c>
      <c r="R29" t="n">
        <v>19561.5</v>
      </c>
      <c r="S29" t="n">
        <v>20600.2</v>
      </c>
      <c r="T29" t="n">
        <v>21512.1</v>
      </c>
      <c r="U29" t="n">
        <v>21090.7</v>
      </c>
      <c r="V29" t="n">
        <v>19820.6</v>
      </c>
      <c r="W29" t="n">
        <v>18563.6</v>
      </c>
      <c r="X29" t="n">
        <v>17684.5</v>
      </c>
      <c r="Y29" t="n">
        <v>16753.4</v>
      </c>
      <c r="Z29" t="n">
        <v>16015.7</v>
      </c>
      <c r="AA29" t="n">
        <v>15310.4</v>
      </c>
      <c r="AB29" t="n">
        <v>14940.7</v>
      </c>
      <c r="AC29" t="n">
        <v>14603.9</v>
      </c>
      <c r="AD29" t="n">
        <v>14300.6</v>
      </c>
      <c r="AE29" t="n">
        <v>13828.4</v>
      </c>
      <c r="AF29" t="n">
        <v>13530.1</v>
      </c>
    </row>
    <row r="30">
      <c r="A30" t="s">
        <v>138</v>
      </c>
      <c r="B30" t="s">
        <v>330</v>
      </c>
      <c r="C30" t="s">
        <v>217</v>
      </c>
      <c r="D30" t="s">
        <v>331</v>
      </c>
      <c r="E30" t="s">
        <v>218</v>
      </c>
      <c r="F30" t="n">
        <v>1210.4</v>
      </c>
      <c r="G30" t="n">
        <v>2383.3</v>
      </c>
      <c r="H30" t="n">
        <v>2958.2</v>
      </c>
      <c r="I30" t="n">
        <v>4862.6</v>
      </c>
      <c r="J30" t="n">
        <v>5794</v>
      </c>
      <c r="K30" t="n">
        <v>7293.2</v>
      </c>
      <c r="L30" t="n">
        <v>8693.8</v>
      </c>
      <c r="M30" t="n">
        <v>11503.2</v>
      </c>
      <c r="N30" t="n">
        <v>14385.7</v>
      </c>
      <c r="O30" t="n">
        <v>15192.9</v>
      </c>
      <c r="P30" t="n">
        <v>15061.1</v>
      </c>
      <c r="Q30" t="n">
        <v>18151.9</v>
      </c>
      <c r="R30" t="n">
        <v>22864.8</v>
      </c>
      <c r="S30" t="n">
        <v>26180.5</v>
      </c>
      <c r="T30" t="n">
        <v>29008</v>
      </c>
      <c r="U30" t="n">
        <v>31840.4</v>
      </c>
      <c r="V30" t="n">
        <v>26180.7</v>
      </c>
      <c r="W30" t="n">
        <v>23842.4</v>
      </c>
      <c r="X30" t="n">
        <v>22105.5</v>
      </c>
      <c r="Y30" t="n">
        <v>20681.5</v>
      </c>
      <c r="Z30" t="n">
        <v>19337.2</v>
      </c>
      <c r="AA30" t="n">
        <v>17917.8</v>
      </c>
      <c r="AB30" t="n">
        <v>16580.3</v>
      </c>
      <c r="AC30" t="n">
        <v>15426.4</v>
      </c>
      <c r="AD30" t="n">
        <v>14943.8</v>
      </c>
      <c r="AE30" t="n">
        <v>13888.5</v>
      </c>
      <c r="AF30" t="n">
        <v>12753.1</v>
      </c>
    </row>
    <row r="31">
      <c r="A31" t="s">
        <v>138</v>
      </c>
      <c r="B31" t="s">
        <v>332</v>
      </c>
      <c r="C31" t="s">
        <v>217</v>
      </c>
      <c r="D31" t="s">
        <v>333</v>
      </c>
      <c r="E31" t="s">
        <v>218</v>
      </c>
      <c r="F31" t="n">
        <v>356</v>
      </c>
      <c r="G31" t="n">
        <v>375.2</v>
      </c>
      <c r="H31" t="n">
        <v>373.4</v>
      </c>
      <c r="I31" t="n">
        <v>358.6</v>
      </c>
      <c r="J31" t="n">
        <v>359.1</v>
      </c>
      <c r="K31" t="n">
        <v>362.1</v>
      </c>
      <c r="L31" t="n">
        <v>604.3</v>
      </c>
      <c r="M31" t="n">
        <v>989.6</v>
      </c>
      <c r="N31" t="n">
        <v>932.8</v>
      </c>
      <c r="O31" t="n">
        <v>877.6</v>
      </c>
      <c r="P31" t="n">
        <v>1347.7</v>
      </c>
      <c r="Q31" t="n">
        <v>1254.4</v>
      </c>
      <c r="R31" t="n">
        <v>1210</v>
      </c>
      <c r="S31" t="n">
        <v>1161.1</v>
      </c>
      <c r="T31" t="n">
        <v>1120.5</v>
      </c>
      <c r="U31" t="n">
        <v>1063.6</v>
      </c>
      <c r="V31" t="n">
        <v>932.6</v>
      </c>
      <c r="W31" t="n">
        <v>864.6</v>
      </c>
      <c r="X31" t="n">
        <v>798.2</v>
      </c>
      <c r="Y31" t="n">
        <v>746.6</v>
      </c>
      <c r="Z31" t="n">
        <v>712.3</v>
      </c>
      <c r="AA31" t="n">
        <v>679.5</v>
      </c>
      <c r="AB31" t="n">
        <v>654.8</v>
      </c>
      <c r="AC31" t="n">
        <v>645.7</v>
      </c>
      <c r="AD31" t="n">
        <v>602.5</v>
      </c>
      <c r="AE31" t="n">
        <v>560.8</v>
      </c>
      <c r="AF31" t="n">
        <v>519.1</v>
      </c>
    </row>
    <row r="32">
      <c r="A32" t="s">
        <v>138</v>
      </c>
      <c r="B32" t="s">
        <v>334</v>
      </c>
      <c r="C32" t="s">
        <v>217</v>
      </c>
      <c r="D32" t="s">
        <v>335</v>
      </c>
      <c r="E32" t="s">
        <v>218</v>
      </c>
      <c r="F32" t="n">
        <v>301.5</v>
      </c>
      <c r="G32" t="n">
        <v>322.9</v>
      </c>
      <c r="H32" t="n">
        <v>342.9</v>
      </c>
      <c r="I32" t="n">
        <v>358.4</v>
      </c>
      <c r="J32" t="n">
        <v>389.4</v>
      </c>
      <c r="K32" t="n">
        <v>413.4</v>
      </c>
      <c r="L32" t="n">
        <v>480.8</v>
      </c>
      <c r="M32" t="n">
        <v>498.9</v>
      </c>
      <c r="N32" t="n">
        <v>594.2</v>
      </c>
      <c r="O32" t="n">
        <v>801.7</v>
      </c>
      <c r="P32" t="n">
        <v>872.6</v>
      </c>
      <c r="Q32" t="n">
        <v>922.4</v>
      </c>
      <c r="R32" t="n">
        <v>996.5</v>
      </c>
      <c r="S32" t="n">
        <v>1110.4</v>
      </c>
      <c r="T32" t="n">
        <v>1399.2</v>
      </c>
      <c r="U32" t="n">
        <v>1489.8</v>
      </c>
      <c r="V32" t="n">
        <v>1560.5</v>
      </c>
      <c r="W32" t="n">
        <v>1453.5</v>
      </c>
      <c r="X32" t="n">
        <v>1445.2</v>
      </c>
      <c r="Y32" t="n">
        <v>1461.5</v>
      </c>
      <c r="Z32" t="n">
        <v>1522.3</v>
      </c>
      <c r="AA32" t="n">
        <v>1749.9</v>
      </c>
      <c r="AB32" t="n">
        <v>1971.7</v>
      </c>
      <c r="AC32" t="n">
        <v>2241.8</v>
      </c>
      <c r="AD32" t="n">
        <v>2288.6</v>
      </c>
      <c r="AE32" t="n">
        <v>2147</v>
      </c>
      <c r="AF32" t="n">
        <v>2028</v>
      </c>
    </row>
    <row r="33">
      <c r="A33" t="s">
        <v>138</v>
      </c>
      <c r="B33" t="s">
        <v>336</v>
      </c>
      <c r="C33" t="s">
        <v>217</v>
      </c>
      <c r="D33" t="s">
        <v>337</v>
      </c>
      <c r="E33" t="s">
        <v>218</v>
      </c>
      <c r="F33" t="n">
        <v>90.4</v>
      </c>
      <c r="G33" t="n">
        <v>157.4</v>
      </c>
      <c r="H33" t="n">
        <v>231.2</v>
      </c>
      <c r="I33" t="n">
        <v>315.1</v>
      </c>
      <c r="J33" t="n">
        <v>404.9</v>
      </c>
      <c r="K33" t="n">
        <v>500</v>
      </c>
      <c r="L33" t="n">
        <v>682.3</v>
      </c>
      <c r="M33" t="n">
        <v>738.5</v>
      </c>
      <c r="N33" t="n">
        <v>799.5</v>
      </c>
      <c r="O33" t="n">
        <v>838.3</v>
      </c>
      <c r="P33" t="n">
        <v>830.6</v>
      </c>
      <c r="Q33" t="n">
        <v>788.9</v>
      </c>
      <c r="R33" t="n">
        <v>841.7</v>
      </c>
      <c r="S33" t="n">
        <v>839.3</v>
      </c>
      <c r="T33" t="n">
        <v>846.8</v>
      </c>
      <c r="U33" t="n">
        <v>806</v>
      </c>
      <c r="V33" t="n">
        <v>734.4</v>
      </c>
      <c r="W33" t="n">
        <v>677.4</v>
      </c>
      <c r="X33" t="n">
        <v>638.7</v>
      </c>
      <c r="Y33" t="n">
        <v>605.8</v>
      </c>
      <c r="Z33" t="n">
        <v>575.4</v>
      </c>
      <c r="AA33" t="n">
        <v>542.2</v>
      </c>
      <c r="AB33" t="n">
        <v>516.4</v>
      </c>
      <c r="AC33" t="n">
        <v>495.9</v>
      </c>
      <c r="AD33" t="n">
        <v>482.6</v>
      </c>
      <c r="AE33" t="n">
        <v>462.7</v>
      </c>
      <c r="AF33" t="n">
        <v>446.1</v>
      </c>
    </row>
    <row r="34">
      <c r="A34" t="s">
        <v>138</v>
      </c>
      <c r="B34" t="s">
        <v>338</v>
      </c>
      <c r="C34" t="s">
        <v>217</v>
      </c>
      <c r="D34" t="s">
        <v>339</v>
      </c>
      <c r="E34" t="s">
        <v>218</v>
      </c>
      <c r="F34" t="n">
        <v>7893.9</v>
      </c>
      <c r="G34" t="n">
        <v>8332.2</v>
      </c>
      <c r="H34" t="n">
        <v>8763.2</v>
      </c>
      <c r="I34" t="n">
        <v>9169.5</v>
      </c>
      <c r="J34" t="n">
        <v>9622.4</v>
      </c>
      <c r="K34" t="n">
        <v>9958.1</v>
      </c>
      <c r="L34" t="n">
        <v>10236.9</v>
      </c>
      <c r="M34" t="n">
        <v>10275.8</v>
      </c>
      <c r="N34" t="n">
        <v>10717</v>
      </c>
      <c r="O34" t="n">
        <v>11138.4</v>
      </c>
      <c r="P34" t="n">
        <v>11388.4</v>
      </c>
      <c r="Q34" t="n">
        <v>11538.6</v>
      </c>
      <c r="R34" t="n">
        <v>12532.1</v>
      </c>
      <c r="S34" t="n">
        <v>13504.2</v>
      </c>
      <c r="T34" t="n">
        <v>14054.2</v>
      </c>
      <c r="U34" t="n">
        <v>13515.4</v>
      </c>
      <c r="V34" t="n">
        <v>13310.6</v>
      </c>
      <c r="W34" t="n">
        <v>12532.5</v>
      </c>
      <c r="X34" t="n">
        <v>12072.3</v>
      </c>
      <c r="Y34" t="n">
        <v>12031.5</v>
      </c>
      <c r="Z34" t="n">
        <v>11868.6</v>
      </c>
      <c r="AA34" t="n">
        <v>11619.5</v>
      </c>
      <c r="AB34" t="n">
        <v>11413</v>
      </c>
      <c r="AC34" t="n">
        <v>11172.5</v>
      </c>
      <c r="AD34" t="n">
        <v>11163.5</v>
      </c>
      <c r="AE34" t="n">
        <v>11024.8</v>
      </c>
      <c r="AF34" t="n">
        <v>10977.3</v>
      </c>
    </row>
    <row r="35">
      <c r="A35" t="s">
        <v>138</v>
      </c>
      <c r="B35" t="s">
        <v>340</v>
      </c>
      <c r="C35" t="s">
        <v>217</v>
      </c>
      <c r="D35" t="s">
        <v>341</v>
      </c>
      <c r="E35" t="s">
        <v>218</v>
      </c>
      <c r="F35" t="n">
        <v>7715.2</v>
      </c>
      <c r="G35" t="n">
        <v>8868.9</v>
      </c>
      <c r="H35" t="n">
        <v>10026</v>
      </c>
      <c r="I35" t="n">
        <v>11271.6</v>
      </c>
      <c r="J35" t="n">
        <v>12601.6</v>
      </c>
      <c r="K35" t="n">
        <v>13908.2</v>
      </c>
      <c r="L35" t="n">
        <v>16097.3</v>
      </c>
      <c r="M35" t="n">
        <v>17199</v>
      </c>
      <c r="N35" t="n">
        <v>18364.6</v>
      </c>
      <c r="O35" t="n">
        <v>19211.3</v>
      </c>
      <c r="P35" t="n">
        <v>20012.1</v>
      </c>
      <c r="Q35" t="n">
        <v>20045.1</v>
      </c>
      <c r="R35" t="n">
        <v>21046.4</v>
      </c>
      <c r="S35" t="n">
        <v>21399.7</v>
      </c>
      <c r="T35" t="n">
        <v>21824.2</v>
      </c>
      <c r="U35" t="n">
        <v>21908.7</v>
      </c>
      <c r="V35" t="n">
        <v>20528.6</v>
      </c>
      <c r="W35" t="n">
        <v>19416.1</v>
      </c>
      <c r="X35" t="n">
        <v>18470.8</v>
      </c>
      <c r="Y35" t="n">
        <v>17798.3</v>
      </c>
      <c r="Z35" t="n">
        <v>16967.2</v>
      </c>
      <c r="AA35" t="n">
        <v>16390.4</v>
      </c>
      <c r="AB35" t="n">
        <v>15956.1</v>
      </c>
      <c r="AC35" t="n">
        <v>15635.6</v>
      </c>
      <c r="AD35" t="n">
        <v>15313.1</v>
      </c>
      <c r="AE35" t="n">
        <v>15062.1</v>
      </c>
      <c r="AF35" t="n">
        <v>14953.2</v>
      </c>
    </row>
    <row r="36">
      <c r="A36" t="s">
        <v>138</v>
      </c>
      <c r="B36" t="s">
        <v>342</v>
      </c>
      <c r="C36" t="s">
        <v>217</v>
      </c>
      <c r="D36" t="s">
        <v>343</v>
      </c>
      <c r="E36" t="s">
        <v>218</v>
      </c>
      <c r="F36" t="n">
        <v>734.4</v>
      </c>
      <c r="G36" t="n">
        <v>907.9</v>
      </c>
      <c r="H36" t="n">
        <v>1087</v>
      </c>
      <c r="I36" t="n">
        <v>1275.4</v>
      </c>
      <c r="J36" t="n">
        <v>1487.2</v>
      </c>
      <c r="K36" t="n">
        <v>1704.5</v>
      </c>
      <c r="L36" t="n">
        <v>1968.8</v>
      </c>
      <c r="M36" t="n">
        <v>2337.7</v>
      </c>
      <c r="N36" t="n">
        <v>2697.9</v>
      </c>
      <c r="O36" t="n">
        <v>3040.4</v>
      </c>
      <c r="P36" t="n">
        <v>3119.3</v>
      </c>
      <c r="Q36" t="n">
        <v>3347.2</v>
      </c>
      <c r="R36" t="n">
        <v>3692.3</v>
      </c>
      <c r="S36" t="n">
        <v>4057</v>
      </c>
      <c r="T36" t="n">
        <v>4397.5</v>
      </c>
      <c r="U36" t="n">
        <v>4269.7</v>
      </c>
      <c r="V36" t="n">
        <v>3952.1</v>
      </c>
      <c r="W36" t="n">
        <v>3739.8</v>
      </c>
      <c r="X36" t="n">
        <v>3484.5</v>
      </c>
      <c r="Y36" t="n">
        <v>3299.9</v>
      </c>
      <c r="Z36" t="n">
        <v>3100.6</v>
      </c>
      <c r="AA36" t="n">
        <v>2908.9</v>
      </c>
      <c r="AB36" t="n">
        <v>2745.4</v>
      </c>
      <c r="AC36" t="n">
        <v>2628.8</v>
      </c>
      <c r="AD36" t="n">
        <v>2545.9</v>
      </c>
      <c r="AE36" t="n">
        <v>2548.9</v>
      </c>
      <c r="AF36" t="n">
        <v>2580.1</v>
      </c>
    </row>
    <row r="37">
      <c r="A37" t="s">
        <v>138</v>
      </c>
      <c r="B37" t="s">
        <v>344</v>
      </c>
      <c r="C37" t="s">
        <v>217</v>
      </c>
      <c r="D37" t="s">
        <v>345</v>
      </c>
      <c r="E37" t="s">
        <v>218</v>
      </c>
      <c r="F37" t="n">
        <v>6872.9</v>
      </c>
      <c r="G37" t="n">
        <v>7803.9</v>
      </c>
      <c r="H37" t="n">
        <v>8732.7</v>
      </c>
      <c r="I37" t="n">
        <v>9732.8</v>
      </c>
      <c r="J37" t="n">
        <v>10793.7</v>
      </c>
      <c r="K37" t="n">
        <v>11803.6</v>
      </c>
      <c r="L37" t="n">
        <v>13659.3</v>
      </c>
      <c r="M37" t="n">
        <v>14249.3</v>
      </c>
      <c r="N37" t="n">
        <v>14979.5</v>
      </c>
      <c r="O37" t="n">
        <v>15395.7</v>
      </c>
      <c r="P37" t="n">
        <v>16193.2</v>
      </c>
      <c r="Q37" t="n">
        <v>16002.3</v>
      </c>
      <c r="R37" t="n">
        <v>16615.4</v>
      </c>
      <c r="S37" t="n">
        <v>16636.6</v>
      </c>
      <c r="T37" t="n">
        <v>16676.2</v>
      </c>
      <c r="U37" t="n">
        <v>16599.5</v>
      </c>
      <c r="V37" t="n">
        <v>15762.1</v>
      </c>
      <c r="W37" t="n">
        <v>14902.8</v>
      </c>
      <c r="X37" t="n">
        <v>14257.6</v>
      </c>
      <c r="Y37" t="n">
        <v>13768.6</v>
      </c>
      <c r="Z37" t="n">
        <v>13124.2</v>
      </c>
      <c r="AA37" t="n">
        <v>12669.2</v>
      </c>
      <c r="AB37" t="n">
        <v>12335.5</v>
      </c>
      <c r="AC37" t="n">
        <v>12152.3</v>
      </c>
      <c r="AD37" t="n">
        <v>11893.8</v>
      </c>
      <c r="AE37" t="n">
        <v>11589.9</v>
      </c>
      <c r="AF37" t="n">
        <v>11392.2</v>
      </c>
    </row>
    <row r="38">
      <c r="A38" t="s">
        <v>138</v>
      </c>
      <c r="B38" t="s">
        <v>346</v>
      </c>
      <c r="C38" t="s">
        <v>217</v>
      </c>
      <c r="D38" t="s">
        <v>347</v>
      </c>
      <c r="E38" t="s">
        <v>218</v>
      </c>
      <c r="F38" t="n">
        <v>107.9</v>
      </c>
      <c r="G38" t="n">
        <v>157.1</v>
      </c>
      <c r="H38" t="n">
        <v>206.3</v>
      </c>
      <c r="I38" t="n">
        <v>263.4</v>
      </c>
      <c r="J38" t="n">
        <v>320.7</v>
      </c>
      <c r="K38" t="n">
        <v>400.1</v>
      </c>
      <c r="L38" t="n">
        <v>469.2</v>
      </c>
      <c r="M38" t="n">
        <v>612</v>
      </c>
      <c r="N38" t="n">
        <v>687.2</v>
      </c>
      <c r="O38" t="n">
        <v>775.2</v>
      </c>
      <c r="P38" t="n">
        <v>699.6</v>
      </c>
      <c r="Q38" t="n">
        <v>695.6</v>
      </c>
      <c r="R38" t="n">
        <v>738.7</v>
      </c>
      <c r="S38" t="n">
        <v>706.1</v>
      </c>
      <c r="T38" t="n">
        <v>750.5</v>
      </c>
      <c r="U38" t="n">
        <v>1039.5</v>
      </c>
      <c r="V38" t="n">
        <v>814.4</v>
      </c>
      <c r="W38" t="n">
        <v>773.5</v>
      </c>
      <c r="X38" t="n">
        <v>728.7</v>
      </c>
      <c r="Y38" t="n">
        <v>729.8</v>
      </c>
      <c r="Z38" t="n">
        <v>742.4</v>
      </c>
      <c r="AA38" t="n">
        <v>812.3</v>
      </c>
      <c r="AB38" t="n">
        <v>875.2</v>
      </c>
      <c r="AC38" t="n">
        <v>854.5</v>
      </c>
      <c r="AD38" t="n">
        <v>873.4</v>
      </c>
      <c r="AE38" t="n">
        <v>923.3</v>
      </c>
      <c r="AF38" t="n">
        <v>980.9</v>
      </c>
    </row>
    <row r="39">
      <c r="A39" t="s">
        <v>138</v>
      </c>
      <c r="B39" t="s">
        <v>348</v>
      </c>
      <c r="C39" t="s">
        <v>217</v>
      </c>
      <c r="D39" t="s">
        <v>349</v>
      </c>
      <c r="E39" t="s">
        <v>218</v>
      </c>
      <c r="F39" t="n">
        <v>1316.8</v>
      </c>
      <c r="G39" t="n">
        <v>1517.8</v>
      </c>
      <c r="H39" t="n">
        <v>1714.8</v>
      </c>
      <c r="I39" t="n">
        <v>1952.6</v>
      </c>
      <c r="J39" t="n">
        <v>2182.4</v>
      </c>
      <c r="K39" t="n">
        <v>2515.2</v>
      </c>
      <c r="L39" t="n">
        <v>2694.4</v>
      </c>
      <c r="M39" t="n">
        <v>2793.6</v>
      </c>
      <c r="N39" t="n">
        <v>2726.1</v>
      </c>
      <c r="O39" t="n">
        <v>2721.4</v>
      </c>
      <c r="P39" t="n">
        <v>2749.7</v>
      </c>
      <c r="Q39" t="n">
        <v>2867</v>
      </c>
      <c r="R39" t="n">
        <v>3120.6</v>
      </c>
      <c r="S39" t="n">
        <v>3322</v>
      </c>
      <c r="T39" t="n">
        <v>3419.2</v>
      </c>
      <c r="U39" t="n">
        <v>3322.8</v>
      </c>
      <c r="V39" t="n">
        <v>3850.5</v>
      </c>
      <c r="W39" t="n">
        <v>3749.7</v>
      </c>
      <c r="X39" t="n">
        <v>3998.3</v>
      </c>
      <c r="Y39" t="n">
        <v>4070.4</v>
      </c>
      <c r="Z39" t="n">
        <v>4084.1</v>
      </c>
      <c r="AA39" t="n">
        <v>4153.6</v>
      </c>
      <c r="AB39" t="n">
        <v>4151</v>
      </c>
      <c r="AC39" t="n">
        <v>4448.2</v>
      </c>
      <c r="AD39" t="n">
        <v>4722.1</v>
      </c>
      <c r="AE39" t="n">
        <v>4975.7</v>
      </c>
      <c r="AF39" t="n">
        <v>5259.9</v>
      </c>
    </row>
    <row r="40">
      <c r="A40" t="s">
        <v>138</v>
      </c>
      <c r="B40" t="s">
        <v>350</v>
      </c>
      <c r="C40" t="s">
        <v>217</v>
      </c>
      <c r="D40" t="s">
        <v>351</v>
      </c>
      <c r="E40" t="s">
        <v>218</v>
      </c>
      <c r="F40" t="n">
        <v>146741.2</v>
      </c>
      <c r="G40" t="n">
        <v>161930.3</v>
      </c>
      <c r="H40" t="n">
        <v>175550.6</v>
      </c>
      <c r="I40" t="n">
        <v>190513</v>
      </c>
      <c r="J40" t="n">
        <v>206813.7</v>
      </c>
      <c r="K40" t="n">
        <v>220636.7</v>
      </c>
      <c r="L40" t="n">
        <v>232943.4</v>
      </c>
      <c r="M40" t="n">
        <v>245619.8</v>
      </c>
      <c r="N40" t="n">
        <v>264679.7</v>
      </c>
      <c r="O40" t="n">
        <v>282555.7</v>
      </c>
      <c r="P40" t="n">
        <v>298785.6</v>
      </c>
      <c r="Q40" t="n">
        <v>309649.2</v>
      </c>
      <c r="R40" t="n">
        <v>343345.6</v>
      </c>
      <c r="S40" t="n">
        <v>356613.6</v>
      </c>
      <c r="T40" t="n">
        <v>369423.5</v>
      </c>
      <c r="U40" t="n">
        <v>364036</v>
      </c>
      <c r="V40" t="n">
        <v>355679.6</v>
      </c>
      <c r="W40" t="n">
        <v>340240.9</v>
      </c>
      <c r="X40" t="n">
        <v>331706.4</v>
      </c>
      <c r="Y40" t="n">
        <v>319746.7</v>
      </c>
      <c r="Z40" t="n">
        <v>300941.9</v>
      </c>
      <c r="AA40" t="n">
        <v>284895.9</v>
      </c>
      <c r="AB40" t="n">
        <v>272672.7</v>
      </c>
      <c r="AC40" t="n">
        <v>264971.4</v>
      </c>
      <c r="AD40" t="n">
        <v>259381.8</v>
      </c>
      <c r="AE40" t="n">
        <v>252312.5</v>
      </c>
      <c r="AF40" t="n">
        <v>246806.6</v>
      </c>
    </row>
    <row r="41">
      <c r="A41" t="s">
        <v>138</v>
      </c>
      <c r="B41" t="s">
        <v>352</v>
      </c>
      <c r="C41" t="s">
        <v>217</v>
      </c>
      <c r="D41" t="s">
        <v>353</v>
      </c>
      <c r="E41" t="s">
        <v>218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138</v>
      </c>
      <c r="B42" t="s">
        <v>354</v>
      </c>
      <c r="C42" t="s">
        <v>217</v>
      </c>
      <c r="D42" t="s">
        <v>355</v>
      </c>
      <c r="E42" t="s">
        <v>218</v>
      </c>
      <c r="F42" t="n">
        <v>1060.6</v>
      </c>
      <c r="G42" t="n">
        <v>1307.3</v>
      </c>
      <c r="H42" t="n">
        <v>1601.5</v>
      </c>
      <c r="I42" t="n">
        <v>1906.7</v>
      </c>
      <c r="J42" t="n">
        <v>2235.6</v>
      </c>
      <c r="K42" t="n">
        <v>2673.9</v>
      </c>
      <c r="L42" t="n">
        <v>3025.4</v>
      </c>
      <c r="M42" t="n">
        <v>3227.8</v>
      </c>
      <c r="N42" t="n">
        <v>3715.7</v>
      </c>
      <c r="O42" t="n">
        <v>4160</v>
      </c>
      <c r="P42" t="n">
        <v>4182.2</v>
      </c>
      <c r="Q42" t="n">
        <v>4278.9</v>
      </c>
      <c r="R42" t="n">
        <v>4671.6</v>
      </c>
      <c r="S42" t="n">
        <v>4899.6</v>
      </c>
      <c r="T42" t="n">
        <v>5137.6</v>
      </c>
      <c r="U42" t="n">
        <v>5017.8</v>
      </c>
      <c r="V42" t="n">
        <v>4845.6</v>
      </c>
      <c r="W42" t="n">
        <v>4702.5</v>
      </c>
      <c r="X42" t="n">
        <v>4493.1</v>
      </c>
      <c r="Y42" t="n">
        <v>4305.9</v>
      </c>
      <c r="Z42" t="n">
        <v>4158.1</v>
      </c>
      <c r="AA42" t="n">
        <v>3975.4</v>
      </c>
      <c r="AB42" t="n">
        <v>3837.3</v>
      </c>
      <c r="AC42" t="n">
        <v>3677.1</v>
      </c>
      <c r="AD42" t="n">
        <v>3650.9</v>
      </c>
      <c r="AE42" t="n">
        <v>3693.7</v>
      </c>
      <c r="AF42" t="n">
        <v>3763.9</v>
      </c>
    </row>
    <row r="43">
      <c r="A43" t="s">
        <v>138</v>
      </c>
      <c r="B43" t="s">
        <v>356</v>
      </c>
      <c r="C43" t="s">
        <v>217</v>
      </c>
      <c r="D43" t="s">
        <v>357</v>
      </c>
      <c r="E43" t="s">
        <v>218</v>
      </c>
      <c r="F43" t="n">
        <v>1616.1</v>
      </c>
      <c r="G43" t="n">
        <v>1983.1</v>
      </c>
      <c r="H43" t="n">
        <v>2384.1</v>
      </c>
      <c r="I43" t="n">
        <v>2816.7</v>
      </c>
      <c r="J43" t="n">
        <v>3266.5</v>
      </c>
      <c r="K43" t="n">
        <v>3861.6</v>
      </c>
      <c r="L43" t="n">
        <v>4432.3</v>
      </c>
      <c r="M43" t="n">
        <v>4748.7</v>
      </c>
      <c r="N43" t="n">
        <v>5468.6</v>
      </c>
      <c r="O43" t="n">
        <v>6351.2</v>
      </c>
      <c r="P43" t="n">
        <v>7094.4</v>
      </c>
      <c r="Q43" t="n">
        <v>7784.9</v>
      </c>
      <c r="R43" t="n">
        <v>9257.8</v>
      </c>
      <c r="S43" t="n">
        <v>11046.2</v>
      </c>
      <c r="T43" t="n">
        <v>12376.2</v>
      </c>
      <c r="U43" t="n">
        <v>12363.5</v>
      </c>
      <c r="V43" t="n">
        <v>11602.2</v>
      </c>
      <c r="W43" t="n">
        <v>10691.5</v>
      </c>
      <c r="X43" t="n">
        <v>9720.4</v>
      </c>
      <c r="Y43" t="n">
        <v>9121.8</v>
      </c>
      <c r="Z43" t="n">
        <v>8635.3</v>
      </c>
      <c r="AA43" t="n">
        <v>8084.5</v>
      </c>
      <c r="AB43" t="n">
        <v>7617</v>
      </c>
      <c r="AC43" t="n">
        <v>7189.1</v>
      </c>
      <c r="AD43" t="n">
        <v>7131.4</v>
      </c>
      <c r="AE43" t="n">
        <v>7038.4</v>
      </c>
      <c r="AF43" t="n">
        <v>7052.3</v>
      </c>
    </row>
    <row r="44">
      <c r="A44" t="s">
        <v>138</v>
      </c>
      <c r="B44" t="s">
        <v>358</v>
      </c>
      <c r="C44" t="s">
        <v>217</v>
      </c>
      <c r="D44" t="s">
        <v>359</v>
      </c>
      <c r="E44" t="s">
        <v>218</v>
      </c>
      <c r="F44" t="n">
        <v>70254.4</v>
      </c>
      <c r="G44" t="n">
        <v>78424</v>
      </c>
      <c r="H44" t="n">
        <v>86784.5</v>
      </c>
      <c r="I44" t="n">
        <v>96098.4</v>
      </c>
      <c r="J44" t="n">
        <v>106356.5</v>
      </c>
      <c r="K44" t="n">
        <v>115902.7</v>
      </c>
      <c r="L44" t="n">
        <v>128244.6</v>
      </c>
      <c r="M44" t="n">
        <v>137237.6</v>
      </c>
      <c r="N44" t="n">
        <v>148191.4</v>
      </c>
      <c r="O44" t="n">
        <v>156989.2</v>
      </c>
      <c r="P44" t="n">
        <v>163807.1</v>
      </c>
      <c r="Q44" t="n">
        <v>171605.9</v>
      </c>
      <c r="R44" t="n">
        <v>189001.7</v>
      </c>
      <c r="S44" t="n">
        <v>202201.5</v>
      </c>
      <c r="T44" t="n">
        <v>213473</v>
      </c>
      <c r="U44" t="n">
        <v>215170.7</v>
      </c>
      <c r="V44" t="n">
        <v>198574.5</v>
      </c>
      <c r="W44" t="n">
        <v>189120.1</v>
      </c>
      <c r="X44" t="n">
        <v>181103.1</v>
      </c>
      <c r="Y44" t="n">
        <v>175727.5</v>
      </c>
      <c r="Z44" t="n">
        <v>169062.5</v>
      </c>
      <c r="AA44" t="n">
        <v>163569.3</v>
      </c>
      <c r="AB44" t="n">
        <v>158979.7</v>
      </c>
      <c r="AC44" t="n">
        <v>155990.1</v>
      </c>
      <c r="AD44" t="n">
        <v>154391.6</v>
      </c>
      <c r="AE44" t="n">
        <v>152119.2</v>
      </c>
      <c r="AF44" t="n">
        <v>151403.1</v>
      </c>
    </row>
    <row r="45">
      <c r="A45" t="s">
        <v>138</v>
      </c>
      <c r="B45" t="s">
        <v>360</v>
      </c>
      <c r="C45" t="s">
        <v>217</v>
      </c>
      <c r="D45" t="s">
        <v>361</v>
      </c>
      <c r="E45" t="s">
        <v>218</v>
      </c>
      <c r="F45" t="n">
        <v>61261.4</v>
      </c>
      <c r="G45" t="n">
        <v>68763.7</v>
      </c>
      <c r="H45" t="n">
        <v>76370.6</v>
      </c>
      <c r="I45" t="n">
        <v>85087.5</v>
      </c>
      <c r="J45" t="n">
        <v>94454.8</v>
      </c>
      <c r="K45" t="n">
        <v>103395.2</v>
      </c>
      <c r="L45" t="n">
        <v>115021.8</v>
      </c>
      <c r="M45" t="n">
        <v>123649.4</v>
      </c>
      <c r="N45" t="n">
        <v>133868.8</v>
      </c>
      <c r="O45" t="n">
        <v>142043.3</v>
      </c>
      <c r="P45" t="n">
        <v>148277.2</v>
      </c>
      <c r="Q45" t="n">
        <v>156035.1</v>
      </c>
      <c r="R45" t="n">
        <v>172000</v>
      </c>
      <c r="S45" t="n">
        <v>184086.3</v>
      </c>
      <c r="T45" t="n">
        <v>194638.7</v>
      </c>
      <c r="U45" t="n">
        <v>196624.9</v>
      </c>
      <c r="V45" t="n">
        <v>180742.8</v>
      </c>
      <c r="W45" t="n">
        <v>172060.5</v>
      </c>
      <c r="X45" t="n">
        <v>164775.3</v>
      </c>
      <c r="Y45" t="n">
        <v>159786.4</v>
      </c>
      <c r="Z45" t="n">
        <v>153587.3</v>
      </c>
      <c r="AA45" t="n">
        <v>148359.8</v>
      </c>
      <c r="AB45" t="n">
        <v>143991.5</v>
      </c>
      <c r="AC45" t="n">
        <v>141077.2</v>
      </c>
      <c r="AD45" t="n">
        <v>139453.8</v>
      </c>
      <c r="AE45" t="n">
        <v>137186.6</v>
      </c>
      <c r="AF45" t="n">
        <v>136277.6</v>
      </c>
    </row>
    <row r="46">
      <c r="A46" t="s">
        <v>138</v>
      </c>
      <c r="B46" t="s">
        <v>362</v>
      </c>
      <c r="C46" t="s">
        <v>217</v>
      </c>
      <c r="D46" t="s">
        <v>363</v>
      </c>
      <c r="E46" t="s">
        <v>218</v>
      </c>
      <c r="F46" t="n">
        <v>555.5</v>
      </c>
      <c r="G46" t="n">
        <v>675.8</v>
      </c>
      <c r="H46" t="n">
        <v>782.6</v>
      </c>
      <c r="I46" t="n">
        <v>910</v>
      </c>
      <c r="J46" t="n">
        <v>1030.9</v>
      </c>
      <c r="K46" t="n">
        <v>1187.7</v>
      </c>
      <c r="L46" t="n">
        <v>1406.9</v>
      </c>
      <c r="M46" t="n">
        <v>1520.9</v>
      </c>
      <c r="N46" t="n">
        <v>1752.9</v>
      </c>
      <c r="O46" t="n">
        <v>2191.2</v>
      </c>
      <c r="P46" t="n">
        <v>2912.2</v>
      </c>
      <c r="Q46" t="n">
        <v>3506</v>
      </c>
      <c r="R46" t="n">
        <v>4586.2</v>
      </c>
      <c r="S46" t="n">
        <v>6146.6</v>
      </c>
      <c r="T46" t="n">
        <v>7238.6</v>
      </c>
      <c r="U46" t="n">
        <v>7345.7</v>
      </c>
      <c r="V46" t="n">
        <v>6756.6</v>
      </c>
      <c r="W46" t="n">
        <v>5989</v>
      </c>
      <c r="X46" t="n">
        <v>5227.3</v>
      </c>
      <c r="Y46" t="n">
        <v>4815.9</v>
      </c>
      <c r="Z46" t="n">
        <v>4477.2</v>
      </c>
      <c r="AA46" t="n">
        <v>4109.1</v>
      </c>
      <c r="AB46" t="n">
        <v>3779.7</v>
      </c>
      <c r="AC46" t="n">
        <v>3512</v>
      </c>
      <c r="AD46" t="n">
        <v>3480.5</v>
      </c>
      <c r="AE46" t="n">
        <v>3344.7</v>
      </c>
      <c r="AF46" t="n">
        <v>3288.4</v>
      </c>
    </row>
    <row r="47">
      <c r="A47" t="s">
        <v>138</v>
      </c>
      <c r="B47" t="s">
        <v>364</v>
      </c>
      <c r="C47" t="s">
        <v>217</v>
      </c>
      <c r="D47" t="s">
        <v>365</v>
      </c>
      <c r="E47" t="s">
        <v>218</v>
      </c>
      <c r="F47" t="n">
        <v>40461.1</v>
      </c>
      <c r="G47" t="n">
        <v>45848.9</v>
      </c>
      <c r="H47" t="n">
        <v>48865.9</v>
      </c>
      <c r="I47" t="n">
        <v>53226.7</v>
      </c>
      <c r="J47" t="n">
        <v>57067.2</v>
      </c>
      <c r="K47" t="n">
        <v>60099.7</v>
      </c>
      <c r="L47" t="n">
        <v>64315.2</v>
      </c>
      <c r="M47" t="n">
        <v>69021.4</v>
      </c>
      <c r="N47" t="n">
        <v>75491.4</v>
      </c>
      <c r="O47" t="n">
        <v>80043.2</v>
      </c>
      <c r="P47" t="n">
        <v>81637.6</v>
      </c>
      <c r="Q47" t="n">
        <v>84088.1</v>
      </c>
      <c r="R47" t="n">
        <v>90321.2</v>
      </c>
      <c r="S47" t="n">
        <v>95046.1</v>
      </c>
      <c r="T47" t="n">
        <v>102567.8</v>
      </c>
      <c r="U47" t="n">
        <v>102322</v>
      </c>
      <c r="V47" t="n">
        <v>98597.8</v>
      </c>
      <c r="W47" t="n">
        <v>94166.5</v>
      </c>
      <c r="X47" t="n">
        <v>93228</v>
      </c>
      <c r="Y47" t="n">
        <v>92895</v>
      </c>
      <c r="Z47" t="n">
        <v>90898.7</v>
      </c>
      <c r="AA47" t="n">
        <v>89062.8</v>
      </c>
      <c r="AB47" t="n">
        <v>89605.8</v>
      </c>
      <c r="AC47" t="n">
        <v>88894.8</v>
      </c>
      <c r="AD47" t="n">
        <v>87705.8</v>
      </c>
      <c r="AE47" t="n">
        <v>86313.3</v>
      </c>
      <c r="AF47" t="n">
        <v>86133.9</v>
      </c>
    </row>
    <row r="48">
      <c r="A48" t="s">
        <v>138</v>
      </c>
      <c r="B48" t="s">
        <v>366</v>
      </c>
      <c r="C48" t="s">
        <v>217</v>
      </c>
      <c r="D48" t="s">
        <v>367</v>
      </c>
      <c r="E48" t="s">
        <v>218</v>
      </c>
      <c r="F48" t="n">
        <v>46288.5</v>
      </c>
      <c r="G48" t="n">
        <v>52665.3</v>
      </c>
      <c r="H48" t="n">
        <v>56759.3</v>
      </c>
      <c r="I48" t="n">
        <v>62305.7</v>
      </c>
      <c r="J48" t="n">
        <v>67513.9</v>
      </c>
      <c r="K48" t="n">
        <v>71832.8</v>
      </c>
      <c r="L48" t="n">
        <v>77264.3</v>
      </c>
      <c r="M48" t="n">
        <v>82886.4</v>
      </c>
      <c r="N48" t="n">
        <v>90772.9</v>
      </c>
      <c r="O48" t="n">
        <v>96400</v>
      </c>
      <c r="P48" t="n">
        <v>98827.7</v>
      </c>
      <c r="Q48" t="n">
        <v>101825</v>
      </c>
      <c r="R48" t="n">
        <v>108973.8</v>
      </c>
      <c r="S48" t="n">
        <v>114218.1</v>
      </c>
      <c r="T48" t="n">
        <v>122228</v>
      </c>
      <c r="U48" t="n">
        <v>121409.6</v>
      </c>
      <c r="V48" t="n">
        <v>116555.4</v>
      </c>
      <c r="W48" t="n">
        <v>111328.5</v>
      </c>
      <c r="X48" t="n">
        <v>110008.9</v>
      </c>
      <c r="Y48" t="n">
        <v>109144.8</v>
      </c>
      <c r="Z48" t="n">
        <v>106503.6</v>
      </c>
      <c r="AA48" t="n">
        <v>103953.8</v>
      </c>
      <c r="AB48" t="n">
        <v>103957.4</v>
      </c>
      <c r="AC48" t="n">
        <v>103007.7</v>
      </c>
      <c r="AD48" t="n">
        <v>101740.4</v>
      </c>
      <c r="AE48" t="n">
        <v>100266.8</v>
      </c>
      <c r="AF48" t="n">
        <v>100046.1</v>
      </c>
    </row>
    <row r="49">
      <c r="A49" t="s">
        <v>138</v>
      </c>
      <c r="B49" t="s">
        <v>368</v>
      </c>
      <c r="C49" t="s">
        <v>217</v>
      </c>
      <c r="D49" t="s">
        <v>369</v>
      </c>
      <c r="E49" t="s">
        <v>218</v>
      </c>
      <c r="F49" t="n">
        <v>4247.5</v>
      </c>
      <c r="G49" t="n">
        <v>4988.5</v>
      </c>
      <c r="H49" t="n">
        <v>5787.6</v>
      </c>
      <c r="I49" t="n">
        <v>6649.3</v>
      </c>
      <c r="J49" t="n">
        <v>7674.7</v>
      </c>
      <c r="K49" t="n">
        <v>8615.7</v>
      </c>
      <c r="L49" t="n">
        <v>9321.1</v>
      </c>
      <c r="M49" t="n">
        <v>9775.2</v>
      </c>
      <c r="N49" t="n">
        <v>10710.6</v>
      </c>
      <c r="O49" t="n">
        <v>11394.1</v>
      </c>
      <c r="P49" t="n">
        <v>11924.3</v>
      </c>
      <c r="Q49" t="n">
        <v>12418.8</v>
      </c>
      <c r="R49" t="n">
        <v>13098.8</v>
      </c>
      <c r="S49" t="n">
        <v>13469.5</v>
      </c>
      <c r="T49" t="n">
        <v>13747.1</v>
      </c>
      <c r="U49" t="n">
        <v>13349.1</v>
      </c>
      <c r="V49" t="n">
        <v>12524.8</v>
      </c>
      <c r="W49" t="n">
        <v>12021.3</v>
      </c>
      <c r="X49" t="n">
        <v>11855.1</v>
      </c>
      <c r="Y49" t="n">
        <v>11547</v>
      </c>
      <c r="Z49" t="n">
        <v>11050.5</v>
      </c>
      <c r="AA49" t="n">
        <v>10514.1</v>
      </c>
      <c r="AB49" t="n">
        <v>9998.8</v>
      </c>
      <c r="AC49" t="n">
        <v>9732.9</v>
      </c>
      <c r="AD49" t="n">
        <v>9598</v>
      </c>
      <c r="AE49" t="n">
        <v>9495.1</v>
      </c>
      <c r="AF49" t="n">
        <v>9398.3</v>
      </c>
    </row>
    <row r="50">
      <c r="A50" t="s">
        <v>138</v>
      </c>
      <c r="B50" t="s">
        <v>370</v>
      </c>
      <c r="C50" t="s">
        <v>217</v>
      </c>
      <c r="D50" t="s">
        <v>371</v>
      </c>
      <c r="E50" t="s">
        <v>218</v>
      </c>
      <c r="F50" t="n">
        <v>1579.9</v>
      </c>
      <c r="G50" t="n">
        <v>1828</v>
      </c>
      <c r="H50" t="n">
        <v>2105.7</v>
      </c>
      <c r="I50" t="n">
        <v>2429.8</v>
      </c>
      <c r="J50" t="n">
        <v>2772.1</v>
      </c>
      <c r="K50" t="n">
        <v>3117.3</v>
      </c>
      <c r="L50" t="n">
        <v>3628.1</v>
      </c>
      <c r="M50" t="n">
        <v>4089.8</v>
      </c>
      <c r="N50" t="n">
        <v>4570.9</v>
      </c>
      <c r="O50" t="n">
        <v>4962.7</v>
      </c>
      <c r="P50" t="n">
        <v>5265.8</v>
      </c>
      <c r="Q50" t="n">
        <v>5318.1</v>
      </c>
      <c r="R50" t="n">
        <v>5553.9</v>
      </c>
      <c r="S50" t="n">
        <v>5702.5</v>
      </c>
      <c r="T50" t="n">
        <v>5913</v>
      </c>
      <c r="U50" t="n">
        <v>5738.4</v>
      </c>
      <c r="V50" t="n">
        <v>5432.7</v>
      </c>
      <c r="W50" t="n">
        <v>5140.8</v>
      </c>
      <c r="X50" t="n">
        <v>4925.9</v>
      </c>
      <c r="Y50" t="n">
        <v>4702.9</v>
      </c>
      <c r="Z50" t="n">
        <v>4554.3</v>
      </c>
      <c r="AA50" t="n">
        <v>4376.9</v>
      </c>
      <c r="AB50" t="n">
        <v>4352.7</v>
      </c>
      <c r="AC50" t="n">
        <v>4380</v>
      </c>
      <c r="AD50" t="n">
        <v>4436.6</v>
      </c>
      <c r="AE50" t="n">
        <v>4458.3</v>
      </c>
      <c r="AF50" t="n">
        <v>4513.9</v>
      </c>
    </row>
    <row r="51">
      <c r="A51" t="s">
        <v>138</v>
      </c>
      <c r="B51" t="s">
        <v>372</v>
      </c>
      <c r="C51" t="s">
        <v>217</v>
      </c>
      <c r="D51" t="s">
        <v>373</v>
      </c>
      <c r="E51" t="s">
        <v>218</v>
      </c>
      <c r="F51" t="n">
        <v>1461.6</v>
      </c>
      <c r="G51" t="n">
        <v>1677</v>
      </c>
      <c r="H51" t="n">
        <v>1916.8</v>
      </c>
      <c r="I51" t="n">
        <v>2197.2</v>
      </c>
      <c r="J51" t="n">
        <v>2512.8</v>
      </c>
      <c r="K51" t="n">
        <v>2837.4</v>
      </c>
      <c r="L51" t="n">
        <v>3316.7</v>
      </c>
      <c r="M51" t="n">
        <v>3749.5</v>
      </c>
      <c r="N51" t="n">
        <v>4198.4</v>
      </c>
      <c r="O51" t="n">
        <v>4561.6</v>
      </c>
      <c r="P51" t="n">
        <v>4773.7</v>
      </c>
      <c r="Q51" t="n">
        <v>4732.7</v>
      </c>
      <c r="R51" t="n">
        <v>4895.7</v>
      </c>
      <c r="S51" t="n">
        <v>4960.2</v>
      </c>
      <c r="T51" t="n">
        <v>5137.2</v>
      </c>
      <c r="U51" t="n">
        <v>4993.5</v>
      </c>
      <c r="V51" t="n">
        <v>4621.7</v>
      </c>
      <c r="W51" t="n">
        <v>4371.9</v>
      </c>
      <c r="X51" t="n">
        <v>4176.1</v>
      </c>
      <c r="Y51" t="n">
        <v>3987.6</v>
      </c>
      <c r="Z51" t="n">
        <v>3873.4</v>
      </c>
      <c r="AA51" t="n">
        <v>3725.3</v>
      </c>
      <c r="AB51" t="n">
        <v>3734.1</v>
      </c>
      <c r="AC51" t="n">
        <v>3783.3</v>
      </c>
      <c r="AD51" t="n">
        <v>3864.4</v>
      </c>
      <c r="AE51" t="n">
        <v>3907</v>
      </c>
      <c r="AF51" t="n">
        <v>3979.7</v>
      </c>
    </row>
    <row r="52">
      <c r="A52" t="s">
        <v>138</v>
      </c>
      <c r="B52" t="s">
        <v>374</v>
      </c>
      <c r="C52" t="s">
        <v>217</v>
      </c>
      <c r="D52" t="s">
        <v>375</v>
      </c>
      <c r="E52" t="s">
        <v>218</v>
      </c>
      <c r="F52" t="n">
        <v>118.3</v>
      </c>
      <c r="G52" t="n">
        <v>151</v>
      </c>
      <c r="H52" t="n">
        <v>188.9</v>
      </c>
      <c r="I52" t="n">
        <v>232.6</v>
      </c>
      <c r="J52" t="n">
        <v>259.3</v>
      </c>
      <c r="K52" t="n">
        <v>279.9</v>
      </c>
      <c r="L52" t="n">
        <v>311.4</v>
      </c>
      <c r="M52" t="n">
        <v>340.3</v>
      </c>
      <c r="N52" t="n">
        <v>372.5</v>
      </c>
      <c r="O52" t="n">
        <v>401.1</v>
      </c>
      <c r="P52" t="n">
        <v>492.1</v>
      </c>
      <c r="Q52" t="n">
        <v>585.4</v>
      </c>
      <c r="R52" t="n">
        <v>658.2</v>
      </c>
      <c r="S52" t="n">
        <v>742.3</v>
      </c>
      <c r="T52" t="n">
        <v>775.8</v>
      </c>
      <c r="U52" t="n">
        <v>744.9</v>
      </c>
      <c r="V52" t="n">
        <v>811</v>
      </c>
      <c r="W52" t="n">
        <v>768.9</v>
      </c>
      <c r="X52" t="n">
        <v>749.8</v>
      </c>
      <c r="Y52" t="n">
        <v>715.3</v>
      </c>
      <c r="Z52" t="n">
        <v>680.9</v>
      </c>
      <c r="AA52" t="n">
        <v>651.6</v>
      </c>
      <c r="AB52" t="n">
        <v>618.6</v>
      </c>
      <c r="AC52" t="n">
        <v>596.7</v>
      </c>
      <c r="AD52" t="n">
        <v>572.2</v>
      </c>
      <c r="AE52" t="n">
        <v>551.3</v>
      </c>
      <c r="AF52" t="n">
        <v>534.2</v>
      </c>
    </row>
    <row r="53">
      <c r="A53" t="s">
        <v>138</v>
      </c>
      <c r="B53" t="s">
        <v>376</v>
      </c>
      <c r="C53" t="s">
        <v>217</v>
      </c>
      <c r="D53" t="s">
        <v>377</v>
      </c>
      <c r="E53" t="s">
        <v>218</v>
      </c>
      <c r="F53" t="n">
        <v>1323.9</v>
      </c>
      <c r="G53" t="n">
        <v>1517</v>
      </c>
      <c r="H53" t="n">
        <v>1723.9</v>
      </c>
      <c r="I53" t="n">
        <v>1939.9</v>
      </c>
      <c r="J53" t="n">
        <v>2211.6</v>
      </c>
      <c r="K53" t="n">
        <v>2464.2</v>
      </c>
      <c r="L53" t="n">
        <v>2831</v>
      </c>
      <c r="M53" t="n">
        <v>3414.8</v>
      </c>
      <c r="N53" t="n">
        <v>4054.2</v>
      </c>
      <c r="O53" t="n">
        <v>4522.7</v>
      </c>
      <c r="P53" t="n">
        <v>4672.2</v>
      </c>
      <c r="Q53" t="n">
        <v>4769.9</v>
      </c>
      <c r="R53" t="n">
        <v>5000.5</v>
      </c>
      <c r="S53" t="n">
        <v>5210.1</v>
      </c>
      <c r="T53" t="n">
        <v>5310.9</v>
      </c>
      <c r="U53" t="n">
        <v>5178.7</v>
      </c>
      <c r="V53" t="n">
        <v>5081.5</v>
      </c>
      <c r="W53" t="n">
        <v>4808.3</v>
      </c>
      <c r="X53" t="n">
        <v>4715.7</v>
      </c>
      <c r="Y53" t="n">
        <v>4577.2</v>
      </c>
      <c r="Z53" t="n">
        <v>4377.1</v>
      </c>
      <c r="AA53" t="n">
        <v>4215.7</v>
      </c>
      <c r="AB53" t="n">
        <v>4045.2</v>
      </c>
      <c r="AC53" t="n">
        <v>3944.7</v>
      </c>
      <c r="AD53" t="n">
        <v>3843.3</v>
      </c>
      <c r="AE53" t="n">
        <v>3733.8</v>
      </c>
      <c r="AF53" t="n">
        <v>3664.8</v>
      </c>
    </row>
    <row r="54">
      <c r="A54" t="s">
        <v>138</v>
      </c>
      <c r="B54" t="s">
        <v>378</v>
      </c>
      <c r="C54" t="s">
        <v>217</v>
      </c>
      <c r="D54" t="s">
        <v>379</v>
      </c>
      <c r="E54" t="s">
        <v>218</v>
      </c>
      <c r="F54" t="n">
        <v>2924.6</v>
      </c>
      <c r="G54" t="n">
        <v>3711.1</v>
      </c>
      <c r="H54" t="n">
        <v>4558.3</v>
      </c>
      <c r="I54" t="n">
        <v>5465.1</v>
      </c>
      <c r="J54" t="n">
        <v>6509.5</v>
      </c>
      <c r="K54" t="n">
        <v>7673.8</v>
      </c>
      <c r="L54" t="n">
        <v>8000.8</v>
      </c>
      <c r="M54" t="n">
        <v>8565.5</v>
      </c>
      <c r="N54" t="n">
        <v>9161.3</v>
      </c>
      <c r="O54" t="n">
        <v>9647.9</v>
      </c>
      <c r="P54" t="n">
        <v>9778.1</v>
      </c>
      <c r="Q54" t="n">
        <v>9878.1</v>
      </c>
      <c r="R54" t="n">
        <v>10363.1</v>
      </c>
      <c r="S54" t="n">
        <v>10793.9</v>
      </c>
      <c r="T54" t="n">
        <v>12051.3</v>
      </c>
      <c r="U54" t="n">
        <v>12492.5</v>
      </c>
      <c r="V54" t="n">
        <v>9398.8</v>
      </c>
      <c r="W54" t="n">
        <v>8831.6</v>
      </c>
      <c r="X54" t="n">
        <v>8526.9</v>
      </c>
      <c r="Y54" t="n">
        <v>8254.5</v>
      </c>
      <c r="Z54" t="n">
        <v>7943.5</v>
      </c>
      <c r="AA54" t="n">
        <v>7633</v>
      </c>
      <c r="AB54" t="n">
        <v>7318.8</v>
      </c>
      <c r="AC54" t="n">
        <v>7059.8</v>
      </c>
      <c r="AD54" t="n">
        <v>6818.5</v>
      </c>
      <c r="AE54" t="n">
        <v>6569.4</v>
      </c>
      <c r="AF54" t="n">
        <v>6379.4</v>
      </c>
    </row>
    <row r="55">
      <c r="A55" t="s">
        <v>138</v>
      </c>
      <c r="B55" t="s">
        <v>380</v>
      </c>
      <c r="C55" t="s">
        <v>217</v>
      </c>
      <c r="D55" t="s">
        <v>381</v>
      </c>
      <c r="E55" t="s">
        <v>218</v>
      </c>
      <c r="F55" t="n">
        <v>1600.7</v>
      </c>
      <c r="G55" t="n">
        <v>2194.1</v>
      </c>
      <c r="H55" t="n">
        <v>2834.4</v>
      </c>
      <c r="I55" t="n">
        <v>3525.2</v>
      </c>
      <c r="J55" t="n">
        <v>4297.9</v>
      </c>
      <c r="K55" t="n">
        <v>5209.6</v>
      </c>
      <c r="L55" t="n">
        <v>5169.8</v>
      </c>
      <c r="M55" t="n">
        <v>5150.7</v>
      </c>
      <c r="N55" t="n">
        <v>5107.1</v>
      </c>
      <c r="O55" t="n">
        <v>5125.2</v>
      </c>
      <c r="P55" t="n">
        <v>5105.9</v>
      </c>
      <c r="Q55" t="n">
        <v>5108.2</v>
      </c>
      <c r="R55" t="n">
        <v>5362.6</v>
      </c>
      <c r="S55" t="n">
        <v>5583.8</v>
      </c>
      <c r="T55" t="n">
        <v>6740.4</v>
      </c>
      <c r="U55" t="n">
        <v>7313.8</v>
      </c>
      <c r="V55" t="n">
        <v>4317.3</v>
      </c>
      <c r="W55" t="n">
        <v>4023.3</v>
      </c>
      <c r="X55" t="n">
        <v>3811.2</v>
      </c>
      <c r="Y55" t="n">
        <v>3677.3</v>
      </c>
      <c r="Z55" t="n">
        <v>3566.4</v>
      </c>
      <c r="AA55" t="n">
        <v>3417.3</v>
      </c>
      <c r="AB55" t="n">
        <v>3273.6</v>
      </c>
      <c r="AC55" t="n">
        <v>3115.1</v>
      </c>
      <c r="AD55" t="n">
        <v>2975.2</v>
      </c>
      <c r="AE55" t="n">
        <v>2835.6</v>
      </c>
      <c r="AF55" t="n">
        <v>2714.6</v>
      </c>
    </row>
    <row r="56">
      <c r="A56" t="s">
        <v>138</v>
      </c>
      <c r="B56" t="s">
        <v>382</v>
      </c>
      <c r="C56" t="s">
        <v>217</v>
      </c>
      <c r="D56" t="s">
        <v>383</v>
      </c>
      <c r="E56" t="s">
        <v>218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138</v>
      </c>
      <c r="B57" t="s">
        <v>384</v>
      </c>
      <c r="C57" t="s">
        <v>217</v>
      </c>
      <c r="D57" t="s">
        <v>385</v>
      </c>
      <c r="E57" t="s">
        <v>218</v>
      </c>
      <c r="F57" t="n">
        <v>263284.1</v>
      </c>
      <c r="G57" t="n">
        <v>293019.7</v>
      </c>
      <c r="H57" t="n">
        <v>319094.3</v>
      </c>
      <c r="I57" t="n">
        <v>348917.2</v>
      </c>
      <c r="J57" t="n">
        <v>380684.2</v>
      </c>
      <c r="K57" t="n">
        <v>408372.1</v>
      </c>
      <c r="L57" t="n">
        <v>438452.4</v>
      </c>
      <c r="M57" t="n">
        <v>465743.8</v>
      </c>
      <c r="N57" t="n">
        <v>503644</v>
      </c>
      <c r="O57" t="n">
        <v>535944.9</v>
      </c>
      <c r="P57" t="n">
        <v>561420.4</v>
      </c>
      <c r="Q57" t="n">
        <v>583080.1</v>
      </c>
      <c r="R57" t="n">
        <v>641321.2</v>
      </c>
      <c r="S57" t="n">
        <v>673033.2</v>
      </c>
      <c r="T57" t="n">
        <v>705124.4</v>
      </c>
      <c r="U57" t="n">
        <v>700616.2</v>
      </c>
      <c r="V57" t="n">
        <v>670809.4</v>
      </c>
      <c r="W57" t="n">
        <v>640689.6</v>
      </c>
      <c r="X57" t="n">
        <v>622818.5</v>
      </c>
      <c r="Y57" t="n">
        <v>604619.1</v>
      </c>
      <c r="Z57" t="n">
        <v>576507.9</v>
      </c>
      <c r="AA57" t="n">
        <v>552419</v>
      </c>
      <c r="AB57" t="n">
        <v>535609.7</v>
      </c>
      <c r="AC57" t="n">
        <v>523969.2</v>
      </c>
      <c r="AD57" t="n">
        <v>515513.8</v>
      </c>
      <c r="AE57" t="n">
        <v>504698.4</v>
      </c>
      <c r="AF57" t="n">
        <v>498255.8</v>
      </c>
    </row>
    <row r="58">
      <c r="A58" t="s">
        <v>138</v>
      </c>
      <c r="B58" t="s">
        <v>386</v>
      </c>
      <c r="C58" t="s">
        <v>217</v>
      </c>
      <c r="D58" t="s">
        <v>387</v>
      </c>
      <c r="E58" t="s">
        <v>218</v>
      </c>
      <c r="F58" t="n">
        <v>263284.1</v>
      </c>
      <c r="G58" t="n">
        <v>293019.7</v>
      </c>
      <c r="H58" t="n">
        <v>319094.3</v>
      </c>
      <c r="I58" t="n">
        <v>348917.2</v>
      </c>
      <c r="J58" t="n">
        <v>380684.2</v>
      </c>
      <c r="K58" t="n">
        <v>408372.1</v>
      </c>
      <c r="L58" t="n">
        <v>438452.4</v>
      </c>
      <c r="M58" t="n">
        <v>465743.8</v>
      </c>
      <c r="N58" t="n">
        <v>503644</v>
      </c>
      <c r="O58" t="n">
        <v>535944.9</v>
      </c>
      <c r="P58" t="n">
        <v>561420.4</v>
      </c>
      <c r="Q58" t="n">
        <v>583080.1</v>
      </c>
      <c r="R58" t="n">
        <v>641321.2</v>
      </c>
      <c r="S58" t="n">
        <v>673033.2</v>
      </c>
      <c r="T58" t="n">
        <v>705124.4</v>
      </c>
      <c r="U58" t="n">
        <v>700616.2</v>
      </c>
      <c r="V58" t="n">
        <v>670809.4</v>
      </c>
      <c r="W58" t="n">
        <v>640689.6</v>
      </c>
      <c r="X58" t="n">
        <v>622818.5</v>
      </c>
      <c r="Y58" t="n">
        <v>604619.1</v>
      </c>
      <c r="Z58" t="n">
        <v>576507.9</v>
      </c>
      <c r="AA58" t="n">
        <v>552419</v>
      </c>
      <c r="AB58" t="n">
        <v>535609.7</v>
      </c>
      <c r="AC58" t="n">
        <v>523969.2</v>
      </c>
      <c r="AD58" t="n">
        <v>515513.8</v>
      </c>
      <c r="AE58" t="n">
        <v>504698.4</v>
      </c>
      <c r="AF58" t="n">
        <v>498255.8</v>
      </c>
    </row>
    <row r="59">
      <c r="A59" t="s">
        <v>138</v>
      </c>
      <c r="B59" t="s">
        <v>388</v>
      </c>
      <c r="C59" t="s">
        <v>217</v>
      </c>
      <c r="D59" t="s">
        <v>389</v>
      </c>
      <c r="E59" t="s">
        <v>218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49</v>
      </c>
      <c r="B2" t="s">
        <v>197</v>
      </c>
      <c r="C2" t="s">
        <v>217</v>
      </c>
      <c r="D2" t="s">
        <v>199</v>
      </c>
      <c r="E2" t="s">
        <v>218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</row>
    <row r="3">
      <c r="A3" t="s">
        <v>49</v>
      </c>
      <c r="B3" t="s">
        <v>276</v>
      </c>
      <c r="C3" t="s">
        <v>217</v>
      </c>
      <c r="D3" t="s">
        <v>277</v>
      </c>
      <c r="E3" t="s">
        <v>218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>
      <c r="A4" t="s">
        <v>49</v>
      </c>
      <c r="B4" t="s">
        <v>278</v>
      </c>
      <c r="C4" t="s">
        <v>217</v>
      </c>
      <c r="D4" t="s">
        <v>279</v>
      </c>
      <c r="E4" t="s">
        <v>218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</row>
    <row r="5">
      <c r="A5" t="s">
        <v>49</v>
      </c>
      <c r="B5" t="s">
        <v>280</v>
      </c>
      <c r="C5" t="s">
        <v>217</v>
      </c>
      <c r="D5" t="s">
        <v>281</v>
      </c>
      <c r="E5" t="s">
        <v>218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49</v>
      </c>
      <c r="B6" t="s">
        <v>282</v>
      </c>
      <c r="C6" t="s">
        <v>217</v>
      </c>
      <c r="D6" t="s">
        <v>283</v>
      </c>
      <c r="E6" t="s">
        <v>218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49</v>
      </c>
      <c r="B7" t="s">
        <v>284</v>
      </c>
      <c r="C7" t="s">
        <v>217</v>
      </c>
      <c r="D7" t="s">
        <v>285</v>
      </c>
      <c r="E7" t="s">
        <v>218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49</v>
      </c>
      <c r="B8" t="s">
        <v>286</v>
      </c>
      <c r="C8" t="s">
        <v>217</v>
      </c>
      <c r="D8" t="s">
        <v>287</v>
      </c>
      <c r="E8" t="s">
        <v>218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49</v>
      </c>
      <c r="B9" t="s">
        <v>288</v>
      </c>
      <c r="C9" t="s">
        <v>217</v>
      </c>
      <c r="D9" t="s">
        <v>289</v>
      </c>
      <c r="E9" t="s">
        <v>218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49</v>
      </c>
      <c r="B10" t="s">
        <v>290</v>
      </c>
      <c r="C10" t="s">
        <v>217</v>
      </c>
      <c r="D10" t="s">
        <v>291</v>
      </c>
      <c r="E10" t="s">
        <v>218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49</v>
      </c>
      <c r="B11" t="s">
        <v>292</v>
      </c>
      <c r="C11" t="s">
        <v>217</v>
      </c>
      <c r="D11" t="s">
        <v>293</v>
      </c>
      <c r="E11" t="s">
        <v>218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49</v>
      </c>
      <c r="B12" t="s">
        <v>294</v>
      </c>
      <c r="C12" t="s">
        <v>217</v>
      </c>
      <c r="D12" t="s">
        <v>295</v>
      </c>
      <c r="E12" t="s">
        <v>218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49</v>
      </c>
      <c r="B13" t="s">
        <v>296</v>
      </c>
      <c r="C13" t="s">
        <v>217</v>
      </c>
      <c r="D13" t="s">
        <v>297</v>
      </c>
      <c r="E13" t="s">
        <v>218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49</v>
      </c>
      <c r="B14" t="s">
        <v>298</v>
      </c>
      <c r="C14" t="s">
        <v>217</v>
      </c>
      <c r="D14" t="s">
        <v>299</v>
      </c>
      <c r="E14" t="s">
        <v>218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49</v>
      </c>
      <c r="B15" t="s">
        <v>300</v>
      </c>
      <c r="C15" t="s">
        <v>217</v>
      </c>
      <c r="D15" t="s">
        <v>301</v>
      </c>
      <c r="E15" t="s">
        <v>218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49</v>
      </c>
      <c r="B16" t="s">
        <v>302</v>
      </c>
      <c r="C16" t="s">
        <v>217</v>
      </c>
      <c r="D16" t="s">
        <v>303</v>
      </c>
      <c r="E16" t="s">
        <v>218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49</v>
      </c>
      <c r="B17" t="s">
        <v>304</v>
      </c>
      <c r="C17" t="s">
        <v>217</v>
      </c>
      <c r="D17" t="s">
        <v>305</v>
      </c>
      <c r="E17" t="s">
        <v>218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49</v>
      </c>
      <c r="B18" t="s">
        <v>306</v>
      </c>
      <c r="C18" t="s">
        <v>217</v>
      </c>
      <c r="D18" t="s">
        <v>307</v>
      </c>
      <c r="E18" t="s">
        <v>218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49</v>
      </c>
      <c r="B19" t="s">
        <v>308</v>
      </c>
      <c r="C19" t="s">
        <v>217</v>
      </c>
      <c r="D19" t="s">
        <v>309</v>
      </c>
      <c r="E19" t="s">
        <v>218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49</v>
      </c>
      <c r="B20" t="s">
        <v>310</v>
      </c>
      <c r="C20" t="s">
        <v>217</v>
      </c>
      <c r="D20" t="s">
        <v>311</v>
      </c>
      <c r="E20" t="s">
        <v>218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>
      <c r="A21" t="s">
        <v>49</v>
      </c>
      <c r="B21" t="s">
        <v>312</v>
      </c>
      <c r="C21" t="s">
        <v>217</v>
      </c>
      <c r="D21" t="s">
        <v>313</v>
      </c>
      <c r="E21" t="s">
        <v>218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>
      <c r="A22" t="s">
        <v>49</v>
      </c>
      <c r="B22" t="s">
        <v>314</v>
      </c>
      <c r="C22" t="s">
        <v>217</v>
      </c>
      <c r="D22" t="s">
        <v>315</v>
      </c>
      <c r="E22" t="s">
        <v>218</v>
      </c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</row>
    <row r="23">
      <c r="A23" t="s">
        <v>49</v>
      </c>
      <c r="B23" t="s">
        <v>316</v>
      </c>
      <c r="C23" t="s">
        <v>217</v>
      </c>
      <c r="D23" t="s">
        <v>317</v>
      </c>
      <c r="E23" t="s">
        <v>218</v>
      </c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</row>
    <row r="24">
      <c r="A24" t="s">
        <v>49</v>
      </c>
      <c r="B24" t="s">
        <v>318</v>
      </c>
      <c r="C24" t="s">
        <v>217</v>
      </c>
      <c r="D24" t="s">
        <v>319</v>
      </c>
      <c r="E24" t="s">
        <v>218</v>
      </c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</row>
    <row r="25">
      <c r="A25" t="s">
        <v>49</v>
      </c>
      <c r="B25" t="s">
        <v>320</v>
      </c>
      <c r="C25" t="s">
        <v>217</v>
      </c>
      <c r="D25" t="s">
        <v>321</v>
      </c>
      <c r="E25" t="s">
        <v>218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49</v>
      </c>
      <c r="B26" t="s">
        <v>322</v>
      </c>
      <c r="C26" t="s">
        <v>217</v>
      </c>
      <c r="D26" t="s">
        <v>323</v>
      </c>
      <c r="E26" t="s">
        <v>218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49</v>
      </c>
      <c r="B27" t="s">
        <v>324</v>
      </c>
      <c r="C27" t="s">
        <v>217</v>
      </c>
      <c r="D27" t="s">
        <v>325</v>
      </c>
      <c r="E27" t="s">
        <v>218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49</v>
      </c>
      <c r="B28" t="s">
        <v>326</v>
      </c>
      <c r="C28" t="s">
        <v>217</v>
      </c>
      <c r="D28" t="s">
        <v>327</v>
      </c>
      <c r="E28" t="s">
        <v>218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</row>
    <row r="29">
      <c r="A29" t="s">
        <v>49</v>
      </c>
      <c r="B29" t="s">
        <v>328</v>
      </c>
      <c r="C29" t="s">
        <v>217</v>
      </c>
      <c r="D29" t="s">
        <v>329</v>
      </c>
      <c r="E29" t="s">
        <v>218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49</v>
      </c>
      <c r="B30" t="s">
        <v>330</v>
      </c>
      <c r="C30" t="s">
        <v>217</v>
      </c>
      <c r="D30" t="s">
        <v>331</v>
      </c>
      <c r="E30" t="s">
        <v>218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49</v>
      </c>
      <c r="B31" t="s">
        <v>332</v>
      </c>
      <c r="C31" t="s">
        <v>217</v>
      </c>
      <c r="D31" t="s">
        <v>333</v>
      </c>
      <c r="E31" t="s">
        <v>218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49</v>
      </c>
      <c r="B32" t="s">
        <v>334</v>
      </c>
      <c r="C32" t="s">
        <v>217</v>
      </c>
      <c r="D32" t="s">
        <v>335</v>
      </c>
      <c r="E32" t="s">
        <v>218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49</v>
      </c>
      <c r="B33" t="s">
        <v>336</v>
      </c>
      <c r="C33" t="s">
        <v>217</v>
      </c>
      <c r="D33" t="s">
        <v>337</v>
      </c>
      <c r="E33" t="s">
        <v>218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49</v>
      </c>
      <c r="B34" t="s">
        <v>338</v>
      </c>
      <c r="C34" t="s">
        <v>217</v>
      </c>
      <c r="D34" t="s">
        <v>339</v>
      </c>
      <c r="E34" t="s">
        <v>218</v>
      </c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</row>
    <row r="35">
      <c r="A35" t="s">
        <v>49</v>
      </c>
      <c r="B35" t="s">
        <v>340</v>
      </c>
      <c r="C35" t="s">
        <v>217</v>
      </c>
      <c r="D35" t="s">
        <v>341</v>
      </c>
      <c r="E35" t="s">
        <v>218</v>
      </c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</row>
    <row r="36">
      <c r="A36" t="s">
        <v>49</v>
      </c>
      <c r="B36" t="s">
        <v>342</v>
      </c>
      <c r="C36" t="s">
        <v>217</v>
      </c>
      <c r="D36" t="s">
        <v>343</v>
      </c>
      <c r="E36" t="s">
        <v>218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49</v>
      </c>
      <c r="B37" t="s">
        <v>344</v>
      </c>
      <c r="C37" t="s">
        <v>217</v>
      </c>
      <c r="D37" t="s">
        <v>345</v>
      </c>
      <c r="E37" t="s">
        <v>218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49</v>
      </c>
      <c r="B38" t="s">
        <v>346</v>
      </c>
      <c r="C38" t="s">
        <v>217</v>
      </c>
      <c r="D38" t="s">
        <v>347</v>
      </c>
      <c r="E38" t="s">
        <v>218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49</v>
      </c>
      <c r="B39" t="s">
        <v>348</v>
      </c>
      <c r="C39" t="s">
        <v>217</v>
      </c>
      <c r="D39" t="s">
        <v>349</v>
      </c>
      <c r="E39" t="s">
        <v>218</v>
      </c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</row>
    <row r="40">
      <c r="A40" t="s">
        <v>49</v>
      </c>
      <c r="B40" t="s">
        <v>350</v>
      </c>
      <c r="C40" t="s">
        <v>217</v>
      </c>
      <c r="D40" t="s">
        <v>351</v>
      </c>
      <c r="E40" t="s">
        <v>218</v>
      </c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</row>
    <row r="41">
      <c r="A41" t="s">
        <v>49</v>
      </c>
      <c r="B41" t="s">
        <v>352</v>
      </c>
      <c r="C41" t="s">
        <v>217</v>
      </c>
      <c r="D41" t="s">
        <v>353</v>
      </c>
      <c r="E41" t="s">
        <v>218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49</v>
      </c>
      <c r="B42" t="s">
        <v>354</v>
      </c>
      <c r="C42" t="s">
        <v>217</v>
      </c>
      <c r="D42" t="s">
        <v>355</v>
      </c>
      <c r="E42" t="s">
        <v>218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</row>
    <row r="43">
      <c r="A43" t="s">
        <v>49</v>
      </c>
      <c r="B43" t="s">
        <v>356</v>
      </c>
      <c r="C43" t="s">
        <v>217</v>
      </c>
      <c r="D43" t="s">
        <v>357</v>
      </c>
      <c r="E43" t="s">
        <v>218</v>
      </c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</row>
    <row r="44">
      <c r="A44" t="s">
        <v>49</v>
      </c>
      <c r="B44" t="s">
        <v>358</v>
      </c>
      <c r="C44" t="s">
        <v>217</v>
      </c>
      <c r="D44" t="s">
        <v>359</v>
      </c>
      <c r="E44" t="s">
        <v>218</v>
      </c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</row>
    <row r="45">
      <c r="A45" t="s">
        <v>49</v>
      </c>
      <c r="B45" t="s">
        <v>360</v>
      </c>
      <c r="C45" t="s">
        <v>217</v>
      </c>
      <c r="D45" t="s">
        <v>361</v>
      </c>
      <c r="E45" t="s">
        <v>218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</row>
    <row r="46">
      <c r="A46" t="s">
        <v>49</v>
      </c>
      <c r="B46" t="s">
        <v>362</v>
      </c>
      <c r="C46" t="s">
        <v>217</v>
      </c>
      <c r="D46" t="s">
        <v>363</v>
      </c>
      <c r="E46" t="s">
        <v>218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</row>
    <row r="47">
      <c r="A47" t="s">
        <v>49</v>
      </c>
      <c r="B47" t="s">
        <v>364</v>
      </c>
      <c r="C47" t="s">
        <v>217</v>
      </c>
      <c r="D47" t="s">
        <v>365</v>
      </c>
      <c r="E47" t="s">
        <v>218</v>
      </c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</row>
    <row r="48">
      <c r="A48" t="s">
        <v>49</v>
      </c>
      <c r="B48" t="s">
        <v>366</v>
      </c>
      <c r="C48" t="s">
        <v>217</v>
      </c>
      <c r="D48" t="s">
        <v>367</v>
      </c>
      <c r="E48" t="s">
        <v>218</v>
      </c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</row>
    <row r="49">
      <c r="A49" t="s">
        <v>49</v>
      </c>
      <c r="B49" t="s">
        <v>368</v>
      </c>
      <c r="C49" t="s">
        <v>217</v>
      </c>
      <c r="D49" t="s">
        <v>369</v>
      </c>
      <c r="E49" t="s">
        <v>218</v>
      </c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</row>
    <row r="50">
      <c r="A50" t="s">
        <v>49</v>
      </c>
      <c r="B50" t="s">
        <v>370</v>
      </c>
      <c r="C50" t="s">
        <v>217</v>
      </c>
      <c r="D50" t="s">
        <v>371</v>
      </c>
      <c r="E50" t="s">
        <v>218</v>
      </c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</row>
    <row r="51">
      <c r="A51" t="s">
        <v>49</v>
      </c>
      <c r="B51" t="s">
        <v>372</v>
      </c>
      <c r="C51" t="s">
        <v>217</v>
      </c>
      <c r="D51" t="s">
        <v>373</v>
      </c>
      <c r="E51" t="s">
        <v>218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49</v>
      </c>
      <c r="B52" t="s">
        <v>374</v>
      </c>
      <c r="C52" t="s">
        <v>217</v>
      </c>
      <c r="D52" t="s">
        <v>375</v>
      </c>
      <c r="E52" t="s">
        <v>218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49</v>
      </c>
      <c r="B53" t="s">
        <v>376</v>
      </c>
      <c r="C53" t="s">
        <v>217</v>
      </c>
      <c r="D53" t="s">
        <v>377</v>
      </c>
      <c r="E53" t="s">
        <v>218</v>
      </c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</row>
    <row r="54">
      <c r="A54" t="s">
        <v>49</v>
      </c>
      <c r="B54" t="s">
        <v>378</v>
      </c>
      <c r="C54" t="s">
        <v>217</v>
      </c>
      <c r="D54" t="s">
        <v>379</v>
      </c>
      <c r="E54" t="s">
        <v>218</v>
      </c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</row>
    <row r="55">
      <c r="A55" t="s">
        <v>49</v>
      </c>
      <c r="B55" t="s">
        <v>380</v>
      </c>
      <c r="C55" t="s">
        <v>217</v>
      </c>
      <c r="D55" t="s">
        <v>381</v>
      </c>
      <c r="E55" t="s">
        <v>218</v>
      </c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</row>
    <row r="56">
      <c r="A56" t="s">
        <v>49</v>
      </c>
      <c r="B56" t="s">
        <v>382</v>
      </c>
      <c r="C56" t="s">
        <v>217</v>
      </c>
      <c r="D56" t="s">
        <v>383</v>
      </c>
      <c r="E56" t="s">
        <v>218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49</v>
      </c>
      <c r="B57" t="s">
        <v>384</v>
      </c>
      <c r="C57" t="s">
        <v>217</v>
      </c>
      <c r="D57" t="s">
        <v>385</v>
      </c>
      <c r="E57" t="s">
        <v>218</v>
      </c>
      <c r="F57" t="n">
        <v>400.277766357044</v>
      </c>
      <c r="G57" t="n">
        <v>589.797035326094</v>
      </c>
      <c r="H57" t="n">
        <v>660.895233691997</v>
      </c>
      <c r="I57" t="n">
        <v>756.197076798596</v>
      </c>
      <c r="J57" t="n">
        <v>770.735276380403</v>
      </c>
      <c r="K57" t="n">
        <v>1171.91470586004</v>
      </c>
      <c r="L57" t="n">
        <v>915.783655143196</v>
      </c>
      <c r="M57" t="n">
        <v>816.189146228418</v>
      </c>
      <c r="N57" t="n">
        <v>1011.56958194663</v>
      </c>
      <c r="O57" t="n">
        <v>1078.15682370618</v>
      </c>
      <c r="P57" t="n">
        <v>912.446355757216</v>
      </c>
      <c r="Q57" t="n">
        <v>1115.38006512264</v>
      </c>
      <c r="R57" t="n">
        <v>1124.88901906075</v>
      </c>
      <c r="S57" t="n">
        <v>1272.33918446492</v>
      </c>
      <c r="T57" t="n">
        <v>1163.42573900378</v>
      </c>
      <c r="U57" t="n">
        <v>1094.15737787233</v>
      </c>
      <c r="V57" t="n">
        <v>862.782974092981</v>
      </c>
      <c r="W57" t="n">
        <v>794.970404767871</v>
      </c>
      <c r="X57" t="n">
        <v>633.434858325908</v>
      </c>
      <c r="Y57" t="n">
        <v>565.868473437812</v>
      </c>
      <c r="Z57" t="n">
        <v>709.724723871607</v>
      </c>
      <c r="AA57" t="n">
        <v>593.443294550878</v>
      </c>
      <c r="AB57" t="n">
        <v>666.177013738435</v>
      </c>
      <c r="AC57" t="n">
        <v>747.080678160845</v>
      </c>
      <c r="AD57" t="n">
        <v>742.866685616828</v>
      </c>
      <c r="AE57" t="n">
        <v>885.9</v>
      </c>
      <c r="AF57" t="n">
        <v>1165.8</v>
      </c>
    </row>
    <row r="58">
      <c r="A58" t="s">
        <v>49</v>
      </c>
      <c r="B58" t="s">
        <v>386</v>
      </c>
      <c r="C58" t="s">
        <v>217</v>
      </c>
      <c r="D58" t="s">
        <v>387</v>
      </c>
      <c r="E58" t="s">
        <v>218</v>
      </c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</row>
    <row r="59">
      <c r="A59" t="s">
        <v>49</v>
      </c>
      <c r="B59" t="s">
        <v>388</v>
      </c>
      <c r="C59" t="s">
        <v>217</v>
      </c>
      <c r="D59" t="s">
        <v>389</v>
      </c>
      <c r="E59" t="s">
        <v>218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51</v>
      </c>
      <c r="B2" t="s">
        <v>197</v>
      </c>
      <c r="C2" t="s">
        <v>217</v>
      </c>
      <c r="D2" t="s">
        <v>199</v>
      </c>
      <c r="E2" t="s">
        <v>218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</row>
    <row r="3">
      <c r="A3" t="s">
        <v>51</v>
      </c>
      <c r="B3" t="s">
        <v>276</v>
      </c>
      <c r="C3" t="s">
        <v>217</v>
      </c>
      <c r="D3" t="s">
        <v>277</v>
      </c>
      <c r="E3" t="s">
        <v>218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>
      <c r="A4" t="s">
        <v>51</v>
      </c>
      <c r="B4" t="s">
        <v>278</v>
      </c>
      <c r="C4" t="s">
        <v>217</v>
      </c>
      <c r="D4" t="s">
        <v>279</v>
      </c>
      <c r="E4" t="s">
        <v>218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</row>
    <row r="5">
      <c r="A5" t="s">
        <v>51</v>
      </c>
      <c r="B5" t="s">
        <v>280</v>
      </c>
      <c r="C5" t="s">
        <v>217</v>
      </c>
      <c r="D5" t="s">
        <v>281</v>
      </c>
      <c r="E5" t="s">
        <v>218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51</v>
      </c>
      <c r="B6" t="s">
        <v>282</v>
      </c>
      <c r="C6" t="s">
        <v>217</v>
      </c>
      <c r="D6" t="s">
        <v>283</v>
      </c>
      <c r="E6" t="s">
        <v>218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51</v>
      </c>
      <c r="B7" t="s">
        <v>284</v>
      </c>
      <c r="C7" t="s">
        <v>217</v>
      </c>
      <c r="D7" t="s">
        <v>285</v>
      </c>
      <c r="E7" t="s">
        <v>218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51</v>
      </c>
      <c r="B8" t="s">
        <v>286</v>
      </c>
      <c r="C8" t="s">
        <v>217</v>
      </c>
      <c r="D8" t="s">
        <v>287</v>
      </c>
      <c r="E8" t="s">
        <v>218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51</v>
      </c>
      <c r="B9" t="s">
        <v>288</v>
      </c>
      <c r="C9" t="s">
        <v>217</v>
      </c>
      <c r="D9" t="s">
        <v>289</v>
      </c>
      <c r="E9" t="s">
        <v>218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51</v>
      </c>
      <c r="B10" t="s">
        <v>290</v>
      </c>
      <c r="C10" t="s">
        <v>217</v>
      </c>
      <c r="D10" t="s">
        <v>291</v>
      </c>
      <c r="E10" t="s">
        <v>218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51</v>
      </c>
      <c r="B11" t="s">
        <v>292</v>
      </c>
      <c r="C11" t="s">
        <v>217</v>
      </c>
      <c r="D11" t="s">
        <v>293</v>
      </c>
      <c r="E11" t="s">
        <v>218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51</v>
      </c>
      <c r="B12" t="s">
        <v>294</v>
      </c>
      <c r="C12" t="s">
        <v>217</v>
      </c>
      <c r="D12" t="s">
        <v>295</v>
      </c>
      <c r="E12" t="s">
        <v>218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51</v>
      </c>
      <c r="B13" t="s">
        <v>296</v>
      </c>
      <c r="C13" t="s">
        <v>217</v>
      </c>
      <c r="D13" t="s">
        <v>297</v>
      </c>
      <c r="E13" t="s">
        <v>218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51</v>
      </c>
      <c r="B14" t="s">
        <v>298</v>
      </c>
      <c r="C14" t="s">
        <v>217</v>
      </c>
      <c r="D14" t="s">
        <v>299</v>
      </c>
      <c r="E14" t="s">
        <v>218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51</v>
      </c>
      <c r="B15" t="s">
        <v>300</v>
      </c>
      <c r="C15" t="s">
        <v>217</v>
      </c>
      <c r="D15" t="s">
        <v>301</v>
      </c>
      <c r="E15" t="s">
        <v>218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51</v>
      </c>
      <c r="B16" t="s">
        <v>302</v>
      </c>
      <c r="C16" t="s">
        <v>217</v>
      </c>
      <c r="D16" t="s">
        <v>303</v>
      </c>
      <c r="E16" t="s">
        <v>218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51</v>
      </c>
      <c r="B17" t="s">
        <v>304</v>
      </c>
      <c r="C17" t="s">
        <v>217</v>
      </c>
      <c r="D17" t="s">
        <v>305</v>
      </c>
      <c r="E17" t="s">
        <v>218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51</v>
      </c>
      <c r="B18" t="s">
        <v>306</v>
      </c>
      <c r="C18" t="s">
        <v>217</v>
      </c>
      <c r="D18" t="s">
        <v>307</v>
      </c>
      <c r="E18" t="s">
        <v>218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51</v>
      </c>
      <c r="B19" t="s">
        <v>308</v>
      </c>
      <c r="C19" t="s">
        <v>217</v>
      </c>
      <c r="D19" t="s">
        <v>309</v>
      </c>
      <c r="E19" t="s">
        <v>218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51</v>
      </c>
      <c r="B20" t="s">
        <v>310</v>
      </c>
      <c r="C20" t="s">
        <v>217</v>
      </c>
      <c r="D20" t="s">
        <v>311</v>
      </c>
      <c r="E20" t="s">
        <v>218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>
      <c r="A21" t="s">
        <v>51</v>
      </c>
      <c r="B21" t="s">
        <v>312</v>
      </c>
      <c r="C21" t="s">
        <v>217</v>
      </c>
      <c r="D21" t="s">
        <v>313</v>
      </c>
      <c r="E21" t="s">
        <v>218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>
      <c r="A22" t="s">
        <v>51</v>
      </c>
      <c r="B22" t="s">
        <v>314</v>
      </c>
      <c r="C22" t="s">
        <v>217</v>
      </c>
      <c r="D22" t="s">
        <v>315</v>
      </c>
      <c r="E22" t="s">
        <v>218</v>
      </c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</row>
    <row r="23">
      <c r="A23" t="s">
        <v>51</v>
      </c>
      <c r="B23" t="s">
        <v>316</v>
      </c>
      <c r="C23" t="s">
        <v>217</v>
      </c>
      <c r="D23" t="s">
        <v>317</v>
      </c>
      <c r="E23" t="s">
        <v>218</v>
      </c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</row>
    <row r="24">
      <c r="A24" t="s">
        <v>51</v>
      </c>
      <c r="B24" t="s">
        <v>318</v>
      </c>
      <c r="C24" t="s">
        <v>217</v>
      </c>
      <c r="D24" t="s">
        <v>319</v>
      </c>
      <c r="E24" t="s">
        <v>218</v>
      </c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</row>
    <row r="25">
      <c r="A25" t="s">
        <v>51</v>
      </c>
      <c r="B25" t="s">
        <v>320</v>
      </c>
      <c r="C25" t="s">
        <v>217</v>
      </c>
      <c r="D25" t="s">
        <v>321</v>
      </c>
      <c r="E25" t="s">
        <v>218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51</v>
      </c>
      <c r="B26" t="s">
        <v>322</v>
      </c>
      <c r="C26" t="s">
        <v>217</v>
      </c>
      <c r="D26" t="s">
        <v>323</v>
      </c>
      <c r="E26" t="s">
        <v>218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51</v>
      </c>
      <c r="B27" t="s">
        <v>324</v>
      </c>
      <c r="C27" t="s">
        <v>217</v>
      </c>
      <c r="D27" t="s">
        <v>325</v>
      </c>
      <c r="E27" t="s">
        <v>218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51</v>
      </c>
      <c r="B28" t="s">
        <v>326</v>
      </c>
      <c r="C28" t="s">
        <v>217</v>
      </c>
      <c r="D28" t="s">
        <v>327</v>
      </c>
      <c r="E28" t="s">
        <v>218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</row>
    <row r="29">
      <c r="A29" t="s">
        <v>51</v>
      </c>
      <c r="B29" t="s">
        <v>328</v>
      </c>
      <c r="C29" t="s">
        <v>217</v>
      </c>
      <c r="D29" t="s">
        <v>329</v>
      </c>
      <c r="E29" t="s">
        <v>218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51</v>
      </c>
      <c r="B30" t="s">
        <v>330</v>
      </c>
      <c r="C30" t="s">
        <v>217</v>
      </c>
      <c r="D30" t="s">
        <v>331</v>
      </c>
      <c r="E30" t="s">
        <v>218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51</v>
      </c>
      <c r="B31" t="s">
        <v>332</v>
      </c>
      <c r="C31" t="s">
        <v>217</v>
      </c>
      <c r="D31" t="s">
        <v>333</v>
      </c>
      <c r="E31" t="s">
        <v>218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51</v>
      </c>
      <c r="B32" t="s">
        <v>334</v>
      </c>
      <c r="C32" t="s">
        <v>217</v>
      </c>
      <c r="D32" t="s">
        <v>335</v>
      </c>
      <c r="E32" t="s">
        <v>218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51</v>
      </c>
      <c r="B33" t="s">
        <v>336</v>
      </c>
      <c r="C33" t="s">
        <v>217</v>
      </c>
      <c r="D33" t="s">
        <v>337</v>
      </c>
      <c r="E33" t="s">
        <v>218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51</v>
      </c>
      <c r="B34" t="s">
        <v>338</v>
      </c>
      <c r="C34" t="s">
        <v>217</v>
      </c>
      <c r="D34" t="s">
        <v>339</v>
      </c>
      <c r="E34" t="s">
        <v>218</v>
      </c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</row>
    <row r="35">
      <c r="A35" t="s">
        <v>51</v>
      </c>
      <c r="B35" t="s">
        <v>340</v>
      </c>
      <c r="C35" t="s">
        <v>217</v>
      </c>
      <c r="D35" t="s">
        <v>341</v>
      </c>
      <c r="E35" t="s">
        <v>218</v>
      </c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</row>
    <row r="36">
      <c r="A36" t="s">
        <v>51</v>
      </c>
      <c r="B36" t="s">
        <v>342</v>
      </c>
      <c r="C36" t="s">
        <v>217</v>
      </c>
      <c r="D36" t="s">
        <v>343</v>
      </c>
      <c r="E36" t="s">
        <v>218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51</v>
      </c>
      <c r="B37" t="s">
        <v>344</v>
      </c>
      <c r="C37" t="s">
        <v>217</v>
      </c>
      <c r="D37" t="s">
        <v>345</v>
      </c>
      <c r="E37" t="s">
        <v>218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51</v>
      </c>
      <c r="B38" t="s">
        <v>346</v>
      </c>
      <c r="C38" t="s">
        <v>217</v>
      </c>
      <c r="D38" t="s">
        <v>347</v>
      </c>
      <c r="E38" t="s">
        <v>218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51</v>
      </c>
      <c r="B39" t="s">
        <v>348</v>
      </c>
      <c r="C39" t="s">
        <v>217</v>
      </c>
      <c r="D39" t="s">
        <v>349</v>
      </c>
      <c r="E39" t="s">
        <v>218</v>
      </c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</row>
    <row r="40">
      <c r="A40" t="s">
        <v>51</v>
      </c>
      <c r="B40" t="s">
        <v>350</v>
      </c>
      <c r="C40" t="s">
        <v>217</v>
      </c>
      <c r="D40" t="s">
        <v>351</v>
      </c>
      <c r="E40" t="s">
        <v>218</v>
      </c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</row>
    <row r="41">
      <c r="A41" t="s">
        <v>51</v>
      </c>
      <c r="B41" t="s">
        <v>352</v>
      </c>
      <c r="C41" t="s">
        <v>217</v>
      </c>
      <c r="D41" t="s">
        <v>353</v>
      </c>
      <c r="E41" t="s">
        <v>218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51</v>
      </c>
      <c r="B42" t="s">
        <v>354</v>
      </c>
      <c r="C42" t="s">
        <v>217</v>
      </c>
      <c r="D42" t="s">
        <v>355</v>
      </c>
      <c r="E42" t="s">
        <v>218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</row>
    <row r="43">
      <c r="A43" t="s">
        <v>51</v>
      </c>
      <c r="B43" t="s">
        <v>356</v>
      </c>
      <c r="C43" t="s">
        <v>217</v>
      </c>
      <c r="D43" t="s">
        <v>357</v>
      </c>
      <c r="E43" t="s">
        <v>218</v>
      </c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</row>
    <row r="44">
      <c r="A44" t="s">
        <v>51</v>
      </c>
      <c r="B44" t="s">
        <v>358</v>
      </c>
      <c r="C44" t="s">
        <v>217</v>
      </c>
      <c r="D44" t="s">
        <v>359</v>
      </c>
      <c r="E44" t="s">
        <v>218</v>
      </c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</row>
    <row r="45">
      <c r="A45" t="s">
        <v>51</v>
      </c>
      <c r="B45" t="s">
        <v>360</v>
      </c>
      <c r="C45" t="s">
        <v>217</v>
      </c>
      <c r="D45" t="s">
        <v>361</v>
      </c>
      <c r="E45" t="s">
        <v>218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</row>
    <row r="46">
      <c r="A46" t="s">
        <v>51</v>
      </c>
      <c r="B46" t="s">
        <v>362</v>
      </c>
      <c r="C46" t="s">
        <v>217</v>
      </c>
      <c r="D46" t="s">
        <v>363</v>
      </c>
      <c r="E46" t="s">
        <v>218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</row>
    <row r="47">
      <c r="A47" t="s">
        <v>51</v>
      </c>
      <c r="B47" t="s">
        <v>364</v>
      </c>
      <c r="C47" t="s">
        <v>217</v>
      </c>
      <c r="D47" t="s">
        <v>365</v>
      </c>
      <c r="E47" t="s">
        <v>218</v>
      </c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</row>
    <row r="48">
      <c r="A48" t="s">
        <v>51</v>
      </c>
      <c r="B48" t="s">
        <v>366</v>
      </c>
      <c r="C48" t="s">
        <v>217</v>
      </c>
      <c r="D48" t="s">
        <v>367</v>
      </c>
      <c r="E48" t="s">
        <v>218</v>
      </c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</row>
    <row r="49">
      <c r="A49" t="s">
        <v>51</v>
      </c>
      <c r="B49" t="s">
        <v>368</v>
      </c>
      <c r="C49" t="s">
        <v>217</v>
      </c>
      <c r="D49" t="s">
        <v>369</v>
      </c>
      <c r="E49" t="s">
        <v>218</v>
      </c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</row>
    <row r="50">
      <c r="A50" t="s">
        <v>51</v>
      </c>
      <c r="B50" t="s">
        <v>370</v>
      </c>
      <c r="C50" t="s">
        <v>217</v>
      </c>
      <c r="D50" t="s">
        <v>371</v>
      </c>
      <c r="E50" t="s">
        <v>218</v>
      </c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</row>
    <row r="51">
      <c r="A51" t="s">
        <v>51</v>
      </c>
      <c r="B51" t="s">
        <v>372</v>
      </c>
      <c r="C51" t="s">
        <v>217</v>
      </c>
      <c r="D51" t="s">
        <v>373</v>
      </c>
      <c r="E51" t="s">
        <v>218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51</v>
      </c>
      <c r="B52" t="s">
        <v>374</v>
      </c>
      <c r="C52" t="s">
        <v>217</v>
      </c>
      <c r="D52" t="s">
        <v>375</v>
      </c>
      <c r="E52" t="s">
        <v>218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51</v>
      </c>
      <c r="B53" t="s">
        <v>376</v>
      </c>
      <c r="C53" t="s">
        <v>217</v>
      </c>
      <c r="D53" t="s">
        <v>377</v>
      </c>
      <c r="E53" t="s">
        <v>218</v>
      </c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</row>
    <row r="54">
      <c r="A54" t="s">
        <v>51</v>
      </c>
      <c r="B54" t="s">
        <v>378</v>
      </c>
      <c r="C54" t="s">
        <v>217</v>
      </c>
      <c r="D54" t="s">
        <v>379</v>
      </c>
      <c r="E54" t="s">
        <v>218</v>
      </c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</row>
    <row r="55">
      <c r="A55" t="s">
        <v>51</v>
      </c>
      <c r="B55" t="s">
        <v>380</v>
      </c>
      <c r="C55" t="s">
        <v>217</v>
      </c>
      <c r="D55" t="s">
        <v>381</v>
      </c>
      <c r="E55" t="s">
        <v>218</v>
      </c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</row>
    <row r="56">
      <c r="A56" t="s">
        <v>51</v>
      </c>
      <c r="B56" t="s">
        <v>382</v>
      </c>
      <c r="C56" t="s">
        <v>217</v>
      </c>
      <c r="D56" t="s">
        <v>383</v>
      </c>
      <c r="E56" t="s">
        <v>218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51</v>
      </c>
      <c r="B57" t="s">
        <v>384</v>
      </c>
      <c r="C57" t="s">
        <v>217</v>
      </c>
      <c r="D57" t="s">
        <v>385</v>
      </c>
      <c r="E57" t="s">
        <v>218</v>
      </c>
      <c r="F57" t="n">
        <v>479.137923776564</v>
      </c>
      <c r="G57" t="n">
        <v>705.962063928582</v>
      </c>
      <c r="H57" t="n">
        <v>791.092783402322</v>
      </c>
      <c r="I57" t="n">
        <v>905.181793500506</v>
      </c>
      <c r="J57" t="n">
        <v>922.515061886686</v>
      </c>
      <c r="K57" t="n">
        <v>1402.67981869278</v>
      </c>
      <c r="L57" t="n">
        <v>1055.863380005</v>
      </c>
      <c r="M57" t="n">
        <v>1137.47916987081</v>
      </c>
      <c r="N57" t="n">
        <v>1306.97048038055</v>
      </c>
      <c r="O57" t="n">
        <v>1347.40652406259</v>
      </c>
      <c r="P57" t="n">
        <v>1395.28681241325</v>
      </c>
      <c r="Q57" t="n">
        <v>1678.14271945084</v>
      </c>
      <c r="R57" t="n">
        <v>1784.71154609346</v>
      </c>
      <c r="S57" t="n">
        <v>1898.74316207893</v>
      </c>
      <c r="T57" t="n">
        <v>1797.83813699581</v>
      </c>
      <c r="U57" t="n">
        <v>1275.63440901135</v>
      </c>
      <c r="V57" t="n">
        <v>832.938274849568</v>
      </c>
      <c r="W57" t="n">
        <v>697.843545311262</v>
      </c>
      <c r="X57" t="n">
        <v>634.60758259188</v>
      </c>
      <c r="Y57" t="n">
        <v>734.798480614404</v>
      </c>
      <c r="Z57" t="n">
        <v>842.275303863003</v>
      </c>
      <c r="AA57" t="n">
        <v>891.584951109716</v>
      </c>
      <c r="AB57" t="n">
        <v>1075.94259608181</v>
      </c>
      <c r="AC57" t="n">
        <v>1297.46895461403</v>
      </c>
      <c r="AD57" t="n">
        <v>1202.79658205385</v>
      </c>
      <c r="AE57" t="n">
        <v>1277.3</v>
      </c>
      <c r="AF57" t="n">
        <v>1659.4</v>
      </c>
    </row>
    <row r="58">
      <c r="A58" t="s">
        <v>51</v>
      </c>
      <c r="B58" t="s">
        <v>386</v>
      </c>
      <c r="C58" t="s">
        <v>217</v>
      </c>
      <c r="D58" t="s">
        <v>387</v>
      </c>
      <c r="E58" t="s">
        <v>218</v>
      </c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</row>
    <row r="59">
      <c r="A59" t="s">
        <v>51</v>
      </c>
      <c r="B59" t="s">
        <v>388</v>
      </c>
      <c r="C59" t="s">
        <v>217</v>
      </c>
      <c r="D59" t="s">
        <v>389</v>
      </c>
      <c r="E59" t="s">
        <v>218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53</v>
      </c>
      <c r="B2" t="s">
        <v>197</v>
      </c>
      <c r="C2" t="s">
        <v>217</v>
      </c>
      <c r="D2" t="s">
        <v>199</v>
      </c>
      <c r="E2" t="s">
        <v>218</v>
      </c>
      <c r="F2" t="n">
        <v>0</v>
      </c>
      <c r="G2" t="n">
        <v>0</v>
      </c>
      <c r="H2" t="e">
        <v>#NUM!</v>
      </c>
      <c r="I2" t="e">
        <v>#NUM!</v>
      </c>
      <c r="J2" t="e">
        <v>#NUM!</v>
      </c>
      <c r="K2" t="e">
        <v>#NUM!</v>
      </c>
      <c r="L2" t="e">
        <v>#NUM!</v>
      </c>
      <c r="M2" t="e">
        <v>#NUM!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53</v>
      </c>
      <c r="B3" t="s">
        <v>276</v>
      </c>
      <c r="C3" t="s">
        <v>217</v>
      </c>
      <c r="D3" t="s">
        <v>277</v>
      </c>
      <c r="E3" t="s">
        <v>218</v>
      </c>
      <c r="F3" t="n">
        <v>0.09375</v>
      </c>
      <c r="G3" t="n">
        <v>0.09375</v>
      </c>
      <c r="H3" t="n">
        <v>0.09375</v>
      </c>
      <c r="I3" t="n">
        <v>0.1875</v>
      </c>
      <c r="J3" t="n">
        <v>0.1875</v>
      </c>
      <c r="K3" t="n">
        <v>0.28125</v>
      </c>
      <c r="L3" t="n">
        <v>0.28125</v>
      </c>
      <c r="M3" t="n">
        <v>0.28125</v>
      </c>
      <c r="N3" t="n">
        <v>0.28125</v>
      </c>
      <c r="O3" t="n">
        <v>0.1875</v>
      </c>
      <c r="P3" t="n">
        <v>0.28125</v>
      </c>
      <c r="Q3" t="n">
        <v>0.65625</v>
      </c>
      <c r="R3" t="n">
        <v>2.0625</v>
      </c>
      <c r="S3" t="n">
        <v>1.03125</v>
      </c>
      <c r="T3" t="n">
        <v>1.78125</v>
      </c>
      <c r="U3" t="n">
        <v>2.625</v>
      </c>
      <c r="V3" t="n">
        <v>1.875</v>
      </c>
      <c r="W3" t="n">
        <v>4.96875</v>
      </c>
      <c r="X3" t="n">
        <v>3.65625</v>
      </c>
      <c r="Y3" t="n">
        <v>1.5</v>
      </c>
      <c r="Z3" t="n">
        <v>1.2</v>
      </c>
      <c r="AA3" t="n">
        <v>1.2</v>
      </c>
      <c r="AB3" t="n">
        <v>1.3</v>
      </c>
      <c r="AC3" t="n">
        <v>1.8</v>
      </c>
      <c r="AD3" t="n">
        <v>2.2</v>
      </c>
      <c r="AE3" t="n">
        <v>1.2</v>
      </c>
      <c r="AF3" t="n">
        <v>2.1</v>
      </c>
    </row>
    <row r="4">
      <c r="A4" t="s">
        <v>53</v>
      </c>
      <c r="B4" t="s">
        <v>278</v>
      </c>
      <c r="C4" t="s">
        <v>217</v>
      </c>
      <c r="D4" t="s">
        <v>279</v>
      </c>
      <c r="E4" t="s">
        <v>218</v>
      </c>
      <c r="F4" t="n">
        <v>18.6036163086869</v>
      </c>
      <c r="G4" t="n">
        <v>18.7328080886083</v>
      </c>
      <c r="H4" t="n">
        <v>21.2069525531415</v>
      </c>
      <c r="I4" t="n">
        <v>24.1243111054255</v>
      </c>
      <c r="J4" t="n">
        <v>26.3759134752653</v>
      </c>
      <c r="K4" t="n">
        <v>43.2648383092296</v>
      </c>
      <c r="L4" t="n">
        <v>30.7684408364181</v>
      </c>
      <c r="M4" t="n">
        <v>25.9319300694895</v>
      </c>
      <c r="N4" t="n">
        <v>24.5888420579223</v>
      </c>
      <c r="O4" t="n">
        <v>22.3915412782782</v>
      </c>
      <c r="P4" t="n">
        <v>41.7901537718361</v>
      </c>
      <c r="Q4" t="n">
        <v>47.8546879603611</v>
      </c>
      <c r="R4" t="n">
        <v>50.3676053646723</v>
      </c>
      <c r="S4" t="n">
        <v>40.0578183390677</v>
      </c>
      <c r="T4" t="n">
        <v>42.9419812594806</v>
      </c>
      <c r="U4" t="n">
        <v>90.7514415030333</v>
      </c>
      <c r="V4" t="n">
        <v>80.1794742691159</v>
      </c>
      <c r="W4" t="n">
        <v>80.9955503431018</v>
      </c>
      <c r="X4" t="n">
        <v>85.6411804126562</v>
      </c>
      <c r="Y4" t="n">
        <v>103.318007686443</v>
      </c>
      <c r="Z4" t="n">
        <v>75.3831189282794</v>
      </c>
      <c r="AA4" t="n">
        <v>83.8496938552716</v>
      </c>
      <c r="AB4" t="n">
        <v>90.1358861394636</v>
      </c>
      <c r="AC4" t="n">
        <v>122.793815900139</v>
      </c>
      <c r="AD4" t="n">
        <v>126.896950742768</v>
      </c>
      <c r="AE4" t="n">
        <v>128.2</v>
      </c>
      <c r="AF4" t="n">
        <v>195</v>
      </c>
    </row>
    <row r="5">
      <c r="A5" t="s">
        <v>53</v>
      </c>
      <c r="B5" t="s">
        <v>280</v>
      </c>
      <c r="C5" t="s">
        <v>217</v>
      </c>
      <c r="D5" t="s">
        <v>281</v>
      </c>
      <c r="E5" t="s">
        <v>218</v>
      </c>
      <c r="F5" t="n">
        <v>3.6825139539181</v>
      </c>
      <c r="G5" t="n">
        <v>3.6825139539181</v>
      </c>
      <c r="H5" t="n">
        <v>3.92801488417931</v>
      </c>
      <c r="I5" t="n">
        <v>4.62119398138742</v>
      </c>
      <c r="J5" t="n">
        <v>5.06130769390051</v>
      </c>
      <c r="K5" t="n">
        <v>7.53811784197948</v>
      </c>
      <c r="L5" t="n">
        <v>6.88262933398127</v>
      </c>
      <c r="M5" t="n">
        <v>7.41206235967213</v>
      </c>
      <c r="N5" t="n">
        <v>6.88262933398127</v>
      </c>
      <c r="O5" t="n">
        <v>5.61199007232319</v>
      </c>
      <c r="P5" t="n">
        <v>5.05079106509087</v>
      </c>
      <c r="Q5" t="n">
        <v>6.84662788823429</v>
      </c>
      <c r="R5" t="n">
        <v>8.8343585654636</v>
      </c>
      <c r="S5" t="n">
        <v>7.63463085904262</v>
      </c>
      <c r="T5" t="n">
        <v>9.24758104053049</v>
      </c>
      <c r="U5" t="n">
        <v>23.7173254921841</v>
      </c>
      <c r="V5" t="n">
        <v>18.1552978325126</v>
      </c>
      <c r="W5" t="n">
        <v>18.3592899429903</v>
      </c>
      <c r="X5" t="n">
        <v>17.8549138456554</v>
      </c>
      <c r="Y5" t="n">
        <v>24.4490581636531</v>
      </c>
      <c r="Z5" t="n">
        <v>15.9227059469169</v>
      </c>
      <c r="AA5" t="n">
        <v>16.535117714106</v>
      </c>
      <c r="AB5" t="n">
        <v>17.853869433636</v>
      </c>
      <c r="AC5" t="n">
        <v>28.8871595330739</v>
      </c>
      <c r="AD5" t="n">
        <v>25.6</v>
      </c>
      <c r="AE5" t="n">
        <v>26.8</v>
      </c>
      <c r="AF5" t="n">
        <v>40.1</v>
      </c>
    </row>
    <row r="6">
      <c r="A6" t="s">
        <v>53</v>
      </c>
      <c r="B6" t="s">
        <v>282</v>
      </c>
      <c r="C6" t="s">
        <v>217</v>
      </c>
      <c r="D6" t="s">
        <v>283</v>
      </c>
      <c r="E6" t="s">
        <v>218</v>
      </c>
      <c r="F6" t="n">
        <v>1.75774198745228</v>
      </c>
      <c r="G6" t="n">
        <v>1.89295290956399</v>
      </c>
      <c r="H6" t="n">
        <v>2.52393721275199</v>
      </c>
      <c r="I6" t="n">
        <v>2.64412469907351</v>
      </c>
      <c r="J6" t="n">
        <v>2.87404858594947</v>
      </c>
      <c r="K6" t="n">
        <v>5.85863750212776</v>
      </c>
      <c r="L6" t="n">
        <v>2.10026627434769</v>
      </c>
      <c r="M6" t="n">
        <v>1.87918561389004</v>
      </c>
      <c r="N6" t="n">
        <v>1.54756462320356</v>
      </c>
      <c r="O6" t="n">
        <v>1.54756462320356</v>
      </c>
      <c r="P6" t="n">
        <v>2.43188726503417</v>
      </c>
      <c r="Q6" t="n">
        <v>4.53215353938185</v>
      </c>
      <c r="R6" t="n">
        <v>6.04287138584247</v>
      </c>
      <c r="S6" t="n">
        <v>2.12030574941841</v>
      </c>
      <c r="T6" t="n">
        <v>3.0744433366567</v>
      </c>
      <c r="U6" t="n">
        <v>5.61881023595879</v>
      </c>
      <c r="V6" t="n">
        <v>5.21016949152542</v>
      </c>
      <c r="W6" t="n">
        <v>5.1099739243807</v>
      </c>
      <c r="X6" t="n">
        <v>5.91153846153846</v>
      </c>
      <c r="Y6" t="n">
        <v>6.52307692307692</v>
      </c>
      <c r="Z6" t="n">
        <v>4.89230769230769</v>
      </c>
      <c r="AA6" t="n">
        <v>4.89230769230769</v>
      </c>
      <c r="AB6" t="n">
        <v>5.3</v>
      </c>
      <c r="AC6" t="n">
        <v>6.4</v>
      </c>
      <c r="AD6" t="n">
        <v>6</v>
      </c>
      <c r="AE6" t="n">
        <v>6.9</v>
      </c>
      <c r="AF6" t="n">
        <v>10.7</v>
      </c>
    </row>
    <row r="7">
      <c r="A7" t="s">
        <v>53</v>
      </c>
      <c r="B7" t="s">
        <v>284</v>
      </c>
      <c r="C7" t="s">
        <v>217</v>
      </c>
      <c r="D7" t="s">
        <v>285</v>
      </c>
      <c r="E7" t="s">
        <v>218</v>
      </c>
      <c r="F7" t="n">
        <v>3.33897047278569</v>
      </c>
      <c r="G7" t="n">
        <v>3.21972152732906</v>
      </c>
      <c r="H7" t="n">
        <v>3.10869664707633</v>
      </c>
      <c r="I7" t="n">
        <v>3.96626813592498</v>
      </c>
      <c r="J7" t="n">
        <v>4.37306486781472</v>
      </c>
      <c r="K7" t="n">
        <v>5.4663310847684</v>
      </c>
      <c r="L7" t="n">
        <v>6.37738626556313</v>
      </c>
      <c r="M7" t="n">
        <v>4.41511356846678</v>
      </c>
      <c r="N7" t="n">
        <v>4.01373960769708</v>
      </c>
      <c r="O7" t="n">
        <v>4.01373960769708</v>
      </c>
      <c r="P7" t="n">
        <v>4.55613685198047</v>
      </c>
      <c r="Q7" t="n">
        <v>6.50876693140066</v>
      </c>
      <c r="R7" t="n">
        <v>8.24443811310751</v>
      </c>
      <c r="S7" t="n">
        <v>8.56564998764416</v>
      </c>
      <c r="T7" t="n">
        <v>10.1518814668375</v>
      </c>
      <c r="U7" t="n">
        <v>16.0918121123276</v>
      </c>
      <c r="V7" t="n">
        <v>16.2994483976479</v>
      </c>
      <c r="W7" t="n">
        <v>17.413075306804</v>
      </c>
      <c r="X7" t="n">
        <v>17.413075306804</v>
      </c>
      <c r="Y7" t="n">
        <v>22.5762546128912</v>
      </c>
      <c r="Z7" t="n">
        <v>16.1112362464724</v>
      </c>
      <c r="AA7" t="n">
        <v>18.3545729390191</v>
      </c>
      <c r="AB7" t="n">
        <v>19.8756701439102</v>
      </c>
      <c r="AC7" t="n">
        <v>23.2886640070059</v>
      </c>
      <c r="AD7" t="n">
        <v>21.489539748954</v>
      </c>
      <c r="AE7" t="n">
        <v>24</v>
      </c>
      <c r="AF7" t="n">
        <v>36.3</v>
      </c>
    </row>
    <row r="8">
      <c r="A8" t="s">
        <v>53</v>
      </c>
      <c r="B8" t="s">
        <v>286</v>
      </c>
      <c r="C8" t="s">
        <v>217</v>
      </c>
      <c r="D8" t="s">
        <v>287</v>
      </c>
      <c r="E8" t="s">
        <v>218</v>
      </c>
      <c r="F8" t="n">
        <v>1.57966700724955</v>
      </c>
      <c r="G8" t="n">
        <v>2.03100043789228</v>
      </c>
      <c r="H8" t="n">
        <v>3.42063231645015</v>
      </c>
      <c r="I8" t="n">
        <v>3.21332126696832</v>
      </c>
      <c r="J8" t="n">
        <v>3.51457013574661</v>
      </c>
      <c r="K8" t="n">
        <v>9.07930618401207</v>
      </c>
      <c r="L8" t="n">
        <v>0.781015585721468</v>
      </c>
      <c r="M8" t="n">
        <v>0.488134741075917</v>
      </c>
      <c r="N8" t="n">
        <v>0.488134741075917</v>
      </c>
      <c r="O8" t="n">
        <v>0.488134741075917</v>
      </c>
      <c r="P8" t="n">
        <v>0.488134741075917</v>
      </c>
      <c r="Q8" t="n">
        <v>0.732202111613876</v>
      </c>
      <c r="R8" t="n">
        <v>1.58643790849673</v>
      </c>
      <c r="S8" t="n">
        <v>0.793218954248366</v>
      </c>
      <c r="T8" t="n">
        <v>0.906535947712418</v>
      </c>
      <c r="U8" t="n">
        <v>1.92638888888889</v>
      </c>
      <c r="V8" t="n">
        <v>1.92638888888889</v>
      </c>
      <c r="W8" t="n">
        <v>2.23055555555556</v>
      </c>
      <c r="X8" t="n">
        <v>2.43333333333333</v>
      </c>
      <c r="Y8" t="n">
        <v>3.14305555555556</v>
      </c>
      <c r="Z8" t="n">
        <v>2.63611111111111</v>
      </c>
      <c r="AA8" t="n">
        <v>6.79305555555556</v>
      </c>
      <c r="AB8" t="n">
        <v>6.79305555555556</v>
      </c>
      <c r="AC8" t="n">
        <v>4.15694444444444</v>
      </c>
      <c r="AD8" t="n">
        <v>7.19861111111111</v>
      </c>
      <c r="AE8" t="n">
        <v>7.3</v>
      </c>
      <c r="AF8" t="n">
        <v>15.5</v>
      </c>
    </row>
    <row r="9">
      <c r="A9" t="s">
        <v>53</v>
      </c>
      <c r="B9" t="s">
        <v>288</v>
      </c>
      <c r="C9" t="s">
        <v>217</v>
      </c>
      <c r="D9" t="s">
        <v>289</v>
      </c>
      <c r="E9" t="s">
        <v>218</v>
      </c>
      <c r="F9" t="n">
        <v>0.540865384615385</v>
      </c>
      <c r="G9" t="n">
        <v>0.540865384615385</v>
      </c>
      <c r="H9" t="n">
        <v>0.540865384615385</v>
      </c>
      <c r="I9" t="n">
        <v>0.649038461538461</v>
      </c>
      <c r="J9" t="n">
        <v>0.757211538461538</v>
      </c>
      <c r="K9" t="n">
        <v>1.08173076923077</v>
      </c>
      <c r="L9" t="n">
        <v>1.18990384615385</v>
      </c>
      <c r="M9" t="n">
        <v>0.973557692307692</v>
      </c>
      <c r="N9" t="n">
        <v>0.865384615384616</v>
      </c>
      <c r="O9" t="n">
        <v>0.973557692307693</v>
      </c>
      <c r="P9" t="n">
        <v>0.757211538461539</v>
      </c>
      <c r="Q9" t="n">
        <v>1.29807692307692</v>
      </c>
      <c r="R9" t="n">
        <v>1.62259615384615</v>
      </c>
      <c r="S9" t="n">
        <v>2.92067307692308</v>
      </c>
      <c r="T9" t="n">
        <v>1.18990384615385</v>
      </c>
      <c r="U9" t="n">
        <v>2.8125</v>
      </c>
      <c r="V9" t="n">
        <v>2.5</v>
      </c>
      <c r="W9" t="n">
        <v>2.9</v>
      </c>
      <c r="X9" t="n">
        <v>3.6</v>
      </c>
      <c r="Y9" t="n">
        <v>3.3</v>
      </c>
      <c r="Z9" t="n">
        <v>2.4</v>
      </c>
      <c r="AA9" t="n">
        <v>2.5</v>
      </c>
      <c r="AB9" t="n">
        <v>2.7</v>
      </c>
      <c r="AC9" t="n">
        <v>3.6</v>
      </c>
      <c r="AD9" t="n">
        <v>3.4</v>
      </c>
      <c r="AE9" t="n">
        <v>3.9</v>
      </c>
      <c r="AF9" t="n">
        <v>5.6</v>
      </c>
    </row>
    <row r="10">
      <c r="A10" t="s">
        <v>53</v>
      </c>
      <c r="B10" t="s">
        <v>290</v>
      </c>
      <c r="C10" t="s">
        <v>217</v>
      </c>
      <c r="D10" t="s">
        <v>291</v>
      </c>
      <c r="E10" t="s">
        <v>218</v>
      </c>
      <c r="F10" t="n">
        <v>0.76125</v>
      </c>
      <c r="G10" t="n">
        <v>0.76125</v>
      </c>
      <c r="H10" t="n">
        <v>0.76125</v>
      </c>
      <c r="I10" t="n">
        <v>0.87</v>
      </c>
      <c r="J10" t="n">
        <v>0.97875</v>
      </c>
      <c r="K10" t="n">
        <v>1.5225</v>
      </c>
      <c r="L10" t="n">
        <v>1.63125</v>
      </c>
      <c r="M10" t="n">
        <v>1.305</v>
      </c>
      <c r="N10" t="n">
        <v>1.19625</v>
      </c>
      <c r="O10" t="n">
        <v>1.305</v>
      </c>
      <c r="P10" t="n">
        <v>1.41375</v>
      </c>
      <c r="Q10" t="n">
        <v>1.84875</v>
      </c>
      <c r="R10" t="n">
        <v>3.045</v>
      </c>
      <c r="S10" t="n">
        <v>3.465</v>
      </c>
      <c r="T10" t="n">
        <v>2.835</v>
      </c>
      <c r="U10" t="n">
        <v>5.04</v>
      </c>
      <c r="V10" t="n">
        <v>3.6</v>
      </c>
      <c r="W10" t="n">
        <v>4.3</v>
      </c>
      <c r="X10" t="n">
        <v>7.9</v>
      </c>
      <c r="Y10" t="n">
        <v>5.1</v>
      </c>
      <c r="Z10" t="n">
        <v>5.2</v>
      </c>
      <c r="AA10" t="n">
        <v>4.4</v>
      </c>
      <c r="AB10" t="n">
        <v>4.6</v>
      </c>
      <c r="AC10" t="n">
        <v>8.2</v>
      </c>
      <c r="AD10" t="n">
        <v>8.4</v>
      </c>
      <c r="AE10" t="n">
        <v>9.6</v>
      </c>
      <c r="AF10" t="n">
        <v>12.5</v>
      </c>
    </row>
    <row r="11">
      <c r="A11" t="s">
        <v>53</v>
      </c>
      <c r="B11" t="s">
        <v>292</v>
      </c>
      <c r="C11" t="s">
        <v>217</v>
      </c>
      <c r="D11" t="s">
        <v>293</v>
      </c>
      <c r="E11" t="s">
        <v>218</v>
      </c>
      <c r="F11" t="n">
        <v>0.215384615384615</v>
      </c>
      <c r="G11" t="n">
        <v>0.215384615384615</v>
      </c>
      <c r="H11" t="n">
        <v>0.215384615384615</v>
      </c>
      <c r="I11" t="n">
        <v>0.215384615384615</v>
      </c>
      <c r="J11" t="n">
        <v>0.215384615384615</v>
      </c>
      <c r="K11" t="n">
        <v>0.430769230769231</v>
      </c>
      <c r="L11" t="n">
        <v>0.430769230769231</v>
      </c>
      <c r="M11" t="n">
        <v>0.323076923076923</v>
      </c>
      <c r="N11" t="n">
        <v>0.323076923076923</v>
      </c>
      <c r="O11" t="n">
        <v>0.323076923076923</v>
      </c>
      <c r="P11" t="n">
        <v>0.646153846153846</v>
      </c>
      <c r="Q11" t="n">
        <v>0.538461538461538</v>
      </c>
      <c r="R11" t="n">
        <v>1.4</v>
      </c>
      <c r="S11" t="n">
        <v>0.6</v>
      </c>
      <c r="T11" t="n">
        <v>1.6</v>
      </c>
      <c r="U11" t="n">
        <v>2.2</v>
      </c>
      <c r="V11" t="n">
        <v>1.1</v>
      </c>
      <c r="W11" t="n">
        <v>1.4</v>
      </c>
      <c r="X11" t="n">
        <v>4.3</v>
      </c>
      <c r="Y11" t="n">
        <v>1.8</v>
      </c>
      <c r="Z11" t="n">
        <v>2.8</v>
      </c>
      <c r="AA11" t="n">
        <v>1.9</v>
      </c>
      <c r="AB11" t="n">
        <v>1.9</v>
      </c>
      <c r="AC11" t="n">
        <v>4.6</v>
      </c>
      <c r="AD11" t="n">
        <v>5</v>
      </c>
      <c r="AE11" t="n">
        <v>5.7</v>
      </c>
      <c r="AF11" t="n">
        <v>6.9</v>
      </c>
    </row>
    <row r="12">
      <c r="A12" t="s">
        <v>53</v>
      </c>
      <c r="B12" t="s">
        <v>294</v>
      </c>
      <c r="C12" t="s">
        <v>217</v>
      </c>
      <c r="D12" t="s">
        <v>295</v>
      </c>
      <c r="E12" t="s">
        <v>218</v>
      </c>
      <c r="F12" t="n">
        <v>0.535714285714286</v>
      </c>
      <c r="G12" t="n">
        <v>0.535714285714286</v>
      </c>
      <c r="H12" t="n">
        <v>0.535714285714286</v>
      </c>
      <c r="I12" t="n">
        <v>0.535714285714286</v>
      </c>
      <c r="J12" t="n">
        <v>0.535714285714286</v>
      </c>
      <c r="K12" t="n">
        <v>0.964285714285714</v>
      </c>
      <c r="L12" t="n">
        <v>0.642857142857143</v>
      </c>
      <c r="M12" t="n">
        <v>1.28571428571429</v>
      </c>
      <c r="N12" t="n">
        <v>1.28571428571429</v>
      </c>
      <c r="O12" t="n">
        <v>0.857142857142857</v>
      </c>
      <c r="P12" t="n">
        <v>0.857142857142857</v>
      </c>
      <c r="Q12" t="n">
        <v>0.964285714285714</v>
      </c>
      <c r="R12" t="n">
        <v>2.14285714285714</v>
      </c>
      <c r="S12" t="n">
        <v>3</v>
      </c>
      <c r="T12" t="n">
        <v>1.5</v>
      </c>
      <c r="U12" t="n">
        <v>2.5</v>
      </c>
      <c r="V12" t="n">
        <v>2.5</v>
      </c>
      <c r="W12" t="n">
        <v>2</v>
      </c>
      <c r="X12" t="n">
        <v>3.5</v>
      </c>
      <c r="Y12" t="n">
        <v>2.4</v>
      </c>
      <c r="Z12" t="n">
        <v>1.3</v>
      </c>
      <c r="AA12" t="n">
        <v>2.6</v>
      </c>
      <c r="AB12" t="n">
        <v>2.5</v>
      </c>
      <c r="AC12" t="n">
        <v>2.6</v>
      </c>
      <c r="AD12" t="n">
        <v>12.8</v>
      </c>
      <c r="AE12" t="n">
        <v>3</v>
      </c>
      <c r="AF12" t="n">
        <v>3.3</v>
      </c>
    </row>
    <row r="13">
      <c r="A13" t="s">
        <v>53</v>
      </c>
      <c r="B13" t="s">
        <v>296</v>
      </c>
      <c r="C13" t="s">
        <v>217</v>
      </c>
      <c r="D13" t="s">
        <v>297</v>
      </c>
      <c r="E13" t="s">
        <v>218</v>
      </c>
      <c r="F13" t="n">
        <v>1.8381437199223</v>
      </c>
      <c r="G13" t="n">
        <v>1.8381437199223</v>
      </c>
      <c r="H13" t="n">
        <v>2.08322954924528</v>
      </c>
      <c r="I13" t="n">
        <v>2.31469949916142</v>
      </c>
      <c r="J13" t="n">
        <v>2.53514707051013</v>
      </c>
      <c r="K13" t="n">
        <v>4.22524511751688</v>
      </c>
      <c r="L13" t="n">
        <v>2.74640932638597</v>
      </c>
      <c r="M13" t="n">
        <v>2.64469046244575</v>
      </c>
      <c r="N13" t="n">
        <v>2.54297159850553</v>
      </c>
      <c r="O13" t="n">
        <v>2.4370144485678</v>
      </c>
      <c r="P13" t="n">
        <v>7.75413688180663</v>
      </c>
      <c r="Q13" t="n">
        <v>6.771218122141</v>
      </c>
      <c r="R13" t="n">
        <v>7.09365708033819</v>
      </c>
      <c r="S13" t="n">
        <v>3.91739271600766</v>
      </c>
      <c r="T13" t="n">
        <v>3.28213984314155</v>
      </c>
      <c r="U13" t="n">
        <v>13.0191547111282</v>
      </c>
      <c r="V13" t="n">
        <v>10.1378663734195</v>
      </c>
      <c r="W13" t="n">
        <v>8.15209873326514</v>
      </c>
      <c r="X13" t="n">
        <v>7.01699637800037</v>
      </c>
      <c r="Y13" t="n">
        <v>9.90634782776523</v>
      </c>
      <c r="Z13" t="n">
        <v>8.00938760542721</v>
      </c>
      <c r="AA13" t="n">
        <v>6.55313531353135</v>
      </c>
      <c r="AB13" t="n">
        <v>7.37227722772277</v>
      </c>
      <c r="AC13" t="n">
        <v>10.2</v>
      </c>
      <c r="AD13" t="n">
        <v>10.1</v>
      </c>
      <c r="AE13" t="n">
        <v>11.5</v>
      </c>
      <c r="AF13" t="n">
        <v>19.7</v>
      </c>
    </row>
    <row r="14">
      <c r="A14" t="s">
        <v>53</v>
      </c>
      <c r="B14" t="s">
        <v>298</v>
      </c>
      <c r="C14" t="s">
        <v>217</v>
      </c>
      <c r="D14" t="s">
        <v>299</v>
      </c>
      <c r="E14" t="s">
        <v>218</v>
      </c>
      <c r="F14" t="n">
        <v>2.87536752582365</v>
      </c>
      <c r="G14" t="n">
        <v>2.7603528247907</v>
      </c>
      <c r="H14" t="n">
        <v>2.6541854084526</v>
      </c>
      <c r="I14" t="n">
        <v>3.36877378765137</v>
      </c>
      <c r="J14" t="n">
        <v>3.76510011561036</v>
      </c>
      <c r="K14" t="n">
        <v>4.85499751749757</v>
      </c>
      <c r="L14" t="n">
        <v>6.06874689687196</v>
      </c>
      <c r="M14" t="n">
        <v>3.48206789164785</v>
      </c>
      <c r="N14" t="n">
        <v>3.88001850783617</v>
      </c>
      <c r="O14" t="n">
        <v>3.47159550701131</v>
      </c>
      <c r="P14" t="n">
        <v>14.7542809047981</v>
      </c>
      <c r="Q14" t="n">
        <v>10.0156797382936</v>
      </c>
      <c r="R14" t="n">
        <v>7.10790174975673</v>
      </c>
      <c r="S14" t="n">
        <v>5.19831620504597</v>
      </c>
      <c r="T14" t="n">
        <v>5.83484471994956</v>
      </c>
      <c r="U14" t="n">
        <v>13.3210605870546</v>
      </c>
      <c r="V14" t="n">
        <v>13.1096151809109</v>
      </c>
      <c r="W14" t="n">
        <v>13.826547261117</v>
      </c>
      <c r="X14" t="n">
        <v>14.2302420716605</v>
      </c>
      <c r="Y14" t="n">
        <v>17.3812242446711</v>
      </c>
      <c r="Z14" t="n">
        <v>12.3416976885239</v>
      </c>
      <c r="AA14" t="n">
        <v>13.2596752025463</v>
      </c>
      <c r="AB14" t="n">
        <v>14.5755208333333</v>
      </c>
      <c r="AC14" t="n">
        <v>19.3</v>
      </c>
      <c r="AD14" t="n">
        <v>17.8</v>
      </c>
      <c r="AE14" t="n">
        <v>19.5</v>
      </c>
      <c r="AF14" t="n">
        <v>28.6</v>
      </c>
    </row>
    <row r="15">
      <c r="A15" t="s">
        <v>53</v>
      </c>
      <c r="B15" t="s">
        <v>300</v>
      </c>
      <c r="C15" t="s">
        <v>217</v>
      </c>
      <c r="D15" t="s">
        <v>301</v>
      </c>
      <c r="E15" t="s">
        <v>218</v>
      </c>
      <c r="F15" t="n">
        <v>2.91134599536236</v>
      </c>
      <c r="G15" t="n">
        <v>2.79937114938688</v>
      </c>
      <c r="H15" t="n">
        <v>2.79937114938688</v>
      </c>
      <c r="I15" t="n">
        <v>3.4992139367336</v>
      </c>
      <c r="J15" t="n">
        <v>3.88801548525956</v>
      </c>
      <c r="K15" t="n">
        <v>5.15162051796892</v>
      </c>
      <c r="L15" t="n">
        <v>6.14231677142448</v>
      </c>
      <c r="M15" t="n">
        <v>3.70488948117667</v>
      </c>
      <c r="N15" t="n">
        <v>4.09487784761632</v>
      </c>
      <c r="O15" t="n">
        <v>3.69537756980009</v>
      </c>
      <c r="P15" t="n">
        <v>15.5423233082769</v>
      </c>
      <c r="Q15" t="n">
        <v>13.0598688909826</v>
      </c>
      <c r="R15" t="n">
        <v>7.81451171345682</v>
      </c>
      <c r="S15" t="n">
        <v>5.49127850134804</v>
      </c>
      <c r="T15" t="n">
        <v>6.3360905784785</v>
      </c>
      <c r="U15" t="n">
        <v>14.6385540951055</v>
      </c>
      <c r="V15" t="n">
        <v>13.9013607234096</v>
      </c>
      <c r="W15" t="n">
        <v>14.6168719371145</v>
      </c>
      <c r="X15" t="n">
        <v>14.8184839638333</v>
      </c>
      <c r="Y15" t="n">
        <v>18.1678673255216</v>
      </c>
      <c r="Z15" t="n">
        <v>13.4462746872505</v>
      </c>
      <c r="AA15" t="n">
        <v>13.8537375565611</v>
      </c>
      <c r="AB15" t="n">
        <v>15.1683257918552</v>
      </c>
      <c r="AC15" t="n">
        <v>22.2</v>
      </c>
      <c r="AD15" t="n">
        <v>21.4</v>
      </c>
      <c r="AE15" t="n">
        <v>23.4</v>
      </c>
      <c r="AF15" t="n">
        <v>33</v>
      </c>
    </row>
    <row r="16">
      <c r="A16" t="s">
        <v>53</v>
      </c>
      <c r="B16" t="s">
        <v>302</v>
      </c>
      <c r="C16" t="s">
        <v>217</v>
      </c>
      <c r="D16" t="s">
        <v>303</v>
      </c>
      <c r="E16" t="s">
        <v>218</v>
      </c>
      <c r="F16" t="n">
        <v>0.0690476190476191</v>
      </c>
      <c r="G16" t="n">
        <v>0.0690476190476191</v>
      </c>
      <c r="H16" t="n">
        <v>0.138095238095238</v>
      </c>
      <c r="I16" t="n">
        <v>0.138095238095238</v>
      </c>
      <c r="J16" t="n">
        <v>0.138095238095238</v>
      </c>
      <c r="K16" t="n">
        <v>0.276190476190476</v>
      </c>
      <c r="L16" t="n">
        <v>0.138095238095238</v>
      </c>
      <c r="M16" t="n">
        <v>0.207142857142857</v>
      </c>
      <c r="N16" t="n">
        <v>0.207142857142857</v>
      </c>
      <c r="O16" t="n">
        <v>0.207142857142857</v>
      </c>
      <c r="P16" t="n">
        <v>0.725</v>
      </c>
      <c r="Q16" t="n">
        <v>2.9</v>
      </c>
      <c r="R16" t="n">
        <v>0.7</v>
      </c>
      <c r="S16" t="n">
        <v>0.3</v>
      </c>
      <c r="T16" t="n">
        <v>0.5</v>
      </c>
      <c r="U16" t="n">
        <v>1.3</v>
      </c>
      <c r="V16" t="n">
        <v>0.8</v>
      </c>
      <c r="W16" t="n">
        <v>0.8</v>
      </c>
      <c r="X16" t="n">
        <v>0.6</v>
      </c>
      <c r="Y16" t="n">
        <v>0.8</v>
      </c>
      <c r="Z16" t="n">
        <v>1.1</v>
      </c>
      <c r="AA16" t="n">
        <v>0.6</v>
      </c>
      <c r="AB16" t="n">
        <v>0.6</v>
      </c>
      <c r="AC16" t="n">
        <v>2.9</v>
      </c>
      <c r="AD16" t="n">
        <v>3.6</v>
      </c>
      <c r="AE16" t="n">
        <v>3.9</v>
      </c>
      <c r="AF16" t="n">
        <v>4.4</v>
      </c>
    </row>
    <row r="17">
      <c r="A17" t="s">
        <v>53</v>
      </c>
      <c r="B17" t="s">
        <v>304</v>
      </c>
      <c r="C17" t="s">
        <v>217</v>
      </c>
      <c r="D17" t="s">
        <v>305</v>
      </c>
      <c r="E17" t="s">
        <v>218</v>
      </c>
      <c r="F17" t="n">
        <v>0.559299342105263</v>
      </c>
      <c r="G17" t="n">
        <v>0.559299342105263</v>
      </c>
      <c r="H17" t="n">
        <v>0.559299342105263</v>
      </c>
      <c r="I17" t="n">
        <v>0.671159210526316</v>
      </c>
      <c r="J17" t="n">
        <v>0.671159210526316</v>
      </c>
      <c r="K17" t="n">
        <v>0.862918984962406</v>
      </c>
      <c r="L17" t="n">
        <v>0.862918984962406</v>
      </c>
      <c r="M17" t="n">
        <v>0.767039097744361</v>
      </c>
      <c r="N17" t="n">
        <v>0.671159210526316</v>
      </c>
      <c r="O17" t="n">
        <v>0.671159210526316</v>
      </c>
      <c r="P17" t="n">
        <v>1.11859868421053</v>
      </c>
      <c r="Q17" t="n">
        <v>1.90161776315789</v>
      </c>
      <c r="R17" t="n">
        <v>1.45417828947368</v>
      </c>
      <c r="S17" t="n">
        <v>1.56603815789474</v>
      </c>
      <c r="T17" t="n">
        <v>1.11859868421053</v>
      </c>
      <c r="U17" t="n">
        <v>2.34905723684211</v>
      </c>
      <c r="V17" t="n">
        <v>2.45583256578947</v>
      </c>
      <c r="W17" t="n">
        <v>2.56260789473684</v>
      </c>
      <c r="X17" t="n">
        <v>2.66938322368421</v>
      </c>
      <c r="Y17" t="n">
        <v>3.20325986842105</v>
      </c>
      <c r="Z17" t="n">
        <v>2.2091447368421</v>
      </c>
      <c r="AA17" t="n">
        <v>3.9975</v>
      </c>
      <c r="AB17" t="n">
        <v>4.1</v>
      </c>
      <c r="AC17" t="n">
        <v>8.3</v>
      </c>
      <c r="AD17" t="n">
        <v>5.9</v>
      </c>
      <c r="AE17" t="n">
        <v>6.6</v>
      </c>
      <c r="AF17" t="n">
        <v>10.3</v>
      </c>
    </row>
    <row r="18">
      <c r="A18" t="s">
        <v>53</v>
      </c>
      <c r="B18" t="s">
        <v>306</v>
      </c>
      <c r="C18" t="s">
        <v>217</v>
      </c>
      <c r="D18" t="s">
        <v>307</v>
      </c>
      <c r="E18" t="s">
        <v>218</v>
      </c>
      <c r="F18" t="n">
        <v>0.458181818181818</v>
      </c>
      <c r="G18" t="n">
        <v>0.458181818181818</v>
      </c>
      <c r="H18" t="n">
        <v>0.458181818181818</v>
      </c>
      <c r="I18" t="n">
        <v>0.458181818181818</v>
      </c>
      <c r="J18" t="n">
        <v>0.458181818181818</v>
      </c>
      <c r="K18" t="n">
        <v>0.687272727272727</v>
      </c>
      <c r="L18" t="n">
        <v>0.572727272727273</v>
      </c>
      <c r="M18" t="n">
        <v>0.687272727272727</v>
      </c>
      <c r="N18" t="n">
        <v>0.458181818181818</v>
      </c>
      <c r="O18" t="n">
        <v>0.458181818181818</v>
      </c>
      <c r="P18" t="n">
        <v>0.572727272727273</v>
      </c>
      <c r="Q18" t="n">
        <v>1.26</v>
      </c>
      <c r="R18" t="n">
        <v>0.687272727272727</v>
      </c>
      <c r="S18" t="n">
        <v>1.14545454545455</v>
      </c>
      <c r="T18" t="n">
        <v>1.71818181818182</v>
      </c>
      <c r="U18" t="n">
        <v>1.60363636363636</v>
      </c>
      <c r="V18" t="n">
        <v>1.26</v>
      </c>
      <c r="W18" t="n">
        <v>1.26</v>
      </c>
      <c r="X18" t="n">
        <v>1.365</v>
      </c>
      <c r="Y18" t="n">
        <v>1.68</v>
      </c>
      <c r="Z18" t="n">
        <v>1.155</v>
      </c>
      <c r="AA18" t="n">
        <v>1.365</v>
      </c>
      <c r="AB18" t="n">
        <v>1.47</v>
      </c>
      <c r="AC18" t="n">
        <v>1.995</v>
      </c>
      <c r="AD18" t="n">
        <v>1.68</v>
      </c>
      <c r="AE18" t="n">
        <v>2.1</v>
      </c>
      <c r="AF18" t="n">
        <v>3.2</v>
      </c>
    </row>
    <row r="19">
      <c r="A19" t="s">
        <v>53</v>
      </c>
      <c r="B19" t="s">
        <v>308</v>
      </c>
      <c r="C19" t="s">
        <v>217</v>
      </c>
      <c r="D19" t="s">
        <v>309</v>
      </c>
      <c r="E19" t="s">
        <v>218</v>
      </c>
      <c r="F19" t="n">
        <v>0.786840658261655</v>
      </c>
      <c r="G19" t="n">
        <v>0.786840658261655</v>
      </c>
      <c r="H19" t="n">
        <v>0.786840658261655</v>
      </c>
      <c r="I19" t="n">
        <v>1.01165227490784</v>
      </c>
      <c r="J19" t="n">
        <v>1.11281750239863</v>
      </c>
      <c r="K19" t="n">
        <v>1.3151479573802</v>
      </c>
      <c r="L19" t="n">
        <v>1.71980886734333</v>
      </c>
      <c r="M19" t="n">
        <v>1.3151479573802</v>
      </c>
      <c r="N19" t="n">
        <v>1.3151479573802</v>
      </c>
      <c r="O19" t="n">
        <v>1.21398272988941</v>
      </c>
      <c r="P19" t="n">
        <v>1.65543099530374</v>
      </c>
      <c r="Q19" t="n">
        <v>3.2004999242539</v>
      </c>
      <c r="R19" t="n">
        <v>3.31086199060748</v>
      </c>
      <c r="S19" t="n">
        <v>2.34964399333434</v>
      </c>
      <c r="T19" t="n">
        <v>2.77685199212241</v>
      </c>
      <c r="U19" t="n">
        <v>4.37888198757764</v>
      </c>
      <c r="V19" t="n">
        <v>4.79591836734694</v>
      </c>
      <c r="W19" t="n">
        <v>5</v>
      </c>
      <c r="X19" t="n">
        <v>4.7</v>
      </c>
      <c r="Y19" t="n">
        <v>6.2</v>
      </c>
      <c r="Z19" t="n">
        <v>4.5</v>
      </c>
      <c r="AA19" t="n">
        <v>4.5</v>
      </c>
      <c r="AB19" t="n">
        <v>5.1</v>
      </c>
      <c r="AC19" t="n">
        <v>6.5</v>
      </c>
      <c r="AD19" t="n">
        <v>6.3</v>
      </c>
      <c r="AE19" t="n">
        <v>7</v>
      </c>
      <c r="AF19" t="n">
        <v>10.4</v>
      </c>
    </row>
    <row r="20">
      <c r="A20" t="s">
        <v>53</v>
      </c>
      <c r="B20" t="s">
        <v>310</v>
      </c>
      <c r="C20" t="s">
        <v>217</v>
      </c>
      <c r="D20" t="s">
        <v>311</v>
      </c>
      <c r="E20" t="s">
        <v>218</v>
      </c>
      <c r="F20" t="n">
        <v>3.73851746418934</v>
      </c>
      <c r="G20" t="n">
        <v>3.73851746418934</v>
      </c>
      <c r="H20" t="n">
        <v>3.97217480570117</v>
      </c>
      <c r="I20" t="n">
        <v>4.6342039399847</v>
      </c>
      <c r="J20" t="n">
        <v>5.05549520725604</v>
      </c>
      <c r="K20" t="n">
        <v>7.38102300259382</v>
      </c>
      <c r="L20" t="n">
        <v>6.45839512726959</v>
      </c>
      <c r="M20" t="n">
        <v>3.97439700139667</v>
      </c>
      <c r="N20" t="n">
        <v>4.07375692643159</v>
      </c>
      <c r="O20" t="n">
        <v>4.07375692643159</v>
      </c>
      <c r="P20" t="n">
        <v>4.93138996357508</v>
      </c>
      <c r="Q20" t="n">
        <v>5.87569868000435</v>
      </c>
      <c r="R20" t="n">
        <v>5.77077548928999</v>
      </c>
      <c r="S20" t="n">
        <v>4.09200443786017</v>
      </c>
      <c r="T20" t="n">
        <v>6.08554506143308</v>
      </c>
      <c r="U20" t="n">
        <v>12.2797605703918</v>
      </c>
      <c r="V20" t="n">
        <v>14.569207456397</v>
      </c>
      <c r="W20" t="n">
        <v>17.7056340615936</v>
      </c>
      <c r="X20" t="n">
        <v>18.0040436244294</v>
      </c>
      <c r="Y20" t="n">
        <v>31.9071662010721</v>
      </c>
      <c r="Z20" t="n">
        <v>20.5623959962465</v>
      </c>
      <c r="AA20" t="n">
        <v>23.4854817015952</v>
      </c>
      <c r="AB20" t="n">
        <v>23.1830935251799</v>
      </c>
      <c r="AC20" t="n">
        <v>27.9</v>
      </c>
      <c r="AD20" t="n">
        <v>36.6</v>
      </c>
      <c r="AE20" t="n">
        <v>37.9</v>
      </c>
      <c r="AF20" t="n">
        <v>47.5</v>
      </c>
    </row>
    <row r="21">
      <c r="A21" t="s">
        <v>53</v>
      </c>
      <c r="B21" t="s">
        <v>312</v>
      </c>
      <c r="C21" t="s">
        <v>217</v>
      </c>
      <c r="D21" t="s">
        <v>313</v>
      </c>
      <c r="E21" t="s">
        <v>218</v>
      </c>
      <c r="F21" t="n">
        <v>4.74738857258293</v>
      </c>
      <c r="G21" t="n">
        <v>4.74738857258293</v>
      </c>
      <c r="H21" t="n">
        <v>4.99084439681795</v>
      </c>
      <c r="I21" t="n">
        <v>5.91937358692361</v>
      </c>
      <c r="J21" t="n">
        <v>6.4778050573881</v>
      </c>
      <c r="K21" t="n">
        <v>9.39281733321275</v>
      </c>
      <c r="L21" t="n">
        <v>9.61125494561305</v>
      </c>
      <c r="M21" t="n">
        <v>5.91461842806957</v>
      </c>
      <c r="N21" t="n">
        <v>5.49214568320746</v>
      </c>
      <c r="O21" t="n">
        <v>5.16907829007761</v>
      </c>
      <c r="P21" t="n">
        <v>7.35157801255482</v>
      </c>
      <c r="Q21" t="n">
        <v>90.3678589543277</v>
      </c>
      <c r="R21" t="n">
        <v>67.5832708866714</v>
      </c>
      <c r="S21" t="n">
        <v>6.75832708866714</v>
      </c>
      <c r="T21" t="n">
        <v>11.3711535142653</v>
      </c>
      <c r="U21" t="n">
        <v>18.627032423368</v>
      </c>
      <c r="V21" t="n">
        <v>18.9392173243183</v>
      </c>
      <c r="W21" t="n">
        <v>22.4839906203137</v>
      </c>
      <c r="X21" t="n">
        <v>22.4839906203137</v>
      </c>
      <c r="Y21" t="n">
        <v>43.0608570362258</v>
      </c>
      <c r="Z21" t="n">
        <v>32.1940841520839</v>
      </c>
      <c r="AA21" t="n">
        <v>30.8779737936654</v>
      </c>
      <c r="AB21" t="n">
        <v>30.2705382436261</v>
      </c>
      <c r="AC21" t="n">
        <v>35.5</v>
      </c>
      <c r="AD21" t="n">
        <v>44.1</v>
      </c>
      <c r="AE21" t="n">
        <v>45.8</v>
      </c>
      <c r="AF21" t="n">
        <v>75.5</v>
      </c>
    </row>
    <row r="22">
      <c r="A22" t="s">
        <v>53</v>
      </c>
      <c r="B22" t="s">
        <v>314</v>
      </c>
      <c r="C22" t="s">
        <v>217</v>
      </c>
      <c r="D22" t="s">
        <v>315</v>
      </c>
      <c r="E22" t="s">
        <v>218</v>
      </c>
      <c r="F22" t="n">
        <v>0.742600115919557</v>
      </c>
      <c r="G22" t="n">
        <v>0.742600115919557</v>
      </c>
      <c r="H22" t="n">
        <v>0.742600115919557</v>
      </c>
      <c r="I22" t="n">
        <v>0.95477157761086</v>
      </c>
      <c r="J22" t="n">
        <v>1.06085730845651</v>
      </c>
      <c r="K22" t="n">
        <v>1.48520023183911</v>
      </c>
      <c r="L22" t="n">
        <v>2.65214327114128</v>
      </c>
      <c r="M22" t="n">
        <v>1.63208816685617</v>
      </c>
      <c r="N22" t="n">
        <v>1.12206061471362</v>
      </c>
      <c r="O22" t="n">
        <v>0.816044083428085</v>
      </c>
      <c r="P22" t="n">
        <v>2.09839907167222</v>
      </c>
      <c r="Q22" t="n">
        <v>86.6172505695811</v>
      </c>
      <c r="R22" t="n">
        <v>63.292866756073</v>
      </c>
      <c r="S22" t="n">
        <v>2.64178922112304</v>
      </c>
      <c r="T22" t="n">
        <v>5.28357844224609</v>
      </c>
      <c r="U22" t="n">
        <v>6.36185975699019</v>
      </c>
      <c r="V22" t="n">
        <v>4.3802968818621</v>
      </c>
      <c r="W22" t="n">
        <v>4.78776635924462</v>
      </c>
      <c r="X22" t="n">
        <v>4.48216425120773</v>
      </c>
      <c r="Y22" t="n">
        <v>11.2054106280193</v>
      </c>
      <c r="Z22" t="n">
        <v>11.7194202898551</v>
      </c>
      <c r="AA22" t="n">
        <v>7.40173913043478</v>
      </c>
      <c r="AB22" t="n">
        <v>7.09333333333333</v>
      </c>
      <c r="AC22" t="n">
        <v>7.6</v>
      </c>
      <c r="AD22" t="n">
        <v>7.5</v>
      </c>
      <c r="AE22" t="n">
        <v>7.9</v>
      </c>
      <c r="AF22" t="n">
        <v>28</v>
      </c>
    </row>
    <row r="23">
      <c r="A23" t="s">
        <v>53</v>
      </c>
      <c r="B23" t="s">
        <v>316</v>
      </c>
      <c r="C23" t="s">
        <v>217</v>
      </c>
      <c r="D23" t="s">
        <v>317</v>
      </c>
      <c r="E23" t="s">
        <v>218</v>
      </c>
      <c r="F23" t="n">
        <v>1.31259766294741</v>
      </c>
      <c r="G23" t="n">
        <v>1.31259766294741</v>
      </c>
      <c r="H23" t="n">
        <v>1.31259766294741</v>
      </c>
      <c r="I23" t="n">
        <v>1.44385742924215</v>
      </c>
      <c r="J23" t="n">
        <v>1.56417888167899</v>
      </c>
      <c r="K23" t="n">
        <v>2.34626832251849</v>
      </c>
      <c r="L23" t="n">
        <v>3.01663070038092</v>
      </c>
      <c r="M23" t="n">
        <v>5.27910372566661</v>
      </c>
      <c r="N23" t="n">
        <v>4.32886505504662</v>
      </c>
      <c r="O23" t="n">
        <v>3.2730443099133</v>
      </c>
      <c r="P23" t="n">
        <v>5.4550738498555</v>
      </c>
      <c r="Q23" t="n">
        <v>11.3465536076994</v>
      </c>
      <c r="R23" t="n">
        <v>13.7467861016359</v>
      </c>
      <c r="S23" t="n">
        <v>5.6920286202086</v>
      </c>
      <c r="T23" t="n">
        <v>3.86628359108508</v>
      </c>
      <c r="U23" t="n">
        <v>8.16215424784629</v>
      </c>
      <c r="V23" t="n">
        <v>5.57919404283164</v>
      </c>
      <c r="W23" t="n">
        <v>12.1727870025418</v>
      </c>
      <c r="X23" t="n">
        <v>9.95955300207962</v>
      </c>
      <c r="Y23" t="n">
        <v>5.99605741961937</v>
      </c>
      <c r="Z23" t="n">
        <v>5.27239531725151</v>
      </c>
      <c r="AA23" t="n">
        <v>5.58253621826631</v>
      </c>
      <c r="AB23" t="n">
        <v>5.78929681894284</v>
      </c>
      <c r="AC23" t="n">
        <v>11.477027027027</v>
      </c>
      <c r="AD23" t="n">
        <v>11.7790540540541</v>
      </c>
      <c r="AE23" t="n">
        <v>14.9</v>
      </c>
      <c r="AF23" t="n">
        <v>26.9</v>
      </c>
    </row>
    <row r="24">
      <c r="A24" t="s">
        <v>53</v>
      </c>
      <c r="B24" t="s">
        <v>318</v>
      </c>
      <c r="C24" t="s">
        <v>217</v>
      </c>
      <c r="D24" t="s">
        <v>319</v>
      </c>
      <c r="E24" t="s">
        <v>218</v>
      </c>
      <c r="F24" t="n">
        <v>13.0359937303727</v>
      </c>
      <c r="G24" t="n">
        <v>12.2296436027208</v>
      </c>
      <c r="H24" t="n">
        <v>11.3560976310979</v>
      </c>
      <c r="I24" t="n">
        <v>14.9422337251288</v>
      </c>
      <c r="J24" t="n">
        <v>16.3109879594917</v>
      </c>
      <c r="K24" t="n">
        <v>18.3082517912662</v>
      </c>
      <c r="L24" t="n">
        <v>42.3802124797828</v>
      </c>
      <c r="M24" t="n">
        <v>74.3570136273193</v>
      </c>
      <c r="N24" t="n">
        <v>56.1226211518974</v>
      </c>
      <c r="O24" t="n">
        <v>60.6996116147705</v>
      </c>
      <c r="P24" t="n">
        <v>93.2810207903459</v>
      </c>
      <c r="Q24" t="n">
        <v>134.813284808905</v>
      </c>
      <c r="R24" t="n">
        <v>140.100080291607</v>
      </c>
      <c r="S24" t="n">
        <v>90.7169774559007</v>
      </c>
      <c r="T24" t="n">
        <v>88.4436403120177</v>
      </c>
      <c r="U24" t="n">
        <v>279.817379263022</v>
      </c>
      <c r="V24" t="n">
        <v>303.825689435832</v>
      </c>
      <c r="W24" t="n">
        <v>217.411868431081</v>
      </c>
      <c r="X24" t="n">
        <v>243.404575592906</v>
      </c>
      <c r="Y24" t="n">
        <v>201.974009534539</v>
      </c>
      <c r="Z24" t="n">
        <v>242.677168707912</v>
      </c>
      <c r="AA24" t="n">
        <v>237.672462787589</v>
      </c>
      <c r="AB24" t="n">
        <v>251.378478369103</v>
      </c>
      <c r="AC24" t="n">
        <v>215.998540589845</v>
      </c>
      <c r="AD24" t="n">
        <v>227.498462889767</v>
      </c>
      <c r="AE24" t="n">
        <v>228.2</v>
      </c>
      <c r="AF24" t="n">
        <v>239.5</v>
      </c>
    </row>
    <row r="25">
      <c r="A25" t="s">
        <v>53</v>
      </c>
      <c r="B25" t="s">
        <v>320</v>
      </c>
      <c r="C25" t="s">
        <v>217</v>
      </c>
      <c r="D25" t="s">
        <v>321</v>
      </c>
      <c r="E25" t="s">
        <v>218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2.14368563127884</v>
      </c>
      <c r="M25" t="n">
        <v>2.93346454806578</v>
      </c>
      <c r="N25" t="n">
        <v>5.64127797704957</v>
      </c>
      <c r="O25" t="n">
        <v>2.65471904802333</v>
      </c>
      <c r="P25" t="n">
        <v>4.20330515937027</v>
      </c>
      <c r="Q25" t="n">
        <v>7.00550859895045</v>
      </c>
      <c r="R25" t="n">
        <v>8.29883326337207</v>
      </c>
      <c r="S25" t="n">
        <v>5.74534610541143</v>
      </c>
      <c r="T25" t="n">
        <v>4.36220722818276</v>
      </c>
      <c r="U25" t="n">
        <v>16.0656900355023</v>
      </c>
      <c r="V25" t="n">
        <v>12.5864960150751</v>
      </c>
      <c r="W25" t="n">
        <v>7.3920690882187</v>
      </c>
      <c r="X25" t="n">
        <v>7.3920690882187</v>
      </c>
      <c r="Y25" t="n">
        <v>6.78450176589936</v>
      </c>
      <c r="Z25" t="n">
        <v>8.53202494802495</v>
      </c>
      <c r="AA25" t="n">
        <v>18.7907692307692</v>
      </c>
      <c r="AB25" t="n">
        <v>19.7</v>
      </c>
      <c r="AC25" t="n">
        <v>9.9</v>
      </c>
      <c r="AD25" t="n">
        <v>6.1</v>
      </c>
      <c r="AE25" t="n">
        <v>9.4</v>
      </c>
      <c r="AF25" t="n">
        <v>4.4</v>
      </c>
    </row>
    <row r="26">
      <c r="A26" t="s">
        <v>53</v>
      </c>
      <c r="B26" t="s">
        <v>322</v>
      </c>
      <c r="C26" t="s">
        <v>217</v>
      </c>
      <c r="D26" t="s">
        <v>323</v>
      </c>
      <c r="E26" t="s">
        <v>218</v>
      </c>
      <c r="F26" t="n">
        <v>4.91212581249216</v>
      </c>
      <c r="G26" t="n">
        <v>4.64660549830339</v>
      </c>
      <c r="H26" t="n">
        <v>4.27976822212155</v>
      </c>
      <c r="I26" t="n">
        <v>5.7063576294954</v>
      </c>
      <c r="J26" t="n">
        <v>6.27699339244494</v>
      </c>
      <c r="K26" t="n">
        <v>7.06161756650055</v>
      </c>
      <c r="L26" t="n">
        <v>17.7679409737756</v>
      </c>
      <c r="M26" t="n">
        <v>30.6800471472647</v>
      </c>
      <c r="N26" t="n">
        <v>29.2505109002595</v>
      </c>
      <c r="O26" t="n">
        <v>39.3672289559884</v>
      </c>
      <c r="P26" t="n">
        <v>53.6112120825141</v>
      </c>
      <c r="Q26" t="n">
        <v>87.4532897096011</v>
      </c>
      <c r="R26" t="n">
        <v>88.0067915432061</v>
      </c>
      <c r="S26" t="n">
        <v>58.1980395688944</v>
      </c>
      <c r="T26" t="n">
        <v>55.0433794801132</v>
      </c>
      <c r="U26" t="n">
        <v>157.06437590266</v>
      </c>
      <c r="V26" t="n">
        <v>147.72654727518</v>
      </c>
      <c r="W26" t="n">
        <v>115.465601221996</v>
      </c>
      <c r="X26" t="n">
        <v>133.400048881259</v>
      </c>
      <c r="Y26" t="n">
        <v>103.552549359882</v>
      </c>
      <c r="Z26" t="n">
        <v>147.624021260069</v>
      </c>
      <c r="AA26" t="n">
        <v>114.012738910891</v>
      </c>
      <c r="AB26" t="n">
        <v>120.205772814332</v>
      </c>
      <c r="AC26" t="n">
        <v>112.26575939265</v>
      </c>
      <c r="AD26" t="n">
        <v>113.965241057543</v>
      </c>
      <c r="AE26" t="n">
        <v>128.9</v>
      </c>
      <c r="AF26" t="n">
        <v>121</v>
      </c>
    </row>
    <row r="27">
      <c r="A27" t="s">
        <v>53</v>
      </c>
      <c r="B27" t="s">
        <v>324</v>
      </c>
      <c r="C27" t="s">
        <v>217</v>
      </c>
      <c r="D27" t="s">
        <v>325</v>
      </c>
      <c r="E27" t="s">
        <v>218</v>
      </c>
      <c r="F27" t="n">
        <v>8.10362087660971</v>
      </c>
      <c r="G27" t="n">
        <v>7.56337948483573</v>
      </c>
      <c r="H27" t="n">
        <v>6.94343034673444</v>
      </c>
      <c r="I27" t="n">
        <v>9.06176502878902</v>
      </c>
      <c r="J27" t="n">
        <v>9.84488052510412</v>
      </c>
      <c r="K27" t="n">
        <v>11.0349210281387</v>
      </c>
      <c r="L27" t="n">
        <v>22.1801912665587</v>
      </c>
      <c r="M27" t="n">
        <v>40.1815059176789</v>
      </c>
      <c r="N27" t="n">
        <v>21.1594100311181</v>
      </c>
      <c r="O27" t="n">
        <v>18.7014987648771</v>
      </c>
      <c r="P27" t="n">
        <v>35.4111219216609</v>
      </c>
      <c r="Q27" t="n">
        <v>40.3752978919871</v>
      </c>
      <c r="R27" t="n">
        <v>43.7672605875199</v>
      </c>
      <c r="S27" t="n">
        <v>26.7586964483105</v>
      </c>
      <c r="T27" t="n">
        <v>29.0154539800957</v>
      </c>
      <c r="U27" t="n">
        <v>106.571799017118</v>
      </c>
      <c r="V27" t="n">
        <v>143.530688922562</v>
      </c>
      <c r="W27" t="n">
        <v>94.597450492735</v>
      </c>
      <c r="X27" t="n">
        <v>102.665463327936</v>
      </c>
      <c r="Y27" t="n">
        <v>91.6873741799985</v>
      </c>
      <c r="Z27" t="n">
        <v>86.5421792204027</v>
      </c>
      <c r="AA27" t="n">
        <v>104.831494545612</v>
      </c>
      <c r="AB27" t="n">
        <v>111.434253407496</v>
      </c>
      <c r="AC27" t="n">
        <v>93.8340780046877</v>
      </c>
      <c r="AD27" t="n">
        <v>107.439018952062</v>
      </c>
      <c r="AE27" t="n">
        <v>89.9</v>
      </c>
      <c r="AF27" t="n">
        <v>114.1</v>
      </c>
    </row>
    <row r="28">
      <c r="A28" t="s">
        <v>53</v>
      </c>
      <c r="B28" t="s">
        <v>326</v>
      </c>
      <c r="C28" t="s">
        <v>217</v>
      </c>
      <c r="D28" t="s">
        <v>327</v>
      </c>
      <c r="E28" t="s">
        <v>218</v>
      </c>
      <c r="F28" t="n">
        <v>7.35100562140376</v>
      </c>
      <c r="G28" t="n">
        <v>7.22426414517266</v>
      </c>
      <c r="H28" t="n">
        <v>6.1583891073603</v>
      </c>
      <c r="I28" t="n">
        <v>9.69376063195604</v>
      </c>
      <c r="J28" t="n">
        <v>11.7632151488905</v>
      </c>
      <c r="K28" t="n">
        <v>11.6562768293551</v>
      </c>
      <c r="L28" t="n">
        <v>22.5499934923038</v>
      </c>
      <c r="M28" t="n">
        <v>41.7280253408986</v>
      </c>
      <c r="N28" t="n">
        <v>10.9588753420542</v>
      </c>
      <c r="O28" t="n">
        <v>9.08021099770204</v>
      </c>
      <c r="P28" t="n">
        <v>8.09560980518013</v>
      </c>
      <c r="Q28" t="n">
        <v>11.0494133827459</v>
      </c>
      <c r="R28" t="n">
        <v>16.62882014037</v>
      </c>
      <c r="S28" t="n">
        <v>12.2302290064657</v>
      </c>
      <c r="T28" t="n">
        <v>15.6632757451227</v>
      </c>
      <c r="U28" t="n">
        <v>27.1136704277641</v>
      </c>
      <c r="V28" t="n">
        <v>27.0089844415565</v>
      </c>
      <c r="W28" t="n">
        <v>27.4151345835348</v>
      </c>
      <c r="X28" t="n">
        <v>28.3123571699051</v>
      </c>
      <c r="Y28" t="n">
        <v>34.5150643944072</v>
      </c>
      <c r="Z28" t="n">
        <v>30.6461191230578</v>
      </c>
      <c r="AA28" t="n">
        <v>35.1259504898835</v>
      </c>
      <c r="AB28" t="n">
        <v>37.2578723404255</v>
      </c>
      <c r="AC28" t="n">
        <v>47.4558265582656</v>
      </c>
      <c r="AD28" t="n">
        <v>37.1</v>
      </c>
      <c r="AE28" t="n">
        <v>37.1</v>
      </c>
      <c r="AF28" t="n">
        <v>64.9</v>
      </c>
    </row>
    <row r="29">
      <c r="A29" t="s">
        <v>53</v>
      </c>
      <c r="B29" t="s">
        <v>328</v>
      </c>
      <c r="C29" t="s">
        <v>217</v>
      </c>
      <c r="D29" t="s">
        <v>329</v>
      </c>
      <c r="E29" t="s">
        <v>218</v>
      </c>
      <c r="F29" t="n">
        <v>1.03650896782135</v>
      </c>
      <c r="G29" t="n">
        <v>1.03650896782135</v>
      </c>
      <c r="H29" t="n">
        <v>1.16607258879902</v>
      </c>
      <c r="I29" t="n">
        <v>1.42519983075435</v>
      </c>
      <c r="J29" t="n">
        <v>1.54396648331721</v>
      </c>
      <c r="K29" t="n">
        <v>2.37533305125725</v>
      </c>
      <c r="L29" t="n">
        <v>1.9002664410058</v>
      </c>
      <c r="M29" t="n">
        <v>1.56492530435772</v>
      </c>
      <c r="N29" t="n">
        <v>1.67670568324041</v>
      </c>
      <c r="O29" t="n">
        <v>2.12382719877119</v>
      </c>
      <c r="P29" t="n">
        <v>1.67670568324041</v>
      </c>
      <c r="Q29" t="n">
        <v>2.23560757765389</v>
      </c>
      <c r="R29" t="n">
        <v>2.23560757765389</v>
      </c>
      <c r="S29" t="n">
        <v>1.91623506656047</v>
      </c>
      <c r="T29" t="n">
        <v>2.5549800887473</v>
      </c>
      <c r="U29" t="n">
        <v>5.10996017749459</v>
      </c>
      <c r="V29" t="n">
        <v>4.58853566958698</v>
      </c>
      <c r="W29" t="n">
        <v>4.79247058823529</v>
      </c>
      <c r="X29" t="n">
        <v>5.1918431372549</v>
      </c>
      <c r="Y29" t="n">
        <v>6.78933333333333</v>
      </c>
      <c r="Z29" t="n">
        <v>4.56</v>
      </c>
      <c r="AA29" t="n">
        <v>4.864</v>
      </c>
      <c r="AB29" t="n">
        <v>6.89066666666667</v>
      </c>
      <c r="AC29" t="n">
        <v>7.904</v>
      </c>
      <c r="AD29" t="n">
        <v>7.296</v>
      </c>
      <c r="AE29" t="n">
        <v>7.6</v>
      </c>
      <c r="AF29" t="n">
        <v>12</v>
      </c>
    </row>
    <row r="30">
      <c r="A30" t="s">
        <v>53</v>
      </c>
      <c r="B30" t="s">
        <v>330</v>
      </c>
      <c r="C30" t="s">
        <v>217</v>
      </c>
      <c r="D30" t="s">
        <v>331</v>
      </c>
      <c r="E30" t="s">
        <v>218</v>
      </c>
      <c r="F30" t="n">
        <v>2.64181443082495</v>
      </c>
      <c r="G30" t="n">
        <v>2.51601374364281</v>
      </c>
      <c r="H30" t="n">
        <v>1.71546391612009</v>
      </c>
      <c r="I30" t="n">
        <v>3.10927834796767</v>
      </c>
      <c r="J30" t="n">
        <v>3.81137345879908</v>
      </c>
      <c r="K30" t="n">
        <v>2.73637068836857</v>
      </c>
      <c r="L30" t="n">
        <v>6.48621200205883</v>
      </c>
      <c r="M30" t="n">
        <v>2.16207066735294</v>
      </c>
      <c r="N30" t="n">
        <v>2.16207066735294</v>
      </c>
      <c r="O30" t="n">
        <v>2.16207066735294</v>
      </c>
      <c r="P30" t="n">
        <v>1.94586360061765</v>
      </c>
      <c r="Q30" t="n">
        <v>2.81069186755883</v>
      </c>
      <c r="R30" t="n">
        <v>3.35120953439706</v>
      </c>
      <c r="S30" t="n">
        <v>2.70258833419118</v>
      </c>
      <c r="T30" t="n">
        <v>3.56741660113236</v>
      </c>
      <c r="U30" t="n">
        <v>8.36113265890396</v>
      </c>
      <c r="V30" t="n">
        <v>8.8971027011414</v>
      </c>
      <c r="W30" t="n">
        <v>9.41437611399846</v>
      </c>
      <c r="X30" t="n">
        <v>9.81929551675107</v>
      </c>
      <c r="Y30" t="n">
        <v>11.742662679826</v>
      </c>
      <c r="Z30" t="n">
        <v>8.44647666443626</v>
      </c>
      <c r="AA30" t="n">
        <v>9.06451154232185</v>
      </c>
      <c r="AB30" t="n">
        <v>9.98114754098361</v>
      </c>
      <c r="AC30" t="n">
        <v>12.3</v>
      </c>
      <c r="AD30" t="n">
        <v>11.5</v>
      </c>
      <c r="AE30" t="n">
        <v>12.5</v>
      </c>
      <c r="AF30" t="n">
        <v>18.9</v>
      </c>
    </row>
    <row r="31">
      <c r="A31" t="s">
        <v>53</v>
      </c>
      <c r="B31" t="s">
        <v>332</v>
      </c>
      <c r="C31" t="s">
        <v>217</v>
      </c>
      <c r="D31" t="s">
        <v>333</v>
      </c>
      <c r="E31" t="s">
        <v>218</v>
      </c>
      <c r="F31" t="n">
        <v>0.847357385219318</v>
      </c>
      <c r="G31" t="n">
        <v>0.847357385219318</v>
      </c>
      <c r="H31" t="n">
        <v>1.12980984695909</v>
      </c>
      <c r="I31" t="n">
        <v>1.12980984695909</v>
      </c>
      <c r="J31" t="n">
        <v>1.242790831655</v>
      </c>
      <c r="K31" t="n">
        <v>2.71154363270182</v>
      </c>
      <c r="L31" t="n">
        <v>5.53606825009955</v>
      </c>
      <c r="M31" t="n">
        <v>33.4335102162875</v>
      </c>
      <c r="N31" t="n">
        <v>2.58840079093839</v>
      </c>
      <c r="O31" t="n">
        <v>0.414144126550142</v>
      </c>
      <c r="P31" t="n">
        <v>1.03536031637535</v>
      </c>
      <c r="Q31" t="n">
        <v>2.07072063275071</v>
      </c>
      <c r="R31" t="n">
        <v>4.9697295186017</v>
      </c>
      <c r="S31" t="n">
        <v>3.37941607264916</v>
      </c>
      <c r="T31" t="n">
        <v>3.77699443413729</v>
      </c>
      <c r="U31" t="n">
        <v>2.71168831168831</v>
      </c>
      <c r="V31" t="n">
        <v>2.15064935064935</v>
      </c>
      <c r="W31" t="n">
        <v>2.15064935064935</v>
      </c>
      <c r="X31" t="n">
        <v>1.7025974025974</v>
      </c>
      <c r="Y31" t="n">
        <v>0.985714285714286</v>
      </c>
      <c r="Z31" t="n">
        <v>6.11142857142857</v>
      </c>
      <c r="AA31" t="n">
        <v>6.9</v>
      </c>
      <c r="AB31" t="n">
        <v>5.8</v>
      </c>
      <c r="AC31" t="n">
        <v>9.7</v>
      </c>
      <c r="AD31" t="n">
        <v>3.4</v>
      </c>
      <c r="AE31" t="n">
        <v>1.2</v>
      </c>
      <c r="AF31" t="n">
        <v>2.9</v>
      </c>
    </row>
    <row r="32">
      <c r="A32" t="s">
        <v>53</v>
      </c>
      <c r="B32" t="s">
        <v>334</v>
      </c>
      <c r="C32" t="s">
        <v>217</v>
      </c>
      <c r="D32" t="s">
        <v>335</v>
      </c>
      <c r="E32" t="s">
        <v>218</v>
      </c>
      <c r="F32" t="n">
        <v>2.83929347299626</v>
      </c>
      <c r="G32" t="n">
        <v>2.60268568357991</v>
      </c>
      <c r="H32" t="n">
        <v>1.8435690258691</v>
      </c>
      <c r="I32" t="n">
        <v>3.37987654742669</v>
      </c>
      <c r="J32" t="n">
        <v>4.15241975826707</v>
      </c>
      <c r="K32" t="n">
        <v>2.9255684660518</v>
      </c>
      <c r="L32" t="n">
        <v>7.21640221626111</v>
      </c>
      <c r="M32" t="n">
        <v>2.37381651850694</v>
      </c>
      <c r="N32" t="n">
        <v>2.57163456171586</v>
      </c>
      <c r="O32" t="n">
        <v>2.86836162652922</v>
      </c>
      <c r="P32" t="n">
        <v>2.33718354754233</v>
      </c>
      <c r="Q32" t="n">
        <v>3.39953970551612</v>
      </c>
      <c r="R32" t="n">
        <v>4.14318901609777</v>
      </c>
      <c r="S32" t="n">
        <v>3.18706847392136</v>
      </c>
      <c r="T32" t="n">
        <v>4.78060271088204</v>
      </c>
      <c r="U32" t="n">
        <v>10.3217558530408</v>
      </c>
      <c r="V32" t="n">
        <v>10.9537000889412</v>
      </c>
      <c r="W32" t="n">
        <v>10.6465870023354</v>
      </c>
      <c r="X32" t="n">
        <v>11.2492240024676</v>
      </c>
      <c r="Y32" t="n">
        <v>14.7962766158583</v>
      </c>
      <c r="Z32" t="n">
        <v>11.0972074618937</v>
      </c>
      <c r="AA32" t="n">
        <v>13.7687574064237</v>
      </c>
      <c r="AB32" t="n">
        <v>14.0747297932331</v>
      </c>
      <c r="AC32" t="n">
        <v>17.0111842105263</v>
      </c>
      <c r="AD32" t="n">
        <v>14.2934210526316</v>
      </c>
      <c r="AE32" t="n">
        <v>15.3</v>
      </c>
      <c r="AF32" t="n">
        <v>28.8</v>
      </c>
    </row>
    <row r="33">
      <c r="A33" t="s">
        <v>53</v>
      </c>
      <c r="B33" t="s">
        <v>336</v>
      </c>
      <c r="C33" t="s">
        <v>217</v>
      </c>
      <c r="D33" t="s">
        <v>337</v>
      </c>
      <c r="E33" t="s">
        <v>218</v>
      </c>
      <c r="F33" t="n">
        <v>0.1</v>
      </c>
      <c r="G33" t="n">
        <v>0.1</v>
      </c>
      <c r="H33" t="n">
        <v>0.2</v>
      </c>
      <c r="I33" t="n">
        <v>0.2</v>
      </c>
      <c r="J33" t="n">
        <v>0.3</v>
      </c>
      <c r="K33" t="n">
        <v>0.6</v>
      </c>
      <c r="L33" t="n">
        <v>0.4</v>
      </c>
      <c r="M33" t="n">
        <v>2.7</v>
      </c>
      <c r="N33" t="n">
        <v>1.8</v>
      </c>
      <c r="O33" t="n">
        <v>1.3</v>
      </c>
      <c r="P33" t="n">
        <v>0.9</v>
      </c>
      <c r="Q33" t="n">
        <v>0.3</v>
      </c>
      <c r="R33" t="n">
        <v>1.4</v>
      </c>
      <c r="S33" t="n">
        <v>0.7</v>
      </c>
      <c r="T33" t="n">
        <v>0.6</v>
      </c>
      <c r="U33" t="n">
        <v>0.5</v>
      </c>
      <c r="V33" t="n">
        <v>0.4</v>
      </c>
      <c r="W33" t="n">
        <v>0.4</v>
      </c>
      <c r="X33" t="n">
        <v>0.4</v>
      </c>
      <c r="Y33" t="n">
        <v>0.4</v>
      </c>
      <c r="Z33" t="n">
        <v>0.4</v>
      </c>
      <c r="AA33" t="n">
        <v>0.5</v>
      </c>
      <c r="AB33" t="n">
        <v>0.5</v>
      </c>
      <c r="AC33" t="n">
        <v>0.5</v>
      </c>
      <c r="AD33" t="n">
        <v>0.6</v>
      </c>
      <c r="AE33" t="n">
        <v>0.5</v>
      </c>
      <c r="AF33" t="n">
        <v>2.3</v>
      </c>
    </row>
    <row r="34">
      <c r="A34" t="s">
        <v>53</v>
      </c>
      <c r="B34" t="s">
        <v>338</v>
      </c>
      <c r="C34" t="s">
        <v>217</v>
      </c>
      <c r="D34" t="s">
        <v>339</v>
      </c>
      <c r="E34" t="s">
        <v>218</v>
      </c>
      <c r="F34" t="e">
        <v>#NUM!</v>
      </c>
      <c r="G34" t="e">
        <v>#NUM!</v>
      </c>
      <c r="H34" t="e">
        <v>#NUM!</v>
      </c>
      <c r="I34" t="e">
        <v>#NUM!</v>
      </c>
      <c r="J34" t="e">
        <v>#NUM!</v>
      </c>
      <c r="K34" t="e">
        <v>#NUM!</v>
      </c>
      <c r="L34" t="e">
        <v>#NUM!</v>
      </c>
      <c r="M34" t="e">
        <v>#NUM!</v>
      </c>
      <c r="N34" t="e">
        <v>#NUM!</v>
      </c>
      <c r="O34" t="e">
        <v>#NUM!</v>
      </c>
      <c r="P34" t="e">
        <v>#NUM!</v>
      </c>
      <c r="Q34" t="n">
        <v>0</v>
      </c>
      <c r="R34" t="n">
        <v>0</v>
      </c>
      <c r="S34" t="n">
        <v>19.9711294156912</v>
      </c>
      <c r="T34" t="n">
        <v>15.2212391762836</v>
      </c>
      <c r="U34" t="n">
        <v>107.424716776505</v>
      </c>
      <c r="V34" t="n">
        <v>111.738539879185</v>
      </c>
      <c r="W34" t="n">
        <v>78.7899960686563</v>
      </c>
      <c r="X34" t="n">
        <v>83.1279856089281</v>
      </c>
      <c r="Y34" t="n">
        <v>32.6610567692361</v>
      </c>
      <c r="Z34" t="n">
        <v>110.450009011423</v>
      </c>
      <c r="AA34" t="n">
        <v>89.1584410092211</v>
      </c>
      <c r="AB34" t="n">
        <v>94.8515683712694</v>
      </c>
      <c r="AC34" t="n">
        <v>53.6117560359349</v>
      </c>
      <c r="AD34" t="n">
        <v>62.4136861313869</v>
      </c>
      <c r="AE34" t="n">
        <v>54.9</v>
      </c>
      <c r="AF34" t="n">
        <v>59.1</v>
      </c>
    </row>
    <row r="35">
      <c r="A35" t="s">
        <v>53</v>
      </c>
      <c r="B35" t="s">
        <v>340</v>
      </c>
      <c r="C35" t="s">
        <v>217</v>
      </c>
      <c r="D35" t="s">
        <v>341</v>
      </c>
      <c r="E35" t="s">
        <v>218</v>
      </c>
      <c r="F35" t="n">
        <v>50.5956931157237</v>
      </c>
      <c r="G35" t="n">
        <v>50.5956931157237</v>
      </c>
      <c r="H35" t="n">
        <v>49.4823404554755</v>
      </c>
      <c r="I35" t="n">
        <v>69.9618737061867</v>
      </c>
      <c r="J35" t="n">
        <v>84.4950165533655</v>
      </c>
      <c r="K35" t="n">
        <v>92.7357528882191</v>
      </c>
      <c r="L35" t="n">
        <v>111.437831931309</v>
      </c>
      <c r="M35" t="n">
        <v>103.685634927392</v>
      </c>
      <c r="N35" t="n">
        <v>102.502500089008</v>
      </c>
      <c r="O35" t="n">
        <v>92.8019480301117</v>
      </c>
      <c r="P35" t="n">
        <v>102.570574138545</v>
      </c>
      <c r="Q35" t="n">
        <v>132.551052446706</v>
      </c>
      <c r="R35" t="n">
        <v>136.551369690204</v>
      </c>
      <c r="S35" t="n">
        <v>110.536528652801</v>
      </c>
      <c r="T35" t="n">
        <v>119.536150238517</v>
      </c>
      <c r="U35" t="n">
        <v>211.707325533346</v>
      </c>
      <c r="V35" t="n">
        <v>182.969710055675</v>
      </c>
      <c r="W35" t="n">
        <v>183.577582846557</v>
      </c>
      <c r="X35" t="n">
        <v>177.868950974079</v>
      </c>
      <c r="Y35" t="n">
        <v>221.352511875853</v>
      </c>
      <c r="Z35" t="n">
        <v>176.673986437317</v>
      </c>
      <c r="AA35" t="n">
        <v>213.654625346565</v>
      </c>
      <c r="AB35" t="n">
        <v>222.569564668755</v>
      </c>
      <c r="AC35" t="n">
        <v>251.220118386277</v>
      </c>
      <c r="AD35" t="n">
        <v>235.2188369604</v>
      </c>
      <c r="AE35" t="n">
        <v>280.8</v>
      </c>
      <c r="AF35" t="n">
        <v>421.4</v>
      </c>
    </row>
    <row r="36">
      <c r="A36" t="s">
        <v>53</v>
      </c>
      <c r="B36" t="s">
        <v>342</v>
      </c>
      <c r="C36" t="s">
        <v>217</v>
      </c>
      <c r="D36" t="s">
        <v>343</v>
      </c>
      <c r="E36" t="s">
        <v>218</v>
      </c>
      <c r="F36" t="n">
        <v>11.2281829613515</v>
      </c>
      <c r="G36" t="n">
        <v>11.6291894956854</v>
      </c>
      <c r="H36" t="n">
        <v>12.1188395797143</v>
      </c>
      <c r="I36" t="n">
        <v>15.9642406002006</v>
      </c>
      <c r="J36" t="n">
        <v>18.8466729307923</v>
      </c>
      <c r="K36" t="n">
        <v>26.5369820002536</v>
      </c>
      <c r="L36" t="n">
        <v>24.9056101559757</v>
      </c>
      <c r="M36" t="n">
        <v>25.0115914757884</v>
      </c>
      <c r="N36" t="n">
        <v>26.0669328882689</v>
      </c>
      <c r="O36" t="n">
        <v>25.9613987470208</v>
      </c>
      <c r="P36" t="n">
        <v>19.7697680835054</v>
      </c>
      <c r="Q36" t="n">
        <v>32.5875298079759</v>
      </c>
      <c r="R36" t="n">
        <v>40.1660251121564</v>
      </c>
      <c r="S36" t="n">
        <v>27.8484440777617</v>
      </c>
      <c r="T36" t="n">
        <v>32.7565989726929</v>
      </c>
      <c r="U36" t="n">
        <v>33.6186147351322</v>
      </c>
      <c r="V36" t="n">
        <v>33.0982027423283</v>
      </c>
      <c r="W36" t="n">
        <v>32.4890333667026</v>
      </c>
      <c r="X36" t="n">
        <v>32.2884837780193</v>
      </c>
      <c r="Y36" t="n">
        <v>38.2603350096906</v>
      </c>
      <c r="Z36" t="n">
        <v>29.951790409731</v>
      </c>
      <c r="AA36" t="n">
        <v>32.091204010426</v>
      </c>
      <c r="AB36" t="n">
        <v>35.5331628001878</v>
      </c>
      <c r="AC36" t="n">
        <v>42.7602467595481</v>
      </c>
      <c r="AD36" t="n">
        <v>41.9609898107715</v>
      </c>
      <c r="AE36" t="n">
        <v>68.8</v>
      </c>
      <c r="AF36" t="n">
        <v>65.4</v>
      </c>
    </row>
    <row r="37">
      <c r="A37" t="s">
        <v>53</v>
      </c>
      <c r="B37" t="s">
        <v>344</v>
      </c>
      <c r="C37" t="s">
        <v>217</v>
      </c>
      <c r="D37" t="s">
        <v>345</v>
      </c>
      <c r="E37" t="s">
        <v>218</v>
      </c>
      <c r="F37" t="n">
        <v>18.2498021684806</v>
      </c>
      <c r="G37" t="n">
        <v>17.4446638375182</v>
      </c>
      <c r="H37" t="n">
        <v>13.6093122136667</v>
      </c>
      <c r="I37" t="n">
        <v>22.8399761498928</v>
      </c>
      <c r="J37" t="n">
        <v>27.7905128523326</v>
      </c>
      <c r="K37" t="n">
        <v>23.9459755012194</v>
      </c>
      <c r="L37" t="n">
        <v>45.8871716581506</v>
      </c>
      <c r="M37" t="n">
        <v>42.6404378144135</v>
      </c>
      <c r="N37" t="n">
        <v>32.6837873602865</v>
      </c>
      <c r="O37" t="n">
        <v>27.2545868020994</v>
      </c>
      <c r="P37" t="n">
        <v>63.8568211437618</v>
      </c>
      <c r="Q37" t="n">
        <v>68.8543114941431</v>
      </c>
      <c r="R37" t="n">
        <v>60.9137668826543</v>
      </c>
      <c r="S37" t="n">
        <v>58.2560981704966</v>
      </c>
      <c r="T37" t="n">
        <v>51.6770852623531</v>
      </c>
      <c r="U37" t="n">
        <v>97.8700716805381</v>
      </c>
      <c r="V37" t="n">
        <v>80.3380251202731</v>
      </c>
      <c r="W37" t="n">
        <v>81.2498059854464</v>
      </c>
      <c r="X37" t="n">
        <v>71.932627247288</v>
      </c>
      <c r="Y37" t="n">
        <v>89.8654110708415</v>
      </c>
      <c r="Z37" t="n">
        <v>73.6835307081419</v>
      </c>
      <c r="AA37" t="n">
        <v>82.5133752971341</v>
      </c>
      <c r="AB37" t="n">
        <v>82.2092719483731</v>
      </c>
      <c r="AC37" t="n">
        <v>95.4915533402768</v>
      </c>
      <c r="AD37" t="n">
        <v>85.8823404255319</v>
      </c>
      <c r="AE37" t="n">
        <v>94.2</v>
      </c>
      <c r="AF37" t="n">
        <v>204.3</v>
      </c>
    </row>
    <row r="38">
      <c r="A38" t="s">
        <v>53</v>
      </c>
      <c r="B38" t="s">
        <v>346</v>
      </c>
      <c r="C38" t="s">
        <v>217</v>
      </c>
      <c r="D38" t="s">
        <v>347</v>
      </c>
      <c r="E38" t="s">
        <v>218</v>
      </c>
      <c r="F38" t="n">
        <v>21.0389992280118</v>
      </c>
      <c r="G38" t="n">
        <v>21.4410183215407</v>
      </c>
      <c r="H38" t="n">
        <v>23.6718757191576</v>
      </c>
      <c r="I38" t="n">
        <v>31.0470329783927</v>
      </c>
      <c r="J38" t="n">
        <v>37.7323429992874</v>
      </c>
      <c r="K38" t="n">
        <v>42.0351540430658</v>
      </c>
      <c r="L38" t="n">
        <v>40.5933149861797</v>
      </c>
      <c r="M38" t="n">
        <v>35.9509943893559</v>
      </c>
      <c r="N38" t="n">
        <v>43.6162214213207</v>
      </c>
      <c r="O38" t="n">
        <v>39.3952967676445</v>
      </c>
      <c r="P38" t="n">
        <v>19.4202167164445</v>
      </c>
      <c r="Q38" t="n">
        <v>31.4892779526529</v>
      </c>
      <c r="R38" t="n">
        <v>35.8028776721944</v>
      </c>
      <c r="S38" t="n">
        <v>24.6806819456251</v>
      </c>
      <c r="T38" t="n">
        <v>35.3334549221556</v>
      </c>
      <c r="U38" t="n">
        <v>80.2164922557047</v>
      </c>
      <c r="V38" t="n">
        <v>69.5692001135171</v>
      </c>
      <c r="W38" t="n">
        <v>69.8729957472005</v>
      </c>
      <c r="X38" t="n">
        <v>73.6769697277072</v>
      </c>
      <c r="Y38" t="n">
        <v>93.2568767512348</v>
      </c>
      <c r="Z38" t="n">
        <v>73.0546211749279</v>
      </c>
      <c r="AA38" t="n">
        <v>99.0657241245546</v>
      </c>
      <c r="AB38" t="n">
        <v>104.839493321998</v>
      </c>
      <c r="AC38" t="n">
        <v>112.98139069408</v>
      </c>
      <c r="AD38" t="n">
        <v>107.38231292517</v>
      </c>
      <c r="AE38" t="n">
        <v>117.8</v>
      </c>
      <c r="AF38" t="n">
        <v>151.7</v>
      </c>
    </row>
    <row r="39">
      <c r="A39" t="s">
        <v>53</v>
      </c>
      <c r="B39" t="s">
        <v>348</v>
      </c>
      <c r="C39" t="s">
        <v>217</v>
      </c>
      <c r="D39" t="s">
        <v>349</v>
      </c>
      <c r="E39" t="s">
        <v>218</v>
      </c>
      <c r="F39" t="n">
        <v>39.439350206723</v>
      </c>
      <c r="G39" t="n">
        <v>38.401472569704</v>
      </c>
      <c r="H39" t="n">
        <v>39.7174108820615</v>
      </c>
      <c r="I39" t="n">
        <v>48.3266762466702</v>
      </c>
      <c r="J39" t="n">
        <v>52.7001311106222</v>
      </c>
      <c r="K39" t="n">
        <v>71.5825667514727</v>
      </c>
      <c r="L39" t="n">
        <v>76.8729826953975</v>
      </c>
      <c r="M39" t="n">
        <v>122.975768765452</v>
      </c>
      <c r="N39" t="n">
        <v>45.5271995004012</v>
      </c>
      <c r="O39" t="n">
        <v>117.647389363186</v>
      </c>
      <c r="P39" t="n">
        <v>78.8302747581424</v>
      </c>
      <c r="Q39" t="n">
        <v>116.130982484141</v>
      </c>
      <c r="R39" t="n">
        <v>167.241554162398</v>
      </c>
      <c r="S39" t="n">
        <v>175.114248187854</v>
      </c>
      <c r="T39" t="n">
        <v>178.716114151791</v>
      </c>
      <c r="U39" t="n">
        <v>318.520807851734</v>
      </c>
      <c r="V39" t="n">
        <v>265.125959340161</v>
      </c>
      <c r="W39" t="n">
        <v>277.154167179077</v>
      </c>
      <c r="X39" t="n">
        <v>270.343005860618</v>
      </c>
      <c r="Y39" t="n">
        <v>279.186940624832</v>
      </c>
      <c r="Z39" t="n">
        <v>254.192676639934</v>
      </c>
      <c r="AA39" t="n">
        <v>314.359013128178</v>
      </c>
      <c r="AB39" t="n">
        <v>293.273957369581</v>
      </c>
      <c r="AC39" t="n">
        <v>373.813966866084</v>
      </c>
      <c r="AD39" t="n">
        <v>434.5</v>
      </c>
      <c r="AE39" t="n">
        <v>448</v>
      </c>
      <c r="AF39" t="n">
        <v>446.4</v>
      </c>
    </row>
    <row r="40">
      <c r="A40" t="s">
        <v>53</v>
      </c>
      <c r="B40" t="s">
        <v>350</v>
      </c>
      <c r="C40" t="s">
        <v>217</v>
      </c>
      <c r="D40" t="s">
        <v>351</v>
      </c>
      <c r="E40" t="s">
        <v>218</v>
      </c>
      <c r="F40" t="n">
        <v>0.641588857401746</v>
      </c>
      <c r="G40" t="n">
        <v>0.641588857401746</v>
      </c>
      <c r="H40" t="n">
        <v>0.898224400362444</v>
      </c>
      <c r="I40" t="n">
        <v>0.898224400362444</v>
      </c>
      <c r="J40" t="n">
        <v>1.02654217184279</v>
      </c>
      <c r="K40" t="n">
        <v>2.16714458500145</v>
      </c>
      <c r="L40" t="n">
        <v>17.6793374039592</v>
      </c>
      <c r="M40" t="n">
        <v>46.0535826201901</v>
      </c>
      <c r="N40" t="n">
        <v>28.1739564264692</v>
      </c>
      <c r="O40" t="n">
        <v>26.5609436539614</v>
      </c>
      <c r="P40" t="n">
        <v>0.870850611605293</v>
      </c>
      <c r="Q40" t="n">
        <v>1.30627591740794</v>
      </c>
      <c r="R40" t="n">
        <v>5.87824162833573</v>
      </c>
      <c r="S40" t="n">
        <v>1.92378816927351</v>
      </c>
      <c r="T40" t="n">
        <v>1.92378816927351</v>
      </c>
      <c r="U40" t="n">
        <v>46.1709160625643</v>
      </c>
      <c r="V40" t="n">
        <v>9.15191877409403</v>
      </c>
      <c r="W40" t="n">
        <v>4.62737466105878</v>
      </c>
      <c r="X40" t="n">
        <v>5.1303501676956</v>
      </c>
      <c r="Y40" t="n">
        <v>4.82856486371351</v>
      </c>
      <c r="Z40" t="n">
        <v>27.5330932654302</v>
      </c>
      <c r="AA40" t="n">
        <v>27.5330932654302</v>
      </c>
      <c r="AB40" t="n">
        <v>29.0570652173913</v>
      </c>
      <c r="AC40" t="n">
        <v>18.5</v>
      </c>
      <c r="AD40" t="n">
        <v>26.8</v>
      </c>
      <c r="AE40" t="n">
        <v>35.8</v>
      </c>
      <c r="AF40" t="n">
        <v>31.4</v>
      </c>
    </row>
    <row r="41">
      <c r="A41" t="s">
        <v>53</v>
      </c>
      <c r="B41" t="s">
        <v>352</v>
      </c>
      <c r="C41" t="s">
        <v>217</v>
      </c>
      <c r="D41" t="s">
        <v>353</v>
      </c>
      <c r="E41" t="s">
        <v>218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53</v>
      </c>
      <c r="B42" t="s">
        <v>354</v>
      </c>
      <c r="C42" t="s">
        <v>217</v>
      </c>
      <c r="D42" t="s">
        <v>355</v>
      </c>
      <c r="E42" t="s">
        <v>218</v>
      </c>
      <c r="F42" t="n">
        <v>25.5977166819683</v>
      </c>
      <c r="G42" t="n">
        <v>29.2352869473006</v>
      </c>
      <c r="H42" t="n">
        <v>38.690103151534</v>
      </c>
      <c r="I42" t="n">
        <v>42.7501757044728</v>
      </c>
      <c r="J42" t="n">
        <v>49.2309204256296</v>
      </c>
      <c r="K42" t="n">
        <v>95.5789491146232</v>
      </c>
      <c r="L42" t="n">
        <v>64.2743455718546</v>
      </c>
      <c r="M42" t="n">
        <v>41.135581165987</v>
      </c>
      <c r="N42" t="n">
        <v>78.8431972348083</v>
      </c>
      <c r="O42" t="n">
        <v>74.3622577437908</v>
      </c>
      <c r="P42" t="n">
        <v>40.5513481556052</v>
      </c>
      <c r="Q42" t="n">
        <v>51.0162121957614</v>
      </c>
      <c r="R42" t="n">
        <v>99.525217381902</v>
      </c>
      <c r="S42" t="n">
        <v>83.2806225970431</v>
      </c>
      <c r="T42" t="n">
        <v>77.3320066972543</v>
      </c>
      <c r="U42" t="n">
        <v>132.198849437764</v>
      </c>
      <c r="V42" t="n">
        <v>149.166103341981</v>
      </c>
      <c r="W42" t="n">
        <v>141.454114325661</v>
      </c>
      <c r="X42" t="n">
        <v>109.095984773828</v>
      </c>
      <c r="Y42" t="n">
        <v>86.7121505596045</v>
      </c>
      <c r="Z42" t="n">
        <v>132.312540324479</v>
      </c>
      <c r="AA42" t="n">
        <v>122.36117505065</v>
      </c>
      <c r="AB42" t="n">
        <v>124.790181006991</v>
      </c>
      <c r="AC42" t="n">
        <v>121.477167351938</v>
      </c>
      <c r="AD42" t="n">
        <v>134.26423759951</v>
      </c>
      <c r="AE42" t="n">
        <v>163.5</v>
      </c>
      <c r="AF42" t="n">
        <v>189.1</v>
      </c>
    </row>
    <row r="43">
      <c r="A43" t="s">
        <v>53</v>
      </c>
      <c r="B43" t="s">
        <v>356</v>
      </c>
      <c r="C43" t="s">
        <v>217</v>
      </c>
      <c r="D43" t="s">
        <v>357</v>
      </c>
      <c r="E43" t="s">
        <v>218</v>
      </c>
      <c r="F43" t="n">
        <v>29.6559657957273</v>
      </c>
      <c r="G43" t="n">
        <v>33.3121807568443</v>
      </c>
      <c r="H43" t="n">
        <v>42.5794791628837</v>
      </c>
      <c r="I43" t="n">
        <v>48.3529678629357</v>
      </c>
      <c r="J43" t="n">
        <v>56.029860864871</v>
      </c>
      <c r="K43" t="n">
        <v>103.895690106717</v>
      </c>
      <c r="L43" t="n">
        <v>74.8676601847755</v>
      </c>
      <c r="M43" t="n">
        <v>84.6188749700574</v>
      </c>
      <c r="N43" t="n">
        <v>87.9690475423075</v>
      </c>
      <c r="O43" t="n">
        <v>84.0928104413001</v>
      </c>
      <c r="P43" t="n">
        <v>54.6328454762433</v>
      </c>
      <c r="Q43" t="n">
        <v>69.9124541708063</v>
      </c>
      <c r="R43" t="n">
        <v>119.506601348222</v>
      </c>
      <c r="S43" t="n">
        <v>115.284900757116</v>
      </c>
      <c r="T43" t="n">
        <v>103.940088592639</v>
      </c>
      <c r="U43" t="n">
        <v>179.013914239343</v>
      </c>
      <c r="V43" t="n">
        <v>195.429583682069</v>
      </c>
      <c r="W43" t="n">
        <v>180.03823823146</v>
      </c>
      <c r="X43" t="n">
        <v>129.455590510684</v>
      </c>
      <c r="Y43" t="n">
        <v>115.563777532088</v>
      </c>
      <c r="Z43" t="n">
        <v>158.938375971444</v>
      </c>
      <c r="AA43" t="n">
        <v>146.048737562521</v>
      </c>
      <c r="AB43" t="n">
        <v>147.162068202291</v>
      </c>
      <c r="AC43" t="n">
        <v>147.162068202291</v>
      </c>
      <c r="AD43" t="n">
        <v>163.557842105263</v>
      </c>
      <c r="AE43" t="n">
        <v>190.3</v>
      </c>
      <c r="AF43" t="n">
        <v>224.5</v>
      </c>
    </row>
    <row r="44">
      <c r="A44" t="s">
        <v>53</v>
      </c>
      <c r="B44" t="s">
        <v>358</v>
      </c>
      <c r="C44" t="s">
        <v>217</v>
      </c>
      <c r="D44" t="s">
        <v>359</v>
      </c>
      <c r="E44" t="s">
        <v>218</v>
      </c>
      <c r="F44" t="n">
        <v>184.305743011166</v>
      </c>
      <c r="G44" t="n">
        <v>189.698742075136</v>
      </c>
      <c r="H44" t="n">
        <v>208.842651825838</v>
      </c>
      <c r="I44" t="n">
        <v>255.662481927124</v>
      </c>
      <c r="J44" t="n">
        <v>292.08842808718</v>
      </c>
      <c r="K44" t="n">
        <v>429.66550884215</v>
      </c>
      <c r="L44" t="n">
        <v>411.178086740596</v>
      </c>
      <c r="M44" t="n">
        <v>525.35217551211</v>
      </c>
      <c r="N44" t="n">
        <v>392.692931849639</v>
      </c>
      <c r="O44" t="n">
        <v>450.165459977289</v>
      </c>
      <c r="P44" t="n">
        <v>438.858669305611</v>
      </c>
      <c r="Q44" t="n">
        <v>630.362640946767</v>
      </c>
      <c r="R44" t="n">
        <v>732.731089216862</v>
      </c>
      <c r="S44" t="n">
        <v>591.540023742582</v>
      </c>
      <c r="T44" t="n">
        <v>599.252968637451</v>
      </c>
      <c r="U44" t="n">
        <v>1273.04952141882</v>
      </c>
      <c r="V44" t="n">
        <v>1218.07905396061</v>
      </c>
      <c r="W44" t="n">
        <v>1104.39167559095</v>
      </c>
      <c r="X44" t="n">
        <v>1079.60658165392</v>
      </c>
      <c r="Y44" t="n">
        <v>1067.48978500236</v>
      </c>
      <c r="Z44" t="n">
        <v>1109.12800988582</v>
      </c>
      <c r="AA44" t="n">
        <v>1178.12461260799</v>
      </c>
      <c r="AB44" t="n">
        <v>1195.64357066035</v>
      </c>
      <c r="AC44" t="n">
        <v>1285.46000223503</v>
      </c>
      <c r="AD44" t="n">
        <v>1369.27695538419</v>
      </c>
      <c r="AE44" t="n">
        <v>1454.5</v>
      </c>
      <c r="AF44" t="n">
        <v>1789.1</v>
      </c>
    </row>
    <row r="45">
      <c r="A45" t="s">
        <v>53</v>
      </c>
      <c r="B45" t="s">
        <v>360</v>
      </c>
      <c r="C45" t="s">
        <v>217</v>
      </c>
      <c r="D45" t="s">
        <v>361</v>
      </c>
      <c r="E45" t="s">
        <v>218</v>
      </c>
      <c r="F45" t="n">
        <v>184.317119339746</v>
      </c>
      <c r="G45" t="n">
        <v>189.710451288239</v>
      </c>
      <c r="H45" t="n">
        <v>208.73122392723</v>
      </c>
      <c r="I45" t="n">
        <v>255.552782719126</v>
      </c>
      <c r="J45" t="n">
        <v>291.979267289659</v>
      </c>
      <c r="K45" t="n">
        <v>429.446382518527</v>
      </c>
      <c r="L45" t="n">
        <v>411.070175797688</v>
      </c>
      <c r="M45" t="n">
        <v>525.244322468482</v>
      </c>
      <c r="N45" t="n">
        <v>392.692931849639</v>
      </c>
      <c r="O45" t="n">
        <v>450.165459977289</v>
      </c>
      <c r="P45" t="n">
        <v>438.858669305611</v>
      </c>
      <c r="Q45" t="n">
        <v>630.362640946767</v>
      </c>
      <c r="R45" t="n">
        <v>732.731089216862</v>
      </c>
      <c r="S45" t="n">
        <v>591.540023742582</v>
      </c>
      <c r="T45" t="n">
        <v>599.252968637451</v>
      </c>
      <c r="U45" t="n">
        <v>1273.04952141882</v>
      </c>
      <c r="V45" t="n">
        <v>1218.07905396061</v>
      </c>
      <c r="W45" t="n">
        <v>1104.39167559095</v>
      </c>
      <c r="X45" t="n">
        <v>1079.60658165392</v>
      </c>
      <c r="Y45" t="n">
        <v>1067.48978500236</v>
      </c>
      <c r="Z45" t="n">
        <v>1109.12800988582</v>
      </c>
      <c r="AA45" t="n">
        <v>1178.12461260799</v>
      </c>
      <c r="AB45" t="n">
        <v>1195.64357066035</v>
      </c>
      <c r="AC45" t="n">
        <v>1285.46000223503</v>
      </c>
      <c r="AD45" t="n">
        <v>1369.27695538419</v>
      </c>
      <c r="AE45" t="n">
        <v>1454.5</v>
      </c>
      <c r="AF45" t="n">
        <v>1789.1</v>
      </c>
    </row>
    <row r="46">
      <c r="A46" t="s">
        <v>53</v>
      </c>
      <c r="B46" t="s">
        <v>362</v>
      </c>
      <c r="C46" t="s">
        <v>217</v>
      </c>
      <c r="D46" t="s">
        <v>363</v>
      </c>
      <c r="E46" t="s">
        <v>218</v>
      </c>
      <c r="F46" t="n">
        <v>3.77856414154994</v>
      </c>
      <c r="G46" t="n">
        <v>3.77856414154994</v>
      </c>
      <c r="H46" t="n">
        <v>3.53478580983704</v>
      </c>
      <c r="I46" t="n">
        <v>5.18435252109432</v>
      </c>
      <c r="J46" t="n">
        <v>6.31138567785396</v>
      </c>
      <c r="K46" t="n">
        <v>7.4186463230915</v>
      </c>
      <c r="L46" t="n">
        <v>10.0039321629567</v>
      </c>
      <c r="M46" t="n">
        <v>43.6435282274046</v>
      </c>
      <c r="N46" t="n">
        <v>8.53181754821443</v>
      </c>
      <c r="O46" t="n">
        <v>9.18811120576939</v>
      </c>
      <c r="P46" t="n">
        <v>14.0657504878445</v>
      </c>
      <c r="Q46" t="n">
        <v>18.904368655663</v>
      </c>
      <c r="R46" t="n">
        <v>19.8935507364826</v>
      </c>
      <c r="S46" t="n">
        <v>31.8296811783721</v>
      </c>
      <c r="T46" t="n">
        <v>26.471148993461</v>
      </c>
      <c r="U46" t="n">
        <v>46.5637078680157</v>
      </c>
      <c r="V46" t="n">
        <v>46.049759657552</v>
      </c>
      <c r="W46" t="n">
        <v>38.441538496739</v>
      </c>
      <c r="X46" t="n">
        <v>20.3572157591986</v>
      </c>
      <c r="Y46" t="n">
        <v>28.7395987188686</v>
      </c>
      <c r="Z46" t="n">
        <v>26.6219440764256</v>
      </c>
      <c r="AA46" t="n">
        <v>23.6864445394814</v>
      </c>
      <c r="AB46" t="n">
        <v>22.3705309539546</v>
      </c>
      <c r="AC46" t="n">
        <v>25.6958801498127</v>
      </c>
      <c r="AD46" t="n">
        <v>29.3093632958801</v>
      </c>
      <c r="AE46" t="n">
        <v>26.8</v>
      </c>
      <c r="AF46" t="n">
        <v>35.4</v>
      </c>
    </row>
    <row r="47">
      <c r="A47" t="s">
        <v>53</v>
      </c>
      <c r="B47" t="s">
        <v>364</v>
      </c>
      <c r="C47" t="s">
        <v>217</v>
      </c>
      <c r="D47" t="s">
        <v>365</v>
      </c>
      <c r="E47" t="s">
        <v>218</v>
      </c>
      <c r="F47" t="n">
        <v>24.5240571380355</v>
      </c>
      <c r="G47" t="n">
        <v>23.3113290378029</v>
      </c>
      <c r="H47" t="n">
        <v>23.0620100106607</v>
      </c>
      <c r="I47" t="n">
        <v>28.7976394433638</v>
      </c>
      <c r="J47" t="n">
        <v>31.3117190773083</v>
      </c>
      <c r="K47" t="n">
        <v>40.114657892637</v>
      </c>
      <c r="L47" t="n">
        <v>48.6135260902295</v>
      </c>
      <c r="M47" t="n">
        <v>73.9146567144626</v>
      </c>
      <c r="N47" t="n">
        <v>109.989422006447</v>
      </c>
      <c r="O47" t="n">
        <v>102.737372203824</v>
      </c>
      <c r="P47" t="n">
        <v>116.517848519059</v>
      </c>
      <c r="Q47" t="n">
        <v>98.1378819744652</v>
      </c>
      <c r="R47" t="n">
        <v>114.879697979088</v>
      </c>
      <c r="S47" t="n">
        <v>80.6325427324918</v>
      </c>
      <c r="T47" t="n">
        <v>113.015090014617</v>
      </c>
      <c r="U47" t="n">
        <v>209.423000771361</v>
      </c>
      <c r="V47" t="n">
        <v>143.997877959381</v>
      </c>
      <c r="W47" t="n">
        <v>76.6423857884446</v>
      </c>
      <c r="X47" t="n">
        <v>93.6628367716865</v>
      </c>
      <c r="Y47" t="n">
        <v>67.206126384879</v>
      </c>
      <c r="Z47" t="n">
        <v>77.6558594508205</v>
      </c>
      <c r="AA47" t="n">
        <v>67.4648017801092</v>
      </c>
      <c r="AB47" t="n">
        <v>107.781605246301</v>
      </c>
      <c r="AC47" t="n">
        <v>85.58241162148</v>
      </c>
      <c r="AD47" t="n">
        <v>89.2816513761468</v>
      </c>
      <c r="AE47" t="n">
        <v>98.3</v>
      </c>
      <c r="AF47" t="n">
        <v>108.2</v>
      </c>
    </row>
    <row r="48">
      <c r="A48" t="s">
        <v>53</v>
      </c>
      <c r="B48" t="s">
        <v>366</v>
      </c>
      <c r="C48" t="s">
        <v>217</v>
      </c>
      <c r="D48" t="s">
        <v>367</v>
      </c>
      <c r="E48" t="s">
        <v>218</v>
      </c>
      <c r="F48" t="n">
        <v>47.4169514313316</v>
      </c>
      <c r="G48" t="n">
        <v>50.1657602099596</v>
      </c>
      <c r="H48" t="n">
        <v>57.1508660619793</v>
      </c>
      <c r="I48" t="n">
        <v>67.775065522219</v>
      </c>
      <c r="J48" t="n">
        <v>74.0634736634558</v>
      </c>
      <c r="K48" t="n">
        <v>107.233004813347</v>
      </c>
      <c r="L48" t="n">
        <v>98.8270277411143</v>
      </c>
      <c r="M48" t="n">
        <v>115.665040262707</v>
      </c>
      <c r="N48" t="n">
        <v>139.720732397117</v>
      </c>
      <c r="O48" t="n">
        <v>151.555900317813</v>
      </c>
      <c r="P48" t="n">
        <v>188.913590875858</v>
      </c>
      <c r="Q48" t="n">
        <v>183.347486253705</v>
      </c>
      <c r="R48" t="n">
        <v>196.467360495552</v>
      </c>
      <c r="S48" t="n">
        <v>142.056001950349</v>
      </c>
      <c r="T48" t="n">
        <v>188.110687514161</v>
      </c>
      <c r="U48" t="n">
        <v>250.922359609406</v>
      </c>
      <c r="V48" t="n">
        <v>188.113389128251</v>
      </c>
      <c r="W48" t="n">
        <v>118.604318050476</v>
      </c>
      <c r="X48" t="n">
        <v>134.021871713792</v>
      </c>
      <c r="Y48" t="n">
        <v>120.122555722279</v>
      </c>
      <c r="Z48" t="n">
        <v>131.406484953236</v>
      </c>
      <c r="AA48" t="n">
        <v>123.346615146321</v>
      </c>
      <c r="AB48" t="n">
        <v>168.282923131371</v>
      </c>
      <c r="AC48" t="n">
        <v>166.372901901087</v>
      </c>
      <c r="AD48" t="n">
        <v>164.473211314476</v>
      </c>
      <c r="AE48" t="n">
        <v>180.6</v>
      </c>
      <c r="AF48" t="n">
        <v>196.4</v>
      </c>
    </row>
    <row r="49">
      <c r="A49" t="s">
        <v>53</v>
      </c>
      <c r="B49" t="s">
        <v>368</v>
      </c>
      <c r="C49" t="s">
        <v>217</v>
      </c>
      <c r="D49" t="s">
        <v>369</v>
      </c>
      <c r="E49" t="s">
        <v>218</v>
      </c>
      <c r="F49" t="n">
        <v>19.6540983927921</v>
      </c>
      <c r="G49" t="n">
        <v>23.8144549868867</v>
      </c>
      <c r="H49" t="n">
        <v>31.0910940106577</v>
      </c>
      <c r="I49" t="n">
        <v>35.1519715957232</v>
      </c>
      <c r="J49" t="n">
        <v>38.5342918867206</v>
      </c>
      <c r="K49" t="n">
        <v>61.2777730308706</v>
      </c>
      <c r="L49" t="n">
        <v>44.0361182617283</v>
      </c>
      <c r="M49" t="n">
        <v>37.3130467713881</v>
      </c>
      <c r="N49" t="n">
        <v>25.3951482503776</v>
      </c>
      <c r="O49" t="n">
        <v>43.9959805214875</v>
      </c>
      <c r="P49" t="n">
        <v>49.1985900433086</v>
      </c>
      <c r="Q49" t="n">
        <v>58.8806924316943</v>
      </c>
      <c r="R49" t="n">
        <v>55.0819380812624</v>
      </c>
      <c r="S49" t="n">
        <v>41.6419451894344</v>
      </c>
      <c r="T49" t="n">
        <v>55.0112012765686</v>
      </c>
      <c r="U49" t="n">
        <v>28.4389244124377</v>
      </c>
      <c r="V49" t="n">
        <v>29.0709005104918</v>
      </c>
      <c r="W49" t="n">
        <v>27.944914927339</v>
      </c>
      <c r="X49" t="n">
        <v>26.8351890637984</v>
      </c>
      <c r="Y49" t="n">
        <v>38.4671721560913</v>
      </c>
      <c r="Z49" t="n">
        <v>26.7104492987336</v>
      </c>
      <c r="AA49" t="n">
        <v>26.6081104125316</v>
      </c>
      <c r="AB49" t="n">
        <v>29.1470522457884</v>
      </c>
      <c r="AC49" t="n">
        <v>37.9916749962346</v>
      </c>
      <c r="AD49" t="n">
        <v>36.691959798995</v>
      </c>
      <c r="AE49" t="n">
        <v>39.9</v>
      </c>
      <c r="AF49" t="n">
        <v>50.4</v>
      </c>
    </row>
    <row r="50">
      <c r="A50" t="s">
        <v>53</v>
      </c>
      <c r="B50" t="s">
        <v>370</v>
      </c>
      <c r="C50" t="s">
        <v>217</v>
      </c>
      <c r="D50" t="s">
        <v>371</v>
      </c>
      <c r="E50" t="s">
        <v>218</v>
      </c>
      <c r="F50" t="n">
        <v>3.39807294959472</v>
      </c>
      <c r="G50" t="n">
        <v>3.39807294959472</v>
      </c>
      <c r="H50" t="n">
        <v>3.64079244599434</v>
      </c>
      <c r="I50" t="n">
        <v>4.34546195167067</v>
      </c>
      <c r="J50" t="n">
        <v>4.79115035697022</v>
      </c>
      <c r="K50" t="n">
        <v>6.96894597377487</v>
      </c>
      <c r="L50" t="n">
        <v>6.86005619293464</v>
      </c>
      <c r="M50" t="n">
        <v>5.06588765016712</v>
      </c>
      <c r="N50" t="n">
        <v>4.96034832412197</v>
      </c>
      <c r="O50" t="n">
        <v>5.60735027944222</v>
      </c>
      <c r="P50" t="n">
        <v>23.8873121904239</v>
      </c>
      <c r="Q50" t="n">
        <v>27.1243778610888</v>
      </c>
      <c r="R50" t="n">
        <v>27.2350896074606</v>
      </c>
      <c r="S50" t="n">
        <v>20.3442838031633</v>
      </c>
      <c r="T50" t="n">
        <v>20.7794556492203</v>
      </c>
      <c r="U50" t="n">
        <v>13.1238667258233</v>
      </c>
      <c r="V50" t="n">
        <v>15.2236854019551</v>
      </c>
      <c r="W50" t="n">
        <v>13.9976167789788</v>
      </c>
      <c r="X50" t="n">
        <v>13.594807663037</v>
      </c>
      <c r="Y50" t="n">
        <v>14.6093455483383</v>
      </c>
      <c r="Z50" t="n">
        <v>26.9710994738553</v>
      </c>
      <c r="AA50" t="n">
        <v>29.2102096188546</v>
      </c>
      <c r="AB50" t="n">
        <v>31.2386963979417</v>
      </c>
      <c r="AC50" t="n">
        <v>42.6895368782161</v>
      </c>
      <c r="AD50" t="n">
        <v>38.4905660377358</v>
      </c>
      <c r="AE50" t="n">
        <v>42.5</v>
      </c>
      <c r="AF50" t="n">
        <v>37.8</v>
      </c>
    </row>
    <row r="51">
      <c r="A51" t="s">
        <v>53</v>
      </c>
      <c r="B51" t="s">
        <v>372</v>
      </c>
      <c r="C51" t="s">
        <v>217</v>
      </c>
      <c r="D51" t="s">
        <v>373</v>
      </c>
      <c r="E51" t="s">
        <v>218</v>
      </c>
      <c r="F51" t="n">
        <v>3.48465750867429</v>
      </c>
      <c r="G51" t="n">
        <v>3.35063221987912</v>
      </c>
      <c r="H51" t="n">
        <v>3.47029765630338</v>
      </c>
      <c r="I51" t="n">
        <v>4.2800337761075</v>
      </c>
      <c r="J51" t="n">
        <v>4.84319611506901</v>
      </c>
      <c r="K51" t="n">
        <v>6.934576255667</v>
      </c>
      <c r="L51" t="n">
        <v>7.04642425979066</v>
      </c>
      <c r="M51" t="n">
        <v>5.09510677246401</v>
      </c>
      <c r="N51" t="n">
        <v>4.98670024539031</v>
      </c>
      <c r="O51" t="n">
        <v>5.52873288075882</v>
      </c>
      <c r="P51" t="n">
        <v>20.5352935571042</v>
      </c>
      <c r="Q51" t="n">
        <v>25.9216000638856</v>
      </c>
      <c r="R51" t="n">
        <v>26.3666060735661</v>
      </c>
      <c r="S51" t="n">
        <v>19.9946762724543</v>
      </c>
      <c r="T51" t="n">
        <v>20.5409789028492</v>
      </c>
      <c r="U51" t="n">
        <v>12.7419976081845</v>
      </c>
      <c r="V51" t="n">
        <v>13.7950552617535</v>
      </c>
      <c r="W51" t="n">
        <v>13.5906840726905</v>
      </c>
      <c r="X51" t="n">
        <v>13.1879971372034</v>
      </c>
      <c r="Y51" t="n">
        <v>14.3039045872744</v>
      </c>
      <c r="Z51" t="n">
        <v>26.8709064746655</v>
      </c>
      <c r="AA51" t="n">
        <v>29.1101486808876</v>
      </c>
      <c r="AB51" t="n">
        <v>31.1387304704965</v>
      </c>
      <c r="AC51" t="n">
        <v>42.5897474822275</v>
      </c>
      <c r="AD51" t="n">
        <v>38.3907582938389</v>
      </c>
      <c r="AE51" t="n">
        <v>42.3</v>
      </c>
      <c r="AF51" t="n">
        <v>37.4</v>
      </c>
    </row>
    <row r="52">
      <c r="A52" t="s">
        <v>53</v>
      </c>
      <c r="B52" t="s">
        <v>374</v>
      </c>
      <c r="C52" t="s">
        <v>217</v>
      </c>
      <c r="D52" t="s">
        <v>375</v>
      </c>
      <c r="E52" t="s">
        <v>218</v>
      </c>
      <c r="F52" t="n">
        <v>0</v>
      </c>
      <c r="G52" t="n">
        <v>0</v>
      </c>
      <c r="H52" t="e">
        <v>#NUM!</v>
      </c>
      <c r="I52" t="e">
        <v>#NUM!</v>
      </c>
      <c r="J52" t="e">
        <v>#NUM!</v>
      </c>
      <c r="K52" t="e">
        <v>#NUM!</v>
      </c>
      <c r="L52" t="n">
        <v>0</v>
      </c>
      <c r="M52" t="n">
        <v>0.1</v>
      </c>
      <c r="N52" t="n">
        <v>0.1</v>
      </c>
      <c r="O52" t="n">
        <v>0.1</v>
      </c>
      <c r="P52" t="n">
        <v>3.1</v>
      </c>
      <c r="Q52" t="n">
        <v>1.2</v>
      </c>
      <c r="R52" t="n">
        <v>0.9</v>
      </c>
      <c r="S52" t="n">
        <v>0.4</v>
      </c>
      <c r="T52" t="n">
        <v>0.3</v>
      </c>
      <c r="U52" t="n">
        <v>0.4</v>
      </c>
      <c r="V52" t="n">
        <v>1.4</v>
      </c>
      <c r="W52" t="n">
        <v>0.4</v>
      </c>
      <c r="X52" t="n">
        <v>0.4</v>
      </c>
      <c r="Y52" t="n">
        <v>0.3</v>
      </c>
      <c r="Z52" t="n">
        <v>0.1</v>
      </c>
      <c r="AA52" t="n">
        <v>0.1</v>
      </c>
      <c r="AB52" t="n">
        <v>0.1</v>
      </c>
      <c r="AC52" t="n">
        <v>0.1</v>
      </c>
      <c r="AD52" t="n">
        <v>0.1</v>
      </c>
      <c r="AE52" t="n">
        <v>0.2</v>
      </c>
      <c r="AF52" t="n">
        <v>0.4</v>
      </c>
    </row>
    <row r="53">
      <c r="A53" t="s">
        <v>53</v>
      </c>
      <c r="B53" t="s">
        <v>376</v>
      </c>
      <c r="C53" t="s">
        <v>217</v>
      </c>
      <c r="D53" t="s">
        <v>377</v>
      </c>
      <c r="E53" t="s">
        <v>218</v>
      </c>
      <c r="F53" t="n">
        <v>2.06581027658043</v>
      </c>
      <c r="G53" t="n">
        <v>2.96960227258437</v>
      </c>
      <c r="H53" t="n">
        <v>3.56352272710125</v>
      </c>
      <c r="I53" t="n">
        <v>3.56352272710125</v>
      </c>
      <c r="J53" t="n">
        <v>3.99546487584079</v>
      </c>
      <c r="K53" t="n">
        <v>9.28675619790022</v>
      </c>
      <c r="L53" t="n">
        <v>7.01905991701761</v>
      </c>
      <c r="M53" t="n">
        <v>11.8381159794476</v>
      </c>
      <c r="N53" t="n">
        <v>11.4227434889407</v>
      </c>
      <c r="O53" t="n">
        <v>11.2169282909417</v>
      </c>
      <c r="P53" t="n">
        <v>2.72560874359332</v>
      </c>
      <c r="Q53" t="n">
        <v>3.1449331656846</v>
      </c>
      <c r="R53" t="n">
        <v>3.56425758777588</v>
      </c>
      <c r="S53" t="n">
        <v>2.6207776380705</v>
      </c>
      <c r="T53" t="n">
        <v>3.35459537673024</v>
      </c>
      <c r="U53" t="n">
        <v>4.97778668805132</v>
      </c>
      <c r="V53" t="n">
        <v>6.63704891740176</v>
      </c>
      <c r="W53" t="n">
        <v>4.32413793103448</v>
      </c>
      <c r="X53" t="n">
        <v>4.72638331996792</v>
      </c>
      <c r="Y53" t="n">
        <v>5.83255813953488</v>
      </c>
      <c r="Z53" t="n">
        <v>4.09302325581395</v>
      </c>
      <c r="AA53" t="n">
        <v>4.4</v>
      </c>
      <c r="AB53" t="n">
        <v>4.8</v>
      </c>
      <c r="AC53" t="n">
        <v>6</v>
      </c>
      <c r="AD53" t="n">
        <v>5.6</v>
      </c>
      <c r="AE53" t="n">
        <v>6.2</v>
      </c>
      <c r="AF53" t="n">
        <v>10.8</v>
      </c>
    </row>
    <row r="54">
      <c r="A54" t="s">
        <v>53</v>
      </c>
      <c r="B54" t="s">
        <v>378</v>
      </c>
      <c r="C54" t="s">
        <v>217</v>
      </c>
      <c r="D54" t="s">
        <v>379</v>
      </c>
      <c r="E54" t="s">
        <v>218</v>
      </c>
      <c r="F54" t="n">
        <v>12.5665606373699</v>
      </c>
      <c r="G54" t="n">
        <v>14.7918890835708</v>
      </c>
      <c r="H54" t="n">
        <v>19.2414817347262</v>
      </c>
      <c r="I54" t="n">
        <v>20.4006071404326</v>
      </c>
      <c r="J54" t="n">
        <v>22.716351734752</v>
      </c>
      <c r="K54" t="n">
        <v>44.8918379520099</v>
      </c>
      <c r="L54" t="n">
        <v>22.2836593207567</v>
      </c>
      <c r="M54" t="n">
        <v>24.9114493349969</v>
      </c>
      <c r="N54" t="n">
        <v>24.7021094246188</v>
      </c>
      <c r="O54" t="n">
        <v>25.2254592005641</v>
      </c>
      <c r="P54" t="n">
        <v>11.4856346147249</v>
      </c>
      <c r="Q54" t="n">
        <v>14.8132483816079</v>
      </c>
      <c r="R54" t="n">
        <v>17.0674383527221</v>
      </c>
      <c r="S54" t="n">
        <v>12.5872357851326</v>
      </c>
      <c r="T54" t="n">
        <v>15.7604885040735</v>
      </c>
      <c r="U54" t="n">
        <v>28.8036514039964</v>
      </c>
      <c r="V54" t="n">
        <v>25.9859028970837</v>
      </c>
      <c r="W54" t="n">
        <v>19.0091429752986</v>
      </c>
      <c r="X54" t="n">
        <v>25.4122227143466</v>
      </c>
      <c r="Y54" t="n">
        <v>27.8324344014272</v>
      </c>
      <c r="Z54" t="n">
        <v>21.9999021923046</v>
      </c>
      <c r="AA54" t="n">
        <v>20.5739826057663</v>
      </c>
      <c r="AB54" t="n">
        <v>21.7842168766938</v>
      </c>
      <c r="AC54" t="n">
        <v>24.6954716666667</v>
      </c>
      <c r="AD54" t="n">
        <v>23.9956</v>
      </c>
      <c r="AE54" t="n">
        <v>25.1</v>
      </c>
      <c r="AF54" t="n">
        <v>33.8</v>
      </c>
    </row>
    <row r="55">
      <c r="A55" t="s">
        <v>53</v>
      </c>
      <c r="B55" t="s">
        <v>380</v>
      </c>
      <c r="C55" t="s">
        <v>217</v>
      </c>
      <c r="D55" t="s">
        <v>381</v>
      </c>
      <c r="E55" t="s">
        <v>218</v>
      </c>
      <c r="F55" t="n">
        <v>10.3837864039231</v>
      </c>
      <c r="G55" t="n">
        <v>11.6817597044135</v>
      </c>
      <c r="H55" t="n">
        <v>15.4962118527934</v>
      </c>
      <c r="I55" t="n">
        <v>16.6440793974448</v>
      </c>
      <c r="J55" t="n">
        <v>18.5055882774221</v>
      </c>
      <c r="K55" t="n">
        <v>35.1927083426121</v>
      </c>
      <c r="L55" t="n">
        <v>15.0825892896909</v>
      </c>
      <c r="M55" t="n">
        <v>12.898214289115</v>
      </c>
      <c r="N55" t="n">
        <v>13.1062500034555</v>
      </c>
      <c r="O55" t="n">
        <v>13.840200003649</v>
      </c>
      <c r="P55" t="n">
        <v>8.75825156480915</v>
      </c>
      <c r="Q55" t="n">
        <v>11.6776687530789</v>
      </c>
      <c r="R55" t="n">
        <v>13.5158203160635</v>
      </c>
      <c r="S55" t="n">
        <v>9.97596261423735</v>
      </c>
      <c r="T55" t="n">
        <v>12.4168896368699</v>
      </c>
      <c r="U55" t="n">
        <v>23.8534985129343</v>
      </c>
      <c r="V55" t="n">
        <v>19.3548123898809</v>
      </c>
      <c r="W55" t="n">
        <v>14.6934439609043</v>
      </c>
      <c r="X55" t="n">
        <v>20.6907680265796</v>
      </c>
      <c r="Y55" t="n">
        <v>22.0028655111919</v>
      </c>
      <c r="Z55" t="n">
        <v>17.9093091370167</v>
      </c>
      <c r="AA55" t="n">
        <v>16.1794326862821</v>
      </c>
      <c r="AB55" t="n">
        <v>16.9884043205962</v>
      </c>
      <c r="AC55" t="n">
        <v>18.6972970629047</v>
      </c>
      <c r="AD55" t="n">
        <v>18.3973404255319</v>
      </c>
      <c r="AE55" t="n">
        <v>18.9</v>
      </c>
      <c r="AF55" t="n">
        <v>23</v>
      </c>
    </row>
    <row r="56">
      <c r="A56" t="s">
        <v>53</v>
      </c>
      <c r="B56" t="s">
        <v>382</v>
      </c>
      <c r="C56" t="s">
        <v>217</v>
      </c>
      <c r="D56" t="s">
        <v>383</v>
      </c>
      <c r="E56" t="s">
        <v>218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53</v>
      </c>
      <c r="B57" t="s">
        <v>384</v>
      </c>
      <c r="C57" t="s">
        <v>217</v>
      </c>
      <c r="D57" t="s">
        <v>385</v>
      </c>
      <c r="E57" t="s">
        <v>218</v>
      </c>
      <c r="F57" t="n">
        <v>233.019191902746</v>
      </c>
      <c r="G57" t="n">
        <v>241.16671609515</v>
      </c>
      <c r="H57" t="n">
        <v>267.587368793009</v>
      </c>
      <c r="I57" t="n">
        <v>325.090441763781</v>
      </c>
      <c r="J57" t="n">
        <v>368.100296128025</v>
      </c>
      <c r="K57" t="n">
        <v>540.438162042509</v>
      </c>
      <c r="L57" t="n">
        <v>528.779674414958</v>
      </c>
      <c r="M57" t="n">
        <v>688.403067801995</v>
      </c>
      <c r="N57" t="n">
        <v>560.8929075035</v>
      </c>
      <c r="O57" t="n">
        <v>628.564441587449</v>
      </c>
      <c r="P57" t="n">
        <v>627.898236561919</v>
      </c>
      <c r="Q57" t="n">
        <v>814.576659648185</v>
      </c>
      <c r="R57" t="n">
        <v>934.724257145616</v>
      </c>
      <c r="S57" t="n">
        <v>735.349447284296</v>
      </c>
      <c r="T57" t="n">
        <v>788.778689295907</v>
      </c>
      <c r="U57" t="n">
        <v>1570.23792568896</v>
      </c>
      <c r="V57" t="n">
        <v>1415.31443811933</v>
      </c>
      <c r="W57" t="n">
        <v>1227.69613859974</v>
      </c>
      <c r="X57" t="n">
        <v>1218.86162554088</v>
      </c>
      <c r="Y57" t="n">
        <v>1192.59305602492</v>
      </c>
      <c r="Z57" t="n">
        <v>1267.95341867124</v>
      </c>
      <c r="AA57" t="n">
        <v>1328.95181918461</v>
      </c>
      <c r="AB57" t="n">
        <v>1392.86223743821</v>
      </c>
      <c r="AC57" t="n">
        <v>1470.2211470478</v>
      </c>
      <c r="AD57" t="n">
        <v>1560.53473179503</v>
      </c>
      <c r="AE57" t="n">
        <v>1671</v>
      </c>
      <c r="AF57" t="n">
        <v>2016.9</v>
      </c>
    </row>
    <row r="58">
      <c r="A58" t="s">
        <v>53</v>
      </c>
      <c r="B58" t="s">
        <v>386</v>
      </c>
      <c r="C58" t="s">
        <v>217</v>
      </c>
      <c r="D58" t="s">
        <v>387</v>
      </c>
      <c r="E58" t="s">
        <v>218</v>
      </c>
      <c r="F58" t="n">
        <v>233.019191902746</v>
      </c>
      <c r="G58" t="n">
        <v>241.16671609515</v>
      </c>
      <c r="H58" t="n">
        <v>267.587368793009</v>
      </c>
      <c r="I58" t="n">
        <v>325.090441763781</v>
      </c>
      <c r="J58" t="n">
        <v>368.100296128025</v>
      </c>
      <c r="K58" t="n">
        <v>540.438162042509</v>
      </c>
      <c r="L58" t="n">
        <v>528.779674414958</v>
      </c>
      <c r="M58" t="n">
        <v>688.403067801995</v>
      </c>
      <c r="N58" t="n">
        <v>560.8929075035</v>
      </c>
      <c r="O58" t="n">
        <v>628.564441587449</v>
      </c>
      <c r="P58" t="n">
        <v>627.898236561919</v>
      </c>
      <c r="Q58" t="n">
        <v>814.576659648185</v>
      </c>
      <c r="R58" t="n">
        <v>934.724257145616</v>
      </c>
      <c r="S58" t="n">
        <v>735.349447284296</v>
      </c>
      <c r="T58" t="n">
        <v>788.778689295907</v>
      </c>
      <c r="U58" t="n">
        <v>1570.23792568896</v>
      </c>
      <c r="V58" t="n">
        <v>1415.31443811933</v>
      </c>
      <c r="W58" t="n">
        <v>1227.69613859974</v>
      </c>
      <c r="X58" t="n">
        <v>1218.86162554088</v>
      </c>
      <c r="Y58" t="n">
        <v>1192.59305602492</v>
      </c>
      <c r="Z58" t="n">
        <v>1267.95341867124</v>
      </c>
      <c r="AA58" t="n">
        <v>1328.95181918461</v>
      </c>
      <c r="AB58" t="n">
        <v>1392.86223743821</v>
      </c>
      <c r="AC58" t="n">
        <v>1470.2211470478</v>
      </c>
      <c r="AD58" t="n">
        <v>1560.53473179503</v>
      </c>
      <c r="AE58" t="n">
        <v>1671</v>
      </c>
      <c r="AF58" t="n">
        <v>2016.9</v>
      </c>
    </row>
    <row r="59">
      <c r="A59" t="s">
        <v>53</v>
      </c>
      <c r="B59" t="s">
        <v>388</v>
      </c>
      <c r="C59" t="s">
        <v>217</v>
      </c>
      <c r="D59" t="s">
        <v>389</v>
      </c>
      <c r="E59" t="s">
        <v>218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55</v>
      </c>
      <c r="B2" t="s">
        <v>197</v>
      </c>
      <c r="C2" t="s">
        <v>217</v>
      </c>
      <c r="D2" t="s">
        <v>199</v>
      </c>
      <c r="E2" t="s">
        <v>218</v>
      </c>
      <c r="F2" t="n">
        <v>106.22813937622</v>
      </c>
      <c r="G2" t="n">
        <v>122.839103255513</v>
      </c>
      <c r="H2" t="n">
        <v>225.829513816814</v>
      </c>
      <c r="I2" t="n">
        <v>188.700870345964</v>
      </c>
      <c r="J2" t="n">
        <v>217.871503191065</v>
      </c>
      <c r="K2" t="n">
        <v>229.217892989358</v>
      </c>
      <c r="L2" t="n">
        <v>429.859549982694</v>
      </c>
      <c r="M2" t="n">
        <v>424.162003284699</v>
      </c>
      <c r="N2" t="n">
        <v>348.629085514518</v>
      </c>
      <c r="O2" t="n">
        <v>352.185517103785</v>
      </c>
      <c r="P2" t="n">
        <v>449.013357430652</v>
      </c>
      <c r="Q2" t="n">
        <v>392.27998582159</v>
      </c>
      <c r="R2" t="n">
        <v>563.375149798227</v>
      </c>
      <c r="S2" t="n">
        <v>470.475394964572</v>
      </c>
      <c r="T2" t="n">
        <v>341.79836386315</v>
      </c>
      <c r="U2" t="n">
        <v>362.764451413104</v>
      </c>
      <c r="V2" t="n">
        <v>255.549433027367</v>
      </c>
      <c r="W2" t="n">
        <v>277.726891785316</v>
      </c>
      <c r="X2" t="n">
        <v>416.487855430082</v>
      </c>
      <c r="Y2" t="n">
        <v>246.398996148481</v>
      </c>
      <c r="Z2" t="n">
        <v>421.266077538805</v>
      </c>
      <c r="AA2" t="n">
        <v>430.421824213158</v>
      </c>
      <c r="AB2" t="n">
        <v>447.125368740124</v>
      </c>
      <c r="AC2" t="n">
        <v>539.693112347281</v>
      </c>
      <c r="AD2" t="n">
        <v>638.12833432128</v>
      </c>
      <c r="AE2" t="n">
        <v>502.5</v>
      </c>
      <c r="AF2" t="n">
        <v>347.3</v>
      </c>
    </row>
    <row r="3">
      <c r="A3" t="s">
        <v>55</v>
      </c>
      <c r="B3" t="s">
        <v>276</v>
      </c>
      <c r="C3" t="s">
        <v>217</v>
      </c>
      <c r="D3" t="s">
        <v>277</v>
      </c>
      <c r="E3" t="s">
        <v>218</v>
      </c>
      <c r="F3" t="e">
        <v>#NUM!</v>
      </c>
      <c r="G3" t="e">
        <v>#NUM!</v>
      </c>
      <c r="H3" t="e">
        <v>#NUM!</v>
      </c>
      <c r="I3" t="e">
        <v>#NUM!</v>
      </c>
      <c r="J3" t="e">
        <v>#NUM!</v>
      </c>
      <c r="K3" t="e">
        <v>#NUM!</v>
      </c>
      <c r="L3" t="e">
        <v>#NUM!</v>
      </c>
      <c r="M3" t="e">
        <v>#NUM!</v>
      </c>
      <c r="N3" t="e">
        <v>#NUM!</v>
      </c>
      <c r="O3" t="e">
        <v>#NUM!</v>
      </c>
      <c r="P3" t="e">
        <v>#NUM!</v>
      </c>
      <c r="Q3" t="e">
        <v>#NUM!</v>
      </c>
      <c r="R3" t="e">
        <v>#NUM!</v>
      </c>
      <c r="S3" t="e">
        <v>#NUM!</v>
      </c>
      <c r="T3" t="e">
        <v>#NUM!</v>
      </c>
      <c r="U3" t="n">
        <v>0</v>
      </c>
      <c r="V3" t="n">
        <v>-3.97222222222222</v>
      </c>
      <c r="W3" t="n">
        <v>1.22222222222222</v>
      </c>
      <c r="X3" t="n">
        <v>-1.32407407407407</v>
      </c>
      <c r="Y3" t="n">
        <v>7.23148148148148</v>
      </c>
      <c r="Z3" t="n">
        <v>4.88888888888889</v>
      </c>
      <c r="AA3" t="n">
        <v>-4.68085106382979</v>
      </c>
      <c r="AB3" t="n">
        <v>-5</v>
      </c>
      <c r="AC3" t="n">
        <v>3.85416666666667</v>
      </c>
      <c r="AD3" t="n">
        <v>2.5</v>
      </c>
      <c r="AE3" t="n">
        <v>1.9</v>
      </c>
      <c r="AF3" t="n">
        <v>3.1</v>
      </c>
    </row>
    <row r="4">
      <c r="A4" t="s">
        <v>55</v>
      </c>
      <c r="B4" t="s">
        <v>278</v>
      </c>
      <c r="C4" t="s">
        <v>217</v>
      </c>
      <c r="D4" t="s">
        <v>279</v>
      </c>
      <c r="E4" t="s">
        <v>218</v>
      </c>
      <c r="F4" t="n">
        <v>103.419992811275</v>
      </c>
      <c r="G4" t="n">
        <v>122.104268856281</v>
      </c>
      <c r="H4" t="n">
        <v>232.935839689065</v>
      </c>
      <c r="I4" t="n">
        <v>171.374997709001</v>
      </c>
      <c r="J4" t="n">
        <v>223.482260525927</v>
      </c>
      <c r="K4" t="n">
        <v>225.843350095103</v>
      </c>
      <c r="L4" t="n">
        <v>125.256813618465</v>
      </c>
      <c r="M4" t="n">
        <v>84.311349585376</v>
      </c>
      <c r="N4" t="n">
        <v>50.8081521964378</v>
      </c>
      <c r="O4" t="n">
        <v>69.0095400522498</v>
      </c>
      <c r="P4" t="n">
        <v>62.8662575550169</v>
      </c>
      <c r="Q4" t="n">
        <v>49.4490184210718</v>
      </c>
      <c r="R4" t="n">
        <v>79.6737964192647</v>
      </c>
      <c r="S4" t="n">
        <v>50.7489712447741</v>
      </c>
      <c r="T4" t="n">
        <v>40.6609404496669</v>
      </c>
      <c r="U4" t="n">
        <v>32.283560759032</v>
      </c>
      <c r="V4" t="n">
        <v>-1.5276132851277</v>
      </c>
      <c r="W4" t="n">
        <v>-13.5448377947989</v>
      </c>
      <c r="X4" t="n">
        <v>-7.02702111158741</v>
      </c>
      <c r="Y4" t="n">
        <v>25.6279593481423</v>
      </c>
      <c r="Z4" t="n">
        <v>23.6802344376835</v>
      </c>
      <c r="AA4" t="n">
        <v>19.8872964541584</v>
      </c>
      <c r="AB4" t="n">
        <v>21.1174385028693</v>
      </c>
      <c r="AC4" t="n">
        <v>22.726386198326</v>
      </c>
      <c r="AD4" t="n">
        <v>75.7211009174312</v>
      </c>
      <c r="AE4" t="n">
        <v>54.3</v>
      </c>
      <c r="AF4" t="n">
        <v>48.5</v>
      </c>
    </row>
    <row r="5">
      <c r="A5" t="s">
        <v>55</v>
      </c>
      <c r="B5" t="s">
        <v>280</v>
      </c>
      <c r="C5" t="s">
        <v>217</v>
      </c>
      <c r="D5" t="s">
        <v>281</v>
      </c>
      <c r="E5" t="s">
        <v>218</v>
      </c>
      <c r="F5" t="n">
        <v>6.49080816199057</v>
      </c>
      <c r="G5" t="n">
        <v>7.7271525737983</v>
      </c>
      <c r="H5" t="n">
        <v>14.6409206661441</v>
      </c>
      <c r="I5" t="n">
        <v>10.7880468066325</v>
      </c>
      <c r="J5" t="n">
        <v>13.9924171452363</v>
      </c>
      <c r="K5" t="n">
        <v>14.0960646796454</v>
      </c>
      <c r="L5" t="n">
        <v>27.7864872102363</v>
      </c>
      <c r="M5" t="n">
        <v>30.2382360817277</v>
      </c>
      <c r="N5" t="n">
        <v>12.0138446385315</v>
      </c>
      <c r="O5" t="n">
        <v>22.0419298326777</v>
      </c>
      <c r="P5" t="n">
        <v>19.7545597557017</v>
      </c>
      <c r="Q5" t="n">
        <v>19.4253170931067</v>
      </c>
      <c r="R5" t="n">
        <v>18.6656678213092</v>
      </c>
      <c r="S5" t="n">
        <v>17.6051185132803</v>
      </c>
      <c r="T5" t="n">
        <v>10.0005406939344</v>
      </c>
      <c r="U5" t="n">
        <v>22.0630485412573</v>
      </c>
      <c r="V5" t="n">
        <v>5.0518195258019</v>
      </c>
      <c r="W5" t="n">
        <v>4.02083594910763</v>
      </c>
      <c r="X5" t="n">
        <v>6.66612275773108</v>
      </c>
      <c r="Y5" t="n">
        <v>6.66612275773108</v>
      </c>
      <c r="Z5" t="n">
        <v>20.2034797426619</v>
      </c>
      <c r="AA5" t="n">
        <v>15.7935831490859</v>
      </c>
      <c r="AB5" t="n">
        <v>16.8191404964292</v>
      </c>
      <c r="AC5" t="n">
        <v>15.0966983973973</v>
      </c>
      <c r="AD5" t="n">
        <v>19.4244186046512</v>
      </c>
      <c r="AE5" t="n">
        <v>25.7</v>
      </c>
      <c r="AF5" t="n">
        <v>20.3</v>
      </c>
    </row>
    <row r="6">
      <c r="A6" t="s">
        <v>55</v>
      </c>
      <c r="B6" t="s">
        <v>282</v>
      </c>
      <c r="C6" t="s">
        <v>217</v>
      </c>
      <c r="D6" t="s">
        <v>283</v>
      </c>
      <c r="E6" t="s">
        <v>218</v>
      </c>
      <c r="F6" t="n">
        <v>2.31792880916813</v>
      </c>
      <c r="G6" t="n">
        <v>2.68879741863503</v>
      </c>
      <c r="H6" t="n">
        <v>5.10871509540656</v>
      </c>
      <c r="I6" t="n">
        <v>3.83153632155492</v>
      </c>
      <c r="J6" t="n">
        <v>4.9809972180214</v>
      </c>
      <c r="K6" t="n">
        <v>5.07497829760671</v>
      </c>
      <c r="L6" t="n">
        <v>7.93542061080321</v>
      </c>
      <c r="M6" t="n">
        <v>14.3771149889846</v>
      </c>
      <c r="N6" t="n">
        <v>5.69483126187054</v>
      </c>
      <c r="O6" t="n">
        <v>8.94902055436799</v>
      </c>
      <c r="P6" t="n">
        <v>5.27521211625903</v>
      </c>
      <c r="Q6" t="n">
        <v>-9.15697197539303</v>
      </c>
      <c r="R6" t="n">
        <v>0.984620642515379</v>
      </c>
      <c r="S6" t="n">
        <v>1.96924128503076</v>
      </c>
      <c r="T6" t="n">
        <v>1.77231715652768</v>
      </c>
      <c r="U6" t="n">
        <v>-2.75693779904306</v>
      </c>
      <c r="V6" t="n">
        <v>0.295386192754614</v>
      </c>
      <c r="W6" t="n">
        <v>0.393848257006152</v>
      </c>
      <c r="X6" t="n">
        <v>0.393848257006152</v>
      </c>
      <c r="Y6" t="n">
        <v>0.49231032125769</v>
      </c>
      <c r="Z6" t="n">
        <v>-1.08308270676692</v>
      </c>
      <c r="AA6" t="n">
        <v>0.886158578263841</v>
      </c>
      <c r="AB6" t="n">
        <v>0.984620642515379</v>
      </c>
      <c r="AC6" t="n">
        <v>-13.0954545454545</v>
      </c>
      <c r="AD6" t="n">
        <v>0.488636363636364</v>
      </c>
      <c r="AE6" t="n">
        <v>-4.3</v>
      </c>
      <c r="AF6" t="n">
        <v>2.1</v>
      </c>
    </row>
    <row r="7">
      <c r="A7" t="s">
        <v>55</v>
      </c>
      <c r="B7" t="s">
        <v>284</v>
      </c>
      <c r="C7" t="s">
        <v>217</v>
      </c>
      <c r="D7" t="s">
        <v>285</v>
      </c>
      <c r="E7" t="s">
        <v>218</v>
      </c>
      <c r="F7" t="n">
        <v>1.95615834993319</v>
      </c>
      <c r="G7" t="n">
        <v>2.34739001991983</v>
      </c>
      <c r="H7" t="n">
        <v>4.59697212234299</v>
      </c>
      <c r="I7" t="n">
        <v>3.4210025096506</v>
      </c>
      <c r="J7" t="n">
        <v>4.49006579391641</v>
      </c>
      <c r="K7" t="n">
        <v>4.59448592865865</v>
      </c>
      <c r="L7" t="n">
        <v>7.45327717315737</v>
      </c>
      <c r="M7" t="n">
        <v>-8.47427404619263</v>
      </c>
      <c r="N7" t="n">
        <v>2.96089093180224</v>
      </c>
      <c r="O7" t="n">
        <v>4.34264003330996</v>
      </c>
      <c r="P7" t="n">
        <v>4.75622479838709</v>
      </c>
      <c r="Q7" t="n">
        <v>3.53951612903226</v>
      </c>
      <c r="R7" t="n">
        <v>6.65</v>
      </c>
      <c r="S7" t="n">
        <v>4.01111111111111</v>
      </c>
      <c r="T7" t="n">
        <v>4.64444444444444</v>
      </c>
      <c r="U7" t="n">
        <v>1.9</v>
      </c>
      <c r="V7" t="n">
        <v>-1.05555555555556</v>
      </c>
      <c r="W7" t="n">
        <v>-1.05555555555556</v>
      </c>
      <c r="X7" t="n">
        <v>-1.47777777777778</v>
      </c>
      <c r="Y7" t="n">
        <v>2.74444444444444</v>
      </c>
      <c r="Z7" t="n">
        <v>0.633333333333333</v>
      </c>
      <c r="AA7" t="n">
        <v>1.79444444444444</v>
      </c>
      <c r="AB7" t="n">
        <v>1.9</v>
      </c>
      <c r="AC7" t="n">
        <v>0.4</v>
      </c>
      <c r="AD7" t="n">
        <v>1.3</v>
      </c>
      <c r="AE7" t="n">
        <v>3.4</v>
      </c>
      <c r="AF7" t="n">
        <v>-1.4</v>
      </c>
    </row>
    <row r="8">
      <c r="A8" t="s">
        <v>55</v>
      </c>
      <c r="B8" t="s">
        <v>286</v>
      </c>
      <c r="C8" t="s">
        <v>217</v>
      </c>
      <c r="D8" t="s">
        <v>287</v>
      </c>
      <c r="E8" t="s">
        <v>218</v>
      </c>
      <c r="F8" t="n">
        <v>0.083926453143535</v>
      </c>
      <c r="G8" t="n">
        <v>0.16785290628707</v>
      </c>
      <c r="H8" t="n">
        <v>0.251779359430605</v>
      </c>
      <c r="I8" t="n">
        <v>0.16785290628707</v>
      </c>
      <c r="J8" t="n">
        <v>0.251779359430605</v>
      </c>
      <c r="K8" t="n">
        <v>0.251779359430605</v>
      </c>
      <c r="L8" t="n">
        <v>0.251779359430605</v>
      </c>
      <c r="M8" t="n">
        <v>1.09104389086595</v>
      </c>
      <c r="N8" t="n">
        <v>0.251779359430605</v>
      </c>
      <c r="O8" t="n">
        <v>0.50355871886121</v>
      </c>
      <c r="P8" t="n">
        <v>0.906405693950178</v>
      </c>
      <c r="Q8" t="n">
        <v>0.50355871886121</v>
      </c>
      <c r="R8" t="n">
        <v>0.402846975088968</v>
      </c>
      <c r="S8" t="n">
        <v>1.00711743772242</v>
      </c>
      <c r="T8" t="n">
        <v>0.906405693950178</v>
      </c>
      <c r="U8" t="n">
        <v>0.604270462633452</v>
      </c>
      <c r="V8" t="n">
        <v>0.302135231316726</v>
      </c>
      <c r="W8" t="n">
        <v>-0.704982206405694</v>
      </c>
      <c r="X8" t="n">
        <v>0.402846975088968</v>
      </c>
      <c r="Y8" t="n">
        <v>0.805693950177936</v>
      </c>
      <c r="Z8" t="n">
        <v>1.61138790035587</v>
      </c>
      <c r="AA8" t="n">
        <v>1.40996441281139</v>
      </c>
      <c r="AB8" t="n">
        <v>1.51067615658363</v>
      </c>
      <c r="AC8" t="n">
        <v>0.201423487544484</v>
      </c>
      <c r="AD8" t="n">
        <v>28.3</v>
      </c>
      <c r="AE8" t="n">
        <v>0.4</v>
      </c>
      <c r="AF8" t="n">
        <v>5.2</v>
      </c>
    </row>
    <row r="9">
      <c r="A9" t="s">
        <v>55</v>
      </c>
      <c r="B9" t="s">
        <v>288</v>
      </c>
      <c r="C9" t="s">
        <v>217</v>
      </c>
      <c r="D9" t="s">
        <v>289</v>
      </c>
      <c r="E9" t="s">
        <v>218</v>
      </c>
      <c r="F9" t="n">
        <v>0.732818099391218</v>
      </c>
      <c r="G9" t="n">
        <v>0.82442036181512</v>
      </c>
      <c r="H9" t="n">
        <v>1.64884072363024</v>
      </c>
      <c r="I9" t="n">
        <v>1.23663054272268</v>
      </c>
      <c r="J9" t="n">
        <v>1.64884072363024</v>
      </c>
      <c r="K9" t="n">
        <v>1.64884072363024</v>
      </c>
      <c r="L9" t="n">
        <v>4.26758775527827</v>
      </c>
      <c r="M9" t="n">
        <v>3.6856439704676</v>
      </c>
      <c r="N9" t="n">
        <v>1.45485946202668</v>
      </c>
      <c r="O9" t="n">
        <v>4.18272095332671</v>
      </c>
      <c r="P9" t="n">
        <v>2.09136047666336</v>
      </c>
      <c r="Q9" t="n">
        <v>1.88222442899702</v>
      </c>
      <c r="R9" t="n">
        <v>3.97358490566038</v>
      </c>
      <c r="S9" t="n">
        <v>5.4</v>
      </c>
      <c r="T9" t="n">
        <v>2.4</v>
      </c>
      <c r="U9" t="n">
        <v>2.3</v>
      </c>
      <c r="V9" t="n">
        <v>2.5</v>
      </c>
      <c r="W9" t="n">
        <v>0.5</v>
      </c>
      <c r="X9" t="n">
        <v>1.9</v>
      </c>
      <c r="Y9" t="n">
        <v>1.2</v>
      </c>
      <c r="Z9" t="n">
        <v>-0.7</v>
      </c>
      <c r="AA9" t="n">
        <v>1.3</v>
      </c>
      <c r="AB9" t="n">
        <v>1.4</v>
      </c>
      <c r="AC9" t="n">
        <v>2.3</v>
      </c>
      <c r="AD9" t="n">
        <v>2.7</v>
      </c>
      <c r="AE9" t="n">
        <v>-0.2</v>
      </c>
      <c r="AF9" t="n">
        <v>3.6</v>
      </c>
    </row>
    <row r="10">
      <c r="A10" t="s">
        <v>55</v>
      </c>
      <c r="B10" t="s">
        <v>290</v>
      </c>
      <c r="C10" t="s">
        <v>217</v>
      </c>
      <c r="D10" t="s">
        <v>291</v>
      </c>
      <c r="E10" t="s">
        <v>218</v>
      </c>
      <c r="F10" t="n">
        <v>0.955795990353813</v>
      </c>
      <c r="G10" t="n">
        <v>1.04268653493143</v>
      </c>
      <c r="H10" t="n">
        <v>2.17226361444048</v>
      </c>
      <c r="I10" t="n">
        <v>1.57982808322944</v>
      </c>
      <c r="J10" t="n">
        <v>2.04448340182634</v>
      </c>
      <c r="K10" t="n">
        <v>2.04448340182634</v>
      </c>
      <c r="L10" t="n">
        <v>5.3334349612861</v>
      </c>
      <c r="M10" t="n">
        <v>4.62231029978129</v>
      </c>
      <c r="N10" t="n">
        <v>1.86670223645014</v>
      </c>
      <c r="O10" t="n">
        <v>5.34555640437993</v>
      </c>
      <c r="P10" t="n">
        <v>1.96003734827264</v>
      </c>
      <c r="Q10" t="n">
        <v>1.86203548085901</v>
      </c>
      <c r="R10" t="n">
        <v>3.92007469654528</v>
      </c>
      <c r="S10" t="n">
        <v>6.02352941176471</v>
      </c>
      <c r="T10" t="n">
        <v>2.35294117647059</v>
      </c>
      <c r="U10" t="n">
        <v>2.44705882352941</v>
      </c>
      <c r="V10" t="n">
        <v>3.48235294117647</v>
      </c>
      <c r="W10" t="n">
        <v>1.6</v>
      </c>
      <c r="X10" t="n">
        <v>3.2</v>
      </c>
      <c r="Y10" t="n">
        <v>1.7</v>
      </c>
      <c r="Z10" t="n">
        <v>0.4</v>
      </c>
      <c r="AA10" t="n">
        <v>1.9</v>
      </c>
      <c r="AB10" t="n">
        <v>2</v>
      </c>
      <c r="AC10" t="n">
        <v>1</v>
      </c>
      <c r="AD10" t="n">
        <v>3.4</v>
      </c>
      <c r="AE10" t="n">
        <v>-0.5</v>
      </c>
      <c r="AF10" t="n">
        <v>3.1</v>
      </c>
    </row>
    <row r="11">
      <c r="A11" t="s">
        <v>55</v>
      </c>
      <c r="B11" t="s">
        <v>292</v>
      </c>
      <c r="C11" t="s">
        <v>217</v>
      </c>
      <c r="D11" t="s">
        <v>293</v>
      </c>
      <c r="E11" t="s">
        <v>218</v>
      </c>
      <c r="F11" t="e">
        <v>#NUM!</v>
      </c>
      <c r="G11" t="e">
        <v>#NUM!</v>
      </c>
      <c r="H11" t="e">
        <v>#NUM!</v>
      </c>
      <c r="I11" t="e">
        <v>#NUM!</v>
      </c>
      <c r="J11" t="e">
        <v>#NUM!</v>
      </c>
      <c r="K11" t="e">
        <v>#NUM!</v>
      </c>
      <c r="L11" t="e">
        <v>#NUM!</v>
      </c>
      <c r="M11" t="e">
        <v>#NUM!</v>
      </c>
      <c r="N11" t="e">
        <v>#NUM!</v>
      </c>
      <c r="O11" t="e">
        <v>#NUM!</v>
      </c>
      <c r="P11" t="n">
        <v>0</v>
      </c>
      <c r="Q11" t="n">
        <v>0.0916666666666667</v>
      </c>
      <c r="R11" t="n">
        <v>0.183333333333333</v>
      </c>
      <c r="S11" t="n">
        <v>0.916666666666667</v>
      </c>
      <c r="T11" t="n">
        <v>0.0916666666666667</v>
      </c>
      <c r="U11" t="n">
        <v>0.275</v>
      </c>
      <c r="V11" t="n">
        <v>1.1</v>
      </c>
      <c r="W11" t="n">
        <v>1.1</v>
      </c>
      <c r="X11" t="n">
        <v>1.3</v>
      </c>
      <c r="Y11" t="n">
        <v>0.5</v>
      </c>
      <c r="Z11" t="n">
        <v>1.1</v>
      </c>
      <c r="AA11" t="n">
        <v>0.6</v>
      </c>
      <c r="AB11" t="n">
        <v>0.6</v>
      </c>
      <c r="AC11" t="n">
        <v>-1.3</v>
      </c>
      <c r="AD11" t="n">
        <v>0.7</v>
      </c>
      <c r="AE11" t="n">
        <v>-0.3</v>
      </c>
      <c r="AF11" t="n">
        <v>-0.5</v>
      </c>
    </row>
    <row r="12">
      <c r="A12" t="s">
        <v>55</v>
      </c>
      <c r="B12" t="s">
        <v>294</v>
      </c>
      <c r="C12" t="s">
        <v>217</v>
      </c>
      <c r="D12" t="s">
        <v>295</v>
      </c>
      <c r="E12" t="s">
        <v>218</v>
      </c>
      <c r="F12" t="n">
        <v>88.4607673947993</v>
      </c>
      <c r="G12" t="n">
        <v>104.477924094686</v>
      </c>
      <c r="H12" t="n">
        <v>199.241778095504</v>
      </c>
      <c r="I12" t="n">
        <v>146.573816506704</v>
      </c>
      <c r="J12" t="n">
        <v>191.036357127325</v>
      </c>
      <c r="K12" t="n">
        <v>193.05509505025</v>
      </c>
      <c r="L12" t="n">
        <v>40.3755010615845</v>
      </c>
      <c r="M12" t="n">
        <v>19.4052795799863</v>
      </c>
      <c r="N12" t="n">
        <v>9.07666302934845</v>
      </c>
      <c r="O12" t="n">
        <v>10.4885883894693</v>
      </c>
      <c r="P12" t="n">
        <v>10.1707523776672</v>
      </c>
      <c r="Q12" t="n">
        <v>13.188448138074</v>
      </c>
      <c r="R12" t="n">
        <v>29.8125424297639</v>
      </c>
      <c r="S12" t="n">
        <v>9.4316043323253</v>
      </c>
      <c r="T12" t="n">
        <v>5.93449261359794</v>
      </c>
      <c r="U12" t="n">
        <v>3.01930325954983</v>
      </c>
      <c r="V12" t="n">
        <v>2.21415572366987</v>
      </c>
      <c r="W12" t="n">
        <v>-13.5868646679742</v>
      </c>
      <c r="X12" t="n">
        <v>-11.2372564923095</v>
      </c>
      <c r="Y12" t="n">
        <v>4.39274571972099</v>
      </c>
      <c r="Z12" t="n">
        <v>2.89521876981611</v>
      </c>
      <c r="AA12" t="n">
        <v>-1.89686746987952</v>
      </c>
      <c r="AB12" t="n">
        <v>-1.99670259987318</v>
      </c>
      <c r="AC12" t="n">
        <v>9.38450221940393</v>
      </c>
      <c r="AD12" t="n">
        <v>9.48433734939759</v>
      </c>
      <c r="AE12" t="n">
        <v>8.2</v>
      </c>
      <c r="AF12" t="n">
        <v>2.3</v>
      </c>
    </row>
    <row r="13">
      <c r="A13" t="s">
        <v>55</v>
      </c>
      <c r="B13" t="s">
        <v>296</v>
      </c>
      <c r="C13" t="s">
        <v>217</v>
      </c>
      <c r="D13" t="s">
        <v>297</v>
      </c>
      <c r="E13" t="s">
        <v>218</v>
      </c>
      <c r="F13" t="n">
        <v>2.88966400657024</v>
      </c>
      <c r="G13" t="n">
        <v>3.38788193873752</v>
      </c>
      <c r="H13" t="n">
        <v>6.57647670460813</v>
      </c>
      <c r="I13" t="n">
        <v>4.85149920831748</v>
      </c>
      <c r="J13" t="n">
        <v>6.32804244563149</v>
      </c>
      <c r="K13" t="n">
        <v>6.43178084637955</v>
      </c>
      <c r="L13" t="n">
        <v>18.8869755012733</v>
      </c>
      <c r="M13" t="n">
        <v>16.1155171396734</v>
      </c>
      <c r="N13" t="n">
        <v>9.68970967258843</v>
      </c>
      <c r="O13" t="n">
        <v>6.22909907523542</v>
      </c>
      <c r="P13" t="n">
        <v>8.72073870532959</v>
      </c>
      <c r="Q13" t="n">
        <v>11.1189418492952</v>
      </c>
      <c r="R13" t="n">
        <v>12.5223034419247</v>
      </c>
      <c r="S13" t="n">
        <v>4.35096983999079</v>
      </c>
      <c r="T13" t="n">
        <v>7.85296995510533</v>
      </c>
      <c r="U13" t="n">
        <v>-0.523531330340355</v>
      </c>
      <c r="V13" t="n">
        <v>1.88471278922528</v>
      </c>
      <c r="W13" t="n">
        <v>-5.65413836767584</v>
      </c>
      <c r="X13" t="n">
        <v>-6.28237596408426</v>
      </c>
      <c r="Y13" t="n">
        <v>2.72236291776985</v>
      </c>
      <c r="Z13" t="n">
        <v>3.56001304631442</v>
      </c>
      <c r="AA13" t="n">
        <v>2.40824411956563</v>
      </c>
      <c r="AB13" t="n">
        <v>2.51295038563371</v>
      </c>
      <c r="AC13" t="n">
        <v>4.12123863243928</v>
      </c>
      <c r="AD13" t="n">
        <v>7.33781512605042</v>
      </c>
      <c r="AE13" t="n">
        <v>11.8</v>
      </c>
      <c r="AF13" t="n">
        <v>4.6</v>
      </c>
    </row>
    <row r="14">
      <c r="A14" t="s">
        <v>55</v>
      </c>
      <c r="B14" t="s">
        <v>298</v>
      </c>
      <c r="C14" t="s">
        <v>217</v>
      </c>
      <c r="D14" t="s">
        <v>299</v>
      </c>
      <c r="E14" t="s">
        <v>218</v>
      </c>
      <c r="F14" t="e">
        <v>#NUM!</v>
      </c>
      <c r="G14" t="e">
        <v>#NUM!</v>
      </c>
      <c r="H14" t="e">
        <v>#NUM!</v>
      </c>
      <c r="I14" t="e">
        <v>#NUM!</v>
      </c>
      <c r="J14" t="e">
        <v>#NUM!</v>
      </c>
      <c r="K14" t="e">
        <v>#NUM!</v>
      </c>
      <c r="L14" t="e">
        <v>#NUM!</v>
      </c>
      <c r="M14" t="e">
        <v>#NUM!</v>
      </c>
      <c r="N14" t="e">
        <v>#NUM!</v>
      </c>
      <c r="O14" t="e">
        <v>#NUM!</v>
      </c>
      <c r="P14" t="n">
        <v>0</v>
      </c>
      <c r="Q14" t="n">
        <v>0</v>
      </c>
      <c r="R14" t="n">
        <v>0</v>
      </c>
      <c r="S14" t="e">
        <v>#NUM!</v>
      </c>
      <c r="T14" t="e">
        <v>#NUM!</v>
      </c>
      <c r="U14" t="e">
        <v>#NUM!</v>
      </c>
      <c r="V14" t="e">
        <v>#NUM!</v>
      </c>
      <c r="W14" t="e">
        <v>#NUM!</v>
      </c>
      <c r="X14" t="e">
        <v>#NUM!</v>
      </c>
      <c r="Y14" t="e">
        <v>#NUM!</v>
      </c>
      <c r="Z14" t="n">
        <v>0</v>
      </c>
      <c r="AA14" t="e">
        <v>#NUM!</v>
      </c>
      <c r="AB14" t="e">
        <v>#NUM!</v>
      </c>
      <c r="AC14" t="n">
        <v>0</v>
      </c>
      <c r="AD14" t="n">
        <v>-2.8</v>
      </c>
      <c r="AE14" t="n">
        <v>-0.6</v>
      </c>
      <c r="AF14" t="n">
        <v>0</v>
      </c>
    </row>
    <row r="15">
      <c r="A15" t="s">
        <v>55</v>
      </c>
      <c r="B15" t="s">
        <v>300</v>
      </c>
      <c r="C15" t="s">
        <v>217</v>
      </c>
      <c r="D15" t="s">
        <v>301</v>
      </c>
      <c r="E15" t="s">
        <v>218</v>
      </c>
      <c r="F15" t="n">
        <v>0.48</v>
      </c>
      <c r="G15" t="n">
        <v>0.54</v>
      </c>
      <c r="H15" t="n">
        <v>0.96</v>
      </c>
      <c r="I15" t="n">
        <v>0.704</v>
      </c>
      <c r="J15" t="n">
        <v>0.96</v>
      </c>
      <c r="K15" t="n">
        <v>0.96</v>
      </c>
      <c r="L15" t="n">
        <v>2.4</v>
      </c>
      <c r="M15" t="n">
        <v>0.84</v>
      </c>
      <c r="N15" t="n">
        <v>0.42</v>
      </c>
      <c r="O15" t="n">
        <v>0.6</v>
      </c>
      <c r="P15" t="n">
        <v>0.3</v>
      </c>
      <c r="Q15" t="n">
        <v>1.5</v>
      </c>
      <c r="R15" t="n">
        <v>1.2</v>
      </c>
      <c r="S15" t="n">
        <v>1.6</v>
      </c>
      <c r="T15" t="n">
        <v>0.4</v>
      </c>
      <c r="U15" t="n">
        <v>2.8</v>
      </c>
      <c r="V15" t="n">
        <v>-0.9</v>
      </c>
      <c r="W15" t="n">
        <v>-1.5</v>
      </c>
      <c r="X15" t="n">
        <v>-1.7</v>
      </c>
      <c r="Y15" t="n">
        <v>1</v>
      </c>
      <c r="Z15" t="n">
        <v>-1.3</v>
      </c>
      <c r="AA15" t="n">
        <v>0.3</v>
      </c>
      <c r="AB15" t="n">
        <v>0.4</v>
      </c>
      <c r="AC15" t="n">
        <v>1.7</v>
      </c>
      <c r="AD15" t="n">
        <v>0.6</v>
      </c>
      <c r="AE15" t="n">
        <v>0.7</v>
      </c>
      <c r="AF15" t="n">
        <v>3.5</v>
      </c>
    </row>
    <row r="16">
      <c r="A16" t="s">
        <v>55</v>
      </c>
      <c r="B16" t="s">
        <v>302</v>
      </c>
      <c r="C16" t="s">
        <v>217</v>
      </c>
      <c r="D16" t="s">
        <v>303</v>
      </c>
      <c r="E16" t="s">
        <v>218</v>
      </c>
      <c r="F16" t="n">
        <v>0.385714285714286</v>
      </c>
      <c r="G16" t="n">
        <v>0.45</v>
      </c>
      <c r="H16" t="n">
        <v>0.835714285714286</v>
      </c>
      <c r="I16" t="n">
        <v>0.626785714285714</v>
      </c>
      <c r="J16" t="n">
        <v>0.835714285714286</v>
      </c>
      <c r="K16" t="n">
        <v>0.835714285714286</v>
      </c>
      <c r="L16" t="n">
        <v>1.99285714285714</v>
      </c>
      <c r="M16" t="n">
        <v>0.964285714285714</v>
      </c>
      <c r="N16" t="n">
        <v>0.321428571428571</v>
      </c>
      <c r="O16" t="n">
        <v>0.45</v>
      </c>
      <c r="P16" t="n">
        <v>0.3</v>
      </c>
      <c r="Q16" t="n">
        <v>1.5</v>
      </c>
      <c r="R16" t="n">
        <v>1.2</v>
      </c>
      <c r="S16" t="n">
        <v>1.5</v>
      </c>
      <c r="T16" t="n">
        <v>0.6</v>
      </c>
      <c r="U16" t="n">
        <v>1.4</v>
      </c>
      <c r="V16" t="n">
        <v>-0.7</v>
      </c>
      <c r="W16" t="n">
        <v>0.2</v>
      </c>
      <c r="X16" t="n">
        <v>-2</v>
      </c>
      <c r="Y16" t="n">
        <v>0.8</v>
      </c>
      <c r="Z16" t="n">
        <v>-1.3</v>
      </c>
      <c r="AA16" t="n">
        <v>-0.1</v>
      </c>
      <c r="AB16" t="n">
        <v>-0.1</v>
      </c>
      <c r="AC16" t="n">
        <v>1.7</v>
      </c>
      <c r="AD16" t="n">
        <v>3.4</v>
      </c>
      <c r="AE16" t="n">
        <v>1.3</v>
      </c>
      <c r="AF16" t="n">
        <v>3.5</v>
      </c>
    </row>
    <row r="17">
      <c r="A17" t="s">
        <v>55</v>
      </c>
      <c r="B17" t="s">
        <v>304</v>
      </c>
      <c r="C17" t="s">
        <v>217</v>
      </c>
      <c r="D17" t="s">
        <v>305</v>
      </c>
      <c r="E17" t="s">
        <v>218</v>
      </c>
      <c r="F17" t="n">
        <v>0.673391304347826</v>
      </c>
      <c r="G17" t="n">
        <v>0.785623188405797</v>
      </c>
      <c r="H17" t="n">
        <v>1.45901449275362</v>
      </c>
      <c r="I17" t="n">
        <v>1.09426086956522</v>
      </c>
      <c r="J17" t="n">
        <v>1.45901449275362</v>
      </c>
      <c r="K17" t="n">
        <v>1.45901449275362</v>
      </c>
      <c r="L17" t="n">
        <v>3.70365217391304</v>
      </c>
      <c r="M17" t="n">
        <v>1.68347826086957</v>
      </c>
      <c r="N17" t="n">
        <v>1.12231884057971</v>
      </c>
      <c r="O17" t="n">
        <v>1.5304347826087</v>
      </c>
      <c r="P17" t="n">
        <v>2.51428571428572</v>
      </c>
      <c r="Q17" t="n">
        <v>4.11428571428572</v>
      </c>
      <c r="R17" t="n">
        <v>1.71428571428571</v>
      </c>
      <c r="S17" t="n">
        <v>1.07142857142857</v>
      </c>
      <c r="T17" t="n">
        <v>3.53571428571429</v>
      </c>
      <c r="U17" t="n">
        <v>1.71428571428571</v>
      </c>
      <c r="V17" t="n">
        <v>0.535714285714286</v>
      </c>
      <c r="W17" t="n">
        <v>1.71428571428571</v>
      </c>
      <c r="X17" t="n">
        <v>9.85714285714286</v>
      </c>
      <c r="Y17" t="n">
        <v>2.57142857142857</v>
      </c>
      <c r="Z17" t="n">
        <v>2.35714285714286</v>
      </c>
      <c r="AA17" t="n">
        <v>1.39285714285714</v>
      </c>
      <c r="AB17" t="n">
        <v>1.5</v>
      </c>
      <c r="AC17" t="n">
        <v>1.5</v>
      </c>
      <c r="AD17" t="n">
        <v>1.3</v>
      </c>
      <c r="AE17" t="n">
        <v>0.5</v>
      </c>
      <c r="AF17" t="n">
        <v>1.1</v>
      </c>
    </row>
    <row r="18">
      <c r="A18" t="s">
        <v>55</v>
      </c>
      <c r="B18" t="s">
        <v>306</v>
      </c>
      <c r="C18" t="s">
        <v>217</v>
      </c>
      <c r="D18" t="s">
        <v>307</v>
      </c>
      <c r="E18" t="s">
        <v>218</v>
      </c>
      <c r="F18" t="n">
        <v>0.50792899408284</v>
      </c>
      <c r="G18" t="n">
        <v>0.63491124260355</v>
      </c>
      <c r="H18" t="n">
        <v>1.14284023668639</v>
      </c>
      <c r="I18" t="n">
        <v>0.76189349112426</v>
      </c>
      <c r="J18" t="n">
        <v>1.01585798816568</v>
      </c>
      <c r="K18" t="n">
        <v>1.01585798816568</v>
      </c>
      <c r="L18" t="n">
        <v>5.0792899408284</v>
      </c>
      <c r="M18" t="n">
        <v>1.5006993006993</v>
      </c>
      <c r="N18" t="n">
        <v>3.2322754168908</v>
      </c>
      <c r="O18" t="n">
        <v>4.34685314685315</v>
      </c>
      <c r="P18" t="n">
        <v>1.64475524475524</v>
      </c>
      <c r="Q18" t="n">
        <v>1.29230769230769</v>
      </c>
      <c r="R18" t="n">
        <v>1.4</v>
      </c>
      <c r="S18" t="n">
        <v>0.2</v>
      </c>
      <c r="T18" t="n">
        <v>-0.2</v>
      </c>
      <c r="U18" t="n">
        <v>-1.1</v>
      </c>
      <c r="V18" t="n">
        <v>-1.2</v>
      </c>
      <c r="W18" t="n">
        <v>0.2</v>
      </c>
      <c r="X18" t="n">
        <v>-0.9</v>
      </c>
      <c r="Y18" t="n">
        <v>0.1</v>
      </c>
      <c r="Z18" t="n">
        <v>0.2</v>
      </c>
      <c r="AA18" t="n">
        <v>0.2</v>
      </c>
      <c r="AB18" t="n">
        <v>0.2</v>
      </c>
      <c r="AC18" t="n">
        <v>-1</v>
      </c>
      <c r="AD18" t="n">
        <v>-1.7</v>
      </c>
      <c r="AE18" t="n">
        <v>1.3</v>
      </c>
      <c r="AF18" t="n">
        <v>0.7</v>
      </c>
    </row>
    <row r="19">
      <c r="A19" t="s">
        <v>55</v>
      </c>
      <c r="B19" t="s">
        <v>308</v>
      </c>
      <c r="C19" t="s">
        <v>217</v>
      </c>
      <c r="D19" t="s">
        <v>309</v>
      </c>
      <c r="E19" t="s">
        <v>218</v>
      </c>
      <c r="F19" t="n">
        <v>1.30201317325896</v>
      </c>
      <c r="G19" t="n">
        <v>1.51901536880212</v>
      </c>
      <c r="H19" t="n">
        <v>2.92952963983267</v>
      </c>
      <c r="I19" t="n">
        <v>2.10926134067952</v>
      </c>
      <c r="J19" t="n">
        <v>2.77534386931516</v>
      </c>
      <c r="K19" t="n">
        <v>2.77534386931516</v>
      </c>
      <c r="L19" t="n">
        <v>6.51138369339326</v>
      </c>
      <c r="M19" t="n">
        <v>2.02813590449954</v>
      </c>
      <c r="N19" t="n">
        <v>4.91022376878836</v>
      </c>
      <c r="O19" t="n">
        <v>4.50103845472266</v>
      </c>
      <c r="P19" t="n">
        <v>7.5017307578711</v>
      </c>
      <c r="Q19" t="n">
        <v>3.86452796617602</v>
      </c>
      <c r="R19" t="n">
        <v>3.64369779668025</v>
      </c>
      <c r="S19" t="n">
        <v>3.53653021442495</v>
      </c>
      <c r="T19" t="n">
        <v>3.95259259259259</v>
      </c>
      <c r="U19" t="n">
        <v>2.39235867446394</v>
      </c>
      <c r="V19" t="n">
        <v>-12.5858869395711</v>
      </c>
      <c r="W19" t="n">
        <v>1.0401559454191</v>
      </c>
      <c r="X19" t="n">
        <v>-5.61684210526316</v>
      </c>
      <c r="Y19" t="n">
        <v>2.49637426900585</v>
      </c>
      <c r="Z19" t="n">
        <v>-5.72085769980507</v>
      </c>
      <c r="AA19" t="n">
        <v>-4.47267056530214</v>
      </c>
      <c r="AB19" t="n">
        <v>-4.68070175438596</v>
      </c>
      <c r="AC19" t="n">
        <v>3.76491228070175</v>
      </c>
      <c r="AD19" t="n">
        <v>5.8</v>
      </c>
      <c r="AE19" t="n">
        <v>7.1</v>
      </c>
      <c r="AF19" t="n">
        <v>7</v>
      </c>
    </row>
    <row r="20">
      <c r="A20" t="s">
        <v>55</v>
      </c>
      <c r="B20" t="s">
        <v>310</v>
      </c>
      <c r="C20" t="s">
        <v>217</v>
      </c>
      <c r="D20" t="s">
        <v>311</v>
      </c>
      <c r="E20" t="s">
        <v>218</v>
      </c>
      <c r="F20" t="n">
        <v>1.88359266354585</v>
      </c>
      <c r="G20" t="n">
        <v>2.19752477413683</v>
      </c>
      <c r="H20" t="n">
        <v>4.18576147454634</v>
      </c>
      <c r="I20" t="n">
        <v>3.16760327803507</v>
      </c>
      <c r="J20" t="n">
        <v>4.04142487197578</v>
      </c>
      <c r="K20" t="n">
        <v>4.04142487197578</v>
      </c>
      <c r="L20" t="n">
        <v>2.27977813290941</v>
      </c>
      <c r="M20" t="n">
        <v>61.9882530424417</v>
      </c>
      <c r="N20" t="n">
        <v>1.95067929154537</v>
      </c>
      <c r="O20" t="n">
        <v>1.95067929154537</v>
      </c>
      <c r="P20" t="n">
        <v>10.1640657822627</v>
      </c>
      <c r="Q20" t="n">
        <v>3.6763642191163</v>
      </c>
      <c r="R20" t="n">
        <v>2.59508062525856</v>
      </c>
      <c r="S20" t="n">
        <v>7.577635425755</v>
      </c>
      <c r="T20" t="n">
        <v>8.1838462598154</v>
      </c>
      <c r="U20" t="n">
        <v>3.19369610139138</v>
      </c>
      <c r="V20" t="n">
        <v>3.29349910455986</v>
      </c>
      <c r="W20" t="n">
        <v>4.19172613307618</v>
      </c>
      <c r="X20" t="n">
        <v>0.102237222757956</v>
      </c>
      <c r="Y20" t="n">
        <v>5.72528447444552</v>
      </c>
      <c r="Z20" t="n">
        <v>6.32794599807136</v>
      </c>
      <c r="AA20" t="n">
        <v>3.81685631629701</v>
      </c>
      <c r="AB20" t="n">
        <v>4.01774349083896</v>
      </c>
      <c r="AC20" t="n">
        <v>7.23193828351013</v>
      </c>
      <c r="AD20" t="n">
        <v>6.12705882352941</v>
      </c>
      <c r="AE20" t="n">
        <v>8.4</v>
      </c>
      <c r="AF20" t="n">
        <v>11.6</v>
      </c>
    </row>
    <row r="21">
      <c r="A21" t="s">
        <v>55</v>
      </c>
      <c r="B21" t="s">
        <v>312</v>
      </c>
      <c r="C21" t="s">
        <v>217</v>
      </c>
      <c r="D21" t="s">
        <v>313</v>
      </c>
      <c r="E21" t="s">
        <v>218</v>
      </c>
      <c r="F21" t="n">
        <v>5.12673667399475</v>
      </c>
      <c r="G21" t="n">
        <v>6.0495492753138</v>
      </c>
      <c r="H21" t="n">
        <v>11.5864248832281</v>
      </c>
      <c r="I21" t="n">
        <v>8.6898186624211</v>
      </c>
      <c r="J21" t="n">
        <v>11.1881415278672</v>
      </c>
      <c r="K21" t="n">
        <v>11.293690032847</v>
      </c>
      <c r="L21" t="n">
        <v>28.493254670027</v>
      </c>
      <c r="M21" t="n">
        <v>80.0325241466933</v>
      </c>
      <c r="N21" t="n">
        <v>21.8650948322339</v>
      </c>
      <c r="O21" t="n">
        <v>25.104368140713</v>
      </c>
      <c r="P21" t="n">
        <v>29.6400312921863</v>
      </c>
      <c r="Q21" t="n">
        <v>18.8719300362235</v>
      </c>
      <c r="R21" t="n">
        <v>16.3336002652695</v>
      </c>
      <c r="S21" t="n">
        <v>28.5838004642216</v>
      </c>
      <c r="T21" t="n">
        <v>33.4356632736466</v>
      </c>
      <c r="U21" t="n">
        <v>18.3896148005056</v>
      </c>
      <c r="V21" t="n">
        <v>18.2868795222905</v>
      </c>
      <c r="W21" t="n">
        <v>26.9166428923602</v>
      </c>
      <c r="X21" t="n">
        <v>12.3754679964875</v>
      </c>
      <c r="Y21" t="n">
        <v>24.9554891829995</v>
      </c>
      <c r="Z21" t="n">
        <v>29.0298547638974</v>
      </c>
      <c r="AA21" t="n">
        <v>12.3249558822161</v>
      </c>
      <c r="AB21" t="n">
        <v>29.2335730429423</v>
      </c>
      <c r="AC21" t="n">
        <v>35.2818985001027</v>
      </c>
      <c r="AD21" t="n">
        <v>47.3440860215054</v>
      </c>
      <c r="AE21" t="n">
        <v>55.5</v>
      </c>
      <c r="AF21" t="n">
        <v>65.7</v>
      </c>
    </row>
    <row r="22">
      <c r="A22" t="s">
        <v>55</v>
      </c>
      <c r="B22" t="s">
        <v>314</v>
      </c>
      <c r="C22" t="s">
        <v>217</v>
      </c>
      <c r="D22" t="s">
        <v>315</v>
      </c>
      <c r="E22" t="s">
        <v>218</v>
      </c>
      <c r="F22" t="n">
        <v>3.23579260278458</v>
      </c>
      <c r="G22" t="n">
        <v>3.84250371580669</v>
      </c>
      <c r="H22" t="n">
        <v>7.38165187510232</v>
      </c>
      <c r="I22" t="n">
        <v>5.50869542918083</v>
      </c>
      <c r="J22" t="n">
        <v>7.1288999671752</v>
      </c>
      <c r="K22" t="n">
        <v>7.23373673139836</v>
      </c>
      <c r="L22" t="n">
        <v>26.1447913291969</v>
      </c>
      <c r="M22" t="n">
        <v>20.1033654443626</v>
      </c>
      <c r="N22" t="n">
        <v>19.8950404138511</v>
      </c>
      <c r="O22" t="n">
        <v>23.1267221054411</v>
      </c>
      <c r="P22" t="n">
        <v>19.2194676858003</v>
      </c>
      <c r="Q22" t="n">
        <v>15.1089456951956</v>
      </c>
      <c r="R22" t="n">
        <v>13.6752501182793</v>
      </c>
      <c r="S22" t="n">
        <v>20.7820730143929</v>
      </c>
      <c r="T22" t="n">
        <v>25.0233124050853</v>
      </c>
      <c r="U22" t="n">
        <v>15.1401554047575</v>
      </c>
      <c r="V22" t="n">
        <v>14.9341668958493</v>
      </c>
      <c r="W22" t="n">
        <v>22.6587359799092</v>
      </c>
      <c r="X22" t="n">
        <v>12.2563162800418</v>
      </c>
      <c r="Y22" t="n">
        <v>19.2015621720655</v>
      </c>
      <c r="Z22" t="n">
        <v>22.6741851180773</v>
      </c>
      <c r="AA22" t="n">
        <v>8.47728542702891</v>
      </c>
      <c r="AB22" t="n">
        <v>25.227584343086</v>
      </c>
      <c r="AC22" t="n">
        <v>28.0530737895117</v>
      </c>
      <c r="AD22" t="n">
        <v>41.2249471458774</v>
      </c>
      <c r="AE22" t="n">
        <v>47.1</v>
      </c>
      <c r="AF22" t="n">
        <v>54.1</v>
      </c>
    </row>
    <row r="23">
      <c r="A23" t="s">
        <v>55</v>
      </c>
      <c r="B23" t="s">
        <v>316</v>
      </c>
      <c r="C23" t="s">
        <v>217</v>
      </c>
      <c r="D23" t="s">
        <v>317</v>
      </c>
      <c r="E23" t="s">
        <v>218</v>
      </c>
      <c r="F23" t="n">
        <v>22.0428975291693</v>
      </c>
      <c r="G23" t="n">
        <v>26.0145907776683</v>
      </c>
      <c r="H23" t="n">
        <v>49.2804700769415</v>
      </c>
      <c r="I23" t="n">
        <v>37.2530551337571</v>
      </c>
      <c r="J23" t="n">
        <v>47.3186438467778</v>
      </c>
      <c r="K23" t="n">
        <v>48.2286177669081</v>
      </c>
      <c r="L23" t="n">
        <v>228.025693818183</v>
      </c>
      <c r="M23" t="n">
        <v>3.37374829844135</v>
      </c>
      <c r="N23" t="n">
        <v>124.531003368938</v>
      </c>
      <c r="O23" t="n">
        <v>92.5949837403129</v>
      </c>
      <c r="P23" t="n">
        <v>122.919080277392</v>
      </c>
      <c r="Q23" t="n">
        <v>131.668528699915</v>
      </c>
      <c r="R23" t="n">
        <v>190.797940144945</v>
      </c>
      <c r="S23" t="n">
        <v>128.095363286031</v>
      </c>
      <c r="T23" t="n">
        <v>64.7604539347504</v>
      </c>
      <c r="U23" t="n">
        <v>8.87682234619632</v>
      </c>
      <c r="V23" t="n">
        <v>19.6702313353214</v>
      </c>
      <c r="W23" t="n">
        <v>30.5192764532564</v>
      </c>
      <c r="X23" t="n">
        <v>43.525813733671</v>
      </c>
      <c r="Y23" t="n">
        <v>28.8128626124301</v>
      </c>
      <c r="Z23" t="n">
        <v>27.5954177133133</v>
      </c>
      <c r="AA23" t="n">
        <v>26.7837877805688</v>
      </c>
      <c r="AB23" t="n">
        <v>28.4070476460579</v>
      </c>
      <c r="AC23" t="n">
        <v>20.1049879466818</v>
      </c>
      <c r="AD23" t="n">
        <v>16.4040697674419</v>
      </c>
      <c r="AE23" t="n">
        <v>17.1</v>
      </c>
      <c r="AF23" t="n">
        <v>66.2</v>
      </c>
    </row>
    <row r="24">
      <c r="A24" t="s">
        <v>55</v>
      </c>
      <c r="B24" t="s">
        <v>318</v>
      </c>
      <c r="C24" t="s">
        <v>217</v>
      </c>
      <c r="D24" t="s">
        <v>319</v>
      </c>
      <c r="E24" t="s">
        <v>218</v>
      </c>
      <c r="F24" t="n">
        <v>38.3462760385888</v>
      </c>
      <c r="G24" t="n">
        <v>45.3091524771747</v>
      </c>
      <c r="H24" t="n">
        <v>86.3363410938692</v>
      </c>
      <c r="I24" t="n">
        <v>63.4572107039938</v>
      </c>
      <c r="J24" t="n">
        <v>82.6517058425573</v>
      </c>
      <c r="K24" t="n">
        <v>83.3668627534323</v>
      </c>
      <c r="L24" t="n">
        <v>459.814119803919</v>
      </c>
      <c r="M24" t="n">
        <v>185.551354761555</v>
      </c>
      <c r="N24" t="n">
        <v>291.895412374492</v>
      </c>
      <c r="O24" t="n">
        <v>249.460849763829</v>
      </c>
      <c r="P24" t="n">
        <v>384.082463280137</v>
      </c>
      <c r="Q24" t="n">
        <v>371.261908177601</v>
      </c>
      <c r="R24" t="n">
        <v>394.631000090802</v>
      </c>
      <c r="S24" t="n">
        <v>343.166395775628</v>
      </c>
      <c r="T24" t="n">
        <v>271.473683671537</v>
      </c>
      <c r="U24" t="n">
        <v>123.295983753951</v>
      </c>
      <c r="V24" t="n">
        <v>132.500195830743</v>
      </c>
      <c r="W24" t="n">
        <v>73.1384873010675</v>
      </c>
      <c r="X24" t="n">
        <v>121.658128946797</v>
      </c>
      <c r="Y24" t="n">
        <v>240.451306160616</v>
      </c>
      <c r="Z24" t="n">
        <v>348.053774666869</v>
      </c>
      <c r="AA24" t="n">
        <v>341.219189994337</v>
      </c>
      <c r="AB24" t="n">
        <v>363.088284531261</v>
      </c>
      <c r="AC24" t="n">
        <v>242.025255735579</v>
      </c>
      <c r="AD24" t="n">
        <v>254.377582065653</v>
      </c>
      <c r="AE24" t="n">
        <v>248.8</v>
      </c>
      <c r="AF24" t="n">
        <v>278.6</v>
      </c>
    </row>
    <row r="25">
      <c r="A25" t="s">
        <v>55</v>
      </c>
      <c r="B25" t="s">
        <v>320</v>
      </c>
      <c r="C25" t="s">
        <v>217</v>
      </c>
      <c r="D25" t="s">
        <v>321</v>
      </c>
      <c r="E25" t="s">
        <v>218</v>
      </c>
      <c r="F25" t="n">
        <v>9.74573136923908</v>
      </c>
      <c r="G25" t="n">
        <v>11.4537461452913</v>
      </c>
      <c r="H25" t="n">
        <v>21.8213611905981</v>
      </c>
      <c r="I25" t="n">
        <v>16.0451185224986</v>
      </c>
      <c r="J25" t="n">
        <v>20.9420053443001</v>
      </c>
      <c r="K25" t="n">
        <v>21.145325784536</v>
      </c>
      <c r="L25" t="n">
        <v>248.978765575663</v>
      </c>
      <c r="M25" t="n">
        <v>44.8601387413615</v>
      </c>
      <c r="N25" t="n">
        <v>70.9787084085542</v>
      </c>
      <c r="O25" t="n">
        <v>67.8842688049115</v>
      </c>
      <c r="P25" t="n">
        <v>99.0989102643128</v>
      </c>
      <c r="Q25" t="n">
        <v>109.211043964753</v>
      </c>
      <c r="R25" t="n">
        <v>128.923848232522</v>
      </c>
      <c r="S25" t="n">
        <v>119.427455888733</v>
      </c>
      <c r="T25" t="n">
        <v>85.5523768334112</v>
      </c>
      <c r="U25" t="n">
        <v>41.3637671010597</v>
      </c>
      <c r="V25" t="n">
        <v>18.6641388138928</v>
      </c>
      <c r="W25" t="n">
        <v>5.85145973624747</v>
      </c>
      <c r="X25" t="n">
        <v>27.3068121024882</v>
      </c>
      <c r="Y25" t="n">
        <v>43.6704448230803</v>
      </c>
      <c r="Z25" t="n">
        <v>68.203258814601</v>
      </c>
      <c r="AA25" t="n">
        <v>110.064540422365</v>
      </c>
      <c r="AB25" t="n">
        <v>117.224872977723</v>
      </c>
      <c r="AC25" t="n">
        <v>77.981778667625</v>
      </c>
      <c r="AD25" t="n">
        <v>45.5228682170543</v>
      </c>
      <c r="AE25" t="n">
        <v>51.4</v>
      </c>
      <c r="AF25" t="n">
        <v>80.9</v>
      </c>
    </row>
    <row r="26">
      <c r="A26" t="s">
        <v>55</v>
      </c>
      <c r="B26" t="s">
        <v>322</v>
      </c>
      <c r="C26" t="s">
        <v>217</v>
      </c>
      <c r="D26" t="s">
        <v>323</v>
      </c>
      <c r="E26" t="s">
        <v>218</v>
      </c>
      <c r="F26" t="n">
        <v>15.7106692002887</v>
      </c>
      <c r="G26" t="n">
        <v>18.6312423208552</v>
      </c>
      <c r="H26" t="n">
        <v>35.5687353398146</v>
      </c>
      <c r="I26" t="n">
        <v>26.1630211314137</v>
      </c>
      <c r="J26" t="n">
        <v>34.0434491830444</v>
      </c>
      <c r="K26" t="n">
        <v>34.3501469234322</v>
      </c>
      <c r="L26" t="n">
        <v>118.228412666697</v>
      </c>
      <c r="M26" t="n">
        <v>93.4175223279762</v>
      </c>
      <c r="N26" t="n">
        <v>170.096068015639</v>
      </c>
      <c r="O26" t="n">
        <v>128.301034160368</v>
      </c>
      <c r="P26" t="n">
        <v>168.22368374471</v>
      </c>
      <c r="Q26" t="n">
        <v>181.698689562786</v>
      </c>
      <c r="R26" t="n">
        <v>180.957926122519</v>
      </c>
      <c r="S26" t="n">
        <v>159.918717071619</v>
      </c>
      <c r="T26" t="n">
        <v>133.180552506996</v>
      </c>
      <c r="U26" t="n">
        <v>65.9830700870526</v>
      </c>
      <c r="V26" t="n">
        <v>54.1425498413699</v>
      </c>
      <c r="W26" t="n">
        <v>36.3992048559022</v>
      </c>
      <c r="X26" t="n">
        <v>42.858782055682</v>
      </c>
      <c r="Y26" t="n">
        <v>133.895335825508</v>
      </c>
      <c r="Z26" t="n">
        <v>199.316841095874</v>
      </c>
      <c r="AA26" t="n">
        <v>118.672533522045</v>
      </c>
      <c r="AB26" t="n">
        <v>126.229992627579</v>
      </c>
      <c r="AC26" t="n">
        <v>109.30530087863</v>
      </c>
      <c r="AD26" t="n">
        <v>124.762616154396</v>
      </c>
      <c r="AE26" t="n">
        <v>139.3</v>
      </c>
      <c r="AF26" t="n">
        <v>152</v>
      </c>
    </row>
    <row r="27">
      <c r="A27" t="s">
        <v>55</v>
      </c>
      <c r="B27" t="s">
        <v>324</v>
      </c>
      <c r="C27" t="s">
        <v>217</v>
      </c>
      <c r="D27" t="s">
        <v>325</v>
      </c>
      <c r="E27" t="s">
        <v>218</v>
      </c>
      <c r="F27" t="n">
        <v>12.8843949582318</v>
      </c>
      <c r="G27" t="n">
        <v>15.2177893207462</v>
      </c>
      <c r="H27" t="n">
        <v>28.9338231164188</v>
      </c>
      <c r="I27" t="n">
        <v>21.2398102277831</v>
      </c>
      <c r="J27" t="n">
        <v>27.653812326272</v>
      </c>
      <c r="K27" t="n">
        <v>27.8586553805407</v>
      </c>
      <c r="L27" t="n">
        <v>91.7638146764048</v>
      </c>
      <c r="M27" t="n">
        <v>47.2387654960682</v>
      </c>
      <c r="N27" t="n">
        <v>50.7490771571348</v>
      </c>
      <c r="O27" t="n">
        <v>53.1795885152351</v>
      </c>
      <c r="P27" t="n">
        <v>116.609441229018</v>
      </c>
      <c r="Q27" t="n">
        <v>80.1623106523952</v>
      </c>
      <c r="R27" t="n">
        <v>84.4982667694772</v>
      </c>
      <c r="S27" t="n">
        <v>63.5808036721312</v>
      </c>
      <c r="T27" t="n">
        <v>52.5764338058008</v>
      </c>
      <c r="U27" t="n">
        <v>15.8740386682898</v>
      </c>
      <c r="V27" t="n">
        <v>59.654030664274</v>
      </c>
      <c r="W27" t="n">
        <v>30.8904573049296</v>
      </c>
      <c r="X27" t="n">
        <v>51.5183042095504</v>
      </c>
      <c r="Y27" t="n">
        <v>62.887154641479</v>
      </c>
      <c r="Z27" t="n">
        <v>80.5200197192357</v>
      </c>
      <c r="AA27" t="n">
        <v>112.564742395839</v>
      </c>
      <c r="AB27" t="n">
        <v>119.721447180316</v>
      </c>
      <c r="AC27" t="n">
        <v>54.7672669072547</v>
      </c>
      <c r="AD27" t="n">
        <v>84.1104631217839</v>
      </c>
      <c r="AE27" t="n">
        <v>58.1</v>
      </c>
      <c r="AF27" t="n">
        <v>45.7</v>
      </c>
    </row>
    <row r="28">
      <c r="A28" t="s">
        <v>55</v>
      </c>
      <c r="B28" t="s">
        <v>326</v>
      </c>
      <c r="C28" t="s">
        <v>217</v>
      </c>
      <c r="D28" t="s">
        <v>327</v>
      </c>
      <c r="E28" t="s">
        <v>218</v>
      </c>
      <c r="F28" t="n">
        <v>599.180043526842</v>
      </c>
      <c r="G28" t="n">
        <v>594.971990158335</v>
      </c>
      <c r="H28" t="n">
        <v>768.611884281798</v>
      </c>
      <c r="I28" t="n">
        <v>1490.2379953403</v>
      </c>
      <c r="J28" t="n">
        <v>763.757327239443</v>
      </c>
      <c r="K28" t="n">
        <v>1154.47152484315</v>
      </c>
      <c r="L28" t="n">
        <v>1293.75151751836</v>
      </c>
      <c r="M28" t="n">
        <v>2196.58608273097</v>
      </c>
      <c r="N28" t="n">
        <v>1894.55950413914</v>
      </c>
      <c r="O28" t="n">
        <v>1083.72401236488</v>
      </c>
      <c r="P28" t="n">
        <v>1384.78254299984</v>
      </c>
      <c r="Q28" t="n">
        <v>2552.81178072352</v>
      </c>
      <c r="R28" t="n">
        <v>3396.3993986814</v>
      </c>
      <c r="S28" t="n">
        <v>2215.44082710744</v>
      </c>
      <c r="T28" t="n">
        <v>1056.60932823312</v>
      </c>
      <c r="U28" t="n">
        <v>1375.6131058007</v>
      </c>
      <c r="V28" t="n">
        <v>386.581829629849</v>
      </c>
      <c r="W28" t="n">
        <v>195.115370224819</v>
      </c>
      <c r="X28" t="n">
        <v>277.375848221991</v>
      </c>
      <c r="Y28" t="n">
        <v>290.286433157414</v>
      </c>
      <c r="Z28" t="n">
        <v>463.936339575923</v>
      </c>
      <c r="AA28" t="n">
        <v>340.420820597917</v>
      </c>
      <c r="AB28" t="n">
        <v>706.169673906398</v>
      </c>
      <c r="AC28" t="n">
        <v>831.134257896618</v>
      </c>
      <c r="AD28" t="n">
        <v>754.760291897333</v>
      </c>
      <c r="AE28" t="n">
        <v>390.6</v>
      </c>
      <c r="AF28" t="n">
        <v>660.7</v>
      </c>
    </row>
    <row r="29">
      <c r="A29" t="s">
        <v>55</v>
      </c>
      <c r="B29" t="s">
        <v>328</v>
      </c>
      <c r="C29" t="s">
        <v>217</v>
      </c>
      <c r="D29" t="s">
        <v>329</v>
      </c>
      <c r="E29" t="s">
        <v>218</v>
      </c>
      <c r="F29" t="n">
        <v>133.545281881844</v>
      </c>
      <c r="G29" t="n">
        <v>156.490116536128</v>
      </c>
      <c r="H29" t="n">
        <v>294.084495184971</v>
      </c>
      <c r="I29" t="n">
        <v>227.791254526915</v>
      </c>
      <c r="J29" t="n">
        <v>282.619695684191</v>
      </c>
      <c r="K29" t="n">
        <v>290.130469677317</v>
      </c>
      <c r="L29" t="n">
        <v>542.595245491008</v>
      </c>
      <c r="M29" t="n">
        <v>319.161297948763</v>
      </c>
      <c r="N29" t="n">
        <v>327.56027947373</v>
      </c>
      <c r="O29" t="n">
        <v>594.589787452315</v>
      </c>
      <c r="P29" t="n">
        <v>343.765519012269</v>
      </c>
      <c r="Q29" t="n">
        <v>375.607902023342</v>
      </c>
      <c r="R29" t="n">
        <v>417.342113359269</v>
      </c>
      <c r="S29" t="n">
        <v>271.692516750665</v>
      </c>
      <c r="T29" t="n">
        <v>292.851058349612</v>
      </c>
      <c r="U29" t="n">
        <v>458.434580111639</v>
      </c>
      <c r="V29" t="n">
        <v>161.667688130665</v>
      </c>
      <c r="W29" t="n">
        <v>102.70168857696</v>
      </c>
      <c r="X29" t="n">
        <v>207.362545911914</v>
      </c>
      <c r="Y29" t="n">
        <v>68.8813209440071</v>
      </c>
      <c r="Z29" t="n">
        <v>-36.1194518982607</v>
      </c>
      <c r="AA29" t="n">
        <v>-61.9190603970184</v>
      </c>
      <c r="AB29" t="n">
        <v>329.461840907262</v>
      </c>
      <c r="AC29" t="n">
        <v>352.15564646808</v>
      </c>
      <c r="AD29" t="n">
        <v>300.816101379053</v>
      </c>
      <c r="AE29" t="n">
        <v>264.1</v>
      </c>
      <c r="AF29" t="n">
        <v>436.7</v>
      </c>
    </row>
    <row r="30">
      <c r="A30" t="s">
        <v>55</v>
      </c>
      <c r="B30" t="s">
        <v>330</v>
      </c>
      <c r="C30" t="s">
        <v>217</v>
      </c>
      <c r="D30" t="s">
        <v>331</v>
      </c>
      <c r="E30" t="s">
        <v>218</v>
      </c>
      <c r="F30" t="n">
        <v>499.025805589386</v>
      </c>
      <c r="G30" t="n">
        <v>464.469779557261</v>
      </c>
      <c r="H30" t="n">
        <v>479.769037498759</v>
      </c>
      <c r="I30" t="n">
        <v>1330.01024195732</v>
      </c>
      <c r="J30" t="n">
        <v>480.643470724633</v>
      </c>
      <c r="K30" t="n">
        <v>891.177672992257</v>
      </c>
      <c r="L30" t="n">
        <v>664.828334651823</v>
      </c>
      <c r="M30" t="n">
        <v>1724.42304664122</v>
      </c>
      <c r="N30" t="n">
        <v>1607.98793058977</v>
      </c>
      <c r="O30" t="n">
        <v>465.43513688823</v>
      </c>
      <c r="P30" t="n">
        <v>701.698877803874</v>
      </c>
      <c r="Q30" t="n">
        <v>2180.80132651638</v>
      </c>
      <c r="R30" t="n">
        <v>2965.2472992121</v>
      </c>
      <c r="S30" t="n">
        <v>1914.05421651644</v>
      </c>
      <c r="T30" t="n">
        <v>670.294239074986</v>
      </c>
      <c r="U30" t="n">
        <v>901.968549313347</v>
      </c>
      <c r="V30" t="n">
        <v>199.703459087406</v>
      </c>
      <c r="W30" t="n">
        <v>76.6363299819324</v>
      </c>
      <c r="X30" t="n">
        <v>12.7558488477193</v>
      </c>
      <c r="Y30" t="n">
        <v>171.852420302738</v>
      </c>
      <c r="Z30" t="n">
        <v>337.599425556863</v>
      </c>
      <c r="AA30" t="n">
        <v>112.799808065208</v>
      </c>
      <c r="AB30" t="n">
        <v>76.631933379995</v>
      </c>
      <c r="AC30" t="n">
        <v>160.74745400413</v>
      </c>
      <c r="AD30" t="n">
        <v>393.405668016194</v>
      </c>
      <c r="AE30" t="n">
        <v>96.4</v>
      </c>
      <c r="AF30" t="n">
        <v>68.9</v>
      </c>
    </row>
    <row r="31">
      <c r="A31" t="s">
        <v>55</v>
      </c>
      <c r="B31" t="s">
        <v>332</v>
      </c>
      <c r="C31" t="s">
        <v>217</v>
      </c>
      <c r="D31" t="s">
        <v>333</v>
      </c>
      <c r="E31" t="s">
        <v>218</v>
      </c>
      <c r="F31" t="n">
        <v>5.23027470292796</v>
      </c>
      <c r="G31" t="n">
        <v>5.91248444678813</v>
      </c>
      <c r="H31" t="n">
        <v>10.4605494058559</v>
      </c>
      <c r="I31" t="n">
        <v>10.0956465196051</v>
      </c>
      <c r="J31" t="n">
        <v>10.2158327876957</v>
      </c>
      <c r="K31" t="n">
        <v>11.272643076078</v>
      </c>
      <c r="L31" t="n">
        <v>90.0672795270474</v>
      </c>
      <c r="M31" t="n">
        <v>222.635744747787</v>
      </c>
      <c r="N31" t="n">
        <v>12.4174921799111</v>
      </c>
      <c r="O31" t="n">
        <v>1.27358894152935</v>
      </c>
      <c r="P31" t="n">
        <v>315.107130616719</v>
      </c>
      <c r="Q31" t="n">
        <v>4.85104685688389</v>
      </c>
      <c r="R31" t="n">
        <v>14.3467130448268</v>
      </c>
      <c r="S31" t="n">
        <v>11.7198500929571</v>
      </c>
      <c r="T31" t="n">
        <v>16.0271454262662</v>
      </c>
      <c r="U31" t="n">
        <v>-13.8371007096335</v>
      </c>
      <c r="V31" t="n">
        <v>-4.08144697190629</v>
      </c>
      <c r="W31" t="n">
        <v>4.47963692038495</v>
      </c>
      <c r="X31" t="n">
        <v>5.19230643044619</v>
      </c>
      <c r="Y31" t="n">
        <v>0.712669510061242</v>
      </c>
      <c r="Z31" t="n">
        <v>29.8303094925634</v>
      </c>
      <c r="AA31" t="n">
        <v>24.332573272091</v>
      </c>
      <c r="AB31" t="n">
        <v>25.8597222222222</v>
      </c>
      <c r="AC31" t="n">
        <v>43.3</v>
      </c>
      <c r="AD31" t="n">
        <v>3.9</v>
      </c>
      <c r="AE31" t="n">
        <v>-0.1</v>
      </c>
      <c r="AF31" t="n">
        <v>2</v>
      </c>
    </row>
    <row r="32">
      <c r="A32" t="s">
        <v>55</v>
      </c>
      <c r="B32" t="s">
        <v>334</v>
      </c>
      <c r="C32" t="s">
        <v>217</v>
      </c>
      <c r="D32" t="s">
        <v>335</v>
      </c>
      <c r="E32" t="s">
        <v>218</v>
      </c>
      <c r="F32" t="n">
        <v>1.74167946413957</v>
      </c>
      <c r="G32" t="n">
        <v>2.12871934505947</v>
      </c>
      <c r="H32" t="n">
        <v>4.06391874965899</v>
      </c>
      <c r="I32" t="n">
        <v>2.99446644711715</v>
      </c>
      <c r="J32" t="n">
        <v>3.92378362036041</v>
      </c>
      <c r="K32" t="n">
        <v>3.92378362036041</v>
      </c>
      <c r="L32" t="n">
        <v>12.4580129946443</v>
      </c>
      <c r="M32" t="n">
        <v>2.57070109413295</v>
      </c>
      <c r="N32" t="n">
        <v>7.81097640140396</v>
      </c>
      <c r="O32" t="n">
        <v>18.9970660626738</v>
      </c>
      <c r="P32" t="n">
        <v>16.2831994822919</v>
      </c>
      <c r="Q32" t="n">
        <v>16.6004046670118</v>
      </c>
      <c r="R32" t="n">
        <v>23.7448826249663</v>
      </c>
      <c r="S32" t="n">
        <v>33.0989272954075</v>
      </c>
      <c r="T32" t="n">
        <v>77.6357102005431</v>
      </c>
      <c r="U32" t="n">
        <v>39.4706780191636</v>
      </c>
      <c r="V32" t="n">
        <v>32.038540173316</v>
      </c>
      <c r="W32" t="n">
        <v>12.2529840161271</v>
      </c>
      <c r="X32" t="n">
        <v>55.3426444728408</v>
      </c>
      <c r="Y32" t="n">
        <v>49.1369435301141</v>
      </c>
      <c r="Z32" t="n">
        <v>129.579692319621</v>
      </c>
      <c r="AA32" t="n">
        <v>264.943286332443</v>
      </c>
      <c r="AB32" t="n">
        <v>275.402910131692</v>
      </c>
      <c r="AC32" t="n">
        <v>277.210806697108</v>
      </c>
      <c r="AD32" t="n">
        <v>52.2397260273973</v>
      </c>
      <c r="AE32" t="n">
        <v>29</v>
      </c>
      <c r="AF32" t="n">
        <v>150.4</v>
      </c>
    </row>
    <row r="33">
      <c r="A33" t="s">
        <v>55</v>
      </c>
      <c r="B33" t="s">
        <v>336</v>
      </c>
      <c r="C33" t="s">
        <v>217</v>
      </c>
      <c r="D33" t="s">
        <v>337</v>
      </c>
      <c r="E33" t="s">
        <v>218</v>
      </c>
      <c r="F33" t="n">
        <v>0.0925258052481034</v>
      </c>
      <c r="G33" t="n">
        <v>0.0925258052481034</v>
      </c>
      <c r="H33" t="n">
        <v>0.185051610496207</v>
      </c>
      <c r="I33" t="n">
        <v>0.0925258052481034</v>
      </c>
      <c r="J33" t="n">
        <v>0.185051610496207</v>
      </c>
      <c r="K33" t="n">
        <v>0.185051610496207</v>
      </c>
      <c r="L33" t="n">
        <v>2.40567093645069</v>
      </c>
      <c r="M33" t="n">
        <v>1.34717572441239</v>
      </c>
      <c r="N33" t="n">
        <v>1.0584952120383</v>
      </c>
      <c r="O33" t="n">
        <v>1.32311901504788</v>
      </c>
      <c r="P33" t="n">
        <v>8.12773109243697</v>
      </c>
      <c r="Q33" t="n">
        <v>1.80616246498599</v>
      </c>
      <c r="R33" t="n">
        <v>10.2349206349206</v>
      </c>
      <c r="S33" t="n">
        <v>6.2</v>
      </c>
      <c r="T33" t="n">
        <v>5.715625</v>
      </c>
      <c r="U33" t="n">
        <v>1.9375</v>
      </c>
      <c r="V33" t="n">
        <v>0.775</v>
      </c>
      <c r="W33" t="n">
        <v>0.871875</v>
      </c>
      <c r="X33" t="n">
        <v>0.775</v>
      </c>
      <c r="Y33" t="n">
        <v>0.58125</v>
      </c>
      <c r="Z33" t="n">
        <v>3.1</v>
      </c>
      <c r="AA33" t="n">
        <v>2.4</v>
      </c>
      <c r="AB33" t="n">
        <v>2.6</v>
      </c>
      <c r="AC33" t="n">
        <v>1.7</v>
      </c>
      <c r="AD33" t="n">
        <v>2.6</v>
      </c>
      <c r="AE33" t="n">
        <v>1.2</v>
      </c>
      <c r="AF33" t="n">
        <v>2.7</v>
      </c>
    </row>
    <row r="34">
      <c r="A34" t="s">
        <v>55</v>
      </c>
      <c r="B34" t="s">
        <v>338</v>
      </c>
      <c r="C34" t="s">
        <v>217</v>
      </c>
      <c r="D34" t="s">
        <v>339</v>
      </c>
      <c r="E34" t="s">
        <v>218</v>
      </c>
      <c r="F34" t="n">
        <v>9.28692208571339</v>
      </c>
      <c r="G34" t="n">
        <v>10.9197875073773</v>
      </c>
      <c r="H34" t="n">
        <v>20.7375781103403</v>
      </c>
      <c r="I34" t="n">
        <v>15.3088927411413</v>
      </c>
      <c r="J34" t="n">
        <v>19.8487712781694</v>
      </c>
      <c r="K34" t="n">
        <v>20.054458027166</v>
      </c>
      <c r="L34" t="n">
        <v>51.4396848396807</v>
      </c>
      <c r="M34" t="n">
        <v>16.6749469519594</v>
      </c>
      <c r="N34" t="n">
        <v>10.3081490248476</v>
      </c>
      <c r="O34" t="n">
        <v>19.2418781797155</v>
      </c>
      <c r="P34" t="n">
        <v>20.8882420881404</v>
      </c>
      <c r="Q34" t="n">
        <v>19.9141789855846</v>
      </c>
      <c r="R34" t="n">
        <v>25.481583863275</v>
      </c>
      <c r="S34" t="n">
        <v>36.5970072768846</v>
      </c>
      <c r="T34" t="n">
        <v>50.1018184128617</v>
      </c>
      <c r="U34" t="n">
        <v>44.8871393535639</v>
      </c>
      <c r="V34" t="n">
        <v>43.9669018725113</v>
      </c>
      <c r="W34" t="n">
        <v>29.9261896195182</v>
      </c>
      <c r="X34" t="n">
        <v>49.0830930091752</v>
      </c>
      <c r="Y34" t="n">
        <v>95.4795325062692</v>
      </c>
      <c r="Z34" t="n">
        <v>32.0663230806846</v>
      </c>
      <c r="AA34" t="n">
        <v>26.4136058709485</v>
      </c>
      <c r="AB34" t="n">
        <v>28.1676343858162</v>
      </c>
      <c r="AC34" t="n">
        <v>11.897520661157</v>
      </c>
      <c r="AD34" t="n">
        <v>12.2</v>
      </c>
      <c r="AE34" t="n">
        <v>12.1</v>
      </c>
      <c r="AF34" t="n">
        <v>14.3</v>
      </c>
    </row>
    <row r="35">
      <c r="A35" t="s">
        <v>55</v>
      </c>
      <c r="B35" t="s">
        <v>340</v>
      </c>
      <c r="C35" t="s">
        <v>217</v>
      </c>
      <c r="D35" t="s">
        <v>341</v>
      </c>
      <c r="E35" t="s">
        <v>218</v>
      </c>
      <c r="F35" t="n">
        <v>6.30346399584905</v>
      </c>
      <c r="G35" t="n">
        <v>7.40406882052111</v>
      </c>
      <c r="H35" t="n">
        <v>14.1170912177936</v>
      </c>
      <c r="I35" t="n">
        <v>10.5878184133452</v>
      </c>
      <c r="J35" t="n">
        <v>13.7327149717645</v>
      </c>
      <c r="K35" t="n">
        <v>13.835197919315</v>
      </c>
      <c r="L35" t="n">
        <v>46.9799526468827</v>
      </c>
      <c r="M35" t="n">
        <v>81.6651517287301</v>
      </c>
      <c r="N35" t="n">
        <v>41.9820853440228</v>
      </c>
      <c r="O35" t="n">
        <v>37.7061322071316</v>
      </c>
      <c r="P35" t="n">
        <v>18.3462632513194</v>
      </c>
      <c r="Q35" t="n">
        <v>6.93318087985908</v>
      </c>
      <c r="R35" t="n">
        <v>9.03414478284668</v>
      </c>
      <c r="S35" t="n">
        <v>11.318641164716</v>
      </c>
      <c r="T35" t="n">
        <v>10.5028832429346</v>
      </c>
      <c r="U35" t="n">
        <v>7.64773051669997</v>
      </c>
      <c r="V35" t="n">
        <v>4.58863831001998</v>
      </c>
      <c r="W35" t="n">
        <v>2.85515272623466</v>
      </c>
      <c r="X35" t="n">
        <v>3.05909220667999</v>
      </c>
      <c r="Y35" t="n">
        <v>9.48318584070796</v>
      </c>
      <c r="Z35" t="n">
        <v>13.6194690265487</v>
      </c>
      <c r="AA35" t="n">
        <v>10.7946902654867</v>
      </c>
      <c r="AB35" t="n">
        <v>11.4</v>
      </c>
      <c r="AC35" t="n">
        <v>7.6</v>
      </c>
      <c r="AD35" t="n">
        <v>7</v>
      </c>
      <c r="AE35" t="n">
        <v>10.7</v>
      </c>
      <c r="AF35" t="n">
        <v>28.3</v>
      </c>
    </row>
    <row r="36">
      <c r="A36" t="s">
        <v>55</v>
      </c>
      <c r="B36" t="s">
        <v>342</v>
      </c>
      <c r="C36" t="s">
        <v>217</v>
      </c>
      <c r="D36" t="s">
        <v>343</v>
      </c>
      <c r="E36" t="s">
        <v>218</v>
      </c>
      <c r="F36" t="n">
        <v>4.21174974501239</v>
      </c>
      <c r="G36" t="n">
        <v>4.93082896977061</v>
      </c>
      <c r="H36" t="n">
        <v>9.35851212629932</v>
      </c>
      <c r="I36" t="n">
        <v>6.96447414050182</v>
      </c>
      <c r="J36" t="n">
        <v>8.96939851428264</v>
      </c>
      <c r="K36" t="n">
        <v>9.07249504892957</v>
      </c>
      <c r="L36" t="n">
        <v>14.011964575569</v>
      </c>
      <c r="M36" t="n">
        <v>32.2884401089199</v>
      </c>
      <c r="N36" t="n">
        <v>24.9778498955795</v>
      </c>
      <c r="O36" t="n">
        <v>16.6848088235294</v>
      </c>
      <c r="P36" t="n">
        <v>2.57481617647059</v>
      </c>
      <c r="Q36" t="n">
        <v>3.00395220588235</v>
      </c>
      <c r="R36" t="n">
        <v>4.97205882352941</v>
      </c>
      <c r="S36" t="n">
        <v>6.9</v>
      </c>
      <c r="T36" t="n">
        <v>5.7</v>
      </c>
      <c r="U36" t="n">
        <v>1.9</v>
      </c>
      <c r="V36" t="n">
        <v>1.2</v>
      </c>
      <c r="W36" t="n">
        <v>0.7</v>
      </c>
      <c r="X36" t="n">
        <v>0.9</v>
      </c>
      <c r="Y36" t="n">
        <v>3.3</v>
      </c>
      <c r="Z36" t="n">
        <v>1.5</v>
      </c>
      <c r="AA36" t="n">
        <v>1.1</v>
      </c>
      <c r="AB36" t="n">
        <v>1.1</v>
      </c>
      <c r="AC36" t="n">
        <v>1.5</v>
      </c>
      <c r="AD36" t="n">
        <v>2.6</v>
      </c>
      <c r="AE36" t="n">
        <v>4.2</v>
      </c>
      <c r="AF36" t="n">
        <v>5.1</v>
      </c>
    </row>
    <row r="37">
      <c r="A37" t="s">
        <v>55</v>
      </c>
      <c r="B37" t="s">
        <v>344</v>
      </c>
      <c r="C37" t="s">
        <v>217</v>
      </c>
      <c r="D37" t="s">
        <v>345</v>
      </c>
      <c r="E37" t="s">
        <v>218</v>
      </c>
      <c r="F37" t="n">
        <v>0.817353386129544</v>
      </c>
      <c r="G37" t="n">
        <v>0.919522559395736</v>
      </c>
      <c r="H37" t="n">
        <v>1.73687594552528</v>
      </c>
      <c r="I37" t="n">
        <v>1.30265695914396</v>
      </c>
      <c r="J37" t="n">
        <v>1.73687594552528</v>
      </c>
      <c r="K37" t="n">
        <v>1.73687594552528</v>
      </c>
      <c r="L37" t="n">
        <v>25.440124143282</v>
      </c>
      <c r="M37" t="n">
        <v>14.4639415492047</v>
      </c>
      <c r="N37" t="n">
        <v>11.2839260312945</v>
      </c>
      <c r="O37" t="n">
        <v>14.7789473684211</v>
      </c>
      <c r="P37" t="n">
        <v>14.7789473684211</v>
      </c>
      <c r="Q37" t="n">
        <v>2.29894736842105</v>
      </c>
      <c r="R37" t="n">
        <v>2.08</v>
      </c>
      <c r="S37" t="n">
        <v>2.6</v>
      </c>
      <c r="T37" t="n">
        <v>2.2</v>
      </c>
      <c r="U37" t="n">
        <v>2.3</v>
      </c>
      <c r="V37" t="n">
        <v>1.2</v>
      </c>
      <c r="W37" t="n">
        <v>1</v>
      </c>
      <c r="X37" t="n">
        <v>1.1</v>
      </c>
      <c r="Y37" t="n">
        <v>1.4</v>
      </c>
      <c r="Z37" t="n">
        <v>7.3</v>
      </c>
      <c r="AA37" t="n">
        <v>3.1</v>
      </c>
      <c r="AB37" t="n">
        <v>3.3</v>
      </c>
      <c r="AC37" t="n">
        <v>3.3</v>
      </c>
      <c r="AD37" t="n">
        <v>1.5</v>
      </c>
      <c r="AE37" t="n">
        <v>1.5</v>
      </c>
      <c r="AF37" t="n">
        <v>12.7</v>
      </c>
    </row>
    <row r="38">
      <c r="A38" t="s">
        <v>55</v>
      </c>
      <c r="B38" t="s">
        <v>346</v>
      </c>
      <c r="C38" t="s">
        <v>217</v>
      </c>
      <c r="D38" t="s">
        <v>347</v>
      </c>
      <c r="E38" t="s">
        <v>218</v>
      </c>
      <c r="F38" t="n">
        <v>1.23680002721644</v>
      </c>
      <c r="G38" t="n">
        <v>1.5018286044771</v>
      </c>
      <c r="H38" t="n">
        <v>2.91531434986732</v>
      </c>
      <c r="I38" t="n">
        <v>2.1378971899027</v>
      </c>
      <c r="J38" t="n">
        <v>2.788561552047</v>
      </c>
      <c r="K38" t="n">
        <v>2.788561552047</v>
      </c>
      <c r="L38" t="n">
        <v>7.31997407412338</v>
      </c>
      <c r="M38" t="n">
        <v>31.1970323635258</v>
      </c>
      <c r="N38" t="n">
        <v>5.57712310409401</v>
      </c>
      <c r="O38" t="n">
        <v>5.99963243016173</v>
      </c>
      <c r="P38" t="n">
        <v>1.23521844150389</v>
      </c>
      <c r="Q38" t="n">
        <v>1.52026885108171</v>
      </c>
      <c r="R38" t="n">
        <v>1.80531926065953</v>
      </c>
      <c r="S38" t="n">
        <v>1.52026885108171</v>
      </c>
      <c r="T38" t="n">
        <v>2.28040327662256</v>
      </c>
      <c r="U38" t="n">
        <v>3.13555450535602</v>
      </c>
      <c r="V38" t="n">
        <v>1.99535286704474</v>
      </c>
      <c r="W38" t="n">
        <v>1.14020163831128</v>
      </c>
      <c r="X38" t="n">
        <v>1.03654694391934</v>
      </c>
      <c r="Y38" t="n">
        <v>4.76811594202899</v>
      </c>
      <c r="Z38" t="n">
        <v>4.76811594202899</v>
      </c>
      <c r="AA38" t="n">
        <v>6.59420289855072</v>
      </c>
      <c r="AB38" t="n">
        <v>7</v>
      </c>
      <c r="AC38" t="n">
        <v>2.9</v>
      </c>
      <c r="AD38" t="n">
        <v>2.9</v>
      </c>
      <c r="AE38" t="n">
        <v>5</v>
      </c>
      <c r="AF38" t="n">
        <v>10.5</v>
      </c>
    </row>
    <row r="39">
      <c r="A39" t="s">
        <v>55</v>
      </c>
      <c r="B39" t="s">
        <v>348</v>
      </c>
      <c r="C39" t="s">
        <v>217</v>
      </c>
      <c r="D39" t="s">
        <v>349</v>
      </c>
      <c r="E39" t="s">
        <v>218</v>
      </c>
      <c r="F39" t="n">
        <v>2.19581665419651</v>
      </c>
      <c r="G39" t="n">
        <v>2.52518915232599</v>
      </c>
      <c r="H39" t="n">
        <v>4.52429723125073</v>
      </c>
      <c r="I39" t="n">
        <v>3.73254521578185</v>
      </c>
      <c r="J39" t="n">
        <v>4.50101040726635</v>
      </c>
      <c r="K39" t="n">
        <v>4.60817732172508</v>
      </c>
      <c r="L39" t="n">
        <v>7.9595790102524</v>
      </c>
      <c r="M39" t="n">
        <v>13.1961441485764</v>
      </c>
      <c r="N39" t="n">
        <v>5.13183383555747</v>
      </c>
      <c r="O39" t="n">
        <v>2.61622901420577</v>
      </c>
      <c r="P39" t="n">
        <v>2.40693069306931</v>
      </c>
      <c r="Q39" t="n">
        <v>1.64108910891089</v>
      </c>
      <c r="R39" t="n">
        <v>1.09405940594059</v>
      </c>
      <c r="S39" t="n">
        <v>0.298379837983798</v>
      </c>
      <c r="T39" t="n">
        <v>-10.0454545454545</v>
      </c>
      <c r="U39" t="n">
        <v>-8.17424242424243</v>
      </c>
      <c r="V39" t="n">
        <v>-7.18939393939394</v>
      </c>
      <c r="W39" t="n">
        <v>-6.5</v>
      </c>
      <c r="X39" t="n">
        <v>2.3</v>
      </c>
      <c r="Y39" t="n">
        <v>2.3</v>
      </c>
      <c r="Z39" t="n">
        <v>1.7</v>
      </c>
      <c r="AA39" t="n">
        <v>1.3</v>
      </c>
      <c r="AB39" t="n">
        <v>1.1</v>
      </c>
      <c r="AC39" t="n">
        <v>1.3</v>
      </c>
      <c r="AD39" t="n">
        <v>0.7</v>
      </c>
      <c r="AE39" t="n">
        <v>1.3</v>
      </c>
      <c r="AF39" t="n">
        <v>-1.6</v>
      </c>
    </row>
    <row r="40">
      <c r="A40" t="s">
        <v>55</v>
      </c>
      <c r="B40" t="s">
        <v>350</v>
      </c>
      <c r="C40" t="s">
        <v>217</v>
      </c>
      <c r="D40" t="s">
        <v>351</v>
      </c>
      <c r="E40" t="s">
        <v>218</v>
      </c>
      <c r="F40" t="n">
        <v>0.568419568328061</v>
      </c>
      <c r="G40" t="n">
        <v>0.568419568328061</v>
      </c>
      <c r="H40" t="n">
        <v>1.13683913665612</v>
      </c>
      <c r="I40" t="n">
        <v>0.812027954754373</v>
      </c>
      <c r="J40" t="n">
        <v>0.947365947213435</v>
      </c>
      <c r="K40" t="n">
        <v>0.947365947213435</v>
      </c>
      <c r="L40" t="n">
        <v>46.0656691832533</v>
      </c>
      <c r="M40" t="n">
        <v>19.0945778997941</v>
      </c>
      <c r="N40" t="n">
        <v>14.7063829787234</v>
      </c>
      <c r="O40" t="n">
        <v>16.2</v>
      </c>
      <c r="P40" t="n">
        <v>0.6</v>
      </c>
      <c r="Q40" t="n">
        <v>0.36</v>
      </c>
      <c r="R40" t="n">
        <v>1.92</v>
      </c>
      <c r="S40" t="n">
        <v>0.24</v>
      </c>
      <c r="T40" t="n">
        <v>0.12</v>
      </c>
      <c r="U40" t="n">
        <v>1.56</v>
      </c>
      <c r="V40" t="n">
        <v>0.36</v>
      </c>
      <c r="W40" t="n">
        <v>0.12</v>
      </c>
      <c r="X40" t="n">
        <v>0.24</v>
      </c>
      <c r="Y40" t="n">
        <v>2.4</v>
      </c>
      <c r="Z40" t="n">
        <v>2.04</v>
      </c>
      <c r="AA40" t="n">
        <v>0.6</v>
      </c>
      <c r="AB40" t="n">
        <v>0.6</v>
      </c>
      <c r="AC40" t="n">
        <v>-0.2</v>
      </c>
      <c r="AD40" t="n">
        <v>-1.4</v>
      </c>
      <c r="AE40" t="n">
        <v>-13.3</v>
      </c>
      <c r="AF40" t="n">
        <v>2.3</v>
      </c>
    </row>
    <row r="41">
      <c r="A41" t="s">
        <v>55</v>
      </c>
      <c r="B41" t="s">
        <v>352</v>
      </c>
      <c r="C41" t="s">
        <v>217</v>
      </c>
      <c r="D41" t="s">
        <v>353</v>
      </c>
      <c r="E41" t="s">
        <v>218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55</v>
      </c>
      <c r="B42" t="s">
        <v>354</v>
      </c>
      <c r="C42" t="s">
        <v>217</v>
      </c>
      <c r="D42" t="s">
        <v>355</v>
      </c>
      <c r="E42" t="s">
        <v>218</v>
      </c>
      <c r="F42" t="n">
        <v>20.0339637626948</v>
      </c>
      <c r="G42" t="n">
        <v>23.7325416881154</v>
      </c>
      <c r="H42" t="n">
        <v>45.5380821280505</v>
      </c>
      <c r="I42" t="n">
        <v>32.7786195027996</v>
      </c>
      <c r="J42" t="n">
        <v>43.562465006978</v>
      </c>
      <c r="K42" t="n">
        <v>43.7708978539014</v>
      </c>
      <c r="L42" t="n">
        <v>103.726848635176</v>
      </c>
      <c r="M42" t="n">
        <v>80.1758366054713</v>
      </c>
      <c r="N42" t="n">
        <v>78.9502187210565</v>
      </c>
      <c r="O42" t="n">
        <v>69.7377088828404</v>
      </c>
      <c r="P42" t="n">
        <v>41.801237965382</v>
      </c>
      <c r="Q42" t="n">
        <v>39.3040211518657</v>
      </c>
      <c r="R42" t="n">
        <v>41.6730306459508</v>
      </c>
      <c r="S42" t="n">
        <v>19.0957431567521</v>
      </c>
      <c r="T42" t="n">
        <v>33.3137693115078</v>
      </c>
      <c r="U42" t="n">
        <v>17.4794468609763</v>
      </c>
      <c r="V42" t="n">
        <v>16.4572569860654</v>
      </c>
      <c r="W42" t="n">
        <v>15.3328481236634</v>
      </c>
      <c r="X42" t="n">
        <v>11.3195523060602</v>
      </c>
      <c r="Y42" t="n">
        <v>14.4067029349858</v>
      </c>
      <c r="Z42" t="n">
        <v>17.1851385010187</v>
      </c>
      <c r="AA42" t="n">
        <v>12.1427924737737</v>
      </c>
      <c r="AB42" t="n">
        <v>12.7602225995588</v>
      </c>
      <c r="AC42" t="n">
        <v>9.51953114570262</v>
      </c>
      <c r="AD42" t="n">
        <v>67.1377459749553</v>
      </c>
      <c r="AE42" t="n">
        <v>55.6</v>
      </c>
      <c r="AF42" t="n">
        <v>14.5</v>
      </c>
    </row>
    <row r="43">
      <c r="A43" t="s">
        <v>55</v>
      </c>
      <c r="B43" t="s">
        <v>356</v>
      </c>
      <c r="C43" t="s">
        <v>217</v>
      </c>
      <c r="D43" t="s">
        <v>357</v>
      </c>
      <c r="E43" t="s">
        <v>218</v>
      </c>
      <c r="F43" t="n">
        <v>58.6942150016369</v>
      </c>
      <c r="G43" t="n">
        <v>65.1701091261608</v>
      </c>
      <c r="H43" t="n">
        <v>110.921355782592</v>
      </c>
      <c r="I43" t="n">
        <v>116.879045790446</v>
      </c>
      <c r="J43" t="n">
        <v>108.102414146841</v>
      </c>
      <c r="K43" t="n">
        <v>123.739214650241</v>
      </c>
      <c r="L43" t="n">
        <v>248.689579851709</v>
      </c>
      <c r="M43" t="n">
        <v>140.832777166125</v>
      </c>
      <c r="N43" t="n">
        <v>200.178678240436</v>
      </c>
      <c r="O43" t="n">
        <v>245.830019771481</v>
      </c>
      <c r="P43" t="n">
        <v>589.971544530807</v>
      </c>
      <c r="Q43" t="n">
        <v>584.161137198204</v>
      </c>
      <c r="R43" t="n">
        <v>820.254713713108</v>
      </c>
      <c r="S43" t="n">
        <v>701.251318346029</v>
      </c>
      <c r="T43" t="n">
        <v>456.961682993293</v>
      </c>
      <c r="U43" t="n">
        <v>323.57054352319</v>
      </c>
      <c r="V43" t="n">
        <v>367.361292213073</v>
      </c>
      <c r="W43" t="n">
        <v>87.5435528091893</v>
      </c>
      <c r="X43" t="n">
        <v>13.9342679211858</v>
      </c>
      <c r="Y43" t="n">
        <v>146.915650908155</v>
      </c>
      <c r="Z43" t="n">
        <v>13.575368153731</v>
      </c>
      <c r="AA43" t="n">
        <v>8.98369951349843</v>
      </c>
      <c r="AB43" t="n">
        <v>8.1851484456319</v>
      </c>
      <c r="AC43" t="n">
        <v>41.5320495204285</v>
      </c>
      <c r="AD43" t="n">
        <v>118.22192513369</v>
      </c>
      <c r="AE43" t="n">
        <v>92.5</v>
      </c>
      <c r="AF43" t="n">
        <v>215.4</v>
      </c>
    </row>
    <row r="44">
      <c r="A44" t="s">
        <v>55</v>
      </c>
      <c r="B44" t="s">
        <v>358</v>
      </c>
      <c r="C44" t="s">
        <v>217</v>
      </c>
      <c r="D44" t="s">
        <v>359</v>
      </c>
      <c r="E44" t="s">
        <v>218</v>
      </c>
      <c r="F44" t="n">
        <v>980.494949723379</v>
      </c>
      <c r="G44" t="n">
        <v>1046.97466224858</v>
      </c>
      <c r="H44" t="n">
        <v>1636.29804785793</v>
      </c>
      <c r="I44" t="n">
        <v>2145.92421297231</v>
      </c>
      <c r="J44" t="n">
        <v>1607.7690977782</v>
      </c>
      <c r="K44" t="n">
        <v>2011.55613968105</v>
      </c>
      <c r="L44" t="n">
        <v>3009.29132745929</v>
      </c>
      <c r="M44" t="n">
        <v>3234.36672346461</v>
      </c>
      <c r="N44" t="n">
        <v>3021.72669666244</v>
      </c>
      <c r="O44" t="n">
        <v>2232.37394004036</v>
      </c>
      <c r="P44" t="n">
        <v>3155.84594148664</v>
      </c>
      <c r="Q44" t="n">
        <v>4186.83597515631</v>
      </c>
      <c r="R44" t="n">
        <v>5559.36605652282</v>
      </c>
      <c r="S44" t="n">
        <v>4050.3084591523</v>
      </c>
      <c r="T44" t="n">
        <v>2365.02350135041</v>
      </c>
      <c r="U44" t="n">
        <v>2317.61147361108</v>
      </c>
      <c r="V44" t="n">
        <v>1247.92125689652</v>
      </c>
      <c r="W44" t="n">
        <v>732.780337464393</v>
      </c>
      <c r="X44" t="n">
        <v>982.559297682381</v>
      </c>
      <c r="Y44" t="n">
        <v>1138.69730984648</v>
      </c>
      <c r="Z44" t="n">
        <v>1402.87670708505</v>
      </c>
      <c r="AA44" t="n">
        <v>1230.92819175428</v>
      </c>
      <c r="AB44" t="n">
        <v>1660.53431808437</v>
      </c>
      <c r="AC44" t="n">
        <v>1783.30968458437</v>
      </c>
      <c r="AD44" t="n">
        <v>1954.80094352908</v>
      </c>
      <c r="AE44" t="n">
        <v>1407.1</v>
      </c>
      <c r="AF44" t="n">
        <v>1732.1</v>
      </c>
    </row>
    <row r="45">
      <c r="A45" t="s">
        <v>55</v>
      </c>
      <c r="B45" t="s">
        <v>360</v>
      </c>
      <c r="C45" t="s">
        <v>217</v>
      </c>
      <c r="D45" t="s">
        <v>361</v>
      </c>
      <c r="E45" t="s">
        <v>218</v>
      </c>
      <c r="F45" t="n">
        <v>877.60158845167</v>
      </c>
      <c r="G45" t="n">
        <v>927.11903918896</v>
      </c>
      <c r="H45" t="n">
        <v>1412.94278504144</v>
      </c>
      <c r="I45" t="n">
        <v>1964.0186736584</v>
      </c>
      <c r="J45" t="n">
        <v>1390.96431892872</v>
      </c>
      <c r="K45" t="n">
        <v>1785.85256226525</v>
      </c>
      <c r="L45" t="n">
        <v>2581.47950986894</v>
      </c>
      <c r="M45" t="n">
        <v>2813.42400201355</v>
      </c>
      <c r="N45" t="n">
        <v>2677.30065383593</v>
      </c>
      <c r="O45" t="n">
        <v>1879.79594405546</v>
      </c>
      <c r="P45" t="n">
        <v>2707.61735349143</v>
      </c>
      <c r="Q45" t="n">
        <v>3797.27619685171</v>
      </c>
      <c r="R45" t="n">
        <v>4999.18071784357</v>
      </c>
      <c r="S45" t="n">
        <v>3580.99692032644</v>
      </c>
      <c r="T45" t="n">
        <v>2023.10728322262</v>
      </c>
      <c r="U45" t="n">
        <v>1954.40813030967</v>
      </c>
      <c r="V45" t="n">
        <v>992.292500979505</v>
      </c>
      <c r="W45" t="n">
        <v>455.215454389984</v>
      </c>
      <c r="X45" t="n">
        <v>566.467661853007</v>
      </c>
      <c r="Y45" t="n">
        <v>891.703493559634</v>
      </c>
      <c r="Z45" t="n">
        <v>981.359564292026</v>
      </c>
      <c r="AA45" t="n">
        <v>800.54548272088</v>
      </c>
      <c r="AB45" t="n">
        <v>1212.88623933896</v>
      </c>
      <c r="AC45" t="n">
        <v>1243.2209510806</v>
      </c>
      <c r="AD45" t="n">
        <v>1316.4745432666</v>
      </c>
      <c r="AE45" t="n">
        <v>904.6</v>
      </c>
      <c r="AF45" t="n">
        <v>1384.8</v>
      </c>
    </row>
    <row r="46">
      <c r="A46" t="s">
        <v>55</v>
      </c>
      <c r="B46" t="s">
        <v>362</v>
      </c>
      <c r="C46" t="s">
        <v>217</v>
      </c>
      <c r="D46" t="s">
        <v>363</v>
      </c>
      <c r="E46" t="s">
        <v>218</v>
      </c>
      <c r="F46" t="n">
        <v>39.5800991523686</v>
      </c>
      <c r="G46" t="n">
        <v>42.4222871234164</v>
      </c>
      <c r="H46" t="n">
        <v>66.9167280914823</v>
      </c>
      <c r="I46" t="n">
        <v>85.675351867947</v>
      </c>
      <c r="J46" t="n">
        <v>65.7026265280307</v>
      </c>
      <c r="K46" t="n">
        <v>81.4118167156698</v>
      </c>
      <c r="L46" t="n">
        <v>147.78903913837</v>
      </c>
      <c r="M46" t="n">
        <v>62.1782814177427</v>
      </c>
      <c r="N46" t="n">
        <v>123.436160643447</v>
      </c>
      <c r="O46" t="n">
        <v>178.892986439778</v>
      </c>
      <c r="P46" t="n">
        <v>555.253115103973</v>
      </c>
      <c r="Q46" t="n">
        <v>551.876723074114</v>
      </c>
      <c r="R46" t="n">
        <v>788.456936130895</v>
      </c>
      <c r="S46" t="n">
        <v>690.667934243121</v>
      </c>
      <c r="T46" t="n">
        <v>429.100259221839</v>
      </c>
      <c r="U46" t="n">
        <v>309.98616316797</v>
      </c>
      <c r="V46" t="n">
        <v>355.298071256944</v>
      </c>
      <c r="W46" t="n">
        <v>73.3170891174174</v>
      </c>
      <c r="X46" t="n">
        <v>2.8591622497043</v>
      </c>
      <c r="Y46" t="n">
        <v>134.278512798613</v>
      </c>
      <c r="Z46" t="n">
        <v>-3.25277245235095</v>
      </c>
      <c r="AA46" t="n">
        <v>-2.93798802147828</v>
      </c>
      <c r="AB46" t="n">
        <v>-4.51191017584164</v>
      </c>
      <c r="AC46" t="n">
        <v>31.78390057204</v>
      </c>
      <c r="AD46" t="n">
        <v>51.031914893617</v>
      </c>
      <c r="AE46" t="n">
        <v>36.9</v>
      </c>
      <c r="AF46" t="n">
        <v>200.9</v>
      </c>
    </row>
    <row r="47">
      <c r="A47" t="s">
        <v>55</v>
      </c>
      <c r="B47" t="s">
        <v>364</v>
      </c>
      <c r="C47" t="s">
        <v>217</v>
      </c>
      <c r="D47" t="s">
        <v>365</v>
      </c>
      <c r="E47" t="s">
        <v>218</v>
      </c>
      <c r="F47" t="n">
        <v>33.8724851937353</v>
      </c>
      <c r="G47" t="n">
        <v>-22.3351321583146</v>
      </c>
      <c r="H47" t="n">
        <v>34.6120591062623</v>
      </c>
      <c r="I47" t="n">
        <v>-777.063009377073</v>
      </c>
      <c r="J47" t="n">
        <v>79.8105334582642</v>
      </c>
      <c r="K47" t="n">
        <v>52.0440272824382</v>
      </c>
      <c r="L47" t="n">
        <v>-4.14143453175901</v>
      </c>
      <c r="M47" t="n">
        <v>-4.56619704783686</v>
      </c>
      <c r="N47" t="n">
        <v>-554.48160969528</v>
      </c>
      <c r="O47" t="n">
        <v>700.185561217221</v>
      </c>
      <c r="P47" t="n">
        <v>64.2123426693179</v>
      </c>
      <c r="Q47" t="n">
        <v>32.2153759990626</v>
      </c>
      <c r="R47" t="n">
        <v>124.8481406563</v>
      </c>
      <c r="S47" t="n">
        <v>-153.443436485098</v>
      </c>
      <c r="T47" t="n">
        <v>-110.16987878426</v>
      </c>
      <c r="U47" t="n">
        <v>129.654297609698</v>
      </c>
      <c r="V47" t="n">
        <v>84.7506251146074</v>
      </c>
      <c r="W47" t="n">
        <v>77.5442845360001</v>
      </c>
      <c r="X47" t="n">
        <v>92.0774859627996</v>
      </c>
      <c r="Y47" t="n">
        <v>465.946443785407</v>
      </c>
      <c r="Z47" t="n">
        <v>348.931149279541</v>
      </c>
      <c r="AA47" t="n">
        <v>342.489962791543</v>
      </c>
      <c r="AB47" t="n">
        <v>275.279829082744</v>
      </c>
      <c r="AC47" t="n">
        <v>138.241838365897</v>
      </c>
      <c r="AD47" t="n">
        <v>111.345</v>
      </c>
      <c r="AE47" t="n">
        <v>114.2</v>
      </c>
      <c r="AF47" t="n">
        <v>105.7</v>
      </c>
    </row>
    <row r="48">
      <c r="A48" t="s">
        <v>55</v>
      </c>
      <c r="B48" t="s">
        <v>366</v>
      </c>
      <c r="C48" t="s">
        <v>217</v>
      </c>
      <c r="D48" t="s">
        <v>367</v>
      </c>
      <c r="E48" t="s">
        <v>218</v>
      </c>
      <c r="F48" t="n">
        <v>44.1678267989071</v>
      </c>
      <c r="G48" t="n">
        <v>7.60785533378305</v>
      </c>
      <c r="H48" t="n">
        <v>67.5577553639935</v>
      </c>
      <c r="I48" t="n">
        <v>-528.684938173375</v>
      </c>
      <c r="J48" t="n">
        <v>100.221030588216</v>
      </c>
      <c r="K48" t="n">
        <v>80.5347567226738</v>
      </c>
      <c r="L48" t="n">
        <v>53.5205760313356</v>
      </c>
      <c r="M48" t="n">
        <v>33.5284542453114</v>
      </c>
      <c r="N48" t="n">
        <v>-524.025716351175</v>
      </c>
      <c r="O48" t="n">
        <v>756.115100473283</v>
      </c>
      <c r="P48" t="n">
        <v>304.215716100145</v>
      </c>
      <c r="Q48" t="n">
        <v>131.549746816347</v>
      </c>
      <c r="R48" t="n">
        <v>166.000639643981</v>
      </c>
      <c r="S48" t="n">
        <v>-116.428739396662</v>
      </c>
      <c r="T48" t="n">
        <v>-82.6099598776678</v>
      </c>
      <c r="U48" t="n">
        <v>135.849795828979</v>
      </c>
      <c r="V48" t="n">
        <v>90.7691402406898</v>
      </c>
      <c r="W48" t="n">
        <v>83.2473973763998</v>
      </c>
      <c r="X48" t="n">
        <v>100.141123494349</v>
      </c>
      <c r="Y48" t="n">
        <v>468.741380073548</v>
      </c>
      <c r="Z48" t="n">
        <v>360.399736646529</v>
      </c>
      <c r="AA48" t="n">
        <v>353.348875392964</v>
      </c>
      <c r="AB48" t="n">
        <v>278.933139024939</v>
      </c>
      <c r="AC48" t="n">
        <v>145.639433150481</v>
      </c>
      <c r="AD48" t="n">
        <v>119.816136919315</v>
      </c>
      <c r="AE48" t="n">
        <v>120.9</v>
      </c>
      <c r="AF48" t="n">
        <v>127.8</v>
      </c>
    </row>
    <row r="49">
      <c r="A49" t="s">
        <v>55</v>
      </c>
      <c r="B49" t="s">
        <v>368</v>
      </c>
      <c r="C49" t="s">
        <v>217</v>
      </c>
      <c r="D49" t="s">
        <v>369</v>
      </c>
      <c r="E49" t="s">
        <v>218</v>
      </c>
      <c r="F49" t="n">
        <v>12.4798715018447</v>
      </c>
      <c r="G49" t="n">
        <v>14.8135060103197</v>
      </c>
      <c r="H49" t="n">
        <v>28.1256431682422</v>
      </c>
      <c r="I49" t="n">
        <v>20.6615301735933</v>
      </c>
      <c r="J49" t="n">
        <v>26.9864883899994</v>
      </c>
      <c r="K49" t="n">
        <v>27.2954939822513</v>
      </c>
      <c r="L49" t="n">
        <v>39.8393790843888</v>
      </c>
      <c r="M49" t="n">
        <v>24.3687572572023</v>
      </c>
      <c r="N49" t="n">
        <v>11.1226692875197</v>
      </c>
      <c r="O49" t="n">
        <v>31.005671022732</v>
      </c>
      <c r="P49" t="n">
        <v>180.26552920193</v>
      </c>
      <c r="Q49" t="n">
        <v>76.7918138838547</v>
      </c>
      <c r="R49" t="n">
        <v>30.0723187237473</v>
      </c>
      <c r="S49" t="n">
        <v>27.3288791208791</v>
      </c>
      <c r="T49" t="n">
        <v>20.2628571428571</v>
      </c>
      <c r="U49" t="n">
        <v>2.57142857142857</v>
      </c>
      <c r="V49" t="n">
        <v>2.57142857142857</v>
      </c>
      <c r="W49" t="n">
        <v>2.67428571428571</v>
      </c>
      <c r="X49" t="n">
        <v>2.77714285714286</v>
      </c>
      <c r="Y49" t="n">
        <v>1.85142857142857</v>
      </c>
      <c r="Z49" t="n">
        <v>2.26285714285714</v>
      </c>
      <c r="AA49" t="n">
        <v>1.33714285714286</v>
      </c>
      <c r="AB49" t="n">
        <v>1.44</v>
      </c>
      <c r="AC49" t="n">
        <v>2.16</v>
      </c>
      <c r="AD49" t="n">
        <v>3.6</v>
      </c>
      <c r="AE49" t="n">
        <v>2.6</v>
      </c>
      <c r="AF49" t="n">
        <v>2.7</v>
      </c>
    </row>
    <row r="50">
      <c r="A50" t="s">
        <v>55</v>
      </c>
      <c r="B50" t="s">
        <v>370</v>
      </c>
      <c r="C50" t="s">
        <v>217</v>
      </c>
      <c r="D50" t="s">
        <v>371</v>
      </c>
      <c r="E50" t="s">
        <v>218</v>
      </c>
      <c r="F50" t="n">
        <v>6.90373015730668</v>
      </c>
      <c r="G50" t="n">
        <v>8.15895382227153</v>
      </c>
      <c r="H50" t="n">
        <v>15.4916844726675</v>
      </c>
      <c r="I50" t="n">
        <v>11.4503754797977</v>
      </c>
      <c r="J50" t="n">
        <v>14.8309625262142</v>
      </c>
      <c r="K50" t="n">
        <v>14.93689797283</v>
      </c>
      <c r="L50" t="n">
        <v>16.4928248449998</v>
      </c>
      <c r="M50" t="n">
        <v>12.9437359543036</v>
      </c>
      <c r="N50" t="n">
        <v>22.5471529526579</v>
      </c>
      <c r="O50" t="n">
        <v>16.8595828384739</v>
      </c>
      <c r="P50" t="n">
        <v>55.3503285640465</v>
      </c>
      <c r="Q50" t="n">
        <v>20.6864864330275</v>
      </c>
      <c r="R50" t="n">
        <v>9.23106652656602</v>
      </c>
      <c r="S50" t="n">
        <v>9.9912720052244</v>
      </c>
      <c r="T50" t="n">
        <v>7.41287922968262</v>
      </c>
      <c r="U50" t="n">
        <v>3.60054134013156</v>
      </c>
      <c r="V50" t="n">
        <v>3.49464306542181</v>
      </c>
      <c r="W50" t="n">
        <v>3.0710499665828</v>
      </c>
      <c r="X50" t="n">
        <v>5.40081201019734</v>
      </c>
      <c r="Y50" t="n">
        <v>2.49268246624493</v>
      </c>
      <c r="Z50" t="n">
        <v>9.2436974789916</v>
      </c>
      <c r="AA50" t="n">
        <v>11.0294117647059</v>
      </c>
      <c r="AB50" t="n">
        <v>3.57142857142857</v>
      </c>
      <c r="AC50" t="n">
        <v>5.40816326530612</v>
      </c>
      <c r="AD50" t="n">
        <v>5</v>
      </c>
      <c r="AE50" t="n">
        <v>4.1</v>
      </c>
      <c r="AF50" t="n">
        <v>19.4</v>
      </c>
    </row>
    <row r="51">
      <c r="A51" t="s">
        <v>55</v>
      </c>
      <c r="B51" t="s">
        <v>372</v>
      </c>
      <c r="C51" t="s">
        <v>217</v>
      </c>
      <c r="D51" t="s">
        <v>373</v>
      </c>
      <c r="E51" t="s">
        <v>218</v>
      </c>
      <c r="F51" t="n">
        <v>6.53926925403773</v>
      </c>
      <c r="G51" t="n">
        <v>7.82568287778285</v>
      </c>
      <c r="H51" t="n">
        <v>15.0081589436931</v>
      </c>
      <c r="I51" t="n">
        <v>11.0525201523322</v>
      </c>
      <c r="J51" t="n">
        <v>14.3231638708794</v>
      </c>
      <c r="K51" t="n">
        <v>14.4325009996648</v>
      </c>
      <c r="L51" t="n">
        <v>15.9292048070374</v>
      </c>
      <c r="M51" t="n">
        <v>12.4850524163266</v>
      </c>
      <c r="N51" t="n">
        <v>21.7412119663619</v>
      </c>
      <c r="O51" t="n">
        <v>16.2013839172408</v>
      </c>
      <c r="P51" t="n">
        <v>44.146052821475</v>
      </c>
      <c r="Q51" t="n">
        <v>19.6077273570707</v>
      </c>
      <c r="R51" t="n">
        <v>7.97988904066831</v>
      </c>
      <c r="S51" t="n">
        <v>8.64487979405733</v>
      </c>
      <c r="T51" t="n">
        <v>6.12801605654697</v>
      </c>
      <c r="U51" t="n">
        <v>2.90274444783804</v>
      </c>
      <c r="V51" t="n">
        <v>2.47270823334351</v>
      </c>
      <c r="W51" t="n">
        <v>2.36519917971988</v>
      </c>
      <c r="X51" t="n">
        <v>4.51538025219251</v>
      </c>
      <c r="Y51" t="n">
        <v>2.15018107247262</v>
      </c>
      <c r="Z51" t="n">
        <v>8.81574239713775</v>
      </c>
      <c r="AA51" t="n">
        <v>10.6659599372778</v>
      </c>
      <c r="AB51" t="n">
        <v>2.93858079904592</v>
      </c>
      <c r="AC51" t="n">
        <v>4.51282051282051</v>
      </c>
      <c r="AD51" t="n">
        <v>4</v>
      </c>
      <c r="AE51" t="n">
        <v>3.2</v>
      </c>
      <c r="AF51" t="n">
        <v>18.5</v>
      </c>
    </row>
    <row r="52">
      <c r="A52" t="s">
        <v>55</v>
      </c>
      <c r="B52" t="s">
        <v>374</v>
      </c>
      <c r="C52" t="s">
        <v>217</v>
      </c>
      <c r="D52" t="s">
        <v>375</v>
      </c>
      <c r="E52" t="s">
        <v>218</v>
      </c>
      <c r="F52" t="n">
        <v>0.310344827586207</v>
      </c>
      <c r="G52" t="n">
        <v>0.387931034482759</v>
      </c>
      <c r="H52" t="n">
        <v>0.775862068965517</v>
      </c>
      <c r="I52" t="n">
        <v>0.603448275862069</v>
      </c>
      <c r="J52" t="n">
        <v>0.775862068965517</v>
      </c>
      <c r="K52" t="n">
        <v>0.775862068965517</v>
      </c>
      <c r="L52" t="n">
        <v>0.862068965517241</v>
      </c>
      <c r="M52" t="n">
        <v>0.689655172413793</v>
      </c>
      <c r="N52" t="n">
        <v>1.20689655172414</v>
      </c>
      <c r="O52" t="n">
        <v>0.948275862068966</v>
      </c>
      <c r="P52" t="n">
        <v>11</v>
      </c>
      <c r="Q52" t="n">
        <v>1.4</v>
      </c>
      <c r="R52" t="n">
        <v>1.3</v>
      </c>
      <c r="S52" t="n">
        <v>1.4</v>
      </c>
      <c r="T52" t="n">
        <v>1.3</v>
      </c>
      <c r="U52" t="n">
        <v>0.7</v>
      </c>
      <c r="V52" t="n">
        <v>1</v>
      </c>
      <c r="W52" t="n">
        <v>0.7</v>
      </c>
      <c r="X52" t="n">
        <v>0.9</v>
      </c>
      <c r="Y52" t="n">
        <v>0.4</v>
      </c>
      <c r="Z52" t="n">
        <v>0.7</v>
      </c>
      <c r="AA52" t="n">
        <v>0.7</v>
      </c>
      <c r="AB52" t="n">
        <v>0.7</v>
      </c>
      <c r="AC52" t="n">
        <v>0.9</v>
      </c>
      <c r="AD52" t="n">
        <v>1</v>
      </c>
      <c r="AE52" t="n">
        <v>0.9</v>
      </c>
      <c r="AF52" t="n">
        <v>0.9</v>
      </c>
    </row>
    <row r="53">
      <c r="A53" t="s">
        <v>55</v>
      </c>
      <c r="B53" t="s">
        <v>376</v>
      </c>
      <c r="C53" t="s">
        <v>217</v>
      </c>
      <c r="D53" t="s">
        <v>377</v>
      </c>
      <c r="E53" t="s">
        <v>218</v>
      </c>
      <c r="F53" t="n">
        <v>5.49329524836866</v>
      </c>
      <c r="G53" t="n">
        <v>6.5105721462147</v>
      </c>
      <c r="H53" t="n">
        <v>12.3200057536063</v>
      </c>
      <c r="I53" t="n">
        <v>9.1859692022503</v>
      </c>
      <c r="J53" t="n">
        <v>11.6912335301367</v>
      </c>
      <c r="K53" t="n">
        <v>11.8945593306609</v>
      </c>
      <c r="L53" t="n">
        <v>15.3638058021036</v>
      </c>
      <c r="M53" t="n">
        <v>26.7627584939869</v>
      </c>
      <c r="N53" t="n">
        <v>40.7388657075134</v>
      </c>
      <c r="O53" t="n">
        <v>21.869319833487</v>
      </c>
      <c r="P53" t="n">
        <v>56.3361741332684</v>
      </c>
      <c r="Q53" t="n">
        <v>35.0111816647431</v>
      </c>
      <c r="R53" t="n">
        <v>22.60481699075</v>
      </c>
      <c r="S53" t="n">
        <v>25.2884938937615</v>
      </c>
      <c r="T53" t="n">
        <v>22.343247616978</v>
      </c>
      <c r="U53" t="n">
        <v>18.9213087927561</v>
      </c>
      <c r="V53" t="n">
        <v>25.1613148839842</v>
      </c>
      <c r="W53" t="n">
        <v>24.7571170545226</v>
      </c>
      <c r="X53" t="n">
        <v>48.388910606567</v>
      </c>
      <c r="Y53" t="n">
        <v>18.1713630547868</v>
      </c>
      <c r="Z53" t="n">
        <v>21.1153269016516</v>
      </c>
      <c r="AA53" t="n">
        <v>16.0150063940063</v>
      </c>
      <c r="AB53" t="n">
        <v>17.0350704955354</v>
      </c>
      <c r="AC53" t="n">
        <v>20.8654413761883</v>
      </c>
      <c r="AD53" t="n">
        <v>23.5739361702128</v>
      </c>
      <c r="AE53" t="n">
        <v>18.7</v>
      </c>
      <c r="AF53" t="n">
        <v>4</v>
      </c>
    </row>
    <row r="54">
      <c r="A54" t="s">
        <v>55</v>
      </c>
      <c r="B54" t="s">
        <v>378</v>
      </c>
      <c r="C54" t="s">
        <v>217</v>
      </c>
      <c r="D54" t="s">
        <v>379</v>
      </c>
      <c r="E54" t="s">
        <v>218</v>
      </c>
      <c r="F54" t="n">
        <v>50.0956926986431</v>
      </c>
      <c r="G54" t="n">
        <v>59.2949017371164</v>
      </c>
      <c r="H54" t="n">
        <v>112.867500145193</v>
      </c>
      <c r="I54" t="n">
        <v>83.0473935727417</v>
      </c>
      <c r="J54" t="n">
        <v>107.992793394341</v>
      </c>
      <c r="K54" t="n">
        <v>109.309778679638</v>
      </c>
      <c r="L54" t="n">
        <v>66.4761730974813</v>
      </c>
      <c r="M54" t="n">
        <v>44.8142811165382</v>
      </c>
      <c r="N54" t="n">
        <v>51.471835073984</v>
      </c>
      <c r="O54" t="n">
        <v>44.8927283352041</v>
      </c>
      <c r="P54" t="n">
        <v>66.1789433435817</v>
      </c>
      <c r="Q54" t="n">
        <v>41.6406834521413</v>
      </c>
      <c r="R54" t="n">
        <v>45.321046888568</v>
      </c>
      <c r="S54" t="n">
        <v>41.5099588547566</v>
      </c>
      <c r="T54" t="n">
        <v>30.9806034379403</v>
      </c>
      <c r="U54" t="n">
        <v>21.9571267084431</v>
      </c>
      <c r="V54" t="n">
        <v>27.5717344512413</v>
      </c>
      <c r="W54" t="n">
        <v>26.96797384282</v>
      </c>
      <c r="X54" t="n">
        <v>50.8714052035014</v>
      </c>
      <c r="Y54" t="n">
        <v>20.3893407629264</v>
      </c>
      <c r="Z54" t="n">
        <v>22.5195703948739</v>
      </c>
      <c r="AA54" t="n">
        <v>17.0170509318731</v>
      </c>
      <c r="AB54" t="n">
        <v>18.036036017614</v>
      </c>
      <c r="AC54" t="n">
        <v>21.9656751499433</v>
      </c>
      <c r="AD54" t="n">
        <v>24.8743718592965</v>
      </c>
      <c r="AE54" t="n">
        <v>19.8</v>
      </c>
      <c r="AF54" t="n">
        <v>5.6</v>
      </c>
    </row>
    <row r="55">
      <c r="A55" t="s">
        <v>55</v>
      </c>
      <c r="B55" t="s">
        <v>380</v>
      </c>
      <c r="C55" t="s">
        <v>217</v>
      </c>
      <c r="D55" t="s">
        <v>381</v>
      </c>
      <c r="E55" t="s">
        <v>218</v>
      </c>
      <c r="F55" t="n">
        <v>43.3236288680719</v>
      </c>
      <c r="G55" t="n">
        <v>51.2711402040493</v>
      </c>
      <c r="H55" t="n">
        <v>97.6638696797283</v>
      </c>
      <c r="I55" t="n">
        <v>71.7445836713079</v>
      </c>
      <c r="J55" t="n">
        <v>93.5404065587938</v>
      </c>
      <c r="K55" t="n">
        <v>94.6223670973287</v>
      </c>
      <c r="L55" t="n">
        <v>49.6647348114913</v>
      </c>
      <c r="M55" t="n">
        <v>17.4889435814785</v>
      </c>
      <c r="N55" t="n">
        <v>10.3387677525867</v>
      </c>
      <c r="O55" t="n">
        <v>22.1678083343751</v>
      </c>
      <c r="P55" t="n">
        <v>9.4310412650631</v>
      </c>
      <c r="Q55" t="n">
        <v>6.35570172210774</v>
      </c>
      <c r="R55" t="n">
        <v>21.7909773329408</v>
      </c>
      <c r="S55" t="n">
        <v>15.5790697674419</v>
      </c>
      <c r="T55" t="n">
        <v>8.32173913043478</v>
      </c>
      <c r="U55" t="n">
        <v>2.96521739130435</v>
      </c>
      <c r="V55" t="n">
        <v>2.39130434782609</v>
      </c>
      <c r="W55" t="n">
        <v>2.2</v>
      </c>
      <c r="X55" t="n">
        <v>2.5</v>
      </c>
      <c r="Y55" t="n">
        <v>2.2</v>
      </c>
      <c r="Z55" t="n">
        <v>1.4</v>
      </c>
      <c r="AA55" t="n">
        <v>1</v>
      </c>
      <c r="AB55" t="n">
        <v>1</v>
      </c>
      <c r="AC55" t="n">
        <v>1.1</v>
      </c>
      <c r="AD55" t="n">
        <v>1.3</v>
      </c>
      <c r="AE55" t="n">
        <v>1.1</v>
      </c>
      <c r="AF55" t="n">
        <v>1.6</v>
      </c>
    </row>
    <row r="56">
      <c r="A56" t="s">
        <v>55</v>
      </c>
      <c r="B56" t="s">
        <v>382</v>
      </c>
      <c r="C56" t="s">
        <v>217</v>
      </c>
      <c r="D56" t="s">
        <v>383</v>
      </c>
      <c r="E56" t="s">
        <v>218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55</v>
      </c>
      <c r="B57" t="s">
        <v>384</v>
      </c>
      <c r="C57" t="s">
        <v>217</v>
      </c>
      <c r="D57" t="s">
        <v>385</v>
      </c>
      <c r="E57" t="s">
        <v>218</v>
      </c>
      <c r="F57" t="n">
        <v>1039.12034060783</v>
      </c>
      <c r="G57" t="n">
        <v>1068.80325728976</v>
      </c>
      <c r="H57" t="n">
        <v>1729.62015191008</v>
      </c>
      <c r="I57" t="n">
        <v>1613.10841427895</v>
      </c>
      <c r="J57" t="n">
        <v>1722.14623330191</v>
      </c>
      <c r="K57" t="n">
        <v>2107.95065729487</v>
      </c>
      <c r="L57" t="n">
        <v>3123.72667072586</v>
      </c>
      <c r="M57" t="n">
        <v>3306.65609194328</v>
      </c>
      <c r="N57" t="n">
        <v>2531.79224405842</v>
      </c>
      <c r="O57" t="n">
        <v>2996.23529533068</v>
      </c>
      <c r="P57" t="n">
        <v>3452.93167295399</v>
      </c>
      <c r="Q57" t="n">
        <v>4314.23791371631</v>
      </c>
      <c r="R57" t="n">
        <v>5721.56710067025</v>
      </c>
      <c r="S57" t="n">
        <v>3934.76293645088</v>
      </c>
      <c r="T57" t="n">
        <v>2282.88329304833</v>
      </c>
      <c r="U57" t="n">
        <v>2454.246732855</v>
      </c>
      <c r="V57" t="n">
        <v>1338.7076639567</v>
      </c>
      <c r="W57" t="n">
        <v>815.94323546063</v>
      </c>
      <c r="X57" t="n">
        <v>1082.61338038336</v>
      </c>
      <c r="Y57" t="n">
        <v>1613.08274328763</v>
      </c>
      <c r="Z57" t="n">
        <v>1766.12607024402</v>
      </c>
      <c r="AA57" t="n">
        <v>1587.41515582973</v>
      </c>
      <c r="AB57" t="n">
        <v>1941.6845828226</v>
      </c>
      <c r="AC57" t="n">
        <v>1928.81575733711</v>
      </c>
      <c r="AD57" t="n">
        <v>2072.90893697699</v>
      </c>
      <c r="AE57" t="n">
        <v>1514.7</v>
      </c>
      <c r="AF57" t="n">
        <v>1862.2</v>
      </c>
    </row>
    <row r="58">
      <c r="A58" t="s">
        <v>55</v>
      </c>
      <c r="B58" t="s">
        <v>386</v>
      </c>
      <c r="C58" t="s">
        <v>217</v>
      </c>
      <c r="D58" t="s">
        <v>387</v>
      </c>
      <c r="E58" t="s">
        <v>218</v>
      </c>
      <c r="F58" t="n">
        <v>1039.12034060783</v>
      </c>
      <c r="G58" t="n">
        <v>1068.80325728976</v>
      </c>
      <c r="H58" t="n">
        <v>1729.62015191008</v>
      </c>
      <c r="I58" t="n">
        <v>1613.10841427895</v>
      </c>
      <c r="J58" t="n">
        <v>1722.14623330191</v>
      </c>
      <c r="K58" t="n">
        <v>2107.95065729487</v>
      </c>
      <c r="L58" t="n">
        <v>3123.72667072586</v>
      </c>
      <c r="M58" t="n">
        <v>3306.65609194328</v>
      </c>
      <c r="N58" t="n">
        <v>2531.79224405842</v>
      </c>
      <c r="O58" t="n">
        <v>2996.23529533068</v>
      </c>
      <c r="P58" t="n">
        <v>3452.93167295399</v>
      </c>
      <c r="Q58" t="n">
        <v>4314.23791371631</v>
      </c>
      <c r="R58" t="n">
        <v>5721.56710067025</v>
      </c>
      <c r="S58" t="n">
        <v>3934.76293645088</v>
      </c>
      <c r="T58" t="n">
        <v>2282.88329304833</v>
      </c>
      <c r="U58" t="n">
        <v>2454.246732855</v>
      </c>
      <c r="V58" t="n">
        <v>1338.7076639567</v>
      </c>
      <c r="W58" t="n">
        <v>815.94323546063</v>
      </c>
      <c r="X58" t="n">
        <v>1082.61338038336</v>
      </c>
      <c r="Y58" t="n">
        <v>1613.08274328763</v>
      </c>
      <c r="Z58" t="n">
        <v>1766.12607024402</v>
      </c>
      <c r="AA58" t="n">
        <v>1587.41515582973</v>
      </c>
      <c r="AB58" t="n">
        <v>1941.6845828226</v>
      </c>
      <c r="AC58" t="n">
        <v>1928.81575733711</v>
      </c>
      <c r="AD58" t="n">
        <v>2072.90893697699</v>
      </c>
      <c r="AE58" t="n">
        <v>1514.7</v>
      </c>
      <c r="AF58" t="n">
        <v>1862.2</v>
      </c>
    </row>
    <row r="59">
      <c r="A59" t="s">
        <v>55</v>
      </c>
      <c r="B59" t="s">
        <v>388</v>
      </c>
      <c r="C59" t="s">
        <v>217</v>
      </c>
      <c r="D59" t="s">
        <v>389</v>
      </c>
      <c r="E59" t="s">
        <v>218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57</v>
      </c>
      <c r="B2" t="s">
        <v>197</v>
      </c>
      <c r="C2" t="s">
        <v>217</v>
      </c>
      <c r="D2" t="s">
        <v>199</v>
      </c>
      <c r="E2" t="s">
        <v>218</v>
      </c>
      <c r="F2" t="n">
        <v>241.528867101734</v>
      </c>
      <c r="G2" t="n">
        <v>327.890605258367</v>
      </c>
      <c r="H2" t="n">
        <v>346.140546181839</v>
      </c>
      <c r="I2" t="n">
        <v>438.523449633783</v>
      </c>
      <c r="J2" t="n">
        <v>496.339571366533</v>
      </c>
      <c r="K2" t="n">
        <v>579.523687087666</v>
      </c>
      <c r="L2" t="n">
        <v>477.698965673719</v>
      </c>
      <c r="M2" t="n">
        <v>344.278711923079</v>
      </c>
      <c r="N2" t="n">
        <v>607.960699131486</v>
      </c>
      <c r="O2" t="n">
        <v>700.706001845904</v>
      </c>
      <c r="P2" t="n">
        <v>695.470340561875</v>
      </c>
      <c r="Q2" t="n">
        <v>556.074175497348</v>
      </c>
      <c r="R2" t="n">
        <v>856.691884414225</v>
      </c>
      <c r="S2" t="n">
        <v>1158.041829966</v>
      </c>
      <c r="T2" t="n">
        <v>931.923167951319</v>
      </c>
      <c r="U2" t="n">
        <v>1256.67504314481</v>
      </c>
      <c r="V2" t="n">
        <v>863.381547700749</v>
      </c>
      <c r="W2" t="n">
        <v>645.084234023982</v>
      </c>
      <c r="X2" t="n">
        <v>1004.6277158618</v>
      </c>
      <c r="Y2" t="n">
        <v>708.068756715768</v>
      </c>
      <c r="Z2" t="n">
        <v>788.993794137582</v>
      </c>
      <c r="AA2" t="n">
        <v>939.528832690822</v>
      </c>
      <c r="AB2" t="n">
        <v>965.341172374107</v>
      </c>
      <c r="AC2" t="n">
        <v>1074.34755397594</v>
      </c>
      <c r="AD2" t="n">
        <v>1167.78219895288</v>
      </c>
      <c r="AE2" t="n">
        <v>1190.4</v>
      </c>
      <c r="AF2" t="n">
        <v>1633.7</v>
      </c>
    </row>
    <row r="3">
      <c r="A3" t="s">
        <v>57</v>
      </c>
      <c r="B3" t="s">
        <v>276</v>
      </c>
      <c r="C3" t="s">
        <v>217</v>
      </c>
      <c r="D3" t="s">
        <v>277</v>
      </c>
      <c r="E3" t="s">
        <v>218</v>
      </c>
      <c r="F3" t="n">
        <v>22.996421711606</v>
      </c>
      <c r="G3" t="n">
        <v>31.0184292854221</v>
      </c>
      <c r="H3" t="n">
        <v>32.5253975098151</v>
      </c>
      <c r="I3" t="n">
        <v>41.451540435441</v>
      </c>
      <c r="J3" t="n">
        <v>45.8761430661903</v>
      </c>
      <c r="K3" t="n">
        <v>54.8363272588056</v>
      </c>
      <c r="L3" t="n">
        <v>60.6993308022</v>
      </c>
      <c r="M3" t="n">
        <v>58.2172020333368</v>
      </c>
      <c r="N3" t="n">
        <v>72.771502541671</v>
      </c>
      <c r="O3" t="n">
        <v>82.8128416520721</v>
      </c>
      <c r="P3" t="n">
        <v>78.5196793290451</v>
      </c>
      <c r="Q3" t="n">
        <v>112.091303587628</v>
      </c>
      <c r="R3" t="n">
        <v>155.948386447642</v>
      </c>
      <c r="S3" t="n">
        <v>55.7717322104987</v>
      </c>
      <c r="T3" t="n">
        <v>37.6975597348741</v>
      </c>
      <c r="U3" t="n">
        <v>36.4649419778755</v>
      </c>
      <c r="V3" t="n">
        <v>17.9268988494584</v>
      </c>
      <c r="W3" t="n">
        <v>21.9781754256071</v>
      </c>
      <c r="X3" t="n">
        <v>20.751486564643</v>
      </c>
      <c r="Y3" t="n">
        <v>37.1073380441646</v>
      </c>
      <c r="Z3" t="n">
        <v>53.2143693930053</v>
      </c>
      <c r="AA3" t="n">
        <v>35.5101623674166</v>
      </c>
      <c r="AB3" t="n">
        <v>35.7130775809446</v>
      </c>
      <c r="AC3" t="n">
        <v>79.9244512434739</v>
      </c>
      <c r="AD3" t="n">
        <v>152.793780687398</v>
      </c>
      <c r="AE3" t="n">
        <v>61.5</v>
      </c>
      <c r="AF3" t="n">
        <v>122.9</v>
      </c>
    </row>
    <row r="4">
      <c r="A4" t="s">
        <v>57</v>
      </c>
      <c r="B4" t="s">
        <v>278</v>
      </c>
      <c r="C4" t="s">
        <v>217</v>
      </c>
      <c r="D4" t="s">
        <v>279</v>
      </c>
      <c r="E4" t="s">
        <v>218</v>
      </c>
      <c r="F4" t="n">
        <v>896.108477872423</v>
      </c>
      <c r="G4" t="n">
        <v>1214.51184671836</v>
      </c>
      <c r="H4" t="n">
        <v>1280.76251882482</v>
      </c>
      <c r="I4" t="n">
        <v>1581.24253801166</v>
      </c>
      <c r="J4" t="n">
        <v>1716.49493618388</v>
      </c>
      <c r="K4" t="n">
        <v>2137.72796697697</v>
      </c>
      <c r="L4" t="n">
        <v>2154.67860930821</v>
      </c>
      <c r="M4" t="n">
        <v>1588.75801493686</v>
      </c>
      <c r="N4" t="n">
        <v>1284.85297303043</v>
      </c>
      <c r="O4" t="n">
        <v>1625.16598940934</v>
      </c>
      <c r="P4" t="n">
        <v>1292.59220141041</v>
      </c>
      <c r="Q4" t="n">
        <v>1375.54463907824</v>
      </c>
      <c r="R4" t="n">
        <v>1653.04015853898</v>
      </c>
      <c r="S4" t="n">
        <v>2272.44010255208</v>
      </c>
      <c r="T4" t="n">
        <v>1337.4962734256</v>
      </c>
      <c r="U4" t="n">
        <v>1789.2837448729</v>
      </c>
      <c r="V4" t="n">
        <v>1401.04678971824</v>
      </c>
      <c r="W4" t="n">
        <v>2177.51334693231</v>
      </c>
      <c r="X4" t="n">
        <v>685.661880147191</v>
      </c>
      <c r="Y4" t="n">
        <v>1149.77541654467</v>
      </c>
      <c r="Z4" t="n">
        <v>1175.05532823121</v>
      </c>
      <c r="AA4" t="n">
        <v>1223.51016640377</v>
      </c>
      <c r="AB4" t="n">
        <v>1225.95088155577</v>
      </c>
      <c r="AC4" t="n">
        <v>1599.27322084879</v>
      </c>
      <c r="AD4" t="n">
        <v>1589.88888054095</v>
      </c>
      <c r="AE4" t="n">
        <v>1607.4</v>
      </c>
      <c r="AF4" t="n">
        <v>1075.6</v>
      </c>
    </row>
    <row r="5">
      <c r="A5" t="s">
        <v>57</v>
      </c>
      <c r="B5" t="s">
        <v>280</v>
      </c>
      <c r="C5" t="s">
        <v>217</v>
      </c>
      <c r="D5" t="s">
        <v>281</v>
      </c>
      <c r="E5" t="s">
        <v>218</v>
      </c>
      <c r="F5" t="n">
        <v>194.638903607242</v>
      </c>
      <c r="G5" t="n">
        <v>261.277985859214</v>
      </c>
      <c r="H5" t="n">
        <v>275.59288265474</v>
      </c>
      <c r="I5" t="n">
        <v>345.609679081723</v>
      </c>
      <c r="J5" t="n">
        <v>394.35689290352</v>
      </c>
      <c r="K5" t="n">
        <v>462.536242258891</v>
      </c>
      <c r="L5" t="n">
        <v>436.984890796025</v>
      </c>
      <c r="M5" t="n">
        <v>369.02923585167</v>
      </c>
      <c r="N5" t="n">
        <v>346.458300365714</v>
      </c>
      <c r="O5" t="n">
        <v>467.09605899755</v>
      </c>
      <c r="P5" t="n">
        <v>315.521103083289</v>
      </c>
      <c r="Q5" t="n">
        <v>355.540027059261</v>
      </c>
      <c r="R5" t="n">
        <v>587.067002520661</v>
      </c>
      <c r="S5" t="n">
        <v>635.057567764445</v>
      </c>
      <c r="T5" t="n">
        <v>352.706448080009</v>
      </c>
      <c r="U5" t="n">
        <v>440.318811855555</v>
      </c>
      <c r="V5" t="n">
        <v>285.747498088164</v>
      </c>
      <c r="W5" t="n">
        <v>156.381256534871</v>
      </c>
      <c r="X5" t="n">
        <v>318.516356936991</v>
      </c>
      <c r="Y5" t="n">
        <v>361.661590614749</v>
      </c>
      <c r="Z5" t="n">
        <v>420.967138411344</v>
      </c>
      <c r="AA5" t="n">
        <v>427.18481285277</v>
      </c>
      <c r="AB5" t="n">
        <v>429.420318533732</v>
      </c>
      <c r="AC5" t="n">
        <v>695.22785312094</v>
      </c>
      <c r="AD5" t="n">
        <v>481.373667308927</v>
      </c>
      <c r="AE5" t="n">
        <v>470.2</v>
      </c>
      <c r="AF5" t="n">
        <v>475.8</v>
      </c>
    </row>
    <row r="6">
      <c r="A6" t="s">
        <v>57</v>
      </c>
      <c r="B6" t="s">
        <v>282</v>
      </c>
      <c r="C6" t="s">
        <v>217</v>
      </c>
      <c r="D6" t="s">
        <v>283</v>
      </c>
      <c r="E6" t="s">
        <v>218</v>
      </c>
      <c r="F6" t="n">
        <v>107.582305849052</v>
      </c>
      <c r="G6" t="n">
        <v>143.798131580416</v>
      </c>
      <c r="H6" t="n">
        <v>151.989962038547</v>
      </c>
      <c r="I6" t="n">
        <v>186.227443430979</v>
      </c>
      <c r="J6" t="n">
        <v>210.147635099745</v>
      </c>
      <c r="K6" t="n">
        <v>252.889526984439</v>
      </c>
      <c r="L6" t="n">
        <v>262.867481110356</v>
      </c>
      <c r="M6" t="n">
        <v>107.060802799121</v>
      </c>
      <c r="N6" t="n">
        <v>99.9684467777284</v>
      </c>
      <c r="O6" t="n">
        <v>137.864247187283</v>
      </c>
      <c r="P6" t="n">
        <v>72.5364176377537</v>
      </c>
      <c r="Q6" t="n">
        <v>-31.7068696729445</v>
      </c>
      <c r="R6" t="n">
        <v>45.8829786393463</v>
      </c>
      <c r="S6" t="n">
        <v>41.5384009852742</v>
      </c>
      <c r="T6" t="n">
        <v>24.7153485862382</v>
      </c>
      <c r="U6" t="n">
        <v>-30.6882244945791</v>
      </c>
      <c r="V6" t="n">
        <v>31.711165311065</v>
      </c>
      <c r="W6" t="n">
        <v>-13.9119951042092</v>
      </c>
      <c r="X6" t="n">
        <v>13.4997878418622</v>
      </c>
      <c r="Y6" t="n">
        <v>22.6019175231178</v>
      </c>
      <c r="Z6" t="n">
        <v>31.0904204842888</v>
      </c>
      <c r="AA6" t="n">
        <v>76.2479820401574</v>
      </c>
      <c r="AB6" t="n">
        <v>76.0446540880503</v>
      </c>
      <c r="AC6" t="n">
        <v>17.922641509434</v>
      </c>
      <c r="AD6" t="n">
        <v>19.6440251572327</v>
      </c>
      <c r="AE6" t="n">
        <v>16.1</v>
      </c>
      <c r="AF6" t="n">
        <v>14.3</v>
      </c>
    </row>
    <row r="7">
      <c r="A7" t="s">
        <v>57</v>
      </c>
      <c r="B7" t="s">
        <v>284</v>
      </c>
      <c r="C7" t="s">
        <v>217</v>
      </c>
      <c r="D7" t="s">
        <v>285</v>
      </c>
      <c r="E7" t="s">
        <v>218</v>
      </c>
      <c r="F7" t="n">
        <v>100.679068792213</v>
      </c>
      <c r="G7" t="n">
        <v>137.503319634501</v>
      </c>
      <c r="H7" t="n">
        <v>144.372352551122</v>
      </c>
      <c r="I7" t="n">
        <v>183.540368793279</v>
      </c>
      <c r="J7" t="n">
        <v>199.100412434788</v>
      </c>
      <c r="K7" t="n">
        <v>243.720341026084</v>
      </c>
      <c r="L7" t="n">
        <v>147.488379406029</v>
      </c>
      <c r="M7" t="n">
        <v>175.885395739428</v>
      </c>
      <c r="N7" t="n">
        <v>75.3322546560857</v>
      </c>
      <c r="O7" t="n">
        <v>98.4605784540068</v>
      </c>
      <c r="P7" t="n">
        <v>3.74877902288492</v>
      </c>
      <c r="Q7" t="n">
        <v>173.766933531371</v>
      </c>
      <c r="R7" t="n">
        <v>191.553251169508</v>
      </c>
      <c r="S7" t="n">
        <v>114.784521041651</v>
      </c>
      <c r="T7" t="n">
        <v>57.237841882653</v>
      </c>
      <c r="U7" t="n">
        <v>85.4479210962463</v>
      </c>
      <c r="V7" t="n">
        <v>57.0331773705577</v>
      </c>
      <c r="W7" t="n">
        <v>17.5877712746996</v>
      </c>
      <c r="X7" t="n">
        <v>35.5869524037782</v>
      </c>
      <c r="Y7" t="n">
        <v>74.2505865715718</v>
      </c>
      <c r="Z7" t="n">
        <v>74.8650741845779</v>
      </c>
      <c r="AA7" t="n">
        <v>120.417356703434</v>
      </c>
      <c r="AB7" t="n">
        <v>120.315480767137</v>
      </c>
      <c r="AC7" t="n">
        <v>93.5561826015732</v>
      </c>
      <c r="AD7" t="n">
        <v>69.3345172031077</v>
      </c>
      <c r="AE7" t="n">
        <v>90.8</v>
      </c>
      <c r="AF7" t="n">
        <v>69.4</v>
      </c>
    </row>
    <row r="8">
      <c r="A8" t="s">
        <v>57</v>
      </c>
      <c r="B8" t="s">
        <v>286</v>
      </c>
      <c r="C8" t="s">
        <v>217</v>
      </c>
      <c r="D8" t="s">
        <v>287</v>
      </c>
      <c r="E8" t="s">
        <v>218</v>
      </c>
      <c r="F8" t="n">
        <v>70.9692473262699</v>
      </c>
      <c r="G8" t="n">
        <v>93.5564465694707</v>
      </c>
      <c r="H8" t="n">
        <v>101.776887481433</v>
      </c>
      <c r="I8" t="n">
        <v>105.371929791983</v>
      </c>
      <c r="J8" t="n">
        <v>116.368312373485</v>
      </c>
      <c r="K8" t="n">
        <v>157.978799828247</v>
      </c>
      <c r="L8" t="n">
        <v>86.3586733754993</v>
      </c>
      <c r="M8" t="n">
        <v>68.7252269794549</v>
      </c>
      <c r="N8" t="n">
        <v>69.7425411946113</v>
      </c>
      <c r="O8" t="n">
        <v>35.1538578792936</v>
      </c>
      <c r="P8" t="n">
        <v>403.248769737961</v>
      </c>
      <c r="Q8" t="n">
        <v>29.3373240500923</v>
      </c>
      <c r="R8" t="n">
        <v>41.8793027332173</v>
      </c>
      <c r="S8" t="n">
        <v>503.720851910449</v>
      </c>
      <c r="T8" t="n">
        <v>184.029892939878</v>
      </c>
      <c r="U8" t="n">
        <v>477.202165091164</v>
      </c>
      <c r="V8" t="n">
        <v>523.0258746069</v>
      </c>
      <c r="W8" t="n">
        <v>1790.10186795385</v>
      </c>
      <c r="X8" t="n">
        <v>184.464733700216</v>
      </c>
      <c r="Y8" t="n">
        <v>205.531736713332</v>
      </c>
      <c r="Z8" t="n">
        <v>265.294830231473</v>
      </c>
      <c r="AA8" t="n">
        <v>166.958062905488</v>
      </c>
      <c r="AB8" t="n">
        <v>165.838222239659</v>
      </c>
      <c r="AC8" t="n">
        <v>145.564600938967</v>
      </c>
      <c r="AD8" t="n">
        <v>322.3</v>
      </c>
      <c r="AE8" t="n">
        <v>322.3</v>
      </c>
      <c r="AF8" t="n">
        <v>-33.6</v>
      </c>
    </row>
    <row r="9">
      <c r="A9" t="s">
        <v>57</v>
      </c>
      <c r="B9" t="s">
        <v>288</v>
      </c>
      <c r="C9" t="s">
        <v>217</v>
      </c>
      <c r="D9" t="s">
        <v>289</v>
      </c>
      <c r="E9" t="s">
        <v>218</v>
      </c>
      <c r="F9" t="n">
        <v>39.1050960308968</v>
      </c>
      <c r="G9" t="n">
        <v>52.7715828790649</v>
      </c>
      <c r="H9" t="n">
        <v>55.4484023004668</v>
      </c>
      <c r="I9" t="n">
        <v>69.5896055717267</v>
      </c>
      <c r="J9" t="n">
        <v>75.851488585821</v>
      </c>
      <c r="K9" t="n">
        <v>92.6670498512582</v>
      </c>
      <c r="L9" t="n">
        <v>160.273199428277</v>
      </c>
      <c r="M9" t="n">
        <v>54.4562015224831</v>
      </c>
      <c r="N9" t="n">
        <v>39.0938204614037</v>
      </c>
      <c r="O9" t="n">
        <v>96.989361027412</v>
      </c>
      <c r="P9" t="n">
        <v>48.494680513706</v>
      </c>
      <c r="Q9" t="n">
        <v>48.722890774947</v>
      </c>
      <c r="R9" t="n">
        <v>90.3264550439657</v>
      </c>
      <c r="S9" t="n">
        <v>83.5953970959778</v>
      </c>
      <c r="T9" t="n">
        <v>103.048414030262</v>
      </c>
      <c r="U9" t="n">
        <v>5.84671852653969</v>
      </c>
      <c r="V9" t="n">
        <v>40.4141596395901</v>
      </c>
      <c r="W9" t="n">
        <v>34.6990259531834</v>
      </c>
      <c r="X9" t="n">
        <v>62.6023969719155</v>
      </c>
      <c r="Y9" t="n">
        <v>42.8332189807843</v>
      </c>
      <c r="Z9" t="n">
        <v>-14.3120611498294</v>
      </c>
      <c r="AA9" t="n">
        <v>45.1852216301756</v>
      </c>
      <c r="AB9" t="n">
        <v>45.3887586645457</v>
      </c>
      <c r="AC9" t="n">
        <v>60.4509525198181</v>
      </c>
      <c r="AD9" t="n">
        <v>71.2493697478992</v>
      </c>
      <c r="AE9" t="n">
        <v>47.7</v>
      </c>
      <c r="AF9" t="n">
        <v>74.7</v>
      </c>
    </row>
    <row r="10">
      <c r="A10" t="s">
        <v>57</v>
      </c>
      <c r="B10" t="s">
        <v>290</v>
      </c>
      <c r="C10" t="s">
        <v>217</v>
      </c>
      <c r="D10" t="s">
        <v>291</v>
      </c>
      <c r="E10" t="s">
        <v>218</v>
      </c>
      <c r="F10" t="n">
        <v>52.8709208587156</v>
      </c>
      <c r="G10" t="n">
        <v>71.2956357034196</v>
      </c>
      <c r="H10" t="n">
        <v>74.9421496988326</v>
      </c>
      <c r="I10" t="n">
        <v>94.0138876319776</v>
      </c>
      <c r="J10" t="n">
        <v>102.518241779604</v>
      </c>
      <c r="K10" t="n">
        <v>125.313333956442</v>
      </c>
      <c r="L10" t="n">
        <v>216.941524014501</v>
      </c>
      <c r="M10" t="n">
        <v>73.7465451811548</v>
      </c>
      <c r="N10" t="n">
        <v>52.9346367251234</v>
      </c>
      <c r="O10" t="n">
        <v>131.318618029633</v>
      </c>
      <c r="P10" t="n">
        <v>61.6902661555444</v>
      </c>
      <c r="Q10" t="n">
        <v>80.1523166108533</v>
      </c>
      <c r="R10" t="n">
        <v>141.613420843318</v>
      </c>
      <c r="S10" t="n">
        <v>171.675405556077</v>
      </c>
      <c r="T10" t="n">
        <v>250.677400696473</v>
      </c>
      <c r="U10" t="n">
        <v>-38.4779957213038</v>
      </c>
      <c r="V10" t="n">
        <v>59.8204573480537</v>
      </c>
      <c r="W10" t="n">
        <v>41.1711495206366</v>
      </c>
      <c r="X10" t="n">
        <v>121.973380624729</v>
      </c>
      <c r="Y10" t="n">
        <v>69.8164131522017</v>
      </c>
      <c r="Z10" t="n">
        <v>22.6903342744656</v>
      </c>
      <c r="AA10" t="n">
        <v>89.9436673942779</v>
      </c>
      <c r="AB10" t="n">
        <v>91.1646221552862</v>
      </c>
      <c r="AC10" t="n">
        <v>157.769373818627</v>
      </c>
      <c r="AD10" t="n">
        <v>172.910388580492</v>
      </c>
      <c r="AE10" t="n">
        <v>126.4</v>
      </c>
      <c r="AF10" t="n">
        <v>157.5</v>
      </c>
    </row>
    <row r="11">
      <c r="A11" t="s">
        <v>57</v>
      </c>
      <c r="B11" t="s">
        <v>292</v>
      </c>
      <c r="C11" t="s">
        <v>217</v>
      </c>
      <c r="D11" t="s">
        <v>293</v>
      </c>
      <c r="E11" t="s">
        <v>218</v>
      </c>
      <c r="F11" t="n">
        <v>14.369233030209</v>
      </c>
      <c r="G11" t="n">
        <v>19.3380332369168</v>
      </c>
      <c r="H11" t="n">
        <v>20.3491722296968</v>
      </c>
      <c r="I11" t="n">
        <v>25.4977579745598</v>
      </c>
      <c r="J11" t="n">
        <v>27.8370018254369</v>
      </c>
      <c r="K11" t="n">
        <v>34.0763298207934</v>
      </c>
      <c r="L11" t="n">
        <v>59.1426470110042</v>
      </c>
      <c r="M11" t="n">
        <v>20.1312471556687</v>
      </c>
      <c r="N11" t="n">
        <v>14.4444541738414</v>
      </c>
      <c r="O11" t="n">
        <v>35.8267957855121</v>
      </c>
      <c r="P11" t="n">
        <v>13.9199652415047</v>
      </c>
      <c r="Q11" t="n">
        <v>32.2535779986085</v>
      </c>
      <c r="R11" t="n">
        <v>52.758429990851</v>
      </c>
      <c r="S11" t="n">
        <v>89.8084978694363</v>
      </c>
      <c r="T11" t="n">
        <v>150.244334082751</v>
      </c>
      <c r="U11" t="n">
        <v>-44.8631682890452</v>
      </c>
      <c r="V11" t="n">
        <v>19.6276361264573</v>
      </c>
      <c r="W11" t="n">
        <v>6.57679953975532</v>
      </c>
      <c r="X11" t="n">
        <v>59.6022458290326</v>
      </c>
      <c r="Y11" t="n">
        <v>27.1292981014907</v>
      </c>
      <c r="Z11" t="n">
        <v>36.9944974111237</v>
      </c>
      <c r="AA11" t="n">
        <v>44.7612979725751</v>
      </c>
      <c r="AB11" t="n">
        <v>45.7786001992245</v>
      </c>
      <c r="AC11" t="n">
        <v>97.31742161557</v>
      </c>
      <c r="AD11" t="n">
        <v>101.658343949045</v>
      </c>
      <c r="AE11" t="n">
        <v>78.7</v>
      </c>
      <c r="AF11" t="n">
        <v>82.8</v>
      </c>
    </row>
    <row r="12">
      <c r="A12" t="s">
        <v>57</v>
      </c>
      <c r="B12" t="s">
        <v>294</v>
      </c>
      <c r="C12" t="s">
        <v>217</v>
      </c>
      <c r="D12" t="s">
        <v>295</v>
      </c>
      <c r="E12" t="s">
        <v>218</v>
      </c>
      <c r="F12" t="n">
        <v>108.768138425413</v>
      </c>
      <c r="G12" t="n">
        <v>149.422896047657</v>
      </c>
      <c r="H12" t="n">
        <v>156.675220709385</v>
      </c>
      <c r="I12" t="n">
        <v>198.828895954678</v>
      </c>
      <c r="J12" t="n">
        <v>209.25698490335</v>
      </c>
      <c r="K12" t="n">
        <v>264.781423511227</v>
      </c>
      <c r="L12" t="n">
        <v>257.680883607379</v>
      </c>
      <c r="M12" t="n">
        <v>217.207446391561</v>
      </c>
      <c r="N12" t="n">
        <v>196.960247867231</v>
      </c>
      <c r="O12" t="n">
        <v>199.434905464649</v>
      </c>
      <c r="P12" t="n">
        <v>133.21936372935</v>
      </c>
      <c r="Q12" t="n">
        <v>189.884814523319</v>
      </c>
      <c r="R12" t="n">
        <v>264.92781375241</v>
      </c>
      <c r="S12" t="n">
        <v>220.66729171064</v>
      </c>
      <c r="T12" t="n">
        <v>160.025109953081</v>
      </c>
      <c r="U12" t="n">
        <v>205.336512002576</v>
      </c>
      <c r="V12" t="n">
        <v>181.581096264443</v>
      </c>
      <c r="W12" t="n">
        <v>46.183651374822</v>
      </c>
      <c r="X12" t="n">
        <v>98.627753269342</v>
      </c>
      <c r="Y12" t="n">
        <v>132.732677297058</v>
      </c>
      <c r="Z12" t="n">
        <v>121.279626559562</v>
      </c>
      <c r="AA12" t="n">
        <v>126.986903103541</v>
      </c>
      <c r="AB12" t="n">
        <v>126.07186537101</v>
      </c>
      <c r="AC12" t="n">
        <v>145.210485897211</v>
      </c>
      <c r="AD12" t="n">
        <v>158.02614379085</v>
      </c>
      <c r="AE12" t="n">
        <v>107.8</v>
      </c>
      <c r="AF12" t="n">
        <v>83.2</v>
      </c>
    </row>
    <row r="13">
      <c r="A13" t="s">
        <v>57</v>
      </c>
      <c r="B13" t="s">
        <v>296</v>
      </c>
      <c r="C13" t="s">
        <v>217</v>
      </c>
      <c r="D13" t="s">
        <v>297</v>
      </c>
      <c r="E13" t="s">
        <v>218</v>
      </c>
      <c r="F13" t="n">
        <v>179.002254754318</v>
      </c>
      <c r="G13" t="n">
        <v>246.514750536938</v>
      </c>
      <c r="H13" t="n">
        <v>258.524443511815</v>
      </c>
      <c r="I13" t="n">
        <v>323.647981901219</v>
      </c>
      <c r="J13" t="n">
        <v>333.725362945211</v>
      </c>
      <c r="K13" t="n">
        <v>435.126992462904</v>
      </c>
      <c r="L13" t="n">
        <v>429.923507301907</v>
      </c>
      <c r="M13" t="n">
        <v>319.80314762859</v>
      </c>
      <c r="N13" t="n">
        <v>316.169020950993</v>
      </c>
      <c r="O13" t="n">
        <v>367.596154340867</v>
      </c>
      <c r="P13" t="n">
        <v>187.491083357784</v>
      </c>
      <c r="Q13" t="n">
        <v>388.98239695435</v>
      </c>
      <c r="R13" t="n">
        <v>261.94321479824</v>
      </c>
      <c r="S13" t="n">
        <v>356.042424996306</v>
      </c>
      <c r="T13" t="n">
        <v>196.072314464749</v>
      </c>
      <c r="U13" t="n">
        <v>543.753300429012</v>
      </c>
      <c r="V13" t="n">
        <v>157.025143610336</v>
      </c>
      <c r="W13" t="n">
        <v>128.540088300008</v>
      </c>
      <c r="X13" t="n">
        <v>-144.067730966649</v>
      </c>
      <c r="Y13" t="n">
        <v>156.07337521387</v>
      </c>
      <c r="Z13" t="n">
        <v>182.222330982291</v>
      </c>
      <c r="AA13" t="n">
        <v>161.180963167072</v>
      </c>
      <c r="AB13" t="n">
        <v>161.282718825637</v>
      </c>
      <c r="AC13" t="n">
        <v>255.338993646111</v>
      </c>
      <c r="AD13" t="n">
        <v>245.754953979426</v>
      </c>
      <c r="AE13" t="n">
        <v>371.6</v>
      </c>
      <c r="AF13" t="n">
        <v>208.7</v>
      </c>
    </row>
    <row r="14">
      <c r="A14" t="s">
        <v>57</v>
      </c>
      <c r="B14" t="s">
        <v>298</v>
      </c>
      <c r="C14" t="s">
        <v>217</v>
      </c>
      <c r="D14" t="s">
        <v>299</v>
      </c>
      <c r="E14" t="s">
        <v>218</v>
      </c>
      <c r="F14" t="n">
        <v>10.5576621423798</v>
      </c>
      <c r="G14" t="n">
        <v>13.8916607136576</v>
      </c>
      <c r="H14" t="n">
        <v>14.8266763386154</v>
      </c>
      <c r="I14" t="n">
        <v>16.7605906436522</v>
      </c>
      <c r="J14" t="n">
        <v>18.362705925766</v>
      </c>
      <c r="K14" t="n">
        <v>23.4155310462787</v>
      </c>
      <c r="L14" t="n">
        <v>178.918673122848</v>
      </c>
      <c r="M14" t="n">
        <v>24.5851431181297</v>
      </c>
      <c r="N14" t="n">
        <v>29.9962272493926</v>
      </c>
      <c r="O14" t="n">
        <v>19.4093235143129</v>
      </c>
      <c r="P14" t="n">
        <v>10.3516392076335</v>
      </c>
      <c r="Q14" t="n">
        <v>20.7032784152671</v>
      </c>
      <c r="R14" t="n">
        <v>6.18847996108527</v>
      </c>
      <c r="S14" t="n">
        <v>12.5940995699279</v>
      </c>
      <c r="T14" t="n">
        <v>4.82773816847237</v>
      </c>
      <c r="U14" t="n">
        <v>15.4076750057629</v>
      </c>
      <c r="V14" t="n">
        <v>9.8976455335033</v>
      </c>
      <c r="W14" t="n">
        <v>-18.3667649075319</v>
      </c>
      <c r="X14" t="n">
        <v>11.8661683391358</v>
      </c>
      <c r="Y14" t="n">
        <v>26.5183066361556</v>
      </c>
      <c r="Z14" t="n">
        <v>6.37261632341724</v>
      </c>
      <c r="AA14" t="n">
        <v>7.70881006864989</v>
      </c>
      <c r="AB14" t="n">
        <v>7.81159420289855</v>
      </c>
      <c r="AC14" t="n">
        <v>7.81159420289855</v>
      </c>
      <c r="AD14" t="n">
        <v>7</v>
      </c>
      <c r="AE14" t="n">
        <v>6.3</v>
      </c>
      <c r="AF14" t="n">
        <v>6</v>
      </c>
    </row>
    <row r="15">
      <c r="A15" t="s">
        <v>57</v>
      </c>
      <c r="B15" t="s">
        <v>300</v>
      </c>
      <c r="C15" t="s">
        <v>217</v>
      </c>
      <c r="D15" t="s">
        <v>301</v>
      </c>
      <c r="E15" t="s">
        <v>218</v>
      </c>
      <c r="F15" t="n">
        <v>36.2282375231882</v>
      </c>
      <c r="G15" t="n">
        <v>48.8814822463606</v>
      </c>
      <c r="H15" t="n">
        <v>51.6531126830099</v>
      </c>
      <c r="I15" t="n">
        <v>63.0363815918248</v>
      </c>
      <c r="J15" t="n">
        <v>68.4061474311284</v>
      </c>
      <c r="K15" t="n">
        <v>85.626444961534</v>
      </c>
      <c r="L15" t="n">
        <v>207.638389993854</v>
      </c>
      <c r="M15" t="n">
        <v>130.476994795705</v>
      </c>
      <c r="N15" t="n">
        <v>58.1522468184304</v>
      </c>
      <c r="O15" t="n">
        <v>57.0296165709704</v>
      </c>
      <c r="P15" t="n">
        <v>33.5203663474343</v>
      </c>
      <c r="Q15" t="n">
        <v>69.2606245059569</v>
      </c>
      <c r="R15" t="n">
        <v>27.5085368916909</v>
      </c>
      <c r="S15" t="n">
        <v>70.9486588557896</v>
      </c>
      <c r="T15" t="n">
        <v>22.4048396386704</v>
      </c>
      <c r="U15" t="n">
        <v>30.3846455373749</v>
      </c>
      <c r="V15" t="n">
        <v>43.7986027645772</v>
      </c>
      <c r="W15" t="n">
        <v>-20.7840591822647</v>
      </c>
      <c r="X15" t="n">
        <v>24.4699021899569</v>
      </c>
      <c r="Y15" t="n">
        <v>89.2793084085457</v>
      </c>
      <c r="Z15" t="n">
        <v>24.618207467345</v>
      </c>
      <c r="AA15" t="n">
        <v>31.2579729668364</v>
      </c>
      <c r="AB15" t="n">
        <v>31.8688779759602</v>
      </c>
      <c r="AC15" t="n">
        <v>47.1457051961824</v>
      </c>
      <c r="AD15" t="n">
        <v>70.3652173913043</v>
      </c>
      <c r="AE15" t="n">
        <v>57.8</v>
      </c>
      <c r="AF15" t="n">
        <v>44.5</v>
      </c>
    </row>
    <row r="16">
      <c r="A16" t="s">
        <v>57</v>
      </c>
      <c r="B16" t="s">
        <v>302</v>
      </c>
      <c r="C16" t="s">
        <v>217</v>
      </c>
      <c r="D16" t="s">
        <v>303</v>
      </c>
      <c r="E16" t="s">
        <v>218</v>
      </c>
      <c r="F16" t="n">
        <v>26.0349801909996</v>
      </c>
      <c r="G16" t="n">
        <v>35.4660189336577</v>
      </c>
      <c r="H16" t="n">
        <v>37.3392241590269</v>
      </c>
      <c r="I16" t="n">
        <v>46.8260628704409</v>
      </c>
      <c r="J16" t="n">
        <v>50.6509640455017</v>
      </c>
      <c r="K16" t="n">
        <v>62.9874986139611</v>
      </c>
      <c r="L16" t="n">
        <v>36.4664465659775</v>
      </c>
      <c r="M16" t="n">
        <v>106.706432874599</v>
      </c>
      <c r="N16" t="n">
        <v>29.3975661547265</v>
      </c>
      <c r="O16" t="n">
        <v>38.3397916010311</v>
      </c>
      <c r="P16" t="n">
        <v>23.5419772988787</v>
      </c>
      <c r="Q16" t="n">
        <v>49.3048958523687</v>
      </c>
      <c r="R16" t="n">
        <v>21.5504842798433</v>
      </c>
      <c r="S16" t="n">
        <v>58.8904322894727</v>
      </c>
      <c r="T16" t="n">
        <v>17.750662214912</v>
      </c>
      <c r="U16" t="n">
        <v>15.1706241022794</v>
      </c>
      <c r="V16" t="n">
        <v>34.236408447036</v>
      </c>
      <c r="W16" t="n">
        <v>-2.55495585425642</v>
      </c>
      <c r="X16" t="n">
        <v>12.6725810371118</v>
      </c>
      <c r="Y16" t="n">
        <v>62.8519140147079</v>
      </c>
      <c r="Z16" t="n">
        <v>18.2637867023258</v>
      </c>
      <c r="AA16" t="n">
        <v>23.5694677555154</v>
      </c>
      <c r="AB16" t="n">
        <v>24.0774304226602</v>
      </c>
      <c r="AC16" t="n">
        <v>39.3534472034236</v>
      </c>
      <c r="AD16" t="n">
        <v>63.369140625</v>
      </c>
      <c r="AE16" t="n">
        <v>51.5</v>
      </c>
      <c r="AF16" t="n">
        <v>38.5</v>
      </c>
    </row>
    <row r="17">
      <c r="A17" t="s">
        <v>57</v>
      </c>
      <c r="B17" t="s">
        <v>304</v>
      </c>
      <c r="C17" t="s">
        <v>217</v>
      </c>
      <c r="D17" t="s">
        <v>305</v>
      </c>
      <c r="E17" t="s">
        <v>218</v>
      </c>
      <c r="F17" t="n">
        <v>9.54674794145678</v>
      </c>
      <c r="G17" t="n">
        <v>13.1267784195031</v>
      </c>
      <c r="H17" t="n">
        <v>13.7518631061461</v>
      </c>
      <c r="I17" t="n">
        <v>16.7943106960014</v>
      </c>
      <c r="J17" t="n">
        <v>16.219163069426</v>
      </c>
      <c r="K17" t="n">
        <v>22.8008524309322</v>
      </c>
      <c r="L17" t="n">
        <v>17.8096210530167</v>
      </c>
      <c r="M17" t="n">
        <v>19.479273026737</v>
      </c>
      <c r="N17" t="n">
        <v>12.6893550002744</v>
      </c>
      <c r="O17" t="n">
        <v>22.929887105759</v>
      </c>
      <c r="P17" t="n">
        <v>21.9280959215268</v>
      </c>
      <c r="Q17" t="n">
        <v>35.0849534744429</v>
      </c>
      <c r="R17" t="n">
        <v>29.8436037175902</v>
      </c>
      <c r="S17" t="n">
        <v>44.4014591895854</v>
      </c>
      <c r="T17" t="n">
        <v>38.7245602977662</v>
      </c>
      <c r="U17" t="n">
        <v>22.3294867171535</v>
      </c>
      <c r="V17" t="n">
        <v>32.9435028248588</v>
      </c>
      <c r="W17" t="n">
        <v>9.88305084745763</v>
      </c>
      <c r="X17" t="n">
        <v>16.4381355932203</v>
      </c>
      <c r="Y17" t="n">
        <v>9.88305084745763</v>
      </c>
      <c r="Z17" t="n">
        <v>12.0008474576271</v>
      </c>
      <c r="AA17" t="n">
        <v>11.9</v>
      </c>
      <c r="AB17" t="n">
        <v>11.9</v>
      </c>
      <c r="AC17" t="n">
        <v>12.6</v>
      </c>
      <c r="AD17" t="n">
        <v>11.7</v>
      </c>
      <c r="AE17" t="n">
        <v>11.8</v>
      </c>
      <c r="AF17" t="n">
        <v>17.7</v>
      </c>
    </row>
    <row r="18">
      <c r="A18" t="s">
        <v>57</v>
      </c>
      <c r="B18" t="s">
        <v>306</v>
      </c>
      <c r="C18" t="s">
        <v>217</v>
      </c>
      <c r="D18" t="s">
        <v>307</v>
      </c>
      <c r="E18" t="s">
        <v>218</v>
      </c>
      <c r="F18" t="n">
        <v>12.8505528193788</v>
      </c>
      <c r="G18" t="n">
        <v>17.4599902437212</v>
      </c>
      <c r="H18" t="n">
        <v>18.3858988172519</v>
      </c>
      <c r="I18" t="n">
        <v>22.2430803873047</v>
      </c>
      <c r="J18" t="n">
        <v>23.0985834791241</v>
      </c>
      <c r="K18" t="n">
        <v>30.4651587508448</v>
      </c>
      <c r="L18" t="n">
        <v>27.6955988644044</v>
      </c>
      <c r="M18" t="n">
        <v>29.9348174959945</v>
      </c>
      <c r="N18" t="n">
        <v>16.2637984820758</v>
      </c>
      <c r="O18" t="n">
        <v>30.5240855569393</v>
      </c>
      <c r="P18" t="n">
        <v>17.3916301429073</v>
      </c>
      <c r="Q18" t="n">
        <v>17.625074842812</v>
      </c>
      <c r="R18" t="n">
        <v>19.4444374072314</v>
      </c>
      <c r="S18" t="n">
        <v>28.7247370788645</v>
      </c>
      <c r="T18" t="n">
        <v>22.2938257925516</v>
      </c>
      <c r="U18" t="n">
        <v>36.3070877192983</v>
      </c>
      <c r="V18" t="n">
        <v>9.81557894736842</v>
      </c>
      <c r="W18" t="n">
        <v>26.1052631578947</v>
      </c>
      <c r="X18" t="n">
        <v>2.8421052631579</v>
      </c>
      <c r="Y18" t="n">
        <v>2.8421052631579</v>
      </c>
      <c r="Z18" t="n">
        <v>2.63157894736842</v>
      </c>
      <c r="AA18" t="n">
        <v>4</v>
      </c>
      <c r="AB18" t="n">
        <v>4</v>
      </c>
      <c r="AC18" t="n">
        <v>2.52631578947368</v>
      </c>
      <c r="AD18" t="n">
        <v>1.68421052631579</v>
      </c>
      <c r="AE18" t="n">
        <v>2</v>
      </c>
      <c r="AF18" t="n">
        <v>3.3</v>
      </c>
    </row>
    <row r="19">
      <c r="A19" t="s">
        <v>57</v>
      </c>
      <c r="B19" t="s">
        <v>308</v>
      </c>
      <c r="C19" t="s">
        <v>217</v>
      </c>
      <c r="D19" t="s">
        <v>309</v>
      </c>
      <c r="E19" t="s">
        <v>218</v>
      </c>
      <c r="F19" t="n">
        <v>22.3066498264553</v>
      </c>
      <c r="G19" t="n">
        <v>30.8044211889145</v>
      </c>
      <c r="H19" t="n">
        <v>32.3070758810567</v>
      </c>
      <c r="I19" t="n">
        <v>40.4752799717389</v>
      </c>
      <c r="J19" t="n">
        <v>41.5190550999499</v>
      </c>
      <c r="K19" t="n">
        <v>54.7242560056647</v>
      </c>
      <c r="L19" t="n">
        <v>63.90232829173</v>
      </c>
      <c r="M19" t="n">
        <v>75.7152586977717</v>
      </c>
      <c r="N19" t="n">
        <v>39.9389551823313</v>
      </c>
      <c r="O19" t="n">
        <v>77.1853965321458</v>
      </c>
      <c r="P19" t="n">
        <v>45.0529024881957</v>
      </c>
      <c r="Q19" t="n">
        <v>68.8586336794893</v>
      </c>
      <c r="R19" t="n">
        <v>40.9459067778667</v>
      </c>
      <c r="S19" t="n">
        <v>87.3017649693893</v>
      </c>
      <c r="T19" t="n">
        <v>30.9215224212713</v>
      </c>
      <c r="U19" t="n">
        <v>18.5324356233447</v>
      </c>
      <c r="V19" t="n">
        <v>18.8362460433996</v>
      </c>
      <c r="W19" t="n">
        <v>2.93683406053004</v>
      </c>
      <c r="X19" t="n">
        <v>13.165118202376</v>
      </c>
      <c r="Y19" t="n">
        <v>25.0137245845145</v>
      </c>
      <c r="Z19" t="n">
        <v>17.4184640831437</v>
      </c>
      <c r="AA19" t="n">
        <v>7.59526050137079</v>
      </c>
      <c r="AB19" t="n">
        <v>8.20288134148045</v>
      </c>
      <c r="AC19" t="n">
        <v>26.2289662647338</v>
      </c>
      <c r="AD19" t="n">
        <v>36.6196721311475</v>
      </c>
      <c r="AE19" t="n">
        <v>30.6</v>
      </c>
      <c r="AF19" t="n">
        <v>34.8</v>
      </c>
    </row>
    <row r="20">
      <c r="A20" t="s">
        <v>57</v>
      </c>
      <c r="B20" t="s">
        <v>310</v>
      </c>
      <c r="C20" t="s">
        <v>217</v>
      </c>
      <c r="D20" t="s">
        <v>311</v>
      </c>
      <c r="E20" t="s">
        <v>218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14.6626139955255</v>
      </c>
      <c r="W20" t="n">
        <v>2.41029271159322</v>
      </c>
      <c r="X20" t="n">
        <v>-2.93426938802653</v>
      </c>
      <c r="Y20" t="n">
        <v>6.57681069730086</v>
      </c>
      <c r="Z20" t="n">
        <v>399.161818474644</v>
      </c>
      <c r="AA20" t="n">
        <v>46.0105635046607</v>
      </c>
      <c r="AB20" t="n">
        <v>46.4141649389121</v>
      </c>
      <c r="AC20" t="n">
        <v>506.923401419771</v>
      </c>
      <c r="AD20" t="n">
        <v>600.582001682086</v>
      </c>
      <c r="AE20" t="n">
        <v>1069</v>
      </c>
      <c r="AF20" t="n">
        <v>878</v>
      </c>
    </row>
    <row r="21">
      <c r="A21" t="s">
        <v>57</v>
      </c>
      <c r="B21" t="s">
        <v>312</v>
      </c>
      <c r="C21" t="s">
        <v>217</v>
      </c>
      <c r="D21" t="s">
        <v>313</v>
      </c>
      <c r="E21" t="s">
        <v>218</v>
      </c>
      <c r="F21" t="n">
        <v>2.87684621004721</v>
      </c>
      <c r="G21" t="n">
        <v>4.01174884336859</v>
      </c>
      <c r="H21" t="n">
        <v>4.46340268666174</v>
      </c>
      <c r="I21" t="n">
        <v>5.23848459033354</v>
      </c>
      <c r="J21" t="n">
        <v>5.96011256961419</v>
      </c>
      <c r="K21" t="n">
        <v>8.23732539102338</v>
      </c>
      <c r="L21" t="n">
        <v>17.8528803221791</v>
      </c>
      <c r="M21" t="n">
        <v>42.0676986597203</v>
      </c>
      <c r="N21" t="n">
        <v>9.86045420813826</v>
      </c>
      <c r="O21" t="n">
        <v>22.6617456362476</v>
      </c>
      <c r="P21" t="n">
        <v>12.1860330308124</v>
      </c>
      <c r="Q21" t="n">
        <v>60.8232701274758</v>
      </c>
      <c r="R21" t="n">
        <v>36.7891183266708</v>
      </c>
      <c r="S21" t="n">
        <v>30.7785018113274</v>
      </c>
      <c r="T21" t="n">
        <v>38.8298317553501</v>
      </c>
      <c r="U21" t="n">
        <v>118.618546093367</v>
      </c>
      <c r="V21" t="n">
        <v>146.606056542995</v>
      </c>
      <c r="W21" t="n">
        <v>132.792418478077</v>
      </c>
      <c r="X21" t="n">
        <v>97.5162645617636</v>
      </c>
      <c r="Y21" t="n">
        <v>162.324581612157</v>
      </c>
      <c r="Z21" t="n">
        <v>484.750120430824</v>
      </c>
      <c r="AA21" t="n">
        <v>143.166632905942</v>
      </c>
      <c r="AB21" t="n">
        <v>138.535363487044</v>
      </c>
      <c r="AC21" t="n">
        <v>618.26699337886</v>
      </c>
      <c r="AD21" t="n">
        <v>716.618509241665</v>
      </c>
      <c r="AE21" t="n">
        <v>1156.7</v>
      </c>
      <c r="AF21" t="n">
        <v>1033.1</v>
      </c>
    </row>
    <row r="22">
      <c r="A22" t="s">
        <v>57</v>
      </c>
      <c r="B22" t="s">
        <v>314</v>
      </c>
      <c r="C22" t="s">
        <v>217</v>
      </c>
      <c r="D22" t="s">
        <v>315</v>
      </c>
      <c r="E22" t="s">
        <v>218</v>
      </c>
      <c r="F22" t="n">
        <v>0.109822333243097</v>
      </c>
      <c r="G22" t="n">
        <v>0.166767246776555</v>
      </c>
      <c r="H22" t="n">
        <v>0.194561787905981</v>
      </c>
      <c r="I22" t="n">
        <v>0.241524978090184</v>
      </c>
      <c r="J22" t="n">
        <v>0.29958386705417</v>
      </c>
      <c r="K22" t="n">
        <v>0.411293105616742</v>
      </c>
      <c r="L22" t="n">
        <v>1.40775932898088</v>
      </c>
      <c r="M22" t="n">
        <v>1.06055411331295</v>
      </c>
      <c r="N22" t="n">
        <v>0.915425655701705</v>
      </c>
      <c r="O22" t="n">
        <v>13.1973865363663</v>
      </c>
      <c r="P22" t="n">
        <v>6.27940165843233</v>
      </c>
      <c r="Q22" t="n">
        <v>51.193088096711</v>
      </c>
      <c r="R22" t="n">
        <v>28.0093330365202</v>
      </c>
      <c r="S22" t="n">
        <v>20.0802203754464</v>
      </c>
      <c r="T22" t="n">
        <v>28.0920254747407</v>
      </c>
      <c r="U22" t="n">
        <v>118.330078528494</v>
      </c>
      <c r="V22" t="n">
        <v>131.533860715234</v>
      </c>
      <c r="W22" t="n">
        <v>130.025444881344</v>
      </c>
      <c r="X22" t="n">
        <v>100.019572985649</v>
      </c>
      <c r="Y22" t="n">
        <v>155.070668600734</v>
      </c>
      <c r="Z22" t="n">
        <v>85.6360408690622</v>
      </c>
      <c r="AA22" t="n">
        <v>96.8933607955117</v>
      </c>
      <c r="AB22" t="n">
        <v>91.8781764893258</v>
      </c>
      <c r="AC22" t="n">
        <v>111.379671280277</v>
      </c>
      <c r="AD22" t="n">
        <v>116.1</v>
      </c>
      <c r="AE22" t="n">
        <v>87.7</v>
      </c>
      <c r="AF22" t="n">
        <v>155.1</v>
      </c>
    </row>
    <row r="23">
      <c r="A23" t="s">
        <v>57</v>
      </c>
      <c r="B23" t="s">
        <v>316</v>
      </c>
      <c r="C23" t="s">
        <v>217</v>
      </c>
      <c r="D23" t="s">
        <v>317</v>
      </c>
      <c r="E23" t="s">
        <v>218</v>
      </c>
      <c r="F23" t="n">
        <v>150.541543748094</v>
      </c>
      <c r="G23" t="n">
        <v>200.52418563922</v>
      </c>
      <c r="H23" t="n">
        <v>211.019326758422</v>
      </c>
      <c r="I23" t="n">
        <v>269.665974442183</v>
      </c>
      <c r="J23" t="n">
        <v>316.798088028091</v>
      </c>
      <c r="K23" t="n">
        <v>355.27172668791</v>
      </c>
      <c r="L23" t="n">
        <v>672.872399597705</v>
      </c>
      <c r="M23" t="n">
        <v>574.947737491698</v>
      </c>
      <c r="N23" t="n">
        <v>452.824451095455</v>
      </c>
      <c r="O23" t="n">
        <v>555.513606854394</v>
      </c>
      <c r="P23" t="n">
        <v>366.466034795518</v>
      </c>
      <c r="Q23" t="n">
        <v>675.687041458759</v>
      </c>
      <c r="R23" t="n">
        <v>918.334445008207</v>
      </c>
      <c r="S23" t="n">
        <v>1165.54246833444</v>
      </c>
      <c r="T23" t="n">
        <v>567.003416914964</v>
      </c>
      <c r="U23" t="n">
        <v>42.5501526345255</v>
      </c>
      <c r="V23" t="n">
        <v>11.989767585576</v>
      </c>
      <c r="W23" t="n">
        <v>56.883784560139</v>
      </c>
      <c r="X23" t="n">
        <v>144.432193013941</v>
      </c>
      <c r="Y23" t="n">
        <v>85.9348910158184</v>
      </c>
      <c r="Z23" t="n">
        <v>63.2538629979736</v>
      </c>
      <c r="AA23" t="n">
        <v>90.9161649073438</v>
      </c>
      <c r="AB23" t="n">
        <v>91.2755173378076</v>
      </c>
      <c r="AC23" t="n">
        <v>13.3072916666667</v>
      </c>
      <c r="AD23" t="n">
        <v>0.709722222222222</v>
      </c>
      <c r="AE23" t="n">
        <v>-7.3</v>
      </c>
      <c r="AF23" t="n">
        <v>93.7</v>
      </c>
    </row>
    <row r="24">
      <c r="A24" t="s">
        <v>57</v>
      </c>
      <c r="B24" t="s">
        <v>318</v>
      </c>
      <c r="C24" t="s">
        <v>217</v>
      </c>
      <c r="D24" t="s">
        <v>319</v>
      </c>
      <c r="E24" t="s">
        <v>218</v>
      </c>
      <c r="F24" t="n">
        <v>175.612796249735</v>
      </c>
      <c r="G24" t="n">
        <v>219.012133042898</v>
      </c>
      <c r="H24" t="n">
        <v>230.680812262396</v>
      </c>
      <c r="I24" t="n">
        <v>263.670648854761</v>
      </c>
      <c r="J24" t="n">
        <v>318.533061890011</v>
      </c>
      <c r="K24" t="n">
        <v>358.304906512949</v>
      </c>
      <c r="L24" t="n">
        <v>405.307101034518</v>
      </c>
      <c r="M24" t="n">
        <v>657.817612737397</v>
      </c>
      <c r="N24" t="n">
        <v>616.422797161583</v>
      </c>
      <c r="O24" t="n">
        <v>874.193406590192</v>
      </c>
      <c r="P24" t="n">
        <v>1110.05617818744</v>
      </c>
      <c r="Q24" t="n">
        <v>1829.46502152281</v>
      </c>
      <c r="R24" t="n">
        <v>1741.42751292167</v>
      </c>
      <c r="S24" t="n">
        <v>1103.53849133962</v>
      </c>
      <c r="T24" t="n">
        <v>782.563547979633</v>
      </c>
      <c r="U24" t="n">
        <v>485.164530143093</v>
      </c>
      <c r="V24" t="n">
        <v>612.233876699732</v>
      </c>
      <c r="W24" t="n">
        <v>166.664807427653</v>
      </c>
      <c r="X24" t="n">
        <v>285.814616961335</v>
      </c>
      <c r="Y24" t="n">
        <v>612.976737280548</v>
      </c>
      <c r="Z24" t="n">
        <v>487.862590162996</v>
      </c>
      <c r="AA24" t="n">
        <v>595.842294984064</v>
      </c>
      <c r="AB24" t="n">
        <v>616.055990887605</v>
      </c>
      <c r="AC24" t="n">
        <v>452.210225776725</v>
      </c>
      <c r="AD24" t="n">
        <v>528.462085308057</v>
      </c>
      <c r="AE24" t="n">
        <v>426</v>
      </c>
      <c r="AF24" t="n">
        <v>668.7</v>
      </c>
    </row>
    <row r="25">
      <c r="A25" t="s">
        <v>57</v>
      </c>
      <c r="B25" t="s">
        <v>320</v>
      </c>
      <c r="C25" t="s">
        <v>217</v>
      </c>
      <c r="D25" t="s">
        <v>321</v>
      </c>
      <c r="E25" t="s">
        <v>218</v>
      </c>
      <c r="F25" t="n">
        <v>11.3545927593637</v>
      </c>
      <c r="G25" t="n">
        <v>14.3563816497702</v>
      </c>
      <c r="H25" t="n">
        <v>15.1054102575843</v>
      </c>
      <c r="I25" t="n">
        <v>17.5222758987978</v>
      </c>
      <c r="J25" t="n">
        <v>21.0958979571052</v>
      </c>
      <c r="K25" t="n">
        <v>24.0096960174789</v>
      </c>
      <c r="L25" t="n">
        <v>50.9501530511758</v>
      </c>
      <c r="M25" t="n">
        <v>47.8689342921414</v>
      </c>
      <c r="N25" t="n">
        <v>46.229587227342</v>
      </c>
      <c r="O25" t="n">
        <v>76.6058627676099</v>
      </c>
      <c r="P25" t="n">
        <v>78.3822305999023</v>
      </c>
      <c r="Q25" t="n">
        <v>158.715886028018</v>
      </c>
      <c r="R25" t="n">
        <v>172.056914473335</v>
      </c>
      <c r="S25" t="n">
        <v>121.23363176791</v>
      </c>
      <c r="T25" t="n">
        <v>74.4116726548884</v>
      </c>
      <c r="U25" t="n">
        <v>52.6745671918436</v>
      </c>
      <c r="V25" t="n">
        <v>21.2704918946111</v>
      </c>
      <c r="W25" t="n">
        <v>3.41130530385272</v>
      </c>
      <c r="X25" t="n">
        <v>17.5733909592413</v>
      </c>
      <c r="Y25" t="n">
        <v>32.5624597185942</v>
      </c>
      <c r="Z25" t="n">
        <v>26.6702051028486</v>
      </c>
      <c r="AA25" t="n">
        <v>69.1983699965801</v>
      </c>
      <c r="AB25" t="n">
        <v>71.970411524633</v>
      </c>
      <c r="AC25" t="n">
        <v>41.7530472532977</v>
      </c>
      <c r="AD25" t="n">
        <v>23.0150943396226</v>
      </c>
      <c r="AE25" t="n">
        <v>21.4</v>
      </c>
      <c r="AF25" t="n">
        <v>14.1</v>
      </c>
    </row>
    <row r="26">
      <c r="A26" t="s">
        <v>57</v>
      </c>
      <c r="B26" t="s">
        <v>322</v>
      </c>
      <c r="C26" t="s">
        <v>217</v>
      </c>
      <c r="D26" t="s">
        <v>323</v>
      </c>
      <c r="E26" t="s">
        <v>218</v>
      </c>
      <c r="F26" t="n">
        <v>63.0434250907868</v>
      </c>
      <c r="G26" t="n">
        <v>79.170812904709</v>
      </c>
      <c r="H26" t="n">
        <v>83.3510318260776</v>
      </c>
      <c r="I26" t="n">
        <v>97.3245871616259</v>
      </c>
      <c r="J26" t="n">
        <v>116.485730372318</v>
      </c>
      <c r="K26" t="n">
        <v>130.099408210546</v>
      </c>
      <c r="L26" t="n">
        <v>235.554435130108</v>
      </c>
      <c r="M26" t="n">
        <v>307.791128570008</v>
      </c>
      <c r="N26" t="n">
        <v>230.034544078056</v>
      </c>
      <c r="O26" t="n">
        <v>493.41395840445</v>
      </c>
      <c r="P26" t="n">
        <v>511.467064588925</v>
      </c>
      <c r="Q26" t="n">
        <v>999.585026921627</v>
      </c>
      <c r="R26" t="n">
        <v>983.251584754636</v>
      </c>
      <c r="S26" t="n">
        <v>612.541585783002</v>
      </c>
      <c r="T26" t="n">
        <v>454.257050250306</v>
      </c>
      <c r="U26" t="n">
        <v>323.393895478992</v>
      </c>
      <c r="V26" t="n">
        <v>249.165641252704</v>
      </c>
      <c r="W26" t="n">
        <v>80.9456589567368</v>
      </c>
      <c r="X26" t="n">
        <v>118.225975168364</v>
      </c>
      <c r="Y26" t="n">
        <v>357.864886574847</v>
      </c>
      <c r="Z26" t="n">
        <v>300.495666157485</v>
      </c>
      <c r="AA26" t="n">
        <v>262.972049457997</v>
      </c>
      <c r="AB26" t="n">
        <v>265.625240488617</v>
      </c>
      <c r="AC26" t="n">
        <v>245.505195493687</v>
      </c>
      <c r="AD26" t="n">
        <v>268.930102622577</v>
      </c>
      <c r="AE26" t="n">
        <v>265.3</v>
      </c>
      <c r="AF26" t="n">
        <v>507.5</v>
      </c>
    </row>
    <row r="27">
      <c r="A27" t="s">
        <v>57</v>
      </c>
      <c r="B27" t="s">
        <v>324</v>
      </c>
      <c r="C27" t="s">
        <v>217</v>
      </c>
      <c r="D27" t="s">
        <v>325</v>
      </c>
      <c r="E27" t="s">
        <v>218</v>
      </c>
      <c r="F27" t="n">
        <v>101.667419041763</v>
      </c>
      <c r="G27" t="n">
        <v>126.029491342266</v>
      </c>
      <c r="H27" t="n">
        <v>132.799670629247</v>
      </c>
      <c r="I27" t="n">
        <v>149.415364016034</v>
      </c>
      <c r="J27" t="n">
        <v>181.698683630743</v>
      </c>
      <c r="K27" t="n">
        <v>205.046117679168</v>
      </c>
      <c r="L27" t="n">
        <v>116.666194031536</v>
      </c>
      <c r="M27" t="n">
        <v>301.750578472528</v>
      </c>
      <c r="N27" t="n">
        <v>340.906443804308</v>
      </c>
      <c r="O27" t="n">
        <v>301.495958389789</v>
      </c>
      <c r="P27" t="n">
        <v>519.574970975087</v>
      </c>
      <c r="Q27" t="n">
        <v>667.529703347028</v>
      </c>
      <c r="R27" t="n">
        <v>581.699775843222</v>
      </c>
      <c r="S27" t="n">
        <v>366.668369110377</v>
      </c>
      <c r="T27" t="n">
        <v>251.909566564381</v>
      </c>
      <c r="U27" t="n">
        <v>107.095522906881</v>
      </c>
      <c r="V27" t="n">
        <v>342.602199366845</v>
      </c>
      <c r="W27" t="n">
        <v>82.41503496404</v>
      </c>
      <c r="X27" t="n">
        <v>150.347529017838</v>
      </c>
      <c r="Y27" t="n">
        <v>222.035727975132</v>
      </c>
      <c r="Z27" t="n">
        <v>160.081938708663</v>
      </c>
      <c r="AA27" t="n">
        <v>264.042007572503</v>
      </c>
      <c r="AB27" t="n">
        <v>278.917613632926</v>
      </c>
      <c r="AC27" t="n">
        <v>164.758855840688</v>
      </c>
      <c r="AD27" t="n">
        <v>236.718954248366</v>
      </c>
      <c r="AE27" t="n">
        <v>139.3</v>
      </c>
      <c r="AF27" t="n">
        <v>147.1</v>
      </c>
    </row>
    <row r="28">
      <c r="A28" t="s">
        <v>57</v>
      </c>
      <c r="B28" t="s">
        <v>326</v>
      </c>
      <c r="C28" t="s">
        <v>217</v>
      </c>
      <c r="D28" t="s">
        <v>327</v>
      </c>
      <c r="E28" t="s">
        <v>218</v>
      </c>
      <c r="F28" t="n">
        <v>85.839800681754</v>
      </c>
      <c r="G28" t="n">
        <v>104.840447300478</v>
      </c>
      <c r="H28" t="n">
        <v>109.845393277134</v>
      </c>
      <c r="I28" t="n">
        <v>131.151061891863</v>
      </c>
      <c r="J28" t="n">
        <v>163.540098692098</v>
      </c>
      <c r="K28" t="n">
        <v>202.432204880323</v>
      </c>
      <c r="L28" t="n">
        <v>227.662885488595</v>
      </c>
      <c r="M28" t="n">
        <v>414.570605002106</v>
      </c>
      <c r="N28" t="n">
        <v>409.382833557574</v>
      </c>
      <c r="O28" t="n">
        <v>431.557268039522</v>
      </c>
      <c r="P28" t="n">
        <v>74.4453206759238</v>
      </c>
      <c r="Q28" t="n">
        <v>59.556256540739</v>
      </c>
      <c r="R28" t="n">
        <v>113.619983093092</v>
      </c>
      <c r="S28" t="n">
        <v>196.68228126928</v>
      </c>
      <c r="T28" t="n">
        <v>381.958223342692</v>
      </c>
      <c r="U28" t="n">
        <v>65.9393405343076</v>
      </c>
      <c r="V28" t="n">
        <v>46.9690994882837</v>
      </c>
      <c r="W28" t="n">
        <v>7.20260488913206</v>
      </c>
      <c r="X28" t="n">
        <v>58.8555713797648</v>
      </c>
      <c r="Y28" t="n">
        <v>52.0763956187448</v>
      </c>
      <c r="Z28" t="n">
        <v>70.2569124323894</v>
      </c>
      <c r="AA28" t="n">
        <v>172.625426762552</v>
      </c>
      <c r="AB28" t="n">
        <v>183.427253938958</v>
      </c>
      <c r="AC28" t="n">
        <v>194.485644801428</v>
      </c>
      <c r="AD28" t="n">
        <v>41.9935185185185</v>
      </c>
      <c r="AE28" t="n">
        <v>21.7</v>
      </c>
      <c r="AF28" t="n">
        <v>187.7</v>
      </c>
    </row>
    <row r="29">
      <c r="A29" t="s">
        <v>57</v>
      </c>
      <c r="B29" t="s">
        <v>328</v>
      </c>
      <c r="C29" t="s">
        <v>217</v>
      </c>
      <c r="D29" t="s">
        <v>329</v>
      </c>
      <c r="E29" t="s">
        <v>218</v>
      </c>
      <c r="F29" t="n">
        <v>9.58757036769082</v>
      </c>
      <c r="G29" t="n">
        <v>11.5328745002658</v>
      </c>
      <c r="H29" t="n">
        <v>12.2033904595836</v>
      </c>
      <c r="I29" t="n">
        <v>12.7226836706297</v>
      </c>
      <c r="J29" t="n">
        <v>15.5915241061638</v>
      </c>
      <c r="K29" t="n">
        <v>18.7834896712052</v>
      </c>
      <c r="L29" t="n">
        <v>18.065649301605</v>
      </c>
      <c r="M29" t="n">
        <v>62.8778443224694</v>
      </c>
      <c r="N29" t="n">
        <v>37.2825879904605</v>
      </c>
      <c r="O29" t="n">
        <v>90.4426188159751</v>
      </c>
      <c r="P29" t="n">
        <v>23.2297208692922</v>
      </c>
      <c r="Q29" t="n">
        <v>25.1944236293816</v>
      </c>
      <c r="R29" t="n">
        <v>36.0404535326131</v>
      </c>
      <c r="S29" t="n">
        <v>47.2481555458037</v>
      </c>
      <c r="T29" t="n">
        <v>78.5675479463251</v>
      </c>
      <c r="U29" t="n">
        <v>2.35168170723694</v>
      </c>
      <c r="V29" t="n">
        <v>0.613482184496594</v>
      </c>
      <c r="W29" t="n">
        <v>-0.204494061498865</v>
      </c>
      <c r="X29" t="n">
        <v>0.92022327674489</v>
      </c>
      <c r="Y29" t="n">
        <v>3.78314013772899</v>
      </c>
      <c r="Z29" t="n">
        <v>2.45392873798637</v>
      </c>
      <c r="AA29" t="n">
        <v>2.45392873798637</v>
      </c>
      <c r="AB29" t="n">
        <v>8.73598630723149</v>
      </c>
      <c r="AC29" t="n">
        <v>6.55198973042362</v>
      </c>
      <c r="AD29" t="n">
        <v>5.65853658536585</v>
      </c>
      <c r="AE29" t="n">
        <v>4</v>
      </c>
      <c r="AF29" t="n">
        <v>1.7</v>
      </c>
    </row>
    <row r="30">
      <c r="A30" t="s">
        <v>57</v>
      </c>
      <c r="B30" t="s">
        <v>330</v>
      </c>
      <c r="C30" t="s">
        <v>217</v>
      </c>
      <c r="D30" t="s">
        <v>331</v>
      </c>
      <c r="E30" t="s">
        <v>218</v>
      </c>
      <c r="F30" t="e">
        <v>#NUM!</v>
      </c>
      <c r="G30" t="e">
        <v>#NUM!</v>
      </c>
      <c r="H30" t="e">
        <v>#NUM!</v>
      </c>
      <c r="I30" t="e">
        <v>#NUM!</v>
      </c>
      <c r="J30" t="e">
        <v>#NUM!</v>
      </c>
      <c r="K30" t="e">
        <v>#NUM!</v>
      </c>
      <c r="L30" t="e">
        <v>#NUM!</v>
      </c>
      <c r="M30" t="e">
        <v>#NUM!</v>
      </c>
      <c r="N30" t="e">
        <v>#NUM!</v>
      </c>
      <c r="O30" t="e">
        <v>#NUM!</v>
      </c>
      <c r="P30" t="e">
        <v>#NUM!</v>
      </c>
      <c r="Q30" t="e">
        <v>#NUM!</v>
      </c>
      <c r="R30" t="e">
        <v>#NUM!</v>
      </c>
      <c r="S30" t="e">
        <v>#NUM!</v>
      </c>
      <c r="T30" t="e">
        <v>#NUM!</v>
      </c>
      <c r="U30" t="e">
        <v>#NUM!</v>
      </c>
      <c r="V30" t="n">
        <v>0</v>
      </c>
      <c r="W30" t="e">
        <v>#NUM!</v>
      </c>
      <c r="X30" t="e">
        <v>#NUM!</v>
      </c>
      <c r="Y30" t="e">
        <v>#NUM!</v>
      </c>
      <c r="Z30" t="e">
        <v>#NUM!</v>
      </c>
      <c r="AA30" t="e">
        <v>#NUM!</v>
      </c>
      <c r="AB30" t="e">
        <v>#NUM!</v>
      </c>
      <c r="AC30" t="n">
        <v>0</v>
      </c>
      <c r="AD30" t="n">
        <v>-0.3</v>
      </c>
      <c r="AE30" t="n">
        <v>-0.1</v>
      </c>
      <c r="AF30" t="n">
        <v>-0.4</v>
      </c>
    </row>
    <row r="31">
      <c r="A31" t="s">
        <v>57</v>
      </c>
      <c r="B31" t="s">
        <v>332</v>
      </c>
      <c r="C31" t="s">
        <v>217</v>
      </c>
      <c r="D31" t="s">
        <v>333</v>
      </c>
      <c r="E31" t="s">
        <v>218</v>
      </c>
      <c r="F31" t="e">
        <v>#NUM!</v>
      </c>
      <c r="G31" t="e">
        <v>#NUM!</v>
      </c>
      <c r="H31" t="e">
        <v>#NUM!</v>
      </c>
      <c r="I31" t="e">
        <v>#NUM!</v>
      </c>
      <c r="J31" t="e">
        <v>#NUM!</v>
      </c>
      <c r="K31" t="e">
        <v>#NUM!</v>
      </c>
      <c r="L31" t="e">
        <v>#NUM!</v>
      </c>
      <c r="M31" t="e">
        <v>#NUM!</v>
      </c>
      <c r="N31" t="e">
        <v>#NUM!</v>
      </c>
      <c r="O31" t="e">
        <v>#NUM!</v>
      </c>
      <c r="P31" t="e">
        <v>#NUM!</v>
      </c>
      <c r="Q31" t="e">
        <v>#NUM!</v>
      </c>
      <c r="R31" t="e">
        <v>#NUM!</v>
      </c>
      <c r="S31" t="e">
        <v>#NUM!</v>
      </c>
      <c r="T31" t="e">
        <v>#NUM!</v>
      </c>
      <c r="U31" t="n">
        <v>0</v>
      </c>
      <c r="V31" t="e">
        <v>#NUM!</v>
      </c>
      <c r="W31" t="e">
        <v>#NUM!</v>
      </c>
      <c r="X31" t="n">
        <v>0</v>
      </c>
      <c r="Y31" t="e">
        <v>#NUM!</v>
      </c>
      <c r="Z31" t="e">
        <v>#NUM!</v>
      </c>
      <c r="AA31" t="e">
        <v>#NUM!</v>
      </c>
      <c r="AB31" t="e">
        <v>#NUM!</v>
      </c>
      <c r="AC31" t="e">
        <v>#NUM!</v>
      </c>
      <c r="AD31" t="e">
        <v>#NUM!</v>
      </c>
      <c r="AE31" t="n">
        <v>0</v>
      </c>
      <c r="AF31" t="e">
        <v>#NUM!</v>
      </c>
    </row>
    <row r="32">
      <c r="A32" t="s">
        <v>57</v>
      </c>
      <c r="B32" t="s">
        <v>334</v>
      </c>
      <c r="C32" t="s">
        <v>217</v>
      </c>
      <c r="D32" t="s">
        <v>335</v>
      </c>
      <c r="E32" t="s">
        <v>218</v>
      </c>
      <c r="F32" t="n">
        <v>5.69215597375398</v>
      </c>
      <c r="G32" t="n">
        <v>6.75116173631285</v>
      </c>
      <c r="H32" t="n">
        <v>7.13330296667019</v>
      </c>
      <c r="I32" t="n">
        <v>7.50226691322209</v>
      </c>
      <c r="J32" t="n">
        <v>9.7295024030849</v>
      </c>
      <c r="K32" t="n">
        <v>11.7222920519095</v>
      </c>
      <c r="L32" t="n">
        <v>14.8252517127091</v>
      </c>
      <c r="M32" t="n">
        <v>18.899366687194</v>
      </c>
      <c r="N32" t="n">
        <v>26.4817473341521</v>
      </c>
      <c r="O32" t="n">
        <v>80.5866966289285</v>
      </c>
      <c r="P32" t="n">
        <v>21.459346977675</v>
      </c>
      <c r="Q32" t="n">
        <v>24.3502434617141</v>
      </c>
      <c r="R32" t="n">
        <v>36.2548069318855</v>
      </c>
      <c r="S32" t="n">
        <v>91.4801523746412</v>
      </c>
      <c r="T32" t="n">
        <v>257.113889368637</v>
      </c>
      <c r="U32" t="n">
        <v>58.1603700363941</v>
      </c>
      <c r="V32" t="n">
        <v>44.817097751337</v>
      </c>
      <c r="W32" t="n">
        <v>9.67641883267502</v>
      </c>
      <c r="X32" t="n">
        <v>47.558569156339</v>
      </c>
      <c r="Y32" t="n">
        <v>45.1960484423092</v>
      </c>
      <c r="Z32" t="n">
        <v>62.4527214839181</v>
      </c>
      <c r="AA32" t="n">
        <v>164.322324560145</v>
      </c>
      <c r="AB32" t="n">
        <v>168.711057452124</v>
      </c>
      <c r="AC32" t="n">
        <v>183.430132861606</v>
      </c>
      <c r="AD32" t="n">
        <v>33.001226993865</v>
      </c>
      <c r="AE32" t="n">
        <v>16.4</v>
      </c>
      <c r="AF32" t="n">
        <v>86.4</v>
      </c>
    </row>
    <row r="33">
      <c r="A33" t="s">
        <v>57</v>
      </c>
      <c r="B33" t="s">
        <v>336</v>
      </c>
      <c r="C33" t="s">
        <v>217</v>
      </c>
      <c r="D33" t="s">
        <v>337</v>
      </c>
      <c r="E33" t="s">
        <v>218</v>
      </c>
      <c r="F33" t="n">
        <v>13.4778214301323</v>
      </c>
      <c r="G33" t="n">
        <v>16.9876707608959</v>
      </c>
      <c r="H33" t="n">
        <v>17.9389803235061</v>
      </c>
      <c r="I33" t="n">
        <v>18.9865120212291</v>
      </c>
      <c r="J33" t="n">
        <v>22.1092936036681</v>
      </c>
      <c r="K33" t="n">
        <v>25.1071639228095</v>
      </c>
      <c r="L33" t="n">
        <v>4.50953915118424</v>
      </c>
      <c r="M33" t="n">
        <v>9.13775038529437</v>
      </c>
      <c r="N33" t="n">
        <v>8.18837372188717</v>
      </c>
      <c r="O33" t="n">
        <v>11.0365037121088</v>
      </c>
      <c r="P33" t="n">
        <v>27.6518994105583</v>
      </c>
      <c r="Q33" t="n">
        <v>7.12066079241844</v>
      </c>
      <c r="R33" t="n">
        <v>40.2725897276125</v>
      </c>
      <c r="S33" t="n">
        <v>40.0444164147082</v>
      </c>
      <c r="T33" t="n">
        <v>42.0522144522144</v>
      </c>
      <c r="U33" t="n">
        <v>5.1039627039627</v>
      </c>
      <c r="V33" t="n">
        <v>1.9972027972028</v>
      </c>
      <c r="W33" t="n">
        <v>0.443822843822844</v>
      </c>
      <c r="X33" t="n">
        <v>1.22051282051282</v>
      </c>
      <c r="Y33" t="n">
        <v>1.33146853146853</v>
      </c>
      <c r="Z33" t="n">
        <v>3.66153846153846</v>
      </c>
      <c r="AA33" t="n">
        <v>4.09230769230769</v>
      </c>
      <c r="AB33" t="n">
        <v>4.09230769230769</v>
      </c>
      <c r="AC33" t="n">
        <v>2.58461538461538</v>
      </c>
      <c r="AD33" t="n">
        <v>3.55384615384615</v>
      </c>
      <c r="AE33" t="n">
        <v>1.4</v>
      </c>
      <c r="AF33" t="n">
        <v>3.4</v>
      </c>
    </row>
    <row r="34">
      <c r="A34" t="s">
        <v>57</v>
      </c>
      <c r="B34" t="s">
        <v>338</v>
      </c>
      <c r="C34" t="s">
        <v>217</v>
      </c>
      <c r="D34" t="s">
        <v>339</v>
      </c>
      <c r="E34" t="s">
        <v>218</v>
      </c>
      <c r="F34" t="n">
        <v>135.310189124084</v>
      </c>
      <c r="G34" t="n">
        <v>164.353700129655</v>
      </c>
      <c r="H34" t="n">
        <v>176.24424113582</v>
      </c>
      <c r="I34" t="n">
        <v>177.38539089857</v>
      </c>
      <c r="J34" t="n">
        <v>209.648348062689</v>
      </c>
      <c r="K34" t="n">
        <v>282.35668745345</v>
      </c>
      <c r="L34" t="n">
        <v>235.024544068248</v>
      </c>
      <c r="M34" t="n">
        <v>188.201472426025</v>
      </c>
      <c r="N34" t="n">
        <v>173.195000104285</v>
      </c>
      <c r="O34" t="n">
        <v>270.801618773804</v>
      </c>
      <c r="P34" t="n">
        <v>351.22636766717</v>
      </c>
      <c r="Q34" t="n">
        <v>591.91277168933</v>
      </c>
      <c r="R34" t="n">
        <v>592.465857814998</v>
      </c>
      <c r="S34" t="n">
        <v>889.457802279727</v>
      </c>
      <c r="T34" t="n">
        <v>545.916182803926</v>
      </c>
      <c r="U34" t="n">
        <v>465.431934708682</v>
      </c>
      <c r="V34" t="n">
        <v>340.514402522045</v>
      </c>
      <c r="W34" t="n">
        <v>154.610832100396</v>
      </c>
      <c r="X34" t="n">
        <v>190.314136701893</v>
      </c>
      <c r="Y34" t="n">
        <v>469.372016052177</v>
      </c>
      <c r="Z34" t="n">
        <v>403.797984397829</v>
      </c>
      <c r="AA34" t="n">
        <v>353.492135118923</v>
      </c>
      <c r="AB34" t="n">
        <v>381.089328123821</v>
      </c>
      <c r="AC34" t="n">
        <v>190.13489059081</v>
      </c>
      <c r="AD34" t="n">
        <v>251.121553610503</v>
      </c>
      <c r="AE34" t="n">
        <v>183.4</v>
      </c>
      <c r="AF34" t="n">
        <v>155.3</v>
      </c>
    </row>
    <row r="35">
      <c r="A35" t="s">
        <v>57</v>
      </c>
      <c r="B35" t="s">
        <v>340</v>
      </c>
      <c r="C35" t="s">
        <v>217</v>
      </c>
      <c r="D35" t="s">
        <v>341</v>
      </c>
      <c r="E35" t="s">
        <v>218</v>
      </c>
      <c r="F35" t="n">
        <v>187.701880043376</v>
      </c>
      <c r="G35" t="n">
        <v>240.341073086628</v>
      </c>
      <c r="H35" t="n">
        <v>253.544058628091</v>
      </c>
      <c r="I35" t="n">
        <v>277.053689618894</v>
      </c>
      <c r="J35" t="n">
        <v>318.034772552012</v>
      </c>
      <c r="K35" t="n">
        <v>367.09620195691</v>
      </c>
      <c r="L35" t="n">
        <v>287.967975463053</v>
      </c>
      <c r="M35" t="n">
        <v>389.093511849972</v>
      </c>
      <c r="N35" t="n">
        <v>253.75223037011</v>
      </c>
      <c r="O35" t="n">
        <v>297.953577729825</v>
      </c>
      <c r="P35" t="n">
        <v>247.541721539148</v>
      </c>
      <c r="Q35" t="n">
        <v>404.534473776211</v>
      </c>
      <c r="R35" t="n">
        <v>366.095008994848</v>
      </c>
      <c r="S35" t="n">
        <v>571.063765410561</v>
      </c>
      <c r="T35" t="n">
        <v>574.431704356608</v>
      </c>
      <c r="U35" t="n">
        <v>440.712504935465</v>
      </c>
      <c r="V35" t="n">
        <v>247.747656766034</v>
      </c>
      <c r="W35" t="n">
        <v>159.849744004459</v>
      </c>
      <c r="X35" t="n">
        <v>127.431982278828</v>
      </c>
      <c r="Y35" t="n">
        <v>175.523196370304</v>
      </c>
      <c r="Z35" t="n">
        <v>144.514098344883</v>
      </c>
      <c r="AA35" t="n">
        <v>138.67121027164</v>
      </c>
      <c r="AB35" t="n">
        <v>145.7010702368</v>
      </c>
      <c r="AC35" t="n">
        <v>78.7836227582161</v>
      </c>
      <c r="AD35" t="n">
        <v>87.7677200902934</v>
      </c>
      <c r="AE35" t="n">
        <v>132.7</v>
      </c>
      <c r="AF35" t="n">
        <v>617.6</v>
      </c>
    </row>
    <row r="36">
      <c r="A36" t="s">
        <v>57</v>
      </c>
      <c r="B36" t="s">
        <v>342</v>
      </c>
      <c r="C36" t="s">
        <v>217</v>
      </c>
      <c r="D36" t="s">
        <v>343</v>
      </c>
      <c r="E36" t="s">
        <v>218</v>
      </c>
      <c r="F36" t="n">
        <v>61.4608233756524</v>
      </c>
      <c r="G36" t="n">
        <v>79.6138091828072</v>
      </c>
      <c r="H36" t="n">
        <v>84.3188243444661</v>
      </c>
      <c r="I36" t="n">
        <v>97.1161494577397</v>
      </c>
      <c r="J36" t="n">
        <v>111.071591429288</v>
      </c>
      <c r="K36" t="n">
        <v>133.447384510577</v>
      </c>
      <c r="L36" t="n">
        <v>233.001594246045</v>
      </c>
      <c r="M36" t="n">
        <v>260.82268012617</v>
      </c>
      <c r="N36" t="n">
        <v>155.71664353416</v>
      </c>
      <c r="O36" t="n">
        <v>160.150242412563</v>
      </c>
      <c r="P36" t="n">
        <v>69.9770316199405</v>
      </c>
      <c r="Q36" t="n">
        <v>154.731821470179</v>
      </c>
      <c r="R36" t="n">
        <v>158.042164096525</v>
      </c>
      <c r="S36" t="n">
        <v>380.328258293295</v>
      </c>
      <c r="T36" t="n">
        <v>362.509971555807</v>
      </c>
      <c r="U36" t="n">
        <v>115.653587785396</v>
      </c>
      <c r="V36" t="n">
        <v>77.9709629957003</v>
      </c>
      <c r="W36" t="n">
        <v>34.9729986499139</v>
      </c>
      <c r="X36" t="n">
        <v>39.2574400799603</v>
      </c>
      <c r="Y36" t="n">
        <v>58.9361059724595</v>
      </c>
      <c r="Z36" t="n">
        <v>24.8730345544787</v>
      </c>
      <c r="AA36" t="n">
        <v>29.2506886360669</v>
      </c>
      <c r="AB36" t="n">
        <v>35.6957556236749</v>
      </c>
      <c r="AC36" t="n">
        <v>52.4001760826648</v>
      </c>
      <c r="AD36" t="n">
        <v>66.5002234636871</v>
      </c>
      <c r="AE36" t="n">
        <v>88.7</v>
      </c>
      <c r="AF36" t="n">
        <v>71.6</v>
      </c>
    </row>
    <row r="37">
      <c r="A37" t="s">
        <v>57</v>
      </c>
      <c r="B37" t="s">
        <v>344</v>
      </c>
      <c r="C37" t="s">
        <v>217</v>
      </c>
      <c r="D37" t="s">
        <v>345</v>
      </c>
      <c r="E37" t="s">
        <v>218</v>
      </c>
      <c r="F37" t="n">
        <v>97.8399869729989</v>
      </c>
      <c r="G37" t="n">
        <v>123.489370450064</v>
      </c>
      <c r="H37" t="n">
        <v>130.072810231732</v>
      </c>
      <c r="I37" t="n">
        <v>137.842646241149</v>
      </c>
      <c r="J37" t="n">
        <v>160.755075422755</v>
      </c>
      <c r="K37" t="n">
        <v>182.709625723349</v>
      </c>
      <c r="L37" t="n">
        <v>33.5042100959686</v>
      </c>
      <c r="M37" t="n">
        <v>68.0527072598635</v>
      </c>
      <c r="N37" t="n">
        <v>61.2907822072911</v>
      </c>
      <c r="O37" t="n">
        <v>81.432886938319</v>
      </c>
      <c r="P37" t="n">
        <v>144.182037912435</v>
      </c>
      <c r="Q37" t="n">
        <v>200.257759734379</v>
      </c>
      <c r="R37" t="n">
        <v>155.155458980043</v>
      </c>
      <c r="S37" t="n">
        <v>159.470224865413</v>
      </c>
      <c r="T37" t="n">
        <v>156.600804243516</v>
      </c>
      <c r="U37" t="n">
        <v>316.056761271583</v>
      </c>
      <c r="V37" t="n">
        <v>164.39455546546</v>
      </c>
      <c r="W37" t="n">
        <v>131.91198344739</v>
      </c>
      <c r="X37" t="n">
        <v>82.541920406662</v>
      </c>
      <c r="Y37" t="n">
        <v>88.997232221573</v>
      </c>
      <c r="Z37" t="n">
        <v>93.6631065322186</v>
      </c>
      <c r="AA37" t="n">
        <v>65.3483609630318</v>
      </c>
      <c r="AB37" t="n">
        <v>70.4654983426786</v>
      </c>
      <c r="AC37" t="n">
        <v>15.7720610008884</v>
      </c>
      <c r="AD37" t="n">
        <v>11.7622149837134</v>
      </c>
      <c r="AE37" t="n">
        <v>31.4</v>
      </c>
      <c r="AF37" t="n">
        <v>517.2</v>
      </c>
    </row>
    <row r="38">
      <c r="A38" t="s">
        <v>57</v>
      </c>
      <c r="B38" t="s">
        <v>346</v>
      </c>
      <c r="C38" t="s">
        <v>217</v>
      </c>
      <c r="D38" t="s">
        <v>347</v>
      </c>
      <c r="E38" t="s">
        <v>218</v>
      </c>
      <c r="F38" t="n">
        <v>14.6611110903703</v>
      </c>
      <c r="G38" t="n">
        <v>19.9816755989724</v>
      </c>
      <c r="H38" t="n">
        <v>21.0034658284653</v>
      </c>
      <c r="I38" t="n">
        <v>23.2888170325988</v>
      </c>
      <c r="J38" t="n">
        <v>24.2329582636501</v>
      </c>
      <c r="K38" t="n">
        <v>26.4455327138095</v>
      </c>
      <c r="L38" t="n">
        <v>29.0900859851904</v>
      </c>
      <c r="M38" t="n">
        <v>62.6479326165705</v>
      </c>
      <c r="N38" t="n">
        <v>34.7715726629707</v>
      </c>
      <c r="O38" t="n">
        <v>50.6839872714489</v>
      </c>
      <c r="P38" t="n">
        <v>13.290908599558</v>
      </c>
      <c r="Q38" t="n">
        <v>24.3997277275468</v>
      </c>
      <c r="R38" t="n">
        <v>34.4350996154894</v>
      </c>
      <c r="S38" t="n">
        <v>20.7194243449131</v>
      </c>
      <c r="T38" t="n">
        <v>43.73039792613</v>
      </c>
      <c r="U38" t="n">
        <v>-29.5962779890511</v>
      </c>
      <c r="V38" t="n">
        <v>-14.314539680979</v>
      </c>
      <c r="W38" t="n">
        <v>-23.3706770301698</v>
      </c>
      <c r="X38" t="n">
        <v>-4.18724630123875</v>
      </c>
      <c r="Y38" t="n">
        <v>17.4306299516683</v>
      </c>
      <c r="Z38" t="n">
        <v>14.4286881266587</v>
      </c>
      <c r="AA38" t="n">
        <v>36.1201387331793</v>
      </c>
      <c r="AB38" t="n">
        <v>30.8896268401233</v>
      </c>
      <c r="AC38" t="n">
        <v>9.72822663471414</v>
      </c>
      <c r="AD38" t="n">
        <v>9.22677165354331</v>
      </c>
      <c r="AE38" t="n">
        <v>12.6</v>
      </c>
      <c r="AF38" t="n">
        <v>28.8</v>
      </c>
    </row>
    <row r="39">
      <c r="A39" t="s">
        <v>57</v>
      </c>
      <c r="B39" t="s">
        <v>348</v>
      </c>
      <c r="C39" t="s">
        <v>217</v>
      </c>
      <c r="D39" t="s">
        <v>349</v>
      </c>
      <c r="E39" t="s">
        <v>218</v>
      </c>
      <c r="F39" t="n">
        <v>77.3579774993645</v>
      </c>
      <c r="G39" t="n">
        <v>93.7172874951317</v>
      </c>
      <c r="H39" t="n">
        <v>99.6754726603851</v>
      </c>
      <c r="I39" t="n">
        <v>94.3978303053226</v>
      </c>
      <c r="J39" t="n">
        <v>138.693072752573</v>
      </c>
      <c r="K39" t="n">
        <v>166.521456282215</v>
      </c>
      <c r="L39" t="n">
        <v>159.816631969862</v>
      </c>
      <c r="M39" t="n">
        <v>44.2046003320895</v>
      </c>
      <c r="N39" t="n">
        <v>31.2897170996738</v>
      </c>
      <c r="O39" t="n">
        <v>26.4106425688772</v>
      </c>
      <c r="P39" t="n">
        <v>47.2222289131525</v>
      </c>
      <c r="Q39" t="n">
        <v>73.5478532747147</v>
      </c>
      <c r="R39" t="n">
        <v>66.961478354591</v>
      </c>
      <c r="S39" t="n">
        <v>99.7154286930161</v>
      </c>
      <c r="T39" t="n">
        <v>47.2036915295837</v>
      </c>
      <c r="U39" t="n">
        <v>58.8142769461345</v>
      </c>
      <c r="V39" t="n">
        <v>58.5301500043657</v>
      </c>
      <c r="W39" t="n">
        <v>57.5845902304664</v>
      </c>
      <c r="X39" t="n">
        <v>51.4283429196435</v>
      </c>
      <c r="Y39" t="n">
        <v>56.9115118338702</v>
      </c>
      <c r="Z39" t="n">
        <v>29.4500502168613</v>
      </c>
      <c r="AA39" t="n">
        <v>15.6689369743557</v>
      </c>
      <c r="AB39" t="n">
        <v>16.6544047085919</v>
      </c>
      <c r="AC39" t="n">
        <v>13.3235237668735</v>
      </c>
      <c r="AD39" t="n">
        <v>14.860853432282</v>
      </c>
      <c r="AE39" t="n">
        <v>53.4</v>
      </c>
      <c r="AF39" t="n">
        <v>24.1</v>
      </c>
    </row>
    <row r="40">
      <c r="A40" t="s">
        <v>57</v>
      </c>
      <c r="B40" t="s">
        <v>350</v>
      </c>
      <c r="C40" t="s">
        <v>217</v>
      </c>
      <c r="D40" t="s">
        <v>351</v>
      </c>
      <c r="E40" t="s">
        <v>218</v>
      </c>
      <c r="F40" t="n">
        <v>1.94110947907142</v>
      </c>
      <c r="G40" t="n">
        <v>2.38227072431492</v>
      </c>
      <c r="H40" t="n">
        <v>2.55873522241232</v>
      </c>
      <c r="I40" t="n">
        <v>2.55873522241232</v>
      </c>
      <c r="J40" t="n">
        <v>3.05397429771793</v>
      </c>
      <c r="K40" t="n">
        <v>3.79683291067635</v>
      </c>
      <c r="L40" t="n">
        <v>87.9734263771605</v>
      </c>
      <c r="M40" t="n">
        <v>69.5967550894869</v>
      </c>
      <c r="N40" t="n">
        <v>24.058137561798</v>
      </c>
      <c r="O40" t="n">
        <v>29.3869758491017</v>
      </c>
      <c r="P40" t="n">
        <v>0.796395009460752</v>
      </c>
      <c r="Q40" t="n">
        <v>1.03531351229898</v>
      </c>
      <c r="R40" t="n">
        <v>4.77837005676451</v>
      </c>
      <c r="S40" t="n">
        <v>2.74168773748783</v>
      </c>
      <c r="T40" t="n">
        <v>8.83432715412747</v>
      </c>
      <c r="U40" t="n">
        <v>13.8177937538917</v>
      </c>
      <c r="V40" t="n">
        <v>31.9443619041582</v>
      </c>
      <c r="W40" t="n">
        <v>9.14803897486285</v>
      </c>
      <c r="X40" t="n">
        <v>5.68063710535838</v>
      </c>
      <c r="Y40" t="n">
        <v>9.14803897486285</v>
      </c>
      <c r="Z40" t="n">
        <v>4.1649608340839</v>
      </c>
      <c r="AA40" t="n">
        <v>2.900597723737</v>
      </c>
      <c r="AB40" t="n">
        <v>3.19809492617157</v>
      </c>
      <c r="AC40" t="n">
        <v>-1.71060891399874</v>
      </c>
      <c r="AD40" t="n">
        <v>1.84745762711864</v>
      </c>
      <c r="AE40" t="n">
        <v>21.8</v>
      </c>
      <c r="AF40" t="n">
        <v>58.6</v>
      </c>
    </row>
    <row r="41">
      <c r="A41" t="s">
        <v>57</v>
      </c>
      <c r="B41" t="s">
        <v>352</v>
      </c>
      <c r="C41" t="s">
        <v>217</v>
      </c>
      <c r="D41" t="s">
        <v>353</v>
      </c>
      <c r="E41" t="s">
        <v>218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57</v>
      </c>
      <c r="B42" t="s">
        <v>354</v>
      </c>
      <c r="C42" t="s">
        <v>217</v>
      </c>
      <c r="D42" t="s">
        <v>355</v>
      </c>
      <c r="E42" t="s">
        <v>218</v>
      </c>
      <c r="F42" t="n">
        <v>131.250752709838</v>
      </c>
      <c r="G42" t="n">
        <v>164.373579716952</v>
      </c>
      <c r="H42" t="n">
        <v>174.722135980245</v>
      </c>
      <c r="I42" t="n">
        <v>178.525454243667</v>
      </c>
      <c r="J42" t="n">
        <v>205.83718418393</v>
      </c>
      <c r="K42" t="n">
        <v>250.751098774357</v>
      </c>
      <c r="L42" t="n">
        <v>203.66169055382</v>
      </c>
      <c r="M42" t="n">
        <v>180.593886827826</v>
      </c>
      <c r="N42" t="n">
        <v>227.700853882801</v>
      </c>
      <c r="O42" t="n">
        <v>285.324377559639</v>
      </c>
      <c r="P42" t="n">
        <v>141.302505162417</v>
      </c>
      <c r="Q42" t="n">
        <v>170.065043222864</v>
      </c>
      <c r="R42" t="n">
        <v>205.193909988219</v>
      </c>
      <c r="S42" t="n">
        <v>151.039851238843</v>
      </c>
      <c r="T42" t="n">
        <v>235.106373338027</v>
      </c>
      <c r="U42" t="n">
        <v>57.3575904458719</v>
      </c>
      <c r="V42" t="n">
        <v>57.94088797583</v>
      </c>
      <c r="W42" t="n">
        <v>17.5170126438556</v>
      </c>
      <c r="X42" t="n">
        <v>19.6579808558824</v>
      </c>
      <c r="Y42" t="n">
        <v>57.5141915139925</v>
      </c>
      <c r="Z42" t="n">
        <v>54.8910780496718</v>
      </c>
      <c r="AA42" t="n">
        <v>46.8416796784302</v>
      </c>
      <c r="AB42" t="n">
        <v>42.0399175356623</v>
      </c>
      <c r="AC42" t="n">
        <v>28.9828137363507</v>
      </c>
      <c r="AD42" t="n">
        <v>88.3380281690141</v>
      </c>
      <c r="AE42" t="n">
        <v>70</v>
      </c>
      <c r="AF42" t="n">
        <v>27</v>
      </c>
    </row>
    <row r="43">
      <c r="A43" t="s">
        <v>57</v>
      </c>
      <c r="B43" t="s">
        <v>356</v>
      </c>
      <c r="C43" t="s">
        <v>217</v>
      </c>
      <c r="D43" t="s">
        <v>357</v>
      </c>
      <c r="E43" t="s">
        <v>218</v>
      </c>
      <c r="F43" t="n">
        <v>158.537177375638</v>
      </c>
      <c r="G43" t="n">
        <v>197.857412334889</v>
      </c>
      <c r="H43" t="n">
        <v>210.170165659487</v>
      </c>
      <c r="I43" t="n">
        <v>214.609557707881</v>
      </c>
      <c r="J43" t="n">
        <v>248.69063526841</v>
      </c>
      <c r="K43" t="n">
        <v>302.290624931346</v>
      </c>
      <c r="L43" t="n">
        <v>258.068833976886</v>
      </c>
      <c r="M43" t="n">
        <v>249.231580795452</v>
      </c>
      <c r="N43" t="n">
        <v>291.205227833479</v>
      </c>
      <c r="O43" t="n">
        <v>414.524402457956</v>
      </c>
      <c r="P43" t="n">
        <v>366.560276196537</v>
      </c>
      <c r="Q43" t="n">
        <v>424.526967371953</v>
      </c>
      <c r="R43" t="n">
        <v>505.607044392062</v>
      </c>
      <c r="S43" t="n">
        <v>1295.42622341001</v>
      </c>
      <c r="T43" t="n">
        <v>1510.91240158165</v>
      </c>
      <c r="U43" t="n">
        <v>234.158028060651</v>
      </c>
      <c r="V43" t="n">
        <v>178.580047538667</v>
      </c>
      <c r="W43" t="n">
        <v>63.2246017674006</v>
      </c>
      <c r="X43" t="n">
        <v>42.1497345116004</v>
      </c>
      <c r="Y43" t="n">
        <v>115.565469271242</v>
      </c>
      <c r="Z43" t="n">
        <v>222.833930492242</v>
      </c>
      <c r="AA43" t="n">
        <v>148.293022770058</v>
      </c>
      <c r="AB43" t="n">
        <v>143.547646041416</v>
      </c>
      <c r="AC43" t="n">
        <v>130.407362215156</v>
      </c>
      <c r="AD43" t="n">
        <v>295.337254901961</v>
      </c>
      <c r="AE43" t="n">
        <v>203.2</v>
      </c>
      <c r="AF43" t="n">
        <v>53.9</v>
      </c>
    </row>
    <row r="44">
      <c r="A44" t="s">
        <v>57</v>
      </c>
      <c r="B44" t="s">
        <v>358</v>
      </c>
      <c r="C44" t="s">
        <v>217</v>
      </c>
      <c r="D44" t="s">
        <v>359</v>
      </c>
      <c r="E44" t="s">
        <v>218</v>
      </c>
      <c r="F44" t="n">
        <v>2605.52420434416</v>
      </c>
      <c r="G44" t="n">
        <v>3375.10651146537</v>
      </c>
      <c r="H44" t="n">
        <v>3569.31501595504</v>
      </c>
      <c r="I44" t="n">
        <v>4113.24172586872</v>
      </c>
      <c r="J44" t="n">
        <v>4817.52124342387</v>
      </c>
      <c r="K44" t="n">
        <v>5817.25900454016</v>
      </c>
      <c r="L44" t="n">
        <v>5613.67752190845</v>
      </c>
      <c r="M44" t="n">
        <v>5172.83365122952</v>
      </c>
      <c r="N44" t="n">
        <v>4637.12280459305</v>
      </c>
      <c r="O44" t="n">
        <v>5856.12310297255</v>
      </c>
      <c r="P44" t="n">
        <v>5138.41946517196</v>
      </c>
      <c r="Q44" t="n">
        <v>6733.63880272342</v>
      </c>
      <c r="R44" t="n">
        <v>7568.80047841677</v>
      </c>
      <c r="S44" t="n">
        <v>9557.02175232802</v>
      </c>
      <c r="T44" t="n">
        <v>7220.85859526089</v>
      </c>
      <c r="U44" t="n">
        <v>5197.94929633757</v>
      </c>
      <c r="V44" t="n">
        <v>4069.62388917643</v>
      </c>
      <c r="W44" t="n">
        <v>3732.78893435906</v>
      </c>
      <c r="X44" t="n">
        <v>2833.09161240522</v>
      </c>
      <c r="Y44" t="n">
        <v>3743.30914668213</v>
      </c>
      <c r="Z44" t="n">
        <v>4045.27770957969</v>
      </c>
      <c r="AA44" t="n">
        <v>3963.04670131168</v>
      </c>
      <c r="AB44" t="n">
        <v>4056.67633956308</v>
      </c>
      <c r="AC44" t="n">
        <v>4578.89283243564</v>
      </c>
      <c r="AD44" t="n">
        <v>4983.64848106695</v>
      </c>
      <c r="AE44" t="n">
        <v>5148.9</v>
      </c>
      <c r="AF44" t="n">
        <v>5735.8</v>
      </c>
    </row>
    <row r="45">
      <c r="A45" t="s">
        <v>57</v>
      </c>
      <c r="B45" t="s">
        <v>360</v>
      </c>
      <c r="C45" t="s">
        <v>217</v>
      </c>
      <c r="D45" t="s">
        <v>361</v>
      </c>
      <c r="E45" t="s">
        <v>218</v>
      </c>
      <c r="F45" t="n">
        <v>2368.2456606748</v>
      </c>
      <c r="G45" t="n">
        <v>3052.48999281198</v>
      </c>
      <c r="H45" t="n">
        <v>3228.77132126366</v>
      </c>
      <c r="I45" t="n">
        <v>3680.06839196411</v>
      </c>
      <c r="J45" t="n">
        <v>4327.94407875077</v>
      </c>
      <c r="K45" t="n">
        <v>5246.15192077176</v>
      </c>
      <c r="L45" t="n">
        <v>5145.76336325025</v>
      </c>
      <c r="M45" t="n">
        <v>4839.43355875347</v>
      </c>
      <c r="N45" t="n">
        <v>4033.82128425556</v>
      </c>
      <c r="O45" t="n">
        <v>5162.7971430277</v>
      </c>
      <c r="P45" t="n">
        <v>4447.37010154219</v>
      </c>
      <c r="Q45" t="n">
        <v>6190.84493996197</v>
      </c>
      <c r="R45" t="n">
        <v>6721.80940219515</v>
      </c>
      <c r="S45" t="n">
        <v>8409.88111811378</v>
      </c>
      <c r="T45" t="n">
        <v>6296.61837246439</v>
      </c>
      <c r="U45" t="n">
        <v>3940.32600320974</v>
      </c>
      <c r="V45" t="n">
        <v>3206.17590549722</v>
      </c>
      <c r="W45" t="n">
        <v>3088.33540455058</v>
      </c>
      <c r="X45" t="n">
        <v>1825.88295423003</v>
      </c>
      <c r="Y45" t="n">
        <v>3036.39276166918</v>
      </c>
      <c r="Z45" t="n">
        <v>3257.32718301982</v>
      </c>
      <c r="AA45" t="n">
        <v>3023.50485921605</v>
      </c>
      <c r="AB45" t="n">
        <v>3091.29826838484</v>
      </c>
      <c r="AC45" t="n">
        <v>3504.56370237975</v>
      </c>
      <c r="AD45" t="n">
        <v>3815.89203681168</v>
      </c>
      <c r="AE45" t="n">
        <v>3958.5</v>
      </c>
      <c r="AF45" t="n">
        <v>4102.1</v>
      </c>
    </row>
    <row r="46">
      <c r="A46" t="s">
        <v>57</v>
      </c>
      <c r="B46" t="s">
        <v>362</v>
      </c>
      <c r="C46" t="s">
        <v>217</v>
      </c>
      <c r="D46" t="s">
        <v>363</v>
      </c>
      <c r="E46" t="s">
        <v>218</v>
      </c>
      <c r="F46" t="n">
        <v>25.8503541350247</v>
      </c>
      <c r="G46" t="n">
        <v>31.6793555576283</v>
      </c>
      <c r="H46" t="n">
        <v>33.5283451816144</v>
      </c>
      <c r="I46" t="n">
        <v>34.1207187713955</v>
      </c>
      <c r="J46" t="n">
        <v>40.6036553379607</v>
      </c>
      <c r="K46" t="n">
        <v>48.7916852818036</v>
      </c>
      <c r="L46" t="n">
        <v>52.2924340015743</v>
      </c>
      <c r="M46" t="n">
        <v>66.9300727281813</v>
      </c>
      <c r="N46" t="n">
        <v>61.1329798147167</v>
      </c>
      <c r="O46" t="n">
        <v>126.829706386435</v>
      </c>
      <c r="P46" t="n">
        <v>225.558138316566</v>
      </c>
      <c r="Q46" t="n">
        <v>254.720568047199</v>
      </c>
      <c r="R46" t="n">
        <v>300.69146630018</v>
      </c>
      <c r="S46" t="n">
        <v>1147.45095041034</v>
      </c>
      <c r="T46" t="n">
        <v>1278.95068200353</v>
      </c>
      <c r="U46" t="n">
        <v>177.210031196644</v>
      </c>
      <c r="V46" t="n">
        <v>120.626132346537</v>
      </c>
      <c r="W46" t="n">
        <v>45.792336190715</v>
      </c>
      <c r="X46" t="n">
        <v>22.3474581845755</v>
      </c>
      <c r="Y46" t="n">
        <v>57.5646579129467</v>
      </c>
      <c r="Z46" t="n">
        <v>168.411481887185</v>
      </c>
      <c r="AA46" t="n">
        <v>101.504204844637</v>
      </c>
      <c r="AB46" t="n">
        <v>101.60352402746</v>
      </c>
      <c r="AC46" t="n">
        <v>101.60352402746</v>
      </c>
      <c r="AD46" t="n">
        <v>207.211127819549</v>
      </c>
      <c r="AE46" t="n">
        <v>133.2</v>
      </c>
      <c r="AF46" t="n">
        <v>26.9</v>
      </c>
    </row>
    <row r="47">
      <c r="A47" t="s">
        <v>57</v>
      </c>
      <c r="B47" t="s">
        <v>364</v>
      </c>
      <c r="C47" t="s">
        <v>217</v>
      </c>
      <c r="D47" t="s">
        <v>365</v>
      </c>
      <c r="E47" t="s">
        <v>218</v>
      </c>
      <c r="F47" t="n">
        <v>422.657754801736</v>
      </c>
      <c r="G47" t="n">
        <v>537.689840578526</v>
      </c>
      <c r="H47" t="n">
        <v>300.997843032792</v>
      </c>
      <c r="I47" t="n">
        <v>1562.06639950669</v>
      </c>
      <c r="J47" t="n">
        <v>2027.79267990896</v>
      </c>
      <c r="K47" t="n">
        <v>434.009870795422</v>
      </c>
      <c r="L47" t="n">
        <v>714.584345356331</v>
      </c>
      <c r="M47" t="n">
        <v>1362.79582236921</v>
      </c>
      <c r="N47" t="n">
        <v>2783.77542114213</v>
      </c>
      <c r="O47" t="n">
        <v>1523.43773642918</v>
      </c>
      <c r="P47" t="n">
        <v>883.906229257966</v>
      </c>
      <c r="Q47" t="n">
        <v>1242.61642402871</v>
      </c>
      <c r="R47" t="n">
        <v>1897.7598367317</v>
      </c>
      <c r="S47" t="n">
        <v>2448.40244460976</v>
      </c>
      <c r="T47" t="n">
        <v>2725.69016293952</v>
      </c>
      <c r="U47" t="n">
        <v>2168.15340574206</v>
      </c>
      <c r="V47" t="n">
        <v>718.807278224278</v>
      </c>
      <c r="W47" t="n">
        <v>290.163468339948</v>
      </c>
      <c r="X47" t="n">
        <v>330.182591454595</v>
      </c>
      <c r="Y47" t="n">
        <v>1152.8106349073</v>
      </c>
      <c r="Z47" t="n">
        <v>896.28974103322</v>
      </c>
      <c r="AA47" t="n">
        <v>160.905442819387</v>
      </c>
      <c r="AB47" t="n">
        <v>1134.68506958196</v>
      </c>
      <c r="AC47" t="n">
        <v>243.046368241136</v>
      </c>
      <c r="AD47" t="n">
        <v>196.652049180328</v>
      </c>
      <c r="AE47" t="n">
        <v>409.7</v>
      </c>
      <c r="AF47" t="n">
        <v>1061.1</v>
      </c>
    </row>
    <row r="48">
      <c r="A48" t="s">
        <v>57</v>
      </c>
      <c r="B48" t="s">
        <v>366</v>
      </c>
      <c r="C48" t="s">
        <v>217</v>
      </c>
      <c r="D48" t="s">
        <v>367</v>
      </c>
      <c r="E48" t="s">
        <v>218</v>
      </c>
      <c r="F48" t="n">
        <v>855.443695260821</v>
      </c>
      <c r="G48" t="n">
        <v>1069.62352889382</v>
      </c>
      <c r="H48" t="n">
        <v>880.044731795106</v>
      </c>
      <c r="I48" t="n">
        <v>2118.11038994942</v>
      </c>
      <c r="J48" t="n">
        <v>2704.94668209489</v>
      </c>
      <c r="K48" t="n">
        <v>1397.17084074936</v>
      </c>
      <c r="L48" t="n">
        <v>1774.85662127376</v>
      </c>
      <c r="M48" t="n">
        <v>2343.09047231513</v>
      </c>
      <c r="N48" t="n">
        <v>3551.96704683198</v>
      </c>
      <c r="O48" t="n">
        <v>2463.72661330718</v>
      </c>
      <c r="P48" t="n">
        <v>1590.48356209112</v>
      </c>
      <c r="Q48" t="n">
        <v>1960.18696677623</v>
      </c>
      <c r="R48" t="n">
        <v>2496.17225194717</v>
      </c>
      <c r="S48" t="n">
        <v>3017.66287580632</v>
      </c>
      <c r="T48" t="n">
        <v>3225.9613663165</v>
      </c>
      <c r="U48" t="n">
        <v>2462.01430625934</v>
      </c>
      <c r="V48" t="n">
        <v>983.966773975377</v>
      </c>
      <c r="W48" t="n">
        <v>471.953275425095</v>
      </c>
      <c r="X48" t="n">
        <v>585.597546993812</v>
      </c>
      <c r="Y48" t="n">
        <v>1358.83796417885</v>
      </c>
      <c r="Z48" t="n">
        <v>1124.64826008648</v>
      </c>
      <c r="AA48" t="n">
        <v>352.011922255184</v>
      </c>
      <c r="AB48" t="n">
        <v>1371.36307525496</v>
      </c>
      <c r="AC48" t="n">
        <v>601.424060546138</v>
      </c>
      <c r="AD48" t="n">
        <v>586.220924473793</v>
      </c>
      <c r="AE48" t="n">
        <v>720.9</v>
      </c>
      <c r="AF48" t="n">
        <v>1363.1</v>
      </c>
    </row>
    <row r="49">
      <c r="A49" t="s">
        <v>57</v>
      </c>
      <c r="B49" t="s">
        <v>368</v>
      </c>
      <c r="C49" t="s">
        <v>217</v>
      </c>
      <c r="D49" t="s">
        <v>369</v>
      </c>
      <c r="E49" t="s">
        <v>218</v>
      </c>
      <c r="F49" t="n">
        <v>182.073129363715</v>
      </c>
      <c r="G49" t="n">
        <v>214.985393539284</v>
      </c>
      <c r="H49" t="n">
        <v>229.544223801538</v>
      </c>
      <c r="I49" t="n">
        <v>223.72118413128</v>
      </c>
      <c r="J49" t="n">
        <v>286.827758786385</v>
      </c>
      <c r="K49" t="n">
        <v>353.27180382635</v>
      </c>
      <c r="L49" t="n">
        <v>235.586120849548</v>
      </c>
      <c r="M49" t="n">
        <v>213.932602008758</v>
      </c>
      <c r="N49" t="n">
        <v>289.990647199523</v>
      </c>
      <c r="O49" t="n">
        <v>302.17775414002</v>
      </c>
      <c r="P49" t="n">
        <v>185.331474732321</v>
      </c>
      <c r="Q49" t="n">
        <v>313.39583842681</v>
      </c>
      <c r="R49" t="n">
        <v>197.950620756987</v>
      </c>
      <c r="S49" t="n">
        <v>194.891105753015</v>
      </c>
      <c r="T49" t="n">
        <v>127.959817380958</v>
      </c>
      <c r="U49" t="n">
        <v>38.5287814912791</v>
      </c>
      <c r="V49" t="n">
        <v>33.3062100870903</v>
      </c>
      <c r="W49" t="n">
        <v>14.5531533811626</v>
      </c>
      <c r="X49" t="n">
        <v>37.7193975389318</v>
      </c>
      <c r="Y49" t="n">
        <v>42.2734455357582</v>
      </c>
      <c r="Z49" t="n">
        <v>40.001741686874</v>
      </c>
      <c r="AA49" t="n">
        <v>26.6678277912493</v>
      </c>
      <c r="AB49" t="n">
        <v>24.9762118492671</v>
      </c>
      <c r="AC49" t="n">
        <v>47.8459961931743</v>
      </c>
      <c r="AD49" t="n">
        <v>65.9390199637023</v>
      </c>
      <c r="AE49" t="n">
        <v>54.8</v>
      </c>
      <c r="AF49" t="n">
        <v>37.9</v>
      </c>
    </row>
    <row r="50">
      <c r="A50" t="s">
        <v>57</v>
      </c>
      <c r="B50" t="s">
        <v>370</v>
      </c>
      <c r="C50" t="s">
        <v>217</v>
      </c>
      <c r="D50" t="s">
        <v>371</v>
      </c>
      <c r="E50" t="s">
        <v>218</v>
      </c>
      <c r="F50" t="n">
        <v>251.626817916636</v>
      </c>
      <c r="G50" t="n">
        <v>318.435923418076</v>
      </c>
      <c r="H50" t="n">
        <v>341.586130648773</v>
      </c>
      <c r="I50" t="n">
        <v>372.281391626028</v>
      </c>
      <c r="J50" t="n">
        <v>444.889069562064</v>
      </c>
      <c r="K50" t="n">
        <v>556.913088320794</v>
      </c>
      <c r="L50" t="n">
        <v>775.454060285688</v>
      </c>
      <c r="M50" t="n">
        <v>734.051902017772</v>
      </c>
      <c r="N50" t="n">
        <v>479.461420712061</v>
      </c>
      <c r="O50" t="n">
        <v>615.438970212594</v>
      </c>
      <c r="P50" t="n">
        <v>502.20156734858</v>
      </c>
      <c r="Q50" t="n">
        <v>384.873619309334</v>
      </c>
      <c r="R50" t="n">
        <v>383.934903164677</v>
      </c>
      <c r="S50" t="n">
        <v>358.859925548997</v>
      </c>
      <c r="T50" t="n">
        <v>358.055757648607</v>
      </c>
      <c r="U50" t="n">
        <v>245.308424973301</v>
      </c>
      <c r="V50" t="n">
        <v>228.500996182308</v>
      </c>
      <c r="W50" t="n">
        <v>166.064669857505</v>
      </c>
      <c r="X50" t="n">
        <v>216.274929120395</v>
      </c>
      <c r="Y50" t="n">
        <v>156.917136798062</v>
      </c>
      <c r="Z50" t="n">
        <v>183.370600472831</v>
      </c>
      <c r="AA50" t="n">
        <v>164.342520685918</v>
      </c>
      <c r="AB50" t="n">
        <v>214.824864327273</v>
      </c>
      <c r="AC50" t="n">
        <v>311.651578047879</v>
      </c>
      <c r="AD50" t="n">
        <v>324.812879377432</v>
      </c>
      <c r="AE50" t="n">
        <v>256.3</v>
      </c>
      <c r="AF50" t="n">
        <v>264.1</v>
      </c>
    </row>
    <row r="51">
      <c r="A51" t="s">
        <v>57</v>
      </c>
      <c r="B51" t="s">
        <v>372</v>
      </c>
      <c r="C51" t="s">
        <v>217</v>
      </c>
      <c r="D51" t="s">
        <v>373</v>
      </c>
      <c r="E51" t="s">
        <v>218</v>
      </c>
      <c r="F51" t="n">
        <v>237.395950207837</v>
      </c>
      <c r="G51" t="n">
        <v>300.868130579196</v>
      </c>
      <c r="H51" t="n">
        <v>322.953516819065</v>
      </c>
      <c r="I51" t="n">
        <v>352.165392712246</v>
      </c>
      <c r="J51" t="n">
        <v>420.168206752914</v>
      </c>
      <c r="K51" t="n">
        <v>527.091939029868</v>
      </c>
      <c r="L51" t="n">
        <v>735.83588131861</v>
      </c>
      <c r="M51" t="n">
        <v>695.118931413498</v>
      </c>
      <c r="N51" t="n">
        <v>454.881001068674</v>
      </c>
      <c r="O51" t="n">
        <v>582.672959664044</v>
      </c>
      <c r="P51" t="n">
        <v>489.091192946433</v>
      </c>
      <c r="Q51" t="n">
        <v>369.56372524018</v>
      </c>
      <c r="R51" t="n">
        <v>371.444456666339</v>
      </c>
      <c r="S51" t="n">
        <v>339.63283329885</v>
      </c>
      <c r="T51" t="n">
        <v>337.416960720981</v>
      </c>
      <c r="U51" t="n">
        <v>233.88328320068</v>
      </c>
      <c r="V51" t="n">
        <v>213.122631561512</v>
      </c>
      <c r="W51" t="n">
        <v>159.516939155613</v>
      </c>
      <c r="X51" t="n">
        <v>204.820553487591</v>
      </c>
      <c r="Y51" t="n">
        <v>151.253647202564</v>
      </c>
      <c r="Z51" t="n">
        <v>175.15694603006</v>
      </c>
      <c r="AA51" t="n">
        <v>153.274874835474</v>
      </c>
      <c r="AB51" t="n">
        <v>206.566139210756</v>
      </c>
      <c r="AC51" t="n">
        <v>301.37187090292</v>
      </c>
      <c r="AD51" t="n">
        <v>315.83772070626</v>
      </c>
      <c r="AE51" t="n">
        <v>248.6</v>
      </c>
      <c r="AF51" t="n">
        <v>259.8</v>
      </c>
    </row>
    <row r="52">
      <c r="A52" t="s">
        <v>57</v>
      </c>
      <c r="B52" t="s">
        <v>374</v>
      </c>
      <c r="C52" t="s">
        <v>217</v>
      </c>
      <c r="D52" t="s">
        <v>375</v>
      </c>
      <c r="E52" t="s">
        <v>218</v>
      </c>
      <c r="F52" t="n">
        <v>14.3740860589319</v>
      </c>
      <c r="G52" t="n">
        <v>17.7488714814637</v>
      </c>
      <c r="H52" t="n">
        <v>18.8281947472284</v>
      </c>
      <c r="I52" t="n">
        <v>20.3298299111178</v>
      </c>
      <c r="J52" t="n">
        <v>24.9703345647425</v>
      </c>
      <c r="K52" t="n">
        <v>30.1404038358566</v>
      </c>
      <c r="L52" t="n">
        <v>40.0803242498093</v>
      </c>
      <c r="M52" t="n">
        <v>39.3553571445156</v>
      </c>
      <c r="N52" t="n">
        <v>24.8668314072396</v>
      </c>
      <c r="O52" t="n">
        <v>33.1213812519665</v>
      </c>
      <c r="P52" t="n">
        <v>13.6015703573906</v>
      </c>
      <c r="Q52" t="n">
        <v>15.5593721512575</v>
      </c>
      <c r="R52" t="n">
        <v>12.8136005951532</v>
      </c>
      <c r="S52" t="n">
        <v>19.3205071473794</v>
      </c>
      <c r="T52" t="n">
        <v>20.6866036123457</v>
      </c>
      <c r="U52" t="n">
        <v>11.5573043655828</v>
      </c>
      <c r="V52" t="n">
        <v>15.3134282843972</v>
      </c>
      <c r="W52" t="n">
        <v>6.69962487442377</v>
      </c>
      <c r="X52" t="n">
        <v>11.5544255080642</v>
      </c>
      <c r="Y52" t="n">
        <v>5.8257607603685</v>
      </c>
      <c r="Z52" t="n">
        <v>8.35025708986151</v>
      </c>
      <c r="AA52" t="n">
        <v>11.0689454447001</v>
      </c>
      <c r="AB52" t="n">
        <v>8.27677902621723</v>
      </c>
      <c r="AC52" t="n">
        <v>10.2955056179775</v>
      </c>
      <c r="AD52" t="n">
        <v>8.98333333333333</v>
      </c>
      <c r="AE52" t="n">
        <v>7.7</v>
      </c>
      <c r="AF52" t="n">
        <v>4.3</v>
      </c>
    </row>
    <row r="53">
      <c r="A53" t="s">
        <v>57</v>
      </c>
      <c r="B53" t="s">
        <v>376</v>
      </c>
      <c r="C53" t="s">
        <v>217</v>
      </c>
      <c r="D53" t="s">
        <v>377</v>
      </c>
      <c r="E53" t="s">
        <v>218</v>
      </c>
      <c r="F53" t="n">
        <v>42.7076710718485</v>
      </c>
      <c r="G53" t="n">
        <v>50.1711475698414</v>
      </c>
      <c r="H53" t="n">
        <v>53.4079958001538</v>
      </c>
      <c r="I53" t="n">
        <v>52.759840511317</v>
      </c>
      <c r="J53" t="n">
        <v>67.8694661976565</v>
      </c>
      <c r="K53" t="n">
        <v>82.395485042119</v>
      </c>
      <c r="L53" t="n">
        <v>302.355605980645</v>
      </c>
      <c r="M53" t="n">
        <v>280.206702375806</v>
      </c>
      <c r="N53" t="n">
        <v>181.524716097869</v>
      </c>
      <c r="O53" t="n">
        <v>170.165078364816</v>
      </c>
      <c r="P53" t="n">
        <v>164.273415773774</v>
      </c>
      <c r="Q53" t="n">
        <v>199.999774606886</v>
      </c>
      <c r="R53" t="n">
        <v>181.136034144792</v>
      </c>
      <c r="S53" t="n">
        <v>242.119922998964</v>
      </c>
      <c r="T53" t="n">
        <v>144.605186369433</v>
      </c>
      <c r="U53" t="n">
        <v>132.863287549384</v>
      </c>
      <c r="V53" t="n">
        <v>91.6840509508759</v>
      </c>
      <c r="W53" t="n">
        <v>44.6342745178949</v>
      </c>
      <c r="X53" t="n">
        <v>53.771173066264</v>
      </c>
      <c r="Y53" t="n">
        <v>69.8709567827775</v>
      </c>
      <c r="Z53" t="n">
        <v>49.9829886623785</v>
      </c>
      <c r="AA53" t="n">
        <v>56.7940877463504</v>
      </c>
      <c r="AB53" t="n">
        <v>63.5801460248665</v>
      </c>
      <c r="AC53" t="n">
        <v>87.9940909853953</v>
      </c>
      <c r="AD53" t="n">
        <v>88.3053908355795</v>
      </c>
      <c r="AE53" t="n">
        <v>75.4</v>
      </c>
      <c r="AF53" t="n">
        <v>28.3</v>
      </c>
    </row>
    <row r="54">
      <c r="A54" t="s">
        <v>57</v>
      </c>
      <c r="B54" t="s">
        <v>378</v>
      </c>
      <c r="C54" t="s">
        <v>217</v>
      </c>
      <c r="D54" t="s">
        <v>379</v>
      </c>
      <c r="E54" t="s">
        <v>218</v>
      </c>
      <c r="F54" t="n">
        <v>463.003566682352</v>
      </c>
      <c r="G54" t="n">
        <v>564.407964051394</v>
      </c>
      <c r="H54" t="n">
        <v>600.447997178889</v>
      </c>
      <c r="I54" t="n">
        <v>596.384051343499</v>
      </c>
      <c r="J54" t="n">
        <v>818.834214423174</v>
      </c>
      <c r="K54" t="n">
        <v>980.520187535505</v>
      </c>
      <c r="L54" t="n">
        <v>572.476898614778</v>
      </c>
      <c r="M54" t="n">
        <v>516.487275190565</v>
      </c>
      <c r="N54" t="n">
        <v>375.116302129266</v>
      </c>
      <c r="O54" t="n">
        <v>482.518022317856</v>
      </c>
      <c r="P54" t="n">
        <v>452.509834357452</v>
      </c>
      <c r="Q54" t="n">
        <v>492.364733177653</v>
      </c>
      <c r="R54" t="n">
        <v>449.961166241782</v>
      </c>
      <c r="S54" t="n">
        <v>549.475933227571</v>
      </c>
      <c r="T54" t="n">
        <v>354.025463442631</v>
      </c>
      <c r="U54" t="n">
        <v>189.206007778128</v>
      </c>
      <c r="V54" t="n">
        <v>139.798171772295</v>
      </c>
      <c r="W54" t="n">
        <v>82.8587823758352</v>
      </c>
      <c r="X54" t="n">
        <v>101.723486287818</v>
      </c>
      <c r="Y54" t="n">
        <v>111.540742664671</v>
      </c>
      <c r="Z54" t="n">
        <v>111.854059357549</v>
      </c>
      <c r="AA54" t="n">
        <v>99.1599242490645</v>
      </c>
      <c r="AB54" t="n">
        <v>107.34553973044</v>
      </c>
      <c r="AC54" t="n">
        <v>137.071996886562</v>
      </c>
      <c r="AD54" t="n">
        <v>139.445984784446</v>
      </c>
      <c r="AE54" t="n">
        <v>119.8</v>
      </c>
      <c r="AF54" t="n">
        <v>69.5</v>
      </c>
    </row>
    <row r="55">
      <c r="A55" t="s">
        <v>57</v>
      </c>
      <c r="B55" t="s">
        <v>380</v>
      </c>
      <c r="C55" t="s">
        <v>217</v>
      </c>
      <c r="D55" t="s">
        <v>381</v>
      </c>
      <c r="E55" t="s">
        <v>218</v>
      </c>
      <c r="F55" t="n">
        <v>412.98050930742</v>
      </c>
      <c r="G55" t="n">
        <v>505.239296162315</v>
      </c>
      <c r="H55" t="n">
        <v>537.469412018548</v>
      </c>
      <c r="I55" t="n">
        <v>534.107114955411</v>
      </c>
      <c r="J55" t="n">
        <v>737.700641357318</v>
      </c>
      <c r="K55" t="n">
        <v>882.285745600454</v>
      </c>
      <c r="L55" t="n">
        <v>270.969744847137</v>
      </c>
      <c r="M55" t="n">
        <v>237.293669561608</v>
      </c>
      <c r="N55" t="n">
        <v>193.765771354706</v>
      </c>
      <c r="O55" t="n">
        <v>310.603307610469</v>
      </c>
      <c r="P55" t="n">
        <v>286.736603237803</v>
      </c>
      <c r="Q55" t="n">
        <v>291.166678220234</v>
      </c>
      <c r="R55" t="n">
        <v>267.711887730406</v>
      </c>
      <c r="S55" t="n">
        <v>305.941145298308</v>
      </c>
      <c r="T55" t="n">
        <v>208.510978113731</v>
      </c>
      <c r="U55" t="n">
        <v>56.686642725572</v>
      </c>
      <c r="V55" t="n">
        <v>48.2505180368299</v>
      </c>
      <c r="W55" t="n">
        <v>38.0871110460934</v>
      </c>
      <c r="X55" t="n">
        <v>47.7632960145604</v>
      </c>
      <c r="Y55" t="n">
        <v>41.6768284878669</v>
      </c>
      <c r="Z55" t="n">
        <v>61.4836380662591</v>
      </c>
      <c r="AA55" t="n">
        <v>42.2571492395193</v>
      </c>
      <c r="AB55" t="n">
        <v>43.6895949764521</v>
      </c>
      <c r="AC55" t="n">
        <v>49.0997551020408</v>
      </c>
      <c r="AD55" t="n">
        <v>51.1455782312925</v>
      </c>
      <c r="AE55" t="n">
        <v>44.4</v>
      </c>
      <c r="AF55" t="n">
        <v>41.2</v>
      </c>
    </row>
    <row r="56">
      <c r="A56" t="s">
        <v>57</v>
      </c>
      <c r="B56" t="s">
        <v>382</v>
      </c>
      <c r="C56" t="s">
        <v>217</v>
      </c>
      <c r="D56" t="s">
        <v>383</v>
      </c>
      <c r="E56" t="s">
        <v>218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57</v>
      </c>
      <c r="B57" t="s">
        <v>384</v>
      </c>
      <c r="C57" t="s">
        <v>217</v>
      </c>
      <c r="D57" t="s">
        <v>385</v>
      </c>
      <c r="E57" t="s">
        <v>218</v>
      </c>
      <c r="F57" t="n">
        <v>3475.24245094505</v>
      </c>
      <c r="G57" t="n">
        <v>4462.02521010641</v>
      </c>
      <c r="H57" t="n">
        <v>4466.53382433016</v>
      </c>
      <c r="I57" t="n">
        <v>6260.14693801815</v>
      </c>
      <c r="J57" t="n">
        <v>7553.26902795528</v>
      </c>
      <c r="K57" t="n">
        <v>7278.70762802586</v>
      </c>
      <c r="L57" t="n">
        <v>7564.37370707244</v>
      </c>
      <c r="M57" t="n">
        <v>7664.71766745868</v>
      </c>
      <c r="N57" t="n">
        <v>8283.38049878594</v>
      </c>
      <c r="O57" t="n">
        <v>8403.89869024611</v>
      </c>
      <c r="P57" t="n">
        <v>6756.54892381321</v>
      </c>
      <c r="Q57" t="n">
        <v>8728.4908401102</v>
      </c>
      <c r="R57" t="n">
        <v>10111.4428933989</v>
      </c>
      <c r="S57" t="n">
        <v>12628.8732965209</v>
      </c>
      <c r="T57" t="n">
        <v>10502.7117993321</v>
      </c>
      <c r="U57" t="n">
        <v>7711.6012579364</v>
      </c>
      <c r="V57" t="n">
        <v>5106.80139680828</v>
      </c>
      <c r="W57" t="n">
        <v>4218.89107975024</v>
      </c>
      <c r="X57" t="n">
        <v>3432.34580332354</v>
      </c>
      <c r="Y57" t="n">
        <v>5133.907128766</v>
      </c>
      <c r="Z57" t="n">
        <v>5189.12245856555</v>
      </c>
      <c r="AA57" t="n">
        <v>4317.3044487573</v>
      </c>
      <c r="AB57" t="n">
        <v>5440.52617531686</v>
      </c>
      <c r="AC57" t="n">
        <v>5179.69355451682</v>
      </c>
      <c r="AD57" t="n">
        <v>5573.91352244092</v>
      </c>
      <c r="AE57" t="n">
        <v>5891.5</v>
      </c>
      <c r="AF57" t="n">
        <v>7157.5</v>
      </c>
    </row>
    <row r="58">
      <c r="A58" t="s">
        <v>57</v>
      </c>
      <c r="B58" t="s">
        <v>386</v>
      </c>
      <c r="C58" t="s">
        <v>217</v>
      </c>
      <c r="D58" t="s">
        <v>387</v>
      </c>
      <c r="E58" t="s">
        <v>218</v>
      </c>
      <c r="F58" t="n">
        <v>3475.24245094505</v>
      </c>
      <c r="G58" t="n">
        <v>4462.02521010641</v>
      </c>
      <c r="H58" t="n">
        <v>4466.53382433016</v>
      </c>
      <c r="I58" t="n">
        <v>6260.14693801815</v>
      </c>
      <c r="J58" t="n">
        <v>7553.26902795528</v>
      </c>
      <c r="K58" t="n">
        <v>7278.70762802586</v>
      </c>
      <c r="L58" t="n">
        <v>7564.37370707244</v>
      </c>
      <c r="M58" t="n">
        <v>7664.71766745868</v>
      </c>
      <c r="N58" t="n">
        <v>8283.38049878594</v>
      </c>
      <c r="O58" t="n">
        <v>8403.89869024611</v>
      </c>
      <c r="P58" t="n">
        <v>6756.54892381321</v>
      </c>
      <c r="Q58" t="n">
        <v>8728.4908401102</v>
      </c>
      <c r="R58" t="n">
        <v>10111.4428933989</v>
      </c>
      <c r="S58" t="n">
        <v>12628.8732965209</v>
      </c>
      <c r="T58" t="n">
        <v>10502.7117993321</v>
      </c>
      <c r="U58" t="n">
        <v>7711.6012579364</v>
      </c>
      <c r="V58" t="n">
        <v>5106.80139680828</v>
      </c>
      <c r="W58" t="n">
        <v>4218.89107975024</v>
      </c>
      <c r="X58" t="n">
        <v>3432.34580332354</v>
      </c>
      <c r="Y58" t="n">
        <v>5133.907128766</v>
      </c>
      <c r="Z58" t="n">
        <v>5189.12245856555</v>
      </c>
      <c r="AA58" t="n">
        <v>4317.3044487573</v>
      </c>
      <c r="AB58" t="n">
        <v>5440.52617531686</v>
      </c>
      <c r="AC58" t="n">
        <v>5179.69355451682</v>
      </c>
      <c r="AD58" t="n">
        <v>5573.91352244092</v>
      </c>
      <c r="AE58" t="n">
        <v>5891.5</v>
      </c>
      <c r="AF58" t="n">
        <v>7157.5</v>
      </c>
    </row>
    <row r="59">
      <c r="A59" t="s">
        <v>57</v>
      </c>
      <c r="B59" t="s">
        <v>388</v>
      </c>
      <c r="C59" t="s">
        <v>217</v>
      </c>
      <c r="D59" t="s">
        <v>389</v>
      </c>
      <c r="E59" t="s">
        <v>218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59</v>
      </c>
      <c r="B2" t="s">
        <v>197</v>
      </c>
      <c r="C2" t="s">
        <v>217</v>
      </c>
      <c r="D2" t="s">
        <v>199</v>
      </c>
      <c r="E2" t="s">
        <v>218</v>
      </c>
      <c r="F2" t="n">
        <v>338.277466604146</v>
      </c>
      <c r="G2" t="n">
        <v>341.394475268296</v>
      </c>
      <c r="H2" t="n">
        <v>376.551224474278</v>
      </c>
      <c r="I2" t="n">
        <v>363.69067953263</v>
      </c>
      <c r="J2" t="n">
        <v>377.253729736194</v>
      </c>
      <c r="K2" t="n">
        <v>323.327061978288</v>
      </c>
      <c r="L2" t="n">
        <v>320.621396187675</v>
      </c>
      <c r="M2" t="n">
        <v>206.799709249709</v>
      </c>
      <c r="N2" t="n">
        <v>240.184884983847</v>
      </c>
      <c r="O2" t="n">
        <v>293.875663676256</v>
      </c>
      <c r="P2" t="n">
        <v>333.422506781425</v>
      </c>
      <c r="Q2" t="n">
        <v>424.526963638839</v>
      </c>
      <c r="R2" t="n">
        <v>403.46443512313</v>
      </c>
      <c r="S2" t="n">
        <v>491.730918075393</v>
      </c>
      <c r="T2" t="n">
        <v>384.074916640027</v>
      </c>
      <c r="U2" t="n">
        <v>237.193318161779</v>
      </c>
      <c r="V2" t="n">
        <v>150.891859150971</v>
      </c>
      <c r="W2" t="n">
        <v>148.811216009201</v>
      </c>
      <c r="X2" t="n">
        <v>139.47045045047</v>
      </c>
      <c r="Y2" t="n">
        <v>158.362862065275</v>
      </c>
      <c r="Z2" t="n">
        <v>174.937922389092</v>
      </c>
      <c r="AA2" t="n">
        <v>210.391748969891</v>
      </c>
      <c r="AB2" t="n">
        <v>170.82494445021</v>
      </c>
      <c r="AC2" t="n">
        <v>154.322534711168</v>
      </c>
      <c r="AD2" t="n">
        <v>146.252731411229</v>
      </c>
      <c r="AE2" t="n">
        <v>132.3</v>
      </c>
      <c r="AF2" t="n">
        <v>119</v>
      </c>
    </row>
    <row r="3">
      <c r="A3" t="s">
        <v>59</v>
      </c>
      <c r="B3" t="s">
        <v>276</v>
      </c>
      <c r="C3" t="s">
        <v>217</v>
      </c>
      <c r="D3" t="s">
        <v>277</v>
      </c>
      <c r="E3" t="s">
        <v>218</v>
      </c>
      <c r="F3" t="n">
        <v>58.8371261614782</v>
      </c>
      <c r="G3" t="n">
        <v>62.0063390460543</v>
      </c>
      <c r="H3" t="n">
        <v>67.4432205490487</v>
      </c>
      <c r="I3" t="n">
        <v>72.1029339688011</v>
      </c>
      <c r="J3" t="n">
        <v>75.2429004480876</v>
      </c>
      <c r="K3" t="n">
        <v>74.2351830313722</v>
      </c>
      <c r="L3" t="n">
        <v>30.6694259823041</v>
      </c>
      <c r="M3" t="n">
        <v>1.3654196498971</v>
      </c>
      <c r="N3" t="n">
        <v>2.7308392997942</v>
      </c>
      <c r="O3" t="n">
        <v>0.780239799941201</v>
      </c>
      <c r="P3" t="n">
        <v>22.4318942483095</v>
      </c>
      <c r="Q3" t="n">
        <v>24.2849637731699</v>
      </c>
      <c r="R3" t="n">
        <v>33.0238711915454</v>
      </c>
      <c r="S3" t="n">
        <v>123.658067126583</v>
      </c>
      <c r="T3" t="n">
        <v>141.374122588845</v>
      </c>
      <c r="U3" t="n">
        <v>118.786659336267</v>
      </c>
      <c r="V3" t="n">
        <v>170.912829332015</v>
      </c>
      <c r="W3" t="n">
        <v>109.42370743473</v>
      </c>
      <c r="X3" t="n">
        <v>96.8742888427934</v>
      </c>
      <c r="Y3" t="n">
        <v>66.1046042621889</v>
      </c>
      <c r="Z3" t="n">
        <v>106.65379089948</v>
      </c>
      <c r="AA3" t="n">
        <v>309.877741558854</v>
      </c>
      <c r="AB3" t="n">
        <v>250.354893518109</v>
      </c>
      <c r="AC3" t="n">
        <v>98.143115942029</v>
      </c>
      <c r="AD3" t="n">
        <v>82.5</v>
      </c>
      <c r="AE3" t="n">
        <v>20.5</v>
      </c>
      <c r="AF3" t="n">
        <v>14.8</v>
      </c>
    </row>
    <row r="4">
      <c r="A4" t="s">
        <v>59</v>
      </c>
      <c r="B4" t="s">
        <v>278</v>
      </c>
      <c r="C4" t="s">
        <v>217</v>
      </c>
      <c r="D4" t="s">
        <v>279</v>
      </c>
      <c r="E4" t="s">
        <v>218</v>
      </c>
      <c r="F4" t="n">
        <v>355.409203696377</v>
      </c>
      <c r="G4" t="n">
        <v>374.307947067533</v>
      </c>
      <c r="H4" t="n">
        <v>407.300045764813</v>
      </c>
      <c r="I4" t="n">
        <v>435.138903572629</v>
      </c>
      <c r="J4" t="n">
        <v>453.923588480956</v>
      </c>
      <c r="K4" t="n">
        <v>447.970492238583</v>
      </c>
      <c r="L4" t="n">
        <v>577.861985782279</v>
      </c>
      <c r="M4" t="n">
        <v>134.52644220889</v>
      </c>
      <c r="N4" t="n">
        <v>391.957393928197</v>
      </c>
      <c r="O4" t="n">
        <v>446.507133379389</v>
      </c>
      <c r="P4" t="n">
        <v>328.394390146003</v>
      </c>
      <c r="Q4" t="n">
        <v>835.930752786881</v>
      </c>
      <c r="R4" t="n">
        <v>456.364046134808</v>
      </c>
      <c r="S4" t="n">
        <v>472.785893520573</v>
      </c>
      <c r="T4" t="n">
        <v>1220.25560481772</v>
      </c>
      <c r="U4" t="n">
        <v>414.015294491727</v>
      </c>
      <c r="V4" t="n">
        <v>327.477839181661</v>
      </c>
      <c r="W4" t="n">
        <v>407.933047272357</v>
      </c>
      <c r="X4" t="n">
        <v>200.08230728704</v>
      </c>
      <c r="Y4" t="n">
        <v>284.644706441671</v>
      </c>
      <c r="Z4" t="n">
        <v>274.549584270886</v>
      </c>
      <c r="AA4" t="n">
        <v>281.347769944378</v>
      </c>
      <c r="AB4" t="n">
        <v>228.152182367098</v>
      </c>
      <c r="AC4" t="n">
        <v>357.225130410885</v>
      </c>
      <c r="AD4" t="n">
        <v>273.915731092437</v>
      </c>
      <c r="AE4" t="n">
        <v>297.3</v>
      </c>
      <c r="AF4" t="n">
        <v>558.7</v>
      </c>
    </row>
    <row r="5">
      <c r="A5" t="s">
        <v>59</v>
      </c>
      <c r="B5" t="s">
        <v>280</v>
      </c>
      <c r="C5" t="s">
        <v>217</v>
      </c>
      <c r="D5" t="s">
        <v>281</v>
      </c>
      <c r="E5" t="s">
        <v>218</v>
      </c>
      <c r="F5" t="n">
        <v>86.3838689101572</v>
      </c>
      <c r="G5" t="n">
        <v>90.9080649905583</v>
      </c>
      <c r="H5" t="n">
        <v>98.8708152087093</v>
      </c>
      <c r="I5" t="n">
        <v>105.654835566105</v>
      </c>
      <c r="J5" t="n">
        <v>110.300313116362</v>
      </c>
      <c r="K5" t="n">
        <v>108.808217309377</v>
      </c>
      <c r="L5" t="n">
        <v>132.45735025519</v>
      </c>
      <c r="M5" t="n">
        <v>35.1856649337508</v>
      </c>
      <c r="N5" t="n">
        <v>124.178647880226</v>
      </c>
      <c r="O5" t="n">
        <v>160.201462736698</v>
      </c>
      <c r="P5" t="n">
        <v>69.0893169588313</v>
      </c>
      <c r="Q5" t="n">
        <v>143.350574311473</v>
      </c>
      <c r="R5" t="n">
        <v>105.283135078022</v>
      </c>
      <c r="S5" t="n">
        <v>141.919126957024</v>
      </c>
      <c r="T5" t="n">
        <v>242.733088553212</v>
      </c>
      <c r="U5" t="n">
        <v>131.263000815099</v>
      </c>
      <c r="V5" t="n">
        <v>68.6371808773416</v>
      </c>
      <c r="W5" t="n">
        <v>57.1527898285838</v>
      </c>
      <c r="X5" t="n">
        <v>64.1842056119111</v>
      </c>
      <c r="Y5" t="n">
        <v>109.496066676002</v>
      </c>
      <c r="Z5" t="n">
        <v>132.488356064078</v>
      </c>
      <c r="AA5" t="n">
        <v>120.082716286315</v>
      </c>
      <c r="AB5" t="n">
        <v>97.4613249195153</v>
      </c>
      <c r="AC5" t="n">
        <v>142.696960358594</v>
      </c>
      <c r="AD5" t="n">
        <v>99.8082644628099</v>
      </c>
      <c r="AE5" t="n">
        <v>108.8</v>
      </c>
      <c r="AF5" t="n">
        <v>156.7</v>
      </c>
    </row>
    <row r="6">
      <c r="A6" t="s">
        <v>59</v>
      </c>
      <c r="B6" t="s">
        <v>282</v>
      </c>
      <c r="C6" t="s">
        <v>217</v>
      </c>
      <c r="D6" t="s">
        <v>283</v>
      </c>
      <c r="E6" t="s">
        <v>218</v>
      </c>
      <c r="F6" t="n">
        <v>34.8708423103738</v>
      </c>
      <c r="G6" t="n">
        <v>36.7853199274139</v>
      </c>
      <c r="H6" t="n">
        <v>40.000819921069</v>
      </c>
      <c r="I6" t="n">
        <v>42.8057554643147</v>
      </c>
      <c r="J6" t="n">
        <v>44.6568151600688</v>
      </c>
      <c r="K6" t="n">
        <v>44.0999970159283</v>
      </c>
      <c r="L6" t="n">
        <v>68.2525626187839</v>
      </c>
      <c r="M6" t="n">
        <v>12.8561488546867</v>
      </c>
      <c r="N6" t="n">
        <v>32.8434427772075</v>
      </c>
      <c r="O6" t="n">
        <v>32.4524494108121</v>
      </c>
      <c r="P6" t="n">
        <v>25.0074757224493</v>
      </c>
      <c r="Q6" t="n">
        <v>41.7109423309556</v>
      </c>
      <c r="R6" t="n">
        <v>63.3321651374984</v>
      </c>
      <c r="S6" t="n">
        <v>18.3867576205641</v>
      </c>
      <c r="T6" t="n">
        <v>60.30159371294</v>
      </c>
      <c r="U6" t="n">
        <v>15.6731014496188</v>
      </c>
      <c r="V6" t="n">
        <v>26.4153395218294</v>
      </c>
      <c r="W6" t="n">
        <v>0.176102263478862</v>
      </c>
      <c r="X6" t="n">
        <v>5.19501677262644</v>
      </c>
      <c r="Y6" t="n">
        <v>14.2415114973725</v>
      </c>
      <c r="Z6" t="n">
        <v>6.38093696960196</v>
      </c>
      <c r="AA6" t="n">
        <v>9.23807292614015</v>
      </c>
      <c r="AB6" t="n">
        <v>7.56735760971055</v>
      </c>
      <c r="AC6" t="n">
        <v>8.46349206349206</v>
      </c>
      <c r="AD6" t="n">
        <v>6.2</v>
      </c>
      <c r="AE6" t="n">
        <v>16.1</v>
      </c>
      <c r="AF6" t="n">
        <v>11.6</v>
      </c>
    </row>
    <row r="7">
      <c r="A7" t="s">
        <v>59</v>
      </c>
      <c r="B7" t="s">
        <v>284</v>
      </c>
      <c r="C7" t="s">
        <v>217</v>
      </c>
      <c r="D7" t="s">
        <v>285</v>
      </c>
      <c r="E7" t="s">
        <v>218</v>
      </c>
      <c r="F7" t="n">
        <v>37.3437409757078</v>
      </c>
      <c r="G7" t="n">
        <v>39.395594875472</v>
      </c>
      <c r="H7" t="n">
        <v>42.8603540339011</v>
      </c>
      <c r="I7" t="n">
        <v>45.9044132692634</v>
      </c>
      <c r="J7" t="n">
        <v>47.9857216794567</v>
      </c>
      <c r="K7" t="n">
        <v>47.4277481715561</v>
      </c>
      <c r="L7" t="n">
        <v>25.4964659874424</v>
      </c>
      <c r="M7" t="n">
        <v>10.2825253776517</v>
      </c>
      <c r="N7" t="n">
        <v>4.89168683014498</v>
      </c>
      <c r="O7" t="n">
        <v>76.5059820234674</v>
      </c>
      <c r="P7" t="n">
        <v>13.5290777675372</v>
      </c>
      <c r="Q7" t="n">
        <v>78.2959394206408</v>
      </c>
      <c r="R7" t="n">
        <v>50.9918127404635</v>
      </c>
      <c r="S7" t="n">
        <v>22.8706734280962</v>
      </c>
      <c r="T7" t="n">
        <v>33.9146868325381</v>
      </c>
      <c r="U7" t="n">
        <v>12.6296880652421</v>
      </c>
      <c r="V7" t="n">
        <v>16.5157459314704</v>
      </c>
      <c r="W7" t="n">
        <v>12.1880905804434</v>
      </c>
      <c r="X7" t="n">
        <v>7.56195400976414</v>
      </c>
      <c r="Y7" t="n">
        <v>22.5058155052504</v>
      </c>
      <c r="Z7" t="n">
        <v>15.4378734457503</v>
      </c>
      <c r="AA7" t="n">
        <v>21.8623300970874</v>
      </c>
      <c r="AB7" t="n">
        <v>17.726213592233</v>
      </c>
      <c r="AC7" t="n">
        <v>11.0912621359223</v>
      </c>
      <c r="AD7" t="n">
        <v>10.2</v>
      </c>
      <c r="AE7" t="n">
        <v>13.3</v>
      </c>
      <c r="AF7" t="n">
        <v>15.8</v>
      </c>
    </row>
    <row r="8">
      <c r="A8" t="s">
        <v>59</v>
      </c>
      <c r="B8" t="s">
        <v>286</v>
      </c>
      <c r="C8" t="s">
        <v>217</v>
      </c>
      <c r="D8" t="s">
        <v>287</v>
      </c>
      <c r="E8" t="s">
        <v>218</v>
      </c>
      <c r="F8" t="n">
        <v>6.31192536224286</v>
      </c>
      <c r="G8" t="n">
        <v>6.71481421515198</v>
      </c>
      <c r="H8" t="n">
        <v>7.34828725431726</v>
      </c>
      <c r="I8" t="n">
        <v>7.83014215623971</v>
      </c>
      <c r="J8" t="n">
        <v>8.17058311955448</v>
      </c>
      <c r="K8" t="n">
        <v>8.06016983415509</v>
      </c>
      <c r="L8" t="n">
        <v>3.39375571964425</v>
      </c>
      <c r="M8" t="n">
        <v>1.23409298896155</v>
      </c>
      <c r="N8" t="n">
        <v>6.89035252170196</v>
      </c>
      <c r="O8" t="n">
        <v>9.18713669560261</v>
      </c>
      <c r="P8" t="n">
        <v>48.7700128841032</v>
      </c>
      <c r="Q8" t="n">
        <v>8.81385775013914</v>
      </c>
      <c r="R8" t="n">
        <v>7.51497345011863</v>
      </c>
      <c r="S8" t="n">
        <v>15.3965309709748</v>
      </c>
      <c r="T8" t="n">
        <v>369.606258018342</v>
      </c>
      <c r="U8" t="n">
        <v>36.9151637774777</v>
      </c>
      <c r="V8" t="n">
        <v>35.8267560002548</v>
      </c>
      <c r="W8" t="n">
        <v>267.566911900637</v>
      </c>
      <c r="X8" t="n">
        <v>22.0843085538725</v>
      </c>
      <c r="Y8" t="n">
        <v>8.40866978411044</v>
      </c>
      <c r="Z8" t="n">
        <v>13.8884770591487</v>
      </c>
      <c r="AA8" t="n">
        <v>4.27337755666114</v>
      </c>
      <c r="AB8" t="n">
        <v>3.37894969596462</v>
      </c>
      <c r="AC8" t="n">
        <v>19.9755555555556</v>
      </c>
      <c r="AD8" t="n">
        <v>12.46</v>
      </c>
      <c r="AE8" t="n">
        <v>8.9</v>
      </c>
      <c r="AF8" t="n">
        <v>129.3</v>
      </c>
    </row>
    <row r="9">
      <c r="A9" t="s">
        <v>59</v>
      </c>
      <c r="B9" t="s">
        <v>288</v>
      </c>
      <c r="C9" t="s">
        <v>217</v>
      </c>
      <c r="D9" t="s">
        <v>289</v>
      </c>
      <c r="E9" t="s">
        <v>218</v>
      </c>
      <c r="F9" t="n">
        <v>35.6166465794196</v>
      </c>
      <c r="G9" t="n">
        <v>37.4836482146311</v>
      </c>
      <c r="H9" t="n">
        <v>40.7196466216496</v>
      </c>
      <c r="I9" t="n">
        <v>43.5278981127978</v>
      </c>
      <c r="J9" t="n">
        <v>45.3415605341644</v>
      </c>
      <c r="K9" t="n">
        <v>44.8753234078491</v>
      </c>
      <c r="L9" t="n">
        <v>38.0931586610709</v>
      </c>
      <c r="M9" t="n">
        <v>9.19490036646539</v>
      </c>
      <c r="N9" t="n">
        <v>22.6737884036703</v>
      </c>
      <c r="O9" t="n">
        <v>17.3866269821867</v>
      </c>
      <c r="P9" t="n">
        <v>28.2160117882344</v>
      </c>
      <c r="Q9" t="n">
        <v>20.6652480702562</v>
      </c>
      <c r="R9" t="n">
        <v>21.5068192586376</v>
      </c>
      <c r="S9" t="n">
        <v>28.3373112120247</v>
      </c>
      <c r="T9" t="n">
        <v>27.2577945944237</v>
      </c>
      <c r="U9" t="n">
        <v>13.0800826409483</v>
      </c>
      <c r="V9" t="n">
        <v>20.3061422817519</v>
      </c>
      <c r="W9" t="n">
        <v>6.95165231267183</v>
      </c>
      <c r="X9" t="n">
        <v>26.6175108287829</v>
      </c>
      <c r="Y9" t="n">
        <v>12.5693801135919</v>
      </c>
      <c r="Z9" t="n">
        <v>-5.5650690579262</v>
      </c>
      <c r="AA9" t="n">
        <v>15.7188792688793</v>
      </c>
      <c r="AB9" t="n">
        <v>12.815392015392</v>
      </c>
      <c r="AC9" t="n">
        <v>18.021645021645</v>
      </c>
      <c r="AD9" t="n">
        <v>23</v>
      </c>
      <c r="AE9" t="n">
        <v>14.4</v>
      </c>
      <c r="AF9" t="n">
        <v>24.2</v>
      </c>
    </row>
    <row r="10">
      <c r="A10" t="s">
        <v>59</v>
      </c>
      <c r="B10" t="s">
        <v>290</v>
      </c>
      <c r="C10" t="s">
        <v>217</v>
      </c>
      <c r="D10" t="s">
        <v>291</v>
      </c>
      <c r="E10" t="s">
        <v>218</v>
      </c>
      <c r="F10" t="n">
        <v>47.5290561010094</v>
      </c>
      <c r="G10" t="n">
        <v>50.0527227966382</v>
      </c>
      <c r="H10" t="n">
        <v>54.3994066184515</v>
      </c>
      <c r="I10" t="n">
        <v>58.1339196586198</v>
      </c>
      <c r="J10" t="n">
        <v>60.4922936812819</v>
      </c>
      <c r="K10" t="n">
        <v>59.811329774926</v>
      </c>
      <c r="L10" t="n">
        <v>50.6857040923546</v>
      </c>
      <c r="M10" t="n">
        <v>12.2454957365983</v>
      </c>
      <c r="N10" t="n">
        <v>30.057125898923</v>
      </c>
      <c r="O10" t="n">
        <v>23.0602211814688</v>
      </c>
      <c r="P10" t="n">
        <v>35.6472585763539</v>
      </c>
      <c r="Q10" t="n">
        <v>28.825276476836</v>
      </c>
      <c r="R10" t="n">
        <v>31.9978697997582</v>
      </c>
      <c r="S10" t="n">
        <v>43.7065875197815</v>
      </c>
      <c r="T10" t="n">
        <v>86.6280267607645</v>
      </c>
      <c r="U10" t="n">
        <v>-1.33001064627581</v>
      </c>
      <c r="V10" t="n">
        <v>27.4868866897001</v>
      </c>
      <c r="W10" t="n">
        <v>9.31007452393068</v>
      </c>
      <c r="X10" t="n">
        <v>33.9596051682424</v>
      </c>
      <c r="Y10" t="n">
        <v>34.7660337870133</v>
      </c>
      <c r="Z10" t="n">
        <v>5.56256540592213</v>
      </c>
      <c r="AA10" t="n">
        <v>29.6670154982514</v>
      </c>
      <c r="AB10" t="n">
        <v>24.0732347982444</v>
      </c>
      <c r="AC10" t="n">
        <v>65.9267011072253</v>
      </c>
      <c r="AD10" t="n">
        <v>54.4914512922465</v>
      </c>
      <c r="AE10" t="n">
        <v>50.2</v>
      </c>
      <c r="AF10" t="n">
        <v>65.2</v>
      </c>
    </row>
    <row r="11">
      <c r="A11" t="s">
        <v>59</v>
      </c>
      <c r="B11" t="s">
        <v>292</v>
      </c>
      <c r="C11" t="s">
        <v>217</v>
      </c>
      <c r="D11" t="s">
        <v>293</v>
      </c>
      <c r="E11" t="s">
        <v>218</v>
      </c>
      <c r="F11" t="n">
        <v>13.2706133229452</v>
      </c>
      <c r="G11" t="n">
        <v>13.999767901129</v>
      </c>
      <c r="H11" t="n">
        <v>15.2350415394639</v>
      </c>
      <c r="I11" t="n">
        <v>16.267925711631</v>
      </c>
      <c r="J11" t="n">
        <v>16.8795018662036</v>
      </c>
      <c r="K11" t="n">
        <v>16.6450643402841</v>
      </c>
      <c r="L11" t="n">
        <v>14.0407345455458</v>
      </c>
      <c r="M11" t="n">
        <v>3.40049039774936</v>
      </c>
      <c r="N11" t="n">
        <v>8.243613085453</v>
      </c>
      <c r="O11" t="n">
        <v>6.3335076144334</v>
      </c>
      <c r="P11" t="n">
        <v>8.4771563454724</v>
      </c>
      <c r="Q11" t="n">
        <v>8.96434923889035</v>
      </c>
      <c r="R11" t="n">
        <v>11.3671644987991</v>
      </c>
      <c r="S11" t="n">
        <v>16.5505915102515</v>
      </c>
      <c r="T11" t="n">
        <v>61.3973556025459</v>
      </c>
      <c r="U11" t="n">
        <v>-14.2868662521388</v>
      </c>
      <c r="V11" t="n">
        <v>7.95724196321655</v>
      </c>
      <c r="W11" t="n">
        <v>2.62227291969636</v>
      </c>
      <c r="X11" t="n">
        <v>8.31893477972639</v>
      </c>
      <c r="Y11" t="n">
        <v>23.0370501592423</v>
      </c>
      <c r="Z11" t="n">
        <v>11.1408685196336</v>
      </c>
      <c r="AA11" t="n">
        <v>13.9749491079614</v>
      </c>
      <c r="AB11" t="n">
        <v>11.279780351426</v>
      </c>
      <c r="AC11" t="n">
        <v>47.9141112272963</v>
      </c>
      <c r="AD11" t="n">
        <v>31.5119777158774</v>
      </c>
      <c r="AE11" t="n">
        <v>35.8</v>
      </c>
      <c r="AF11" t="n">
        <v>41</v>
      </c>
    </row>
    <row r="12">
      <c r="A12" t="s">
        <v>59</v>
      </c>
      <c r="B12" t="s">
        <v>294</v>
      </c>
      <c r="C12" t="s">
        <v>217</v>
      </c>
      <c r="D12" t="s">
        <v>295</v>
      </c>
      <c r="E12" t="s">
        <v>218</v>
      </c>
      <c r="F12" t="n">
        <v>35.0354364122038</v>
      </c>
      <c r="G12" t="n">
        <v>36.8645957429614</v>
      </c>
      <c r="H12" t="n">
        <v>40.1678749313988</v>
      </c>
      <c r="I12" t="n">
        <v>42.9208134002174</v>
      </c>
      <c r="J12" t="n">
        <v>44.8231209193407</v>
      </c>
      <c r="K12" t="n">
        <v>44.2513974382266</v>
      </c>
      <c r="L12" t="n">
        <v>62.6617532646567</v>
      </c>
      <c r="M12" t="n">
        <v>15.4773455748037</v>
      </c>
      <c r="N12" t="n">
        <v>92.4513442334942</v>
      </c>
      <c r="O12" t="n">
        <v>38.847633244693</v>
      </c>
      <c r="P12" t="n">
        <v>40.5111339126018</v>
      </c>
      <c r="Q12" t="n">
        <v>57.1864190582248</v>
      </c>
      <c r="R12" t="n">
        <v>64.6817264105164</v>
      </c>
      <c r="S12" t="n">
        <v>86.272668888393</v>
      </c>
      <c r="T12" t="n">
        <v>186.864821994344</v>
      </c>
      <c r="U12" t="n">
        <v>53.6479962613052</v>
      </c>
      <c r="V12" t="n">
        <v>36.8154873672379</v>
      </c>
      <c r="W12" t="n">
        <v>22.5933675529993</v>
      </c>
      <c r="X12" t="n">
        <v>36.4760391819507</v>
      </c>
      <c r="Y12" t="n">
        <v>24.1035133287765</v>
      </c>
      <c r="Z12" t="n">
        <v>25.1432727272727</v>
      </c>
      <c r="AA12" t="n">
        <v>26.8</v>
      </c>
      <c r="AB12" t="n">
        <v>21.8</v>
      </c>
      <c r="AC12" t="n">
        <v>26.1</v>
      </c>
      <c r="AD12" t="n">
        <v>26.1</v>
      </c>
      <c r="AE12" t="n">
        <v>25.6</v>
      </c>
      <c r="AF12" t="n">
        <v>31.2</v>
      </c>
    </row>
    <row r="13">
      <c r="A13" t="s">
        <v>59</v>
      </c>
      <c r="B13" t="s">
        <v>296</v>
      </c>
      <c r="C13" t="s">
        <v>217</v>
      </c>
      <c r="D13" t="s">
        <v>297</v>
      </c>
      <c r="E13" t="s">
        <v>218</v>
      </c>
      <c r="F13" t="n">
        <v>67.5396262282548</v>
      </c>
      <c r="G13" t="n">
        <v>71.050001811844</v>
      </c>
      <c r="H13" t="n">
        <v>77.3772747004683</v>
      </c>
      <c r="I13" t="n">
        <v>82.6189610511452</v>
      </c>
      <c r="J13" t="n">
        <v>86.2882845362247</v>
      </c>
      <c r="K13" t="n">
        <v>85.2610430536506</v>
      </c>
      <c r="L13" t="n">
        <v>123.412871657424</v>
      </c>
      <c r="M13" t="n">
        <v>22.4094614912265</v>
      </c>
      <c r="N13" t="n">
        <v>36.8008587791701</v>
      </c>
      <c r="O13" t="n">
        <v>55.2012881687551</v>
      </c>
      <c r="P13" t="n">
        <v>32.6145177011163</v>
      </c>
      <c r="Q13" t="n">
        <v>260.429357762645</v>
      </c>
      <c r="R13" t="n">
        <v>56.1602420545239</v>
      </c>
      <c r="S13" t="n">
        <v>69.454212395933</v>
      </c>
      <c r="T13" t="n">
        <v>120.375534571858</v>
      </c>
      <c r="U13" t="n">
        <v>88.5562383894238</v>
      </c>
      <c r="V13" t="n">
        <v>75.8670498411915</v>
      </c>
      <c r="W13" t="n">
        <v>16.8195818044151</v>
      </c>
      <c r="X13" t="n">
        <v>30.3112249630368</v>
      </c>
      <c r="Y13" t="n">
        <v>19.4792857119816</v>
      </c>
      <c r="Z13" t="n">
        <v>27.4780262217326</v>
      </c>
      <c r="AA13" t="n">
        <v>22.0598238681515</v>
      </c>
      <c r="AB13" t="n">
        <v>17.767640943579</v>
      </c>
      <c r="AC13" t="n">
        <v>51.8056497175141</v>
      </c>
      <c r="AD13" t="n">
        <v>17.6</v>
      </c>
      <c r="AE13" t="n">
        <v>39.7</v>
      </c>
      <c r="AF13" t="n">
        <v>105.1</v>
      </c>
    </row>
    <row r="14">
      <c r="A14" t="s">
        <v>59</v>
      </c>
      <c r="B14" t="s">
        <v>298</v>
      </c>
      <c r="C14" t="s">
        <v>217</v>
      </c>
      <c r="D14" t="s">
        <v>299</v>
      </c>
      <c r="E14" t="s">
        <v>218</v>
      </c>
      <c r="F14" t="e">
        <v>#NUM!</v>
      </c>
      <c r="G14" t="e">
        <v>#NUM!</v>
      </c>
      <c r="H14" t="e">
        <v>#NUM!</v>
      </c>
      <c r="I14" t="e">
        <v>#NUM!</v>
      </c>
      <c r="J14" t="e">
        <v>#NUM!</v>
      </c>
      <c r="K14" t="e">
        <v>#NUM!</v>
      </c>
      <c r="L14" t="e">
        <v>#NUM!</v>
      </c>
      <c r="M14" t="e">
        <v>#NUM!</v>
      </c>
      <c r="N14" t="e">
        <v>#NUM!</v>
      </c>
      <c r="O14" t="e">
        <v>#NUM!</v>
      </c>
      <c r="P14" t="e">
        <v>#NUM!</v>
      </c>
      <c r="Q14" t="e">
        <v>#NUM!</v>
      </c>
      <c r="R14" t="e">
        <v>#NUM!</v>
      </c>
      <c r="S14" t="e">
        <v>#NUM!</v>
      </c>
      <c r="T14" t="e">
        <v>#NUM!</v>
      </c>
      <c r="U14" t="e">
        <v>#NUM!</v>
      </c>
      <c r="V14" t="e">
        <v>#NUM!</v>
      </c>
      <c r="W14" t="e">
        <v>#NUM!</v>
      </c>
      <c r="X14" t="e">
        <v>#NUM!</v>
      </c>
      <c r="Y14" t="e">
        <v>#NUM!</v>
      </c>
      <c r="Z14" t="n">
        <v>0</v>
      </c>
      <c r="AA14" t="n">
        <v>1.6</v>
      </c>
      <c r="AB14" t="n">
        <v>1.28</v>
      </c>
      <c r="AC14" t="n">
        <v>1.6</v>
      </c>
      <c r="AD14" t="n">
        <v>2.2</v>
      </c>
      <c r="AE14" t="n">
        <v>1.4</v>
      </c>
      <c r="AF14" t="n">
        <v>1.5</v>
      </c>
    </row>
    <row r="15">
      <c r="A15" t="s">
        <v>59</v>
      </c>
      <c r="B15" t="s">
        <v>300</v>
      </c>
      <c r="C15" t="s">
        <v>217</v>
      </c>
      <c r="D15" t="s">
        <v>301</v>
      </c>
      <c r="E15" t="s">
        <v>218</v>
      </c>
      <c r="F15" t="n">
        <v>21.2668794299967</v>
      </c>
      <c r="G15" t="n">
        <v>22.4321878919143</v>
      </c>
      <c r="H15" t="n">
        <v>24.4964996611089</v>
      </c>
      <c r="I15" t="n">
        <v>26.0601060224563</v>
      </c>
      <c r="J15" t="n">
        <v>27.1664312781266</v>
      </c>
      <c r="K15" t="n">
        <v>26.6939716037244</v>
      </c>
      <c r="L15" t="n">
        <v>39.2424197935093</v>
      </c>
      <c r="M15" t="n">
        <v>8.62227815181332</v>
      </c>
      <c r="N15" t="n">
        <v>20.0122011424803</v>
      </c>
      <c r="O15" t="n">
        <v>31.7291893761605</v>
      </c>
      <c r="P15" t="n">
        <v>15.6127757247774</v>
      </c>
      <c r="Q15" t="n">
        <v>39.5859410312097</v>
      </c>
      <c r="R15" t="n">
        <v>20.0302963011637</v>
      </c>
      <c r="S15" t="n">
        <v>7.17364100088187</v>
      </c>
      <c r="T15" t="n">
        <v>23.6362274003416</v>
      </c>
      <c r="U15" t="n">
        <v>10.0360171898276</v>
      </c>
      <c r="V15" t="n">
        <v>9.94309110473657</v>
      </c>
      <c r="W15" t="n">
        <v>3.43826514836685</v>
      </c>
      <c r="X15" t="n">
        <v>1.48681736145594</v>
      </c>
      <c r="Y15" t="n">
        <v>22.302260421839</v>
      </c>
      <c r="Z15" t="n">
        <v>7.17883919157909</v>
      </c>
      <c r="AA15" t="n">
        <v>7.96556129476584</v>
      </c>
      <c r="AB15" t="n">
        <v>6.4531129476584</v>
      </c>
      <c r="AC15" t="n">
        <v>17.7460606060606</v>
      </c>
      <c r="AD15" t="n">
        <v>32.9</v>
      </c>
      <c r="AE15" t="n">
        <v>14.4</v>
      </c>
      <c r="AF15" t="n">
        <v>15.9</v>
      </c>
    </row>
    <row r="16">
      <c r="A16" t="s">
        <v>59</v>
      </c>
      <c r="B16" t="s">
        <v>302</v>
      </c>
      <c r="C16" t="s">
        <v>217</v>
      </c>
      <c r="D16" t="s">
        <v>303</v>
      </c>
      <c r="E16" t="s">
        <v>218</v>
      </c>
      <c r="F16" t="n">
        <v>18.5359600397263</v>
      </c>
      <c r="G16" t="n">
        <v>19.5340501957116</v>
      </c>
      <c r="H16" t="n">
        <v>21.2853788339478</v>
      </c>
      <c r="I16" t="n">
        <v>22.687409775106</v>
      </c>
      <c r="J16" t="n">
        <v>23.6528314676637</v>
      </c>
      <c r="K16" t="n">
        <v>23.3049957107863</v>
      </c>
      <c r="L16" t="n">
        <v>8.40324364571622</v>
      </c>
      <c r="M16" t="n">
        <v>6.11144992415725</v>
      </c>
      <c r="N16" t="n">
        <v>15.067885157836</v>
      </c>
      <c r="O16" t="n">
        <v>14.5553720572293</v>
      </c>
      <c r="P16" t="n">
        <v>11.9633194990926</v>
      </c>
      <c r="Q16" t="n">
        <v>38.0832337387781</v>
      </c>
      <c r="R16" t="n">
        <v>16.4557182821881</v>
      </c>
      <c r="S16" t="n">
        <v>5.73176704211045</v>
      </c>
      <c r="T16" t="n">
        <v>22.1082443052831</v>
      </c>
      <c r="U16" t="n">
        <v>9.62032388179685</v>
      </c>
      <c r="V16" t="n">
        <v>2.56541970181249</v>
      </c>
      <c r="W16" t="n">
        <v>1.00784345428348</v>
      </c>
      <c r="X16" t="n">
        <v>-1.09946558649107</v>
      </c>
      <c r="Y16" t="n">
        <v>19.9736248212544</v>
      </c>
      <c r="Z16" t="n">
        <v>7.09962967580133</v>
      </c>
      <c r="AA16" t="n">
        <v>6.41884326853271</v>
      </c>
      <c r="AB16" t="n">
        <v>5.21531015568283</v>
      </c>
      <c r="AC16" t="n">
        <v>16.1474025974026</v>
      </c>
      <c r="AD16" t="n">
        <v>30.7</v>
      </c>
      <c r="AE16" t="n">
        <v>13</v>
      </c>
      <c r="AF16" t="n">
        <v>14.4</v>
      </c>
    </row>
    <row r="17">
      <c r="A17" t="s">
        <v>59</v>
      </c>
      <c r="B17" t="s">
        <v>304</v>
      </c>
      <c r="C17" t="s">
        <v>217</v>
      </c>
      <c r="D17" t="s">
        <v>305</v>
      </c>
      <c r="E17" t="s">
        <v>218</v>
      </c>
      <c r="F17" t="n">
        <v>3.44961999835891</v>
      </c>
      <c r="G17" t="n">
        <v>3.5933541649572</v>
      </c>
      <c r="H17" t="n">
        <v>3.85952854754662</v>
      </c>
      <c r="I17" t="n">
        <v>4.10853038932383</v>
      </c>
      <c r="J17" t="n">
        <v>4.22591697187594</v>
      </c>
      <c r="K17" t="n">
        <v>4.11470863051078</v>
      </c>
      <c r="L17" t="n">
        <v>5.84721752756795</v>
      </c>
      <c r="M17" t="n">
        <v>2.29712117154455</v>
      </c>
      <c r="N17" t="n">
        <v>5.79274034563409</v>
      </c>
      <c r="O17" t="n">
        <v>1.76727671561718</v>
      </c>
      <c r="P17" t="n">
        <v>5.59637626612107</v>
      </c>
      <c r="Q17" t="n">
        <v>84.9449968964805</v>
      </c>
      <c r="R17" t="n">
        <v>23.9202097690754</v>
      </c>
      <c r="S17" t="n">
        <v>28.8340513107847</v>
      </c>
      <c r="T17" t="n">
        <v>36.8132856357818</v>
      </c>
      <c r="U17" t="n">
        <v>12.1788313381534</v>
      </c>
      <c r="V17" t="n">
        <v>13.1937339496661</v>
      </c>
      <c r="W17" t="n">
        <v>11.5329842217361</v>
      </c>
      <c r="X17" t="n">
        <v>9.59544287248447</v>
      </c>
      <c r="Y17" t="n">
        <v>3.07426810477658</v>
      </c>
      <c r="Z17" t="n">
        <v>8.45423728813559</v>
      </c>
      <c r="AA17" t="n">
        <v>5.8</v>
      </c>
      <c r="AB17" t="n">
        <v>4.7</v>
      </c>
      <c r="AC17" t="n">
        <v>4.9</v>
      </c>
      <c r="AD17" t="n">
        <v>3.6</v>
      </c>
      <c r="AE17" t="n">
        <v>3.2</v>
      </c>
      <c r="AF17" t="n">
        <v>8.7</v>
      </c>
    </row>
    <row r="18">
      <c r="A18" t="s">
        <v>59</v>
      </c>
      <c r="B18" t="s">
        <v>306</v>
      </c>
      <c r="C18" t="s">
        <v>217</v>
      </c>
      <c r="D18" t="s">
        <v>307</v>
      </c>
      <c r="E18" t="s">
        <v>218</v>
      </c>
      <c r="F18" t="n">
        <v>2.89582586910807</v>
      </c>
      <c r="G18" t="n">
        <v>3.03372233906559</v>
      </c>
      <c r="H18" t="n">
        <v>3.29752428159304</v>
      </c>
      <c r="I18" t="n">
        <v>3.54178533948882</v>
      </c>
      <c r="J18" t="n">
        <v>3.65984485080511</v>
      </c>
      <c r="K18" t="n">
        <v>3.54894046138677</v>
      </c>
      <c r="L18" t="n">
        <v>22.3690792717712</v>
      </c>
      <c r="M18" t="n">
        <v>3.13585223436045</v>
      </c>
      <c r="N18" t="n">
        <v>4.65320008969615</v>
      </c>
      <c r="O18" t="n">
        <v>6.23726820533739</v>
      </c>
      <c r="P18" t="n">
        <v>22.8050118757648</v>
      </c>
      <c r="Q18" t="n">
        <v>27.4829630297679</v>
      </c>
      <c r="R18" t="n">
        <v>14.7066022901768</v>
      </c>
      <c r="S18" t="n">
        <v>10.6464973634409</v>
      </c>
      <c r="T18" t="n">
        <v>7.30296926583133</v>
      </c>
      <c r="U18" t="n">
        <v>-9.7076054875075</v>
      </c>
      <c r="V18" t="n">
        <v>0.712484806422569</v>
      </c>
      <c r="W18" t="n">
        <v>7.12484806422569</v>
      </c>
      <c r="X18" t="n">
        <v>0.180375900360144</v>
      </c>
      <c r="Y18" t="n">
        <v>4.41920955882353</v>
      </c>
      <c r="Z18" t="n">
        <v>3.00882352941176</v>
      </c>
      <c r="AA18" t="n">
        <v>6.6</v>
      </c>
      <c r="AB18" t="n">
        <v>5.4</v>
      </c>
      <c r="AC18" t="n">
        <v>4.1</v>
      </c>
      <c r="AD18" t="n">
        <v>1.9</v>
      </c>
      <c r="AE18" t="n">
        <v>9.6</v>
      </c>
      <c r="AF18" t="n">
        <v>8.5</v>
      </c>
    </row>
    <row r="19">
      <c r="A19" t="s">
        <v>59</v>
      </c>
      <c r="B19" t="s">
        <v>308</v>
      </c>
      <c r="C19" t="s">
        <v>217</v>
      </c>
      <c r="D19" t="s">
        <v>309</v>
      </c>
      <c r="E19" t="s">
        <v>218</v>
      </c>
      <c r="F19" t="n">
        <v>10.6523949834036</v>
      </c>
      <c r="G19" t="n">
        <v>11.2282001176416</v>
      </c>
      <c r="H19" t="n">
        <v>12.1751567540692</v>
      </c>
      <c r="I19" t="n">
        <v>12.9361040511985</v>
      </c>
      <c r="J19" t="n">
        <v>13.4152190160577</v>
      </c>
      <c r="K19" t="n">
        <v>13.1858990328773</v>
      </c>
      <c r="L19" t="n">
        <v>41.2197852120197</v>
      </c>
      <c r="M19" t="n">
        <v>10.1166052478586</v>
      </c>
      <c r="N19" t="n">
        <v>32.4957623113035</v>
      </c>
      <c r="O19" t="n">
        <v>9.34128947175084</v>
      </c>
      <c r="P19" t="n">
        <v>18.3906636475095</v>
      </c>
      <c r="Q19" t="n">
        <v>64.5132804142793</v>
      </c>
      <c r="R19" t="n">
        <v>15.9677251665499</v>
      </c>
      <c r="S19" t="n">
        <v>27.580616196768</v>
      </c>
      <c r="T19" t="n">
        <v>54.2743958598779</v>
      </c>
      <c r="U19" t="n">
        <v>64.5522714878282</v>
      </c>
      <c r="V19" t="n">
        <v>15.7334923542757</v>
      </c>
      <c r="W19" t="n">
        <v>2.69717011787583</v>
      </c>
      <c r="X19" t="n">
        <v>-11.8117449989735</v>
      </c>
      <c r="Y19" t="n">
        <v>21.6391168381194</v>
      </c>
      <c r="Z19" t="n">
        <v>30.2555977510357</v>
      </c>
      <c r="AA19" t="n">
        <v>27.6334459459459</v>
      </c>
      <c r="AB19" t="n">
        <v>22.3353040540541</v>
      </c>
      <c r="AC19" t="n">
        <v>4.1554054054054</v>
      </c>
      <c r="AD19" t="n">
        <v>8.61486486486486</v>
      </c>
      <c r="AE19" t="n">
        <v>7.5</v>
      </c>
      <c r="AF19" t="n">
        <v>10.7</v>
      </c>
    </row>
    <row r="20">
      <c r="A20" t="s">
        <v>59</v>
      </c>
      <c r="B20" t="s">
        <v>310</v>
      </c>
      <c r="C20" t="s">
        <v>217</v>
      </c>
      <c r="D20" t="s">
        <v>311</v>
      </c>
      <c r="E20" t="s">
        <v>218</v>
      </c>
      <c r="F20" t="n">
        <v>878.874065658539</v>
      </c>
      <c r="G20" t="n">
        <v>926.044873617715</v>
      </c>
      <c r="H20" t="n">
        <v>1007.45832613794</v>
      </c>
      <c r="I20" t="n">
        <v>1076.40554890655</v>
      </c>
      <c r="J20" t="n">
        <v>1123.43875596607</v>
      </c>
      <c r="K20" t="n">
        <v>1109.21075006884</v>
      </c>
      <c r="L20" t="n">
        <v>913.683209441087</v>
      </c>
      <c r="M20" t="n">
        <v>597.391695595698</v>
      </c>
      <c r="N20" t="n">
        <v>686.614537986993</v>
      </c>
      <c r="O20" t="n">
        <v>707.739598867025</v>
      </c>
      <c r="P20" t="n">
        <v>698.083284053376</v>
      </c>
      <c r="Q20" t="n">
        <v>673.849709802923</v>
      </c>
      <c r="R20" t="n">
        <v>644.844153832997</v>
      </c>
      <c r="S20" t="n">
        <v>848.780088197915</v>
      </c>
      <c r="T20" t="n">
        <v>926.973532713328</v>
      </c>
      <c r="U20" t="n">
        <v>825.587209465614</v>
      </c>
      <c r="V20" t="n">
        <v>60.1373592457014</v>
      </c>
      <c r="W20" t="n">
        <v>561.431615047556</v>
      </c>
      <c r="X20" t="n">
        <v>304.90610862229</v>
      </c>
      <c r="Y20" t="n">
        <v>570.180815285289</v>
      </c>
      <c r="Z20" t="n">
        <v>260.82940275385</v>
      </c>
      <c r="AA20" t="n">
        <v>775.207893707571</v>
      </c>
      <c r="AB20" t="n">
        <v>627.929369944877</v>
      </c>
      <c r="AC20" t="n">
        <v>32.906779661017</v>
      </c>
      <c r="AD20" t="n">
        <v>35.3</v>
      </c>
      <c r="AE20" t="n">
        <v>42.3</v>
      </c>
      <c r="AF20" t="n">
        <v>147.8</v>
      </c>
    </row>
    <row r="21">
      <c r="A21" t="s">
        <v>59</v>
      </c>
      <c r="B21" t="s">
        <v>312</v>
      </c>
      <c r="C21" t="s">
        <v>217</v>
      </c>
      <c r="D21" t="s">
        <v>313</v>
      </c>
      <c r="E21" t="s">
        <v>218</v>
      </c>
      <c r="F21" t="n">
        <v>901.706496980641</v>
      </c>
      <c r="G21" t="n">
        <v>950.602638597522</v>
      </c>
      <c r="H21" t="n">
        <v>1033.77872437817</v>
      </c>
      <c r="I21" t="n">
        <v>1105.85642072203</v>
      </c>
      <c r="J21" t="n">
        <v>1154.4719933947</v>
      </c>
      <c r="K21" t="n">
        <v>1140.56131851132</v>
      </c>
      <c r="L21" t="n">
        <v>967.832610995335</v>
      </c>
      <c r="M21" t="n">
        <v>604.306806091404</v>
      </c>
      <c r="N21" t="n">
        <v>765.905880826573</v>
      </c>
      <c r="O21" t="n">
        <v>752.649050770622</v>
      </c>
      <c r="P21" t="n">
        <v>851.15010103926</v>
      </c>
      <c r="Q21" t="n">
        <v>819.132220494792</v>
      </c>
      <c r="R21" t="n">
        <v>825.557506850085</v>
      </c>
      <c r="S21" t="n">
        <v>1086.53611583349</v>
      </c>
      <c r="T21" t="n">
        <v>1184.41189744532</v>
      </c>
      <c r="U21" t="n">
        <v>1153.88581761425</v>
      </c>
      <c r="V21" t="n">
        <v>206.396268648655</v>
      </c>
      <c r="W21" t="n">
        <v>716.300666953681</v>
      </c>
      <c r="X21" t="n">
        <v>516.413271388393</v>
      </c>
      <c r="Y21" t="n">
        <v>895.280191099039</v>
      </c>
      <c r="Z21" t="n">
        <v>561.325722421768</v>
      </c>
      <c r="AA21" t="n">
        <v>987.012240632002</v>
      </c>
      <c r="AB21" t="n">
        <v>801.524752846968</v>
      </c>
      <c r="AC21" t="n">
        <v>212.543628491261</v>
      </c>
      <c r="AD21" t="n">
        <v>167.90747826087</v>
      </c>
      <c r="AE21" t="n">
        <v>172.2</v>
      </c>
      <c r="AF21" t="n">
        <v>385.1</v>
      </c>
    </row>
    <row r="22">
      <c r="A22" t="s">
        <v>59</v>
      </c>
      <c r="B22" t="s">
        <v>314</v>
      </c>
      <c r="C22" t="s">
        <v>217</v>
      </c>
      <c r="D22" t="s">
        <v>315</v>
      </c>
      <c r="E22" t="s">
        <v>218</v>
      </c>
      <c r="F22" t="n">
        <v>26.397554604884</v>
      </c>
      <c r="G22" t="n">
        <v>28.2565373235378</v>
      </c>
      <c r="H22" t="n">
        <v>30.384644737026</v>
      </c>
      <c r="I22" t="n">
        <v>33.6725353988684</v>
      </c>
      <c r="J22" t="n">
        <v>35.4160971023697</v>
      </c>
      <c r="K22" t="n">
        <v>35.6281695401084</v>
      </c>
      <c r="L22" t="n">
        <v>55.9279405571469</v>
      </c>
      <c r="M22" t="n">
        <v>9.69148428427095</v>
      </c>
      <c r="N22" t="n">
        <v>81.4690397646526</v>
      </c>
      <c r="O22" t="n">
        <v>47.5400449958385</v>
      </c>
      <c r="P22" t="n">
        <v>155.084902882766</v>
      </c>
      <c r="Q22" t="n">
        <v>147.243531388693</v>
      </c>
      <c r="R22" t="n">
        <v>182.541638228449</v>
      </c>
      <c r="S22" t="n">
        <v>240.162561693028</v>
      </c>
      <c r="T22" t="n">
        <v>260.06553641897</v>
      </c>
      <c r="U22" t="n">
        <v>330.625257380416</v>
      </c>
      <c r="V22" t="n">
        <v>146.427428552886</v>
      </c>
      <c r="W22" t="n">
        <v>156.451800189758</v>
      </c>
      <c r="X22" t="n">
        <v>212.321016933772</v>
      </c>
      <c r="Y22" t="n">
        <v>326.668711143606</v>
      </c>
      <c r="Z22" t="n">
        <v>301.020003021028</v>
      </c>
      <c r="AA22" t="n">
        <v>214.144567157174</v>
      </c>
      <c r="AB22" t="n">
        <v>175.489236937155</v>
      </c>
      <c r="AC22" t="n">
        <v>179.572698182571</v>
      </c>
      <c r="AD22" t="n">
        <v>132.593778801843</v>
      </c>
      <c r="AE22" t="n">
        <v>129.9</v>
      </c>
      <c r="AF22" t="n">
        <v>237.3</v>
      </c>
    </row>
    <row r="23">
      <c r="A23" t="s">
        <v>59</v>
      </c>
      <c r="B23" t="s">
        <v>316</v>
      </c>
      <c r="C23" t="s">
        <v>217</v>
      </c>
      <c r="D23" t="s">
        <v>317</v>
      </c>
      <c r="E23" t="s">
        <v>218</v>
      </c>
      <c r="F23" t="n">
        <v>30.8202588288885</v>
      </c>
      <c r="G23" t="n">
        <v>32.2604578395842</v>
      </c>
      <c r="H23" t="n">
        <v>35.0832479005478</v>
      </c>
      <c r="I23" t="n">
        <v>36.9830627688085</v>
      </c>
      <c r="J23" t="n">
        <v>38.4146651985688</v>
      </c>
      <c r="K23" t="n">
        <v>37.1570422307585</v>
      </c>
      <c r="L23" t="n">
        <v>147.301131700507</v>
      </c>
      <c r="M23" t="n">
        <v>58.9204526802028</v>
      </c>
      <c r="N23" t="n">
        <v>304.903041841609</v>
      </c>
      <c r="O23" t="n">
        <v>122.18172518242</v>
      </c>
      <c r="P23" t="n">
        <v>237.429075874071</v>
      </c>
      <c r="Q23" t="n">
        <v>107.557524478815</v>
      </c>
      <c r="R23" t="n">
        <v>164.288122724501</v>
      </c>
      <c r="S23" t="n">
        <v>64.8242565039123</v>
      </c>
      <c r="T23" t="n">
        <v>28.6825134941968</v>
      </c>
      <c r="U23" t="n">
        <v>19.3922654127431</v>
      </c>
      <c r="V23" t="n">
        <v>4.3991713204834</v>
      </c>
      <c r="W23" t="n">
        <v>291.42265523039</v>
      </c>
      <c r="X23" t="n">
        <v>649.151643051947</v>
      </c>
      <c r="Y23" t="n">
        <v>139.240971711635</v>
      </c>
      <c r="Z23" t="n">
        <v>149.051988688607</v>
      </c>
      <c r="AA23" t="n">
        <v>128.991025321544</v>
      </c>
      <c r="AB23" t="n">
        <v>105.085352675081</v>
      </c>
      <c r="AC23" t="n">
        <v>104.486006557162</v>
      </c>
      <c r="AD23" t="n">
        <v>124.885655456417</v>
      </c>
      <c r="AE23" t="n">
        <v>145.8</v>
      </c>
      <c r="AF23" t="n">
        <v>268.8</v>
      </c>
    </row>
    <row r="24">
      <c r="A24" t="s">
        <v>59</v>
      </c>
      <c r="B24" t="s">
        <v>318</v>
      </c>
      <c r="C24" t="s">
        <v>217</v>
      </c>
      <c r="D24" t="s">
        <v>319</v>
      </c>
      <c r="E24" t="s">
        <v>218</v>
      </c>
      <c r="F24" t="n">
        <v>443.316541144451</v>
      </c>
      <c r="G24" t="n">
        <v>467.310113890251</v>
      </c>
      <c r="H24" t="n">
        <v>508.262701863049</v>
      </c>
      <c r="I24" t="n">
        <v>543.025360731213</v>
      </c>
      <c r="J24" t="n">
        <v>566.82138880883</v>
      </c>
      <c r="K24" t="n">
        <v>559.711753747906</v>
      </c>
      <c r="L24" t="n">
        <v>124.281753409527</v>
      </c>
      <c r="M24" t="n">
        <v>1044.07433188973</v>
      </c>
      <c r="N24" t="n">
        <v>244.684021014466</v>
      </c>
      <c r="O24" t="n">
        <v>412.478791562847</v>
      </c>
      <c r="P24" t="n">
        <v>659.380990200467</v>
      </c>
      <c r="Q24" t="n">
        <v>458.343052743791</v>
      </c>
      <c r="R24" t="n">
        <v>596.517971837671</v>
      </c>
      <c r="S24" t="n">
        <v>998.4915975208</v>
      </c>
      <c r="T24" t="n">
        <v>641.494956759768</v>
      </c>
      <c r="U24" t="n">
        <v>946.445835601089</v>
      </c>
      <c r="V24" t="n">
        <v>773.467584483552</v>
      </c>
      <c r="W24" t="n">
        <v>640.098725056474</v>
      </c>
      <c r="X24" t="n">
        <v>486.460587974804</v>
      </c>
      <c r="Y24" t="n">
        <v>462.269922594184</v>
      </c>
      <c r="Z24" t="n">
        <v>311.513323348163</v>
      </c>
      <c r="AA24" t="n">
        <v>367.358849102455</v>
      </c>
      <c r="AB24" t="n">
        <v>298.211292477257</v>
      </c>
      <c r="AC24" t="n">
        <v>608.011365499694</v>
      </c>
      <c r="AD24" t="n">
        <v>567.298096264368</v>
      </c>
      <c r="AE24" t="n">
        <v>556.7</v>
      </c>
      <c r="AF24" t="n">
        <v>453.6</v>
      </c>
    </row>
    <row r="25">
      <c r="A25" t="s">
        <v>59</v>
      </c>
      <c r="B25" t="s">
        <v>320</v>
      </c>
      <c r="C25" t="s">
        <v>217</v>
      </c>
      <c r="D25" t="s">
        <v>321</v>
      </c>
      <c r="E25" t="s">
        <v>218</v>
      </c>
      <c r="F25" t="n">
        <v>33.3380003743289</v>
      </c>
      <c r="G25" t="n">
        <v>35.1822301822705</v>
      </c>
      <c r="H25" t="n">
        <v>38.2473487208774</v>
      </c>
      <c r="I25" t="n">
        <v>40.8981550678689</v>
      </c>
      <c r="J25" t="n">
        <v>42.6919337989158</v>
      </c>
      <c r="K25" t="n">
        <v>42.2303993794681</v>
      </c>
      <c r="L25" t="n">
        <v>10.0548569951114</v>
      </c>
      <c r="M25" t="n">
        <v>109.089792559865</v>
      </c>
      <c r="N25" t="n">
        <v>30.4003782109956</v>
      </c>
      <c r="O25" t="n">
        <v>58.0828418137233</v>
      </c>
      <c r="P25" t="n">
        <v>154.169296820911</v>
      </c>
      <c r="Q25" t="n">
        <v>59.4695059665642</v>
      </c>
      <c r="R25" t="n">
        <v>82.2214475960739</v>
      </c>
      <c r="S25" t="n">
        <v>90.9722890253678</v>
      </c>
      <c r="T25" t="n">
        <v>128.358161227574</v>
      </c>
      <c r="U25" t="n">
        <v>194.254710195814</v>
      </c>
      <c r="V25" t="n">
        <v>91.3609815113894</v>
      </c>
      <c r="W25" t="n">
        <v>56.5825408177047</v>
      </c>
      <c r="X25" t="n">
        <v>57.1266037101826</v>
      </c>
      <c r="Y25" t="n">
        <v>62.261579324581</v>
      </c>
      <c r="Z25" t="n">
        <v>19.1428295640264</v>
      </c>
      <c r="AA25" t="n">
        <v>52.6670742319915</v>
      </c>
      <c r="AB25" t="n">
        <v>42.5925013201901</v>
      </c>
      <c r="AC25" t="n">
        <v>123.478260869565</v>
      </c>
      <c r="AD25" t="n">
        <v>71</v>
      </c>
      <c r="AE25" t="n">
        <v>75.2</v>
      </c>
      <c r="AF25" t="n">
        <v>30.2</v>
      </c>
    </row>
    <row r="26">
      <c r="A26" t="s">
        <v>59</v>
      </c>
      <c r="B26" t="s">
        <v>322</v>
      </c>
      <c r="C26" t="s">
        <v>217</v>
      </c>
      <c r="D26" t="s">
        <v>323</v>
      </c>
      <c r="E26" t="s">
        <v>218</v>
      </c>
      <c r="F26" t="n">
        <v>185.558980100466</v>
      </c>
      <c r="G26" t="n">
        <v>195.570140880963</v>
      </c>
      <c r="H26" t="n">
        <v>212.783491127764</v>
      </c>
      <c r="I26" t="n">
        <v>227.328502896073</v>
      </c>
      <c r="J26" t="n">
        <v>237.315738378955</v>
      </c>
      <c r="K26" t="n">
        <v>234.336400282454</v>
      </c>
      <c r="L26" t="n">
        <v>74.4153926121754</v>
      </c>
      <c r="M26" t="n">
        <v>530.263440709013</v>
      </c>
      <c r="N26" t="n">
        <v>102.618366070893</v>
      </c>
      <c r="O26" t="n">
        <v>233.241744324876</v>
      </c>
      <c r="P26" t="n">
        <v>237.625987639253</v>
      </c>
      <c r="Q26" t="n">
        <v>253.435190923671</v>
      </c>
      <c r="R26" t="n">
        <v>246.446412073817</v>
      </c>
      <c r="S26" t="n">
        <v>576.370994622068</v>
      </c>
      <c r="T26" t="n">
        <v>365.477644516113</v>
      </c>
      <c r="U26" t="n">
        <v>613.175285510428</v>
      </c>
      <c r="V26" t="n">
        <v>395.938089942279</v>
      </c>
      <c r="W26" t="n">
        <v>377.647471656902</v>
      </c>
      <c r="X26" t="n">
        <v>227.32790736558</v>
      </c>
      <c r="Y26" t="n">
        <v>148.086851809748</v>
      </c>
      <c r="Z26" t="n">
        <v>135.926951183741</v>
      </c>
      <c r="AA26" t="n">
        <v>128.951369939814</v>
      </c>
      <c r="AB26" t="n">
        <v>104.455588468622</v>
      </c>
      <c r="AC26" t="n">
        <v>205.915318759367</v>
      </c>
      <c r="AD26" t="n">
        <v>204.92007797271</v>
      </c>
      <c r="AE26" t="n">
        <v>256.4</v>
      </c>
      <c r="AF26" t="n">
        <v>200.6</v>
      </c>
    </row>
    <row r="27">
      <c r="A27" t="s">
        <v>59</v>
      </c>
      <c r="B27" t="s">
        <v>324</v>
      </c>
      <c r="C27" t="s">
        <v>217</v>
      </c>
      <c r="D27" t="s">
        <v>325</v>
      </c>
      <c r="E27" t="s">
        <v>218</v>
      </c>
      <c r="F27" t="n">
        <v>224.208087686668</v>
      </c>
      <c r="G27" t="n">
        <v>236.335066014375</v>
      </c>
      <c r="H27" t="n">
        <v>256.989559178656</v>
      </c>
      <c r="I27" t="n">
        <v>274.54006565915</v>
      </c>
      <c r="J27" t="n">
        <v>286.543765499658</v>
      </c>
      <c r="K27" t="n">
        <v>282.878937163931</v>
      </c>
      <c r="L27" t="n">
        <v>39.7781192486687</v>
      </c>
      <c r="M27" t="n">
        <v>404.554223602001</v>
      </c>
      <c r="N27" t="n">
        <v>111.650797161823</v>
      </c>
      <c r="O27" t="n">
        <v>121.155121292982</v>
      </c>
      <c r="P27" t="n">
        <v>267.9448338169</v>
      </c>
      <c r="Q27" t="n">
        <v>145.39717840866</v>
      </c>
      <c r="R27" t="n">
        <v>267.880497688361</v>
      </c>
      <c r="S27" t="n">
        <v>330.836496806452</v>
      </c>
      <c r="T27" t="n">
        <v>147.786630067799</v>
      </c>
      <c r="U27" t="n">
        <v>139.146242438988</v>
      </c>
      <c r="V27" t="n">
        <v>286.09759325463</v>
      </c>
      <c r="W27" t="n">
        <v>205.688733920832</v>
      </c>
      <c r="X27" t="n">
        <v>201.988322296982</v>
      </c>
      <c r="Y27" t="n">
        <v>252.006216837762</v>
      </c>
      <c r="Z27" t="n">
        <v>156.372121076725</v>
      </c>
      <c r="AA27" t="n">
        <v>185.746425283946</v>
      </c>
      <c r="AB27" t="n">
        <v>151.168093967675</v>
      </c>
      <c r="AC27" t="n">
        <v>278.656850017082</v>
      </c>
      <c r="AD27" t="n">
        <v>291.4</v>
      </c>
      <c r="AE27" t="n">
        <v>225.1</v>
      </c>
      <c r="AF27" t="n">
        <v>222.8</v>
      </c>
    </row>
    <row r="28">
      <c r="A28" t="s">
        <v>59</v>
      </c>
      <c r="B28" t="s">
        <v>326</v>
      </c>
      <c r="C28" t="s">
        <v>217</v>
      </c>
      <c r="D28" t="s">
        <v>327</v>
      </c>
      <c r="E28" t="s">
        <v>218</v>
      </c>
      <c r="F28" t="n">
        <v>652.129087374575</v>
      </c>
      <c r="G28" t="n">
        <v>687.268698444964</v>
      </c>
      <c r="H28" t="n">
        <v>747.567051278064</v>
      </c>
      <c r="I28" t="n">
        <v>798.517567111352</v>
      </c>
      <c r="J28" t="n">
        <v>833.613318347622</v>
      </c>
      <c r="K28" t="n">
        <v>823.178818764454</v>
      </c>
      <c r="L28" t="n">
        <v>728.089959392418</v>
      </c>
      <c r="M28" t="n">
        <v>1441.23095211489</v>
      </c>
      <c r="N28" t="n">
        <v>2042.13807736159</v>
      </c>
      <c r="O28" t="n">
        <v>2097.87186682165</v>
      </c>
      <c r="P28" t="n">
        <v>534.751652327088</v>
      </c>
      <c r="Q28" t="n">
        <v>519.3223679831</v>
      </c>
      <c r="R28" t="n">
        <v>630.862100394143</v>
      </c>
      <c r="S28" t="n">
        <v>730.548289946</v>
      </c>
      <c r="T28" t="n">
        <v>597.213924633275</v>
      </c>
      <c r="U28" t="n">
        <v>746.922266090004</v>
      </c>
      <c r="V28" t="n">
        <v>397.850431529574</v>
      </c>
      <c r="W28" t="n">
        <v>382.962430710387</v>
      </c>
      <c r="X28" t="n">
        <v>248.393437158834</v>
      </c>
      <c r="Y28" t="n">
        <v>280.78861357007</v>
      </c>
      <c r="Z28" t="n">
        <v>546.67977887148</v>
      </c>
      <c r="AA28" t="n">
        <v>700.242603792995</v>
      </c>
      <c r="AB28" t="n">
        <v>397.206064994859</v>
      </c>
      <c r="AC28" t="n">
        <v>392.911405504093</v>
      </c>
      <c r="AD28" t="n">
        <v>349.928947368421</v>
      </c>
      <c r="AE28" t="n">
        <v>129.1</v>
      </c>
      <c r="AF28" t="n">
        <v>272.9</v>
      </c>
    </row>
    <row r="29">
      <c r="A29" t="s">
        <v>59</v>
      </c>
      <c r="B29" t="s">
        <v>328</v>
      </c>
      <c r="C29" t="s">
        <v>217</v>
      </c>
      <c r="D29" t="s">
        <v>329</v>
      </c>
      <c r="E29" t="s">
        <v>218</v>
      </c>
      <c r="F29" t="n">
        <v>562.85967906755</v>
      </c>
      <c r="G29" t="n">
        <v>593.166423620399</v>
      </c>
      <c r="H29" t="n">
        <v>645.321650334623</v>
      </c>
      <c r="I29" t="n">
        <v>689.454780491566</v>
      </c>
      <c r="J29" t="n">
        <v>719.648145016541</v>
      </c>
      <c r="K29" t="n">
        <v>710.598128547852</v>
      </c>
      <c r="L29" t="n">
        <v>436.890362653211</v>
      </c>
      <c r="M29" t="n">
        <v>1252.54081589977</v>
      </c>
      <c r="N29" t="n">
        <v>1911.79445616335</v>
      </c>
      <c r="O29" t="n">
        <v>1915.09358376118</v>
      </c>
      <c r="P29" t="n">
        <v>454.156607896984</v>
      </c>
      <c r="Q29" t="n">
        <v>434.249442445547</v>
      </c>
      <c r="R29" t="n">
        <v>599.415049949191</v>
      </c>
      <c r="S29" t="n">
        <v>680.811498588896</v>
      </c>
      <c r="T29" t="n">
        <v>561.824417431097</v>
      </c>
      <c r="U29" t="n">
        <v>577.200853951698</v>
      </c>
      <c r="V29" t="n">
        <v>295.680996457555</v>
      </c>
      <c r="W29" t="n">
        <v>368.032289405174</v>
      </c>
      <c r="X29" t="n">
        <v>202.999432357522</v>
      </c>
      <c r="Y29" t="n">
        <v>228.898731005112</v>
      </c>
      <c r="Z29" t="n">
        <v>466.93833352422</v>
      </c>
      <c r="AA29" t="n">
        <v>640.671562826757</v>
      </c>
      <c r="AB29" t="n">
        <v>348.624140219784</v>
      </c>
      <c r="AC29" t="n">
        <v>211.949899681157</v>
      </c>
      <c r="AD29" t="n">
        <v>153.168862275449</v>
      </c>
      <c r="AE29" t="n">
        <v>116.8</v>
      </c>
      <c r="AF29" t="n">
        <v>202.5</v>
      </c>
    </row>
    <row r="30">
      <c r="A30" t="s">
        <v>59</v>
      </c>
      <c r="B30" t="s">
        <v>330</v>
      </c>
      <c r="C30" t="s">
        <v>217</v>
      </c>
      <c r="D30" t="s">
        <v>331</v>
      </c>
      <c r="E30" t="s">
        <v>218</v>
      </c>
      <c r="F30" t="e">
        <v>#NUM!</v>
      </c>
      <c r="G30" t="e">
        <v>#NUM!</v>
      </c>
      <c r="H30" t="e">
        <v>#NUM!</v>
      </c>
      <c r="I30" t="e">
        <v>#NUM!</v>
      </c>
      <c r="J30" t="e">
        <v>#NUM!</v>
      </c>
      <c r="K30" t="e">
        <v>#NUM!</v>
      </c>
      <c r="L30" t="e">
        <v>#NUM!</v>
      </c>
      <c r="M30" t="n">
        <v>0</v>
      </c>
      <c r="N30" t="n">
        <v>0</v>
      </c>
      <c r="O30" t="e">
        <v>#NUM!</v>
      </c>
      <c r="P30" t="e">
        <v>#NUM!</v>
      </c>
      <c r="Q30" t="n">
        <v>0</v>
      </c>
      <c r="R30" t="n">
        <v>0</v>
      </c>
      <c r="S30" t="n">
        <v>0</v>
      </c>
      <c r="T30" t="n">
        <v>0</v>
      </c>
      <c r="U30" t="n">
        <v>2.31979243310227</v>
      </c>
      <c r="V30" t="n">
        <v>9.99295201951748</v>
      </c>
      <c r="W30" t="n">
        <v>-0.981450644774039</v>
      </c>
      <c r="X30" t="n">
        <v>4.3719165085389</v>
      </c>
      <c r="Y30" t="n">
        <v>2.18595825426945</v>
      </c>
      <c r="Z30" t="n">
        <v>1.54838709677419</v>
      </c>
      <c r="AA30" t="n">
        <v>3</v>
      </c>
      <c r="AB30" t="n">
        <v>2.4</v>
      </c>
      <c r="AC30" t="n">
        <v>-0.3</v>
      </c>
      <c r="AD30" t="n">
        <v>-1.7</v>
      </c>
      <c r="AE30" t="n">
        <v>-2</v>
      </c>
      <c r="AF30" t="n">
        <v>-9</v>
      </c>
    </row>
    <row r="31">
      <c r="A31" t="s">
        <v>59</v>
      </c>
      <c r="B31" t="s">
        <v>332</v>
      </c>
      <c r="C31" t="s">
        <v>217</v>
      </c>
      <c r="D31" t="s">
        <v>333</v>
      </c>
      <c r="E31" t="s">
        <v>218</v>
      </c>
      <c r="F31" t="e">
        <v>#NUM!</v>
      </c>
      <c r="G31" t="e">
        <v>#NUM!</v>
      </c>
      <c r="H31" t="e">
        <v>#NUM!</v>
      </c>
      <c r="I31" t="e">
        <v>#NUM!</v>
      </c>
      <c r="J31" t="e">
        <v>#NUM!</v>
      </c>
      <c r="K31" t="e">
        <v>#NUM!</v>
      </c>
      <c r="L31" t="e">
        <v>#NUM!</v>
      </c>
      <c r="M31" t="e">
        <v>#NUM!</v>
      </c>
      <c r="N31" t="e">
        <v>#NUM!</v>
      </c>
      <c r="O31" t="e">
        <v>#NUM!</v>
      </c>
      <c r="P31" t="n">
        <v>0</v>
      </c>
      <c r="Q31" t="n">
        <v>0</v>
      </c>
      <c r="R31" t="e">
        <v>#NUM!</v>
      </c>
      <c r="S31" t="n">
        <v>0</v>
      </c>
      <c r="T31" t="n">
        <v>0</v>
      </c>
      <c r="U31" t="n">
        <v>0.52136</v>
      </c>
      <c r="V31" t="n">
        <v>-0.52136</v>
      </c>
      <c r="W31" t="n">
        <v>1.63856</v>
      </c>
      <c r="X31" t="n">
        <v>1.4896</v>
      </c>
      <c r="Y31" t="n">
        <v>3.92</v>
      </c>
      <c r="Z31" t="n">
        <v>-0.32</v>
      </c>
      <c r="AA31" t="n">
        <v>-0.4</v>
      </c>
      <c r="AB31" t="n">
        <v>-0.4</v>
      </c>
      <c r="AC31" t="n">
        <v>0.7</v>
      </c>
      <c r="AD31" t="n">
        <v>0.3</v>
      </c>
      <c r="AE31" t="n">
        <v>0.6</v>
      </c>
      <c r="AF31" t="n">
        <v>2</v>
      </c>
    </row>
    <row r="32">
      <c r="A32" t="s">
        <v>59</v>
      </c>
      <c r="B32" t="s">
        <v>334</v>
      </c>
      <c r="C32" t="s">
        <v>217</v>
      </c>
      <c r="D32" t="s">
        <v>335</v>
      </c>
      <c r="E32" t="s">
        <v>218</v>
      </c>
      <c r="F32" t="n">
        <v>23.436279889249</v>
      </c>
      <c r="G32" t="n">
        <v>24.7224172002444</v>
      </c>
      <c r="H32" t="n">
        <v>26.8721926089613</v>
      </c>
      <c r="I32" t="n">
        <v>28.6467713661569</v>
      </c>
      <c r="J32" t="n">
        <v>29.9707818074498</v>
      </c>
      <c r="K32" t="n">
        <v>29.6222843445725</v>
      </c>
      <c r="L32" t="n">
        <v>56.6638393712467</v>
      </c>
      <c r="M32" t="n">
        <v>25.341026052784</v>
      </c>
      <c r="N32" t="n">
        <v>81.942908014945</v>
      </c>
      <c r="O32" t="n">
        <v>148.426796392052</v>
      </c>
      <c r="P32" t="n">
        <v>79.8236948766275</v>
      </c>
      <c r="Q32" t="n">
        <v>75.7832362470698</v>
      </c>
      <c r="R32" t="n">
        <v>26.0040516534063</v>
      </c>
      <c r="S32" t="n">
        <v>48.9865057555365</v>
      </c>
      <c r="T32" t="n">
        <v>34.5050934701407</v>
      </c>
      <c r="U32" t="n">
        <v>165.551997016843</v>
      </c>
      <c r="V32" t="n">
        <v>92.0234533826593</v>
      </c>
      <c r="W32" t="n">
        <v>12.8111082160173</v>
      </c>
      <c r="X32" t="n">
        <v>38.9746390797145</v>
      </c>
      <c r="Y32" t="n">
        <v>40.7088736055098</v>
      </c>
      <c r="Z32" t="n">
        <v>67.249925770587</v>
      </c>
      <c r="AA32" t="n">
        <v>53.5670404406407</v>
      </c>
      <c r="AB32" t="n">
        <v>43.8910573442866</v>
      </c>
      <c r="AC32" t="n">
        <v>178.863557150179</v>
      </c>
      <c r="AD32" t="n">
        <v>194.3</v>
      </c>
      <c r="AE32" t="n">
        <v>12.4</v>
      </c>
      <c r="AF32" t="n">
        <v>70.5</v>
      </c>
    </row>
    <row r="33">
      <c r="A33" t="s">
        <v>59</v>
      </c>
      <c r="B33" t="s">
        <v>336</v>
      </c>
      <c r="C33" t="s">
        <v>217</v>
      </c>
      <c r="D33" t="s">
        <v>337</v>
      </c>
      <c r="E33" t="s">
        <v>218</v>
      </c>
      <c r="F33" t="n">
        <v>64.7957028769173</v>
      </c>
      <c r="G33" t="n">
        <v>68.3403255725911</v>
      </c>
      <c r="H33" t="n">
        <v>74.3350909736956</v>
      </c>
      <c r="I33" t="n">
        <v>79.3833144693625</v>
      </c>
      <c r="J33" t="n">
        <v>82.850356818175</v>
      </c>
      <c r="K33" t="n">
        <v>81.813286983177</v>
      </c>
      <c r="L33" t="n">
        <v>223.704723399504</v>
      </c>
      <c r="M33" t="n">
        <v>44.5033056690468</v>
      </c>
      <c r="N33" t="n">
        <v>45.7423768245655</v>
      </c>
      <c r="O33" t="n">
        <v>33.9800513553915</v>
      </c>
      <c r="P33" t="n">
        <v>0.293775660133067</v>
      </c>
      <c r="Q33" t="n">
        <v>9.69459678439123</v>
      </c>
      <c r="R33" t="n">
        <v>4.52414516604924</v>
      </c>
      <c r="S33" t="n">
        <v>0.723863226567878</v>
      </c>
      <c r="T33" t="n">
        <v>0.814346129888863</v>
      </c>
      <c r="U33" t="n">
        <v>1.99062387306167</v>
      </c>
      <c r="V33" t="n">
        <v>1.1762777431728</v>
      </c>
      <c r="W33" t="n">
        <v>1.08579483985182</v>
      </c>
      <c r="X33" t="n">
        <v>0.18096580664197</v>
      </c>
      <c r="Y33" t="n">
        <v>4.25269645608629</v>
      </c>
      <c r="Z33" t="n">
        <v>11.1515151515152</v>
      </c>
      <c r="AA33" t="n">
        <v>3.2</v>
      </c>
      <c r="AB33" t="n">
        <v>2.6</v>
      </c>
      <c r="AC33" t="n">
        <v>1.8</v>
      </c>
      <c r="AD33" t="n">
        <v>4</v>
      </c>
      <c r="AE33" t="n">
        <v>1.3</v>
      </c>
      <c r="AF33" t="n">
        <v>6.9</v>
      </c>
    </row>
    <row r="34">
      <c r="A34" t="s">
        <v>59</v>
      </c>
      <c r="B34" t="s">
        <v>338</v>
      </c>
      <c r="C34" t="s">
        <v>217</v>
      </c>
      <c r="D34" t="s">
        <v>339</v>
      </c>
      <c r="E34" t="s">
        <v>218</v>
      </c>
      <c r="F34" t="n">
        <v>244.844503432525</v>
      </c>
      <c r="G34" t="n">
        <v>257.738513740603</v>
      </c>
      <c r="H34" t="n">
        <v>280.468418768785</v>
      </c>
      <c r="I34" t="n">
        <v>298.839163111648</v>
      </c>
      <c r="J34" t="n">
        <v>311.946143949878</v>
      </c>
      <c r="K34" t="n">
        <v>306.898100428806</v>
      </c>
      <c r="L34" t="n">
        <v>269.146525122803</v>
      </c>
      <c r="M34" t="n">
        <v>68.0130363365099</v>
      </c>
      <c r="N34" t="n">
        <v>367.023450245584</v>
      </c>
      <c r="O34" t="n">
        <v>415.679586857519</v>
      </c>
      <c r="P34" t="n">
        <v>139.600443274609</v>
      </c>
      <c r="Q34" t="n">
        <v>209.254128407427</v>
      </c>
      <c r="R34" t="n">
        <v>405.706177656124</v>
      </c>
      <c r="S34" t="n">
        <v>511.988489520849</v>
      </c>
      <c r="T34" t="n">
        <v>324.513479940414</v>
      </c>
      <c r="U34" t="n">
        <v>390.928052374142</v>
      </c>
      <c r="V34" t="n">
        <v>156.855508970492</v>
      </c>
      <c r="W34" t="n">
        <v>91.4392240508761</v>
      </c>
      <c r="X34" t="n">
        <v>117.887094383459</v>
      </c>
      <c r="Y34" t="n">
        <v>258.493915161254</v>
      </c>
      <c r="Z34" t="n">
        <v>311.399820453287</v>
      </c>
      <c r="AA34" t="n">
        <v>273.6984416309</v>
      </c>
      <c r="AB34" t="n">
        <v>222.305284468766</v>
      </c>
      <c r="AC34" t="n">
        <v>321.274079126694</v>
      </c>
      <c r="AD34" t="n">
        <v>439.276884281311</v>
      </c>
      <c r="AE34" t="n">
        <v>356.8</v>
      </c>
      <c r="AF34" t="n">
        <v>285.8</v>
      </c>
    </row>
    <row r="35">
      <c r="A35" t="s">
        <v>59</v>
      </c>
      <c r="B35" t="s">
        <v>340</v>
      </c>
      <c r="C35" t="s">
        <v>217</v>
      </c>
      <c r="D35" t="s">
        <v>341</v>
      </c>
      <c r="E35" t="s">
        <v>218</v>
      </c>
      <c r="F35" t="n">
        <v>699.331755892255</v>
      </c>
      <c r="G35" t="n">
        <v>736.8534597119</v>
      </c>
      <c r="H35" t="n">
        <v>801.533549306593</v>
      </c>
      <c r="I35" t="n">
        <v>856.313723536928</v>
      </c>
      <c r="J35" t="n">
        <v>893.606327814446</v>
      </c>
      <c r="K35" t="n">
        <v>882.234396943812</v>
      </c>
      <c r="L35" t="n">
        <v>2239.14566946951</v>
      </c>
      <c r="M35" t="n">
        <v>569.305052804395</v>
      </c>
      <c r="N35" t="n">
        <v>627.593233753168</v>
      </c>
      <c r="O35" t="n">
        <v>545.145879524753</v>
      </c>
      <c r="P35" t="n">
        <v>708.989652653708</v>
      </c>
      <c r="Q35" t="n">
        <v>56.0443133525497</v>
      </c>
      <c r="R35" t="n">
        <v>59.7013647948041</v>
      </c>
      <c r="S35" t="n">
        <v>37.8769988124135</v>
      </c>
      <c r="T35" t="n">
        <v>21.1794819345514</v>
      </c>
      <c r="U35" t="n">
        <v>303.153771080147</v>
      </c>
      <c r="V35" t="n">
        <v>280.432892397834</v>
      </c>
      <c r="W35" t="n">
        <v>216.364624702605</v>
      </c>
      <c r="X35" t="n">
        <v>92.7919833895114</v>
      </c>
      <c r="Y35" t="n">
        <v>156.717373320264</v>
      </c>
      <c r="Z35" t="n">
        <v>209.741340375137</v>
      </c>
      <c r="AA35" t="n">
        <v>254.672079956884</v>
      </c>
      <c r="AB35" t="n">
        <v>206.087257822811</v>
      </c>
      <c r="AC35" t="n">
        <v>317.863397658912</v>
      </c>
      <c r="AD35" t="n">
        <v>255.703002309469</v>
      </c>
      <c r="AE35" t="n">
        <v>259.6</v>
      </c>
      <c r="AF35" t="n">
        <v>29.8</v>
      </c>
    </row>
    <row r="36">
      <c r="A36" t="s">
        <v>59</v>
      </c>
      <c r="B36" t="s">
        <v>342</v>
      </c>
      <c r="C36" t="s">
        <v>217</v>
      </c>
      <c r="D36" t="s">
        <v>343</v>
      </c>
      <c r="E36" t="s">
        <v>218</v>
      </c>
      <c r="F36" t="n">
        <v>69.3745450117526</v>
      </c>
      <c r="G36" t="n">
        <v>73.1282779081802</v>
      </c>
      <c r="H36" t="n">
        <v>79.5270022251459</v>
      </c>
      <c r="I36" t="n">
        <v>84.9689743836318</v>
      </c>
      <c r="J36" t="n">
        <v>88.6021305296905</v>
      </c>
      <c r="K36" t="n">
        <v>87.4734409688027</v>
      </c>
      <c r="L36" t="n">
        <v>72.9491367879653</v>
      </c>
      <c r="M36" t="n">
        <v>129.169734225425</v>
      </c>
      <c r="N36" t="n">
        <v>173.581358030705</v>
      </c>
      <c r="O36" t="n">
        <v>205.330426935466</v>
      </c>
      <c r="P36" t="n">
        <v>18.7890348439305</v>
      </c>
      <c r="Q36" t="n">
        <v>35.544205091353</v>
      </c>
      <c r="R36" t="n">
        <v>33.6253662560872</v>
      </c>
      <c r="S36" t="n">
        <v>26.8642336308686</v>
      </c>
      <c r="T36" t="n">
        <v>18.2324470871797</v>
      </c>
      <c r="U36" t="n">
        <v>74.449158939317</v>
      </c>
      <c r="V36" t="n">
        <v>86.3823973338965</v>
      </c>
      <c r="W36" t="n">
        <v>94.4863129600662</v>
      </c>
      <c r="X36" t="n">
        <v>23.8230893340072</v>
      </c>
      <c r="Y36" t="n">
        <v>33.0624623836982</v>
      </c>
      <c r="Z36" t="n">
        <v>53.3869789198526</v>
      </c>
      <c r="AA36" t="n">
        <v>23.8024978216671</v>
      </c>
      <c r="AB36" t="n">
        <v>19.6370607028754</v>
      </c>
      <c r="AC36" t="n">
        <v>6.37955271565495</v>
      </c>
      <c r="AD36" t="n">
        <v>6.08051118210863</v>
      </c>
      <c r="AE36" t="n">
        <v>31.2</v>
      </c>
      <c r="AF36" t="n">
        <v>5.5</v>
      </c>
    </row>
    <row r="37">
      <c r="A37" t="s">
        <v>59</v>
      </c>
      <c r="B37" t="s">
        <v>344</v>
      </c>
      <c r="C37" t="s">
        <v>217</v>
      </c>
      <c r="D37" t="s">
        <v>345</v>
      </c>
      <c r="E37" t="s">
        <v>218</v>
      </c>
      <c r="F37" t="n">
        <v>605.316241130444</v>
      </c>
      <c r="G37" t="n">
        <v>637.830989982571</v>
      </c>
      <c r="H37" t="n">
        <v>693.803394368756</v>
      </c>
      <c r="I37" t="n">
        <v>741.269714455801</v>
      </c>
      <c r="J37" t="n">
        <v>773.707403039075</v>
      </c>
      <c r="K37" t="n">
        <v>763.910851769978</v>
      </c>
      <c r="L37" t="n">
        <v>2090.52959951051</v>
      </c>
      <c r="M37" t="n">
        <v>415.9585044411</v>
      </c>
      <c r="N37" t="n">
        <v>427.707629062152</v>
      </c>
      <c r="O37" t="n">
        <v>317.802524020125</v>
      </c>
      <c r="P37" t="n">
        <v>656.28654327242</v>
      </c>
      <c r="Q37" t="n">
        <v>6.18696069932577</v>
      </c>
      <c r="R37" t="n">
        <v>21.1240515305551</v>
      </c>
      <c r="S37" t="n">
        <v>2.60790759636483</v>
      </c>
      <c r="T37" t="n">
        <v>1.34601682393024</v>
      </c>
      <c r="U37" t="n">
        <v>175.879531660217</v>
      </c>
      <c r="V37" t="n">
        <v>156.556042932544</v>
      </c>
      <c r="W37" t="n">
        <v>105.355324489196</v>
      </c>
      <c r="X37" t="n">
        <v>60.2416342592069</v>
      </c>
      <c r="Y37" t="n">
        <v>116.473235375592</v>
      </c>
      <c r="Z37" t="n">
        <v>133.812293069046</v>
      </c>
      <c r="AA37" t="n">
        <v>213.266370054287</v>
      </c>
      <c r="AB37" t="n">
        <v>172.226788334359</v>
      </c>
      <c r="AC37" t="n">
        <v>282.6516161012</v>
      </c>
      <c r="AD37" t="n">
        <v>216.888603696099</v>
      </c>
      <c r="AE37" t="n">
        <v>194.7</v>
      </c>
      <c r="AF37" t="n">
        <v>16.7</v>
      </c>
    </row>
    <row r="38">
      <c r="A38" t="s">
        <v>59</v>
      </c>
      <c r="B38" t="s">
        <v>346</v>
      </c>
      <c r="C38" t="s">
        <v>217</v>
      </c>
      <c r="D38" t="s">
        <v>347</v>
      </c>
      <c r="E38" t="s">
        <v>218</v>
      </c>
      <c r="F38" t="n">
        <v>3.92049443000733</v>
      </c>
      <c r="G38" t="n">
        <v>4.06051208822187</v>
      </c>
      <c r="H38" t="n">
        <v>4.45346487095302</v>
      </c>
      <c r="I38" t="n">
        <v>4.70087958600597</v>
      </c>
      <c r="J38" t="n">
        <v>4.81553518566465</v>
      </c>
      <c r="K38" t="n">
        <v>4.70609120417227</v>
      </c>
      <c r="L38" t="n">
        <v>5.75188924954389</v>
      </c>
      <c r="M38" t="n">
        <v>8.98102005630537</v>
      </c>
      <c r="N38" t="n">
        <v>10.4295716782901</v>
      </c>
      <c r="O38" t="n">
        <v>9.77185094182136</v>
      </c>
      <c r="P38" t="n">
        <v>10.878098218254</v>
      </c>
      <c r="Q38" t="n">
        <v>13.4814037747592</v>
      </c>
      <c r="R38" t="n">
        <v>4.02691281583716</v>
      </c>
      <c r="S38" t="n">
        <v>8.05382563167432</v>
      </c>
      <c r="T38" t="n">
        <v>1.5259880144225</v>
      </c>
      <c r="U38" t="n">
        <v>52.5119404963038</v>
      </c>
      <c r="V38" t="n">
        <v>37.1251368074379</v>
      </c>
      <c r="W38" t="n">
        <v>16.1024689767201</v>
      </c>
      <c r="X38" t="n">
        <v>8.63596101544764</v>
      </c>
      <c r="Y38" t="n">
        <v>7.09057851794648</v>
      </c>
      <c r="Z38" t="n">
        <v>22.4062281167109</v>
      </c>
      <c r="AA38" t="n">
        <v>17.6533918495298</v>
      </c>
      <c r="AB38" t="n">
        <v>14.2623448275862</v>
      </c>
      <c r="AC38" t="n">
        <v>28.9236363636364</v>
      </c>
      <c r="AD38" t="n">
        <v>32.8</v>
      </c>
      <c r="AE38" t="n">
        <v>33.7</v>
      </c>
      <c r="AF38" t="n">
        <v>7.6</v>
      </c>
    </row>
    <row r="39">
      <c r="A39" t="s">
        <v>59</v>
      </c>
      <c r="B39" t="s">
        <v>348</v>
      </c>
      <c r="C39" t="s">
        <v>217</v>
      </c>
      <c r="D39" t="s">
        <v>349</v>
      </c>
      <c r="E39" t="s">
        <v>218</v>
      </c>
      <c r="F39" t="n">
        <v>48.4883887212199</v>
      </c>
      <c r="G39" t="n">
        <v>51.174334452133</v>
      </c>
      <c r="H39" t="n">
        <v>55.5607059766015</v>
      </c>
      <c r="I39" t="n">
        <v>59.4574975722455</v>
      </c>
      <c r="J39" t="n">
        <v>61.9597169089532</v>
      </c>
      <c r="K39" t="n">
        <v>61.1565353934668</v>
      </c>
      <c r="L39" t="n">
        <v>59.3806650372137</v>
      </c>
      <c r="M39" t="n">
        <v>94.4496809831044</v>
      </c>
      <c r="N39" t="n">
        <v>30.1457042789211</v>
      </c>
      <c r="O39" t="n">
        <v>19.9640425688219</v>
      </c>
      <c r="P39" t="n">
        <v>71.2862398067203</v>
      </c>
      <c r="Q39" t="n">
        <v>115.559773147693</v>
      </c>
      <c r="R39" t="n">
        <v>117.490366016509</v>
      </c>
      <c r="S39" t="n">
        <v>88.0498348250166</v>
      </c>
      <c r="T39" t="n">
        <v>81.0589434167992</v>
      </c>
      <c r="U39" t="n">
        <v>405.474249627555</v>
      </c>
      <c r="V39" t="n">
        <v>124.093729972069</v>
      </c>
      <c r="W39" t="n">
        <v>34.5600142635056</v>
      </c>
      <c r="X39" t="n">
        <v>312.122948661791</v>
      </c>
      <c r="Y39" t="n">
        <v>174.365262341041</v>
      </c>
      <c r="Z39" t="n">
        <v>197.739632644057</v>
      </c>
      <c r="AA39" t="n">
        <v>185.144751583926</v>
      </c>
      <c r="AB39" t="n">
        <v>149.390601062877</v>
      </c>
      <c r="AC39" t="n">
        <v>320.350968054619</v>
      </c>
      <c r="AD39" t="n">
        <v>295.172715517241</v>
      </c>
      <c r="AE39" t="n">
        <v>231.9</v>
      </c>
      <c r="AF39" t="n">
        <v>129.8</v>
      </c>
    </row>
    <row r="40">
      <c r="A40" t="s">
        <v>59</v>
      </c>
      <c r="B40" t="s">
        <v>350</v>
      </c>
      <c r="C40" t="s">
        <v>217</v>
      </c>
      <c r="D40" t="s">
        <v>351</v>
      </c>
      <c r="E40" t="s">
        <v>218</v>
      </c>
      <c r="F40" t="n">
        <v>1462.48150548679</v>
      </c>
      <c r="G40" t="n">
        <v>1472.29357893979</v>
      </c>
      <c r="H40" t="n">
        <v>1495.54884090845</v>
      </c>
      <c r="I40" t="n">
        <v>1588.44092050154</v>
      </c>
      <c r="J40" t="n">
        <v>1618.80762207356</v>
      </c>
      <c r="K40" t="n">
        <v>1412.23828762588</v>
      </c>
      <c r="L40" t="n">
        <v>1662.90606307036</v>
      </c>
      <c r="M40" t="n">
        <v>1592.26258159915</v>
      </c>
      <c r="N40" t="n">
        <v>1951.90368942353</v>
      </c>
      <c r="O40" t="n">
        <v>2087.20737974584</v>
      </c>
      <c r="P40" t="n">
        <v>2316.67160383367</v>
      </c>
      <c r="Q40" t="n">
        <v>2988.0165464551</v>
      </c>
      <c r="R40" t="n">
        <v>2746.83051072046</v>
      </c>
      <c r="S40" t="n">
        <v>2268.53863649724</v>
      </c>
      <c r="T40" t="n">
        <v>2055.93614842181</v>
      </c>
      <c r="U40" t="n">
        <v>935.486204549681</v>
      </c>
      <c r="V40" t="n">
        <v>1353.82360601019</v>
      </c>
      <c r="W40" t="n">
        <v>978.507056498375</v>
      </c>
      <c r="X40" t="n">
        <v>374.127061853547</v>
      </c>
      <c r="Y40" t="n">
        <v>461.165484662903</v>
      </c>
      <c r="Z40" t="n">
        <v>202.511388153141</v>
      </c>
      <c r="AA40" t="n">
        <v>355.099105557738</v>
      </c>
      <c r="AB40" t="n">
        <v>303.529937700055</v>
      </c>
      <c r="AC40" t="n">
        <v>179.194785119755</v>
      </c>
      <c r="AD40" t="n">
        <v>277.037336504162</v>
      </c>
      <c r="AE40" t="n">
        <v>169.2</v>
      </c>
      <c r="AF40" t="n">
        <v>177.6</v>
      </c>
    </row>
    <row r="41">
      <c r="A41" t="s">
        <v>59</v>
      </c>
      <c r="B41" t="s">
        <v>352</v>
      </c>
      <c r="C41" t="s">
        <v>217</v>
      </c>
      <c r="D41" t="s">
        <v>353</v>
      </c>
      <c r="E41" t="s">
        <v>218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59</v>
      </c>
      <c r="B42" t="s">
        <v>354</v>
      </c>
      <c r="C42" t="s">
        <v>217</v>
      </c>
      <c r="D42" t="s">
        <v>355</v>
      </c>
      <c r="E42" t="s">
        <v>218</v>
      </c>
      <c r="F42" t="n">
        <v>40.0377333713686</v>
      </c>
      <c r="G42" t="n">
        <v>42.1598747161408</v>
      </c>
      <c r="H42" t="n">
        <v>45.8720649427192</v>
      </c>
      <c r="I42" t="n">
        <v>49.0139871990699</v>
      </c>
      <c r="J42" t="n">
        <v>51.1605851785912</v>
      </c>
      <c r="K42" t="n">
        <v>50.5857471428767</v>
      </c>
      <c r="L42" t="n">
        <v>64.7363856608179</v>
      </c>
      <c r="M42" t="n">
        <v>58.802216975243</v>
      </c>
      <c r="N42" t="n">
        <v>89.1317815203683</v>
      </c>
      <c r="O42" t="n">
        <v>86.622440824412</v>
      </c>
      <c r="P42" t="n">
        <v>92.7887840695396</v>
      </c>
      <c r="Q42" t="n">
        <v>94.5543211871418</v>
      </c>
      <c r="R42" t="n">
        <v>122.985444208153</v>
      </c>
      <c r="S42" t="n">
        <v>205.09738767057</v>
      </c>
      <c r="T42" t="n">
        <v>67.7720851138965</v>
      </c>
      <c r="U42" t="n">
        <v>77.775677464485</v>
      </c>
      <c r="V42" t="n">
        <v>188.421906836593</v>
      </c>
      <c r="W42" t="n">
        <v>103.241187866116</v>
      </c>
      <c r="X42" t="n">
        <v>39.9935188753929</v>
      </c>
      <c r="Y42" t="n">
        <v>22.7880691074893</v>
      </c>
      <c r="Z42" t="n">
        <v>36.6878457000243</v>
      </c>
      <c r="AA42" t="n">
        <v>30.2820313714486</v>
      </c>
      <c r="AB42" t="n">
        <v>27.1940610671233</v>
      </c>
      <c r="AC42" t="n">
        <v>17.2962226640159</v>
      </c>
      <c r="AD42" t="n">
        <v>50</v>
      </c>
      <c r="AE42" t="n">
        <v>42</v>
      </c>
      <c r="AF42" t="n">
        <v>39.9</v>
      </c>
    </row>
    <row r="43">
      <c r="A43" t="s">
        <v>59</v>
      </c>
      <c r="B43" t="s">
        <v>356</v>
      </c>
      <c r="C43" t="s">
        <v>217</v>
      </c>
      <c r="D43" t="s">
        <v>357</v>
      </c>
      <c r="E43" t="s">
        <v>218</v>
      </c>
      <c r="F43" t="n">
        <v>81.1678469544896</v>
      </c>
      <c r="G43" t="n">
        <v>85.4174724494891</v>
      </c>
      <c r="H43" t="n">
        <v>92.9894723400348</v>
      </c>
      <c r="I43" t="n">
        <v>99.1552154315932</v>
      </c>
      <c r="J43" t="n">
        <v>103.450748230074</v>
      </c>
      <c r="K43" t="n">
        <v>101.843300421837</v>
      </c>
      <c r="L43" t="n">
        <v>141.757869036946</v>
      </c>
      <c r="M43" t="n">
        <v>115.043620160683</v>
      </c>
      <c r="N43" t="n">
        <v>209.488561689193</v>
      </c>
      <c r="O43" t="n">
        <v>259.204507429786</v>
      </c>
      <c r="P43" t="n">
        <v>100.535785203637</v>
      </c>
      <c r="Q43" t="n">
        <v>113.163941280823</v>
      </c>
      <c r="R43" t="n">
        <v>145.153094616741</v>
      </c>
      <c r="S43" t="n">
        <v>216.317292291365</v>
      </c>
      <c r="T43" t="n">
        <v>72.9359291442924</v>
      </c>
      <c r="U43" t="n">
        <v>509.921193511269</v>
      </c>
      <c r="V43" t="n">
        <v>240.960648464934</v>
      </c>
      <c r="W43" t="n">
        <v>128.380673362465</v>
      </c>
      <c r="X43" t="n">
        <v>53.4844184592395</v>
      </c>
      <c r="Y43" t="n">
        <v>34.193457271377</v>
      </c>
      <c r="Z43" t="n">
        <v>37.2160833285153</v>
      </c>
      <c r="AA43" t="n">
        <v>34.0094756265806</v>
      </c>
      <c r="AB43" t="n">
        <v>30.2195633866684</v>
      </c>
      <c r="AC43" t="n">
        <v>35.9232558139535</v>
      </c>
      <c r="AD43" t="n">
        <v>81.3</v>
      </c>
      <c r="AE43" t="n">
        <v>55.5</v>
      </c>
      <c r="AF43" t="n">
        <v>53.3</v>
      </c>
    </row>
    <row r="44">
      <c r="A44" t="s">
        <v>59</v>
      </c>
      <c r="B44" t="s">
        <v>358</v>
      </c>
      <c r="C44" t="s">
        <v>217</v>
      </c>
      <c r="D44" t="s">
        <v>359</v>
      </c>
      <c r="E44" t="s">
        <v>218</v>
      </c>
      <c r="F44" t="n">
        <v>4068.61910879739</v>
      </c>
      <c r="G44" t="n">
        <v>4274.00133784191</v>
      </c>
      <c r="H44" t="n">
        <v>4653.44691769029</v>
      </c>
      <c r="I44" t="n">
        <v>4936.05512438225</v>
      </c>
      <c r="J44" t="n">
        <v>5149.39592979198</v>
      </c>
      <c r="K44" t="n">
        <v>5033.65856661487</v>
      </c>
      <c r="L44" t="n">
        <v>5766.71025590796</v>
      </c>
      <c r="M44" t="n">
        <v>4670.40325657891</v>
      </c>
      <c r="N44" t="n">
        <v>5640.91406124491</v>
      </c>
      <c r="O44" t="n">
        <v>5697.15507924128</v>
      </c>
      <c r="P44" t="n">
        <v>4264.33471488307</v>
      </c>
      <c r="Q44" t="n">
        <v>4022.53347927526</v>
      </c>
      <c r="R44" t="n">
        <v>4140.96517538433</v>
      </c>
      <c r="S44" t="n">
        <v>5210.92174516046</v>
      </c>
      <c r="T44" t="n">
        <v>5920.12404636188</v>
      </c>
      <c r="U44" t="n">
        <v>5332.6205153324</v>
      </c>
      <c r="V44" t="n">
        <v>2985.40997816367</v>
      </c>
      <c r="W44" t="n">
        <v>3288.58974302452</v>
      </c>
      <c r="X44" t="n">
        <v>3103.88924028691</v>
      </c>
      <c r="Y44" t="n">
        <v>3141.87182372446</v>
      </c>
      <c r="Z44" t="n">
        <v>3129.04708730491</v>
      </c>
      <c r="AA44" t="n">
        <v>3941.79666224649</v>
      </c>
      <c r="AB44" t="n">
        <v>2993.06333688602</v>
      </c>
      <c r="AC44" t="n">
        <v>3004.250491691</v>
      </c>
      <c r="AD44" t="n">
        <v>2845.9120502334</v>
      </c>
      <c r="AE44" t="n">
        <v>2420.2</v>
      </c>
      <c r="AF44" t="n">
        <v>2686.6</v>
      </c>
    </row>
    <row r="45">
      <c r="A45" t="s">
        <v>59</v>
      </c>
      <c r="B45" t="s">
        <v>360</v>
      </c>
      <c r="C45" t="s">
        <v>217</v>
      </c>
      <c r="D45" t="s">
        <v>361</v>
      </c>
      <c r="E45" t="s">
        <v>218</v>
      </c>
      <c r="F45" t="n">
        <v>3735.52247312961</v>
      </c>
      <c r="G45" t="n">
        <v>3936.08270853798</v>
      </c>
      <c r="H45" t="n">
        <v>4281.23935101359</v>
      </c>
      <c r="I45" t="n">
        <v>4573.62339732121</v>
      </c>
      <c r="J45" t="n">
        <v>4773.33923613296</v>
      </c>
      <c r="K45" t="n">
        <v>4710.72192685758</v>
      </c>
      <c r="L45" t="n">
        <v>5445.67475634826</v>
      </c>
      <c r="M45" t="n">
        <v>4462.4249423249</v>
      </c>
      <c r="N45" t="n">
        <v>5399.13040128873</v>
      </c>
      <c r="O45" t="n">
        <v>5402.52947608864</v>
      </c>
      <c r="P45" t="n">
        <v>3932.3089782597</v>
      </c>
      <c r="Q45" t="n">
        <v>3600.93298158063</v>
      </c>
      <c r="R45" t="n">
        <v>3739.93282153486</v>
      </c>
      <c r="S45" t="n">
        <v>4721.99727204142</v>
      </c>
      <c r="T45" t="n">
        <v>5536.71804827199</v>
      </c>
      <c r="U45" t="n">
        <v>5094.8275422263</v>
      </c>
      <c r="V45" t="n">
        <v>2834.34466113225</v>
      </c>
      <c r="W45" t="n">
        <v>3139.4369103704</v>
      </c>
      <c r="X45" t="n">
        <v>2964.08162495034</v>
      </c>
      <c r="Y45" t="n">
        <v>2983.42310374284</v>
      </c>
      <c r="Z45" t="n">
        <v>2954.10361359356</v>
      </c>
      <c r="AA45" t="n">
        <v>3731.37686481273</v>
      </c>
      <c r="AB45" t="n">
        <v>2822.2205300976</v>
      </c>
      <c r="AC45" t="n">
        <v>2849.88642126925</v>
      </c>
      <c r="AD45" t="n">
        <v>2699.62004456289</v>
      </c>
      <c r="AE45" t="n">
        <v>2287.9</v>
      </c>
      <c r="AF45" t="n">
        <v>2567.6</v>
      </c>
    </row>
    <row r="46">
      <c r="A46" t="s">
        <v>59</v>
      </c>
      <c r="B46" t="s">
        <v>362</v>
      </c>
      <c r="C46" t="s">
        <v>217</v>
      </c>
      <c r="D46" t="s">
        <v>363</v>
      </c>
      <c r="E46" t="s">
        <v>218</v>
      </c>
      <c r="F46" t="n">
        <v>35.2744064634081</v>
      </c>
      <c r="G46" t="n">
        <v>37.0989447287568</v>
      </c>
      <c r="H46" t="n">
        <v>40.4093121045536</v>
      </c>
      <c r="I46" t="n">
        <v>43.0024230417442</v>
      </c>
      <c r="J46" t="n">
        <v>44.8453840292475</v>
      </c>
      <c r="K46" t="n">
        <v>43.9602777655123</v>
      </c>
      <c r="L46" t="n">
        <v>66.0355687646441</v>
      </c>
      <c r="M46" t="n">
        <v>48.2354783015487</v>
      </c>
      <c r="N46" t="n">
        <v>103.172778085579</v>
      </c>
      <c r="O46" t="n">
        <v>147.892426490394</v>
      </c>
      <c r="P46" t="n">
        <v>6.7756145620599</v>
      </c>
      <c r="Q46" t="n">
        <v>16.0607159989568</v>
      </c>
      <c r="R46" t="n">
        <v>19.1462722746184</v>
      </c>
      <c r="S46" t="n">
        <v>9.84665431266091</v>
      </c>
      <c r="T46" t="n">
        <v>4.5035085616046</v>
      </c>
      <c r="U46" t="n">
        <v>372.70415682245</v>
      </c>
      <c r="V46" t="n">
        <v>45.4271885495802</v>
      </c>
      <c r="W46" t="n">
        <v>21.7462350637684</v>
      </c>
      <c r="X46" t="n">
        <v>11.6497687841616</v>
      </c>
      <c r="Y46" t="n">
        <v>9.83933174337975</v>
      </c>
      <c r="Z46" t="n">
        <v>0.487900747605607</v>
      </c>
      <c r="AA46" t="n">
        <v>3.70804568180262</v>
      </c>
      <c r="AB46" t="n">
        <v>3.0065235257859</v>
      </c>
      <c r="AC46" t="n">
        <v>18.6404458598726</v>
      </c>
      <c r="AD46" t="n">
        <v>31.3</v>
      </c>
      <c r="AE46" t="n">
        <v>13.5</v>
      </c>
      <c r="AF46" t="n">
        <v>13.4</v>
      </c>
    </row>
    <row r="47">
      <c r="A47" t="s">
        <v>59</v>
      </c>
      <c r="B47" t="s">
        <v>364</v>
      </c>
      <c r="C47" t="s">
        <v>217</v>
      </c>
      <c r="D47" t="s">
        <v>365</v>
      </c>
      <c r="E47" t="s">
        <v>218</v>
      </c>
      <c r="F47" t="n">
        <v>2807.1203317215</v>
      </c>
      <c r="G47" t="n">
        <v>2967.19509420193</v>
      </c>
      <c r="H47" t="n">
        <v>3241.36744842375</v>
      </c>
      <c r="I47" t="n">
        <v>3496.24057971194</v>
      </c>
      <c r="J47" t="n">
        <v>3634.39026334856</v>
      </c>
      <c r="K47" t="n">
        <v>3907.87410716575</v>
      </c>
      <c r="L47" t="n">
        <v>4793.28464239034</v>
      </c>
      <c r="M47" t="n">
        <v>4136.8347146158</v>
      </c>
      <c r="N47" t="n">
        <v>4215.37182652706</v>
      </c>
      <c r="O47" t="n">
        <v>4225.35163624445</v>
      </c>
      <c r="P47" t="n">
        <v>2667.69092945765</v>
      </c>
      <c r="Q47" t="n">
        <v>3558.96746286948</v>
      </c>
      <c r="R47" t="n">
        <v>3685.77458715692</v>
      </c>
      <c r="S47" t="n">
        <v>4227.9948753888</v>
      </c>
      <c r="T47" t="n">
        <v>4202.13774592007</v>
      </c>
      <c r="U47" t="n">
        <v>2757.5798951845</v>
      </c>
      <c r="V47" t="n">
        <v>1908.84574269754</v>
      </c>
      <c r="W47" t="n">
        <v>2173.62718989612</v>
      </c>
      <c r="X47" t="n">
        <v>3201.87430857853</v>
      </c>
      <c r="Y47" t="n">
        <v>2886.01435046666</v>
      </c>
      <c r="Z47" t="n">
        <v>3021.83897157241</v>
      </c>
      <c r="AA47" t="n">
        <v>3539.41770759001</v>
      </c>
      <c r="AB47" t="n">
        <v>4309.95127175151</v>
      </c>
      <c r="AC47" t="n">
        <v>3110.67523097178</v>
      </c>
      <c r="AD47" t="n">
        <v>1911.5009321453</v>
      </c>
      <c r="AE47" t="n">
        <v>2185.3</v>
      </c>
      <c r="AF47" t="n">
        <v>2592.7</v>
      </c>
    </row>
    <row r="48">
      <c r="A48" t="s">
        <v>59</v>
      </c>
      <c r="B48" t="s">
        <v>366</v>
      </c>
      <c r="C48" t="s">
        <v>217</v>
      </c>
      <c r="D48" t="s">
        <v>367</v>
      </c>
      <c r="E48" t="s">
        <v>218</v>
      </c>
      <c r="F48" t="n">
        <v>3358.91254668984</v>
      </c>
      <c r="G48" t="n">
        <v>3548.51839876803</v>
      </c>
      <c r="H48" t="n">
        <v>3873.74654078227</v>
      </c>
      <c r="I48" t="n">
        <v>4171.20831577077</v>
      </c>
      <c r="J48" t="n">
        <v>4338.97128833678</v>
      </c>
      <c r="K48" t="n">
        <v>4602.81838942286</v>
      </c>
      <c r="L48" t="n">
        <v>5398.18841477045</v>
      </c>
      <c r="M48" t="n">
        <v>4509.69435544052</v>
      </c>
      <c r="N48" t="n">
        <v>5067.16106595403</v>
      </c>
      <c r="O48" t="n">
        <v>4665.07516056483</v>
      </c>
      <c r="P48" t="n">
        <v>3163.6683050714</v>
      </c>
      <c r="Q48" t="n">
        <v>3981.92897410355</v>
      </c>
      <c r="R48" t="n">
        <v>4137.6663953422</v>
      </c>
      <c r="S48" t="n">
        <v>4720.8870601516</v>
      </c>
      <c r="T48" t="n">
        <v>4620.54440863389</v>
      </c>
      <c r="U48" t="n">
        <v>2923.05302527878</v>
      </c>
      <c r="V48" t="n">
        <v>2068.70069006262</v>
      </c>
      <c r="W48" t="n">
        <v>2359.85115755292</v>
      </c>
      <c r="X48" t="n">
        <v>3475.16648430687</v>
      </c>
      <c r="Y48" t="n">
        <v>3068.87997792186</v>
      </c>
      <c r="Z48" t="n">
        <v>3188.06161085689</v>
      </c>
      <c r="AA48" t="n">
        <v>3692.34672005349</v>
      </c>
      <c r="AB48" t="n">
        <v>4397.24837071535</v>
      </c>
      <c r="AC48" t="n">
        <v>3204.34808209054</v>
      </c>
      <c r="AD48" t="n">
        <v>2000.51778707821</v>
      </c>
      <c r="AE48" t="n">
        <v>2290.5</v>
      </c>
      <c r="AF48" t="n">
        <v>2914.9</v>
      </c>
    </row>
    <row r="49">
      <c r="A49" t="s">
        <v>59</v>
      </c>
      <c r="B49" t="s">
        <v>368</v>
      </c>
      <c r="C49" t="s">
        <v>217</v>
      </c>
      <c r="D49" t="s">
        <v>369</v>
      </c>
      <c r="E49" t="s">
        <v>218</v>
      </c>
      <c r="F49" t="n">
        <v>468.458842014899</v>
      </c>
      <c r="G49" t="n">
        <v>493.428180656517</v>
      </c>
      <c r="H49" t="n">
        <v>536.844533394446</v>
      </c>
      <c r="I49" t="n">
        <v>573.037716641851</v>
      </c>
      <c r="J49" t="n">
        <v>598.139493966588</v>
      </c>
      <c r="K49" t="n">
        <v>589.734453916625</v>
      </c>
      <c r="L49" t="n">
        <v>504.499831349797</v>
      </c>
      <c r="M49" t="n">
        <v>273.257241129306</v>
      </c>
      <c r="N49" t="n">
        <v>560.456178234596</v>
      </c>
      <c r="O49" t="n">
        <v>290.428250869282</v>
      </c>
      <c r="P49" t="n">
        <v>355.054901433586</v>
      </c>
      <c r="Q49" t="n">
        <v>338.184889542266</v>
      </c>
      <c r="R49" t="n">
        <v>353.540111551023</v>
      </c>
      <c r="S49" t="n">
        <v>372.377383903935</v>
      </c>
      <c r="T49" t="n">
        <v>277.928049833335</v>
      </c>
      <c r="U49" t="n">
        <v>134.641099967867</v>
      </c>
      <c r="V49" t="n">
        <v>125.754787369987</v>
      </c>
      <c r="W49" t="n">
        <v>157.530086962404</v>
      </c>
      <c r="X49" t="n">
        <v>239.77072262014</v>
      </c>
      <c r="Y49" t="n">
        <v>155.860100347517</v>
      </c>
      <c r="Z49" t="n">
        <v>144.342879122564</v>
      </c>
      <c r="AA49" t="n">
        <v>133.284352093013</v>
      </c>
      <c r="AB49" t="n">
        <v>69.4833159377936</v>
      </c>
      <c r="AC49" t="n">
        <v>77.981275440977</v>
      </c>
      <c r="AD49" t="n">
        <v>73.4</v>
      </c>
      <c r="AE49" t="n">
        <v>88.1</v>
      </c>
      <c r="AF49" t="n">
        <v>113.8</v>
      </c>
    </row>
    <row r="50">
      <c r="A50" t="s">
        <v>59</v>
      </c>
      <c r="B50" t="s">
        <v>370</v>
      </c>
      <c r="C50" t="s">
        <v>217</v>
      </c>
      <c r="D50" t="s">
        <v>371</v>
      </c>
      <c r="E50" t="s">
        <v>218</v>
      </c>
      <c r="F50" t="n">
        <v>86.1891082329367</v>
      </c>
      <c r="G50" t="n">
        <v>90.8903323183696</v>
      </c>
      <c r="H50" t="n">
        <v>98.9218786204347</v>
      </c>
      <c r="I50" t="n">
        <v>105.50822649273</v>
      </c>
      <c r="J50" t="n">
        <v>110.189478862715</v>
      </c>
      <c r="K50" t="n">
        <v>108.570745699988</v>
      </c>
      <c r="L50" t="n">
        <v>102.644639086086</v>
      </c>
      <c r="M50" t="n">
        <v>100.2625904997</v>
      </c>
      <c r="N50" t="n">
        <v>296.117153929238</v>
      </c>
      <c r="O50" t="n">
        <v>150.886435187681</v>
      </c>
      <c r="P50" t="n">
        <v>143.509327861034</v>
      </c>
      <c r="Q50" t="n">
        <v>86.145022356143</v>
      </c>
      <c r="R50" t="n">
        <v>99.7908394750578</v>
      </c>
      <c r="S50" t="n">
        <v>122.08842631747</v>
      </c>
      <c r="T50" t="n">
        <v>141.811775890687</v>
      </c>
      <c r="U50" t="n">
        <v>31.1714063299657</v>
      </c>
      <c r="V50" t="n">
        <v>34.4240748165708</v>
      </c>
      <c r="W50" t="n">
        <v>28.9126087698233</v>
      </c>
      <c r="X50" t="n">
        <v>33.9132172048556</v>
      </c>
      <c r="Y50" t="n">
        <v>27.2780225343404</v>
      </c>
      <c r="Z50" t="n">
        <v>21.95548155203</v>
      </c>
      <c r="AA50" t="n">
        <v>19.6135635198135</v>
      </c>
      <c r="AB50" t="n">
        <v>17.6121794871795</v>
      </c>
      <c r="AC50" t="n">
        <v>15.7</v>
      </c>
      <c r="AD50" t="n">
        <v>15.7</v>
      </c>
      <c r="AE50" t="n">
        <v>17.2</v>
      </c>
      <c r="AF50" t="n">
        <v>208.3</v>
      </c>
    </row>
    <row r="51">
      <c r="A51" t="s">
        <v>59</v>
      </c>
      <c r="B51" t="s">
        <v>372</v>
      </c>
      <c r="C51" t="s">
        <v>217</v>
      </c>
      <c r="D51" t="s">
        <v>373</v>
      </c>
      <c r="E51" t="s">
        <v>218</v>
      </c>
      <c r="F51" t="n">
        <v>79.9113164960485</v>
      </c>
      <c r="G51" t="n">
        <v>84.1468986424821</v>
      </c>
      <c r="H51" t="n">
        <v>91.5677274991419</v>
      </c>
      <c r="I51" t="n">
        <v>97.7140544134679</v>
      </c>
      <c r="J51" t="n">
        <v>101.993502052014</v>
      </c>
      <c r="K51" t="n">
        <v>100.50538137112</v>
      </c>
      <c r="L51" t="n">
        <v>94.9709440709485</v>
      </c>
      <c r="M51" t="n">
        <v>92.8271304350355</v>
      </c>
      <c r="N51" t="n">
        <v>274.16385035464</v>
      </c>
      <c r="O51" t="n">
        <v>139.732542482828</v>
      </c>
      <c r="P51" t="n">
        <v>52.5215065538663</v>
      </c>
      <c r="Q51" t="n">
        <v>32.2157939828548</v>
      </c>
      <c r="R51" t="n">
        <v>42.8930285600295</v>
      </c>
      <c r="S51" t="n">
        <v>51.9613221245178</v>
      </c>
      <c r="T51" t="n">
        <v>106.224167886578</v>
      </c>
      <c r="U51" t="n">
        <v>19.3380153222814</v>
      </c>
      <c r="V51" t="n">
        <v>17.6369861967103</v>
      </c>
      <c r="W51" t="n">
        <v>14.8616228865681</v>
      </c>
      <c r="X51" t="n">
        <v>12.9701436100958</v>
      </c>
      <c r="Y51" t="n">
        <v>15.8929928743427</v>
      </c>
      <c r="Z51" t="n">
        <v>15.9870342522974</v>
      </c>
      <c r="AA51" t="n">
        <v>13.0015037593985</v>
      </c>
      <c r="AB51" t="n">
        <v>13.2</v>
      </c>
      <c r="AC51" t="n">
        <v>11</v>
      </c>
      <c r="AD51" t="n">
        <v>14.4</v>
      </c>
      <c r="AE51" t="n">
        <v>13.6</v>
      </c>
      <c r="AF51" t="n">
        <v>195.4</v>
      </c>
    </row>
    <row r="52">
      <c r="A52" t="s">
        <v>59</v>
      </c>
      <c r="B52" t="s">
        <v>374</v>
      </c>
      <c r="C52" t="s">
        <v>217</v>
      </c>
      <c r="D52" t="s">
        <v>375</v>
      </c>
      <c r="E52" t="s">
        <v>218</v>
      </c>
      <c r="F52" t="n">
        <v>5.64508315288635</v>
      </c>
      <c r="G52" t="n">
        <v>6.07932031849299</v>
      </c>
      <c r="H52" t="n">
        <v>6.63198580199235</v>
      </c>
      <c r="I52" t="n">
        <v>7.02210261387426</v>
      </c>
      <c r="J52" t="n">
        <v>7.3916869619729</v>
      </c>
      <c r="K52" t="n">
        <v>7.27246620452172</v>
      </c>
      <c r="L52" t="n">
        <v>6.92615829002069</v>
      </c>
      <c r="M52" t="n">
        <v>6.70273382905228</v>
      </c>
      <c r="N52" t="n">
        <v>19.7890236857734</v>
      </c>
      <c r="O52" t="n">
        <v>10.049923023665</v>
      </c>
      <c r="P52" t="n">
        <v>92.4592918177182</v>
      </c>
      <c r="Q52" t="n">
        <v>54.7906914475367</v>
      </c>
      <c r="R52" t="n">
        <v>57.729292545934</v>
      </c>
      <c r="S52" t="n">
        <v>71.1590471931303</v>
      </c>
      <c r="T52" t="n">
        <v>35.4428544918408</v>
      </c>
      <c r="U52" t="n">
        <v>11.9065839308528</v>
      </c>
      <c r="V52" t="n">
        <v>16.9830344440071</v>
      </c>
      <c r="W52" t="n">
        <v>14.214061436832</v>
      </c>
      <c r="X52" t="n">
        <v>21.2746409740819</v>
      </c>
      <c r="Y52" t="n">
        <v>11.484540702823</v>
      </c>
      <c r="Z52" t="n">
        <v>5.93692358366272</v>
      </c>
      <c r="AA52" t="n">
        <v>6.64130434782609</v>
      </c>
      <c r="AB52" t="n">
        <v>4.39347826086957</v>
      </c>
      <c r="AC52" t="n">
        <v>4.7</v>
      </c>
      <c r="AD52" t="n">
        <v>1.3</v>
      </c>
      <c r="AE52" t="n">
        <v>3.6</v>
      </c>
      <c r="AF52" t="n">
        <v>12.9</v>
      </c>
    </row>
    <row r="53">
      <c r="A53" t="s">
        <v>59</v>
      </c>
      <c r="B53" t="s">
        <v>376</v>
      </c>
      <c r="C53" t="s">
        <v>217</v>
      </c>
      <c r="D53" t="s">
        <v>377</v>
      </c>
      <c r="E53" t="s">
        <v>218</v>
      </c>
      <c r="F53" t="n">
        <v>75.4957941800641</v>
      </c>
      <c r="G53" t="n">
        <v>79.580454686075</v>
      </c>
      <c r="H53" t="n">
        <v>86.5867073411614</v>
      </c>
      <c r="I53" t="n">
        <v>92.3424711239553</v>
      </c>
      <c r="J53" t="n">
        <v>96.3728228803282</v>
      </c>
      <c r="K53" t="n">
        <v>95.0025931711292</v>
      </c>
      <c r="L53" t="n">
        <v>107.043619514912</v>
      </c>
      <c r="M53" t="n">
        <v>231.535349010754</v>
      </c>
      <c r="N53" t="n">
        <v>331.01436270024</v>
      </c>
      <c r="O53" t="n">
        <v>302.621708213116</v>
      </c>
      <c r="P53" t="n">
        <v>222.461532526153</v>
      </c>
      <c r="Q53" t="n">
        <v>249.391086463529</v>
      </c>
      <c r="R53" t="n">
        <v>189.618149073671</v>
      </c>
      <c r="S53" t="n">
        <v>229.408955690947</v>
      </c>
      <c r="T53" t="n">
        <v>164.774244130009</v>
      </c>
      <c r="U53" t="n">
        <v>73.8519240320978</v>
      </c>
      <c r="V53" t="n">
        <v>84.3381802356845</v>
      </c>
      <c r="W53" t="n">
        <v>78.2436039806085</v>
      </c>
      <c r="X53" t="n">
        <v>137.286876569662</v>
      </c>
      <c r="Y53" t="n">
        <v>113.85877080711</v>
      </c>
      <c r="Z53" t="n">
        <v>124.415213133597</v>
      </c>
      <c r="AA53" t="n">
        <v>119.279694211416</v>
      </c>
      <c r="AB53" t="n">
        <v>61.1333324255504</v>
      </c>
      <c r="AC53" t="n">
        <v>71.2223300970874</v>
      </c>
      <c r="AD53" t="n">
        <v>51.3</v>
      </c>
      <c r="AE53" t="n">
        <v>52.7</v>
      </c>
      <c r="AF53" t="n">
        <v>84.7</v>
      </c>
    </row>
    <row r="54">
      <c r="A54" t="s">
        <v>59</v>
      </c>
      <c r="B54" t="s">
        <v>378</v>
      </c>
      <c r="C54" t="s">
        <v>217</v>
      </c>
      <c r="D54" t="s">
        <v>379</v>
      </c>
      <c r="E54" t="s">
        <v>218</v>
      </c>
      <c r="F54" t="n">
        <v>212.44794434536</v>
      </c>
      <c r="G54" t="n">
        <v>223.733359715632</v>
      </c>
      <c r="H54" t="n">
        <v>243.19419041279</v>
      </c>
      <c r="I54" t="n">
        <v>259.607605633849</v>
      </c>
      <c r="J54" t="n">
        <v>270.884570670527</v>
      </c>
      <c r="K54" t="n">
        <v>266.8824769713</v>
      </c>
      <c r="L54" t="n">
        <v>142.846300899647</v>
      </c>
      <c r="M54" t="n">
        <v>329.447324597385</v>
      </c>
      <c r="N54" t="n">
        <v>410.780918154354</v>
      </c>
      <c r="O54" t="n">
        <v>328.964801511973</v>
      </c>
      <c r="P54" t="n">
        <v>274.299738227548</v>
      </c>
      <c r="Q54" t="n">
        <v>342.533018306216</v>
      </c>
      <c r="R54" t="n">
        <v>305.74107219384</v>
      </c>
      <c r="S54" t="n">
        <v>391.606076751244</v>
      </c>
      <c r="T54" t="n">
        <v>1223.80220682995</v>
      </c>
      <c r="U54" t="n">
        <v>84.6451949009173</v>
      </c>
      <c r="V54" t="n">
        <v>151.805418397514</v>
      </c>
      <c r="W54" t="n">
        <v>120.242803349714</v>
      </c>
      <c r="X54" t="n">
        <v>190.963251831466</v>
      </c>
      <c r="Y54" t="n">
        <v>230.104787921146</v>
      </c>
      <c r="Z54" t="n">
        <v>247.645562738086</v>
      </c>
      <c r="AA54" t="n">
        <v>207.712109959968</v>
      </c>
      <c r="AB54" t="n">
        <v>132.597035183078</v>
      </c>
      <c r="AC54" t="n">
        <v>81.1369951534733</v>
      </c>
      <c r="AD54" t="n">
        <v>61.7</v>
      </c>
      <c r="AE54" t="n">
        <v>62.5</v>
      </c>
      <c r="AF54" t="n">
        <v>115</v>
      </c>
    </row>
    <row r="55">
      <c r="A55" t="s">
        <v>59</v>
      </c>
      <c r="B55" t="s">
        <v>380</v>
      </c>
      <c r="C55" t="s">
        <v>217</v>
      </c>
      <c r="D55" t="s">
        <v>381</v>
      </c>
      <c r="E55" t="s">
        <v>218</v>
      </c>
      <c r="F55" t="n">
        <v>138.012608404702</v>
      </c>
      <c r="G55" t="n">
        <v>145.268941423919</v>
      </c>
      <c r="H55" t="n">
        <v>157.819750701353</v>
      </c>
      <c r="I55" t="n">
        <v>168.560086017297</v>
      </c>
      <c r="J55" t="n">
        <v>175.862760198445</v>
      </c>
      <c r="K55" t="n">
        <v>173.210403815124</v>
      </c>
      <c r="L55" t="n">
        <v>35.9366946059728</v>
      </c>
      <c r="M55" t="n">
        <v>98.392937942257</v>
      </c>
      <c r="N55" t="n">
        <v>80.0800567479568</v>
      </c>
      <c r="O55" t="n">
        <v>26.3580086280963</v>
      </c>
      <c r="P55" t="n">
        <v>52.030121120889</v>
      </c>
      <c r="Q55" t="n">
        <v>93.5560479777496</v>
      </c>
      <c r="R55" t="n">
        <v>116.667719909012</v>
      </c>
      <c r="S55" t="n">
        <v>162.970221247901</v>
      </c>
      <c r="T55" t="n">
        <v>1064.64972405391</v>
      </c>
      <c r="U55" t="n">
        <v>10.7631736608967</v>
      </c>
      <c r="V55" t="n">
        <v>67.4492216082861</v>
      </c>
      <c r="W55" t="n">
        <v>41.9763772774972</v>
      </c>
      <c r="X55" t="n">
        <v>53.6214367802867</v>
      </c>
      <c r="Y55" t="n">
        <v>116.28635267684</v>
      </c>
      <c r="Z55" t="n">
        <v>123.271084899312</v>
      </c>
      <c r="AA55" t="n">
        <v>88.452580195258</v>
      </c>
      <c r="AB55" t="n">
        <v>71.5</v>
      </c>
      <c r="AC55" t="n">
        <v>9.9</v>
      </c>
      <c r="AD55" t="n">
        <v>10.4</v>
      </c>
      <c r="AE55" t="n">
        <v>9.8</v>
      </c>
      <c r="AF55" t="n">
        <v>30.3</v>
      </c>
    </row>
    <row r="56">
      <c r="A56" t="s">
        <v>59</v>
      </c>
      <c r="B56" t="s">
        <v>382</v>
      </c>
      <c r="C56" t="s">
        <v>217</v>
      </c>
      <c r="D56" t="s">
        <v>383</v>
      </c>
      <c r="E56" t="s">
        <v>218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59</v>
      </c>
      <c r="B57" t="s">
        <v>384</v>
      </c>
      <c r="C57" t="s">
        <v>217</v>
      </c>
      <c r="D57" t="s">
        <v>385</v>
      </c>
      <c r="E57" t="s">
        <v>218</v>
      </c>
      <c r="F57" t="n">
        <v>8871.62174741431</v>
      </c>
      <c r="G57" t="n">
        <v>9282.73830650256</v>
      </c>
      <c r="H57" t="n">
        <v>10019.1323508019</v>
      </c>
      <c r="I57" t="n">
        <v>10692.8080983332</v>
      </c>
      <c r="J57" t="n">
        <v>11105.6263977739</v>
      </c>
      <c r="K57" t="n">
        <v>11051.6983232308</v>
      </c>
      <c r="L57" t="n">
        <v>12831.1027160598</v>
      </c>
      <c r="M57" t="n">
        <v>10771.8284644427</v>
      </c>
      <c r="N57" t="n">
        <v>12657.3130360179</v>
      </c>
      <c r="O57" t="n">
        <v>12443.0575965314</v>
      </c>
      <c r="P57" t="n">
        <v>9723.76242925578</v>
      </c>
      <c r="Q57" t="n">
        <v>10963.1297173718</v>
      </c>
      <c r="R57" t="n">
        <v>11001.3567659352</v>
      </c>
      <c r="S57" t="n">
        <v>12187.1420901516</v>
      </c>
      <c r="T57" t="n">
        <v>12586.5503175871</v>
      </c>
      <c r="U57" t="n">
        <v>9185.74256156611</v>
      </c>
      <c r="V57" t="n">
        <v>6405.63461008487</v>
      </c>
      <c r="W57" t="n">
        <v>6623.54625327589</v>
      </c>
      <c r="X57" t="n">
        <v>6953.44708337314</v>
      </c>
      <c r="Y57" t="n">
        <v>6670.82298739426</v>
      </c>
      <c r="Z57" t="n">
        <v>6519.76165992642</v>
      </c>
      <c r="AA57" t="n">
        <v>7988.92184970745</v>
      </c>
      <c r="AB57" t="n">
        <v>7694.31585278133</v>
      </c>
      <c r="AC57" t="n">
        <v>6387.93547527519</v>
      </c>
      <c r="AD57" t="n">
        <v>5122.46584881316</v>
      </c>
      <c r="AE57" t="n">
        <v>4880</v>
      </c>
      <c r="AF57" t="n">
        <v>5779</v>
      </c>
    </row>
    <row r="58">
      <c r="A58" t="s">
        <v>59</v>
      </c>
      <c r="B58" t="s">
        <v>386</v>
      </c>
      <c r="C58" t="s">
        <v>217</v>
      </c>
      <c r="D58" t="s">
        <v>387</v>
      </c>
      <c r="E58" t="s">
        <v>218</v>
      </c>
      <c r="F58" t="n">
        <v>8871.62174741431</v>
      </c>
      <c r="G58" t="n">
        <v>9282.73830650256</v>
      </c>
      <c r="H58" t="n">
        <v>10019.1323508019</v>
      </c>
      <c r="I58" t="n">
        <v>10692.8080983332</v>
      </c>
      <c r="J58" t="n">
        <v>11105.6263977739</v>
      </c>
      <c r="K58" t="n">
        <v>11051.6983232308</v>
      </c>
      <c r="L58" t="n">
        <v>12831.1027160598</v>
      </c>
      <c r="M58" t="n">
        <v>10771.8284644427</v>
      </c>
      <c r="N58" t="n">
        <v>12657.3130360179</v>
      </c>
      <c r="O58" t="n">
        <v>12443.0575965314</v>
      </c>
      <c r="P58" t="n">
        <v>9723.76242925578</v>
      </c>
      <c r="Q58" t="n">
        <v>10963.1297173718</v>
      </c>
      <c r="R58" t="n">
        <v>11001.3567659352</v>
      </c>
      <c r="S58" t="n">
        <v>12187.1420901516</v>
      </c>
      <c r="T58" t="n">
        <v>12586.5503175871</v>
      </c>
      <c r="U58" t="n">
        <v>9185.74256156611</v>
      </c>
      <c r="V58" t="n">
        <v>6405.63461008487</v>
      </c>
      <c r="W58" t="n">
        <v>6623.54625327589</v>
      </c>
      <c r="X58" t="n">
        <v>6953.44708337314</v>
      </c>
      <c r="Y58" t="n">
        <v>6670.82298739426</v>
      </c>
      <c r="Z58" t="n">
        <v>6519.76165992642</v>
      </c>
      <c r="AA58" t="n">
        <v>7988.92184970745</v>
      </c>
      <c r="AB58" t="n">
        <v>7694.31585278133</v>
      </c>
      <c r="AC58" t="n">
        <v>6387.93547527519</v>
      </c>
      <c r="AD58" t="n">
        <v>5122.46584881316</v>
      </c>
      <c r="AE58" t="n">
        <v>4880</v>
      </c>
      <c r="AF58" t="n">
        <v>5779</v>
      </c>
    </row>
    <row r="59">
      <c r="A59" t="s">
        <v>59</v>
      </c>
      <c r="B59" t="s">
        <v>388</v>
      </c>
      <c r="C59" t="s">
        <v>217</v>
      </c>
      <c r="D59" t="s">
        <v>389</v>
      </c>
      <c r="E59" t="s">
        <v>218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61</v>
      </c>
      <c r="B2" t="s">
        <v>197</v>
      </c>
      <c r="C2" t="s">
        <v>217</v>
      </c>
      <c r="D2" t="s">
        <v>199</v>
      </c>
      <c r="E2" t="s">
        <v>218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61</v>
      </c>
      <c r="B3" t="s">
        <v>276</v>
      </c>
      <c r="C3" t="s">
        <v>217</v>
      </c>
      <c r="D3" t="s">
        <v>277</v>
      </c>
      <c r="E3" t="s">
        <v>218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61</v>
      </c>
      <c r="B4" t="s">
        <v>278</v>
      </c>
      <c r="C4" t="s">
        <v>217</v>
      </c>
      <c r="D4" t="s">
        <v>279</v>
      </c>
      <c r="E4" t="s">
        <v>218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61</v>
      </c>
      <c r="B5" t="s">
        <v>280</v>
      </c>
      <c r="C5" t="s">
        <v>217</v>
      </c>
      <c r="D5" t="s">
        <v>281</v>
      </c>
      <c r="E5" t="s">
        <v>218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61</v>
      </c>
      <c r="B6" t="s">
        <v>282</v>
      </c>
      <c r="C6" t="s">
        <v>217</v>
      </c>
      <c r="D6" t="s">
        <v>283</v>
      </c>
      <c r="E6" t="s">
        <v>218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61</v>
      </c>
      <c r="B7" t="s">
        <v>284</v>
      </c>
      <c r="C7" t="s">
        <v>217</v>
      </c>
      <c r="D7" t="s">
        <v>285</v>
      </c>
      <c r="E7" t="s">
        <v>218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61</v>
      </c>
      <c r="B8" t="s">
        <v>286</v>
      </c>
      <c r="C8" t="s">
        <v>217</v>
      </c>
      <c r="D8" t="s">
        <v>287</v>
      </c>
      <c r="E8" t="s">
        <v>218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61</v>
      </c>
      <c r="B9" t="s">
        <v>288</v>
      </c>
      <c r="C9" t="s">
        <v>217</v>
      </c>
      <c r="D9" t="s">
        <v>289</v>
      </c>
      <c r="E9" t="s">
        <v>218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61</v>
      </c>
      <c r="B10" t="s">
        <v>290</v>
      </c>
      <c r="C10" t="s">
        <v>217</v>
      </c>
      <c r="D10" t="s">
        <v>291</v>
      </c>
      <c r="E10" t="s">
        <v>218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61</v>
      </c>
      <c r="B11" t="s">
        <v>292</v>
      </c>
      <c r="C11" t="s">
        <v>217</v>
      </c>
      <c r="D11" t="s">
        <v>293</v>
      </c>
      <c r="E11" t="s">
        <v>218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61</v>
      </c>
      <c r="B12" t="s">
        <v>294</v>
      </c>
      <c r="C12" t="s">
        <v>217</v>
      </c>
      <c r="D12" t="s">
        <v>295</v>
      </c>
      <c r="E12" t="s">
        <v>218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61</v>
      </c>
      <c r="B13" t="s">
        <v>296</v>
      </c>
      <c r="C13" t="s">
        <v>217</v>
      </c>
      <c r="D13" t="s">
        <v>297</v>
      </c>
      <c r="E13" t="s">
        <v>218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61</v>
      </c>
      <c r="B14" t="s">
        <v>298</v>
      </c>
      <c r="C14" t="s">
        <v>217</v>
      </c>
      <c r="D14" t="s">
        <v>299</v>
      </c>
      <c r="E14" t="s">
        <v>218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61</v>
      </c>
      <c r="B15" t="s">
        <v>300</v>
      </c>
      <c r="C15" t="s">
        <v>217</v>
      </c>
      <c r="D15" t="s">
        <v>301</v>
      </c>
      <c r="E15" t="s">
        <v>218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61</v>
      </c>
      <c r="B16" t="s">
        <v>302</v>
      </c>
      <c r="C16" t="s">
        <v>217</v>
      </c>
      <c r="D16" t="s">
        <v>303</v>
      </c>
      <c r="E16" t="s">
        <v>218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61</v>
      </c>
      <c r="B17" t="s">
        <v>304</v>
      </c>
      <c r="C17" t="s">
        <v>217</v>
      </c>
      <c r="D17" t="s">
        <v>305</v>
      </c>
      <c r="E17" t="s">
        <v>218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61</v>
      </c>
      <c r="B18" t="s">
        <v>306</v>
      </c>
      <c r="C18" t="s">
        <v>217</v>
      </c>
      <c r="D18" t="s">
        <v>307</v>
      </c>
      <c r="E18" t="s">
        <v>218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61</v>
      </c>
      <c r="B19" t="s">
        <v>308</v>
      </c>
      <c r="C19" t="s">
        <v>217</v>
      </c>
      <c r="D19" t="s">
        <v>309</v>
      </c>
      <c r="E19" t="s">
        <v>218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61</v>
      </c>
      <c r="B20" t="s">
        <v>310</v>
      </c>
      <c r="C20" t="s">
        <v>217</v>
      </c>
      <c r="D20" t="s">
        <v>311</v>
      </c>
      <c r="E20" t="s">
        <v>218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61</v>
      </c>
      <c r="B21" t="s">
        <v>312</v>
      </c>
      <c r="C21" t="s">
        <v>217</v>
      </c>
      <c r="D21" t="s">
        <v>313</v>
      </c>
      <c r="E21" t="s">
        <v>218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61</v>
      </c>
      <c r="B22" t="s">
        <v>314</v>
      </c>
      <c r="C22" t="s">
        <v>217</v>
      </c>
      <c r="D22" t="s">
        <v>315</v>
      </c>
      <c r="E22" t="s">
        <v>218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61</v>
      </c>
      <c r="B23" t="s">
        <v>316</v>
      </c>
      <c r="C23" t="s">
        <v>217</v>
      </c>
      <c r="D23" t="s">
        <v>317</v>
      </c>
      <c r="E23" t="s">
        <v>218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61</v>
      </c>
      <c r="B24" t="s">
        <v>318</v>
      </c>
      <c r="C24" t="s">
        <v>217</v>
      </c>
      <c r="D24" t="s">
        <v>319</v>
      </c>
      <c r="E24" t="s">
        <v>218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61</v>
      </c>
      <c r="B25" t="s">
        <v>320</v>
      </c>
      <c r="C25" t="s">
        <v>217</v>
      </c>
      <c r="D25" t="s">
        <v>321</v>
      </c>
      <c r="E25" t="s">
        <v>218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61</v>
      </c>
      <c r="B26" t="s">
        <v>322</v>
      </c>
      <c r="C26" t="s">
        <v>217</v>
      </c>
      <c r="D26" t="s">
        <v>323</v>
      </c>
      <c r="E26" t="s">
        <v>218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61</v>
      </c>
      <c r="B27" t="s">
        <v>324</v>
      </c>
      <c r="C27" t="s">
        <v>217</v>
      </c>
      <c r="D27" t="s">
        <v>325</v>
      </c>
      <c r="E27" t="s">
        <v>218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61</v>
      </c>
      <c r="B28" t="s">
        <v>326</v>
      </c>
      <c r="C28" t="s">
        <v>217</v>
      </c>
      <c r="D28" t="s">
        <v>327</v>
      </c>
      <c r="E28" t="s">
        <v>218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61</v>
      </c>
      <c r="B29" t="s">
        <v>328</v>
      </c>
      <c r="C29" t="s">
        <v>217</v>
      </c>
      <c r="D29" t="s">
        <v>329</v>
      </c>
      <c r="E29" t="s">
        <v>218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61</v>
      </c>
      <c r="B30" t="s">
        <v>330</v>
      </c>
      <c r="C30" t="s">
        <v>217</v>
      </c>
      <c r="D30" t="s">
        <v>331</v>
      </c>
      <c r="E30" t="s">
        <v>218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61</v>
      </c>
      <c r="B31" t="s">
        <v>332</v>
      </c>
      <c r="C31" t="s">
        <v>217</v>
      </c>
      <c r="D31" t="s">
        <v>333</v>
      </c>
      <c r="E31" t="s">
        <v>218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61</v>
      </c>
      <c r="B32" t="s">
        <v>334</v>
      </c>
      <c r="C32" t="s">
        <v>217</v>
      </c>
      <c r="D32" t="s">
        <v>335</v>
      </c>
      <c r="E32" t="s">
        <v>218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61</v>
      </c>
      <c r="B33" t="s">
        <v>336</v>
      </c>
      <c r="C33" t="s">
        <v>217</v>
      </c>
      <c r="D33" t="s">
        <v>337</v>
      </c>
      <c r="E33" t="s">
        <v>218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61</v>
      </c>
      <c r="B34" t="s">
        <v>338</v>
      </c>
      <c r="C34" t="s">
        <v>217</v>
      </c>
      <c r="D34" t="s">
        <v>339</v>
      </c>
      <c r="E34" t="s">
        <v>218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61</v>
      </c>
      <c r="B35" t="s">
        <v>340</v>
      </c>
      <c r="C35" t="s">
        <v>217</v>
      </c>
      <c r="D35" t="s">
        <v>341</v>
      </c>
      <c r="E35" t="s">
        <v>218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s">
        <v>61</v>
      </c>
      <c r="B36" t="s">
        <v>342</v>
      </c>
      <c r="C36" t="s">
        <v>217</v>
      </c>
      <c r="D36" t="s">
        <v>343</v>
      </c>
      <c r="E36" t="s">
        <v>218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61</v>
      </c>
      <c r="B37" t="s">
        <v>344</v>
      </c>
      <c r="C37" t="s">
        <v>217</v>
      </c>
      <c r="D37" t="s">
        <v>345</v>
      </c>
      <c r="E37" t="s">
        <v>218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61</v>
      </c>
      <c r="B38" t="s">
        <v>346</v>
      </c>
      <c r="C38" t="s">
        <v>217</v>
      </c>
      <c r="D38" t="s">
        <v>347</v>
      </c>
      <c r="E38" t="s">
        <v>218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61</v>
      </c>
      <c r="B39" t="s">
        <v>348</v>
      </c>
      <c r="C39" t="s">
        <v>217</v>
      </c>
      <c r="D39" t="s">
        <v>349</v>
      </c>
      <c r="E39" t="s">
        <v>218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61</v>
      </c>
      <c r="B40" t="s">
        <v>350</v>
      </c>
      <c r="C40" t="s">
        <v>217</v>
      </c>
      <c r="D40" t="s">
        <v>351</v>
      </c>
      <c r="E40" t="s">
        <v>218</v>
      </c>
      <c r="F40" t="n">
        <v>10798.2579505788</v>
      </c>
      <c r="G40" t="n">
        <v>11289.158308106</v>
      </c>
      <c r="H40" t="n">
        <v>10388.0736233313</v>
      </c>
      <c r="I40" t="n">
        <v>13011.686510047</v>
      </c>
      <c r="J40" t="n">
        <v>13491.0444256838</v>
      </c>
      <c r="K40" t="n">
        <v>13936.2696131917</v>
      </c>
      <c r="L40" t="n">
        <v>12836.3643352744</v>
      </c>
      <c r="M40" t="n">
        <v>13466.6170021619</v>
      </c>
      <c r="N40" t="n">
        <v>15995.6189430441</v>
      </c>
      <c r="O40" t="n">
        <v>18740.8023386048</v>
      </c>
      <c r="P40" t="n">
        <v>16965.6140501896</v>
      </c>
      <c r="Q40" t="n">
        <v>20093.0168367383</v>
      </c>
      <c r="R40" t="n">
        <v>22825.2208723624</v>
      </c>
      <c r="S40" t="n">
        <v>17362.7291755051</v>
      </c>
      <c r="T40" t="n">
        <v>13957.3703880322</v>
      </c>
      <c r="U40" t="n">
        <v>10449.5839657559</v>
      </c>
      <c r="V40" t="n">
        <v>8927.46854012496</v>
      </c>
      <c r="W40" t="n">
        <v>5540.61565197809</v>
      </c>
      <c r="X40" t="n">
        <v>3815.44852124782</v>
      </c>
      <c r="Y40" t="n">
        <v>1780.98621879989</v>
      </c>
      <c r="Z40" t="n">
        <v>1322.10029289357</v>
      </c>
      <c r="AA40" t="n">
        <v>1169.60242824353</v>
      </c>
      <c r="AB40" t="n">
        <v>1087.72428175944</v>
      </c>
      <c r="AC40" t="n">
        <v>1332.54711440806</v>
      </c>
      <c r="AD40" t="n">
        <v>1500.27196956984</v>
      </c>
      <c r="AE40" t="n">
        <v>1786</v>
      </c>
      <c r="AF40" t="n">
        <v>2354.4</v>
      </c>
    </row>
    <row r="41">
      <c r="A41" t="s">
        <v>61</v>
      </c>
      <c r="B41" t="s">
        <v>352</v>
      </c>
      <c r="C41" t="s">
        <v>217</v>
      </c>
      <c r="D41" t="s">
        <v>353</v>
      </c>
      <c r="E41" t="s">
        <v>218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61</v>
      </c>
      <c r="B42" t="s">
        <v>354</v>
      </c>
      <c r="C42" t="s">
        <v>217</v>
      </c>
      <c r="D42" t="s">
        <v>355</v>
      </c>
      <c r="E42" t="s">
        <v>218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61</v>
      </c>
      <c r="B43" t="s">
        <v>356</v>
      </c>
      <c r="C43" t="s">
        <v>217</v>
      </c>
      <c r="D43" t="s">
        <v>357</v>
      </c>
      <c r="E43" t="s">
        <v>218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61</v>
      </c>
      <c r="B44" t="s">
        <v>358</v>
      </c>
      <c r="C44" t="s">
        <v>217</v>
      </c>
      <c r="D44" t="s">
        <v>359</v>
      </c>
      <c r="E44" t="s">
        <v>218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</row>
    <row r="45">
      <c r="A45" t="s">
        <v>61</v>
      </c>
      <c r="B45" t="s">
        <v>360</v>
      </c>
      <c r="C45" t="s">
        <v>217</v>
      </c>
      <c r="D45" t="s">
        <v>361</v>
      </c>
      <c r="E45" t="s">
        <v>218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</row>
    <row r="46">
      <c r="A46" t="s">
        <v>61</v>
      </c>
      <c r="B46" t="s">
        <v>362</v>
      </c>
      <c r="C46" t="s">
        <v>217</v>
      </c>
      <c r="D46" t="s">
        <v>363</v>
      </c>
      <c r="E46" t="s">
        <v>218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61</v>
      </c>
      <c r="B47" t="s">
        <v>364</v>
      </c>
      <c r="C47" t="s">
        <v>217</v>
      </c>
      <c r="D47" t="s">
        <v>365</v>
      </c>
      <c r="E47" t="s">
        <v>218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0.3</v>
      </c>
      <c r="W47" t="n">
        <v>0.7</v>
      </c>
      <c r="X47" t="n">
        <v>1.2</v>
      </c>
      <c r="Y47" t="n">
        <v>0.3</v>
      </c>
      <c r="Z47" t="n">
        <v>0.3</v>
      </c>
      <c r="AA47" t="n">
        <v>0.2</v>
      </c>
      <c r="AB47" t="n">
        <v>0.1</v>
      </c>
      <c r="AC47" t="n">
        <v>0.1</v>
      </c>
      <c r="AD47" t="n">
        <v>0.1</v>
      </c>
      <c r="AE47" t="n">
        <v>0.1</v>
      </c>
      <c r="AF47" t="n">
        <v>0</v>
      </c>
    </row>
    <row r="48">
      <c r="A48" t="s">
        <v>61</v>
      </c>
      <c r="B48" t="s">
        <v>366</v>
      </c>
      <c r="C48" t="s">
        <v>217</v>
      </c>
      <c r="D48" t="s">
        <v>367</v>
      </c>
      <c r="E48" t="s">
        <v>218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0.3</v>
      </c>
      <c r="W48" t="n">
        <v>0.7</v>
      </c>
      <c r="X48" t="n">
        <v>1.2</v>
      </c>
      <c r="Y48" t="n">
        <v>0.3</v>
      </c>
      <c r="Z48" t="n">
        <v>0.3</v>
      </c>
      <c r="AA48" t="n">
        <v>0.2</v>
      </c>
      <c r="AB48" t="n">
        <v>0.1</v>
      </c>
      <c r="AC48" t="n">
        <v>0.1</v>
      </c>
      <c r="AD48" t="n">
        <v>0.1</v>
      </c>
      <c r="AE48" t="n">
        <v>0.1</v>
      </c>
      <c r="AF48" t="n">
        <v>0</v>
      </c>
    </row>
    <row r="49">
      <c r="A49" t="s">
        <v>61</v>
      </c>
      <c r="B49" t="s">
        <v>368</v>
      </c>
      <c r="C49" t="s">
        <v>217</v>
      </c>
      <c r="D49" t="s">
        <v>369</v>
      </c>
      <c r="E49" t="s">
        <v>218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61</v>
      </c>
      <c r="B50" t="s">
        <v>370</v>
      </c>
      <c r="C50" t="s">
        <v>217</v>
      </c>
      <c r="D50" t="s">
        <v>371</v>
      </c>
      <c r="E50" t="s">
        <v>218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61</v>
      </c>
      <c r="B51" t="s">
        <v>372</v>
      </c>
      <c r="C51" t="s">
        <v>217</v>
      </c>
      <c r="D51" t="s">
        <v>373</v>
      </c>
      <c r="E51" t="s">
        <v>218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61</v>
      </c>
      <c r="B52" t="s">
        <v>374</v>
      </c>
      <c r="C52" t="s">
        <v>217</v>
      </c>
      <c r="D52" t="s">
        <v>375</v>
      </c>
      <c r="E52" t="s">
        <v>218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61</v>
      </c>
      <c r="B53" t="s">
        <v>376</v>
      </c>
      <c r="C53" t="s">
        <v>217</v>
      </c>
      <c r="D53" t="s">
        <v>377</v>
      </c>
      <c r="E53" t="s">
        <v>218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61</v>
      </c>
      <c r="B54" t="s">
        <v>378</v>
      </c>
      <c r="C54" t="s">
        <v>217</v>
      </c>
      <c r="D54" t="s">
        <v>379</v>
      </c>
      <c r="E54" t="s">
        <v>218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s">
        <v>61</v>
      </c>
      <c r="B55" t="s">
        <v>380</v>
      </c>
      <c r="C55" t="s">
        <v>217</v>
      </c>
      <c r="D55" t="s">
        <v>381</v>
      </c>
      <c r="E55" t="s">
        <v>218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61</v>
      </c>
      <c r="B56" t="s">
        <v>382</v>
      </c>
      <c r="C56" t="s">
        <v>217</v>
      </c>
      <c r="D56" t="s">
        <v>383</v>
      </c>
      <c r="E56" t="s">
        <v>218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61</v>
      </c>
      <c r="B57" t="s">
        <v>384</v>
      </c>
      <c r="C57" t="s">
        <v>217</v>
      </c>
      <c r="D57" t="s">
        <v>385</v>
      </c>
      <c r="E57" t="s">
        <v>218</v>
      </c>
      <c r="F57" t="n">
        <v>10895.2473472733</v>
      </c>
      <c r="G57" t="n">
        <v>11386.1562728061</v>
      </c>
      <c r="H57" t="n">
        <v>10480.2964724284</v>
      </c>
      <c r="I57" t="n">
        <v>13086.525001475</v>
      </c>
      <c r="J57" t="n">
        <v>13586.6772438263</v>
      </c>
      <c r="K57" t="n">
        <v>14027.8967967148</v>
      </c>
      <c r="L57" t="n">
        <v>12936.4023864317</v>
      </c>
      <c r="M57" t="n">
        <v>13570.5292300686</v>
      </c>
      <c r="N57" t="n">
        <v>16089.8124258164</v>
      </c>
      <c r="O57" t="n">
        <v>18817.0584622868</v>
      </c>
      <c r="P57" t="n">
        <v>17076.4902881579</v>
      </c>
      <c r="Q57" t="n">
        <v>20096.1950303811</v>
      </c>
      <c r="R57" t="n">
        <v>22828.4438468924</v>
      </c>
      <c r="S57" t="n">
        <v>17367.9361656768</v>
      </c>
      <c r="T57" t="n">
        <v>13963.0413841671</v>
      </c>
      <c r="U57" t="n">
        <v>10449.7930496943</v>
      </c>
      <c r="V57" t="n">
        <v>8927.91590876127</v>
      </c>
      <c r="W57" t="n">
        <v>5541.35379140819</v>
      </c>
      <c r="X57" t="n">
        <v>3816.60393124997</v>
      </c>
      <c r="Y57" t="n">
        <v>1781.28843475314</v>
      </c>
      <c r="Z57" t="n">
        <v>1322.39747637143</v>
      </c>
      <c r="AA57" t="n">
        <v>1169.80197301697</v>
      </c>
      <c r="AB57" t="n">
        <v>1087.82419510545</v>
      </c>
      <c r="AC57" t="n">
        <v>1332.64704287034</v>
      </c>
      <c r="AD57" t="n">
        <v>1500.37195435731</v>
      </c>
      <c r="AE57" t="n">
        <v>1786.1</v>
      </c>
      <c r="AF57" t="n">
        <v>2354.5</v>
      </c>
    </row>
    <row r="58">
      <c r="A58" t="s">
        <v>61</v>
      </c>
      <c r="B58" t="s">
        <v>386</v>
      </c>
      <c r="C58" t="s">
        <v>217</v>
      </c>
      <c r="D58" t="s">
        <v>387</v>
      </c>
      <c r="E58" t="s">
        <v>218</v>
      </c>
      <c r="F58" t="n">
        <v>10895.2473472733</v>
      </c>
      <c r="G58" t="n">
        <v>11386.1562728061</v>
      </c>
      <c r="H58" t="n">
        <v>10480.2964724284</v>
      </c>
      <c r="I58" t="n">
        <v>13086.525001475</v>
      </c>
      <c r="J58" t="n">
        <v>13586.6772438263</v>
      </c>
      <c r="K58" t="n">
        <v>14027.8967967148</v>
      </c>
      <c r="L58" t="n">
        <v>12936.4023864317</v>
      </c>
      <c r="M58" t="n">
        <v>13570.5292300686</v>
      </c>
      <c r="N58" t="n">
        <v>16089.8124258164</v>
      </c>
      <c r="O58" t="n">
        <v>18817.0584622868</v>
      </c>
      <c r="P58" t="n">
        <v>17076.4902881579</v>
      </c>
      <c r="Q58" t="n">
        <v>20096.1950303811</v>
      </c>
      <c r="R58" t="n">
        <v>22828.4438468924</v>
      </c>
      <c r="S58" t="n">
        <v>17367.9361656768</v>
      </c>
      <c r="T58" t="n">
        <v>13963.0413841671</v>
      </c>
      <c r="U58" t="n">
        <v>10449.7930496943</v>
      </c>
      <c r="V58" t="n">
        <v>8927.91590876127</v>
      </c>
      <c r="W58" t="n">
        <v>5541.35379140819</v>
      </c>
      <c r="X58" t="n">
        <v>3816.60393124997</v>
      </c>
      <c r="Y58" t="n">
        <v>1781.28843475314</v>
      </c>
      <c r="Z58" t="n">
        <v>1322.39747637143</v>
      </c>
      <c r="AA58" t="n">
        <v>1169.80197301697</v>
      </c>
      <c r="AB58" t="n">
        <v>1087.82419510545</v>
      </c>
      <c r="AC58" t="n">
        <v>1332.64704287034</v>
      </c>
      <c r="AD58" t="n">
        <v>1500.37195435731</v>
      </c>
      <c r="AE58" t="n">
        <v>1786.1</v>
      </c>
      <c r="AF58" t="n">
        <v>2354.5</v>
      </c>
    </row>
    <row r="59">
      <c r="A59" t="s">
        <v>61</v>
      </c>
      <c r="B59" t="s">
        <v>388</v>
      </c>
      <c r="C59" t="s">
        <v>217</v>
      </c>
      <c r="D59" t="s">
        <v>389</v>
      </c>
      <c r="E59" t="s">
        <v>218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63</v>
      </c>
      <c r="B2" t="s">
        <v>197</v>
      </c>
      <c r="C2" t="s">
        <v>217</v>
      </c>
      <c r="D2" t="s">
        <v>199</v>
      </c>
      <c r="E2" t="s">
        <v>218</v>
      </c>
      <c r="F2" t="n">
        <v>115.584915642421</v>
      </c>
      <c r="G2" t="n">
        <v>85.0500347465673</v>
      </c>
      <c r="H2" t="n">
        <v>100.917578542569</v>
      </c>
      <c r="I2" t="n">
        <v>118.775421659155</v>
      </c>
      <c r="J2" t="n">
        <v>133.57367091505</v>
      </c>
      <c r="K2" t="n">
        <v>207.861926297151</v>
      </c>
      <c r="L2" t="n">
        <v>206.455870425919</v>
      </c>
      <c r="M2" t="n">
        <v>175.357915047957</v>
      </c>
      <c r="N2" t="n">
        <v>190.956712965224</v>
      </c>
      <c r="O2" t="n">
        <v>127.855100203359</v>
      </c>
      <c r="P2" t="n">
        <v>139.417879535679</v>
      </c>
      <c r="Q2" t="n">
        <v>144.617332111598</v>
      </c>
      <c r="R2" t="n">
        <v>128.417616125803</v>
      </c>
      <c r="S2" t="n">
        <v>177.127746380418</v>
      </c>
      <c r="T2" t="n">
        <v>169.954348551928</v>
      </c>
      <c r="U2" t="n">
        <v>98.9350361299769</v>
      </c>
      <c r="V2" t="n">
        <v>123.399364236191</v>
      </c>
      <c r="W2" t="n">
        <v>97.7366645941515</v>
      </c>
      <c r="X2" t="n">
        <v>121.058954147695</v>
      </c>
      <c r="Y2" t="n">
        <v>113.432347453386</v>
      </c>
      <c r="Z2" t="n">
        <v>72.9283883346041</v>
      </c>
      <c r="AA2" t="n">
        <v>114.289202861515</v>
      </c>
      <c r="AB2" t="n">
        <v>77.0763937228417</v>
      </c>
      <c r="AC2" t="n">
        <v>71.1397002115524</v>
      </c>
      <c r="AD2" t="n">
        <v>85.8893982808023</v>
      </c>
      <c r="AE2" t="n">
        <v>70.2</v>
      </c>
      <c r="AF2" t="n">
        <v>33</v>
      </c>
    </row>
    <row r="3">
      <c r="A3" t="s">
        <v>63</v>
      </c>
      <c r="B3" t="s">
        <v>276</v>
      </c>
      <c r="C3" t="s">
        <v>217</v>
      </c>
      <c r="D3" t="s">
        <v>277</v>
      </c>
      <c r="E3" t="s">
        <v>218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63</v>
      </c>
      <c r="B4" t="s">
        <v>278</v>
      </c>
      <c r="C4" t="s">
        <v>217</v>
      </c>
      <c r="D4" t="s">
        <v>279</v>
      </c>
      <c r="E4" t="s">
        <v>218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63</v>
      </c>
      <c r="B5" t="s">
        <v>280</v>
      </c>
      <c r="C5" t="s">
        <v>217</v>
      </c>
      <c r="D5" t="s">
        <v>281</v>
      </c>
      <c r="E5" t="s">
        <v>218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63</v>
      </c>
      <c r="B6" t="s">
        <v>282</v>
      </c>
      <c r="C6" t="s">
        <v>217</v>
      </c>
      <c r="D6" t="s">
        <v>283</v>
      </c>
      <c r="E6" t="s">
        <v>218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63</v>
      </c>
      <c r="B7" t="s">
        <v>284</v>
      </c>
      <c r="C7" t="s">
        <v>217</v>
      </c>
      <c r="D7" t="s">
        <v>285</v>
      </c>
      <c r="E7" t="s">
        <v>218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63</v>
      </c>
      <c r="B8" t="s">
        <v>286</v>
      </c>
      <c r="C8" t="s">
        <v>217</v>
      </c>
      <c r="D8" t="s">
        <v>287</v>
      </c>
      <c r="E8" t="s">
        <v>218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63</v>
      </c>
      <c r="B9" t="s">
        <v>288</v>
      </c>
      <c r="C9" t="s">
        <v>217</v>
      </c>
      <c r="D9" t="s">
        <v>289</v>
      </c>
      <c r="E9" t="s">
        <v>218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63</v>
      </c>
      <c r="B10" t="s">
        <v>290</v>
      </c>
      <c r="C10" t="s">
        <v>217</v>
      </c>
      <c r="D10" t="s">
        <v>291</v>
      </c>
      <c r="E10" t="s">
        <v>218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63</v>
      </c>
      <c r="B11" t="s">
        <v>292</v>
      </c>
      <c r="C11" t="s">
        <v>217</v>
      </c>
      <c r="D11" t="s">
        <v>293</v>
      </c>
      <c r="E11" t="s">
        <v>218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63</v>
      </c>
      <c r="B12" t="s">
        <v>294</v>
      </c>
      <c r="C12" t="s">
        <v>217</v>
      </c>
      <c r="D12" t="s">
        <v>295</v>
      </c>
      <c r="E12" t="s">
        <v>218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63</v>
      </c>
      <c r="B13" t="s">
        <v>296</v>
      </c>
      <c r="C13" t="s">
        <v>217</v>
      </c>
      <c r="D13" t="s">
        <v>297</v>
      </c>
      <c r="E13" t="s">
        <v>218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63</v>
      </c>
      <c r="B14" t="s">
        <v>298</v>
      </c>
      <c r="C14" t="s">
        <v>217</v>
      </c>
      <c r="D14" t="s">
        <v>299</v>
      </c>
      <c r="E14" t="s">
        <v>218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63</v>
      </c>
      <c r="B15" t="s">
        <v>300</v>
      </c>
      <c r="C15" t="s">
        <v>217</v>
      </c>
      <c r="D15" t="s">
        <v>301</v>
      </c>
      <c r="E15" t="s">
        <v>218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63</v>
      </c>
      <c r="B16" t="s">
        <v>302</v>
      </c>
      <c r="C16" t="s">
        <v>217</v>
      </c>
      <c r="D16" t="s">
        <v>303</v>
      </c>
      <c r="E16" t="s">
        <v>218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63</v>
      </c>
      <c r="B17" t="s">
        <v>304</v>
      </c>
      <c r="C17" t="s">
        <v>217</v>
      </c>
      <c r="D17" t="s">
        <v>305</v>
      </c>
      <c r="E17" t="s">
        <v>218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63</v>
      </c>
      <c r="B18" t="s">
        <v>306</v>
      </c>
      <c r="C18" t="s">
        <v>217</v>
      </c>
      <c r="D18" t="s">
        <v>307</v>
      </c>
      <c r="E18" t="s">
        <v>218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63</v>
      </c>
      <c r="B19" t="s">
        <v>308</v>
      </c>
      <c r="C19" t="s">
        <v>217</v>
      </c>
      <c r="D19" t="s">
        <v>309</v>
      </c>
      <c r="E19" t="s">
        <v>218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63</v>
      </c>
      <c r="B20" t="s">
        <v>310</v>
      </c>
      <c r="C20" t="s">
        <v>217</v>
      </c>
      <c r="D20" t="s">
        <v>311</v>
      </c>
      <c r="E20" t="s">
        <v>218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63</v>
      </c>
      <c r="B21" t="s">
        <v>312</v>
      </c>
      <c r="C21" t="s">
        <v>217</v>
      </c>
      <c r="D21" t="s">
        <v>313</v>
      </c>
      <c r="E21" t="s">
        <v>218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63</v>
      </c>
      <c r="B22" t="s">
        <v>314</v>
      </c>
      <c r="C22" t="s">
        <v>217</v>
      </c>
      <c r="D22" t="s">
        <v>315</v>
      </c>
      <c r="E22" t="s">
        <v>218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63</v>
      </c>
      <c r="B23" t="s">
        <v>316</v>
      </c>
      <c r="C23" t="s">
        <v>217</v>
      </c>
      <c r="D23" t="s">
        <v>317</v>
      </c>
      <c r="E23" t="s">
        <v>218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63</v>
      </c>
      <c r="B24" t="s">
        <v>318</v>
      </c>
      <c r="C24" t="s">
        <v>217</v>
      </c>
      <c r="D24" t="s">
        <v>319</v>
      </c>
      <c r="E24" t="s">
        <v>218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63</v>
      </c>
      <c r="B25" t="s">
        <v>320</v>
      </c>
      <c r="C25" t="s">
        <v>217</v>
      </c>
      <c r="D25" t="s">
        <v>321</v>
      </c>
      <c r="E25" t="s">
        <v>218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63</v>
      </c>
      <c r="B26" t="s">
        <v>322</v>
      </c>
      <c r="C26" t="s">
        <v>217</v>
      </c>
      <c r="D26" t="s">
        <v>323</v>
      </c>
      <c r="E26" t="s">
        <v>218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63</v>
      </c>
      <c r="B27" t="s">
        <v>324</v>
      </c>
      <c r="C27" t="s">
        <v>217</v>
      </c>
      <c r="D27" t="s">
        <v>325</v>
      </c>
      <c r="E27" t="s">
        <v>218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63</v>
      </c>
      <c r="B28" t="s">
        <v>326</v>
      </c>
      <c r="C28" t="s">
        <v>217</v>
      </c>
      <c r="D28" t="s">
        <v>327</v>
      </c>
      <c r="E28" t="s">
        <v>218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63</v>
      </c>
      <c r="B29" t="s">
        <v>328</v>
      </c>
      <c r="C29" t="s">
        <v>217</v>
      </c>
      <c r="D29" t="s">
        <v>329</v>
      </c>
      <c r="E29" t="s">
        <v>218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63</v>
      </c>
      <c r="B30" t="s">
        <v>330</v>
      </c>
      <c r="C30" t="s">
        <v>217</v>
      </c>
      <c r="D30" t="s">
        <v>331</v>
      </c>
      <c r="E30" t="s">
        <v>218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63</v>
      </c>
      <c r="B31" t="s">
        <v>332</v>
      </c>
      <c r="C31" t="s">
        <v>217</v>
      </c>
      <c r="D31" t="s">
        <v>333</v>
      </c>
      <c r="E31" t="s">
        <v>218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63</v>
      </c>
      <c r="B32" t="s">
        <v>334</v>
      </c>
      <c r="C32" t="s">
        <v>217</v>
      </c>
      <c r="D32" t="s">
        <v>335</v>
      </c>
      <c r="E32" t="s">
        <v>218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63</v>
      </c>
      <c r="B33" t="s">
        <v>336</v>
      </c>
      <c r="C33" t="s">
        <v>217</v>
      </c>
      <c r="D33" t="s">
        <v>337</v>
      </c>
      <c r="E33" t="s">
        <v>218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63</v>
      </c>
      <c r="B34" t="s">
        <v>338</v>
      </c>
      <c r="C34" t="s">
        <v>217</v>
      </c>
      <c r="D34" t="s">
        <v>339</v>
      </c>
      <c r="E34" t="s">
        <v>218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63</v>
      </c>
      <c r="B35" t="s">
        <v>340</v>
      </c>
      <c r="C35" t="s">
        <v>217</v>
      </c>
      <c r="D35" t="s">
        <v>341</v>
      </c>
      <c r="E35" t="s">
        <v>218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s">
        <v>63</v>
      </c>
      <c r="B36" t="s">
        <v>342</v>
      </c>
      <c r="C36" t="s">
        <v>217</v>
      </c>
      <c r="D36" t="s">
        <v>343</v>
      </c>
      <c r="E36" t="s">
        <v>218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63</v>
      </c>
      <c r="B37" t="s">
        <v>344</v>
      </c>
      <c r="C37" t="s">
        <v>217</v>
      </c>
      <c r="D37" t="s">
        <v>345</v>
      </c>
      <c r="E37" t="s">
        <v>218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63</v>
      </c>
      <c r="B38" t="s">
        <v>346</v>
      </c>
      <c r="C38" t="s">
        <v>217</v>
      </c>
      <c r="D38" t="s">
        <v>347</v>
      </c>
      <c r="E38" t="s">
        <v>218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63</v>
      </c>
      <c r="B39" t="s">
        <v>348</v>
      </c>
      <c r="C39" t="s">
        <v>217</v>
      </c>
      <c r="D39" t="s">
        <v>349</v>
      </c>
      <c r="E39" t="s">
        <v>218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63</v>
      </c>
      <c r="B40" t="s">
        <v>350</v>
      </c>
      <c r="C40" t="s">
        <v>217</v>
      </c>
      <c r="D40" t="s">
        <v>351</v>
      </c>
      <c r="E40" t="s">
        <v>218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s">
        <v>63</v>
      </c>
      <c r="B41" t="s">
        <v>352</v>
      </c>
      <c r="C41" t="s">
        <v>217</v>
      </c>
      <c r="D41" t="s">
        <v>353</v>
      </c>
      <c r="E41" t="s">
        <v>218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63</v>
      </c>
      <c r="B42" t="s">
        <v>354</v>
      </c>
      <c r="C42" t="s">
        <v>217</v>
      </c>
      <c r="D42" t="s">
        <v>355</v>
      </c>
      <c r="E42" t="s">
        <v>218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63</v>
      </c>
      <c r="B43" t="s">
        <v>356</v>
      </c>
      <c r="C43" t="s">
        <v>217</v>
      </c>
      <c r="D43" t="s">
        <v>357</v>
      </c>
      <c r="E43" t="s">
        <v>218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63</v>
      </c>
      <c r="B44" t="s">
        <v>358</v>
      </c>
      <c r="C44" t="s">
        <v>217</v>
      </c>
      <c r="D44" t="s">
        <v>359</v>
      </c>
      <c r="E44" t="s">
        <v>218</v>
      </c>
      <c r="F44" t="n">
        <v>115.584915642421</v>
      </c>
      <c r="G44" t="n">
        <v>85.0500347465673</v>
      </c>
      <c r="H44" t="n">
        <v>100.917578542569</v>
      </c>
      <c r="I44" t="n">
        <v>118.775421659155</v>
      </c>
      <c r="J44" t="n">
        <v>133.57367091505</v>
      </c>
      <c r="K44" t="n">
        <v>207.861926297151</v>
      </c>
      <c r="L44" t="n">
        <v>206.455870425919</v>
      </c>
      <c r="M44" t="n">
        <v>175.357915047957</v>
      </c>
      <c r="N44" t="n">
        <v>190.956712965224</v>
      </c>
      <c r="O44" t="n">
        <v>127.855100203359</v>
      </c>
      <c r="P44" t="n">
        <v>139.417879535679</v>
      </c>
      <c r="Q44" t="n">
        <v>144.617332111598</v>
      </c>
      <c r="R44" t="n">
        <v>128.417616125803</v>
      </c>
      <c r="S44" t="n">
        <v>177.127746380418</v>
      </c>
      <c r="T44" t="n">
        <v>169.954348551928</v>
      </c>
      <c r="U44" t="n">
        <v>98.9350361299769</v>
      </c>
      <c r="V44" t="n">
        <v>123.399364236191</v>
      </c>
      <c r="W44" t="n">
        <v>97.7366645941515</v>
      </c>
      <c r="X44" t="n">
        <v>121.058954147695</v>
      </c>
      <c r="Y44" t="n">
        <v>113.432347453386</v>
      </c>
      <c r="Z44" t="n">
        <v>72.9283883346041</v>
      </c>
      <c r="AA44" t="n">
        <v>114.289202861515</v>
      </c>
      <c r="AB44" t="n">
        <v>77.0763937228417</v>
      </c>
      <c r="AC44" t="n">
        <v>71.1397002115524</v>
      </c>
      <c r="AD44" t="n">
        <v>85.8893982808023</v>
      </c>
      <c r="AE44" t="n">
        <v>70.2</v>
      </c>
      <c r="AF44" t="n">
        <v>33</v>
      </c>
    </row>
    <row r="45">
      <c r="A45" t="s">
        <v>63</v>
      </c>
      <c r="B45" t="s">
        <v>360</v>
      </c>
      <c r="C45" t="s">
        <v>217</v>
      </c>
      <c r="D45" t="s">
        <v>361</v>
      </c>
      <c r="E45" t="s">
        <v>218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</row>
    <row r="46">
      <c r="A46" t="s">
        <v>63</v>
      </c>
      <c r="B46" t="s">
        <v>362</v>
      </c>
      <c r="C46" t="s">
        <v>217</v>
      </c>
      <c r="D46" t="s">
        <v>363</v>
      </c>
      <c r="E46" t="s">
        <v>218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63</v>
      </c>
      <c r="B47" t="s">
        <v>364</v>
      </c>
      <c r="C47" t="s">
        <v>217</v>
      </c>
      <c r="D47" t="s">
        <v>365</v>
      </c>
      <c r="E47" t="s">
        <v>218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s">
        <v>63</v>
      </c>
      <c r="B48" t="s">
        <v>366</v>
      </c>
      <c r="C48" t="s">
        <v>217</v>
      </c>
      <c r="D48" t="s">
        <v>367</v>
      </c>
      <c r="E48" t="s">
        <v>218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s">
        <v>63</v>
      </c>
      <c r="B49" t="s">
        <v>368</v>
      </c>
      <c r="C49" t="s">
        <v>217</v>
      </c>
      <c r="D49" t="s">
        <v>369</v>
      </c>
      <c r="E49" t="s">
        <v>218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63</v>
      </c>
      <c r="B50" t="s">
        <v>370</v>
      </c>
      <c r="C50" t="s">
        <v>217</v>
      </c>
      <c r="D50" t="s">
        <v>371</v>
      </c>
      <c r="E50" t="s">
        <v>218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63</v>
      </c>
      <c r="B51" t="s">
        <v>372</v>
      </c>
      <c r="C51" t="s">
        <v>217</v>
      </c>
      <c r="D51" t="s">
        <v>373</v>
      </c>
      <c r="E51" t="s">
        <v>218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63</v>
      </c>
      <c r="B52" t="s">
        <v>374</v>
      </c>
      <c r="C52" t="s">
        <v>217</v>
      </c>
      <c r="D52" t="s">
        <v>375</v>
      </c>
      <c r="E52" t="s">
        <v>218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63</v>
      </c>
      <c r="B53" t="s">
        <v>376</v>
      </c>
      <c r="C53" t="s">
        <v>217</v>
      </c>
      <c r="D53" t="s">
        <v>377</v>
      </c>
      <c r="E53" t="s">
        <v>218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63</v>
      </c>
      <c r="B54" t="s">
        <v>378</v>
      </c>
      <c r="C54" t="s">
        <v>217</v>
      </c>
      <c r="D54" t="s">
        <v>379</v>
      </c>
      <c r="E54" t="s">
        <v>218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s">
        <v>63</v>
      </c>
      <c r="B55" t="s">
        <v>380</v>
      </c>
      <c r="C55" t="s">
        <v>217</v>
      </c>
      <c r="D55" t="s">
        <v>381</v>
      </c>
      <c r="E55" t="s">
        <v>218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63</v>
      </c>
      <c r="B56" t="s">
        <v>382</v>
      </c>
      <c r="C56" t="s">
        <v>217</v>
      </c>
      <c r="D56" t="s">
        <v>383</v>
      </c>
      <c r="E56" t="s">
        <v>218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63</v>
      </c>
      <c r="B57" t="s">
        <v>384</v>
      </c>
      <c r="C57" t="s">
        <v>217</v>
      </c>
      <c r="D57" t="s">
        <v>385</v>
      </c>
      <c r="E57" t="s">
        <v>218</v>
      </c>
      <c r="F57" t="n">
        <v>115.663834984913</v>
      </c>
      <c r="G57" t="n">
        <v>85.108105410752</v>
      </c>
      <c r="H57" t="n">
        <v>100.986483285892</v>
      </c>
      <c r="I57" t="n">
        <v>118.856519422902</v>
      </c>
      <c r="J57" t="n">
        <v>133.664872662477</v>
      </c>
      <c r="K57" t="n">
        <v>208.003850755557</v>
      </c>
      <c r="L57" t="n">
        <v>206.596834854167</v>
      </c>
      <c r="M57" t="n">
        <v>175.477646340568</v>
      </c>
      <c r="N57" t="n">
        <v>191.087094842027</v>
      </c>
      <c r="O57" t="n">
        <v>127.94239741153</v>
      </c>
      <c r="P57" t="n">
        <v>139.513071605712</v>
      </c>
      <c r="Q57" t="n">
        <v>144.716074276176</v>
      </c>
      <c r="R57" t="n">
        <v>128.505297409928</v>
      </c>
      <c r="S57" t="n">
        <v>177.24868608266</v>
      </c>
      <c r="T57" t="n">
        <v>170.070390384608</v>
      </c>
      <c r="U57" t="n">
        <v>99.002587228296</v>
      </c>
      <c r="V57" t="n">
        <v>123.483619146404</v>
      </c>
      <c r="W57" t="n">
        <v>97.8033974655147</v>
      </c>
      <c r="X57" t="n">
        <v>121.141611067164</v>
      </c>
      <c r="Y57" t="n">
        <v>115.3371328084</v>
      </c>
      <c r="Z57" t="n">
        <v>74.7988970150416</v>
      </c>
      <c r="AA57" t="n">
        <v>117.51135909884</v>
      </c>
      <c r="AB57" t="n">
        <v>79.0883041289675</v>
      </c>
      <c r="AC57" t="n">
        <v>71.2398464673143</v>
      </c>
      <c r="AD57" t="n">
        <v>86.0898426323319</v>
      </c>
      <c r="AE57" t="n">
        <v>70.3</v>
      </c>
      <c r="AF57" t="n">
        <v>33</v>
      </c>
    </row>
    <row r="58">
      <c r="A58" t="s">
        <v>63</v>
      </c>
      <c r="B58" t="s">
        <v>386</v>
      </c>
      <c r="C58" t="s">
        <v>217</v>
      </c>
      <c r="D58" t="s">
        <v>387</v>
      </c>
      <c r="E58" t="s">
        <v>218</v>
      </c>
      <c r="F58" t="n">
        <v>115.663834984913</v>
      </c>
      <c r="G58" t="n">
        <v>85.108105410752</v>
      </c>
      <c r="H58" t="n">
        <v>100.986483285892</v>
      </c>
      <c r="I58" t="n">
        <v>118.856519422902</v>
      </c>
      <c r="J58" t="n">
        <v>133.664872662477</v>
      </c>
      <c r="K58" t="n">
        <v>208.003850755557</v>
      </c>
      <c r="L58" t="n">
        <v>206.596834854167</v>
      </c>
      <c r="M58" t="n">
        <v>175.477646340568</v>
      </c>
      <c r="N58" t="n">
        <v>191.087094842027</v>
      </c>
      <c r="O58" t="n">
        <v>127.94239741153</v>
      </c>
      <c r="P58" t="n">
        <v>139.513071605712</v>
      </c>
      <c r="Q58" t="n">
        <v>144.716074276176</v>
      </c>
      <c r="R58" t="n">
        <v>128.505297409928</v>
      </c>
      <c r="S58" t="n">
        <v>177.24868608266</v>
      </c>
      <c r="T58" t="n">
        <v>170.070390384608</v>
      </c>
      <c r="U58" t="n">
        <v>99.002587228296</v>
      </c>
      <c r="V58" t="n">
        <v>123.483619146404</v>
      </c>
      <c r="W58" t="n">
        <v>97.8033974655147</v>
      </c>
      <c r="X58" t="n">
        <v>121.141611067164</v>
      </c>
      <c r="Y58" t="n">
        <v>115.3371328084</v>
      </c>
      <c r="Z58" t="n">
        <v>74.7988970150416</v>
      </c>
      <c r="AA58" t="n">
        <v>117.51135909884</v>
      </c>
      <c r="AB58" t="n">
        <v>79.0883041289675</v>
      </c>
      <c r="AC58" t="n">
        <v>71.2398464673143</v>
      </c>
      <c r="AD58" t="n">
        <v>86.0898426323319</v>
      </c>
      <c r="AE58" t="n">
        <v>70.3</v>
      </c>
      <c r="AF58" t="n">
        <v>33</v>
      </c>
    </row>
    <row r="59">
      <c r="A59" t="s">
        <v>63</v>
      </c>
      <c r="B59" t="s">
        <v>388</v>
      </c>
      <c r="C59" t="s">
        <v>217</v>
      </c>
      <c r="D59" t="s">
        <v>389</v>
      </c>
      <c r="E59" t="s">
        <v>218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65</v>
      </c>
      <c r="B2" t="s">
        <v>197</v>
      </c>
      <c r="C2" t="s">
        <v>217</v>
      </c>
      <c r="D2" t="s">
        <v>199</v>
      </c>
      <c r="E2" t="s">
        <v>218</v>
      </c>
      <c r="F2" t="n">
        <v>1.26089017578025</v>
      </c>
      <c r="G2" t="n">
        <v>1.26089017578025</v>
      </c>
      <c r="H2" t="n">
        <v>1.26089017578025</v>
      </c>
      <c r="I2" t="n">
        <v>1.44101734374886</v>
      </c>
      <c r="J2" t="n">
        <v>1.62114451171746</v>
      </c>
      <c r="K2" t="n">
        <v>1.98139884765468</v>
      </c>
      <c r="L2" t="n">
        <v>2.64186513020624</v>
      </c>
      <c r="M2" t="n">
        <v>2.47674855956835</v>
      </c>
      <c r="N2" t="n">
        <v>2.64186513020624</v>
      </c>
      <c r="O2" t="n">
        <v>2.80698170084413</v>
      </c>
      <c r="P2" t="n">
        <v>2.80698170084413</v>
      </c>
      <c r="Q2" t="n">
        <v>3.10245345882772</v>
      </c>
      <c r="R2" t="n">
        <v>3.6665359058873</v>
      </c>
      <c r="S2" t="n">
        <v>2.58015489673551</v>
      </c>
      <c r="T2" t="n">
        <v>2.58015489673551</v>
      </c>
      <c r="U2" t="n">
        <v>2.33442585895118</v>
      </c>
      <c r="V2" t="n">
        <v>1.86754068716094</v>
      </c>
      <c r="W2" t="n">
        <v>1.5379746835443</v>
      </c>
      <c r="X2" t="n">
        <v>1.64050632911392</v>
      </c>
      <c r="Y2" t="n">
        <v>1.43544303797468</v>
      </c>
      <c r="Z2" t="n">
        <v>1.23037974683544</v>
      </c>
      <c r="AA2" t="n">
        <v>1.74303797468354</v>
      </c>
      <c r="AB2" t="n">
        <v>2.66582278481013</v>
      </c>
      <c r="AC2" t="n">
        <v>1.77721518987342</v>
      </c>
      <c r="AD2" t="n">
        <v>6.22025316455696</v>
      </c>
      <c r="AE2" t="n">
        <v>7.8</v>
      </c>
      <c r="AF2" t="n">
        <v>15.5</v>
      </c>
    </row>
    <row r="3">
      <c r="A3" t="s">
        <v>65</v>
      </c>
      <c r="B3" t="s">
        <v>276</v>
      </c>
      <c r="C3" t="s">
        <v>217</v>
      </c>
      <c r="D3" t="s">
        <v>277</v>
      </c>
      <c r="E3" t="s">
        <v>218</v>
      </c>
      <c r="F3" t="n">
        <v>0.13354735152488</v>
      </c>
      <c r="G3" t="n">
        <v>0.13354735152488</v>
      </c>
      <c r="H3" t="n">
        <v>0.13354735152488</v>
      </c>
      <c r="I3" t="n">
        <v>0.267094703049759</v>
      </c>
      <c r="J3" t="n">
        <v>0.267094703049759</v>
      </c>
      <c r="K3" t="n">
        <v>0.267094703049759</v>
      </c>
      <c r="L3" t="n">
        <v>0.400642054574639</v>
      </c>
      <c r="M3" t="n">
        <v>0.400642054574639</v>
      </c>
      <c r="N3" t="n">
        <v>0.400642054574639</v>
      </c>
      <c r="O3" t="n">
        <v>0.400642054574639</v>
      </c>
      <c r="P3" t="n">
        <v>0.400642054574639</v>
      </c>
      <c r="Q3" t="n">
        <v>0.400642054574639</v>
      </c>
      <c r="R3" t="n">
        <v>0.500802568218298</v>
      </c>
      <c r="S3" t="n">
        <v>0.400642054574639</v>
      </c>
      <c r="T3" t="n">
        <v>0.400642054574639</v>
      </c>
      <c r="U3" t="n">
        <v>0.400642054574639</v>
      </c>
      <c r="V3" t="n">
        <v>0.300481540930979</v>
      </c>
      <c r="W3" t="n">
        <v>0.300481540930979</v>
      </c>
      <c r="X3" t="n">
        <v>0.300481540930979</v>
      </c>
      <c r="Y3" t="n">
        <v>0.300481540930979</v>
      </c>
      <c r="Z3" t="n">
        <v>0.200321027287319</v>
      </c>
      <c r="AA3" t="n">
        <v>0.200321027287319</v>
      </c>
      <c r="AB3" t="n">
        <v>8.31332263242376</v>
      </c>
      <c r="AC3" t="n">
        <v>7.7123595505618</v>
      </c>
      <c r="AD3" t="n">
        <v>13.7438202247191</v>
      </c>
      <c r="AE3" t="n">
        <v>8.8</v>
      </c>
      <c r="AF3" t="n">
        <v>7.9</v>
      </c>
    </row>
    <row r="4">
      <c r="A4" t="s">
        <v>65</v>
      </c>
      <c r="B4" t="s">
        <v>278</v>
      </c>
      <c r="C4" t="s">
        <v>217</v>
      </c>
      <c r="D4" t="s">
        <v>279</v>
      </c>
      <c r="E4" t="s">
        <v>218</v>
      </c>
      <c r="F4" t="n">
        <v>153.631320501109</v>
      </c>
      <c r="G4" t="n">
        <v>141.408510424521</v>
      </c>
      <c r="H4" t="n">
        <v>136.471554948353</v>
      </c>
      <c r="I4" t="n">
        <v>161.799609102382</v>
      </c>
      <c r="J4" t="n">
        <v>176.998006826285</v>
      </c>
      <c r="K4" t="n">
        <v>193.158694406076</v>
      </c>
      <c r="L4" t="n">
        <v>245.283245710723</v>
      </c>
      <c r="M4" t="n">
        <v>228.116328158015</v>
      </c>
      <c r="N4" t="n">
        <v>244.724673145251</v>
      </c>
      <c r="O4" t="n">
        <v>265.415281009155</v>
      </c>
      <c r="P4" t="n">
        <v>275.689420919187</v>
      </c>
      <c r="Q4" t="n">
        <v>306.899544042113</v>
      </c>
      <c r="R4" t="n">
        <v>393.704396997375</v>
      </c>
      <c r="S4" t="n">
        <v>276.653885826386</v>
      </c>
      <c r="T4" t="n">
        <v>276.429511223121</v>
      </c>
      <c r="U4" t="n">
        <v>250.483454130099</v>
      </c>
      <c r="V4" t="n">
        <v>199.402061764501</v>
      </c>
      <c r="W4" t="n">
        <v>173.875456122566</v>
      </c>
      <c r="X4" t="n">
        <v>186.85841329986</v>
      </c>
      <c r="Y4" t="n">
        <v>167.814901959936</v>
      </c>
      <c r="Z4" t="n">
        <v>112.954221809577</v>
      </c>
      <c r="AA4" t="n">
        <v>156.382829136717</v>
      </c>
      <c r="AB4" t="n">
        <v>224.618970832968</v>
      </c>
      <c r="AC4" t="n">
        <v>196.045532847149</v>
      </c>
      <c r="AD4" t="n">
        <v>258.562823674476</v>
      </c>
      <c r="AE4" t="n">
        <v>319.9</v>
      </c>
      <c r="AF4" t="n">
        <v>393</v>
      </c>
    </row>
    <row r="5">
      <c r="A5" t="s">
        <v>65</v>
      </c>
      <c r="B5" t="s">
        <v>280</v>
      </c>
      <c r="C5" t="s">
        <v>217</v>
      </c>
      <c r="D5" t="s">
        <v>281</v>
      </c>
      <c r="E5" t="s">
        <v>218</v>
      </c>
      <c r="F5" t="n">
        <v>14.5478301187139</v>
      </c>
      <c r="G5" t="n">
        <v>13.1900326409672</v>
      </c>
      <c r="H5" t="n">
        <v>12.6479765050371</v>
      </c>
      <c r="I5" t="n">
        <v>14.5280811206507</v>
      </c>
      <c r="J5" t="n">
        <v>15.6707391863198</v>
      </c>
      <c r="K5" t="n">
        <v>18.0450936084895</v>
      </c>
      <c r="L5" t="n">
        <v>23.8562254485116</v>
      </c>
      <c r="M5" t="n">
        <v>21.7688057217668</v>
      </c>
      <c r="N5" t="n">
        <v>22.9298086935944</v>
      </c>
      <c r="O5" t="n">
        <v>24.4677836669452</v>
      </c>
      <c r="P5" t="n">
        <v>25.40885226952</v>
      </c>
      <c r="Q5" t="n">
        <v>28.2608662997723</v>
      </c>
      <c r="R5" t="n">
        <v>35.1999182930199</v>
      </c>
      <c r="S5" t="n">
        <v>24.6153274776363</v>
      </c>
      <c r="T5" t="n">
        <v>24.6153274776363</v>
      </c>
      <c r="U5" t="n">
        <v>22.2763144593994</v>
      </c>
      <c r="V5" t="n">
        <v>17.696137654663</v>
      </c>
      <c r="W5" t="n">
        <v>15.3101415663939</v>
      </c>
      <c r="X5" t="n">
        <v>16.3760374982314</v>
      </c>
      <c r="Y5" t="n">
        <v>14.6318441552245</v>
      </c>
      <c r="Z5" t="n">
        <v>13.8462417844742</v>
      </c>
      <c r="AA5" t="n">
        <v>19.5241970486111</v>
      </c>
      <c r="AB5" t="n">
        <v>19.2238247863248</v>
      </c>
      <c r="AC5" t="n">
        <v>11.9901175213675</v>
      </c>
      <c r="AD5" t="n">
        <v>26.1602564102564</v>
      </c>
      <c r="AE5" t="n">
        <v>30.8</v>
      </c>
      <c r="AF5" t="n">
        <v>36.8</v>
      </c>
    </row>
    <row r="6">
      <c r="A6" t="s">
        <v>65</v>
      </c>
      <c r="B6" t="s">
        <v>282</v>
      </c>
      <c r="C6" t="s">
        <v>217</v>
      </c>
      <c r="D6" t="s">
        <v>283</v>
      </c>
      <c r="E6" t="s">
        <v>218</v>
      </c>
      <c r="F6" t="n">
        <v>0.89996722027972</v>
      </c>
      <c r="G6" t="n">
        <v>0.89996722027972</v>
      </c>
      <c r="H6" t="n">
        <v>0.89996722027972</v>
      </c>
      <c r="I6" t="n">
        <v>1.04996175699301</v>
      </c>
      <c r="J6" t="n">
        <v>1.04996175699301</v>
      </c>
      <c r="K6" t="n">
        <v>1.31245219624126</v>
      </c>
      <c r="L6" t="n">
        <v>1.83743307473776</v>
      </c>
      <c r="M6" t="n">
        <v>1.70618785511364</v>
      </c>
      <c r="N6" t="n">
        <v>1.83743307473776</v>
      </c>
      <c r="O6" t="n">
        <v>1.83743307473776</v>
      </c>
      <c r="P6" t="n">
        <v>1.95992861305361</v>
      </c>
      <c r="Q6" t="n">
        <v>2.20491968968531</v>
      </c>
      <c r="R6" t="n">
        <v>2.55306490384615</v>
      </c>
      <c r="S6" t="n">
        <v>1.85677447552448</v>
      </c>
      <c r="T6" t="n">
        <v>1.85677447552448</v>
      </c>
      <c r="U6" t="n">
        <v>1.74755244755245</v>
      </c>
      <c r="V6" t="n">
        <v>1.33636363636364</v>
      </c>
      <c r="W6" t="n">
        <v>1.14545454545455</v>
      </c>
      <c r="X6" t="n">
        <v>1.24090909090909</v>
      </c>
      <c r="Y6" t="n">
        <v>1.14545454545455</v>
      </c>
      <c r="Z6" t="n">
        <v>2.1</v>
      </c>
      <c r="AA6" t="n">
        <v>2.95909090909091</v>
      </c>
      <c r="AB6" t="n">
        <v>2.29090909090909</v>
      </c>
      <c r="AC6" t="n">
        <v>1.05</v>
      </c>
      <c r="AD6" t="n">
        <v>2.67272727272727</v>
      </c>
      <c r="AE6" t="n">
        <v>2.1</v>
      </c>
      <c r="AF6" t="n">
        <v>0.8</v>
      </c>
    </row>
    <row r="7">
      <c r="A7" t="s">
        <v>65</v>
      </c>
      <c r="B7" t="s">
        <v>284</v>
      </c>
      <c r="C7" t="s">
        <v>217</v>
      </c>
      <c r="D7" t="s">
        <v>285</v>
      </c>
      <c r="E7" t="s">
        <v>218</v>
      </c>
      <c r="F7" t="n">
        <v>8.64265409861571</v>
      </c>
      <c r="G7" t="n">
        <v>7.90710906894628</v>
      </c>
      <c r="H7" t="n">
        <v>7.56332171812253</v>
      </c>
      <c r="I7" t="n">
        <v>9.01161736627366</v>
      </c>
      <c r="J7" t="n">
        <v>9.92805303064047</v>
      </c>
      <c r="K7" t="n">
        <v>10.8306033061532</v>
      </c>
      <c r="L7" t="n">
        <v>13.6114338847602</v>
      </c>
      <c r="M7" t="n">
        <v>12.751764376249</v>
      </c>
      <c r="N7" t="n">
        <v>13.7326693282681</v>
      </c>
      <c r="O7" t="n">
        <v>14.9443754454683</v>
      </c>
      <c r="P7" t="n">
        <v>15.5941308996191</v>
      </c>
      <c r="Q7" t="n">
        <v>17.4805177019923</v>
      </c>
      <c r="R7" t="n">
        <v>22.4924143857803</v>
      </c>
      <c r="S7" t="n">
        <v>15.7089878249894</v>
      </c>
      <c r="T7" t="n">
        <v>15.7089878249894</v>
      </c>
      <c r="U7" t="n">
        <v>14.2026465267028</v>
      </c>
      <c r="V7" t="n">
        <v>11.2815348297214</v>
      </c>
      <c r="W7" t="n">
        <v>9.83518421052631</v>
      </c>
      <c r="X7" t="n">
        <v>10.5917368421053</v>
      </c>
      <c r="Y7" t="n">
        <v>9.54210526315789</v>
      </c>
      <c r="Z7" t="n">
        <v>3.11578947368421</v>
      </c>
      <c r="AA7" t="n">
        <v>4.38157894736842</v>
      </c>
      <c r="AB7" t="n">
        <v>5.35526315789474</v>
      </c>
      <c r="AC7" t="n">
        <v>3.99210526315789</v>
      </c>
      <c r="AD7" t="n">
        <v>2.43421052631579</v>
      </c>
      <c r="AE7" t="n">
        <v>3.7</v>
      </c>
      <c r="AF7" t="n">
        <v>5.4</v>
      </c>
    </row>
    <row r="8">
      <c r="A8" t="s">
        <v>65</v>
      </c>
      <c r="B8" t="s">
        <v>286</v>
      </c>
      <c r="C8" t="s">
        <v>217</v>
      </c>
      <c r="D8" t="s">
        <v>287</v>
      </c>
      <c r="E8" t="s">
        <v>218</v>
      </c>
      <c r="F8" t="n">
        <v>0.406383251532669</v>
      </c>
      <c r="G8" t="n">
        <v>0.270922167688446</v>
      </c>
      <c r="H8" t="n">
        <v>0.270922167688446</v>
      </c>
      <c r="I8" t="n">
        <v>0.406383251532669</v>
      </c>
      <c r="J8" t="n">
        <v>0.406383251532669</v>
      </c>
      <c r="K8" t="n">
        <v>0.541844335376892</v>
      </c>
      <c r="L8" t="n">
        <v>0.677305419221115</v>
      </c>
      <c r="M8" t="n">
        <v>0.564421182684262</v>
      </c>
      <c r="N8" t="n">
        <v>0.564421182684262</v>
      </c>
      <c r="O8" t="n">
        <v>0.564421182684262</v>
      </c>
      <c r="P8" t="n">
        <v>0.564421182684262</v>
      </c>
      <c r="Q8" t="n">
        <v>0.564421182684262</v>
      </c>
      <c r="R8" t="n">
        <v>0.725684377736909</v>
      </c>
      <c r="S8" t="n">
        <v>0.564421182684262</v>
      </c>
      <c r="T8" t="n">
        <v>0.564421182684262</v>
      </c>
      <c r="U8" t="n">
        <v>0.564421182684262</v>
      </c>
      <c r="V8" t="n">
        <v>0.483789585157939</v>
      </c>
      <c r="W8" t="n">
        <v>0.403157987631616</v>
      </c>
      <c r="X8" t="n">
        <v>0.483789585157939</v>
      </c>
      <c r="Y8" t="n">
        <v>0.483789585157939</v>
      </c>
      <c r="Z8" t="n">
        <v>3.09625334501081</v>
      </c>
      <c r="AA8" t="n">
        <v>4.39468216711212</v>
      </c>
      <c r="AB8" t="n">
        <v>38.2537106819078</v>
      </c>
      <c r="AC8" t="n">
        <v>42.6142372881356</v>
      </c>
      <c r="AD8" t="n">
        <v>41.8250847457627</v>
      </c>
      <c r="AE8" t="n">
        <v>58.2</v>
      </c>
      <c r="AF8" t="n">
        <v>74</v>
      </c>
    </row>
    <row r="9">
      <c r="A9" t="s">
        <v>65</v>
      </c>
      <c r="B9" t="s">
        <v>288</v>
      </c>
      <c r="C9" t="s">
        <v>217</v>
      </c>
      <c r="D9" t="s">
        <v>289</v>
      </c>
      <c r="E9" t="s">
        <v>218</v>
      </c>
      <c r="F9" t="n">
        <v>12.8824713171882</v>
      </c>
      <c r="G9" t="n">
        <v>11.7782594900006</v>
      </c>
      <c r="H9" t="n">
        <v>11.2586303948535</v>
      </c>
      <c r="I9" t="n">
        <v>13.0534845157722</v>
      </c>
      <c r="J9" t="n">
        <v>14.1412748920866</v>
      </c>
      <c r="K9" t="n">
        <v>16.1180122425933</v>
      </c>
      <c r="L9" t="n">
        <v>21.2464706834184</v>
      </c>
      <c r="M9" t="n">
        <v>19.5237838712494</v>
      </c>
      <c r="N9" t="n">
        <v>20.7879137621936</v>
      </c>
      <c r="O9" t="n">
        <v>22.1466009361932</v>
      </c>
      <c r="P9" t="n">
        <v>22.9282456751176</v>
      </c>
      <c r="Q9" t="n">
        <v>25.5593558345574</v>
      </c>
      <c r="R9" t="n">
        <v>31.8883391840668</v>
      </c>
      <c r="S9" t="n">
        <v>22.3694319649424</v>
      </c>
      <c r="T9" t="n">
        <v>22.3694319649424</v>
      </c>
      <c r="U9" t="n">
        <v>20.3161990792713</v>
      </c>
      <c r="V9" t="n">
        <v>16.1720987695692</v>
      </c>
      <c r="W9" t="n">
        <v>14.0416426442367</v>
      </c>
      <c r="X9" t="n">
        <v>15.0852782461733</v>
      </c>
      <c r="Y9" t="n">
        <v>13.5576551326367</v>
      </c>
      <c r="Z9" t="n">
        <v>6.87566796012291</v>
      </c>
      <c r="AA9" t="n">
        <v>9.76544145060935</v>
      </c>
      <c r="AB9" t="n">
        <v>20.5376294425186</v>
      </c>
      <c r="AC9" t="n">
        <v>12.3624565576326</v>
      </c>
      <c r="AD9" t="n">
        <v>25.4172106824926</v>
      </c>
      <c r="AE9" t="n">
        <v>33.2</v>
      </c>
      <c r="AF9" t="n">
        <v>36.5</v>
      </c>
    </row>
    <row r="10">
      <c r="A10" t="s">
        <v>65</v>
      </c>
      <c r="B10" t="s">
        <v>290</v>
      </c>
      <c r="C10" t="s">
        <v>217</v>
      </c>
      <c r="D10" t="s">
        <v>291</v>
      </c>
      <c r="E10" t="s">
        <v>218</v>
      </c>
      <c r="F10" t="n">
        <v>61.1723984280006</v>
      </c>
      <c r="G10" t="n">
        <v>56.4812635792276</v>
      </c>
      <c r="H10" t="n">
        <v>54.7162240923767</v>
      </c>
      <c r="I10" t="n">
        <v>66.5602847952997</v>
      </c>
      <c r="J10" t="n">
        <v>73.6917438805104</v>
      </c>
      <c r="K10" t="n">
        <v>77.3917477573562</v>
      </c>
      <c r="L10" t="n">
        <v>95.5490424235051</v>
      </c>
      <c r="M10" t="n">
        <v>89.7317491252704</v>
      </c>
      <c r="N10" t="n">
        <v>97.3987023733157</v>
      </c>
      <c r="O10" t="n">
        <v>107.427059599341</v>
      </c>
      <c r="P10" t="n">
        <v>111.518262114795</v>
      </c>
      <c r="Q10" t="n">
        <v>124.219658711013</v>
      </c>
      <c r="R10" t="n">
        <v>162.868518727462</v>
      </c>
      <c r="S10" t="n">
        <v>114.213208833342</v>
      </c>
      <c r="T10" t="n">
        <v>114.325623408966</v>
      </c>
      <c r="U10" t="n">
        <v>103.792744476854</v>
      </c>
      <c r="V10" t="n">
        <v>82.438747591408</v>
      </c>
      <c r="W10" t="n">
        <v>71.6303301479576</v>
      </c>
      <c r="X10" t="n">
        <v>76.9255830486803</v>
      </c>
      <c r="Y10" t="n">
        <v>69.0010883125097</v>
      </c>
      <c r="Z10" t="n">
        <v>40.1852929092741</v>
      </c>
      <c r="AA10" t="n">
        <v>56.7380438346823</v>
      </c>
      <c r="AB10" t="n">
        <v>68.1658477165795</v>
      </c>
      <c r="AC10" t="n">
        <v>68.2652148415308</v>
      </c>
      <c r="AD10" t="n">
        <v>90.2958123953099</v>
      </c>
      <c r="AE10" t="n">
        <v>117.7</v>
      </c>
      <c r="AF10" t="n">
        <v>124</v>
      </c>
    </row>
    <row r="11">
      <c r="A11" t="s">
        <v>65</v>
      </c>
      <c r="B11" t="s">
        <v>292</v>
      </c>
      <c r="C11" t="s">
        <v>217</v>
      </c>
      <c r="D11" t="s">
        <v>293</v>
      </c>
      <c r="E11" t="s">
        <v>218</v>
      </c>
      <c r="F11" t="n">
        <v>48.2255857958332</v>
      </c>
      <c r="G11" t="n">
        <v>44.6463431000487</v>
      </c>
      <c r="H11" t="n">
        <v>43.4061669028251</v>
      </c>
      <c r="I11" t="n">
        <v>53.4616495830162</v>
      </c>
      <c r="J11" t="n">
        <v>59.5079075715716</v>
      </c>
      <c r="K11" t="n">
        <v>61.208133502188</v>
      </c>
      <c r="L11" t="n">
        <v>74.1962008550913</v>
      </c>
      <c r="M11" t="n">
        <v>70.1146809652238</v>
      </c>
      <c r="N11" t="n">
        <v>76.5146011344633</v>
      </c>
      <c r="O11" t="n">
        <v>85.1844210471812</v>
      </c>
      <c r="P11" t="n">
        <v>88.4912696903171</v>
      </c>
      <c r="Q11" t="n">
        <v>98.5499895543964</v>
      </c>
      <c r="R11" t="n">
        <v>130.863491154519</v>
      </c>
      <c r="S11" t="n">
        <v>91.7618189594128</v>
      </c>
      <c r="T11" t="n">
        <v>91.874548466734</v>
      </c>
      <c r="U11" t="n">
        <v>83.4022847159094</v>
      </c>
      <c r="V11" t="n">
        <v>66.2069988547281</v>
      </c>
      <c r="W11" t="n">
        <v>57.5370347189899</v>
      </c>
      <c r="X11" t="n">
        <v>61.784735268714</v>
      </c>
      <c r="Y11" t="n">
        <v>55.3932109305711</v>
      </c>
      <c r="Z11" t="n">
        <v>33.2948555061412</v>
      </c>
      <c r="AA11" t="n">
        <v>46.9517273754266</v>
      </c>
      <c r="AB11" t="n">
        <v>47.6524994258061</v>
      </c>
      <c r="AC11" t="n">
        <v>55.8924107848518</v>
      </c>
      <c r="AD11" t="n">
        <v>64.8786464410735</v>
      </c>
      <c r="AE11" t="n">
        <v>84.5</v>
      </c>
      <c r="AF11" t="n">
        <v>87.5</v>
      </c>
    </row>
    <row r="12">
      <c r="A12" t="s">
        <v>65</v>
      </c>
      <c r="B12" t="s">
        <v>294</v>
      </c>
      <c r="C12" t="s">
        <v>217</v>
      </c>
      <c r="D12" t="s">
        <v>295</v>
      </c>
      <c r="E12" t="s">
        <v>218</v>
      </c>
      <c r="F12" t="n">
        <v>5.34288187010857</v>
      </c>
      <c r="G12" t="n">
        <v>4.9612474508151</v>
      </c>
      <c r="H12" t="n">
        <v>4.77749754522936</v>
      </c>
      <c r="I12" t="n">
        <v>5.28937228221822</v>
      </c>
      <c r="J12" t="n">
        <v>5.60994029932235</v>
      </c>
      <c r="K12" t="n">
        <v>6.70076202419058</v>
      </c>
      <c r="L12" t="n">
        <v>9.13740276025989</v>
      </c>
      <c r="M12" t="n">
        <v>8.38843532089432</v>
      </c>
      <c r="N12" t="n">
        <v>8.82993191673087</v>
      </c>
      <c r="O12" t="n">
        <v>9.25718668689526</v>
      </c>
      <c r="P12" t="n">
        <v>9.52945688356865</v>
      </c>
      <c r="Q12" t="n">
        <v>10.5737809256036</v>
      </c>
      <c r="R12" t="n">
        <v>12.8395911239472</v>
      </c>
      <c r="S12" t="n">
        <v>8.926572876649</v>
      </c>
      <c r="T12" t="n">
        <v>8.926572876649</v>
      </c>
      <c r="U12" t="n">
        <v>8.04493604932564</v>
      </c>
      <c r="V12" t="n">
        <v>6.39469275715628</v>
      </c>
      <c r="W12" t="n">
        <v>5.6076536485832</v>
      </c>
      <c r="X12" t="n">
        <v>5.99438838296825</v>
      </c>
      <c r="Y12" t="n">
        <v>5.31760259779441</v>
      </c>
      <c r="Z12" t="n">
        <v>2.99719419148412</v>
      </c>
      <c r="AA12" t="n">
        <v>4.29597834112725</v>
      </c>
      <c r="AB12" t="n">
        <v>8.49205020920502</v>
      </c>
      <c r="AC12" t="n">
        <v>7.7020920502092</v>
      </c>
      <c r="AD12" t="n">
        <v>17.5765690376569</v>
      </c>
      <c r="AE12" t="n">
        <v>23.6</v>
      </c>
      <c r="AF12" t="n">
        <v>33.2</v>
      </c>
    </row>
    <row r="13">
      <c r="A13" t="s">
        <v>65</v>
      </c>
      <c r="B13" t="s">
        <v>296</v>
      </c>
      <c r="C13" t="s">
        <v>217</v>
      </c>
      <c r="D13" t="s">
        <v>297</v>
      </c>
      <c r="E13" t="s">
        <v>218</v>
      </c>
      <c r="F13" t="n">
        <v>19.7222739985175</v>
      </c>
      <c r="G13" t="n">
        <v>18.3948132486173</v>
      </c>
      <c r="H13" t="n">
        <v>17.8641936356764</v>
      </c>
      <c r="I13" t="n">
        <v>20.869385088407</v>
      </c>
      <c r="J13" t="n">
        <v>22.6085005124409</v>
      </c>
      <c r="K13" t="n">
        <v>24.4540923910075</v>
      </c>
      <c r="L13" t="n">
        <v>30.678770454173</v>
      </c>
      <c r="M13" t="n">
        <v>28.7975250961341</v>
      </c>
      <c r="N13" t="n">
        <v>30.9149901767322</v>
      </c>
      <c r="O13" t="n">
        <v>33.5025884734631</v>
      </c>
      <c r="P13" t="n">
        <v>34.8164154724225</v>
      </c>
      <c r="Q13" t="n">
        <v>38.6145698875958</v>
      </c>
      <c r="R13" t="n">
        <v>49.4364875631004</v>
      </c>
      <c r="S13" t="n">
        <v>35.2430434452273</v>
      </c>
      <c r="T13" t="n">
        <v>34.9073954124156</v>
      </c>
      <c r="U13" t="n">
        <v>31.1984846498464</v>
      </c>
      <c r="V13" t="n">
        <v>25.1633679470893</v>
      </c>
      <c r="W13" t="n">
        <v>22.3239217585072</v>
      </c>
      <c r="X13" t="n">
        <v>24.0485165724691</v>
      </c>
      <c r="Y13" t="n">
        <v>21.6436649152222</v>
      </c>
      <c r="Z13" t="n">
        <v>24.9584604427788</v>
      </c>
      <c r="AA13" t="n">
        <v>32.3167316490163</v>
      </c>
      <c r="AB13" t="n">
        <v>41.9217045230274</v>
      </c>
      <c r="AC13" t="n">
        <v>37.2526995169082</v>
      </c>
      <c r="AD13" t="n">
        <v>37.0550724637681</v>
      </c>
      <c r="AE13" t="n">
        <v>40.8</v>
      </c>
      <c r="AF13" t="n">
        <v>53.2</v>
      </c>
    </row>
    <row r="14">
      <c r="A14" t="s">
        <v>65</v>
      </c>
      <c r="B14" t="s">
        <v>298</v>
      </c>
      <c r="C14" t="s">
        <v>217</v>
      </c>
      <c r="D14" t="s">
        <v>299</v>
      </c>
      <c r="E14" t="s">
        <v>218</v>
      </c>
      <c r="F14" t="n">
        <v>18.4621641539978</v>
      </c>
      <c r="G14" t="n">
        <v>16.7837855945435</v>
      </c>
      <c r="H14" t="n">
        <v>16.0844611947708</v>
      </c>
      <c r="I14" t="n">
        <v>18.2401106332453</v>
      </c>
      <c r="J14" t="n">
        <v>19.498049297607</v>
      </c>
      <c r="K14" t="n">
        <v>23.1827200310131</v>
      </c>
      <c r="L14" t="n">
        <v>31.2075077340561</v>
      </c>
      <c r="M14" t="n">
        <v>28.3044837587951</v>
      </c>
      <c r="N14" t="n">
        <v>29.8612303655288</v>
      </c>
      <c r="O14" t="n">
        <v>31.5049678168423</v>
      </c>
      <c r="P14" t="n">
        <v>32.6913473580623</v>
      </c>
      <c r="Q14" t="n">
        <v>36.3659561696275</v>
      </c>
      <c r="R14" t="n">
        <v>44.6253428251022</v>
      </c>
      <c r="S14" t="n">
        <v>31.358349012234</v>
      </c>
      <c r="T14" t="n">
        <v>31.358349012234</v>
      </c>
      <c r="U14" t="n">
        <v>28.5075900111218</v>
      </c>
      <c r="V14" t="n">
        <v>22.6414072290498</v>
      </c>
      <c r="W14" t="n">
        <v>19.6881801991737</v>
      </c>
      <c r="X14" t="n">
        <v>21.1358405079365</v>
      </c>
      <c r="Y14" t="n">
        <v>19.0028657777778</v>
      </c>
      <c r="Z14" t="n">
        <v>9.15682133333333</v>
      </c>
      <c r="AA14" t="n">
        <v>12.9389866666667</v>
      </c>
      <c r="AB14" t="n">
        <v>18.0544</v>
      </c>
      <c r="AC14" t="n">
        <v>5.952</v>
      </c>
      <c r="AD14" t="n">
        <v>15.9712</v>
      </c>
      <c r="AE14" t="n">
        <v>12.4</v>
      </c>
      <c r="AF14" t="n">
        <v>15.7</v>
      </c>
    </row>
    <row r="15">
      <c r="A15" t="s">
        <v>65</v>
      </c>
      <c r="B15" t="s">
        <v>300</v>
      </c>
      <c r="C15" t="s">
        <v>217</v>
      </c>
      <c r="D15" t="s">
        <v>301</v>
      </c>
      <c r="E15" t="s">
        <v>218</v>
      </c>
      <c r="F15" t="n">
        <v>27.1691961507663</v>
      </c>
      <c r="G15" t="n">
        <v>24.889263606646</v>
      </c>
      <c r="H15" t="n">
        <v>23.8225808806469</v>
      </c>
      <c r="I15" t="n">
        <v>27.6811679246954</v>
      </c>
      <c r="J15" t="n">
        <v>30.0674755044105</v>
      </c>
      <c r="K15" t="n">
        <v>34.09713716995</v>
      </c>
      <c r="L15" t="n">
        <v>44.461465208393</v>
      </c>
      <c r="M15" t="n">
        <v>40.7930274849282</v>
      </c>
      <c r="N15" t="n">
        <v>43.3604208231405</v>
      </c>
      <c r="O15" t="n">
        <v>46.5365026031795</v>
      </c>
      <c r="P15" t="n">
        <v>48.2600767736676</v>
      </c>
      <c r="Q15" t="n">
        <v>53.7499796870743</v>
      </c>
      <c r="R15" t="n">
        <v>67.6529767423914</v>
      </c>
      <c r="S15" t="n">
        <v>47.490689239273</v>
      </c>
      <c r="T15" t="n">
        <v>47.490689239273</v>
      </c>
      <c r="U15" t="n">
        <v>43.0832006787836</v>
      </c>
      <c r="V15" t="n">
        <v>34.1979362702095</v>
      </c>
      <c r="W15" t="n">
        <v>29.7502277957603</v>
      </c>
      <c r="X15" t="n">
        <v>31.9790722234557</v>
      </c>
      <c r="Y15" t="n">
        <v>28.7616655668275</v>
      </c>
      <c r="Z15" t="n">
        <v>14.8256008076431</v>
      </c>
      <c r="AA15" t="n">
        <v>20.8359795134443</v>
      </c>
      <c r="AB15" t="n">
        <v>28.5865612648221</v>
      </c>
      <c r="AC15" t="n">
        <v>16.0363636363636</v>
      </c>
      <c r="AD15" t="n">
        <v>29.4989898989899</v>
      </c>
      <c r="AE15" t="n">
        <v>29.4</v>
      </c>
      <c r="AF15" t="n">
        <v>44.4</v>
      </c>
    </row>
    <row r="16">
      <c r="A16" t="s">
        <v>65</v>
      </c>
      <c r="B16" t="s">
        <v>302</v>
      </c>
      <c r="C16" t="s">
        <v>217</v>
      </c>
      <c r="D16" t="s">
        <v>303</v>
      </c>
      <c r="E16" t="s">
        <v>218</v>
      </c>
      <c r="F16" t="n">
        <v>8.64110331385083</v>
      </c>
      <c r="G16" t="n">
        <v>8.05193717881555</v>
      </c>
      <c r="H16" t="n">
        <v>7.68594003432393</v>
      </c>
      <c r="I16" t="n">
        <v>9.39392670861814</v>
      </c>
      <c r="J16" t="n">
        <v>10.5276764837962</v>
      </c>
      <c r="K16" t="n">
        <v>10.8419354833125</v>
      </c>
      <c r="L16" t="n">
        <v>13.1324852333081</v>
      </c>
      <c r="M16" t="n">
        <v>12.3863212995974</v>
      </c>
      <c r="N16" t="n">
        <v>13.3945102425879</v>
      </c>
      <c r="O16" t="n">
        <v>14.9292978745511</v>
      </c>
      <c r="P16" t="n">
        <v>15.4624870843565</v>
      </c>
      <c r="Q16" t="n">
        <v>17.2664439108647</v>
      </c>
      <c r="R16" t="n">
        <v>22.896806055712</v>
      </c>
      <c r="S16" t="n">
        <v>16.0400085203116</v>
      </c>
      <c r="T16" t="n">
        <v>16.0400085203116</v>
      </c>
      <c r="U16" t="n">
        <v>14.4913180424884</v>
      </c>
      <c r="V16" t="n">
        <v>11.4895450194015</v>
      </c>
      <c r="W16" t="n">
        <v>10.0038279910306</v>
      </c>
      <c r="X16" t="n">
        <v>10.7808243398485</v>
      </c>
      <c r="Y16" t="n">
        <v>9.70274190586369</v>
      </c>
      <c r="Z16" t="n">
        <v>5.64343151667582</v>
      </c>
      <c r="AA16" t="n">
        <v>7.86049389822703</v>
      </c>
      <c r="AB16" t="n">
        <v>10.4806585309694</v>
      </c>
      <c r="AC16" t="n">
        <v>10.0813953488372</v>
      </c>
      <c r="AD16" t="n">
        <v>13.5406976744186</v>
      </c>
      <c r="AE16" t="n">
        <v>17</v>
      </c>
      <c r="AF16" t="n">
        <v>28.7</v>
      </c>
    </row>
    <row r="17">
      <c r="A17" t="s">
        <v>65</v>
      </c>
      <c r="B17" t="s">
        <v>304</v>
      </c>
      <c r="C17" t="s">
        <v>217</v>
      </c>
      <c r="D17" t="s">
        <v>305</v>
      </c>
      <c r="E17" t="s">
        <v>218</v>
      </c>
      <c r="F17" t="n">
        <v>5.52468602316218</v>
      </c>
      <c r="G17" t="n">
        <v>5.14367319397858</v>
      </c>
      <c r="H17" t="n">
        <v>4.96630515280691</v>
      </c>
      <c r="I17" t="n">
        <v>5.99381656373247</v>
      </c>
      <c r="J17" t="n">
        <v>6.47980169052159</v>
      </c>
      <c r="K17" t="n">
        <v>6.94264466841599</v>
      </c>
      <c r="L17" t="n">
        <v>8.75376936452451</v>
      </c>
      <c r="M17" t="n">
        <v>8.17018474022288</v>
      </c>
      <c r="N17" t="n">
        <v>8.74353103778238</v>
      </c>
      <c r="O17" t="n">
        <v>9.42661940010912</v>
      </c>
      <c r="P17" t="n">
        <v>9.819395208447</v>
      </c>
      <c r="Q17" t="n">
        <v>10.9524023478832</v>
      </c>
      <c r="R17" t="n">
        <v>14.2750412624096</v>
      </c>
      <c r="S17" t="n">
        <v>10.0409188540677</v>
      </c>
      <c r="T17" t="n">
        <v>10.0409188540677</v>
      </c>
      <c r="U17" t="n">
        <v>9.1582007130508</v>
      </c>
      <c r="V17" t="n">
        <v>7.28493238538132</v>
      </c>
      <c r="W17" t="n">
        <v>6.38679003649869</v>
      </c>
      <c r="X17" t="n">
        <v>6.87808157776782</v>
      </c>
      <c r="Y17" t="n">
        <v>6.09201511173721</v>
      </c>
      <c r="Z17" t="n">
        <v>5.50246526221425</v>
      </c>
      <c r="AA17" t="n">
        <v>7.70345136709996</v>
      </c>
      <c r="AB17" t="n">
        <v>9.20412371134021</v>
      </c>
      <c r="AC17" t="n">
        <v>4.65154639175258</v>
      </c>
      <c r="AD17" t="n">
        <v>8.01649484536082</v>
      </c>
      <c r="AE17" t="n">
        <v>9.6</v>
      </c>
      <c r="AF17" t="n">
        <v>10.1</v>
      </c>
    </row>
    <row r="18">
      <c r="A18" t="s">
        <v>65</v>
      </c>
      <c r="B18" t="s">
        <v>306</v>
      </c>
      <c r="C18" t="s">
        <v>217</v>
      </c>
      <c r="D18" t="s">
        <v>307</v>
      </c>
      <c r="E18" t="s">
        <v>218</v>
      </c>
      <c r="F18" t="n">
        <v>6.14555594942436</v>
      </c>
      <c r="G18" t="n">
        <v>5.56941007916582</v>
      </c>
      <c r="H18" t="n">
        <v>5.38975168951531</v>
      </c>
      <c r="I18" t="n">
        <v>6.23190039100208</v>
      </c>
      <c r="J18" t="n">
        <v>6.87106966187409</v>
      </c>
      <c r="K18" t="n">
        <v>7.6518730325416</v>
      </c>
      <c r="L18" t="n">
        <v>9.94743494230408</v>
      </c>
      <c r="M18" t="n">
        <v>9.19384138606892</v>
      </c>
      <c r="N18" t="n">
        <v>9.77757734708917</v>
      </c>
      <c r="O18" t="n">
        <v>10.4759757290241</v>
      </c>
      <c r="P18" t="n">
        <v>10.8788978724481</v>
      </c>
      <c r="Q18" t="n">
        <v>12.1740047620253</v>
      </c>
      <c r="R18" t="n">
        <v>15.437140059063</v>
      </c>
      <c r="S18" t="n">
        <v>10.7814946444249</v>
      </c>
      <c r="T18" t="n">
        <v>10.7814946444249</v>
      </c>
      <c r="U18" t="n">
        <v>9.78114978050922</v>
      </c>
      <c r="V18" t="n">
        <v>7.80410886742757</v>
      </c>
      <c r="W18" t="n">
        <v>6.80358208955224</v>
      </c>
      <c r="X18" t="n">
        <v>7.28955223880597</v>
      </c>
      <c r="Y18" t="n">
        <v>6.6</v>
      </c>
      <c r="Z18" t="n">
        <v>0.5</v>
      </c>
      <c r="AA18" t="n">
        <v>0.7</v>
      </c>
      <c r="AB18" t="n">
        <v>0.7</v>
      </c>
      <c r="AC18" t="n">
        <v>0.3</v>
      </c>
      <c r="AD18" t="n">
        <v>0.5</v>
      </c>
      <c r="AE18" t="n">
        <v>1.8</v>
      </c>
      <c r="AF18" t="n">
        <v>4.8</v>
      </c>
    </row>
    <row r="19">
      <c r="A19" t="s">
        <v>65</v>
      </c>
      <c r="B19" t="s">
        <v>308</v>
      </c>
      <c r="C19" t="s">
        <v>217</v>
      </c>
      <c r="D19" t="s">
        <v>309</v>
      </c>
      <c r="E19" t="s">
        <v>218</v>
      </c>
      <c r="F19" t="n">
        <v>4.19768462187394</v>
      </c>
      <c r="G19" t="n">
        <v>3.84787757005111</v>
      </c>
      <c r="H19" t="n">
        <v>3.68754933796564</v>
      </c>
      <c r="I19" t="n">
        <v>4.30214089429325</v>
      </c>
      <c r="J19" t="n">
        <v>4.74718995232359</v>
      </c>
      <c r="K19" t="n">
        <v>5.3226069162416</v>
      </c>
      <c r="L19" t="n">
        <v>6.96033212123901</v>
      </c>
      <c r="M19" t="n">
        <v>6.42492195806678</v>
      </c>
      <c r="N19" t="n">
        <v>6.81828452692801</v>
      </c>
      <c r="O19" t="n">
        <v>7.19707811175735</v>
      </c>
      <c r="P19" t="n">
        <v>7.56303123608399</v>
      </c>
      <c r="Q19" t="n">
        <v>8.39023777753068</v>
      </c>
      <c r="R19" t="n">
        <v>10.5739982949702</v>
      </c>
      <c r="S19" t="n">
        <v>7.42429667519182</v>
      </c>
      <c r="T19" t="n">
        <v>7.42429667519182</v>
      </c>
      <c r="U19" t="n">
        <v>6.8056052855925</v>
      </c>
      <c r="V19" t="n">
        <v>5.444484228474</v>
      </c>
      <c r="W19" t="n">
        <v>4.78739130434783</v>
      </c>
      <c r="X19" t="n">
        <v>5.15565217391304</v>
      </c>
      <c r="Y19" t="n">
        <v>4.68695652173913</v>
      </c>
      <c r="Z19" t="n">
        <v>1.72173913043478</v>
      </c>
      <c r="AA19" t="n">
        <v>2.39130434782609</v>
      </c>
      <c r="AB19" t="n">
        <v>2.29565217391304</v>
      </c>
      <c r="AC19" t="n">
        <v>2.10434782608696</v>
      </c>
      <c r="AD19" t="n">
        <v>2.48695652173913</v>
      </c>
      <c r="AE19" t="n">
        <v>2.2</v>
      </c>
      <c r="AF19" t="n">
        <v>6.3</v>
      </c>
    </row>
    <row r="20">
      <c r="A20" t="s">
        <v>65</v>
      </c>
      <c r="B20" t="s">
        <v>310</v>
      </c>
      <c r="C20" t="s">
        <v>217</v>
      </c>
      <c r="D20" t="s">
        <v>311</v>
      </c>
      <c r="E20" t="s">
        <v>218</v>
      </c>
      <c r="F20" t="n">
        <v>3.90168635176309</v>
      </c>
      <c r="G20" t="n">
        <v>3.49098252526171</v>
      </c>
      <c r="H20" t="n">
        <v>3.49098252526171</v>
      </c>
      <c r="I20" t="n">
        <v>3.8584543700261</v>
      </c>
      <c r="J20" t="n">
        <v>4.02621325567941</v>
      </c>
      <c r="K20" t="n">
        <v>4.67040737658812</v>
      </c>
      <c r="L20" t="n">
        <v>6.22720983545082</v>
      </c>
      <c r="M20" t="n">
        <v>5.61967716857757</v>
      </c>
      <c r="N20" t="n">
        <v>5.91544965113429</v>
      </c>
      <c r="O20" t="n">
        <v>6.19713772975973</v>
      </c>
      <c r="P20" t="n">
        <v>6.46657850061885</v>
      </c>
      <c r="Q20" t="n">
        <v>7.11323635068073</v>
      </c>
      <c r="R20" t="n">
        <v>8.86034703330407</v>
      </c>
      <c r="S20" t="n">
        <v>6.27607914859038</v>
      </c>
      <c r="T20" t="n">
        <v>6.27607914859038</v>
      </c>
      <c r="U20" t="n">
        <v>5.71571493889481</v>
      </c>
      <c r="V20" t="n">
        <v>4.55140263652735</v>
      </c>
      <c r="W20" t="n">
        <v>3.94454895165704</v>
      </c>
      <c r="X20" t="n">
        <v>4.24039012303131</v>
      </c>
      <c r="Y20" t="n">
        <v>3.74732150407418</v>
      </c>
      <c r="Z20" t="n">
        <v>6.21266459885983</v>
      </c>
      <c r="AA20" t="n">
        <v>8.71777129194848</v>
      </c>
      <c r="AB20" t="n">
        <v>14.4294145521906</v>
      </c>
      <c r="AC20" t="n">
        <v>13.8323353293413</v>
      </c>
      <c r="AD20" t="n">
        <v>11.0658682634731</v>
      </c>
      <c r="AE20" t="n">
        <v>16.5</v>
      </c>
      <c r="AF20" t="n">
        <v>12.8</v>
      </c>
    </row>
    <row r="21">
      <c r="A21" t="s">
        <v>65</v>
      </c>
      <c r="B21" t="s">
        <v>312</v>
      </c>
      <c r="C21" t="s">
        <v>217</v>
      </c>
      <c r="D21" t="s">
        <v>313</v>
      </c>
      <c r="E21" t="s">
        <v>218</v>
      </c>
      <c r="F21" t="n">
        <v>5.87794312467193</v>
      </c>
      <c r="G21" t="n">
        <v>5.29014881220473</v>
      </c>
      <c r="H21" t="n">
        <v>5.10772988764595</v>
      </c>
      <c r="I21" t="n">
        <v>5.78876053933208</v>
      </c>
      <c r="J21" t="n">
        <v>6.11035834707275</v>
      </c>
      <c r="K21" t="n">
        <v>7.02691209913366</v>
      </c>
      <c r="L21" t="n">
        <v>9.41905238820044</v>
      </c>
      <c r="M21" t="n">
        <v>8.5496013985204</v>
      </c>
      <c r="N21" t="n">
        <v>9.11957482508842</v>
      </c>
      <c r="O21" t="n">
        <v>9.67227632963924</v>
      </c>
      <c r="P21" t="n">
        <v>10.0697671377066</v>
      </c>
      <c r="Q21" t="n">
        <v>11.0894903921579</v>
      </c>
      <c r="R21" t="n">
        <v>13.8002547102409</v>
      </c>
      <c r="S21" t="n">
        <v>9.80544413622383</v>
      </c>
      <c r="T21" t="n">
        <v>9.80544413622383</v>
      </c>
      <c r="U21" t="n">
        <v>8.92405589925989</v>
      </c>
      <c r="V21" t="n">
        <v>7.05623024592642</v>
      </c>
      <c r="W21" t="n">
        <v>6.16177852461181</v>
      </c>
      <c r="X21" t="n">
        <v>6.65080856624766</v>
      </c>
      <c r="Y21" t="n">
        <v>5.86836049963029</v>
      </c>
      <c r="Z21" t="n">
        <v>8.11789869115524</v>
      </c>
      <c r="AA21" t="n">
        <v>11.3848579205226</v>
      </c>
      <c r="AB21" t="n">
        <v>16.6778181818182</v>
      </c>
      <c r="AC21" t="n">
        <v>15.3872727272727</v>
      </c>
      <c r="AD21" t="n">
        <v>15.3872727272727</v>
      </c>
      <c r="AE21" t="n">
        <v>21.7</v>
      </c>
      <c r="AF21" t="n">
        <v>20.6</v>
      </c>
    </row>
    <row r="22">
      <c r="A22" t="s">
        <v>65</v>
      </c>
      <c r="B22" t="s">
        <v>314</v>
      </c>
      <c r="C22" t="s">
        <v>217</v>
      </c>
      <c r="D22" t="s">
        <v>315</v>
      </c>
      <c r="E22" t="s">
        <v>218</v>
      </c>
      <c r="F22" t="n">
        <v>1.95196675835034</v>
      </c>
      <c r="G22" t="n">
        <v>1.77451523486395</v>
      </c>
      <c r="H22" t="n">
        <v>1.61319566805814</v>
      </c>
      <c r="I22" t="n">
        <v>1.90650397134143</v>
      </c>
      <c r="J22" t="n">
        <v>2.05315812298308</v>
      </c>
      <c r="K22" t="n">
        <v>2.32691253938083</v>
      </c>
      <c r="L22" t="n">
        <v>3.14817578857406</v>
      </c>
      <c r="M22" t="n">
        <v>2.88582780619289</v>
      </c>
      <c r="N22" t="n">
        <v>3.14817578857406</v>
      </c>
      <c r="O22" t="n">
        <v>3.41052377095523</v>
      </c>
      <c r="P22" t="n">
        <v>3.53683946617579</v>
      </c>
      <c r="Q22" t="n">
        <v>3.9027194109526</v>
      </c>
      <c r="R22" t="n">
        <v>4.84883320754717</v>
      </c>
      <c r="S22" t="n">
        <v>3.46345229110512</v>
      </c>
      <c r="T22" t="n">
        <v>3.46345229110512</v>
      </c>
      <c r="U22" t="n">
        <v>3.14859299191375</v>
      </c>
      <c r="V22" t="n">
        <v>2.45983827493261</v>
      </c>
      <c r="W22" t="n">
        <v>2.17601078167116</v>
      </c>
      <c r="X22" t="n">
        <v>2.36522911051213</v>
      </c>
      <c r="Y22" t="n">
        <v>2.08140161725067</v>
      </c>
      <c r="Z22" t="n">
        <v>1.8921832884097</v>
      </c>
      <c r="AA22" t="n">
        <v>2.64905660377359</v>
      </c>
      <c r="AB22" t="n">
        <v>2.25660377358491</v>
      </c>
      <c r="AC22" t="n">
        <v>1.56981132075472</v>
      </c>
      <c r="AD22" t="n">
        <v>4.31698113207547</v>
      </c>
      <c r="AE22" t="n">
        <v>5.2</v>
      </c>
      <c r="AF22" t="n">
        <v>7.8</v>
      </c>
    </row>
    <row r="23">
      <c r="A23" t="s">
        <v>65</v>
      </c>
      <c r="B23" t="s">
        <v>316</v>
      </c>
      <c r="C23" t="s">
        <v>217</v>
      </c>
      <c r="D23" t="s">
        <v>317</v>
      </c>
      <c r="E23" t="s">
        <v>218</v>
      </c>
      <c r="F23" t="n">
        <v>4.03416661750855</v>
      </c>
      <c r="G23" t="n">
        <v>3.84206344524623</v>
      </c>
      <c r="H23" t="n">
        <v>3.66742419773504</v>
      </c>
      <c r="I23" t="n">
        <v>4.7835967796544</v>
      </c>
      <c r="J23" t="n">
        <v>5.5551446473406</v>
      </c>
      <c r="K23" t="n">
        <v>5.10472751377244</v>
      </c>
      <c r="L23" t="n">
        <v>5.5422755863815</v>
      </c>
      <c r="M23" t="n">
        <v>5.40016595596147</v>
      </c>
      <c r="N23" t="n">
        <v>6.23096071841708</v>
      </c>
      <c r="O23" t="n">
        <v>7.31460606075048</v>
      </c>
      <c r="P23" t="n">
        <v>7.57125890498734</v>
      </c>
      <c r="Q23" t="n">
        <v>8.44009189408425</v>
      </c>
      <c r="R23" t="n">
        <v>12.0572741344061</v>
      </c>
      <c r="S23" t="n">
        <v>8.39280846610619</v>
      </c>
      <c r="T23" t="n">
        <v>8.39280846610619</v>
      </c>
      <c r="U23" t="n">
        <v>7.54290381131062</v>
      </c>
      <c r="V23" t="n">
        <v>6.05417279592037</v>
      </c>
      <c r="W23" t="n">
        <v>5.28538894881937</v>
      </c>
      <c r="X23" t="n">
        <v>5.6629167308779</v>
      </c>
      <c r="Y23" t="n">
        <v>5.09662505779011</v>
      </c>
      <c r="Z23" t="n">
        <v>2.50023116042534</v>
      </c>
      <c r="AA23" t="n">
        <v>3.60033287101248</v>
      </c>
      <c r="AB23" t="n">
        <v>10.3009523809524</v>
      </c>
      <c r="AC23" t="n">
        <v>12.1828571428571</v>
      </c>
      <c r="AD23" t="n">
        <v>18.5219047619048</v>
      </c>
      <c r="AE23" t="n">
        <v>10.4</v>
      </c>
      <c r="AF23" t="n">
        <v>11.8</v>
      </c>
    </row>
    <row r="24">
      <c r="A24" t="s">
        <v>65</v>
      </c>
      <c r="B24" t="s">
        <v>318</v>
      </c>
      <c r="C24" t="s">
        <v>217</v>
      </c>
      <c r="D24" t="s">
        <v>319</v>
      </c>
      <c r="E24" t="s">
        <v>218</v>
      </c>
      <c r="F24" t="n">
        <v>23.3540587118244</v>
      </c>
      <c r="G24" t="n">
        <v>21.4857340148785</v>
      </c>
      <c r="H24" t="n">
        <v>20.7812837193087</v>
      </c>
      <c r="I24" t="n">
        <v>24.9375404631704</v>
      </c>
      <c r="J24" t="n">
        <v>27.3050284818259</v>
      </c>
      <c r="K24" t="n">
        <v>29.4526149916324</v>
      </c>
      <c r="L24" t="n">
        <v>37.0388946106892</v>
      </c>
      <c r="M24" t="n">
        <v>34.5696349699766</v>
      </c>
      <c r="N24" t="n">
        <v>37.2615327750158</v>
      </c>
      <c r="O24" t="n">
        <v>40.6863060080135</v>
      </c>
      <c r="P24" t="n">
        <v>42.2663567267713</v>
      </c>
      <c r="Q24" t="n">
        <v>47.089544581478</v>
      </c>
      <c r="R24" t="n">
        <v>61.0191742613392</v>
      </c>
      <c r="S24" t="n">
        <v>42.8098949857222</v>
      </c>
      <c r="T24" t="n">
        <v>42.8098949857222</v>
      </c>
      <c r="U24" t="n">
        <v>38.8683189768066</v>
      </c>
      <c r="V24" t="n">
        <v>30.8690343325034</v>
      </c>
      <c r="W24" t="n">
        <v>26.7531630881696</v>
      </c>
      <c r="X24" t="n">
        <v>28.7668420302899</v>
      </c>
      <c r="Y24" t="n">
        <v>25.7843266358451</v>
      </c>
      <c r="Z24" t="n">
        <v>68.953540170101</v>
      </c>
      <c r="AA24" t="n">
        <v>97.3695524015836</v>
      </c>
      <c r="AB24" t="n">
        <v>83.7877481691576</v>
      </c>
      <c r="AC24" t="n">
        <v>69.6250436913922</v>
      </c>
      <c r="AD24" t="n">
        <v>82.6427572427573</v>
      </c>
      <c r="AE24" t="n">
        <v>98.6</v>
      </c>
      <c r="AF24" t="n">
        <v>130.6</v>
      </c>
    </row>
    <row r="25">
      <c r="A25" t="s">
        <v>65</v>
      </c>
      <c r="B25" t="s">
        <v>320</v>
      </c>
      <c r="C25" t="s">
        <v>217</v>
      </c>
      <c r="D25" t="s">
        <v>321</v>
      </c>
      <c r="E25" t="s">
        <v>218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65</v>
      </c>
      <c r="B26" t="s">
        <v>322</v>
      </c>
      <c r="C26" t="s">
        <v>217</v>
      </c>
      <c r="D26" t="s">
        <v>323</v>
      </c>
      <c r="E26" t="s">
        <v>218</v>
      </c>
      <c r="F26" t="n">
        <v>23.3615569718799</v>
      </c>
      <c r="G26" t="n">
        <v>21.4926324141295</v>
      </c>
      <c r="H26" t="n">
        <v>20.7879559415351</v>
      </c>
      <c r="I26" t="n">
        <v>24.9455471298421</v>
      </c>
      <c r="J26" t="n">
        <v>27.3137952750803</v>
      </c>
      <c r="K26" t="n">
        <v>29.4620713079518</v>
      </c>
      <c r="L26" t="n">
        <v>37.0507866448485</v>
      </c>
      <c r="M26" t="n">
        <v>34.5807342018586</v>
      </c>
      <c r="N26" t="n">
        <v>37.2734962913476</v>
      </c>
      <c r="O26" t="n">
        <v>40.6993691122435</v>
      </c>
      <c r="P26" t="n">
        <v>42.2799271360199</v>
      </c>
      <c r="Q26" t="n">
        <v>47.1046635659562</v>
      </c>
      <c r="R26" t="n">
        <v>61.0387656155715</v>
      </c>
      <c r="S26" t="n">
        <v>42.8236399081578</v>
      </c>
      <c r="T26" t="n">
        <v>42.8236399081578</v>
      </c>
      <c r="U26" t="n">
        <v>38.880798382087</v>
      </c>
      <c r="V26" t="n">
        <v>30.8789454169082</v>
      </c>
      <c r="W26" t="n">
        <v>26.7617526946538</v>
      </c>
      <c r="X26" t="n">
        <v>28.7760781662944</v>
      </c>
      <c r="Y26" t="n">
        <v>25.7926051791535</v>
      </c>
      <c r="Z26" t="n">
        <v>68.9756790018271</v>
      </c>
      <c r="AA26" t="n">
        <v>97.4008147288049</v>
      </c>
      <c r="AB26" t="n">
        <v>83.8146498025305</v>
      </c>
      <c r="AC26" t="n">
        <v>69.548326431887</v>
      </c>
      <c r="AD26" t="n">
        <v>79.5119873817035</v>
      </c>
      <c r="AE26" t="n">
        <v>93.7</v>
      </c>
      <c r="AF26" t="n">
        <v>127</v>
      </c>
    </row>
    <row r="27">
      <c r="A27" t="s">
        <v>65</v>
      </c>
      <c r="B27" t="s">
        <v>324</v>
      </c>
      <c r="C27" t="s">
        <v>217</v>
      </c>
      <c r="D27" t="s">
        <v>325</v>
      </c>
      <c r="E27" t="s">
        <v>218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0.098</v>
      </c>
      <c r="AD27" t="n">
        <v>3.136</v>
      </c>
      <c r="AE27" t="n">
        <v>4.9</v>
      </c>
      <c r="AF27" t="n">
        <v>3.6</v>
      </c>
    </row>
    <row r="28">
      <c r="A28" t="s">
        <v>65</v>
      </c>
      <c r="B28" t="s">
        <v>326</v>
      </c>
      <c r="C28" t="s">
        <v>217</v>
      </c>
      <c r="D28" t="s">
        <v>327</v>
      </c>
      <c r="E28" t="s">
        <v>218</v>
      </c>
      <c r="F28" t="n">
        <v>0.141711101488278</v>
      </c>
      <c r="G28" t="n">
        <v>0.141711101488278</v>
      </c>
      <c r="H28" t="n">
        <v>0.141711101488278</v>
      </c>
      <c r="I28" t="n">
        <v>0.141711101488278</v>
      </c>
      <c r="J28" t="n">
        <v>0.141711101488278</v>
      </c>
      <c r="K28" t="n">
        <v>0.141711101488278</v>
      </c>
      <c r="L28" t="n">
        <v>0.283422202976555</v>
      </c>
      <c r="M28" t="n">
        <v>0.283422202976555</v>
      </c>
      <c r="N28" t="n">
        <v>0.283422202976555</v>
      </c>
      <c r="O28" t="n">
        <v>0.283422202976555</v>
      </c>
      <c r="P28" t="n">
        <v>0.283422202976555</v>
      </c>
      <c r="Q28" t="n">
        <v>0.425133304464833</v>
      </c>
      <c r="R28" t="n">
        <v>0.425133304464833</v>
      </c>
      <c r="S28" t="n">
        <v>0.283422202976555</v>
      </c>
      <c r="T28" t="n">
        <v>0.283422202976555</v>
      </c>
      <c r="U28" t="n">
        <v>0.188948135317703</v>
      </c>
      <c r="V28" t="n">
        <v>0.188948135317703</v>
      </c>
      <c r="W28" t="n">
        <v>0.188948135317703</v>
      </c>
      <c r="X28" t="n">
        <v>0.188948135317703</v>
      </c>
      <c r="Y28" t="n">
        <v>0.188948135317703</v>
      </c>
      <c r="Z28" t="n">
        <v>1.22816287956507</v>
      </c>
      <c r="AA28" t="n">
        <v>1.70053321785933</v>
      </c>
      <c r="AB28" t="n">
        <v>22.4070259294406</v>
      </c>
      <c r="AC28" t="n">
        <v>28.4549400077409</v>
      </c>
      <c r="AD28" t="n">
        <v>34.086646884273</v>
      </c>
      <c r="AE28" t="n">
        <v>33.2</v>
      </c>
      <c r="AF28" t="n">
        <v>41.6</v>
      </c>
    </row>
    <row r="29">
      <c r="A29" t="s">
        <v>65</v>
      </c>
      <c r="B29" t="s">
        <v>328</v>
      </c>
      <c r="C29" t="s">
        <v>217</v>
      </c>
      <c r="D29" t="s">
        <v>329</v>
      </c>
      <c r="E29" t="s">
        <v>218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e">
        <v>#NUM!</v>
      </c>
      <c r="R29" t="e">
        <v>#NUM!</v>
      </c>
      <c r="S29" t="e">
        <v>#NUM!</v>
      </c>
      <c r="T29" t="e">
        <v>#NUM!</v>
      </c>
      <c r="U29" t="n">
        <v>0</v>
      </c>
      <c r="V29" t="n">
        <v>0</v>
      </c>
      <c r="W29" t="n">
        <v>0.100375854733681</v>
      </c>
      <c r="X29" t="n">
        <v>0.100375854733681</v>
      </c>
      <c r="Y29" t="n">
        <v>0.100375854733681</v>
      </c>
      <c r="Z29" t="n">
        <v>0.301127564201044</v>
      </c>
      <c r="AA29" t="n">
        <v>0.401503418934725</v>
      </c>
      <c r="AB29" t="n">
        <v>11.9447267133081</v>
      </c>
      <c r="AC29" t="n">
        <v>18.1161688485172</v>
      </c>
      <c r="AD29" t="n">
        <v>18.8091370558376</v>
      </c>
      <c r="AE29" t="n">
        <v>19.4</v>
      </c>
      <c r="AF29" t="n">
        <v>16.2</v>
      </c>
    </row>
    <row r="30">
      <c r="A30" t="s">
        <v>65</v>
      </c>
      <c r="B30" t="s">
        <v>330</v>
      </c>
      <c r="C30" t="s">
        <v>217</v>
      </c>
      <c r="D30" t="s">
        <v>331</v>
      </c>
      <c r="E30" t="s">
        <v>218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65</v>
      </c>
      <c r="B31" t="s">
        <v>332</v>
      </c>
      <c r="C31" t="s">
        <v>217</v>
      </c>
      <c r="D31" t="s">
        <v>333</v>
      </c>
      <c r="E31" t="s">
        <v>218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e">
        <v>#NUM!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e">
        <v>#NUM!</v>
      </c>
      <c r="AA31" t="e">
        <v>#NUM!</v>
      </c>
      <c r="AB31" t="n">
        <v>0</v>
      </c>
      <c r="AC31" t="n">
        <v>0</v>
      </c>
      <c r="AD31" t="n">
        <v>0.3</v>
      </c>
      <c r="AE31" t="n">
        <v>0.3</v>
      </c>
      <c r="AF31" t="n">
        <v>6.5</v>
      </c>
    </row>
    <row r="32">
      <c r="A32" t="s">
        <v>65</v>
      </c>
      <c r="B32" t="s">
        <v>334</v>
      </c>
      <c r="C32" t="s">
        <v>217</v>
      </c>
      <c r="D32" t="s">
        <v>335</v>
      </c>
      <c r="E32" t="s">
        <v>218</v>
      </c>
      <c r="F32" t="n">
        <v>0.331147540983607</v>
      </c>
      <c r="G32" t="n">
        <v>0.331147540983607</v>
      </c>
      <c r="H32" t="n">
        <v>0.331147540983607</v>
      </c>
      <c r="I32" t="n">
        <v>0.331147540983607</v>
      </c>
      <c r="J32" t="n">
        <v>0.331147540983607</v>
      </c>
      <c r="K32" t="n">
        <v>0.331147540983607</v>
      </c>
      <c r="L32" t="n">
        <v>0.331147540983607</v>
      </c>
      <c r="M32" t="n">
        <v>0.331147540983607</v>
      </c>
      <c r="N32" t="n">
        <v>0.331147540983607</v>
      </c>
      <c r="O32" t="n">
        <v>0.331147540983607</v>
      </c>
      <c r="P32" t="n">
        <v>0.331147540983607</v>
      </c>
      <c r="Q32" t="n">
        <v>0.662295081967213</v>
      </c>
      <c r="R32" t="n">
        <v>0.662295081967213</v>
      </c>
      <c r="S32" t="n">
        <v>0.331147540983607</v>
      </c>
      <c r="T32" t="n">
        <v>0.331147540983607</v>
      </c>
      <c r="U32" t="n">
        <v>0.165573770491803</v>
      </c>
      <c r="V32" t="n">
        <v>0.0827868852459016</v>
      </c>
      <c r="W32" t="n">
        <v>0.0827868852459016</v>
      </c>
      <c r="X32" t="n">
        <v>0.0827868852459016</v>
      </c>
      <c r="Y32" t="n">
        <v>0.0827868852459016</v>
      </c>
      <c r="Z32" t="n">
        <v>0.49672131147541</v>
      </c>
      <c r="AA32" t="n">
        <v>0.794754098360656</v>
      </c>
      <c r="AB32" t="n">
        <v>9.9344262295082</v>
      </c>
      <c r="AC32" t="n">
        <v>9.54098360655738</v>
      </c>
      <c r="AD32" t="n">
        <v>13.7704918032787</v>
      </c>
      <c r="AE32" t="n">
        <v>12</v>
      </c>
      <c r="AF32" t="n">
        <v>15.8</v>
      </c>
    </row>
    <row r="33">
      <c r="A33" t="s">
        <v>65</v>
      </c>
      <c r="B33" t="s">
        <v>336</v>
      </c>
      <c r="C33" t="s">
        <v>217</v>
      </c>
      <c r="D33" t="s">
        <v>337</v>
      </c>
      <c r="E33" t="s">
        <v>218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0.1</v>
      </c>
      <c r="AA33" t="n">
        <v>0.2</v>
      </c>
      <c r="AB33" t="n">
        <v>0.5</v>
      </c>
      <c r="AC33" t="n">
        <v>0.8</v>
      </c>
      <c r="AD33" t="n">
        <v>1.2</v>
      </c>
      <c r="AE33" t="n">
        <v>1.5</v>
      </c>
      <c r="AF33" t="n">
        <v>3.1</v>
      </c>
    </row>
    <row r="34">
      <c r="A34" t="s">
        <v>65</v>
      </c>
      <c r="B34" t="s">
        <v>338</v>
      </c>
      <c r="C34" t="s">
        <v>217</v>
      </c>
      <c r="D34" t="s">
        <v>339</v>
      </c>
      <c r="E34" t="s">
        <v>218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e">
        <v>#NUM!</v>
      </c>
      <c r="M34" t="e">
        <v>#NUM!</v>
      </c>
      <c r="N34" t="e">
        <v>#NUM!</v>
      </c>
      <c r="O34" t="e">
        <v>#NUM!</v>
      </c>
      <c r="P34" t="e">
        <v>#NUM!</v>
      </c>
      <c r="Q34" t="e">
        <v>#NUM!</v>
      </c>
      <c r="R34" t="e">
        <v>#NUM!</v>
      </c>
      <c r="S34" t="e">
        <v>#NUM!</v>
      </c>
      <c r="T34" t="e">
        <v>#NUM!</v>
      </c>
      <c r="U34" t="e">
        <v>#NUM!</v>
      </c>
      <c r="V34" t="e">
        <v>#NUM!</v>
      </c>
      <c r="W34" t="e">
        <v>#NUM!</v>
      </c>
      <c r="X34" t="e">
        <v>#NUM!</v>
      </c>
      <c r="Y34" t="e">
        <v>#NUM!</v>
      </c>
      <c r="Z34" t="e">
        <v>#NUM!</v>
      </c>
      <c r="AA34" t="e">
        <v>#NUM!</v>
      </c>
      <c r="AB34" t="n">
        <v>0</v>
      </c>
      <c r="AC34" t="n">
        <v>0.2</v>
      </c>
      <c r="AD34" t="n">
        <v>0.1</v>
      </c>
      <c r="AE34" t="n">
        <v>0.4</v>
      </c>
      <c r="AF34" t="n">
        <v>0</v>
      </c>
    </row>
    <row r="35">
      <c r="A35" t="s">
        <v>65</v>
      </c>
      <c r="B35" t="s">
        <v>340</v>
      </c>
      <c r="C35" t="s">
        <v>217</v>
      </c>
      <c r="D35" t="s">
        <v>341</v>
      </c>
      <c r="E35" t="s">
        <v>218</v>
      </c>
      <c r="F35" t="n">
        <v>56.5019982325604</v>
      </c>
      <c r="G35" t="n">
        <v>51.9968555163429</v>
      </c>
      <c r="H35" t="n">
        <v>50.2342502446025</v>
      </c>
      <c r="I35" t="n">
        <v>59.913939660506</v>
      </c>
      <c r="J35" t="n">
        <v>65.763057780397</v>
      </c>
      <c r="K35" t="n">
        <v>71.4481819343099</v>
      </c>
      <c r="L35" t="n">
        <v>90.3128786196682</v>
      </c>
      <c r="M35" t="n">
        <v>83.9344409643465</v>
      </c>
      <c r="N35" t="n">
        <v>90.3038336176274</v>
      </c>
      <c r="O35" t="n">
        <v>98.2396250567523</v>
      </c>
      <c r="P35" t="n">
        <v>102.05347930929</v>
      </c>
      <c r="Q35" t="n">
        <v>113.716734087495</v>
      </c>
      <c r="R35" t="n">
        <v>146.647718904589</v>
      </c>
      <c r="S35" t="n">
        <v>102.919156924802</v>
      </c>
      <c r="T35" t="n">
        <v>103.031759941131</v>
      </c>
      <c r="U35" t="n">
        <v>93.5853512471684</v>
      </c>
      <c r="V35" t="n">
        <v>74.3329192524264</v>
      </c>
      <c r="W35" t="n">
        <v>64.500522525915</v>
      </c>
      <c r="X35" t="n">
        <v>69.3139943562071</v>
      </c>
      <c r="Y35" t="n">
        <v>62.160248774116</v>
      </c>
      <c r="Z35" t="n">
        <v>60.5915358712992</v>
      </c>
      <c r="AA35" t="n">
        <v>85.5468636601374</v>
      </c>
      <c r="AB35" t="n">
        <v>127.819435632711</v>
      </c>
      <c r="AC35" t="n">
        <v>98.3226427943932</v>
      </c>
      <c r="AD35" t="n">
        <v>148.027456186936</v>
      </c>
      <c r="AE35" t="n">
        <v>185.7</v>
      </c>
      <c r="AF35" t="n">
        <v>229.5</v>
      </c>
    </row>
    <row r="36">
      <c r="A36" t="s">
        <v>65</v>
      </c>
      <c r="B36" t="s">
        <v>342</v>
      </c>
      <c r="C36" t="s">
        <v>217</v>
      </c>
      <c r="D36" t="s">
        <v>343</v>
      </c>
      <c r="E36" t="s">
        <v>218</v>
      </c>
      <c r="F36" t="n">
        <v>0</v>
      </c>
      <c r="G36" t="n">
        <v>0</v>
      </c>
      <c r="H36" t="n">
        <v>0</v>
      </c>
      <c r="I36" t="n">
        <v>0.0944453441295547</v>
      </c>
      <c r="J36" t="n">
        <v>0.0944453441295547</v>
      </c>
      <c r="K36" t="n">
        <v>0.0944453441295547</v>
      </c>
      <c r="L36" t="n">
        <v>0.0944453441295547</v>
      </c>
      <c r="M36" t="n">
        <v>0.0944453441295547</v>
      </c>
      <c r="N36" t="n">
        <v>0.0944453441295547</v>
      </c>
      <c r="O36" t="n">
        <v>0.0944453441295547</v>
      </c>
      <c r="P36" t="n">
        <v>0.0944453441295547</v>
      </c>
      <c r="Q36" t="n">
        <v>0.0944453441295547</v>
      </c>
      <c r="R36" t="n">
        <v>0.188890688259109</v>
      </c>
      <c r="S36" t="n">
        <v>0.0944453441295547</v>
      </c>
      <c r="T36" t="n">
        <v>0.0944453441295547</v>
      </c>
      <c r="U36" t="n">
        <v>0.0944453441295547</v>
      </c>
      <c r="V36" t="n">
        <v>0.0944453441295547</v>
      </c>
      <c r="W36" t="n">
        <v>0.0944453441295547</v>
      </c>
      <c r="X36" t="n">
        <v>0.0944453441295547</v>
      </c>
      <c r="Y36" t="n">
        <v>0.0944453441295547</v>
      </c>
      <c r="Z36" t="n">
        <v>2.36113360323887</v>
      </c>
      <c r="AA36" t="n">
        <v>3.34493927125506</v>
      </c>
      <c r="AB36" t="n">
        <v>2.55789473684211</v>
      </c>
      <c r="AC36" t="n">
        <v>4.0336032388664</v>
      </c>
      <c r="AD36" t="n">
        <v>19.8728744939271</v>
      </c>
      <c r="AE36" t="n">
        <v>24.3</v>
      </c>
      <c r="AF36" t="n">
        <v>34.9</v>
      </c>
    </row>
    <row r="37">
      <c r="A37" t="s">
        <v>65</v>
      </c>
      <c r="B37" t="s">
        <v>344</v>
      </c>
      <c r="C37" t="s">
        <v>217</v>
      </c>
      <c r="D37" t="s">
        <v>345</v>
      </c>
      <c r="E37" t="s">
        <v>218</v>
      </c>
      <c r="F37" t="n">
        <v>20.776160079053</v>
      </c>
      <c r="G37" t="n">
        <v>19.4419112666367</v>
      </c>
      <c r="H37" t="n">
        <v>19.0851789498177</v>
      </c>
      <c r="I37" t="n">
        <v>24.4898313957838</v>
      </c>
      <c r="J37" t="n">
        <v>27.8511808030482</v>
      </c>
      <c r="K37" t="n">
        <v>26.7620284811413</v>
      </c>
      <c r="L37" t="n">
        <v>30.2200433972438</v>
      </c>
      <c r="M37" t="n">
        <v>29.3398479584892</v>
      </c>
      <c r="N37" t="n">
        <v>32.7747569877757</v>
      </c>
      <c r="O37" t="n">
        <v>37.6149109733122</v>
      </c>
      <c r="P37" t="n">
        <v>39.0769746507201</v>
      </c>
      <c r="Q37" t="n">
        <v>43.5612176434257</v>
      </c>
      <c r="R37" t="n">
        <v>60.4115453851519</v>
      </c>
      <c r="S37" t="n">
        <v>42.4348304628496</v>
      </c>
      <c r="T37" t="n">
        <v>42.5489025877498</v>
      </c>
      <c r="U37" t="n">
        <v>38.6504429265685</v>
      </c>
      <c r="V37" t="n">
        <v>30.7114330281382</v>
      </c>
      <c r="W37" t="n">
        <v>26.6232227873796</v>
      </c>
      <c r="X37" t="n">
        <v>28.5736420392022</v>
      </c>
      <c r="Y37" t="n">
        <v>25.6379938844897</v>
      </c>
      <c r="Z37" t="n">
        <v>7.05541692170065</v>
      </c>
      <c r="AA37" t="n">
        <v>9.97837536069091</v>
      </c>
      <c r="AB37" t="n">
        <v>37.3937096850134</v>
      </c>
      <c r="AC37" t="n">
        <v>33.405047318612</v>
      </c>
      <c r="AD37" t="n">
        <v>31.4225519287834</v>
      </c>
      <c r="AE37" t="n">
        <v>33.3</v>
      </c>
      <c r="AF37" t="n">
        <v>29.4</v>
      </c>
    </row>
    <row r="38">
      <c r="A38" t="s">
        <v>65</v>
      </c>
      <c r="B38" t="s">
        <v>346</v>
      </c>
      <c r="C38" t="s">
        <v>217</v>
      </c>
      <c r="D38" t="s">
        <v>347</v>
      </c>
      <c r="E38" t="s">
        <v>218</v>
      </c>
      <c r="F38" t="n">
        <v>35.8624304545065</v>
      </c>
      <c r="G38" t="n">
        <v>32.687111091347</v>
      </c>
      <c r="H38" t="n">
        <v>31.2812138401063</v>
      </c>
      <c r="I38" t="n">
        <v>35.6073391584189</v>
      </c>
      <c r="J38" t="n">
        <v>38.1394166096842</v>
      </c>
      <c r="K38" t="n">
        <v>44.9060872984992</v>
      </c>
      <c r="L38" t="n">
        <v>60.3704352423532</v>
      </c>
      <c r="M38" t="n">
        <v>54.8558281769459</v>
      </c>
      <c r="N38" t="n">
        <v>57.8325010237569</v>
      </c>
      <c r="O38" t="n">
        <v>60.984509373393</v>
      </c>
      <c r="P38" t="n">
        <v>63.3553974267862</v>
      </c>
      <c r="Q38" t="n">
        <v>70.5923867120103</v>
      </c>
      <c r="R38" t="n">
        <v>86.7595242282224</v>
      </c>
      <c r="S38" t="n">
        <v>60.9008359485015</v>
      </c>
      <c r="T38" t="n">
        <v>60.9008359485015</v>
      </c>
      <c r="U38" t="n">
        <v>55.304542915396</v>
      </c>
      <c r="V38" t="n">
        <v>43.8941260685392</v>
      </c>
      <c r="W38" t="n">
        <v>38.1004942160922</v>
      </c>
      <c r="X38" t="n">
        <v>40.9868952930689</v>
      </c>
      <c r="Y38" t="n">
        <v>36.7335382343542</v>
      </c>
      <c r="Z38" t="n">
        <v>51.133085222221</v>
      </c>
      <c r="AA38" t="n">
        <v>72.1644321654737</v>
      </c>
      <c r="AB38" t="n">
        <v>87.9785518355775</v>
      </c>
      <c r="AC38" t="n">
        <v>60.9693350192377</v>
      </c>
      <c r="AD38" t="n">
        <v>96.7406466512702</v>
      </c>
      <c r="AE38" t="n">
        <v>128.1</v>
      </c>
      <c r="AF38" t="n">
        <v>165.2</v>
      </c>
    </row>
    <row r="39">
      <c r="A39" t="s">
        <v>65</v>
      </c>
      <c r="B39" t="s">
        <v>348</v>
      </c>
      <c r="C39" t="s">
        <v>217</v>
      </c>
      <c r="D39" t="s">
        <v>349</v>
      </c>
      <c r="E39" t="s">
        <v>218</v>
      </c>
      <c r="F39" t="n">
        <v>23.0596088829966</v>
      </c>
      <c r="G39" t="n">
        <v>21.9347499130943</v>
      </c>
      <c r="H39" t="n">
        <v>21.7592719137896</v>
      </c>
      <c r="I39" t="n">
        <v>26.0779060340837</v>
      </c>
      <c r="J39" t="n">
        <v>32.399822648407</v>
      </c>
      <c r="K39" t="n">
        <v>40.6917203878097</v>
      </c>
      <c r="L39" t="n">
        <v>49.1567863079015</v>
      </c>
      <c r="M39" t="n">
        <v>49.0117810385567</v>
      </c>
      <c r="N39" t="n">
        <v>47.7369081213688</v>
      </c>
      <c r="O39" t="n">
        <v>49.1047278383135</v>
      </c>
      <c r="P39" t="n">
        <v>53.4491139473332</v>
      </c>
      <c r="Q39" t="n">
        <v>55.2223073010362</v>
      </c>
      <c r="R39" t="n">
        <v>57.9341170345692</v>
      </c>
      <c r="S39" t="n">
        <v>56.1236758772389</v>
      </c>
      <c r="T39" t="n">
        <v>58.7105386932239</v>
      </c>
      <c r="U39" t="n">
        <v>40.6035501242857</v>
      </c>
      <c r="V39" t="n">
        <v>35.7722416284846</v>
      </c>
      <c r="W39" t="n">
        <v>31.9395014540041</v>
      </c>
      <c r="X39" t="n">
        <v>34.2483810771851</v>
      </c>
      <c r="Y39" t="n">
        <v>34.7307526416525</v>
      </c>
      <c r="Z39" t="n">
        <v>86.680131945082</v>
      </c>
      <c r="AA39" t="n">
        <v>121.610931385637</v>
      </c>
      <c r="AB39" t="n">
        <v>100.008989626347</v>
      </c>
      <c r="AC39" t="n">
        <v>109.037578967614</v>
      </c>
      <c r="AD39" t="n">
        <v>101.531368821293</v>
      </c>
      <c r="AE39" t="n">
        <v>103.7</v>
      </c>
      <c r="AF39" t="n">
        <v>102</v>
      </c>
    </row>
    <row r="40">
      <c r="A40" t="s">
        <v>65</v>
      </c>
      <c r="B40" t="s">
        <v>350</v>
      </c>
      <c r="C40" t="s">
        <v>217</v>
      </c>
      <c r="D40" t="s">
        <v>351</v>
      </c>
      <c r="E40" t="s">
        <v>218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e">
        <v>#NUM!</v>
      </c>
      <c r="AB40" t="n">
        <v>0</v>
      </c>
      <c r="AC40" t="n">
        <v>0</v>
      </c>
      <c r="AD40" t="e">
        <v>#NUM!</v>
      </c>
      <c r="AE40" t="n">
        <v>0</v>
      </c>
      <c r="AF40" t="n">
        <v>0</v>
      </c>
    </row>
    <row r="41">
      <c r="A41" t="s">
        <v>65</v>
      </c>
      <c r="B41" t="s">
        <v>352</v>
      </c>
      <c r="C41" t="s">
        <v>217</v>
      </c>
      <c r="D41" t="s">
        <v>353</v>
      </c>
      <c r="E41" t="s">
        <v>218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65</v>
      </c>
      <c r="B42" t="s">
        <v>354</v>
      </c>
      <c r="C42" t="s">
        <v>217</v>
      </c>
      <c r="D42" t="s">
        <v>355</v>
      </c>
      <c r="E42" t="s">
        <v>218</v>
      </c>
      <c r="F42" t="n">
        <v>263.888253583782</v>
      </c>
      <c r="G42" t="n">
        <v>270.852494227576</v>
      </c>
      <c r="H42" t="n">
        <v>285.880210943858</v>
      </c>
      <c r="I42" t="n">
        <v>299.589086556371</v>
      </c>
      <c r="J42" t="n">
        <v>303.716970101928</v>
      </c>
      <c r="K42" t="n">
        <v>317.922339318693</v>
      </c>
      <c r="L42" t="n">
        <v>369.243448997544</v>
      </c>
      <c r="M42" t="n">
        <v>370.700030650394</v>
      </c>
      <c r="N42" t="n">
        <v>394.286157552642</v>
      </c>
      <c r="O42" t="n">
        <v>415.016383802798</v>
      </c>
      <c r="P42" t="n">
        <v>419.501621262841</v>
      </c>
      <c r="Q42" t="n">
        <v>453.061750963868</v>
      </c>
      <c r="R42" t="n">
        <v>527.563042436793</v>
      </c>
      <c r="S42" t="n">
        <v>424.105089555717</v>
      </c>
      <c r="T42" t="n">
        <v>389.08207233537</v>
      </c>
      <c r="U42" t="n">
        <v>306.279960413025</v>
      </c>
      <c r="V42" t="n">
        <v>279.539601209738</v>
      </c>
      <c r="W42" t="n">
        <v>292.317431082195</v>
      </c>
      <c r="X42" t="n">
        <v>319.565729170555</v>
      </c>
      <c r="Y42" t="n">
        <v>287.879647197175</v>
      </c>
      <c r="Z42" t="n">
        <v>306.288277698218</v>
      </c>
      <c r="AA42" t="n">
        <v>289.759066352996</v>
      </c>
      <c r="AB42" t="n">
        <v>317.593558559676</v>
      </c>
      <c r="AC42" t="n">
        <v>296.744966094052</v>
      </c>
      <c r="AD42" t="n">
        <v>346.531738035264</v>
      </c>
      <c r="AE42" t="n">
        <v>391.5</v>
      </c>
      <c r="AF42" t="n">
        <v>438.1</v>
      </c>
    </row>
    <row r="43">
      <c r="A43" t="s">
        <v>65</v>
      </c>
      <c r="B43" t="s">
        <v>356</v>
      </c>
      <c r="C43" t="s">
        <v>217</v>
      </c>
      <c r="D43" t="s">
        <v>357</v>
      </c>
      <c r="E43" t="s">
        <v>218</v>
      </c>
      <c r="F43" t="n">
        <v>264.486579381001</v>
      </c>
      <c r="G43" t="n">
        <v>271.456667299162</v>
      </c>
      <c r="H43" t="n">
        <v>286.498268811827</v>
      </c>
      <c r="I43" t="n">
        <v>300.388079741373</v>
      </c>
      <c r="J43" t="n">
        <v>304.520402531465</v>
      </c>
      <c r="K43" t="n">
        <v>318.74165990857</v>
      </c>
      <c r="L43" t="n">
        <v>370.272059472045</v>
      </c>
      <c r="M43" t="n">
        <v>371.730397634597</v>
      </c>
      <c r="N43" t="n">
        <v>395.345876397454</v>
      </c>
      <c r="O43" t="n">
        <v>416.095694727664</v>
      </c>
      <c r="P43" t="n">
        <v>420.58546103066</v>
      </c>
      <c r="Q43" t="n">
        <v>454.171232873399</v>
      </c>
      <c r="R43" t="n">
        <v>528.959908945366</v>
      </c>
      <c r="S43" t="n">
        <v>425.078664824636</v>
      </c>
      <c r="T43" t="n">
        <v>390.040375728304</v>
      </c>
      <c r="U43" t="n">
        <v>307.088126805806</v>
      </c>
      <c r="V43" t="n">
        <v>280.134328071092</v>
      </c>
      <c r="W43" t="n">
        <v>292.814092394309</v>
      </c>
      <c r="X43" t="n">
        <v>320.063808983454</v>
      </c>
      <c r="Y43" t="n">
        <v>288.376235984187</v>
      </c>
      <c r="Z43" t="n">
        <v>306.29571007081</v>
      </c>
      <c r="AA43" t="n">
        <v>289.766097628758</v>
      </c>
      <c r="AB43" t="n">
        <v>319.703921813622</v>
      </c>
      <c r="AC43" t="n">
        <v>297.165788195084</v>
      </c>
      <c r="AD43" t="n">
        <v>346.858072590738</v>
      </c>
      <c r="AE43" t="n">
        <v>394</v>
      </c>
      <c r="AF43" t="n">
        <v>442.7</v>
      </c>
    </row>
    <row r="44">
      <c r="A44" t="s">
        <v>65</v>
      </c>
      <c r="B44" t="s">
        <v>358</v>
      </c>
      <c r="C44" t="s">
        <v>217</v>
      </c>
      <c r="D44" t="s">
        <v>359</v>
      </c>
      <c r="E44" t="s">
        <v>218</v>
      </c>
      <c r="F44" t="n">
        <v>539.696097465167</v>
      </c>
      <c r="G44" t="n">
        <v>525.79511897146</v>
      </c>
      <c r="H44" t="n">
        <v>532.850404029782</v>
      </c>
      <c r="I44" t="n">
        <v>593.223438852561</v>
      </c>
      <c r="J44" t="n">
        <v>628.715439467672</v>
      </c>
      <c r="K44" t="n">
        <v>677.244075447167</v>
      </c>
      <c r="L44" t="n">
        <v>822.346523640202</v>
      </c>
      <c r="M44" t="n">
        <v>795.725364286557</v>
      </c>
      <c r="N44" t="n">
        <v>845.697768966105</v>
      </c>
      <c r="O44" t="n">
        <v>902.214797484197</v>
      </c>
      <c r="P44" t="n">
        <v>927.525323655583</v>
      </c>
      <c r="Q44" t="n">
        <v>1014.13160387644</v>
      </c>
      <c r="R44" t="n">
        <v>1236.16187713598</v>
      </c>
      <c r="S44" t="n">
        <v>937.594798109</v>
      </c>
      <c r="T44" t="n">
        <v>904.872312351058</v>
      </c>
      <c r="U44" t="n">
        <v>760.768298482522</v>
      </c>
      <c r="V44" t="n">
        <v>644.865186558118</v>
      </c>
      <c r="W44" t="n">
        <v>611.850604403078</v>
      </c>
      <c r="X44" t="n">
        <v>662.661727260081</v>
      </c>
      <c r="Y44" t="n">
        <v>599.58328587512</v>
      </c>
      <c r="Z44" t="n">
        <v>666.160136690776</v>
      </c>
      <c r="AA44" t="n">
        <v>789.117507608892</v>
      </c>
      <c r="AB44" t="n">
        <v>931.210693102758</v>
      </c>
      <c r="AC44" t="n">
        <v>841.304801377363</v>
      </c>
      <c r="AD44" t="n">
        <v>1032.61818483216</v>
      </c>
      <c r="AE44" t="n">
        <v>1189.7</v>
      </c>
      <c r="AF44" t="n">
        <v>1400.3</v>
      </c>
    </row>
    <row r="45">
      <c r="A45" t="s">
        <v>65</v>
      </c>
      <c r="B45" t="s">
        <v>360</v>
      </c>
      <c r="C45" t="s">
        <v>217</v>
      </c>
      <c r="D45" t="s">
        <v>361</v>
      </c>
      <c r="E45" t="s">
        <v>218</v>
      </c>
      <c r="F45" t="n">
        <v>538.427650386021</v>
      </c>
      <c r="G45" t="n">
        <v>524.525470997129</v>
      </c>
      <c r="H45" t="n">
        <v>531.58028567093</v>
      </c>
      <c r="I45" t="n">
        <v>591.774916513843</v>
      </c>
      <c r="J45" t="n">
        <v>627.09766982824</v>
      </c>
      <c r="K45" t="n">
        <v>675.300413113171</v>
      </c>
      <c r="L45" t="n">
        <v>819.773593686567</v>
      </c>
      <c r="M45" t="n">
        <v>793.305828199436</v>
      </c>
      <c r="N45" t="n">
        <v>843.118054621261</v>
      </c>
      <c r="O45" t="n">
        <v>899.472180568462</v>
      </c>
      <c r="P45" t="n">
        <v>924.77230636236</v>
      </c>
      <c r="Q45" t="n">
        <v>1011.09285108802</v>
      </c>
      <c r="R45" t="n">
        <v>1232.55858235135</v>
      </c>
      <c r="S45" t="n">
        <v>935.040279815499</v>
      </c>
      <c r="T45" t="n">
        <v>902.328483539193</v>
      </c>
      <c r="U45" t="n">
        <v>758.482193089203</v>
      </c>
      <c r="V45" t="n">
        <v>643.025261205093</v>
      </c>
      <c r="W45" t="n">
        <v>610.314076973303</v>
      </c>
      <c r="X45" t="n">
        <v>661.021237396594</v>
      </c>
      <c r="Y45" t="n">
        <v>598.145020923014</v>
      </c>
      <c r="Z45" t="n">
        <v>664.910144371376</v>
      </c>
      <c r="AA45" t="n">
        <v>787.359534635906</v>
      </c>
      <c r="AB45" t="n">
        <v>928.541934352676</v>
      </c>
      <c r="AC45" t="n">
        <v>839.528135580168</v>
      </c>
      <c r="AD45" t="n">
        <v>1026.39722175872</v>
      </c>
      <c r="AE45" t="n">
        <v>1181.9</v>
      </c>
      <c r="AF45" t="n">
        <v>1384.8</v>
      </c>
    </row>
    <row r="46">
      <c r="A46" t="s">
        <v>65</v>
      </c>
      <c r="B46" t="s">
        <v>362</v>
      </c>
      <c r="C46" t="s">
        <v>217</v>
      </c>
      <c r="D46" t="s">
        <v>363</v>
      </c>
      <c r="E46" t="s">
        <v>218</v>
      </c>
      <c r="F46" t="e">
        <v>#NUM!</v>
      </c>
      <c r="G46" t="e">
        <v>#NUM!</v>
      </c>
      <c r="H46" t="e">
        <v>#NUM!</v>
      </c>
      <c r="I46" t="e">
        <v>#NUM!</v>
      </c>
      <c r="J46" t="e">
        <v>#NUM!</v>
      </c>
      <c r="K46" t="e">
        <v>#NUM!</v>
      </c>
      <c r="L46" t="e">
        <v>#NUM!</v>
      </c>
      <c r="M46" t="e">
        <v>#NUM!</v>
      </c>
      <c r="N46" t="e">
        <v>#NUM!</v>
      </c>
      <c r="O46" t="e">
        <v>#NUM!</v>
      </c>
      <c r="P46" t="e">
        <v>#NUM!</v>
      </c>
      <c r="Q46" t="e">
        <v>#NUM!</v>
      </c>
      <c r="R46" t="e">
        <v>#NUM!</v>
      </c>
      <c r="S46" t="e">
        <v>#NUM!</v>
      </c>
      <c r="T46" t="e">
        <v>#NUM!</v>
      </c>
      <c r="U46" t="e">
        <v>#NUM!</v>
      </c>
      <c r="V46" t="e">
        <v>#NUM!</v>
      </c>
      <c r="W46" t="e">
        <v>#NUM!</v>
      </c>
      <c r="X46" t="e">
        <v>#NUM!</v>
      </c>
      <c r="Y46" t="e">
        <v>#NUM!</v>
      </c>
      <c r="Z46" t="n">
        <v>0</v>
      </c>
      <c r="AA46" t="n">
        <v>0</v>
      </c>
      <c r="AB46" t="n">
        <v>2.1</v>
      </c>
      <c r="AC46" t="n">
        <v>0.4</v>
      </c>
      <c r="AD46" t="n">
        <v>0.3</v>
      </c>
      <c r="AE46" t="n">
        <v>2.5</v>
      </c>
      <c r="AF46" t="n">
        <v>4.6</v>
      </c>
    </row>
    <row r="47">
      <c r="A47" t="s">
        <v>65</v>
      </c>
      <c r="B47" t="s">
        <v>364</v>
      </c>
      <c r="C47" t="s">
        <v>217</v>
      </c>
      <c r="D47" t="s">
        <v>365</v>
      </c>
      <c r="E47" t="s">
        <v>218</v>
      </c>
      <c r="F47" t="n">
        <v>80.5669643296176</v>
      </c>
      <c r="G47" t="n">
        <v>90.7082605389401</v>
      </c>
      <c r="H47" t="n">
        <v>103.213671215182</v>
      </c>
      <c r="I47" t="n">
        <v>116.386336846845</v>
      </c>
      <c r="J47" t="n">
        <v>138.902494656453</v>
      </c>
      <c r="K47" t="n">
        <v>139.98284739267</v>
      </c>
      <c r="L47" t="n">
        <v>142.815301173778</v>
      </c>
      <c r="M47" t="n">
        <v>153.87948352771</v>
      </c>
      <c r="N47" t="n">
        <v>159.55769325198</v>
      </c>
      <c r="O47" t="n">
        <v>159.694888173091</v>
      </c>
      <c r="P47" t="n">
        <v>173.01378470941</v>
      </c>
      <c r="Q47" t="n">
        <v>178.730099182188</v>
      </c>
      <c r="R47" t="n">
        <v>193.92277520113</v>
      </c>
      <c r="S47" t="n">
        <v>224.370463270092</v>
      </c>
      <c r="T47" t="n">
        <v>193.411167033627</v>
      </c>
      <c r="U47" t="n">
        <v>116.902890403412</v>
      </c>
      <c r="V47" t="n">
        <v>118.342327928168</v>
      </c>
      <c r="W47" t="n">
        <v>115.494255305831</v>
      </c>
      <c r="X47" t="n">
        <v>126.851190410904</v>
      </c>
      <c r="Y47" t="n">
        <v>130.329212387136</v>
      </c>
      <c r="Z47" t="n">
        <v>199.753263162853</v>
      </c>
      <c r="AA47" t="n">
        <v>177.348236138106</v>
      </c>
      <c r="AB47" t="n">
        <v>153.828577282319</v>
      </c>
      <c r="AC47" t="n">
        <v>180.111345160987</v>
      </c>
      <c r="AD47" t="n">
        <v>156.918925373134</v>
      </c>
      <c r="AE47" t="n">
        <v>165.1</v>
      </c>
      <c r="AF47" t="n">
        <v>177.9</v>
      </c>
    </row>
    <row r="48">
      <c r="A48" t="s">
        <v>65</v>
      </c>
      <c r="B48" t="s">
        <v>366</v>
      </c>
      <c r="C48" t="s">
        <v>217</v>
      </c>
      <c r="D48" t="s">
        <v>367</v>
      </c>
      <c r="E48" t="s">
        <v>218</v>
      </c>
      <c r="F48" t="n">
        <v>719.726945887272</v>
      </c>
      <c r="G48" t="n">
        <v>768.461397909442</v>
      </c>
      <c r="H48" t="n">
        <v>836.68267196488</v>
      </c>
      <c r="I48" t="n">
        <v>874.956809375978</v>
      </c>
      <c r="J48" t="n">
        <v>900.672158272732</v>
      </c>
      <c r="K48" t="n">
        <v>906.383361332902</v>
      </c>
      <c r="L48" t="n">
        <v>988.415753752368</v>
      </c>
      <c r="M48" t="n">
        <v>1034.29036144826</v>
      </c>
      <c r="N48" t="n">
        <v>1104.89087094418</v>
      </c>
      <c r="O48" t="n">
        <v>1156.36094257201</v>
      </c>
      <c r="P48" t="n">
        <v>1176.41191944526</v>
      </c>
      <c r="Q48" t="n">
        <v>1252.17005061646</v>
      </c>
      <c r="R48" t="n">
        <v>1445.54345985415</v>
      </c>
      <c r="S48" t="n">
        <v>1283.70544206613</v>
      </c>
      <c r="T48" t="n">
        <v>1137.51754385575</v>
      </c>
      <c r="U48" t="n">
        <v>822.004133593389</v>
      </c>
      <c r="V48" t="n">
        <v>795.680258412014</v>
      </c>
      <c r="W48" t="n">
        <v>857.801311323243</v>
      </c>
      <c r="X48" t="n">
        <v>945.526613817122</v>
      </c>
      <c r="Y48" t="n">
        <v>874.124185081085</v>
      </c>
      <c r="Z48" t="n">
        <v>1011.896418576</v>
      </c>
      <c r="AA48" t="n">
        <v>889.516896982817</v>
      </c>
      <c r="AB48" t="n">
        <v>974.504500577057</v>
      </c>
      <c r="AC48" t="n">
        <v>1041.49610235825</v>
      </c>
      <c r="AD48" t="n">
        <v>1169.09073200426</v>
      </c>
      <c r="AE48" t="n">
        <v>1295.9</v>
      </c>
      <c r="AF48" t="n">
        <v>1385.2</v>
      </c>
    </row>
    <row r="49">
      <c r="A49" t="s">
        <v>65</v>
      </c>
      <c r="B49" t="s">
        <v>368</v>
      </c>
      <c r="C49" t="s">
        <v>217</v>
      </c>
      <c r="D49" t="s">
        <v>369</v>
      </c>
      <c r="E49" t="s">
        <v>218</v>
      </c>
      <c r="F49" t="n">
        <v>601.465871158959</v>
      </c>
      <c r="G49" t="n">
        <v>638.340225474616</v>
      </c>
      <c r="H49" t="n">
        <v>691.343842314468</v>
      </c>
      <c r="I49" t="n">
        <v>715.408022467545</v>
      </c>
      <c r="J49" t="n">
        <v>718.582675329616</v>
      </c>
      <c r="K49" t="n">
        <v>721.978040204455</v>
      </c>
      <c r="L49" t="n">
        <v>795.055759621968</v>
      </c>
      <c r="M49" t="n">
        <v>828.692734067513</v>
      </c>
      <c r="N49" t="n">
        <v>890.340428031398</v>
      </c>
      <c r="O49" t="n">
        <v>938.926910461352</v>
      </c>
      <c r="P49" t="n">
        <v>945.522350967543</v>
      </c>
      <c r="Q49" t="n">
        <v>1011.23481977386</v>
      </c>
      <c r="R49" t="n">
        <v>1176.54113484502</v>
      </c>
      <c r="S49" t="n">
        <v>998.398183354363</v>
      </c>
      <c r="T49" t="n">
        <v>888.816521492683</v>
      </c>
      <c r="U49" t="n">
        <v>662.466484325202</v>
      </c>
      <c r="V49" t="n">
        <v>637.580286062753</v>
      </c>
      <c r="W49" t="n">
        <v>699.402083493533</v>
      </c>
      <c r="X49" t="n">
        <v>771.807145000573</v>
      </c>
      <c r="Y49" t="n">
        <v>701.862424387178</v>
      </c>
      <c r="Z49" t="n">
        <v>706.268033132808</v>
      </c>
      <c r="AA49" t="n">
        <v>621.842421052653</v>
      </c>
      <c r="AB49" t="n">
        <v>575.10164998689</v>
      </c>
      <c r="AC49" t="n">
        <v>624.722154731229</v>
      </c>
      <c r="AD49" t="n">
        <v>724.365634674923</v>
      </c>
      <c r="AE49" t="n">
        <v>828.1</v>
      </c>
      <c r="AF49" t="n">
        <v>880.9</v>
      </c>
    </row>
    <row r="50">
      <c r="A50" t="s">
        <v>65</v>
      </c>
      <c r="B50" t="s">
        <v>370</v>
      </c>
      <c r="C50" t="s">
        <v>217</v>
      </c>
      <c r="D50" t="s">
        <v>371</v>
      </c>
      <c r="E50" t="s">
        <v>218</v>
      </c>
      <c r="F50" t="n">
        <v>37.513422937954</v>
      </c>
      <c r="G50" t="n">
        <v>39.2100099049971</v>
      </c>
      <c r="H50" t="n">
        <v>41.8713227944766</v>
      </c>
      <c r="I50" t="n">
        <v>43.2165861774316</v>
      </c>
      <c r="J50" t="n">
        <v>43.2165861774316</v>
      </c>
      <c r="K50" t="n">
        <v>44.6106696025101</v>
      </c>
      <c r="L50" t="n">
        <v>50.5986789451288</v>
      </c>
      <c r="M50" t="n">
        <v>51.7685905970393</v>
      </c>
      <c r="N50" t="n">
        <v>55.0486941334909</v>
      </c>
      <c r="O50" t="n">
        <v>57.8011288401654</v>
      </c>
      <c r="P50" t="n">
        <v>57.933396869548</v>
      </c>
      <c r="Q50" t="n">
        <v>62.2720213047123</v>
      </c>
      <c r="R50" t="n">
        <v>75.1729978299914</v>
      </c>
      <c r="S50" t="n">
        <v>61.0856509022385</v>
      </c>
      <c r="T50" t="n">
        <v>55.5426936907391</v>
      </c>
      <c r="U50" t="n">
        <v>42.7590578412833</v>
      </c>
      <c r="V50" t="n">
        <v>39.7710754861093</v>
      </c>
      <c r="W50" t="n">
        <v>42.8228164268751</v>
      </c>
      <c r="X50" t="n">
        <v>46.7771756014289</v>
      </c>
      <c r="Y50" t="n">
        <v>41.9348178787137</v>
      </c>
      <c r="Z50" t="n">
        <v>105.81683016124</v>
      </c>
      <c r="AA50" t="n">
        <v>90.173475796537</v>
      </c>
      <c r="AB50" t="n">
        <v>245.39995854951</v>
      </c>
      <c r="AC50" t="n">
        <v>236.369875157676</v>
      </c>
      <c r="AD50" t="n">
        <v>287.612968393614</v>
      </c>
      <c r="AE50" t="n">
        <v>302.6</v>
      </c>
      <c r="AF50" t="n">
        <v>326.5</v>
      </c>
    </row>
    <row r="51">
      <c r="A51" t="s">
        <v>65</v>
      </c>
      <c r="B51" t="s">
        <v>372</v>
      </c>
      <c r="C51" t="s">
        <v>217</v>
      </c>
      <c r="D51" t="s">
        <v>373</v>
      </c>
      <c r="E51" t="s">
        <v>218</v>
      </c>
      <c r="F51" t="n">
        <v>37.5127767397115</v>
      </c>
      <c r="G51" t="n">
        <v>39.2093344817085</v>
      </c>
      <c r="H51" t="n">
        <v>41.8706015279783</v>
      </c>
      <c r="I51" t="n">
        <v>43.2158417377125</v>
      </c>
      <c r="J51" t="n">
        <v>43.2158417377125</v>
      </c>
      <c r="K51" t="n">
        <v>44.6099011486065</v>
      </c>
      <c r="L51" t="n">
        <v>50.5978073430503</v>
      </c>
      <c r="M51" t="n">
        <v>51.7676988423116</v>
      </c>
      <c r="N51" t="n">
        <v>55.0477458763974</v>
      </c>
      <c r="O51" t="n">
        <v>57.8001331702173</v>
      </c>
      <c r="P51" t="n">
        <v>57.9323989211789</v>
      </c>
      <c r="Q51" t="n">
        <v>62.2709486201218</v>
      </c>
      <c r="R51" t="n">
        <v>75.171702915924</v>
      </c>
      <c r="S51" t="n">
        <v>61.0845986538122</v>
      </c>
      <c r="T51" t="n">
        <v>55.5417369241144</v>
      </c>
      <c r="U51" t="n">
        <v>42.75832128285</v>
      </c>
      <c r="V51" t="n">
        <v>39.7703903980243</v>
      </c>
      <c r="W51" t="n">
        <v>42.82207877015</v>
      </c>
      <c r="X51" t="n">
        <v>46.7763698277539</v>
      </c>
      <c r="Y51" t="n">
        <v>41.9340955184626</v>
      </c>
      <c r="Z51" t="n">
        <v>105.717030524348</v>
      </c>
      <c r="AA51" t="n">
        <v>89.8744218029805</v>
      </c>
      <c r="AB51" t="n">
        <v>244.502463769133</v>
      </c>
      <c r="AC51" t="n">
        <v>236.167152504276</v>
      </c>
      <c r="AD51" t="n">
        <v>287.409105744125</v>
      </c>
      <c r="AE51" t="n">
        <v>302.1</v>
      </c>
      <c r="AF51" t="n">
        <v>326.1</v>
      </c>
    </row>
    <row r="52">
      <c r="A52" t="s">
        <v>65</v>
      </c>
      <c r="B52" t="s">
        <v>374</v>
      </c>
      <c r="C52" t="s">
        <v>217</v>
      </c>
      <c r="D52" t="s">
        <v>375</v>
      </c>
      <c r="E52" t="s">
        <v>218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0.1</v>
      </c>
      <c r="AA52" t="n">
        <v>0.3</v>
      </c>
      <c r="AB52" t="n">
        <v>0.9</v>
      </c>
      <c r="AC52" t="n">
        <v>0.2</v>
      </c>
      <c r="AD52" t="n">
        <v>0.2</v>
      </c>
      <c r="AE52" t="n">
        <v>0.5</v>
      </c>
      <c r="AF52" t="n">
        <v>0.4</v>
      </c>
    </row>
    <row r="53">
      <c r="A53" t="s">
        <v>65</v>
      </c>
      <c r="B53" t="s">
        <v>376</v>
      </c>
      <c r="C53" t="s">
        <v>217</v>
      </c>
      <c r="D53" t="s">
        <v>377</v>
      </c>
      <c r="E53" t="s">
        <v>218</v>
      </c>
      <c r="F53" t="n">
        <v>7.62954275442439</v>
      </c>
      <c r="G53" t="n">
        <v>7.27468030073023</v>
      </c>
      <c r="H53" t="n">
        <v>7.27468030073023</v>
      </c>
      <c r="I53" t="n">
        <v>7.92131854968403</v>
      </c>
      <c r="J53" t="n">
        <v>8.2319584928089</v>
      </c>
      <c r="K53" t="n">
        <v>9.45150789915096</v>
      </c>
      <c r="L53" t="n">
        <v>12.1097444957872</v>
      </c>
      <c r="M53" t="n">
        <v>11.3889263710379</v>
      </c>
      <c r="N53" t="n">
        <v>11.8107384588541</v>
      </c>
      <c r="O53" t="n">
        <v>12.360075131359</v>
      </c>
      <c r="P53" t="n">
        <v>12.4915652923309</v>
      </c>
      <c r="Q53" t="n">
        <v>13.7662148119565</v>
      </c>
      <c r="R53" t="n">
        <v>16.2466138771739</v>
      </c>
      <c r="S53" t="n">
        <v>11.2756350043072</v>
      </c>
      <c r="T53" t="n">
        <v>11.1628786542642</v>
      </c>
      <c r="U53" t="n">
        <v>9.84959881258604</v>
      </c>
      <c r="V53" t="n">
        <v>8.00279903522616</v>
      </c>
      <c r="W53" t="n">
        <v>7.60759908286931</v>
      </c>
      <c r="X53" t="n">
        <v>7.99279397314117</v>
      </c>
      <c r="Y53" t="n">
        <v>6.83720930232558</v>
      </c>
      <c r="Z53" t="n">
        <v>0.781395348837209</v>
      </c>
      <c r="AA53" t="n">
        <v>1.75813953488372</v>
      </c>
      <c r="AB53" t="n">
        <v>1.46511627906977</v>
      </c>
      <c r="AC53" t="n">
        <v>3.02790697674419</v>
      </c>
      <c r="AD53" t="n">
        <v>3.8093023255814</v>
      </c>
      <c r="AE53" t="n">
        <v>4.2</v>
      </c>
      <c r="AF53" t="n">
        <v>4.1</v>
      </c>
    </row>
    <row r="54">
      <c r="A54" t="s">
        <v>65</v>
      </c>
      <c r="B54" t="s">
        <v>378</v>
      </c>
      <c r="C54" t="s">
        <v>217</v>
      </c>
      <c r="D54" t="s">
        <v>379</v>
      </c>
      <c r="E54" t="s">
        <v>218</v>
      </c>
      <c r="F54" t="n">
        <v>7.50163350499993</v>
      </c>
      <c r="G54" t="n">
        <v>7.15272031872086</v>
      </c>
      <c r="H54" t="n">
        <v>7.15272031872086</v>
      </c>
      <c r="I54" t="n">
        <v>7.94746702080096</v>
      </c>
      <c r="J54" t="n">
        <v>8.2531388292933</v>
      </c>
      <c r="K54" t="n">
        <v>9.45359538628142</v>
      </c>
      <c r="L54" t="n">
        <v>12.0715141086363</v>
      </c>
      <c r="M54" t="n">
        <v>11.3614250434224</v>
      </c>
      <c r="N54" t="n">
        <v>11.7770869352549</v>
      </c>
      <c r="O54" t="n">
        <v>12.3185621966459</v>
      </c>
      <c r="P54" t="n">
        <v>12.4482312724001</v>
      </c>
      <c r="Q54" t="n">
        <v>13.7056283706223</v>
      </c>
      <c r="R54" t="n">
        <v>17.4991505089196</v>
      </c>
      <c r="S54" t="n">
        <v>12.6184350608536</v>
      </c>
      <c r="T54" t="n">
        <v>12.3970590071544</v>
      </c>
      <c r="U54" t="n">
        <v>10.6722507974633</v>
      </c>
      <c r="V54" t="n">
        <v>8.84272208932677</v>
      </c>
      <c r="W54" t="n">
        <v>8.44971221869003</v>
      </c>
      <c r="X54" t="n">
        <v>8.92980950384287</v>
      </c>
      <c r="Y54" t="n">
        <v>7.77757601947605</v>
      </c>
      <c r="Z54" t="n">
        <v>16.819008142117</v>
      </c>
      <c r="AA54" t="n">
        <v>18.9828571428571</v>
      </c>
      <c r="AB54" t="n">
        <v>14.8303571428571</v>
      </c>
      <c r="AC54" t="n">
        <v>5.40178571428572</v>
      </c>
      <c r="AD54" t="n">
        <v>6.97321428571429</v>
      </c>
      <c r="AE54" t="n">
        <v>5.5</v>
      </c>
      <c r="AF54" t="n">
        <v>5.1</v>
      </c>
    </row>
    <row r="55">
      <c r="A55" t="s">
        <v>65</v>
      </c>
      <c r="B55" t="s">
        <v>380</v>
      </c>
      <c r="C55" t="s">
        <v>217</v>
      </c>
      <c r="D55" t="s">
        <v>381</v>
      </c>
      <c r="E55" t="s">
        <v>218</v>
      </c>
      <c r="F55" t="n">
        <v>0</v>
      </c>
      <c r="G55" t="n">
        <v>0</v>
      </c>
      <c r="H55" t="n">
        <v>0</v>
      </c>
      <c r="I55" t="n">
        <v>0.11544278338945</v>
      </c>
      <c r="J55" t="n">
        <v>0.11544278338945</v>
      </c>
      <c r="K55" t="n">
        <v>0.11544278338945</v>
      </c>
      <c r="L55" t="n">
        <v>0.11544278338945</v>
      </c>
      <c r="M55" t="n">
        <v>0.11544278338945</v>
      </c>
      <c r="N55" t="n">
        <v>0.11544278338945</v>
      </c>
      <c r="O55" t="n">
        <v>0.11544278338945</v>
      </c>
      <c r="P55" t="n">
        <v>0.11544278338945</v>
      </c>
      <c r="Q55" t="n">
        <v>0.11544278338945</v>
      </c>
      <c r="R55" t="n">
        <v>1.3853134006734</v>
      </c>
      <c r="S55" t="n">
        <v>1.3853134006734</v>
      </c>
      <c r="T55" t="n">
        <v>1.28636244348244</v>
      </c>
      <c r="U55" t="n">
        <v>0.890558614718614</v>
      </c>
      <c r="V55" t="n">
        <v>0.890558614718614</v>
      </c>
      <c r="W55" t="n">
        <v>0.890558614718614</v>
      </c>
      <c r="X55" t="n">
        <v>0.989509571909571</v>
      </c>
      <c r="Y55" t="n">
        <v>0.989509571909571</v>
      </c>
      <c r="Z55" t="n">
        <v>16.3269079365079</v>
      </c>
      <c r="AA55" t="n">
        <v>17.5288888888889</v>
      </c>
      <c r="AB55" t="n">
        <v>13.6</v>
      </c>
      <c r="AC55" t="n">
        <v>2.4</v>
      </c>
      <c r="AD55" t="n">
        <v>3.2</v>
      </c>
      <c r="AE55" t="n">
        <v>1.3</v>
      </c>
      <c r="AF55" t="n">
        <v>1</v>
      </c>
    </row>
    <row r="56">
      <c r="A56" t="s">
        <v>65</v>
      </c>
      <c r="B56" t="s">
        <v>382</v>
      </c>
      <c r="C56" t="s">
        <v>217</v>
      </c>
      <c r="D56" t="s">
        <v>383</v>
      </c>
      <c r="E56" t="s">
        <v>218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65</v>
      </c>
      <c r="B57" t="s">
        <v>384</v>
      </c>
      <c r="C57" t="s">
        <v>217</v>
      </c>
      <c r="D57" t="s">
        <v>385</v>
      </c>
      <c r="E57" t="s">
        <v>218</v>
      </c>
      <c r="F57" t="n">
        <v>1259.15972986181</v>
      </c>
      <c r="G57" t="n">
        <v>1293.9379547087</v>
      </c>
      <c r="H57" t="n">
        <v>1369.13816872042</v>
      </c>
      <c r="I57" t="n">
        <v>1468.15023384861</v>
      </c>
      <c r="J57" t="n">
        <v>1529.37603227834</v>
      </c>
      <c r="K57" t="n">
        <v>1583.8203383891</v>
      </c>
      <c r="L57" t="n">
        <v>1810.86837823911</v>
      </c>
      <c r="M57" t="n">
        <v>1830.08338032332</v>
      </c>
      <c r="N57" t="n">
        <v>1950.65926033997</v>
      </c>
      <c r="O57" t="n">
        <v>2058.65566117624</v>
      </c>
      <c r="P57" t="n">
        <v>2104.02257645136</v>
      </c>
      <c r="Q57" t="n">
        <v>2266.40803769327</v>
      </c>
      <c r="R57" t="n">
        <v>2681.8729518015</v>
      </c>
      <c r="S57" t="n">
        <v>2221.44328159178</v>
      </c>
      <c r="T57" t="n">
        <v>2042.70129075433</v>
      </c>
      <c r="U57" t="n">
        <v>1583.01117760661</v>
      </c>
      <c r="V57" t="n">
        <v>1440.62447277578</v>
      </c>
      <c r="W57" t="n">
        <v>1469.61582412777</v>
      </c>
      <c r="X57" t="n">
        <v>1608.14439552302</v>
      </c>
      <c r="Y57" t="n">
        <v>1473.7539567022</v>
      </c>
      <c r="Z57" t="n">
        <v>1677.99596797517</v>
      </c>
      <c r="AA57" t="n">
        <v>1678.59336759588</v>
      </c>
      <c r="AB57" t="n">
        <v>1905.56825328762</v>
      </c>
      <c r="AC57" t="n">
        <v>1882.54623408423</v>
      </c>
      <c r="AD57" t="n">
        <v>2201.71894711786</v>
      </c>
      <c r="AE57" t="n">
        <v>2485.5</v>
      </c>
      <c r="AF57" t="n">
        <v>2785.6</v>
      </c>
    </row>
    <row r="58">
      <c r="A58" t="s">
        <v>65</v>
      </c>
      <c r="B58" t="s">
        <v>386</v>
      </c>
      <c r="C58" t="s">
        <v>217</v>
      </c>
      <c r="D58" t="s">
        <v>387</v>
      </c>
      <c r="E58" t="s">
        <v>218</v>
      </c>
      <c r="F58" t="n">
        <v>1259.15972986181</v>
      </c>
      <c r="G58" t="n">
        <v>1293.9379547087</v>
      </c>
      <c r="H58" t="n">
        <v>1369.13816872042</v>
      </c>
      <c r="I58" t="n">
        <v>1468.15023384861</v>
      </c>
      <c r="J58" t="n">
        <v>1529.37603227834</v>
      </c>
      <c r="K58" t="n">
        <v>1583.8203383891</v>
      </c>
      <c r="L58" t="n">
        <v>1810.86837823911</v>
      </c>
      <c r="M58" t="n">
        <v>1830.08338032332</v>
      </c>
      <c r="N58" t="n">
        <v>1950.65926033997</v>
      </c>
      <c r="O58" t="n">
        <v>2058.65566117624</v>
      </c>
      <c r="P58" t="n">
        <v>2104.02257645136</v>
      </c>
      <c r="Q58" t="n">
        <v>2266.40803769327</v>
      </c>
      <c r="R58" t="n">
        <v>2681.8729518015</v>
      </c>
      <c r="S58" t="n">
        <v>2221.44328159178</v>
      </c>
      <c r="T58" t="n">
        <v>2042.70129075433</v>
      </c>
      <c r="U58" t="n">
        <v>1583.01117760661</v>
      </c>
      <c r="V58" t="n">
        <v>1440.62447277578</v>
      </c>
      <c r="W58" t="n">
        <v>1469.61582412777</v>
      </c>
      <c r="X58" t="n">
        <v>1608.14439552302</v>
      </c>
      <c r="Y58" t="n">
        <v>1473.7539567022</v>
      </c>
      <c r="Z58" t="n">
        <v>1677.99596797517</v>
      </c>
      <c r="AA58" t="n">
        <v>1678.59336759588</v>
      </c>
      <c r="AB58" t="n">
        <v>1905.56825328762</v>
      </c>
      <c r="AC58" t="n">
        <v>1882.54623408423</v>
      </c>
      <c r="AD58" t="n">
        <v>2201.71894711786</v>
      </c>
      <c r="AE58" t="n">
        <v>2485.5</v>
      </c>
      <c r="AF58" t="n">
        <v>2785.6</v>
      </c>
    </row>
    <row r="59">
      <c r="A59" t="s">
        <v>65</v>
      </c>
      <c r="B59" t="s">
        <v>388</v>
      </c>
      <c r="C59" t="s">
        <v>217</v>
      </c>
      <c r="D59" t="s">
        <v>389</v>
      </c>
      <c r="E59" t="s">
        <v>218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67</v>
      </c>
      <c r="B2" t="s">
        <v>197</v>
      </c>
      <c r="C2" t="s">
        <v>217</v>
      </c>
      <c r="D2" t="s">
        <v>199</v>
      </c>
      <c r="E2" t="s">
        <v>218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67</v>
      </c>
      <c r="B3" t="s">
        <v>276</v>
      </c>
      <c r="C3" t="s">
        <v>217</v>
      </c>
      <c r="D3" t="s">
        <v>277</v>
      </c>
      <c r="E3" t="s">
        <v>218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67</v>
      </c>
      <c r="B4" t="s">
        <v>278</v>
      </c>
      <c r="C4" t="s">
        <v>217</v>
      </c>
      <c r="D4" t="s">
        <v>279</v>
      </c>
      <c r="E4" t="s">
        <v>218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67</v>
      </c>
      <c r="B5" t="s">
        <v>280</v>
      </c>
      <c r="C5" t="s">
        <v>217</v>
      </c>
      <c r="D5" t="s">
        <v>281</v>
      </c>
      <c r="E5" t="s">
        <v>218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67</v>
      </c>
      <c r="B6" t="s">
        <v>282</v>
      </c>
      <c r="C6" t="s">
        <v>217</v>
      </c>
      <c r="D6" t="s">
        <v>283</v>
      </c>
      <c r="E6" t="s">
        <v>218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67</v>
      </c>
      <c r="B7" t="s">
        <v>284</v>
      </c>
      <c r="C7" t="s">
        <v>217</v>
      </c>
      <c r="D7" t="s">
        <v>285</v>
      </c>
      <c r="E7" t="s">
        <v>218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67</v>
      </c>
      <c r="B8" t="s">
        <v>286</v>
      </c>
      <c r="C8" t="s">
        <v>217</v>
      </c>
      <c r="D8" t="s">
        <v>287</v>
      </c>
      <c r="E8" t="s">
        <v>218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67</v>
      </c>
      <c r="B9" t="s">
        <v>288</v>
      </c>
      <c r="C9" t="s">
        <v>217</v>
      </c>
      <c r="D9" t="s">
        <v>289</v>
      </c>
      <c r="E9" t="s">
        <v>218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67</v>
      </c>
      <c r="B10" t="s">
        <v>290</v>
      </c>
      <c r="C10" t="s">
        <v>217</v>
      </c>
      <c r="D10" t="s">
        <v>291</v>
      </c>
      <c r="E10" t="s">
        <v>218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67</v>
      </c>
      <c r="B11" t="s">
        <v>292</v>
      </c>
      <c r="C11" t="s">
        <v>217</v>
      </c>
      <c r="D11" t="s">
        <v>293</v>
      </c>
      <c r="E11" t="s">
        <v>218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67</v>
      </c>
      <c r="B12" t="s">
        <v>294</v>
      </c>
      <c r="C12" t="s">
        <v>217</v>
      </c>
      <c r="D12" t="s">
        <v>295</v>
      </c>
      <c r="E12" t="s">
        <v>218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67</v>
      </c>
      <c r="B13" t="s">
        <v>296</v>
      </c>
      <c r="C13" t="s">
        <v>217</v>
      </c>
      <c r="D13" t="s">
        <v>297</v>
      </c>
      <c r="E13" t="s">
        <v>218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67</v>
      </c>
      <c r="B14" t="s">
        <v>298</v>
      </c>
      <c r="C14" t="s">
        <v>217</v>
      </c>
      <c r="D14" t="s">
        <v>299</v>
      </c>
      <c r="E14" t="s">
        <v>218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67</v>
      </c>
      <c r="B15" t="s">
        <v>300</v>
      </c>
      <c r="C15" t="s">
        <v>217</v>
      </c>
      <c r="D15" t="s">
        <v>301</v>
      </c>
      <c r="E15" t="s">
        <v>218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67</v>
      </c>
      <c r="B16" t="s">
        <v>302</v>
      </c>
      <c r="C16" t="s">
        <v>217</v>
      </c>
      <c r="D16" t="s">
        <v>303</v>
      </c>
      <c r="E16" t="s">
        <v>218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67</v>
      </c>
      <c r="B17" t="s">
        <v>304</v>
      </c>
      <c r="C17" t="s">
        <v>217</v>
      </c>
      <c r="D17" t="s">
        <v>305</v>
      </c>
      <c r="E17" t="s">
        <v>218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67</v>
      </c>
      <c r="B18" t="s">
        <v>306</v>
      </c>
      <c r="C18" t="s">
        <v>217</v>
      </c>
      <c r="D18" t="s">
        <v>307</v>
      </c>
      <c r="E18" t="s">
        <v>218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67</v>
      </c>
      <c r="B19" t="s">
        <v>308</v>
      </c>
      <c r="C19" t="s">
        <v>217</v>
      </c>
      <c r="D19" t="s">
        <v>309</v>
      </c>
      <c r="E19" t="s">
        <v>218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67</v>
      </c>
      <c r="B20" t="s">
        <v>310</v>
      </c>
      <c r="C20" t="s">
        <v>217</v>
      </c>
      <c r="D20" t="s">
        <v>311</v>
      </c>
      <c r="E20" t="s">
        <v>218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67</v>
      </c>
      <c r="B21" t="s">
        <v>312</v>
      </c>
      <c r="C21" t="s">
        <v>217</v>
      </c>
      <c r="D21" t="s">
        <v>313</v>
      </c>
      <c r="E21" t="s">
        <v>218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67</v>
      </c>
      <c r="B22" t="s">
        <v>314</v>
      </c>
      <c r="C22" t="s">
        <v>217</v>
      </c>
      <c r="D22" t="s">
        <v>315</v>
      </c>
      <c r="E22" t="s">
        <v>218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67</v>
      </c>
      <c r="B23" t="s">
        <v>316</v>
      </c>
      <c r="C23" t="s">
        <v>217</v>
      </c>
      <c r="D23" t="s">
        <v>317</v>
      </c>
      <c r="E23" t="s">
        <v>218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67</v>
      </c>
      <c r="B24" t="s">
        <v>318</v>
      </c>
      <c r="C24" t="s">
        <v>217</v>
      </c>
      <c r="D24" t="s">
        <v>319</v>
      </c>
      <c r="E24" t="s">
        <v>218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67</v>
      </c>
      <c r="B25" t="s">
        <v>320</v>
      </c>
      <c r="C25" t="s">
        <v>217</v>
      </c>
      <c r="D25" t="s">
        <v>321</v>
      </c>
      <c r="E25" t="s">
        <v>218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67</v>
      </c>
      <c r="B26" t="s">
        <v>322</v>
      </c>
      <c r="C26" t="s">
        <v>217</v>
      </c>
      <c r="D26" t="s">
        <v>323</v>
      </c>
      <c r="E26" t="s">
        <v>218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67</v>
      </c>
      <c r="B27" t="s">
        <v>324</v>
      </c>
      <c r="C27" t="s">
        <v>217</v>
      </c>
      <c r="D27" t="s">
        <v>325</v>
      </c>
      <c r="E27" t="s">
        <v>218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67</v>
      </c>
      <c r="B28" t="s">
        <v>326</v>
      </c>
      <c r="C28" t="s">
        <v>217</v>
      </c>
      <c r="D28" t="s">
        <v>327</v>
      </c>
      <c r="E28" t="s">
        <v>218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67</v>
      </c>
      <c r="B29" t="s">
        <v>328</v>
      </c>
      <c r="C29" t="s">
        <v>217</v>
      </c>
      <c r="D29" t="s">
        <v>329</v>
      </c>
      <c r="E29" t="s">
        <v>218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67</v>
      </c>
      <c r="B30" t="s">
        <v>330</v>
      </c>
      <c r="C30" t="s">
        <v>217</v>
      </c>
      <c r="D30" t="s">
        <v>331</v>
      </c>
      <c r="E30" t="s">
        <v>218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67</v>
      </c>
      <c r="B31" t="s">
        <v>332</v>
      </c>
      <c r="C31" t="s">
        <v>217</v>
      </c>
      <c r="D31" t="s">
        <v>333</v>
      </c>
      <c r="E31" t="s">
        <v>218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67</v>
      </c>
      <c r="B32" t="s">
        <v>334</v>
      </c>
      <c r="C32" t="s">
        <v>217</v>
      </c>
      <c r="D32" t="s">
        <v>335</v>
      </c>
      <c r="E32" t="s">
        <v>218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67</v>
      </c>
      <c r="B33" t="s">
        <v>336</v>
      </c>
      <c r="C33" t="s">
        <v>217</v>
      </c>
      <c r="D33" t="s">
        <v>337</v>
      </c>
      <c r="E33" t="s">
        <v>218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67</v>
      </c>
      <c r="B34" t="s">
        <v>338</v>
      </c>
      <c r="C34" t="s">
        <v>217</v>
      </c>
      <c r="D34" t="s">
        <v>339</v>
      </c>
      <c r="E34" t="s">
        <v>218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67</v>
      </c>
      <c r="B35" t="s">
        <v>340</v>
      </c>
      <c r="C35" t="s">
        <v>217</v>
      </c>
      <c r="D35" t="s">
        <v>341</v>
      </c>
      <c r="E35" t="s">
        <v>218</v>
      </c>
      <c r="F35" t="n">
        <v>25.838</v>
      </c>
      <c r="G35" t="n">
        <v>36.718</v>
      </c>
      <c r="H35" t="n">
        <v>34.207</v>
      </c>
      <c r="I35" t="n">
        <v>31.084</v>
      </c>
      <c r="J35" t="n">
        <v>30.364</v>
      </c>
      <c r="K35" t="n">
        <v>32.505</v>
      </c>
      <c r="L35" t="n">
        <v>45.455</v>
      </c>
      <c r="M35" t="n">
        <v>44.425</v>
      </c>
      <c r="N35" t="n">
        <v>45.184</v>
      </c>
      <c r="O35" t="n">
        <v>46.524</v>
      </c>
      <c r="P35" t="n">
        <v>141.696</v>
      </c>
      <c r="Q35" t="n">
        <v>181.288</v>
      </c>
      <c r="R35" t="n">
        <v>164.45</v>
      </c>
      <c r="S35" t="n">
        <v>157.366</v>
      </c>
      <c r="T35" t="n">
        <v>165.693</v>
      </c>
      <c r="U35" t="n">
        <v>143.809</v>
      </c>
      <c r="V35" t="n">
        <v>64.127</v>
      </c>
      <c r="W35" t="n">
        <v>60.51</v>
      </c>
      <c r="X35" t="n">
        <v>49.394</v>
      </c>
      <c r="Y35" t="n">
        <v>75.692</v>
      </c>
      <c r="Z35" t="n">
        <v>57.479</v>
      </c>
      <c r="AA35" t="n">
        <v>197.807</v>
      </c>
      <c r="AB35" t="n">
        <v>123.516</v>
      </c>
      <c r="AC35" t="n">
        <v>132.949</v>
      </c>
      <c r="AD35" t="n">
        <v>201.303</v>
      </c>
      <c r="AE35" t="n">
        <v>145.1</v>
      </c>
      <c r="AF35" t="n">
        <v>257.2</v>
      </c>
    </row>
    <row r="36">
      <c r="A36" t="s">
        <v>67</v>
      </c>
      <c r="B36" t="s">
        <v>342</v>
      </c>
      <c r="C36" t="s">
        <v>217</v>
      </c>
      <c r="D36" t="s">
        <v>343</v>
      </c>
      <c r="E36" t="s">
        <v>218</v>
      </c>
      <c r="F36" t="n">
        <v>25.332</v>
      </c>
      <c r="G36" t="n">
        <v>35.943</v>
      </c>
      <c r="H36" t="n">
        <v>33.568</v>
      </c>
      <c r="I36" t="n">
        <v>30.407</v>
      </c>
      <c r="J36" t="n">
        <v>29.687</v>
      </c>
      <c r="K36" t="n">
        <v>31.826</v>
      </c>
      <c r="L36" t="n">
        <v>44.297</v>
      </c>
      <c r="M36" t="n">
        <v>43.138</v>
      </c>
      <c r="N36" t="n">
        <v>44.153</v>
      </c>
      <c r="O36" t="n">
        <v>45.376</v>
      </c>
      <c r="P36" t="n">
        <v>142.289</v>
      </c>
      <c r="Q36" t="n">
        <v>182.13</v>
      </c>
      <c r="R36" t="n">
        <v>165.235</v>
      </c>
      <c r="S36" t="n">
        <v>158.017</v>
      </c>
      <c r="T36" t="n">
        <v>166.372</v>
      </c>
      <c r="U36" t="n">
        <v>144.412</v>
      </c>
      <c r="V36" t="n">
        <v>64.497</v>
      </c>
      <c r="W36" t="n">
        <v>60.865</v>
      </c>
      <c r="X36" t="n">
        <v>49.719</v>
      </c>
      <c r="Y36" t="n">
        <v>76.236</v>
      </c>
      <c r="Z36" t="n">
        <v>57.719</v>
      </c>
      <c r="AA36" t="n">
        <v>198.632</v>
      </c>
      <c r="AB36" t="n">
        <v>124.069</v>
      </c>
      <c r="AC36" t="n">
        <v>59.194</v>
      </c>
      <c r="AD36" t="n">
        <v>201.678</v>
      </c>
      <c r="AE36" t="n">
        <v>145.2</v>
      </c>
      <c r="AF36" t="n">
        <v>67</v>
      </c>
    </row>
    <row r="37">
      <c r="A37" t="s">
        <v>67</v>
      </c>
      <c r="B37" t="s">
        <v>344</v>
      </c>
      <c r="C37" t="s">
        <v>217</v>
      </c>
      <c r="D37" t="s">
        <v>345</v>
      </c>
      <c r="E37" t="s">
        <v>218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67</v>
      </c>
      <c r="B38" t="s">
        <v>346</v>
      </c>
      <c r="C38" t="s">
        <v>217</v>
      </c>
      <c r="D38" t="s">
        <v>347</v>
      </c>
      <c r="E38" t="s">
        <v>218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67</v>
      </c>
      <c r="B39" t="s">
        <v>348</v>
      </c>
      <c r="C39" t="s">
        <v>217</v>
      </c>
      <c r="D39" t="s">
        <v>349</v>
      </c>
      <c r="E39" t="s">
        <v>218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67</v>
      </c>
      <c r="B40" t="s">
        <v>350</v>
      </c>
      <c r="C40" t="s">
        <v>217</v>
      </c>
      <c r="D40" t="s">
        <v>351</v>
      </c>
      <c r="E40" t="s">
        <v>218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s">
        <v>67</v>
      </c>
      <c r="B41" t="s">
        <v>352</v>
      </c>
      <c r="C41" t="s">
        <v>217</v>
      </c>
      <c r="D41" t="s">
        <v>353</v>
      </c>
      <c r="E41" t="s">
        <v>218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67</v>
      </c>
      <c r="B42" t="s">
        <v>354</v>
      </c>
      <c r="C42" t="s">
        <v>217</v>
      </c>
      <c r="D42" t="s">
        <v>355</v>
      </c>
      <c r="E42" t="s">
        <v>218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67</v>
      </c>
      <c r="B43" t="s">
        <v>356</v>
      </c>
      <c r="C43" t="s">
        <v>217</v>
      </c>
      <c r="D43" t="s">
        <v>357</v>
      </c>
      <c r="E43" t="s">
        <v>218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67</v>
      </c>
      <c r="B44" t="s">
        <v>358</v>
      </c>
      <c r="C44" t="s">
        <v>217</v>
      </c>
      <c r="D44" t="s">
        <v>359</v>
      </c>
      <c r="E44" t="s">
        <v>218</v>
      </c>
      <c r="F44" t="n">
        <v>78.349</v>
      </c>
      <c r="G44" t="n">
        <v>111.678</v>
      </c>
      <c r="H44" t="n">
        <v>103.943</v>
      </c>
      <c r="I44" t="n">
        <v>94.131</v>
      </c>
      <c r="J44" t="n">
        <v>91.488</v>
      </c>
      <c r="K44" t="n">
        <v>97.316</v>
      </c>
      <c r="L44" t="n">
        <v>135.198</v>
      </c>
      <c r="M44" t="n">
        <v>131.328</v>
      </c>
      <c r="N44" t="n">
        <v>133.738</v>
      </c>
      <c r="O44" t="n">
        <v>138.882</v>
      </c>
      <c r="P44" t="n">
        <v>146.968</v>
      </c>
      <c r="Q44" t="n">
        <v>182.338</v>
      </c>
      <c r="R44" t="n">
        <v>165.711</v>
      </c>
      <c r="S44" t="n">
        <v>158.463</v>
      </c>
      <c r="T44" t="n">
        <v>166.858</v>
      </c>
      <c r="U44" t="n">
        <v>144.687</v>
      </c>
      <c r="V44" t="n">
        <v>64.294</v>
      </c>
      <c r="W44" t="n">
        <v>60.197</v>
      </c>
      <c r="X44" t="n">
        <v>48.964</v>
      </c>
      <c r="Y44" t="n">
        <v>74.846</v>
      </c>
      <c r="Z44" t="n">
        <v>56.91</v>
      </c>
      <c r="AA44" t="n">
        <v>196.724</v>
      </c>
      <c r="AB44" t="n">
        <v>122.803</v>
      </c>
      <c r="AC44" t="n">
        <v>131.582</v>
      </c>
      <c r="AD44" t="n">
        <v>200.318</v>
      </c>
      <c r="AE44" t="n">
        <v>144.8</v>
      </c>
      <c r="AF44" t="n">
        <v>257.5</v>
      </c>
    </row>
    <row r="45">
      <c r="A45" t="s">
        <v>67</v>
      </c>
      <c r="B45" t="s">
        <v>360</v>
      </c>
      <c r="C45" t="s">
        <v>217</v>
      </c>
      <c r="D45" t="s">
        <v>361</v>
      </c>
      <c r="E45" t="s">
        <v>218</v>
      </c>
      <c r="F45" t="n">
        <v>77.921</v>
      </c>
      <c r="G45" t="n">
        <v>111.315</v>
      </c>
      <c r="H45" t="n">
        <v>103.916</v>
      </c>
      <c r="I45" t="n">
        <v>94.107</v>
      </c>
      <c r="J45" t="n">
        <v>91.611</v>
      </c>
      <c r="K45" t="n">
        <v>97.447</v>
      </c>
      <c r="L45" t="n">
        <v>135.198</v>
      </c>
      <c r="M45" t="n">
        <v>131.328</v>
      </c>
      <c r="N45" t="n">
        <v>133.738</v>
      </c>
      <c r="O45" t="n">
        <v>138.882</v>
      </c>
      <c r="P45" t="n">
        <v>146.968</v>
      </c>
      <c r="Q45" t="n">
        <v>182.338</v>
      </c>
      <c r="R45" t="n">
        <v>165.711</v>
      </c>
      <c r="S45" t="n">
        <v>158.463</v>
      </c>
      <c r="T45" t="n">
        <v>166.858</v>
      </c>
      <c r="U45" t="n">
        <v>144.687</v>
      </c>
      <c r="V45" t="n">
        <v>64.294</v>
      </c>
      <c r="W45" t="n">
        <v>60.197</v>
      </c>
      <c r="X45" t="n">
        <v>48.964</v>
      </c>
      <c r="Y45" t="n">
        <v>74.846</v>
      </c>
      <c r="Z45" t="n">
        <v>56.91</v>
      </c>
      <c r="AA45" t="n">
        <v>196.724</v>
      </c>
      <c r="AB45" t="n">
        <v>122.803</v>
      </c>
      <c r="AC45" t="n">
        <v>131.582</v>
      </c>
      <c r="AD45" t="n">
        <v>200.318</v>
      </c>
      <c r="AE45" t="n">
        <v>144.8</v>
      </c>
      <c r="AF45" t="n">
        <v>257.5</v>
      </c>
    </row>
    <row r="46">
      <c r="A46" t="s">
        <v>67</v>
      </c>
      <c r="B46" t="s">
        <v>362</v>
      </c>
      <c r="C46" t="s">
        <v>217</v>
      </c>
      <c r="D46" t="s">
        <v>363</v>
      </c>
      <c r="E46" t="s">
        <v>218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67</v>
      </c>
      <c r="B47" t="s">
        <v>364</v>
      </c>
      <c r="C47" t="s">
        <v>217</v>
      </c>
      <c r="D47" t="s">
        <v>365</v>
      </c>
      <c r="E47" t="s">
        <v>218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s">
        <v>67</v>
      </c>
      <c r="B48" t="s">
        <v>366</v>
      </c>
      <c r="C48" t="s">
        <v>217</v>
      </c>
      <c r="D48" t="s">
        <v>367</v>
      </c>
      <c r="E48" t="s">
        <v>218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s">
        <v>67</v>
      </c>
      <c r="B49" t="s">
        <v>368</v>
      </c>
      <c r="C49" t="s">
        <v>217</v>
      </c>
      <c r="D49" t="s">
        <v>369</v>
      </c>
      <c r="E49" t="s">
        <v>218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67</v>
      </c>
      <c r="B50" t="s">
        <v>370</v>
      </c>
      <c r="C50" t="s">
        <v>217</v>
      </c>
      <c r="D50" t="s">
        <v>371</v>
      </c>
      <c r="E50" t="s">
        <v>218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67</v>
      </c>
      <c r="B51" t="s">
        <v>372</v>
      </c>
      <c r="C51" t="s">
        <v>217</v>
      </c>
      <c r="D51" t="s">
        <v>373</v>
      </c>
      <c r="E51" t="s">
        <v>218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67</v>
      </c>
      <c r="B52" t="s">
        <v>374</v>
      </c>
      <c r="C52" t="s">
        <v>217</v>
      </c>
      <c r="D52" t="s">
        <v>375</v>
      </c>
      <c r="E52" t="s">
        <v>218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67</v>
      </c>
      <c r="B53" t="s">
        <v>376</v>
      </c>
      <c r="C53" t="s">
        <v>217</v>
      </c>
      <c r="D53" t="s">
        <v>377</v>
      </c>
      <c r="E53" t="s">
        <v>218</v>
      </c>
      <c r="F53" t="n">
        <v>41.411</v>
      </c>
      <c r="G53" t="n">
        <v>58.949</v>
      </c>
      <c r="H53" t="n">
        <v>54.874</v>
      </c>
      <c r="I53" t="n">
        <v>49.476</v>
      </c>
      <c r="J53" t="n">
        <v>48.007</v>
      </c>
      <c r="K53" t="n">
        <v>51.17</v>
      </c>
      <c r="L53" t="n">
        <v>71.178</v>
      </c>
      <c r="M53" t="n">
        <v>69.442</v>
      </c>
      <c r="N53" t="n">
        <v>70.938</v>
      </c>
      <c r="O53" t="n">
        <v>73.1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67</v>
      </c>
      <c r="B54" t="s">
        <v>378</v>
      </c>
      <c r="C54" t="s">
        <v>217</v>
      </c>
      <c r="D54" t="s">
        <v>379</v>
      </c>
      <c r="E54" t="s">
        <v>218</v>
      </c>
      <c r="F54" t="n">
        <v>41.569</v>
      </c>
      <c r="G54" t="n">
        <v>59.321</v>
      </c>
      <c r="H54" t="n">
        <v>55.221</v>
      </c>
      <c r="I54" t="n">
        <v>49.789</v>
      </c>
      <c r="J54" t="n">
        <v>48.187</v>
      </c>
      <c r="K54" t="n">
        <v>51.248</v>
      </c>
      <c r="L54" t="n">
        <v>71.178</v>
      </c>
      <c r="M54" t="n">
        <v>69.442</v>
      </c>
      <c r="N54" t="n">
        <v>70.938</v>
      </c>
      <c r="O54" t="n">
        <v>73.1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s">
        <v>67</v>
      </c>
      <c r="B55" t="s">
        <v>380</v>
      </c>
      <c r="C55" t="s">
        <v>217</v>
      </c>
      <c r="D55" t="s">
        <v>381</v>
      </c>
      <c r="E55" t="s">
        <v>218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67</v>
      </c>
      <c r="B56" t="s">
        <v>382</v>
      </c>
      <c r="C56" t="s">
        <v>217</v>
      </c>
      <c r="D56" t="s">
        <v>383</v>
      </c>
      <c r="E56" t="s">
        <v>218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67</v>
      </c>
      <c r="B57" t="s">
        <v>384</v>
      </c>
      <c r="C57" t="s">
        <v>217</v>
      </c>
      <c r="D57" t="s">
        <v>385</v>
      </c>
      <c r="E57" t="s">
        <v>218</v>
      </c>
      <c r="F57" t="n">
        <v>79.044</v>
      </c>
      <c r="G57" t="n">
        <v>112.919</v>
      </c>
      <c r="H57" t="n">
        <v>105.209</v>
      </c>
      <c r="I57" t="n">
        <v>94.993</v>
      </c>
      <c r="J57" t="n">
        <v>92.513</v>
      </c>
      <c r="K57" t="n">
        <v>98.447</v>
      </c>
      <c r="L57" t="n">
        <v>136.811</v>
      </c>
      <c r="M57" t="n">
        <v>133.085</v>
      </c>
      <c r="N57" t="n">
        <v>135.36</v>
      </c>
      <c r="O57" t="n">
        <v>140.721</v>
      </c>
      <c r="P57" t="n">
        <v>146.654</v>
      </c>
      <c r="Q57" t="n">
        <v>181.977</v>
      </c>
      <c r="R57" t="n">
        <v>165.382</v>
      </c>
      <c r="S57" t="n">
        <v>164.834</v>
      </c>
      <c r="T57" t="n">
        <v>167.032</v>
      </c>
      <c r="U57" t="n">
        <v>144.112</v>
      </c>
      <c r="V57" t="n">
        <v>64.039</v>
      </c>
      <c r="W57" t="n">
        <v>60.049</v>
      </c>
      <c r="X57" t="n">
        <v>48.748</v>
      </c>
      <c r="Y57" t="n">
        <v>74.465</v>
      </c>
      <c r="Z57" t="n">
        <v>56.938</v>
      </c>
      <c r="AA57" t="n">
        <v>196.918</v>
      </c>
      <c r="AB57" t="n">
        <v>122.824</v>
      </c>
      <c r="AC57" t="n">
        <v>131.809</v>
      </c>
      <c r="AD57" t="n">
        <v>200.515</v>
      </c>
      <c r="AE57" t="n">
        <v>144.8</v>
      </c>
      <c r="AF57" t="n">
        <v>257.5</v>
      </c>
    </row>
    <row r="58">
      <c r="A58" t="s">
        <v>67</v>
      </c>
      <c r="B58" t="s">
        <v>386</v>
      </c>
      <c r="C58" t="s">
        <v>217</v>
      </c>
      <c r="D58" t="s">
        <v>387</v>
      </c>
      <c r="E58" t="s">
        <v>218</v>
      </c>
      <c r="F58" t="n">
        <v>79.044</v>
      </c>
      <c r="G58" t="n">
        <v>112.919</v>
      </c>
      <c r="H58" t="n">
        <v>105.209</v>
      </c>
      <c r="I58" t="n">
        <v>94.993</v>
      </c>
      <c r="J58" t="n">
        <v>92.513</v>
      </c>
      <c r="K58" t="n">
        <v>98.447</v>
      </c>
      <c r="L58" t="n">
        <v>136.811</v>
      </c>
      <c r="M58" t="n">
        <v>133.085</v>
      </c>
      <c r="N58" t="n">
        <v>135.36</v>
      </c>
      <c r="O58" t="n">
        <v>140.721</v>
      </c>
      <c r="P58" t="n">
        <v>146.654</v>
      </c>
      <c r="Q58" t="n">
        <v>181.977</v>
      </c>
      <c r="R58" t="n">
        <v>165.382</v>
      </c>
      <c r="S58" t="n">
        <v>164.834</v>
      </c>
      <c r="T58" t="n">
        <v>167.032</v>
      </c>
      <c r="U58" t="n">
        <v>144.112</v>
      </c>
      <c r="V58" t="n">
        <v>64.039</v>
      </c>
      <c r="W58" t="n">
        <v>60.049</v>
      </c>
      <c r="X58" t="n">
        <v>48.748</v>
      </c>
      <c r="Y58" t="n">
        <v>74.465</v>
      </c>
      <c r="Z58" t="n">
        <v>56.938</v>
      </c>
      <c r="AA58" t="n">
        <v>196.918</v>
      </c>
      <c r="AB58" t="n">
        <v>122.824</v>
      </c>
      <c r="AC58" t="n">
        <v>131.809</v>
      </c>
      <c r="AD58" t="n">
        <v>200.515</v>
      </c>
      <c r="AE58" t="n">
        <v>144.8</v>
      </c>
      <c r="AF58" t="n">
        <v>257.5</v>
      </c>
    </row>
    <row r="59">
      <c r="A59" t="s">
        <v>67</v>
      </c>
      <c r="B59" t="s">
        <v>388</v>
      </c>
      <c r="C59" t="s">
        <v>217</v>
      </c>
      <c r="D59" t="s">
        <v>389</v>
      </c>
      <c r="E59" t="s">
        <v>218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69</v>
      </c>
      <c r="B2" t="s">
        <v>197</v>
      </c>
      <c r="C2" t="s">
        <v>217</v>
      </c>
      <c r="D2" t="s">
        <v>199</v>
      </c>
      <c r="E2" t="s">
        <v>218</v>
      </c>
      <c r="F2" t="n">
        <v>786.090941056001</v>
      </c>
      <c r="G2" t="n">
        <v>883.72944238641</v>
      </c>
      <c r="H2" t="n">
        <v>1078.70030350045</v>
      </c>
      <c r="I2" t="n">
        <v>1138.47233118733</v>
      </c>
      <c r="J2" t="n">
        <v>1256.06271786351</v>
      </c>
      <c r="K2" t="n">
        <v>1356.03115199659</v>
      </c>
      <c r="L2" t="n">
        <v>1457.39503024124</v>
      </c>
      <c r="M2" t="n">
        <v>1165.43926906198</v>
      </c>
      <c r="N2" t="n">
        <v>1399.36533035473</v>
      </c>
      <c r="O2" t="n">
        <v>1506.11589125628</v>
      </c>
      <c r="P2" t="n">
        <v>1698.93147167029</v>
      </c>
      <c r="Q2" t="n">
        <v>1561.22985458007</v>
      </c>
      <c r="R2" t="n">
        <v>2105.26960550365</v>
      </c>
      <c r="S2" t="n">
        <v>2524.94383213997</v>
      </c>
      <c r="T2" t="n">
        <v>2032.53995289801</v>
      </c>
      <c r="U2" t="n">
        <v>2090.31396411539</v>
      </c>
      <c r="V2" t="n">
        <v>1471.59626071147</v>
      </c>
      <c r="W2" t="n">
        <v>1268.55526205978</v>
      </c>
      <c r="X2" t="n">
        <v>1799.68152177655</v>
      </c>
      <c r="Y2" t="n">
        <v>1335.82221443576</v>
      </c>
      <c r="Z2" t="n">
        <v>1591.81707044514</v>
      </c>
      <c r="AA2" t="n">
        <v>1813.73177604748</v>
      </c>
      <c r="AB2" t="n">
        <v>1802.6373815991</v>
      </c>
      <c r="AC2" t="n">
        <v>2059.28030829066</v>
      </c>
      <c r="AD2" t="n">
        <v>2251.47579129932</v>
      </c>
      <c r="AE2" t="n">
        <v>2076.6</v>
      </c>
      <c r="AF2" t="n">
        <v>2526.3</v>
      </c>
    </row>
    <row r="3">
      <c r="A3" t="s">
        <v>69</v>
      </c>
      <c r="B3" t="s">
        <v>276</v>
      </c>
      <c r="C3" t="s">
        <v>217</v>
      </c>
      <c r="D3" t="s">
        <v>277</v>
      </c>
      <c r="E3" t="s">
        <v>218</v>
      </c>
      <c r="F3" t="n">
        <v>77.7091662319428</v>
      </c>
      <c r="G3" t="n">
        <v>88.4708221030331</v>
      </c>
      <c r="H3" t="n">
        <v>97.0590800997371</v>
      </c>
      <c r="I3" t="n">
        <v>108.697130449298</v>
      </c>
      <c r="J3" t="n">
        <v>116.537931361155</v>
      </c>
      <c r="K3" t="n">
        <v>124.053093147387</v>
      </c>
      <c r="L3" t="n">
        <v>93.6790052127013</v>
      </c>
      <c r="M3" t="n">
        <v>58.1732580549965</v>
      </c>
      <c r="N3" t="n">
        <v>73.4925497631109</v>
      </c>
      <c r="O3" t="n">
        <v>80.8817463425541</v>
      </c>
      <c r="P3" t="n">
        <v>104.965641035126</v>
      </c>
      <c r="Q3" t="n">
        <v>133.456315030375</v>
      </c>
      <c r="R3" t="n">
        <v>181.465672544935</v>
      </c>
      <c r="S3" t="n">
        <v>189.623564776438</v>
      </c>
      <c r="T3" t="n">
        <v>190.642548270595</v>
      </c>
      <c r="U3" t="n">
        <v>163.488157799833</v>
      </c>
      <c r="V3" t="n">
        <v>194.247047237658</v>
      </c>
      <c r="W3" t="n">
        <v>144.28715409016</v>
      </c>
      <c r="X3" t="n">
        <v>123.661310100664</v>
      </c>
      <c r="Y3" t="n">
        <v>113.167116353589</v>
      </c>
      <c r="Z3" t="n">
        <v>166.427895369363</v>
      </c>
      <c r="AA3" t="n">
        <v>345.695634256622</v>
      </c>
      <c r="AB3" t="n">
        <v>294.057286099719</v>
      </c>
      <c r="AC3" t="n">
        <v>195.233105760936</v>
      </c>
      <c r="AD3" t="n">
        <v>257.803962460897</v>
      </c>
      <c r="AE3" t="n">
        <v>96.2</v>
      </c>
      <c r="AF3" t="n">
        <v>156.9</v>
      </c>
    </row>
    <row r="4">
      <c r="A4" t="s">
        <v>69</v>
      </c>
      <c r="B4" t="s">
        <v>278</v>
      </c>
      <c r="C4" t="s">
        <v>217</v>
      </c>
      <c r="D4" t="s">
        <v>279</v>
      </c>
      <c r="E4" t="s">
        <v>218</v>
      </c>
      <c r="F4" t="n">
        <v>1580.09575521384</v>
      </c>
      <c r="G4" t="n">
        <v>1970.35551877439</v>
      </c>
      <c r="H4" t="n">
        <v>2221.92815085131</v>
      </c>
      <c r="I4" t="n">
        <v>2524.39282891438</v>
      </c>
      <c r="J4" t="n">
        <v>2756.3993792612</v>
      </c>
      <c r="K4" t="n">
        <v>3279.47003785963</v>
      </c>
      <c r="L4" t="n">
        <v>3301.20971156997</v>
      </c>
      <c r="M4" t="n">
        <v>2114.01749012729</v>
      </c>
      <c r="N4" t="n">
        <v>2077.15356081941</v>
      </c>
      <c r="O4" t="n">
        <v>2505.24632789124</v>
      </c>
      <c r="P4" t="n">
        <v>2071.92610547982</v>
      </c>
      <c r="Q4" t="n">
        <v>2786.71493541438</v>
      </c>
      <c r="R4" t="n">
        <v>2723.57966239381</v>
      </c>
      <c r="S4" t="n">
        <v>3242.24342350839</v>
      </c>
      <c r="T4" t="n">
        <v>3136.38330364509</v>
      </c>
      <c r="U4" t="n">
        <v>2678.17138773339</v>
      </c>
      <c r="V4" t="n">
        <v>2075.90270263733</v>
      </c>
      <c r="W4" t="n">
        <v>2910.61257546458</v>
      </c>
      <c r="X4" t="n">
        <v>1215.21566164787</v>
      </c>
      <c r="Y4" t="n">
        <v>1803.7842142792</v>
      </c>
      <c r="Z4" t="n">
        <v>1688.01130229373</v>
      </c>
      <c r="AA4" t="n">
        <v>1791.55046628927</v>
      </c>
      <c r="AB4" t="n">
        <v>1822.9084158432</v>
      </c>
      <c r="AC4" t="n">
        <v>2359.46677208128</v>
      </c>
      <c r="AD4" t="n">
        <v>2374.52399462168</v>
      </c>
      <c r="AE4" t="n">
        <v>2459.4</v>
      </c>
      <c r="AF4" t="n">
        <v>2424.4</v>
      </c>
    </row>
    <row r="5">
      <c r="A5" t="s">
        <v>69</v>
      </c>
      <c r="B5" t="s">
        <v>280</v>
      </c>
      <c r="C5" t="s">
        <v>217</v>
      </c>
      <c r="D5" t="s">
        <v>281</v>
      </c>
      <c r="E5" t="s">
        <v>218</v>
      </c>
      <c r="F5" t="n">
        <v>308.255768389609</v>
      </c>
      <c r="G5" t="n">
        <v>384.5224972929</v>
      </c>
      <c r="H5" t="n">
        <v>416.503331216478</v>
      </c>
      <c r="I5" t="n">
        <v>493.390647827743</v>
      </c>
      <c r="J5" t="n">
        <v>551.9952646824</v>
      </c>
      <c r="K5" t="n">
        <v>631.53382286343</v>
      </c>
      <c r="L5" t="n">
        <v>657.979020363947</v>
      </c>
      <c r="M5" t="n">
        <v>482.23182258485</v>
      </c>
      <c r="N5" t="n">
        <v>538.855454716662</v>
      </c>
      <c r="O5" t="n">
        <v>699.340194452051</v>
      </c>
      <c r="P5" t="n">
        <v>458.225687088403</v>
      </c>
      <c r="Q5" t="n">
        <v>579.100052797712</v>
      </c>
      <c r="R5" t="n">
        <v>773.871190468963</v>
      </c>
      <c r="S5" t="n">
        <v>873.926644175924</v>
      </c>
      <c r="T5" t="n">
        <v>685.870280867798</v>
      </c>
      <c r="U5" t="n">
        <v>693.89215549783</v>
      </c>
      <c r="V5" t="n">
        <v>425.883536403653</v>
      </c>
      <c r="W5" t="n">
        <v>291.299971881781</v>
      </c>
      <c r="X5" t="n">
        <v>451.993150625047</v>
      </c>
      <c r="Y5" t="n">
        <v>545.780483533133</v>
      </c>
      <c r="Z5" t="n">
        <v>613.902716680008</v>
      </c>
      <c r="AA5" t="n">
        <v>605.537271681741</v>
      </c>
      <c r="AB5" t="n">
        <v>588.343128340185</v>
      </c>
      <c r="AC5" t="n">
        <v>919.960207702736</v>
      </c>
      <c r="AD5" t="n">
        <v>668.267293734262</v>
      </c>
      <c r="AE5" t="n">
        <v>677.5</v>
      </c>
      <c r="AF5" t="n">
        <v>807.5</v>
      </c>
    </row>
    <row r="6">
      <c r="A6" t="s">
        <v>69</v>
      </c>
      <c r="B6" t="s">
        <v>282</v>
      </c>
      <c r="C6" t="s">
        <v>217</v>
      </c>
      <c r="D6" t="s">
        <v>283</v>
      </c>
      <c r="E6" t="s">
        <v>218</v>
      </c>
      <c r="F6" t="n">
        <v>148.951248276583</v>
      </c>
      <c r="G6" t="n">
        <v>190.21476975861</v>
      </c>
      <c r="H6" t="n">
        <v>206.433709374391</v>
      </c>
      <c r="I6" t="n">
        <v>242.04957548086</v>
      </c>
      <c r="J6" t="n">
        <v>268.368887828415</v>
      </c>
      <c r="K6" t="n">
        <v>320.53944592356</v>
      </c>
      <c r="L6" t="n">
        <v>330.917391936439</v>
      </c>
      <c r="M6" t="n">
        <v>135.132458245649</v>
      </c>
      <c r="N6" t="n">
        <v>138.781868769259</v>
      </c>
      <c r="O6" t="n">
        <v>177.739995743205</v>
      </c>
      <c r="P6" t="n">
        <v>110.132738361208</v>
      </c>
      <c r="Q6" t="n">
        <v>14.0879413216485</v>
      </c>
      <c r="R6" t="n">
        <v>114.975779173453</v>
      </c>
      <c r="S6" t="n">
        <v>64.6403486332868</v>
      </c>
      <c r="T6" t="n">
        <v>88.3213447404611</v>
      </c>
      <c r="U6" t="n">
        <v>-13.0846436652535</v>
      </c>
      <c r="V6" t="n">
        <v>60.225209198975</v>
      </c>
      <c r="W6" t="n">
        <v>-1.69774328602452</v>
      </c>
      <c r="X6" t="n">
        <v>29.8603083836077</v>
      </c>
      <c r="Y6" t="n">
        <v>49.1993671689643</v>
      </c>
      <c r="Z6" t="n">
        <v>43.8340040826369</v>
      </c>
      <c r="AA6" t="n">
        <v>95.3795459205526</v>
      </c>
      <c r="AB6" t="n">
        <v>93.3501938796898</v>
      </c>
      <c r="AC6" t="n">
        <v>21.0138964577657</v>
      </c>
      <c r="AD6" t="n">
        <v>35.5929155313351</v>
      </c>
      <c r="AE6" t="n">
        <v>36.9</v>
      </c>
      <c r="AF6" t="n">
        <v>41.3</v>
      </c>
    </row>
    <row r="7">
      <c r="A7" t="s">
        <v>69</v>
      </c>
      <c r="B7" t="s">
        <v>284</v>
      </c>
      <c r="C7" t="s">
        <v>217</v>
      </c>
      <c r="D7" t="s">
        <v>285</v>
      </c>
      <c r="E7" t="s">
        <v>218</v>
      </c>
      <c r="F7" t="n">
        <v>158.781451995985</v>
      </c>
      <c r="G7" t="n">
        <v>200.594811988043</v>
      </c>
      <c r="H7" t="n">
        <v>214.207520099908</v>
      </c>
      <c r="I7" t="n">
        <v>259.513468569615</v>
      </c>
      <c r="J7" t="n">
        <v>280.369345495758</v>
      </c>
      <c r="K7" t="n">
        <v>330.627614854792</v>
      </c>
      <c r="L7" t="n">
        <v>213.024920262836</v>
      </c>
      <c r="M7" t="n">
        <v>206.00709610965</v>
      </c>
      <c r="N7" t="n">
        <v>106.333525772762</v>
      </c>
      <c r="O7" t="n">
        <v>214.46360530726</v>
      </c>
      <c r="P7" t="n">
        <v>47.9179957944163</v>
      </c>
      <c r="Q7" t="n">
        <v>331.987410677519</v>
      </c>
      <c r="R7" t="n">
        <v>316.363206020511</v>
      </c>
      <c r="S7" t="n">
        <v>187.682049026206</v>
      </c>
      <c r="T7" t="n">
        <v>130.458133142596</v>
      </c>
      <c r="U7" t="n">
        <v>140.779187979827</v>
      </c>
      <c r="V7" t="n">
        <v>105.355357598786</v>
      </c>
      <c r="W7" t="n">
        <v>54.3899551657213</v>
      </c>
      <c r="X7" t="n">
        <v>75.9255727727748</v>
      </c>
      <c r="Y7" t="n">
        <v>142.511094926677</v>
      </c>
      <c r="Z7" t="n">
        <v>114.292077549428</v>
      </c>
      <c r="AA7" t="n">
        <v>173.412160179071</v>
      </c>
      <c r="AB7" t="n">
        <v>173.108283730159</v>
      </c>
      <c r="AC7" t="n">
        <v>135.581313131313</v>
      </c>
      <c r="AD7" t="n">
        <v>106.937373737374</v>
      </c>
      <c r="AE7" t="n">
        <v>139.3</v>
      </c>
      <c r="AF7" t="n">
        <v>138.8</v>
      </c>
    </row>
    <row r="8">
      <c r="A8" t="s">
        <v>69</v>
      </c>
      <c r="B8" t="s">
        <v>286</v>
      </c>
      <c r="C8" t="s">
        <v>217</v>
      </c>
      <c r="D8" t="s">
        <v>287</v>
      </c>
      <c r="E8" t="s">
        <v>218</v>
      </c>
      <c r="F8" t="n">
        <v>103.772386778084</v>
      </c>
      <c r="G8" t="n">
        <v>138.630292761456</v>
      </c>
      <c r="H8" t="n">
        <v>153.57170200941</v>
      </c>
      <c r="I8" t="n">
        <v>162.938836321381</v>
      </c>
      <c r="J8" t="n">
        <v>175.546483936521</v>
      </c>
      <c r="K8" t="n">
        <v>247.727273738763</v>
      </c>
      <c r="L8" t="n">
        <v>92.1110648312722</v>
      </c>
      <c r="M8" t="n">
        <v>72.4771594165674</v>
      </c>
      <c r="N8" t="n">
        <v>78.4142373904129</v>
      </c>
      <c r="O8" t="n">
        <v>47.0708508943873</v>
      </c>
      <c r="P8" t="n">
        <v>454.722182225024</v>
      </c>
      <c r="Q8" t="n">
        <v>40.7213894529873</v>
      </c>
      <c r="R8" t="n">
        <v>52.3560721538408</v>
      </c>
      <c r="S8" t="n">
        <v>514.765729180549</v>
      </c>
      <c r="T8" t="n">
        <v>599.95369731938</v>
      </c>
      <c r="U8" t="n">
        <v>519.878369404108</v>
      </c>
      <c r="V8" t="n">
        <v>563.328465499589</v>
      </c>
      <c r="W8" t="n">
        <v>2094.36136354535</v>
      </c>
      <c r="X8" t="n">
        <v>211.702186762504</v>
      </c>
      <c r="Y8" t="n">
        <v>218.738531120217</v>
      </c>
      <c r="Z8" t="n">
        <v>287.132545277564</v>
      </c>
      <c r="AA8" t="n">
        <v>183.960184926235</v>
      </c>
      <c r="AB8" t="n">
        <v>216.650681364562</v>
      </c>
      <c r="AC8" t="n">
        <v>213.822607202227</v>
      </c>
      <c r="AD8" t="n">
        <v>413.262978830645</v>
      </c>
      <c r="AE8" t="n">
        <v>398.5</v>
      </c>
      <c r="AF8" t="n">
        <v>190</v>
      </c>
    </row>
    <row r="9">
      <c r="A9" t="s">
        <v>69</v>
      </c>
      <c r="B9" t="s">
        <v>288</v>
      </c>
      <c r="C9" t="s">
        <v>217</v>
      </c>
      <c r="D9" t="s">
        <v>289</v>
      </c>
      <c r="E9" t="s">
        <v>218</v>
      </c>
      <c r="F9" t="n">
        <v>92.0807428868107</v>
      </c>
      <c r="G9" t="n">
        <v>109.228799856342</v>
      </c>
      <c r="H9" t="n">
        <v>116.82732506374</v>
      </c>
      <c r="I9" t="n">
        <v>136.167866573173</v>
      </c>
      <c r="J9" t="n">
        <v>146.116203857058</v>
      </c>
      <c r="K9" t="n">
        <v>167.804359645849</v>
      </c>
      <c r="L9" t="n">
        <v>253.682822077023</v>
      </c>
      <c r="M9" t="n">
        <v>93.2829988673603</v>
      </c>
      <c r="N9" t="n">
        <v>92.1198692056725</v>
      </c>
      <c r="O9" t="n">
        <v>154.02899869669</v>
      </c>
      <c r="P9" t="n">
        <v>109.270386770002</v>
      </c>
      <c r="Q9" t="n">
        <v>102.816073769079</v>
      </c>
      <c r="R9" t="n">
        <v>153.895274596788</v>
      </c>
      <c r="S9" t="n">
        <v>151.426940345933</v>
      </c>
      <c r="T9" t="n">
        <v>166.901984318185</v>
      </c>
      <c r="U9" t="n">
        <v>45.6033302876826</v>
      </c>
      <c r="V9" t="n">
        <v>85.0928075038297</v>
      </c>
      <c r="W9" t="n">
        <v>63.2995389929537</v>
      </c>
      <c r="X9" t="n">
        <v>114.216539059273</v>
      </c>
      <c r="Y9" t="n">
        <v>75.6473335283785</v>
      </c>
      <c r="Z9" t="n">
        <v>-11.8230269620512</v>
      </c>
      <c r="AA9" t="n">
        <v>75.7475286721247</v>
      </c>
      <c r="AB9" t="n">
        <v>84.4992351720913</v>
      </c>
      <c r="AC9" t="n">
        <v>99.8172244864633</v>
      </c>
      <c r="AD9" t="n">
        <v>129.192864125122</v>
      </c>
      <c r="AE9" t="n">
        <v>101.9</v>
      </c>
      <c r="AF9" t="n">
        <v>154.5</v>
      </c>
    </row>
    <row r="10">
      <c r="A10" t="s">
        <v>69</v>
      </c>
      <c r="B10" t="s">
        <v>290</v>
      </c>
      <c r="C10" t="s">
        <v>217</v>
      </c>
      <c r="D10" t="s">
        <v>291</v>
      </c>
      <c r="E10" t="s">
        <v>218</v>
      </c>
      <c r="F10" t="n">
        <v>179.608767847992</v>
      </c>
      <c r="G10" t="n">
        <v>203.339881065917</v>
      </c>
      <c r="H10" t="n">
        <v>214.203034982907</v>
      </c>
      <c r="I10" t="n">
        <v>252.107275741199</v>
      </c>
      <c r="J10" t="n">
        <v>272.521952534441</v>
      </c>
      <c r="K10" t="n">
        <v>306.656575917064</v>
      </c>
      <c r="L10" t="n">
        <v>448.11817958672</v>
      </c>
      <c r="M10" t="n">
        <v>199.440818866753</v>
      </c>
      <c r="N10" t="n">
        <v>202.937508548183</v>
      </c>
      <c r="O10" t="n">
        <v>304.152907630579</v>
      </c>
      <c r="P10" t="n">
        <v>235.129739548022</v>
      </c>
      <c r="Q10" t="n">
        <v>262.335850773212</v>
      </c>
      <c r="R10" t="n">
        <v>376.711891406453</v>
      </c>
      <c r="S10" t="n">
        <v>382.797327365799</v>
      </c>
      <c r="T10" t="n">
        <v>551.277704458837</v>
      </c>
      <c r="U10" t="n">
        <v>60.9542827694323</v>
      </c>
      <c r="V10" t="n">
        <v>184.374111517456</v>
      </c>
      <c r="W10" t="n">
        <v>134.905482986316</v>
      </c>
      <c r="X10" t="n">
        <v>258.56884239044</v>
      </c>
      <c r="Y10" t="n">
        <v>187.871786886645</v>
      </c>
      <c r="Z10" t="n">
        <v>77.3706408508886</v>
      </c>
      <c r="AA10" t="n">
        <v>188.515771296012</v>
      </c>
      <c r="AB10" t="n">
        <v>197.166975314933</v>
      </c>
      <c r="AC10" t="n">
        <v>317.607887683872</v>
      </c>
      <c r="AD10" t="n">
        <v>345.755412613743</v>
      </c>
      <c r="AE10" t="n">
        <v>317.1</v>
      </c>
      <c r="AF10" t="n">
        <v>386.7</v>
      </c>
    </row>
    <row r="11">
      <c r="A11" t="s">
        <v>69</v>
      </c>
      <c r="B11" t="s">
        <v>292</v>
      </c>
      <c r="C11" t="s">
        <v>217</v>
      </c>
      <c r="D11" t="s">
        <v>293</v>
      </c>
      <c r="E11" t="s">
        <v>218</v>
      </c>
      <c r="F11" t="n">
        <v>105.575577607418</v>
      </c>
      <c r="G11" t="n">
        <v>111.69261751171</v>
      </c>
      <c r="H11" t="n">
        <v>114.889925264908</v>
      </c>
      <c r="I11" t="n">
        <v>137.29753480239</v>
      </c>
      <c r="J11" t="n">
        <v>150.096457538206</v>
      </c>
      <c r="K11" t="n">
        <v>163.672060704082</v>
      </c>
      <c r="L11" t="n">
        <v>226.111289279679</v>
      </c>
      <c r="M11" t="n">
        <v>130.858971573532</v>
      </c>
      <c r="N11" t="n">
        <v>137.419651720172</v>
      </c>
      <c r="O11" t="n">
        <v>181.904306856689</v>
      </c>
      <c r="P11" t="n">
        <v>155.099130962145</v>
      </c>
      <c r="Q11" t="n">
        <v>200.726176895982</v>
      </c>
      <c r="R11" t="n">
        <v>279.13234464135</v>
      </c>
      <c r="S11" t="n">
        <v>290.860594416196</v>
      </c>
      <c r="T11" t="n">
        <v>492.709754992506</v>
      </c>
      <c r="U11" t="n">
        <v>15.3506064017629</v>
      </c>
      <c r="V11" t="n">
        <v>100.392965867529</v>
      </c>
      <c r="W11" t="n">
        <v>72.4178508728225</v>
      </c>
      <c r="X11" t="n">
        <v>145.813000677802</v>
      </c>
      <c r="Y11" t="n">
        <v>113.181462219665</v>
      </c>
      <c r="Z11" t="n">
        <v>89.2334969914477</v>
      </c>
      <c r="AA11" t="n">
        <v>112.795150691437</v>
      </c>
      <c r="AB11" t="n">
        <v>112.694530574852</v>
      </c>
      <c r="AC11" t="n">
        <v>217.789429984053</v>
      </c>
      <c r="AD11" t="n">
        <v>216.592236598891</v>
      </c>
      <c r="AE11" t="n">
        <v>215.2</v>
      </c>
      <c r="AF11" t="n">
        <v>232.2</v>
      </c>
    </row>
    <row r="12">
      <c r="A12" t="s">
        <v>69</v>
      </c>
      <c r="B12" t="s">
        <v>294</v>
      </c>
      <c r="C12" t="s">
        <v>217</v>
      </c>
      <c r="D12" t="s">
        <v>295</v>
      </c>
      <c r="E12" t="s">
        <v>218</v>
      </c>
      <c r="F12" t="n">
        <v>241.721700515955</v>
      </c>
      <c r="G12" t="n">
        <v>300.825679355741</v>
      </c>
      <c r="H12" t="n">
        <v>419.264709106017</v>
      </c>
      <c r="I12" t="n">
        <v>407.844575041698</v>
      </c>
      <c r="J12" t="n">
        <v>468.106262751489</v>
      </c>
      <c r="K12" t="n">
        <v>527.64965793907</v>
      </c>
      <c r="L12" t="n">
        <v>383.448664232421</v>
      </c>
      <c r="M12" t="n">
        <v>266.194854438344</v>
      </c>
      <c r="N12" t="n">
        <v>321.239282568688</v>
      </c>
      <c r="O12" t="n">
        <v>264.831842443067</v>
      </c>
      <c r="P12" t="n">
        <v>202.838351604239</v>
      </c>
      <c r="Q12" t="n">
        <v>282.374327512986</v>
      </c>
      <c r="R12" t="n">
        <v>383.41695992669</v>
      </c>
      <c r="S12" t="n">
        <v>343.700053210516</v>
      </c>
      <c r="T12" t="n">
        <v>388.979104230962</v>
      </c>
      <c r="U12" t="n">
        <v>285.94894315168</v>
      </c>
      <c r="V12" t="n">
        <v>242.072121745323</v>
      </c>
      <c r="W12" t="n">
        <v>69.433855496498</v>
      </c>
      <c r="X12" t="n">
        <v>140.166473757679</v>
      </c>
      <c r="Y12" t="n">
        <v>173.906546369348</v>
      </c>
      <c r="Z12" t="n">
        <v>155.611175595232</v>
      </c>
      <c r="AA12" t="n">
        <v>160.348044282393</v>
      </c>
      <c r="AB12" t="n">
        <v>159.034544234711</v>
      </c>
      <c r="AC12" t="n">
        <v>193.782433887007</v>
      </c>
      <c r="AD12" t="n">
        <v>226.999412455934</v>
      </c>
      <c r="AE12" t="n">
        <v>170.5</v>
      </c>
      <c r="AF12" t="n">
        <v>160.2</v>
      </c>
    </row>
    <row r="13">
      <c r="A13" t="s">
        <v>69</v>
      </c>
      <c r="B13" t="s">
        <v>296</v>
      </c>
      <c r="C13" t="s">
        <v>217</v>
      </c>
      <c r="D13" t="s">
        <v>297</v>
      </c>
      <c r="E13" t="s">
        <v>218</v>
      </c>
      <c r="F13" t="n">
        <v>282.496442543051</v>
      </c>
      <c r="G13" t="n">
        <v>360.852107755041</v>
      </c>
      <c r="H13" t="n">
        <v>385.405200863238</v>
      </c>
      <c r="I13" t="n">
        <v>460.893030559876</v>
      </c>
      <c r="J13" t="n">
        <v>478.480689331894</v>
      </c>
      <c r="K13" t="n">
        <v>594.461302668935</v>
      </c>
      <c r="L13" t="n">
        <v>634.17797227965</v>
      </c>
      <c r="M13" t="n">
        <v>404.120647434219</v>
      </c>
      <c r="N13" t="n">
        <v>411.777910833001</v>
      </c>
      <c r="O13" t="n">
        <v>485.459704086548</v>
      </c>
      <c r="P13" t="n">
        <v>289.125767818445</v>
      </c>
      <c r="Q13" t="n">
        <v>771.412631487711</v>
      </c>
      <c r="R13" t="n">
        <v>411.491996712466</v>
      </c>
      <c r="S13" t="n">
        <v>500.423275262747</v>
      </c>
      <c r="T13" t="n">
        <v>394.378753687561</v>
      </c>
      <c r="U13" t="n">
        <v>718.919603076284</v>
      </c>
      <c r="V13" t="n">
        <v>288.322023972612</v>
      </c>
      <c r="W13" t="n">
        <v>191.809593749255</v>
      </c>
      <c r="X13" t="n">
        <v>-91.8453345730557</v>
      </c>
      <c r="Y13" t="n">
        <v>217.427716385118</v>
      </c>
      <c r="Z13" t="n">
        <v>250.59808428015</v>
      </c>
      <c r="AA13" t="n">
        <v>226.987346861114</v>
      </c>
      <c r="AB13" t="n">
        <v>234.087040462668</v>
      </c>
      <c r="AC13" t="n">
        <v>367.836643141855</v>
      </c>
      <c r="AD13" t="n">
        <v>325.301131920148</v>
      </c>
      <c r="AE13" t="n">
        <v>487.4</v>
      </c>
      <c r="AF13" t="n">
        <v>402</v>
      </c>
    </row>
    <row r="14">
      <c r="A14" t="s">
        <v>69</v>
      </c>
      <c r="B14" t="s">
        <v>298</v>
      </c>
      <c r="C14" t="s">
        <v>217</v>
      </c>
      <c r="D14" t="s">
        <v>299</v>
      </c>
      <c r="E14" t="s">
        <v>218</v>
      </c>
      <c r="F14" t="n">
        <v>40.3688538396364</v>
      </c>
      <c r="G14" t="n">
        <v>45.1085168410512</v>
      </c>
      <c r="H14" t="n">
        <v>46.6639829390185</v>
      </c>
      <c r="I14" t="n">
        <v>53.0542735962727</v>
      </c>
      <c r="J14" t="n">
        <v>56.8946633740189</v>
      </c>
      <c r="K14" t="n">
        <v>71.8522284379502</v>
      </c>
      <c r="L14" t="n">
        <v>328.175168596103</v>
      </c>
      <c r="M14" t="n">
        <v>64.9693640060438</v>
      </c>
      <c r="N14" t="n">
        <v>84.6051352776474</v>
      </c>
      <c r="O14" t="n">
        <v>82.7856700028593</v>
      </c>
      <c r="P14" t="n">
        <v>65.9978638567686</v>
      </c>
      <c r="Q14" t="n">
        <v>73.3866190134088</v>
      </c>
      <c r="R14" t="n">
        <v>64.3204924574952</v>
      </c>
      <c r="S14" t="n">
        <v>54.0004134437926</v>
      </c>
      <c r="T14" t="n">
        <v>45.0954826856196</v>
      </c>
      <c r="U14" t="n">
        <v>63.0886927347446</v>
      </c>
      <c r="V14" t="n">
        <v>56.7259015016678</v>
      </c>
      <c r="W14" t="n">
        <v>13.8663314781855</v>
      </c>
      <c r="X14" t="n">
        <v>51.4750146959978</v>
      </c>
      <c r="Y14" t="n">
        <v>67.1979277451645</v>
      </c>
      <c r="Z14" t="n">
        <v>28.4531766128174</v>
      </c>
      <c r="AA14" t="n">
        <v>36.9587525397806</v>
      </c>
      <c r="AB14" t="n">
        <v>43.4391913412764</v>
      </c>
      <c r="AC14" t="n">
        <v>34.7112244897959</v>
      </c>
      <c r="AD14" t="n">
        <v>40.2969387755102</v>
      </c>
      <c r="AE14" t="n">
        <v>39.1</v>
      </c>
      <c r="AF14" t="n">
        <v>59</v>
      </c>
    </row>
    <row r="15">
      <c r="A15" t="s">
        <v>69</v>
      </c>
      <c r="B15" t="s">
        <v>300</v>
      </c>
      <c r="C15" t="s">
        <v>217</v>
      </c>
      <c r="D15" t="s">
        <v>301</v>
      </c>
      <c r="E15" t="s">
        <v>218</v>
      </c>
      <c r="F15" t="n">
        <v>97.0538788006838</v>
      </c>
      <c r="G15" t="n">
        <v>113.563839105411</v>
      </c>
      <c r="H15" t="n">
        <v>119.832446398777</v>
      </c>
      <c r="I15" t="n">
        <v>139.571202172408</v>
      </c>
      <c r="J15" t="n">
        <v>149.988956975707</v>
      </c>
      <c r="K15" t="n">
        <v>178.924879648896</v>
      </c>
      <c r="L15" t="n">
        <v>376.900753677675</v>
      </c>
      <c r="M15" t="n">
        <v>201.911118041612</v>
      </c>
      <c r="N15" t="n">
        <v>144.740497877413</v>
      </c>
      <c r="O15" t="n">
        <v>154.110410857552</v>
      </c>
      <c r="P15" t="n">
        <v>120.512880528418</v>
      </c>
      <c r="Q15" t="n">
        <v>194.040084422244</v>
      </c>
      <c r="R15" t="n">
        <v>129.475970310422</v>
      </c>
      <c r="S15" t="n">
        <v>142.889635364531</v>
      </c>
      <c r="T15" t="n">
        <v>106.920486938156</v>
      </c>
      <c r="U15" t="n">
        <v>107.247127936949</v>
      </c>
      <c r="V15" t="n">
        <v>108.299602205221</v>
      </c>
      <c r="W15" t="n">
        <v>23.0007726588232</v>
      </c>
      <c r="X15" t="n">
        <v>72.8688271734269</v>
      </c>
      <c r="Y15" t="n">
        <v>165.520596512627</v>
      </c>
      <c r="Z15" t="n">
        <v>59.6154690829378</v>
      </c>
      <c r="AA15" t="n">
        <v>75.7550207805182</v>
      </c>
      <c r="AB15" t="n">
        <v>84.2395831079363</v>
      </c>
      <c r="AC15" t="n">
        <v>106.00147541082</v>
      </c>
      <c r="AD15" t="n">
        <v>156.454581049334</v>
      </c>
      <c r="AE15" t="n">
        <v>127.5</v>
      </c>
      <c r="AF15" t="n">
        <v>151.7</v>
      </c>
    </row>
    <row r="16">
      <c r="A16" t="s">
        <v>69</v>
      </c>
      <c r="B16" t="s">
        <v>302</v>
      </c>
      <c r="C16" t="s">
        <v>217</v>
      </c>
      <c r="D16" t="s">
        <v>303</v>
      </c>
      <c r="E16" t="s">
        <v>218</v>
      </c>
      <c r="F16" t="n">
        <v>55.517823849989</v>
      </c>
      <c r="G16" t="n">
        <v>66.8539240078401</v>
      </c>
      <c r="H16" t="n">
        <v>71.3655385114367</v>
      </c>
      <c r="I16" t="n">
        <v>84.2692705670101</v>
      </c>
      <c r="J16" t="n">
        <v>90.664706279685</v>
      </c>
      <c r="K16" t="n">
        <v>104.584184007271</v>
      </c>
      <c r="L16" t="n">
        <v>63.1383080739148</v>
      </c>
      <c r="M16" t="n">
        <v>132.816365571681</v>
      </c>
      <c r="N16" t="n">
        <v>61.0173311948402</v>
      </c>
      <c r="O16" t="n">
        <v>71.5174455495928</v>
      </c>
      <c r="P16" t="n">
        <v>54.7915913484784</v>
      </c>
      <c r="Q16" t="n">
        <v>118.126570121356</v>
      </c>
      <c r="R16" t="n">
        <v>65.0520274528768</v>
      </c>
      <c r="S16" t="n">
        <v>87.059678531462</v>
      </c>
      <c r="T16" t="n">
        <v>60.8368837930698</v>
      </c>
      <c r="U16" t="n">
        <v>44.397312785304</v>
      </c>
      <c r="V16" t="n">
        <v>51.455871730433</v>
      </c>
      <c r="W16" t="n">
        <v>9.18134181856745</v>
      </c>
      <c r="X16" t="n">
        <v>21.6205791211427</v>
      </c>
      <c r="Y16" t="n">
        <v>98.1317609425381</v>
      </c>
      <c r="Z16" t="n">
        <v>31.1513602180674</v>
      </c>
      <c r="AA16" t="n">
        <v>38.7884678844323</v>
      </c>
      <c r="AB16" t="n">
        <v>40.8034532290781</v>
      </c>
      <c r="AC16" t="n">
        <v>71.2807254198392</v>
      </c>
      <c r="AD16" t="n">
        <v>116.168587570621</v>
      </c>
      <c r="AE16" t="n">
        <v>88.4</v>
      </c>
      <c r="AF16" t="n">
        <v>92.7</v>
      </c>
    </row>
    <row r="17">
      <c r="A17" t="s">
        <v>69</v>
      </c>
      <c r="B17" t="s">
        <v>304</v>
      </c>
      <c r="C17" t="s">
        <v>217</v>
      </c>
      <c r="D17" t="s">
        <v>305</v>
      </c>
      <c r="E17" t="s">
        <v>218</v>
      </c>
      <c r="F17" t="n">
        <v>20.3732863754614</v>
      </c>
      <c r="G17" t="n">
        <v>25.0099653436699</v>
      </c>
      <c r="H17" t="n">
        <v>27.0054413019414</v>
      </c>
      <c r="I17" t="n">
        <v>31.3986709874247</v>
      </c>
      <c r="J17" t="n">
        <v>31.8911991597765</v>
      </c>
      <c r="K17" t="n">
        <v>40.8452666161753</v>
      </c>
      <c r="L17" t="n">
        <v>40.2515854153588</v>
      </c>
      <c r="M17" t="n">
        <v>35.2492207539124</v>
      </c>
      <c r="N17" t="n">
        <v>31.7934147976465</v>
      </c>
      <c r="O17" t="n">
        <v>39.4871948910272</v>
      </c>
      <c r="P17" t="n">
        <v>42.8718115959723</v>
      </c>
      <c r="Q17" t="n">
        <v>148.823241816227</v>
      </c>
      <c r="R17" t="n">
        <v>74.8380485350941</v>
      </c>
      <c r="S17" t="n">
        <v>91.5616347999195</v>
      </c>
      <c r="T17" t="n">
        <v>96.744368845198</v>
      </c>
      <c r="U17" t="n">
        <v>49.9489853869529</v>
      </c>
      <c r="V17" t="n">
        <v>59.2581149280083</v>
      </c>
      <c r="W17" t="n">
        <v>34.0461196320048</v>
      </c>
      <c r="X17" t="n">
        <v>46.1558181600064</v>
      </c>
      <c r="Y17" t="n">
        <v>24.9679102546587</v>
      </c>
      <c r="Z17" t="n">
        <v>30.783728707551</v>
      </c>
      <c r="AA17" t="n">
        <v>31.1874497397812</v>
      </c>
      <c r="AB17" t="n">
        <v>31.8985642289619</v>
      </c>
      <c r="AC17" t="n">
        <v>32.6051779935275</v>
      </c>
      <c r="AD17" t="n">
        <v>31</v>
      </c>
      <c r="AE17" t="n">
        <v>32.2</v>
      </c>
      <c r="AF17" t="n">
        <v>51.9</v>
      </c>
    </row>
    <row r="18">
      <c r="A18" t="s">
        <v>69</v>
      </c>
      <c r="B18" t="s">
        <v>306</v>
      </c>
      <c r="C18" t="s">
        <v>217</v>
      </c>
      <c r="D18" t="s">
        <v>307</v>
      </c>
      <c r="E18" t="s">
        <v>218</v>
      </c>
      <c r="F18" t="n">
        <v>22.6404551723577</v>
      </c>
      <c r="G18" t="n">
        <v>27.991835485824</v>
      </c>
      <c r="H18" t="n">
        <v>29.944754240649</v>
      </c>
      <c r="I18" t="n">
        <v>35.1250703751072</v>
      </c>
      <c r="J18" t="n">
        <v>36.8149363038066</v>
      </c>
      <c r="K18" t="n">
        <v>46.592017748424</v>
      </c>
      <c r="L18" t="n">
        <v>69.5368305089545</v>
      </c>
      <c r="M18" t="n">
        <v>46.0523984589781</v>
      </c>
      <c r="N18" t="n">
        <v>34.9088551281636</v>
      </c>
      <c r="O18" t="n">
        <v>51.8038459113454</v>
      </c>
      <c r="P18" t="n">
        <v>56.9285274423602</v>
      </c>
      <c r="Q18" t="n">
        <v>63.3523690603697</v>
      </c>
      <c r="R18" t="n">
        <v>53.4668483848422</v>
      </c>
      <c r="S18" t="n">
        <v>54.1964155167992</v>
      </c>
      <c r="T18" t="n">
        <v>44.3058219960425</v>
      </c>
      <c r="U18" t="n">
        <v>38.2914570192042</v>
      </c>
      <c r="V18" t="n">
        <v>18.4584459477189</v>
      </c>
      <c r="W18" t="n">
        <v>48.1650073948291</v>
      </c>
      <c r="X18" t="n">
        <v>10.8105828220859</v>
      </c>
      <c r="Y18" t="n">
        <v>15.875</v>
      </c>
      <c r="Z18" t="n">
        <v>7.44140625</v>
      </c>
      <c r="AA18" t="n">
        <v>12.7</v>
      </c>
      <c r="AB18" t="n">
        <v>11.5</v>
      </c>
      <c r="AC18" t="n">
        <v>7.7</v>
      </c>
      <c r="AD18" t="n">
        <v>3.9</v>
      </c>
      <c r="AE18" t="n">
        <v>16.8</v>
      </c>
      <c r="AF18" t="n">
        <v>21</v>
      </c>
    </row>
    <row r="19">
      <c r="A19" t="s">
        <v>69</v>
      </c>
      <c r="B19" t="s">
        <v>308</v>
      </c>
      <c r="C19" t="s">
        <v>217</v>
      </c>
      <c r="D19" t="s">
        <v>309</v>
      </c>
      <c r="E19" t="s">
        <v>218</v>
      </c>
      <c r="F19" t="n">
        <v>39.5385721716234</v>
      </c>
      <c r="G19" t="n">
        <v>49.0495689139384</v>
      </c>
      <c r="H19" t="n">
        <v>53.1477052200637</v>
      </c>
      <c r="I19" t="n">
        <v>62.3583145556251</v>
      </c>
      <c r="J19" t="n">
        <v>64.9664569895106</v>
      </c>
      <c r="K19" t="n">
        <v>79.4562335027104</v>
      </c>
      <c r="L19" t="n">
        <v>124.695765294716</v>
      </c>
      <c r="M19" t="n">
        <v>97.8710237056637</v>
      </c>
      <c r="N19" t="n">
        <v>91.1751725969524</v>
      </c>
      <c r="O19" t="n">
        <v>101.953419779704</v>
      </c>
      <c r="P19" t="n">
        <v>84.3562815221502</v>
      </c>
      <c r="Q19" t="n">
        <v>159.619613217887</v>
      </c>
      <c r="R19" t="n">
        <v>77.2284993324825</v>
      </c>
      <c r="S19" t="n">
        <v>134.247671736839</v>
      </c>
      <c r="T19" t="n">
        <v>107.056999808077</v>
      </c>
      <c r="U19" t="n">
        <v>104.335211677363</v>
      </c>
      <c r="V19" t="n">
        <v>34.7784038924543</v>
      </c>
      <c r="W19" t="n">
        <v>16.9458511883914</v>
      </c>
      <c r="X19" t="n">
        <v>5.87717382256348</v>
      </c>
      <c r="Y19" t="n">
        <v>60.3132920151596</v>
      </c>
      <c r="Z19" t="n">
        <v>48.8762496070985</v>
      </c>
      <c r="AA19" t="n">
        <v>38.0699388420402</v>
      </c>
      <c r="AB19" t="n">
        <v>33.9297067663807</v>
      </c>
      <c r="AC19" t="n">
        <v>43.3209648892182</v>
      </c>
      <c r="AD19" t="n">
        <v>60.5086330935252</v>
      </c>
      <c r="AE19" t="n">
        <v>55.7</v>
      </c>
      <c r="AF19" t="n">
        <v>73.3</v>
      </c>
    </row>
    <row r="20">
      <c r="A20" t="s">
        <v>69</v>
      </c>
      <c r="B20" t="s">
        <v>310</v>
      </c>
      <c r="C20" t="s">
        <v>217</v>
      </c>
      <c r="D20" t="s">
        <v>311</v>
      </c>
      <c r="E20" t="s">
        <v>218</v>
      </c>
      <c r="F20" t="n">
        <v>919.411612068978</v>
      </c>
      <c r="G20" t="n">
        <v>970.739041269243</v>
      </c>
      <c r="H20" t="n">
        <v>1057.79048579269</v>
      </c>
      <c r="I20" t="n">
        <v>1129.88038138036</v>
      </c>
      <c r="J20" t="n">
        <v>1180.18411134888</v>
      </c>
      <c r="K20" t="n">
        <v>1174.88705519382</v>
      </c>
      <c r="L20" t="n">
        <v>973.051283077389</v>
      </c>
      <c r="M20" t="n">
        <v>787.745014428652</v>
      </c>
      <c r="N20" t="n">
        <v>737.744688028999</v>
      </c>
      <c r="O20" t="n">
        <v>756.533458049154</v>
      </c>
      <c r="P20" t="n">
        <v>752.787240443718</v>
      </c>
      <c r="Q20" t="n">
        <v>727.619912912033</v>
      </c>
      <c r="R20" t="n">
        <v>694.759658780522</v>
      </c>
      <c r="S20" t="n">
        <v>910.703575555604</v>
      </c>
      <c r="T20" t="n">
        <v>994.442192933274</v>
      </c>
      <c r="U20" t="n">
        <v>877.426967369253</v>
      </c>
      <c r="V20" t="n">
        <v>101.532033520892</v>
      </c>
      <c r="W20" t="n">
        <v>609.470371080205</v>
      </c>
      <c r="X20" t="n">
        <v>333.43807151758</v>
      </c>
      <c r="Y20" t="n">
        <v>635.869606706928</v>
      </c>
      <c r="Z20" t="n">
        <v>798.070326081015</v>
      </c>
      <c r="AA20" t="n">
        <v>873.493219132054</v>
      </c>
      <c r="AB20" t="n">
        <v>734.578647343734</v>
      </c>
      <c r="AC20" t="n">
        <v>785.725296583128</v>
      </c>
      <c r="AD20" t="n">
        <v>913.028870850497</v>
      </c>
      <c r="AE20" t="n">
        <v>1652.3</v>
      </c>
      <c r="AF20" t="n">
        <v>1471.6</v>
      </c>
    </row>
    <row r="21">
      <c r="A21" t="s">
        <v>69</v>
      </c>
      <c r="B21" t="s">
        <v>312</v>
      </c>
      <c r="C21" t="s">
        <v>217</v>
      </c>
      <c r="D21" t="s">
        <v>313</v>
      </c>
      <c r="E21" t="s">
        <v>218</v>
      </c>
      <c r="F21" t="n">
        <v>903.201477245005</v>
      </c>
      <c r="G21" t="n">
        <v>957.691027444067</v>
      </c>
      <c r="H21" t="n">
        <v>1047.6455320811</v>
      </c>
      <c r="I21" t="n">
        <v>1119.70516706325</v>
      </c>
      <c r="J21" t="n">
        <v>1173.8066374866</v>
      </c>
      <c r="K21" t="n">
        <v>1175.24893297689</v>
      </c>
      <c r="L21" t="n">
        <v>1061.63002676824</v>
      </c>
      <c r="M21" t="n">
        <v>816.786587849096</v>
      </c>
      <c r="N21" t="n">
        <v>839.44030584031</v>
      </c>
      <c r="O21" t="n">
        <v>842.722574875853</v>
      </c>
      <c r="P21" t="n">
        <v>942.020744397807</v>
      </c>
      <c r="Q21" t="n">
        <v>1024.20843586133</v>
      </c>
      <c r="R21" t="n">
        <v>985.395922205204</v>
      </c>
      <c r="S21" t="n">
        <v>1207.19043359842</v>
      </c>
      <c r="T21" t="n">
        <v>1325.91228690268</v>
      </c>
      <c r="U21" t="n">
        <v>1379.82259414134</v>
      </c>
      <c r="V21" t="n">
        <v>419.905400247695</v>
      </c>
      <c r="W21" t="n">
        <v>966.761112401574</v>
      </c>
      <c r="X21" t="n">
        <v>684.496461352621</v>
      </c>
      <c r="Y21" t="n">
        <v>1172.47772055018</v>
      </c>
      <c r="Z21" t="n">
        <v>1235.31500141334</v>
      </c>
      <c r="AA21" t="n">
        <v>1215.28286625529</v>
      </c>
      <c r="AB21" t="n">
        <v>1051.81261042916</v>
      </c>
      <c r="AC21" t="n">
        <v>1136.68162029553</v>
      </c>
      <c r="AD21" t="n">
        <v>1237.53489374808</v>
      </c>
      <c r="AE21" t="n">
        <v>1949.2</v>
      </c>
      <c r="AF21" t="n">
        <v>1997.2</v>
      </c>
    </row>
    <row r="22">
      <c r="A22" t="s">
        <v>69</v>
      </c>
      <c r="B22" t="s">
        <v>314</v>
      </c>
      <c r="C22" t="s">
        <v>217</v>
      </c>
      <c r="D22" t="s">
        <v>315</v>
      </c>
      <c r="E22" t="s">
        <v>218</v>
      </c>
      <c r="F22" t="n">
        <v>21.6763383390558</v>
      </c>
      <c r="G22" t="n">
        <v>24.9176599598492</v>
      </c>
      <c r="H22" t="n">
        <v>29.2568830663137</v>
      </c>
      <c r="I22" t="n">
        <v>31.6078825984282</v>
      </c>
      <c r="J22" t="n">
        <v>35.382913111196</v>
      </c>
      <c r="K22" t="n">
        <v>39.0872614152562</v>
      </c>
      <c r="L22" t="n">
        <v>87.2256039472527</v>
      </c>
      <c r="M22" t="n">
        <v>39.5204479010341</v>
      </c>
      <c r="N22" t="n">
        <v>101.844648498987</v>
      </c>
      <c r="O22" t="n">
        <v>87.7547203408167</v>
      </c>
      <c r="P22" t="n">
        <v>189.685971157624</v>
      </c>
      <c r="Q22" t="n">
        <v>296.127013734163</v>
      </c>
      <c r="R22" t="n">
        <v>290.235380388506</v>
      </c>
      <c r="S22" t="n">
        <v>295.64880207769</v>
      </c>
      <c r="T22" t="n">
        <v>330.59502954742</v>
      </c>
      <c r="U22" t="n">
        <v>502.045989741805</v>
      </c>
      <c r="V22" t="n">
        <v>318.939154773509</v>
      </c>
      <c r="W22" t="n">
        <v>355.322536359109</v>
      </c>
      <c r="X22" t="n">
        <v>350.438377783726</v>
      </c>
      <c r="Y22" t="n">
        <v>535.347324895937</v>
      </c>
      <c r="Z22" t="n">
        <v>436.994610307707</v>
      </c>
      <c r="AA22" t="n">
        <v>341.294462698119</v>
      </c>
      <c r="AB22" t="n">
        <v>316.694861812172</v>
      </c>
      <c r="AC22" t="n">
        <v>350.326174570986</v>
      </c>
      <c r="AD22" t="n">
        <v>324.154102219233</v>
      </c>
      <c r="AE22" t="n">
        <v>296.9</v>
      </c>
      <c r="AF22" t="n">
        <v>525.6</v>
      </c>
    </row>
    <row r="23">
      <c r="A23" t="s">
        <v>69</v>
      </c>
      <c r="B23" t="s">
        <v>316</v>
      </c>
      <c r="C23" t="s">
        <v>217</v>
      </c>
      <c r="D23" t="s">
        <v>317</v>
      </c>
      <c r="E23" t="s">
        <v>218</v>
      </c>
      <c r="F23" t="n">
        <v>218.480423134359</v>
      </c>
      <c r="G23" t="n">
        <v>278.682820926322</v>
      </c>
      <c r="H23" t="n">
        <v>320.812007841901</v>
      </c>
      <c r="I23" t="n">
        <v>374.069337206959</v>
      </c>
      <c r="J23" t="n">
        <v>437.073961022241</v>
      </c>
      <c r="K23" t="n">
        <v>482.583953399557</v>
      </c>
      <c r="L23" t="n">
        <v>1165.85063719768</v>
      </c>
      <c r="M23" t="n">
        <v>791.390766169897</v>
      </c>
      <c r="N23" t="n">
        <v>962.914477633858</v>
      </c>
      <c r="O23" t="n">
        <v>851.431091650687</v>
      </c>
      <c r="P23" t="n">
        <v>802.573386464592</v>
      </c>
      <c r="Q23" t="n">
        <v>1027.10284577314</v>
      </c>
      <c r="R23" t="n">
        <v>1417.76259851542</v>
      </c>
      <c r="S23" t="n">
        <v>1542.61138578064</v>
      </c>
      <c r="T23" t="n">
        <v>738.733087947945</v>
      </c>
      <c r="U23" t="n">
        <v>93.1500627034845</v>
      </c>
      <c r="V23" t="n">
        <v>47.9112002839644</v>
      </c>
      <c r="W23" t="n">
        <v>423.436536897013</v>
      </c>
      <c r="X23" t="n">
        <v>905.146777545088</v>
      </c>
      <c r="Y23" t="n">
        <v>281.778297846291</v>
      </c>
      <c r="Z23" t="n">
        <v>258.857598644533</v>
      </c>
      <c r="AA23" t="n">
        <v>270.34917210139</v>
      </c>
      <c r="AB23" t="n">
        <v>256.209990622793</v>
      </c>
      <c r="AC23" t="n">
        <v>163.542545711623</v>
      </c>
      <c r="AD23" t="n">
        <v>171.809312638581</v>
      </c>
      <c r="AE23" t="n">
        <v>180.2</v>
      </c>
      <c r="AF23" t="n">
        <v>480.9</v>
      </c>
    </row>
    <row r="24">
      <c r="A24" t="s">
        <v>69</v>
      </c>
      <c r="B24" t="s">
        <v>318</v>
      </c>
      <c r="C24" t="s">
        <v>217</v>
      </c>
      <c r="D24" t="s">
        <v>319</v>
      </c>
      <c r="E24" t="s">
        <v>218</v>
      </c>
      <c r="F24" t="n">
        <v>749.119897528032</v>
      </c>
      <c r="G24" t="n">
        <v>859.924742381624</v>
      </c>
      <c r="H24" t="n">
        <v>974.890624983162</v>
      </c>
      <c r="I24" t="n">
        <v>1041.07719217514</v>
      </c>
      <c r="J24" t="n">
        <v>1145.31216830025</v>
      </c>
      <c r="K24" t="n">
        <v>1261.76732849599</v>
      </c>
      <c r="L24" t="n">
        <v>1270.12340351914</v>
      </c>
      <c r="M24" t="n">
        <v>2232.50574496776</v>
      </c>
      <c r="N24" t="n">
        <v>1550.87797658535</v>
      </c>
      <c r="O24" t="n">
        <v>1891.40413225025</v>
      </c>
      <c r="P24" t="n">
        <v>2699.95778816149</v>
      </c>
      <c r="Q24" t="n">
        <v>3351.59530757469</v>
      </c>
      <c r="R24" t="n">
        <v>3361.9202985102</v>
      </c>
      <c r="S24" t="n">
        <v>3022.51756539455</v>
      </c>
      <c r="T24" t="n">
        <v>2197.68916133142</v>
      </c>
      <c r="U24" t="n">
        <v>2136.41492897026</v>
      </c>
      <c r="V24" t="n">
        <v>2121.18378693696</v>
      </c>
      <c r="W24" t="n">
        <v>1354.5988401627</v>
      </c>
      <c r="X24" t="n">
        <v>1331.50235746101</v>
      </c>
      <c r="Y24" t="n">
        <v>1738.14903345935</v>
      </c>
      <c r="Z24" t="n">
        <v>1582.94105208917</v>
      </c>
      <c r="AA24" t="n">
        <v>1779.53715399653</v>
      </c>
      <c r="AB24" t="n">
        <v>1789.85272513245</v>
      </c>
      <c r="AC24" t="n">
        <v>1727.34577752772</v>
      </c>
      <c r="AD24" t="n">
        <v>1804.6027622336</v>
      </c>
      <c r="AE24" t="n">
        <v>1681.2</v>
      </c>
      <c r="AF24" t="n">
        <v>2009.1</v>
      </c>
    </row>
    <row r="25">
      <c r="A25" t="s">
        <v>69</v>
      </c>
      <c r="B25" t="s">
        <v>320</v>
      </c>
      <c r="C25" t="s">
        <v>217</v>
      </c>
      <c r="D25" t="s">
        <v>321</v>
      </c>
      <c r="E25" t="s">
        <v>218</v>
      </c>
      <c r="F25" t="n">
        <v>56.1276116654208</v>
      </c>
      <c r="G25" t="n">
        <v>64.65801960576</v>
      </c>
      <c r="H25" t="n">
        <v>81.3248948606269</v>
      </c>
      <c r="I25" t="n">
        <v>80.7389806325244</v>
      </c>
      <c r="J25" t="n">
        <v>91.2799031039928</v>
      </c>
      <c r="K25" t="n">
        <v>98.0820112679923</v>
      </c>
      <c r="L25" t="n">
        <v>363.787351239372</v>
      </c>
      <c r="M25" t="n">
        <v>235.516738192915</v>
      </c>
      <c r="N25" t="n">
        <v>173.314566156956</v>
      </c>
      <c r="O25" t="n">
        <v>225.329374042504</v>
      </c>
      <c r="P25" t="n">
        <v>368.082706292061</v>
      </c>
      <c r="Q25" t="n">
        <v>373.197865851991</v>
      </c>
      <c r="R25" t="n">
        <v>430.055418171345</v>
      </c>
      <c r="S25" t="n">
        <v>376.010753099777</v>
      </c>
      <c r="T25" t="n">
        <v>329.353201448159</v>
      </c>
      <c r="U25" t="n">
        <v>337.354883906858</v>
      </c>
      <c r="V25" t="n">
        <v>157.963082295548</v>
      </c>
      <c r="W25" t="n">
        <v>80.7977729827445</v>
      </c>
      <c r="X25" t="n">
        <v>119.915719170732</v>
      </c>
      <c r="Y25" t="n">
        <v>155.761706239109</v>
      </c>
      <c r="Z25" t="n">
        <v>127.596301185577</v>
      </c>
      <c r="AA25" t="n">
        <v>266.966078111463</v>
      </c>
      <c r="AB25" t="n">
        <v>272.121424564959</v>
      </c>
      <c r="AC25" t="n">
        <v>263.485836921938</v>
      </c>
      <c r="AD25" t="n">
        <v>150.606222775358</v>
      </c>
      <c r="AE25" t="n">
        <v>160.6</v>
      </c>
      <c r="AF25" t="n">
        <v>130.9</v>
      </c>
    </row>
    <row r="26">
      <c r="A26" t="s">
        <v>69</v>
      </c>
      <c r="B26" t="s">
        <v>322</v>
      </c>
      <c r="C26" t="s">
        <v>217</v>
      </c>
      <c r="D26" t="s">
        <v>323</v>
      </c>
      <c r="E26" t="s">
        <v>218</v>
      </c>
      <c r="F26" t="n">
        <v>310.554062877876</v>
      </c>
      <c r="G26" t="n">
        <v>351.469392976257</v>
      </c>
      <c r="H26" t="n">
        <v>397.789037814548</v>
      </c>
      <c r="I26" t="n">
        <v>426.281491279498</v>
      </c>
      <c r="J26" t="n">
        <v>467.572378712185</v>
      </c>
      <c r="K26" t="n">
        <v>507.722116825351</v>
      </c>
      <c r="L26" t="n">
        <v>581.781166548724</v>
      </c>
      <c r="M26" t="n">
        <v>1110.87189298537</v>
      </c>
      <c r="N26" t="n">
        <v>732.330452694158</v>
      </c>
      <c r="O26" t="n">
        <v>1113.55510595169</v>
      </c>
      <c r="P26" t="n">
        <v>1241.51709845198</v>
      </c>
      <c r="Q26" t="n">
        <v>1911.43781556627</v>
      </c>
      <c r="R26" t="n">
        <v>1828.05642889201</v>
      </c>
      <c r="S26" t="n">
        <v>1745.80612012105</v>
      </c>
      <c r="T26" t="n">
        <v>1299.49029104851</v>
      </c>
      <c r="U26" t="n">
        <v>1395.55570495579</v>
      </c>
      <c r="V26" t="n">
        <v>1011.40765284739</v>
      </c>
      <c r="W26" t="n">
        <v>766.514519308483</v>
      </c>
      <c r="X26" t="n">
        <v>626.923081062954</v>
      </c>
      <c r="Y26" t="n">
        <v>878.78868135645</v>
      </c>
      <c r="Z26" t="n">
        <v>930.322894957957</v>
      </c>
      <c r="AA26" t="n">
        <v>784.733402954796</v>
      </c>
      <c r="AB26" t="n">
        <v>779.278253140229</v>
      </c>
      <c r="AC26" t="n">
        <v>817.985791194543</v>
      </c>
      <c r="AD26" t="n">
        <v>860.478559568286</v>
      </c>
      <c r="AE26" t="n">
        <v>963.8</v>
      </c>
      <c r="AF26" t="n">
        <v>1230.9</v>
      </c>
    </row>
    <row r="27">
      <c r="A27" t="s">
        <v>69</v>
      </c>
      <c r="B27" t="s">
        <v>324</v>
      </c>
      <c r="C27" t="s">
        <v>217</v>
      </c>
      <c r="D27" t="s">
        <v>325</v>
      </c>
      <c r="E27" t="s">
        <v>218</v>
      </c>
      <c r="F27" t="n">
        <v>385.580740645203</v>
      </c>
      <c r="G27" t="n">
        <v>447.326659937528</v>
      </c>
      <c r="H27" t="n">
        <v>499.241753992249</v>
      </c>
      <c r="I27" t="n">
        <v>537.980202410658</v>
      </c>
      <c r="J27" t="n">
        <v>590.677940214071</v>
      </c>
      <c r="K27" t="n">
        <v>660.602784633119</v>
      </c>
      <c r="L27" t="n">
        <v>320.826435765784</v>
      </c>
      <c r="M27" t="n">
        <v>888.584126887942</v>
      </c>
      <c r="N27" t="n">
        <v>646.454745475727</v>
      </c>
      <c r="O27" t="n">
        <v>553.562421345784</v>
      </c>
      <c r="P27" t="n">
        <v>1090.21571947367</v>
      </c>
      <c r="Q27" t="n">
        <v>1070.09676271817</v>
      </c>
      <c r="R27" t="n">
        <v>1105.70833143034</v>
      </c>
      <c r="S27" t="n">
        <v>903.533194916986</v>
      </c>
      <c r="T27" t="n">
        <v>570.850275462379</v>
      </c>
      <c r="U27" t="n">
        <v>406.141686644206</v>
      </c>
      <c r="V27" t="n">
        <v>950.812320670932</v>
      </c>
      <c r="W27" t="n">
        <v>507.616312685719</v>
      </c>
      <c r="X27" t="n">
        <v>584.048573430733</v>
      </c>
      <c r="Y27" t="n">
        <v>703.346963133865</v>
      </c>
      <c r="Z27" t="n">
        <v>525.008276693264</v>
      </c>
      <c r="AA27" t="n">
        <v>727.895905985554</v>
      </c>
      <c r="AB27" t="n">
        <v>738.530255523398</v>
      </c>
      <c r="AC27" t="n">
        <v>645.722191723162</v>
      </c>
      <c r="AD27" t="n">
        <v>793.953699369937</v>
      </c>
      <c r="AE27" t="n">
        <v>556.8</v>
      </c>
      <c r="AF27" t="n">
        <v>647.3</v>
      </c>
    </row>
    <row r="28">
      <c r="A28" t="s">
        <v>69</v>
      </c>
      <c r="B28" t="s">
        <v>326</v>
      </c>
      <c r="C28" t="s">
        <v>217</v>
      </c>
      <c r="D28" t="s">
        <v>327</v>
      </c>
      <c r="E28" t="s">
        <v>218</v>
      </c>
      <c r="F28" t="n">
        <v>1334.12872561824</v>
      </c>
      <c r="G28" t="n">
        <v>1388.52399286803</v>
      </c>
      <c r="H28" t="n">
        <v>1632.67208674383</v>
      </c>
      <c r="I28" t="n">
        <v>2439.54560690396</v>
      </c>
      <c r="J28" t="n">
        <v>1788.64884526349</v>
      </c>
      <c r="K28" t="n">
        <v>2223.51111997707</v>
      </c>
      <c r="L28" t="n">
        <v>2348.44338482539</v>
      </c>
      <c r="M28" t="n">
        <v>4115.40895654526</v>
      </c>
      <c r="N28" t="n">
        <v>4377.917042304</v>
      </c>
      <c r="O28" t="n">
        <v>3689.2732136038</v>
      </c>
      <c r="P28" t="n">
        <v>1954.92817226099</v>
      </c>
      <c r="Q28" t="n">
        <v>3017.74626518183</v>
      </c>
      <c r="R28" t="n">
        <v>4000.58793134939</v>
      </c>
      <c r="S28" t="n">
        <v>3070.78188706432</v>
      </c>
      <c r="T28" t="n">
        <v>2034.83559826445</v>
      </c>
      <c r="U28" t="n">
        <v>2195.62087310229</v>
      </c>
      <c r="V28" t="n">
        <v>863.907109802258</v>
      </c>
      <c r="W28" t="n">
        <v>628.41751989813</v>
      </c>
      <c r="X28" t="n">
        <v>627.269026106053</v>
      </c>
      <c r="Y28" t="n">
        <v>663.664457963706</v>
      </c>
      <c r="Z28" t="n">
        <v>1118.6208375584</v>
      </c>
      <c r="AA28" t="n">
        <v>1264.43788486573</v>
      </c>
      <c r="AB28" t="n">
        <v>1370.76720893948</v>
      </c>
      <c r="AC28" t="n">
        <v>1525.35751553553</v>
      </c>
      <c r="AD28" t="n">
        <v>1229.72794773741</v>
      </c>
      <c r="AE28" t="n">
        <v>620.3</v>
      </c>
      <c r="AF28" t="n">
        <v>1287</v>
      </c>
    </row>
    <row r="29">
      <c r="A29" t="s">
        <v>69</v>
      </c>
      <c r="B29" t="s">
        <v>328</v>
      </c>
      <c r="C29" t="s">
        <v>217</v>
      </c>
      <c r="D29" t="s">
        <v>329</v>
      </c>
      <c r="E29" t="s">
        <v>218</v>
      </c>
      <c r="F29" t="n">
        <v>669.840074432043</v>
      </c>
      <c r="G29" t="n">
        <v>727.810600136659</v>
      </c>
      <c r="H29" t="n">
        <v>932.418371524491</v>
      </c>
      <c r="I29" t="n">
        <v>906.661607729856</v>
      </c>
      <c r="J29" t="n">
        <v>993.968097902876</v>
      </c>
      <c r="K29" t="n">
        <v>1001.68422899309</v>
      </c>
      <c r="L29" t="n">
        <v>995.67349090986</v>
      </c>
      <c r="M29" t="n">
        <v>1596.85255197975</v>
      </c>
      <c r="N29" t="n">
        <v>2232.0078561796</v>
      </c>
      <c r="O29" t="n">
        <v>2548.00879272547</v>
      </c>
      <c r="P29" t="n">
        <v>794.032001665079</v>
      </c>
      <c r="Q29" t="n">
        <v>805.060223910427</v>
      </c>
      <c r="R29" t="n">
        <v>1020.73017187936</v>
      </c>
      <c r="S29" t="n">
        <v>987.236001253067</v>
      </c>
      <c r="T29" t="n">
        <v>909.986772522737</v>
      </c>
      <c r="U29" t="n">
        <v>1010.61562140652</v>
      </c>
      <c r="V29" t="n">
        <v>451.483725432469</v>
      </c>
      <c r="W29" t="n">
        <v>471.665340181776</v>
      </c>
      <c r="X29" t="n">
        <v>401.282593893951</v>
      </c>
      <c r="Y29" t="n">
        <v>307.59471556747</v>
      </c>
      <c r="Z29" t="n">
        <v>441.077436144711</v>
      </c>
      <c r="AA29" t="n">
        <v>590.661063465314</v>
      </c>
      <c r="AB29" t="n">
        <v>714.241218147613</v>
      </c>
      <c r="AC29" t="n">
        <v>605.774213318247</v>
      </c>
      <c r="AD29" t="n">
        <v>493.355355876094</v>
      </c>
      <c r="AE29" t="n">
        <v>418.2</v>
      </c>
      <c r="AF29" t="n">
        <v>687.9</v>
      </c>
    </row>
    <row r="30">
      <c r="A30" t="s">
        <v>69</v>
      </c>
      <c r="B30" t="s">
        <v>330</v>
      </c>
      <c r="C30" t="s">
        <v>217</v>
      </c>
      <c r="D30" t="s">
        <v>331</v>
      </c>
      <c r="E30" t="s">
        <v>218</v>
      </c>
      <c r="F30" t="n">
        <v>553.448146722213</v>
      </c>
      <c r="G30" t="n">
        <v>531.450795641297</v>
      </c>
      <c r="H30" t="n">
        <v>548.902962367538</v>
      </c>
      <c r="I30" t="n">
        <v>1410.42946487702</v>
      </c>
      <c r="J30" t="n">
        <v>598.875326752534</v>
      </c>
      <c r="K30" t="n">
        <v>1035.13081024552</v>
      </c>
      <c r="L30" t="n">
        <v>859.081073605259</v>
      </c>
      <c r="M30" t="n">
        <v>2030.69702242591</v>
      </c>
      <c r="N30" t="n">
        <v>1933.41148820373</v>
      </c>
      <c r="O30" t="n">
        <v>721.736413246567</v>
      </c>
      <c r="P30" t="n">
        <v>708.61994513778</v>
      </c>
      <c r="Q30" t="n">
        <v>2178.72721778923</v>
      </c>
      <c r="R30" t="n">
        <v>2959.608096486</v>
      </c>
      <c r="S30" t="n">
        <v>1930.17447951279</v>
      </c>
      <c r="T30" t="n">
        <v>679.184154562938</v>
      </c>
      <c r="U30" t="n">
        <v>909.645843735991</v>
      </c>
      <c r="V30" t="n">
        <v>218.484935224034</v>
      </c>
      <c r="W30" t="n">
        <v>79.3845495500783</v>
      </c>
      <c r="X30" t="n">
        <v>44.4151530394109</v>
      </c>
      <c r="Y30" t="n">
        <v>187.933504697371</v>
      </c>
      <c r="Z30" t="n">
        <v>350.239713299647</v>
      </c>
      <c r="AA30" t="n">
        <v>125.580361518446</v>
      </c>
      <c r="AB30" t="n">
        <v>89.571296194866</v>
      </c>
      <c r="AC30" t="n">
        <v>173.044546555037</v>
      </c>
      <c r="AD30" t="n">
        <v>403.999633363886</v>
      </c>
      <c r="AE30" t="n">
        <v>106.8</v>
      </c>
      <c r="AF30" t="n">
        <v>78.2</v>
      </c>
    </row>
    <row r="31">
      <c r="A31" t="s">
        <v>69</v>
      </c>
      <c r="B31" t="s">
        <v>332</v>
      </c>
      <c r="C31" t="s">
        <v>217</v>
      </c>
      <c r="D31" t="s">
        <v>333</v>
      </c>
      <c r="E31" t="s">
        <v>218</v>
      </c>
      <c r="F31" t="n">
        <v>7.06617985283644</v>
      </c>
      <c r="G31" t="n">
        <v>8.20923835844233</v>
      </c>
      <c r="H31" t="n">
        <v>12.6685777136456</v>
      </c>
      <c r="I31" t="n">
        <v>12.6685777136456</v>
      </c>
      <c r="J31" t="n">
        <v>12.9750755615564</v>
      </c>
      <c r="K31" t="n">
        <v>16.1689403151702</v>
      </c>
      <c r="L31" t="n">
        <v>150.682835346797</v>
      </c>
      <c r="M31" t="n">
        <v>353.666467202333</v>
      </c>
      <c r="N31" t="n">
        <v>16.6158261494009</v>
      </c>
      <c r="O31" t="n">
        <v>1.80606805971749</v>
      </c>
      <c r="P31" t="n">
        <v>283.932910230324</v>
      </c>
      <c r="Q31" t="n">
        <v>7.83719040542629</v>
      </c>
      <c r="R31" t="n">
        <v>23.7914708736155</v>
      </c>
      <c r="S31" t="n">
        <v>17.0857667277702</v>
      </c>
      <c r="T31" t="n">
        <v>23.9018970712956</v>
      </c>
      <c r="U31" t="n">
        <v>-12.3103755592763</v>
      </c>
      <c r="V31" t="n">
        <v>-3.05512970084229</v>
      </c>
      <c r="W31" t="n">
        <v>9.3505484783355</v>
      </c>
      <c r="X31" t="n">
        <v>9.25704299355215</v>
      </c>
      <c r="Y31" t="n">
        <v>7.17893130112207</v>
      </c>
      <c r="Z31" t="n">
        <v>35.7989374215954</v>
      </c>
      <c r="AA31" t="n">
        <v>32.9196663153009</v>
      </c>
      <c r="AB31" t="n">
        <v>33.4009479865772</v>
      </c>
      <c r="AC31" t="n">
        <v>56.715</v>
      </c>
      <c r="AD31" t="n">
        <v>7.885</v>
      </c>
      <c r="AE31" t="n">
        <v>1.9</v>
      </c>
      <c r="AF31" t="n">
        <v>110.6</v>
      </c>
    </row>
    <row r="32">
      <c r="A32" t="s">
        <v>69</v>
      </c>
      <c r="B32" t="s">
        <v>334</v>
      </c>
      <c r="C32" t="s">
        <v>217</v>
      </c>
      <c r="D32" t="s">
        <v>335</v>
      </c>
      <c r="E32" t="s">
        <v>218</v>
      </c>
      <c r="F32" t="n">
        <v>36.0647697508306</v>
      </c>
      <c r="G32" t="n">
        <v>39.1640859012926</v>
      </c>
      <c r="H32" t="n">
        <v>43.5750580335201</v>
      </c>
      <c r="I32" t="n">
        <v>46.807629104256</v>
      </c>
      <c r="J32" t="n">
        <v>52.4738157852976</v>
      </c>
      <c r="K32" t="n">
        <v>53.4322416443897</v>
      </c>
      <c r="L32" t="n">
        <v>103.947876212121</v>
      </c>
      <c r="M32" t="n">
        <v>52.2018939749466</v>
      </c>
      <c r="N32" t="n">
        <v>129.781254530464</v>
      </c>
      <c r="O32" t="n">
        <v>272.671726690268</v>
      </c>
      <c r="P32" t="n">
        <v>129.956945076012</v>
      </c>
      <c r="Q32" t="n">
        <v>130.391220581696</v>
      </c>
      <c r="R32" t="n">
        <v>95.689493351189</v>
      </c>
      <c r="S32" t="n">
        <v>181.901752536605</v>
      </c>
      <c r="T32" t="n">
        <v>377.381242913484</v>
      </c>
      <c r="U32" t="n">
        <v>293.076897815846</v>
      </c>
      <c r="V32" t="n">
        <v>190.96502794888</v>
      </c>
      <c r="W32" t="n">
        <v>48.2105192131679</v>
      </c>
      <c r="X32" t="n">
        <v>158.886824100892</v>
      </c>
      <c r="Y32" t="n">
        <v>154.324530774649</v>
      </c>
      <c r="Z32" t="n">
        <v>276.343926461669</v>
      </c>
      <c r="AA32" t="n">
        <v>507.083554676659</v>
      </c>
      <c r="AB32" t="n">
        <v>525.146829559668</v>
      </c>
      <c r="AC32" t="n">
        <v>683.972701352504</v>
      </c>
      <c r="AD32" t="n">
        <v>310.742413793104</v>
      </c>
      <c r="AE32" t="n">
        <v>86.9</v>
      </c>
      <c r="AF32" t="n">
        <v>386.4</v>
      </c>
    </row>
    <row r="33">
      <c r="A33" t="s">
        <v>69</v>
      </c>
      <c r="B33" t="s">
        <v>336</v>
      </c>
      <c r="C33" t="s">
        <v>217</v>
      </c>
      <c r="D33" t="s">
        <v>337</v>
      </c>
      <c r="E33" t="s">
        <v>218</v>
      </c>
      <c r="F33" t="n">
        <v>90.3823397313823</v>
      </c>
      <c r="G33" t="n">
        <v>104.390928899883</v>
      </c>
      <c r="H33" t="n">
        <v>113.857753334431</v>
      </c>
      <c r="I33" t="n">
        <v>123.32566885691</v>
      </c>
      <c r="J33" t="n">
        <v>130.29978773666</v>
      </c>
      <c r="K33" t="n">
        <v>147.109024423034</v>
      </c>
      <c r="L33" t="n">
        <v>247.081774254486</v>
      </c>
      <c r="M33" t="n">
        <v>102.596347743364</v>
      </c>
      <c r="N33" t="n">
        <v>104.890168526244</v>
      </c>
      <c r="O33" t="n">
        <v>95.568874252916</v>
      </c>
      <c r="P33" t="n">
        <v>43.0834816902335</v>
      </c>
      <c r="Q33" t="n">
        <v>21.6967173979593</v>
      </c>
      <c r="R33" t="n">
        <v>72.0890932899938</v>
      </c>
      <c r="S33" t="n">
        <v>47.6004381341842</v>
      </c>
      <c r="T33" t="n">
        <v>50.303911293935</v>
      </c>
      <c r="U33" t="n">
        <v>12.4799779927701</v>
      </c>
      <c r="V33" t="n">
        <v>5.27999068924891</v>
      </c>
      <c r="W33" t="n">
        <v>4.70399170496721</v>
      </c>
      <c r="X33" t="n">
        <v>3.35999407497658</v>
      </c>
      <c r="Y33" t="n">
        <v>7.10398747280762</v>
      </c>
      <c r="Z33" t="n">
        <v>19.5602942744429</v>
      </c>
      <c r="AA33" t="n">
        <v>11.1631982475356</v>
      </c>
      <c r="AB33" t="n">
        <v>11.4622124863089</v>
      </c>
      <c r="AC33" t="n">
        <v>8.27272727272727</v>
      </c>
      <c r="AD33" t="n">
        <v>13</v>
      </c>
      <c r="AE33" t="n">
        <v>6.5</v>
      </c>
      <c r="AF33" t="n">
        <v>23.9</v>
      </c>
    </row>
    <row r="34">
      <c r="A34" t="s">
        <v>69</v>
      </c>
      <c r="B34" t="s">
        <v>338</v>
      </c>
      <c r="C34" t="s">
        <v>217</v>
      </c>
      <c r="D34" t="s">
        <v>339</v>
      </c>
      <c r="E34" t="s">
        <v>218</v>
      </c>
      <c r="F34" t="n">
        <v>407.028872578291</v>
      </c>
      <c r="G34" t="n">
        <v>458.377130349706</v>
      </c>
      <c r="H34" t="n">
        <v>512.225832584075</v>
      </c>
      <c r="I34" t="n">
        <v>527.089528618881</v>
      </c>
      <c r="J34" t="n">
        <v>578.950291434715</v>
      </c>
      <c r="K34" t="n">
        <v>673.345638444274</v>
      </c>
      <c r="L34" t="n">
        <v>605.43850177804</v>
      </c>
      <c r="M34" t="n">
        <v>323.398470568605</v>
      </c>
      <c r="N34" t="n">
        <v>623.179185983593</v>
      </c>
      <c r="O34" t="n">
        <v>787.719220536433</v>
      </c>
      <c r="P34" t="n">
        <v>552.774145786986</v>
      </c>
      <c r="Q34" t="n">
        <v>858.738086999725</v>
      </c>
      <c r="R34" t="n">
        <v>1104.9475397246</v>
      </c>
      <c r="S34" t="n">
        <v>1551.5182287592</v>
      </c>
      <c r="T34" t="n">
        <v>987.374824765708</v>
      </c>
      <c r="U34" t="n">
        <v>1015.04889402202</v>
      </c>
      <c r="V34" t="n">
        <v>642.493352537075</v>
      </c>
      <c r="W34" t="n">
        <v>350.060227347655</v>
      </c>
      <c r="X34" t="n">
        <v>434.689097290563</v>
      </c>
      <c r="Y34" t="n">
        <v>849.171558539274</v>
      </c>
      <c r="Z34" t="n">
        <v>985.545797322543</v>
      </c>
      <c r="AA34" t="n">
        <v>859.227242759959</v>
      </c>
      <c r="AB34" t="n">
        <v>869.221778893579</v>
      </c>
      <c r="AC34" t="n">
        <v>654.23130648544</v>
      </c>
      <c r="AD34" t="n">
        <v>860.254400236651</v>
      </c>
      <c r="AE34" t="n">
        <v>676.3</v>
      </c>
      <c r="AF34" t="n">
        <v>695</v>
      </c>
    </row>
    <row r="35">
      <c r="A35" t="s">
        <v>69</v>
      </c>
      <c r="B35" t="s">
        <v>340</v>
      </c>
      <c r="C35" t="s">
        <v>217</v>
      </c>
      <c r="D35" t="s">
        <v>341</v>
      </c>
      <c r="E35" t="s">
        <v>218</v>
      </c>
      <c r="F35" t="n">
        <v>1179.69705736729</v>
      </c>
      <c r="G35" t="n">
        <v>1375.19795998961</v>
      </c>
      <c r="H35" t="n">
        <v>1490.08854707827</v>
      </c>
      <c r="I35" t="n">
        <v>1635.85035023608</v>
      </c>
      <c r="J35" t="n">
        <v>1743.51392507805</v>
      </c>
      <c r="K35" t="n">
        <v>1993.75529383173</v>
      </c>
      <c r="L35" t="n">
        <v>3087.56280093146</v>
      </c>
      <c r="M35" t="n">
        <v>1874.438842801</v>
      </c>
      <c r="N35" t="n">
        <v>1819.98816663304</v>
      </c>
      <c r="O35" t="n">
        <v>1787.45409736885</v>
      </c>
      <c r="P35" t="n">
        <v>1908.97496483435</v>
      </c>
      <c r="Q35" t="n">
        <v>1634.67584757243</v>
      </c>
      <c r="R35" t="n">
        <v>1608.15336354568</v>
      </c>
      <c r="S35" t="n">
        <v>1649.37263591346</v>
      </c>
      <c r="T35" t="n">
        <v>1660.91636974141</v>
      </c>
      <c r="U35" t="n">
        <v>2191.11533642047</v>
      </c>
      <c r="V35" t="n">
        <v>1346.84669315883</v>
      </c>
      <c r="W35" t="n">
        <v>1128.47577916228</v>
      </c>
      <c r="X35" t="n">
        <v>847.591331684823</v>
      </c>
      <c r="Y35" t="n">
        <v>1085.63619077842</v>
      </c>
      <c r="Z35" t="n">
        <v>1003.35392061205</v>
      </c>
      <c r="AA35" t="n">
        <v>1362.59768998259</v>
      </c>
      <c r="AB35" t="n">
        <v>1399.6312762813</v>
      </c>
      <c r="AC35" t="n">
        <v>1422.93688495204</v>
      </c>
      <c r="AD35" t="n">
        <v>1296.31877684747</v>
      </c>
      <c r="AE35" t="n">
        <v>1365.2</v>
      </c>
      <c r="AF35" t="n">
        <v>1820.4</v>
      </c>
    </row>
    <row r="36">
      <c r="A36" t="s">
        <v>69</v>
      </c>
      <c r="B36" t="s">
        <v>342</v>
      </c>
      <c r="C36" t="s">
        <v>217</v>
      </c>
      <c r="D36" t="s">
        <v>343</v>
      </c>
      <c r="E36" t="s">
        <v>218</v>
      </c>
      <c r="F36" t="n">
        <v>195.986483502125</v>
      </c>
      <c r="G36" t="n">
        <v>240.622508125945</v>
      </c>
      <c r="H36" t="n">
        <v>260.674383803107</v>
      </c>
      <c r="I36" t="n">
        <v>284.156312003866</v>
      </c>
      <c r="J36" t="n">
        <v>307.965619830717</v>
      </c>
      <c r="K36" t="n">
        <v>363.938078491965</v>
      </c>
      <c r="L36" t="n">
        <v>460.935042098812</v>
      </c>
      <c r="M36" t="n">
        <v>586.271184326547</v>
      </c>
      <c r="N36" t="n">
        <v>558.363931759202</v>
      </c>
      <c r="O36" t="n">
        <v>578.952254339512</v>
      </c>
      <c r="P36" t="n">
        <v>268.864608912456</v>
      </c>
      <c r="Q36" t="n">
        <v>453.482126311041</v>
      </c>
      <c r="R36" t="n">
        <v>451.602191195058</v>
      </c>
      <c r="S36" t="n">
        <v>628.204682213915</v>
      </c>
      <c r="T36" t="n">
        <v>613.031138324432</v>
      </c>
      <c r="U36" t="n">
        <v>428.554636059622</v>
      </c>
      <c r="V36" t="n">
        <v>323.809864090649</v>
      </c>
      <c r="W36" t="n">
        <v>264.135226652199</v>
      </c>
      <c r="X36" t="n">
        <v>183.628587866512</v>
      </c>
      <c r="Y36" t="n">
        <v>228.34491948038</v>
      </c>
      <c r="Z36" t="n">
        <v>182.57772271571</v>
      </c>
      <c r="AA36" t="n">
        <v>305.057772829133</v>
      </c>
      <c r="AB36" t="n">
        <v>244.466849466813</v>
      </c>
      <c r="AC36" t="n">
        <v>212.961333793276</v>
      </c>
      <c r="AD36" t="n">
        <v>387.691179892949</v>
      </c>
      <c r="AE36" t="n">
        <v>426.5</v>
      </c>
      <c r="AF36" t="n">
        <v>383</v>
      </c>
    </row>
    <row r="37">
      <c r="A37" t="s">
        <v>69</v>
      </c>
      <c r="B37" t="s">
        <v>344</v>
      </c>
      <c r="C37" t="s">
        <v>217</v>
      </c>
      <c r="D37" t="s">
        <v>345</v>
      </c>
      <c r="E37" t="s">
        <v>218</v>
      </c>
      <c r="F37" t="n">
        <v>865.446524047688</v>
      </c>
      <c r="G37" t="n">
        <v>994.033704546012</v>
      </c>
      <c r="H37" t="n">
        <v>1077.05137210367</v>
      </c>
      <c r="I37" t="n">
        <v>1177.41845806364</v>
      </c>
      <c r="J37" t="n">
        <v>1248.44398088642</v>
      </c>
      <c r="K37" t="n">
        <v>1397.2538063978</v>
      </c>
      <c r="L37" t="n">
        <v>2346.46893774403</v>
      </c>
      <c r="M37" t="n">
        <v>982.762560934325</v>
      </c>
      <c r="N37" t="n">
        <v>1005.66341611078</v>
      </c>
      <c r="O37" t="n">
        <v>922.205469000283</v>
      </c>
      <c r="P37" t="n">
        <v>1467.40255944294</v>
      </c>
      <c r="Q37" t="n">
        <v>976.038626720713</v>
      </c>
      <c r="R37" t="n">
        <v>909.441352956358</v>
      </c>
      <c r="S37" t="n">
        <v>876.433088449488</v>
      </c>
      <c r="T37" t="n">
        <v>842.192861242582</v>
      </c>
      <c r="U37" t="n">
        <v>1459.30271623628</v>
      </c>
      <c r="V37" t="n">
        <v>807.043026130407</v>
      </c>
      <c r="W37" t="n">
        <v>702.90844211358</v>
      </c>
      <c r="X37" t="n">
        <v>519.096098509095</v>
      </c>
      <c r="Y37" t="n">
        <v>648.14404690757</v>
      </c>
      <c r="Z37" t="n">
        <v>624.265055705712</v>
      </c>
      <c r="AA37" t="n">
        <v>770.532666712133</v>
      </c>
      <c r="AB37" t="n">
        <v>836.118321204744</v>
      </c>
      <c r="AC37" t="n">
        <v>986.84645740479</v>
      </c>
      <c r="AD37" t="n">
        <v>653.655275665399</v>
      </c>
      <c r="AE37" t="n">
        <v>627.7</v>
      </c>
      <c r="AF37" t="n">
        <v>1045.2</v>
      </c>
    </row>
    <row r="38">
      <c r="A38" t="s">
        <v>69</v>
      </c>
      <c r="B38" t="s">
        <v>346</v>
      </c>
      <c r="C38" t="s">
        <v>217</v>
      </c>
      <c r="D38" t="s">
        <v>347</v>
      </c>
      <c r="E38" t="s">
        <v>218</v>
      </c>
      <c r="F38" t="n">
        <v>104.75723039251</v>
      </c>
      <c r="G38" t="n">
        <v>125.898404960727</v>
      </c>
      <c r="H38" t="n">
        <v>136.497654659679</v>
      </c>
      <c r="I38" t="n">
        <v>157.194049951039</v>
      </c>
      <c r="J38" t="n">
        <v>169.459949303279</v>
      </c>
      <c r="K38" t="n">
        <v>215.200169135826</v>
      </c>
      <c r="L38" t="n">
        <v>235.271833029787</v>
      </c>
      <c r="M38" t="n">
        <v>323.734931325352</v>
      </c>
      <c r="N38" t="n">
        <v>267.754845997264</v>
      </c>
      <c r="O38" t="n">
        <v>305.663180581092</v>
      </c>
      <c r="P38" t="n">
        <v>139.649796685551</v>
      </c>
      <c r="Q38" t="n">
        <v>202.650525917422</v>
      </c>
      <c r="R38" t="n">
        <v>249.225726406936</v>
      </c>
      <c r="S38" t="n">
        <v>145.558882018385</v>
      </c>
      <c r="T38" t="n">
        <v>209.485378293786</v>
      </c>
      <c r="U38" t="n">
        <v>300.126124901878</v>
      </c>
      <c r="V38" t="n">
        <v>215.665497506363</v>
      </c>
      <c r="W38" t="n">
        <v>160.662895807167</v>
      </c>
      <c r="X38" t="n">
        <v>144.606396774641</v>
      </c>
      <c r="Y38" t="n">
        <v>209.182160072234</v>
      </c>
      <c r="Z38" t="n">
        <v>196.381164508041</v>
      </c>
      <c r="AA38" t="n">
        <v>287.825828897282</v>
      </c>
      <c r="AB38" t="n">
        <v>319.239562047698</v>
      </c>
      <c r="AC38" t="n">
        <v>222.878543162484</v>
      </c>
      <c r="AD38" t="n">
        <v>254.988163787588</v>
      </c>
      <c r="AE38" t="n">
        <v>311</v>
      </c>
      <c r="AF38" t="n">
        <v>392.2</v>
      </c>
    </row>
    <row r="39">
      <c r="A39" t="s">
        <v>69</v>
      </c>
      <c r="B39" t="s">
        <v>348</v>
      </c>
      <c r="C39" t="s">
        <v>217</v>
      </c>
      <c r="D39" t="s">
        <v>349</v>
      </c>
      <c r="E39" t="s">
        <v>218</v>
      </c>
      <c r="F39" t="n">
        <v>292.508649981095</v>
      </c>
      <c r="G39" t="n">
        <v>363.408097592407</v>
      </c>
      <c r="H39" t="n">
        <v>396.874985046141</v>
      </c>
      <c r="I39" t="n">
        <v>433.051575135523</v>
      </c>
      <c r="J39" t="n">
        <v>493.999574599041</v>
      </c>
      <c r="K39" t="n">
        <v>657.251694414547</v>
      </c>
      <c r="L39" t="n">
        <v>558.461321416393</v>
      </c>
      <c r="M39" t="n">
        <v>406.491827672256</v>
      </c>
      <c r="N39" t="n">
        <v>224.025884939126</v>
      </c>
      <c r="O39" t="n">
        <v>287.499885671879</v>
      </c>
      <c r="P39" t="n">
        <v>350.410145118679</v>
      </c>
      <c r="Q39" t="n">
        <v>504.080465322873</v>
      </c>
      <c r="R39" t="n">
        <v>551.776200721951</v>
      </c>
      <c r="S39" t="n">
        <v>573.899779623106</v>
      </c>
      <c r="T39" t="n">
        <v>467.412138601563</v>
      </c>
      <c r="U39" t="n">
        <v>918.184365212834</v>
      </c>
      <c r="V39" t="n">
        <v>572.014247814425</v>
      </c>
      <c r="W39" t="n">
        <v>475.028125348944</v>
      </c>
      <c r="X39" t="n">
        <v>765.822239097231</v>
      </c>
      <c r="Y39" t="n">
        <v>662.973809424107</v>
      </c>
      <c r="Z39" t="n">
        <v>636.513875487151</v>
      </c>
      <c r="AA39" t="n">
        <v>705.393343899486</v>
      </c>
      <c r="AB39" t="n">
        <v>631.188848182632</v>
      </c>
      <c r="AC39" t="n">
        <v>916.10325701238</v>
      </c>
      <c r="AD39" t="n">
        <v>930.851791988756</v>
      </c>
      <c r="AE39" t="n">
        <v>993.7</v>
      </c>
      <c r="AF39" t="n">
        <v>790.2</v>
      </c>
    </row>
    <row r="40">
      <c r="A40" t="s">
        <v>69</v>
      </c>
      <c r="B40" t="s">
        <v>350</v>
      </c>
      <c r="C40" t="s">
        <v>217</v>
      </c>
      <c r="D40" t="s">
        <v>351</v>
      </c>
      <c r="E40" t="s">
        <v>218</v>
      </c>
      <c r="F40" t="n">
        <v>12263.3144785445</v>
      </c>
      <c r="G40" t="n">
        <v>12772.4213820046</v>
      </c>
      <c r="H40" t="n">
        <v>11883.2962297714</v>
      </c>
      <c r="I40" t="n">
        <v>14618.1036961385</v>
      </c>
      <c r="J40" t="n">
        <v>15130.4220897663</v>
      </c>
      <c r="K40" t="n">
        <v>15378.4937881668</v>
      </c>
      <c r="L40" t="n">
        <v>14817.2559739805</v>
      </c>
      <c r="M40" t="n">
        <v>15392.0071719889</v>
      </c>
      <c r="N40" t="n">
        <v>18114.3728511282</v>
      </c>
      <c r="O40" t="n">
        <v>21005.8958294575</v>
      </c>
      <c r="P40" t="n">
        <v>19318.9434813858</v>
      </c>
      <c r="Q40" t="n">
        <v>23120.8020696943</v>
      </c>
      <c r="R40" t="n">
        <v>25644.4326213295</v>
      </c>
      <c r="S40" t="n">
        <v>19685.4527522324</v>
      </c>
      <c r="T40" t="n">
        <v>16073.7461362446</v>
      </c>
      <c r="U40" t="n">
        <v>11486.0472325761</v>
      </c>
      <c r="V40" t="n">
        <v>10420.340761115</v>
      </c>
      <c r="W40" t="n">
        <v>6571.73380587533</v>
      </c>
      <c r="X40" t="n">
        <v>4229.20391563309</v>
      </c>
      <c r="Y40" t="n">
        <v>2269.09926916106</v>
      </c>
      <c r="Z40" t="n">
        <v>1560.51295908328</v>
      </c>
      <c r="AA40" t="n">
        <v>1557.21767055407</v>
      </c>
      <c r="AB40" t="n">
        <v>1426.21348628959</v>
      </c>
      <c r="AC40" t="n">
        <v>1651.12674439473</v>
      </c>
      <c r="AD40" t="n">
        <v>1940.42460380908</v>
      </c>
      <c r="AE40" t="n">
        <v>2123.9</v>
      </c>
      <c r="AF40" t="n">
        <v>2739.2</v>
      </c>
    </row>
    <row r="41">
      <c r="A41" t="s">
        <v>69</v>
      </c>
      <c r="B41" t="s">
        <v>352</v>
      </c>
      <c r="C41" t="s">
        <v>217</v>
      </c>
      <c r="D41" t="s">
        <v>353</v>
      </c>
      <c r="E41" t="s">
        <v>218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69</v>
      </c>
      <c r="B42" t="s">
        <v>354</v>
      </c>
      <c r="C42" t="s">
        <v>217</v>
      </c>
      <c r="D42" t="s">
        <v>355</v>
      </c>
      <c r="E42" t="s">
        <v>218</v>
      </c>
      <c r="F42" t="n">
        <v>581.503406315934</v>
      </c>
      <c r="G42" t="n">
        <v>702.028083266646</v>
      </c>
      <c r="H42" t="n">
        <v>793.004227877628</v>
      </c>
      <c r="I42" t="n">
        <v>834.142130726745</v>
      </c>
      <c r="J42" t="n">
        <v>895.024775027471</v>
      </c>
      <c r="K42" t="n">
        <v>1145.61710733391</v>
      </c>
      <c r="L42" t="n">
        <v>1109.60113062482</v>
      </c>
      <c r="M42" t="n">
        <v>950.97072549422</v>
      </c>
      <c r="N42" t="n">
        <v>1291.08557146067</v>
      </c>
      <c r="O42" t="n">
        <v>1336.5844000432</v>
      </c>
      <c r="P42" t="n">
        <v>961.065677365299</v>
      </c>
      <c r="Q42" t="n">
        <v>1017.30182597077</v>
      </c>
      <c r="R42" t="n">
        <v>1293.07575389442</v>
      </c>
      <c r="S42" t="n">
        <v>1101.5975222479</v>
      </c>
      <c r="T42" t="n">
        <v>1061.78201004764</v>
      </c>
      <c r="U42" t="n">
        <v>734.607416167271</v>
      </c>
      <c r="V42" t="n">
        <v>828.432018396438</v>
      </c>
      <c r="W42" t="n">
        <v>720.924068822213</v>
      </c>
      <c r="X42" t="n">
        <v>614.167530789063</v>
      </c>
      <c r="Y42" t="n">
        <v>585.243612911864</v>
      </c>
      <c r="Z42" t="n">
        <v>615.920907467609</v>
      </c>
      <c r="AA42" t="n">
        <v>567.566370693185</v>
      </c>
      <c r="AB42" t="n">
        <v>609.545242594411</v>
      </c>
      <c r="AC42" t="n">
        <v>535.147213966232</v>
      </c>
      <c r="AD42" t="n">
        <v>692.829840881273</v>
      </c>
      <c r="AE42" t="n">
        <v>810.6</v>
      </c>
      <c r="AF42" t="n">
        <v>966.6</v>
      </c>
    </row>
    <row r="43">
      <c r="A43" t="s">
        <v>69</v>
      </c>
      <c r="B43" t="s">
        <v>356</v>
      </c>
      <c r="C43" t="s">
        <v>217</v>
      </c>
      <c r="D43" t="s">
        <v>357</v>
      </c>
      <c r="E43" t="s">
        <v>218</v>
      </c>
      <c r="F43" t="n">
        <v>682.973700494313</v>
      </c>
      <c r="G43" t="n">
        <v>818.969226589309</v>
      </c>
      <c r="H43" t="n">
        <v>942.202451183026</v>
      </c>
      <c r="I43" t="n">
        <v>1012.43321790799</v>
      </c>
      <c r="J43" t="n">
        <v>1058.6385370611</v>
      </c>
      <c r="K43" t="n">
        <v>1344.11154179073</v>
      </c>
      <c r="L43" t="n">
        <v>1415.57260287496</v>
      </c>
      <c r="M43" t="n">
        <v>1174.63331142495</v>
      </c>
      <c r="N43" t="n">
        <v>1646.22254729261</v>
      </c>
      <c r="O43" t="n">
        <v>1914.20246540832</v>
      </c>
      <c r="P43" t="n">
        <v>1988.45803347625</v>
      </c>
      <c r="Q43" t="n">
        <v>2071.65037724348</v>
      </c>
      <c r="R43" t="n">
        <v>2672.86841158994</v>
      </c>
      <c r="S43" t="n">
        <v>3448.66032161221</v>
      </c>
      <c r="T43" t="n">
        <v>3246.4600725022</v>
      </c>
      <c r="U43" t="n">
        <v>1896.84238624365</v>
      </c>
      <c r="V43" t="n">
        <v>1516.95501897396</v>
      </c>
      <c r="W43" t="n">
        <v>983.578834741556</v>
      </c>
      <c r="X43" t="n">
        <v>691.192665379312</v>
      </c>
      <c r="Y43" t="n">
        <v>870.784605785561</v>
      </c>
      <c r="Z43" t="n">
        <v>985.502304704751</v>
      </c>
      <c r="AA43" t="n">
        <v>840.144453388663</v>
      </c>
      <c r="AB43" t="n">
        <v>914.897149467079</v>
      </c>
      <c r="AC43" t="n">
        <v>867.900033380375</v>
      </c>
      <c r="AD43" t="n">
        <v>1306.22835796654</v>
      </c>
      <c r="AE43" t="n">
        <v>1223</v>
      </c>
      <c r="AF43" t="n">
        <v>1541.7</v>
      </c>
    </row>
    <row r="44">
      <c r="A44" t="s">
        <v>69</v>
      </c>
      <c r="B44" t="s">
        <v>358</v>
      </c>
      <c r="C44" t="s">
        <v>217</v>
      </c>
      <c r="D44" t="s">
        <v>359</v>
      </c>
      <c r="E44" t="s">
        <v>218</v>
      </c>
      <c r="F44" t="n">
        <v>9127.30142450755</v>
      </c>
      <c r="G44" t="n">
        <v>10571.8517606463</v>
      </c>
      <c r="H44" t="n">
        <v>11992.6412813295</v>
      </c>
      <c r="I44" t="n">
        <v>13660.7081082841</v>
      </c>
      <c r="J44" t="n">
        <v>14119.0022303429</v>
      </c>
      <c r="K44" t="n">
        <v>16485.6425083098</v>
      </c>
      <c r="L44" t="n">
        <v>17457.5599861647</v>
      </c>
      <c r="M44" t="n">
        <v>16278.764848292</v>
      </c>
      <c r="N44" t="n">
        <v>16874.3177079494</v>
      </c>
      <c r="O44" t="n">
        <v>17365.0640349439</v>
      </c>
      <c r="P44" t="n">
        <v>16043.331376367</v>
      </c>
      <c r="Q44" t="n">
        <v>19043.0912439148</v>
      </c>
      <c r="R44" t="n">
        <v>21726.6604973554</v>
      </c>
      <c r="S44" t="n">
        <v>23141.7469481765</v>
      </c>
      <c r="T44" t="n">
        <v>19888.6912846446</v>
      </c>
      <c r="U44" t="n">
        <v>17107.1572107603</v>
      </c>
      <c r="V44" t="n">
        <v>11602.4841328818</v>
      </c>
      <c r="W44" t="n">
        <v>10903.9654413634</v>
      </c>
      <c r="X44" t="n">
        <v>9846.3454481301</v>
      </c>
      <c r="Y44" t="n">
        <v>10996.252820581</v>
      </c>
      <c r="Z44" t="n">
        <v>11712.7276042298</v>
      </c>
      <c r="AA44" t="n">
        <v>12653.2049477539</v>
      </c>
      <c r="AB44" t="n">
        <v>12543.142085284</v>
      </c>
      <c r="AC44" t="n">
        <v>13359.1431397419</v>
      </c>
      <c r="AD44" t="n">
        <v>14032.5645273372</v>
      </c>
      <c r="AE44" t="n">
        <v>13596.6</v>
      </c>
      <c r="AF44" t="n">
        <v>15986.7</v>
      </c>
    </row>
    <row r="45">
      <c r="A45" t="s">
        <v>69</v>
      </c>
      <c r="B45" t="s">
        <v>360</v>
      </c>
      <c r="C45" t="s">
        <v>217</v>
      </c>
      <c r="D45" t="s">
        <v>361</v>
      </c>
      <c r="E45" t="s">
        <v>218</v>
      </c>
      <c r="F45" t="n">
        <v>8332.08025193734</v>
      </c>
      <c r="G45" t="n">
        <v>9676.76548771972</v>
      </c>
      <c r="H45" t="n">
        <v>10904.0284966817</v>
      </c>
      <c r="I45" t="n">
        <v>12506.0901701692</v>
      </c>
      <c r="J45" t="n">
        <v>12849.0805312333</v>
      </c>
      <c r="K45" t="n">
        <v>15108.0220636811</v>
      </c>
      <c r="L45" t="n">
        <v>15978.2840592811</v>
      </c>
      <c r="M45" t="n">
        <v>15083.3715210985</v>
      </c>
      <c r="N45" t="n">
        <v>15451.0099854957</v>
      </c>
      <c r="O45" t="n">
        <v>15836.6600969302</v>
      </c>
      <c r="P45" t="n">
        <v>14332.9898858726</v>
      </c>
      <c r="Q45" t="n">
        <v>17454.4895849816</v>
      </c>
      <c r="R45" t="n">
        <v>19595.5414762372</v>
      </c>
      <c r="S45" t="n">
        <v>20595.3941739309</v>
      </c>
      <c r="T45" t="n">
        <v>17834.5601711899</v>
      </c>
      <c r="U45" t="n">
        <v>15004.2902239989</v>
      </c>
      <c r="V45" t="n">
        <v>10123.7856379856</v>
      </c>
      <c r="W45" t="n">
        <v>9625.03446898963</v>
      </c>
      <c r="X45" t="n">
        <v>8060.78054035857</v>
      </c>
      <c r="Y45" t="n">
        <v>9656.40792591067</v>
      </c>
      <c r="Z45" t="n">
        <v>10119.6118438627</v>
      </c>
      <c r="AA45" t="n">
        <v>10839.1227860636</v>
      </c>
      <c r="AB45" t="n">
        <v>10740.1711794553</v>
      </c>
      <c r="AC45" t="n">
        <v>11299.8332030488</v>
      </c>
      <c r="AD45" t="n">
        <v>11781.300790459</v>
      </c>
      <c r="AE45" t="n">
        <v>11520</v>
      </c>
      <c r="AF45" t="n">
        <v>13460.4</v>
      </c>
    </row>
    <row r="46">
      <c r="A46" t="s">
        <v>69</v>
      </c>
      <c r="B46" t="s">
        <v>362</v>
      </c>
      <c r="C46" t="s">
        <v>217</v>
      </c>
      <c r="D46" t="s">
        <v>363</v>
      </c>
      <c r="E46" t="s">
        <v>218</v>
      </c>
      <c r="F46" t="n">
        <v>132.225909479603</v>
      </c>
      <c r="G46" t="n">
        <v>154.560564450102</v>
      </c>
      <c r="H46" t="n">
        <v>190.299103888007</v>
      </c>
      <c r="I46" t="n">
        <v>220.238891388861</v>
      </c>
      <c r="J46" t="n">
        <v>210.062106854569</v>
      </c>
      <c r="K46" t="n">
        <v>258.546247177707</v>
      </c>
      <c r="L46" t="n">
        <v>357.472831451359</v>
      </c>
      <c r="M46" t="n">
        <v>269.802465188677</v>
      </c>
      <c r="N46" t="n">
        <v>415.119800488039</v>
      </c>
      <c r="O46" t="n">
        <v>628.461868942507</v>
      </c>
      <c r="P46" t="n">
        <v>1034.77494351038</v>
      </c>
      <c r="Q46" t="n">
        <v>1063.23592870631</v>
      </c>
      <c r="R46" t="n">
        <v>1389.98949548728</v>
      </c>
      <c r="S46" t="n">
        <v>2322.87516433473</v>
      </c>
      <c r="T46" t="n">
        <v>2163.08744735323</v>
      </c>
      <c r="U46" t="n">
        <v>1154.70097835672</v>
      </c>
      <c r="V46" t="n">
        <v>687.058921161672</v>
      </c>
      <c r="W46" t="n">
        <v>261.591176498553</v>
      </c>
      <c r="X46" t="n">
        <v>75.0085768652821</v>
      </c>
      <c r="Y46" t="n">
        <v>285.250871015458</v>
      </c>
      <c r="Z46" t="n">
        <v>369.358221022797</v>
      </c>
      <c r="AA46" t="n">
        <v>272.649912615215</v>
      </c>
      <c r="AB46" t="n">
        <v>305.332248671525</v>
      </c>
      <c r="AC46" t="n">
        <v>332.799166690717</v>
      </c>
      <c r="AD46" t="n">
        <v>613.922683397683</v>
      </c>
      <c r="AE46" t="n">
        <v>412.4</v>
      </c>
      <c r="AF46" t="n">
        <v>575.1</v>
      </c>
    </row>
    <row r="47">
      <c r="A47" t="s">
        <v>69</v>
      </c>
      <c r="B47" t="s">
        <v>364</v>
      </c>
      <c r="C47" t="s">
        <v>217</v>
      </c>
      <c r="D47" t="s">
        <v>365</v>
      </c>
      <c r="E47" t="s">
        <v>218</v>
      </c>
      <c r="F47" t="n">
        <v>3503.75081883508</v>
      </c>
      <c r="G47" t="n">
        <v>3764.4109631184</v>
      </c>
      <c r="H47" t="n">
        <v>3861.99119552835</v>
      </c>
      <c r="I47" t="n">
        <v>4707.89995646723</v>
      </c>
      <c r="J47" t="n">
        <v>6019.58047679707</v>
      </c>
      <c r="K47" t="n">
        <v>4863.1527573593</v>
      </c>
      <c r="L47" t="n">
        <v>5991.90414735012</v>
      </c>
      <c r="M47" t="n">
        <v>5914.59775656219</v>
      </c>
      <c r="N47" t="n">
        <v>6862.58981542027</v>
      </c>
      <c r="O47" t="n">
        <v>6934.90284951038</v>
      </c>
      <c r="P47" t="n">
        <v>4222.55631252947</v>
      </c>
      <c r="Q47" t="n">
        <v>5309.08047864692</v>
      </c>
      <c r="R47" t="n">
        <v>6195.64518528887</v>
      </c>
      <c r="S47" t="n">
        <v>7189.57791738361</v>
      </c>
      <c r="T47" t="n">
        <v>7465.89860340847</v>
      </c>
      <c r="U47" t="n">
        <v>5581.50466713429</v>
      </c>
      <c r="V47" t="n">
        <v>3148.54586257249</v>
      </c>
      <c r="W47" t="n">
        <v>2846.91765468096</v>
      </c>
      <c r="X47" t="n">
        <v>4050.93898758702</v>
      </c>
      <c r="Y47" t="n">
        <v>4787.42212248426</v>
      </c>
      <c r="Z47" t="n">
        <v>4770.66279318971</v>
      </c>
      <c r="AA47" t="n">
        <v>4496.36455828572</v>
      </c>
      <c r="AB47" t="n">
        <v>6162.15003113074</v>
      </c>
      <c r="AC47" t="n">
        <v>3914.28217321717</v>
      </c>
      <c r="AD47" t="n">
        <v>2610.68117721519</v>
      </c>
      <c r="AE47" t="n">
        <v>3148.4</v>
      </c>
      <c r="AF47" t="n">
        <v>4232.1</v>
      </c>
    </row>
    <row r="48">
      <c r="A48" t="s">
        <v>69</v>
      </c>
      <c r="B48" t="s">
        <v>366</v>
      </c>
      <c r="C48" t="s">
        <v>217</v>
      </c>
      <c r="D48" t="s">
        <v>367</v>
      </c>
      <c r="E48" t="s">
        <v>218</v>
      </c>
      <c r="F48" t="n">
        <v>5208.8876551694</v>
      </c>
      <c r="G48" t="n">
        <v>5701.01069098032</v>
      </c>
      <c r="H48" t="n">
        <v>5987.57401330065</v>
      </c>
      <c r="I48" t="n">
        <v>6950.19548491749</v>
      </c>
      <c r="J48" t="n">
        <v>8477.82426757348</v>
      </c>
      <c r="K48" t="n">
        <v>7619.9781894565</v>
      </c>
      <c r="L48" t="n">
        <v>8791.57401406531</v>
      </c>
      <c r="M48" t="n">
        <v>8369.88076963202</v>
      </c>
      <c r="N48" t="n">
        <v>9731.48196196973</v>
      </c>
      <c r="O48" t="n">
        <v>9676.34158956561</v>
      </c>
      <c r="P48" t="n">
        <v>6858.58724652739</v>
      </c>
      <c r="Q48" t="n">
        <v>7938.61418372044</v>
      </c>
      <c r="R48" t="n">
        <v>8728.21075942417</v>
      </c>
      <c r="S48" t="n">
        <v>9588.85394644576</v>
      </c>
      <c r="T48" t="n">
        <v>9576.38619211961</v>
      </c>
      <c r="U48" t="n">
        <v>6951.13648952366</v>
      </c>
      <c r="V48" t="n">
        <v>4406.62036272491</v>
      </c>
      <c r="W48" t="n">
        <v>4115.39142313119</v>
      </c>
      <c r="X48" t="n">
        <v>5557.40492846398</v>
      </c>
      <c r="Y48" t="n">
        <v>6041.54486612676</v>
      </c>
      <c r="Z48" t="n">
        <v>6102.93505238488</v>
      </c>
      <c r="AA48" t="n">
        <v>5675.95576752052</v>
      </c>
      <c r="AB48" t="n">
        <v>7432.29339048902</v>
      </c>
      <c r="AC48" t="n">
        <v>5422.90496511591</v>
      </c>
      <c r="AD48" t="n">
        <v>4297.46013875043</v>
      </c>
      <c r="AE48" t="n">
        <v>4886.6</v>
      </c>
      <c r="AF48" t="n">
        <v>6345.6</v>
      </c>
    </row>
    <row r="49">
      <c r="A49" t="s">
        <v>69</v>
      </c>
      <c r="B49" t="s">
        <v>368</v>
      </c>
      <c r="C49" t="s">
        <v>217</v>
      </c>
      <c r="D49" t="s">
        <v>369</v>
      </c>
      <c r="E49" t="s">
        <v>218</v>
      </c>
      <c r="F49" t="n">
        <v>1384.96987242608</v>
      </c>
      <c r="G49" t="n">
        <v>1537.86226663073</v>
      </c>
      <c r="H49" t="n">
        <v>1693.0470909434</v>
      </c>
      <c r="I49" t="n">
        <v>1763.84441012645</v>
      </c>
      <c r="J49" t="n">
        <v>1886.23416547413</v>
      </c>
      <c r="K49" t="n">
        <v>2074.55595241849</v>
      </c>
      <c r="L49" t="n">
        <v>1805.53527451718</v>
      </c>
      <c r="M49" t="n">
        <v>1500.64506437862</v>
      </c>
      <c r="N49" t="n">
        <v>2016.09034452741</v>
      </c>
      <c r="O49" t="n">
        <v>1886.39477608609</v>
      </c>
      <c r="P49" t="n">
        <v>1906.38569742414</v>
      </c>
      <c r="Q49" t="n">
        <v>2115.95497239151</v>
      </c>
      <c r="R49" t="n">
        <v>1963.64595698378</v>
      </c>
      <c r="S49" t="n">
        <v>1810.90808564016</v>
      </c>
      <c r="T49" t="n">
        <v>1456.8441861713</v>
      </c>
      <c r="U49" t="n">
        <v>970.111495482129</v>
      </c>
      <c r="V49" t="n">
        <v>914.218649382074</v>
      </c>
      <c r="W49" t="n">
        <v>988.632923400545</v>
      </c>
      <c r="X49" t="n">
        <v>1166.2958499915</v>
      </c>
      <c r="Y49" t="n">
        <v>991.02440173313</v>
      </c>
      <c r="Z49" t="n">
        <v>956.059709132316</v>
      </c>
      <c r="AA49" t="n">
        <v>835.410296315971</v>
      </c>
      <c r="AB49" t="n">
        <v>723.501751949657</v>
      </c>
      <c r="AC49" t="n">
        <v>839.063131436324</v>
      </c>
      <c r="AD49" t="n">
        <v>960.995219123506</v>
      </c>
      <c r="AE49" t="n">
        <v>1067.3</v>
      </c>
      <c r="AF49" t="n">
        <v>1175.5</v>
      </c>
    </row>
    <row r="50">
      <c r="A50" t="s">
        <v>69</v>
      </c>
      <c r="B50" t="s">
        <v>370</v>
      </c>
      <c r="C50" t="s">
        <v>217</v>
      </c>
      <c r="D50" t="s">
        <v>371</v>
      </c>
      <c r="E50" t="s">
        <v>218</v>
      </c>
      <c r="F50" t="n">
        <v>397.928882721584</v>
      </c>
      <c r="G50" t="n">
        <v>483.106043435462</v>
      </c>
      <c r="H50" t="n">
        <v>529.020562235094</v>
      </c>
      <c r="I50" t="n">
        <v>568.778427308558</v>
      </c>
      <c r="J50" t="n">
        <v>653.303133623369</v>
      </c>
      <c r="K50" t="n">
        <v>788.543946251715</v>
      </c>
      <c r="L50" t="n">
        <v>1049.76438665089</v>
      </c>
      <c r="M50" t="n">
        <v>982.948462236194</v>
      </c>
      <c r="N50" t="n">
        <v>918.286416196775</v>
      </c>
      <c r="O50" t="n">
        <v>904.991680078104</v>
      </c>
      <c r="P50" t="n">
        <v>846.106323246808</v>
      </c>
      <c r="Q50" t="n">
        <v>622.086968750574</v>
      </c>
      <c r="R50" t="n">
        <v>634.509917111259</v>
      </c>
      <c r="S50" t="n">
        <v>607.870580341634</v>
      </c>
      <c r="T50" t="n">
        <v>633.850527587259</v>
      </c>
      <c r="U50" t="n">
        <v>370.416456794331</v>
      </c>
      <c r="V50" t="n">
        <v>354.523018047457</v>
      </c>
      <c r="W50" t="n">
        <v>293.530870139904</v>
      </c>
      <c r="X50" t="n">
        <v>351.567017341113</v>
      </c>
      <c r="Y50" t="n">
        <v>263.156654733556</v>
      </c>
      <c r="Z50" t="n">
        <v>379.684686444564</v>
      </c>
      <c r="AA50" t="n">
        <v>346.294827236432</v>
      </c>
      <c r="AB50" t="n">
        <v>548.25012942891</v>
      </c>
      <c r="AC50" t="n">
        <v>669.595625858752</v>
      </c>
      <c r="AD50" t="n">
        <v>725.088076923077</v>
      </c>
      <c r="AE50" t="n">
        <v>670.9</v>
      </c>
      <c r="AF50" t="n">
        <v>938</v>
      </c>
    </row>
    <row r="51">
      <c r="A51" t="s">
        <v>69</v>
      </c>
      <c r="B51" t="s">
        <v>372</v>
      </c>
      <c r="C51" t="s">
        <v>217</v>
      </c>
      <c r="D51" t="s">
        <v>373</v>
      </c>
      <c r="E51" t="s">
        <v>218</v>
      </c>
      <c r="F51" t="n">
        <v>374.726234909371</v>
      </c>
      <c r="G51" t="n">
        <v>454.594509994876</v>
      </c>
      <c r="H51" t="n">
        <v>497.715615340076</v>
      </c>
      <c r="I51" t="n">
        <v>535.017125196997</v>
      </c>
      <c r="J51" t="n">
        <v>614.26175785935</v>
      </c>
      <c r="K51" t="n">
        <v>740.97250887661</v>
      </c>
      <c r="L51" t="n">
        <v>985.999277003249</v>
      </c>
      <c r="M51" t="n">
        <v>923.274479024612</v>
      </c>
      <c r="N51" t="n">
        <v>862.884333082391</v>
      </c>
      <c r="O51" t="n">
        <v>850.623850152754</v>
      </c>
      <c r="P51" t="n">
        <v>715.37688557553</v>
      </c>
      <c r="Q51" t="n">
        <v>538.44885226801</v>
      </c>
      <c r="R51" t="n">
        <v>554.714603993121</v>
      </c>
      <c r="S51" t="n">
        <v>505.498545931476</v>
      </c>
      <c r="T51" t="n">
        <v>569.70643700991</v>
      </c>
      <c r="U51" t="n">
        <v>339.380243670739</v>
      </c>
      <c r="V51" t="n">
        <v>311.065323223474</v>
      </c>
      <c r="W51" t="n">
        <v>262.350201130344</v>
      </c>
      <c r="X51" t="n">
        <v>307.967737043863</v>
      </c>
      <c r="Y51" t="n">
        <v>241.882787366606</v>
      </c>
      <c r="Z51" t="n">
        <v>348.613318850474</v>
      </c>
      <c r="AA51" t="n">
        <v>312.011920485794</v>
      </c>
      <c r="AB51" t="n">
        <v>523.187670452294</v>
      </c>
      <c r="AC51" t="n">
        <v>636.724582918867</v>
      </c>
      <c r="AD51" t="n">
        <v>700.665953517008</v>
      </c>
      <c r="AE51" t="n">
        <v>644.7</v>
      </c>
      <c r="AF51" t="n">
        <v>893.3</v>
      </c>
    </row>
    <row r="52">
      <c r="A52" t="s">
        <v>69</v>
      </c>
      <c r="B52" t="s">
        <v>374</v>
      </c>
      <c r="C52" t="s">
        <v>217</v>
      </c>
      <c r="D52" t="s">
        <v>375</v>
      </c>
      <c r="E52" t="s">
        <v>218</v>
      </c>
      <c r="F52" t="n">
        <v>23.3060647500696</v>
      </c>
      <c r="G52" t="n">
        <v>28.6259273560638</v>
      </c>
      <c r="H52" t="n">
        <v>31.427613863253</v>
      </c>
      <c r="I52" t="n">
        <v>33.8902253973139</v>
      </c>
      <c r="J52" t="n">
        <v>39.1820546121768</v>
      </c>
      <c r="K52" t="n">
        <v>47.7288483944364</v>
      </c>
      <c r="L52" t="n">
        <v>63.9631505694147</v>
      </c>
      <c r="M52" t="n">
        <v>59.8602511085477</v>
      </c>
      <c r="N52" t="n">
        <v>55.5845188865085</v>
      </c>
      <c r="O52" t="n">
        <v>54.553266217</v>
      </c>
      <c r="P52" t="n">
        <v>129.123225171416</v>
      </c>
      <c r="Q52" t="n">
        <v>82.7097880136779</v>
      </c>
      <c r="R52" t="n">
        <v>79.1137102739528</v>
      </c>
      <c r="S52" t="n">
        <v>100.466540036947</v>
      </c>
      <c r="T52" t="n">
        <v>64.1255332101856</v>
      </c>
      <c r="U52" t="n">
        <v>31.2878356901661</v>
      </c>
      <c r="V52" t="n">
        <v>43.2253483842602</v>
      </c>
      <c r="W52" t="n">
        <v>31.1222508366674</v>
      </c>
      <c r="X52" t="n">
        <v>43.3971758560983</v>
      </c>
      <c r="Y52" t="n">
        <v>21.3093755885326</v>
      </c>
      <c r="Z52" t="n">
        <v>31.1215996967406</v>
      </c>
      <c r="AA52" t="n">
        <v>34.313558639996</v>
      </c>
      <c r="AB52" t="n">
        <v>25.1099219202303</v>
      </c>
      <c r="AC52" t="n">
        <v>32.9442175593422</v>
      </c>
      <c r="AD52" t="n">
        <v>24.4068441064639</v>
      </c>
      <c r="AE52" t="n">
        <v>26.2</v>
      </c>
      <c r="AF52" t="n">
        <v>44.7</v>
      </c>
    </row>
    <row r="53">
      <c r="A53" t="s">
        <v>69</v>
      </c>
      <c r="B53" t="s">
        <v>376</v>
      </c>
      <c r="C53" t="s">
        <v>217</v>
      </c>
      <c r="D53" t="s">
        <v>377</v>
      </c>
      <c r="E53" t="s">
        <v>218</v>
      </c>
      <c r="F53" t="n">
        <v>187.452367520775</v>
      </c>
      <c r="G53" t="n">
        <v>225.274126505084</v>
      </c>
      <c r="H53" t="n">
        <v>242.683457606291</v>
      </c>
      <c r="I53" t="n">
        <v>243.435964451582</v>
      </c>
      <c r="J53" t="n">
        <v>265.032057897262</v>
      </c>
      <c r="K53" t="n">
        <v>303.422390891106</v>
      </c>
      <c r="L53" t="n">
        <v>537.828853909763</v>
      </c>
      <c r="M53" t="n">
        <v>673.517110033488</v>
      </c>
      <c r="N53" t="n">
        <v>812.824862045184</v>
      </c>
      <c r="O53" t="n">
        <v>707.092401994005</v>
      </c>
      <c r="P53" t="n">
        <v>512.673315680827</v>
      </c>
      <c r="Q53" t="n">
        <v>518.425464265577</v>
      </c>
      <c r="R53" t="n">
        <v>426.265399161821</v>
      </c>
      <c r="S53" t="n">
        <v>528.974032346996</v>
      </c>
      <c r="T53" t="n">
        <v>362.793623999872</v>
      </c>
      <c r="U53" t="n">
        <v>247.756759828515</v>
      </c>
      <c r="V53" t="n">
        <v>233.409399853991</v>
      </c>
      <c r="W53" t="n">
        <v>182.03239263139</v>
      </c>
      <c r="X53" t="n">
        <v>283.375983438897</v>
      </c>
      <c r="Y53" t="n">
        <v>224.913905978234</v>
      </c>
      <c r="Z53" t="n">
        <v>212.759068352872</v>
      </c>
      <c r="AA53" t="n">
        <v>214.36631343958</v>
      </c>
      <c r="AB53" t="n">
        <v>163.9331741085</v>
      </c>
      <c r="AC53" t="n">
        <v>213.458891100336</v>
      </c>
      <c r="AD53" t="n">
        <v>194.284114285714</v>
      </c>
      <c r="AE53" t="n">
        <v>175.8</v>
      </c>
      <c r="AF53" t="n">
        <v>147.3</v>
      </c>
    </row>
    <row r="54">
      <c r="A54" t="s">
        <v>69</v>
      </c>
      <c r="B54" t="s">
        <v>378</v>
      </c>
      <c r="C54" t="s">
        <v>217</v>
      </c>
      <c r="D54" t="s">
        <v>379</v>
      </c>
      <c r="E54" t="s">
        <v>218</v>
      </c>
      <c r="F54" t="n">
        <v>907.514558185659</v>
      </c>
      <c r="G54" t="n">
        <v>1119.81719575004</v>
      </c>
      <c r="H54" t="n">
        <v>1267.6668178601</v>
      </c>
      <c r="I54" t="n">
        <v>1283.17670420919</v>
      </c>
      <c r="J54" t="n">
        <v>1537.69766812878</v>
      </c>
      <c r="K54" t="n">
        <v>1878.02511733805</v>
      </c>
      <c r="L54" t="n">
        <v>1024.50563803221</v>
      </c>
      <c r="M54" t="n">
        <v>1104.61449646304</v>
      </c>
      <c r="N54" t="n">
        <v>1191.82910093986</v>
      </c>
      <c r="O54" t="n">
        <v>1182.52033360783</v>
      </c>
      <c r="P54" t="n">
        <v>963.109983122139</v>
      </c>
      <c r="Q54" t="n">
        <v>1065.96340231629</v>
      </c>
      <c r="R54" t="n">
        <v>1009.54001451951</v>
      </c>
      <c r="S54" t="n">
        <v>1151.82549479296</v>
      </c>
      <c r="T54" t="n">
        <v>1883.21643762631</v>
      </c>
      <c r="U54" t="n">
        <v>358.684755213309</v>
      </c>
      <c r="V54" t="n">
        <v>389.080138063244</v>
      </c>
      <c r="W54" t="n">
        <v>298.57629736427</v>
      </c>
      <c r="X54" t="n">
        <v>426.207557939713</v>
      </c>
      <c r="Y54" t="n">
        <v>425.045437808998</v>
      </c>
      <c r="Z54" t="n">
        <v>457.232386177345</v>
      </c>
      <c r="AA54" t="n">
        <v>397.584662043269</v>
      </c>
      <c r="AB54" t="n">
        <v>331.049671333422</v>
      </c>
      <c r="AC54" t="n">
        <v>321.614299150152</v>
      </c>
      <c r="AD54" t="n">
        <v>305.108275610645</v>
      </c>
      <c r="AE54" t="n">
        <v>275.3</v>
      </c>
      <c r="AF54" t="n">
        <v>257.6</v>
      </c>
    </row>
    <row r="55">
      <c r="A55" t="s">
        <v>69</v>
      </c>
      <c r="B55" t="s">
        <v>380</v>
      </c>
      <c r="C55" t="s">
        <v>217</v>
      </c>
      <c r="D55" t="s">
        <v>381</v>
      </c>
      <c r="E55" t="s">
        <v>218</v>
      </c>
      <c r="F55" t="n">
        <v>698.135458612254</v>
      </c>
      <c r="G55" t="n">
        <v>866.713152082741</v>
      </c>
      <c r="H55" t="n">
        <v>992.127803997887</v>
      </c>
      <c r="I55" t="n">
        <v>1006.26551210319</v>
      </c>
      <c r="J55" t="n">
        <v>1230.03705216373</v>
      </c>
      <c r="K55" t="n">
        <v>1520.94939318486</v>
      </c>
      <c r="L55" t="n">
        <v>485.320745839595</v>
      </c>
      <c r="M55" t="n">
        <v>436.372304848868</v>
      </c>
      <c r="N55" t="n">
        <v>390.116238503656</v>
      </c>
      <c r="O55" t="n">
        <v>480.961140922087</v>
      </c>
      <c r="P55" t="n">
        <v>452.811747526395</v>
      </c>
      <c r="Q55" t="n">
        <v>548.416544108806</v>
      </c>
      <c r="R55" t="n">
        <v>583.331107958742</v>
      </c>
      <c r="S55" t="n">
        <v>623.030166725889</v>
      </c>
      <c r="T55" t="n">
        <v>1521.15832347896</v>
      </c>
      <c r="U55" t="n">
        <v>110.939063412559</v>
      </c>
      <c r="V55" t="n">
        <v>155.564205702213</v>
      </c>
      <c r="W55" t="n">
        <v>116.482043458844</v>
      </c>
      <c r="X55" t="n">
        <v>142.920402007068</v>
      </c>
      <c r="Y55" t="n">
        <v>199.780170843326</v>
      </c>
      <c r="Z55" t="n">
        <v>243.989779866812</v>
      </c>
      <c r="AA55" t="n">
        <v>182.967366645927</v>
      </c>
      <c r="AB55" t="n">
        <v>166.793455782199</v>
      </c>
      <c r="AC55" t="n">
        <v>108.198540970766</v>
      </c>
      <c r="AD55" t="n">
        <v>110.822759315206</v>
      </c>
      <c r="AE55" t="n">
        <v>99.5</v>
      </c>
      <c r="AF55" t="n">
        <v>110.3</v>
      </c>
    </row>
    <row r="56">
      <c r="A56" t="s">
        <v>69</v>
      </c>
      <c r="B56" t="s">
        <v>382</v>
      </c>
      <c r="C56" t="s">
        <v>217</v>
      </c>
      <c r="D56" t="s">
        <v>383</v>
      </c>
      <c r="E56" t="s">
        <v>218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69</v>
      </c>
      <c r="B57" t="s">
        <v>384</v>
      </c>
      <c r="C57" t="s">
        <v>217</v>
      </c>
      <c r="D57" t="s">
        <v>385</v>
      </c>
      <c r="E57" t="s">
        <v>218</v>
      </c>
      <c r="F57" t="n">
        <v>27104.2097331977</v>
      </c>
      <c r="G57" t="n">
        <v>29649.9440118946</v>
      </c>
      <c r="H57" t="n">
        <v>30562.4201029365</v>
      </c>
      <c r="I57" t="n">
        <v>36032.8623639114</v>
      </c>
      <c r="J57" t="n">
        <v>38559.4078307629</v>
      </c>
      <c r="K57" t="n">
        <v>40405.5818186802</v>
      </c>
      <c r="L57" t="n">
        <v>41993.9213409153</v>
      </c>
      <c r="M57" t="n">
        <v>40958.1401923115</v>
      </c>
      <c r="N57" t="n">
        <v>45772.5917505014</v>
      </c>
      <c r="O57" t="n">
        <v>49257.4335906718</v>
      </c>
      <c r="P57" t="n">
        <v>43337.4503912755</v>
      </c>
      <c r="Q57" t="n">
        <v>51439.7876028962</v>
      </c>
      <c r="R57" t="n">
        <v>57566.7268146718</v>
      </c>
      <c r="S57" t="n">
        <v>53358.2186814077</v>
      </c>
      <c r="T57" t="n">
        <v>46281.5061338404</v>
      </c>
      <c r="U57" t="n">
        <v>36006.6484161121</v>
      </c>
      <c r="V57" t="n">
        <v>26915.4907709928</v>
      </c>
      <c r="W57" t="n">
        <v>21845.194601489</v>
      </c>
      <c r="X57" t="n">
        <v>19800.0575789135</v>
      </c>
      <c r="Y57" t="n">
        <v>19357.6622531846</v>
      </c>
      <c r="Z57" t="n">
        <v>19392.9921692264</v>
      </c>
      <c r="AA57" t="n">
        <v>19890.6828166929</v>
      </c>
      <c r="AB57" t="n">
        <v>21415.080195328</v>
      </c>
      <c r="AC57" t="n">
        <v>20436.7532344234</v>
      </c>
      <c r="AD57" t="n">
        <v>20268.0896548552</v>
      </c>
      <c r="AE57" t="n">
        <v>20607.1</v>
      </c>
      <c r="AF57" t="n">
        <v>25071.5</v>
      </c>
    </row>
    <row r="58">
      <c r="A58" t="s">
        <v>69</v>
      </c>
      <c r="B58" t="s">
        <v>386</v>
      </c>
      <c r="C58" t="s">
        <v>217</v>
      </c>
      <c r="D58" t="s">
        <v>387</v>
      </c>
      <c r="E58" t="s">
        <v>218</v>
      </c>
      <c r="F58" t="n">
        <v>27104.2097331977</v>
      </c>
      <c r="G58" t="n">
        <v>29649.9440118946</v>
      </c>
      <c r="H58" t="n">
        <v>30562.4201029365</v>
      </c>
      <c r="I58" t="n">
        <v>36032.8623639114</v>
      </c>
      <c r="J58" t="n">
        <v>38559.4078307629</v>
      </c>
      <c r="K58" t="n">
        <v>40405.5818186802</v>
      </c>
      <c r="L58" t="n">
        <v>41993.9213409153</v>
      </c>
      <c r="M58" t="n">
        <v>40958.1401923115</v>
      </c>
      <c r="N58" t="n">
        <v>45772.5917505014</v>
      </c>
      <c r="O58" t="n">
        <v>49257.4335906718</v>
      </c>
      <c r="P58" t="n">
        <v>43337.4503912755</v>
      </c>
      <c r="Q58" t="n">
        <v>51439.7876028962</v>
      </c>
      <c r="R58" t="n">
        <v>57566.7268146718</v>
      </c>
      <c r="S58" t="n">
        <v>53358.2186814077</v>
      </c>
      <c r="T58" t="n">
        <v>46281.5061338404</v>
      </c>
      <c r="U58" t="n">
        <v>36006.6484161121</v>
      </c>
      <c r="V58" t="n">
        <v>26915.4907709928</v>
      </c>
      <c r="W58" t="n">
        <v>21845.194601489</v>
      </c>
      <c r="X58" t="n">
        <v>19800.0575789135</v>
      </c>
      <c r="Y58" t="n">
        <v>19357.6622531846</v>
      </c>
      <c r="Z58" t="n">
        <v>19392.9921692264</v>
      </c>
      <c r="AA58" t="n">
        <v>19890.6828166929</v>
      </c>
      <c r="AB58" t="n">
        <v>21415.080195328</v>
      </c>
      <c r="AC58" t="n">
        <v>20436.7532344234</v>
      </c>
      <c r="AD58" t="n">
        <v>20268.0896548552</v>
      </c>
      <c r="AE58" t="n">
        <v>20607.1</v>
      </c>
      <c r="AF58" t="n">
        <v>25071.5</v>
      </c>
    </row>
    <row r="59">
      <c r="A59" t="s">
        <v>69</v>
      </c>
      <c r="B59" t="s">
        <v>388</v>
      </c>
      <c r="C59" t="s">
        <v>217</v>
      </c>
      <c r="D59" t="s">
        <v>389</v>
      </c>
      <c r="E59" t="s">
        <v>218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141</v>
      </c>
      <c r="B2" t="s">
        <v>197</v>
      </c>
      <c r="C2" t="s">
        <v>217</v>
      </c>
      <c r="D2" t="s">
        <v>199</v>
      </c>
      <c r="E2" t="s">
        <v>218</v>
      </c>
      <c r="F2" t="n">
        <v>0.919786101200835</v>
      </c>
      <c r="G2" t="n">
        <v>0.919786101200835</v>
      </c>
      <c r="H2" t="n">
        <v>0.919786101200835</v>
      </c>
      <c r="I2" t="n">
        <v>1.01176471132092</v>
      </c>
      <c r="J2" t="n">
        <v>1.01176471132092</v>
      </c>
      <c r="K2" t="n">
        <v>1.28770054168117</v>
      </c>
      <c r="L2" t="n">
        <v>1.19572193156109</v>
      </c>
      <c r="M2" t="n">
        <v>1.11031322216387</v>
      </c>
      <c r="N2" t="n">
        <v>1.02490451276664</v>
      </c>
      <c r="O2" t="n">
        <v>1.02490451276664</v>
      </c>
      <c r="P2" t="n">
        <v>2.98154040077569</v>
      </c>
      <c r="Q2" t="n">
        <v>2.11593189732469</v>
      </c>
      <c r="R2" t="n">
        <v>9.61787226056676</v>
      </c>
      <c r="S2" t="n">
        <v>9.0349709114415</v>
      </c>
      <c r="T2" t="n">
        <v>11.1955074337427</v>
      </c>
      <c r="U2" t="n">
        <v>12.7668067226891</v>
      </c>
      <c r="V2" t="n">
        <v>11.2937136393019</v>
      </c>
      <c r="W2" t="n">
        <v>10.2134453781513</v>
      </c>
      <c r="X2" t="n">
        <v>9.72709083633453</v>
      </c>
      <c r="Y2" t="n">
        <v>9.72709083633453</v>
      </c>
      <c r="Z2" t="n">
        <v>10.4079871948779</v>
      </c>
      <c r="AA2" t="n">
        <v>10.2134453781513</v>
      </c>
      <c r="AB2" t="n">
        <v>10.2134453781513</v>
      </c>
      <c r="AC2" t="n">
        <v>10.5109243697479</v>
      </c>
      <c r="AD2" t="n">
        <v>10.9075630252101</v>
      </c>
      <c r="AE2" t="n">
        <v>11.8</v>
      </c>
      <c r="AF2" t="n">
        <v>13.1</v>
      </c>
    </row>
    <row r="3">
      <c r="A3" t="s">
        <v>141</v>
      </c>
      <c r="B3" t="s">
        <v>276</v>
      </c>
      <c r="C3" t="s">
        <v>217</v>
      </c>
      <c r="D3" t="s">
        <v>277</v>
      </c>
      <c r="E3" t="s">
        <v>218</v>
      </c>
      <c r="F3" t="n">
        <v>0.731248340805852</v>
      </c>
      <c r="G3" t="n">
        <v>0.835712389492402</v>
      </c>
      <c r="H3" t="n">
        <v>0.940176438178953</v>
      </c>
      <c r="I3" t="n">
        <v>1.03419408199685</v>
      </c>
      <c r="J3" t="n">
        <v>1.03419408199685</v>
      </c>
      <c r="K3" t="n">
        <v>1.29274260249606</v>
      </c>
      <c r="L3" t="n">
        <v>1.37892544266246</v>
      </c>
      <c r="M3" t="n">
        <v>1.29781218132938</v>
      </c>
      <c r="N3" t="n">
        <v>1.37892544266246</v>
      </c>
      <c r="O3" t="n">
        <v>1.46003870399555</v>
      </c>
      <c r="P3" t="n">
        <v>2.27117131732641</v>
      </c>
      <c r="Q3" t="n">
        <v>3.02822842310188</v>
      </c>
      <c r="R3" t="n">
        <v>3.97995735607676</v>
      </c>
      <c r="S3" t="n">
        <v>5.92571428571428</v>
      </c>
      <c r="T3" t="n">
        <v>6.27948827292111</v>
      </c>
      <c r="U3" t="n">
        <v>5.92571428571428</v>
      </c>
      <c r="V3" t="n">
        <v>4.76</v>
      </c>
      <c r="W3" t="n">
        <v>4.27428571428571</v>
      </c>
      <c r="X3" t="n">
        <v>3.49714285714286</v>
      </c>
      <c r="Y3" t="n">
        <v>3.30285714285714</v>
      </c>
      <c r="Z3" t="n">
        <v>3.49714285714286</v>
      </c>
      <c r="AA3" t="n">
        <v>3.20571428571429</v>
      </c>
      <c r="AB3" t="n">
        <v>3.01142857142857</v>
      </c>
      <c r="AC3" t="n">
        <v>3.4</v>
      </c>
      <c r="AD3" t="n">
        <v>3.8</v>
      </c>
      <c r="AE3" t="n">
        <v>3.5</v>
      </c>
      <c r="AF3" t="n">
        <v>3.5</v>
      </c>
    </row>
    <row r="4">
      <c r="A4" t="s">
        <v>141</v>
      </c>
      <c r="B4" t="s">
        <v>278</v>
      </c>
      <c r="C4" t="s">
        <v>217</v>
      </c>
      <c r="D4" t="s">
        <v>279</v>
      </c>
      <c r="E4" t="s">
        <v>218</v>
      </c>
      <c r="F4" t="n">
        <v>155.841400222862</v>
      </c>
      <c r="G4" t="n">
        <v>174.036081467156</v>
      </c>
      <c r="H4" t="n">
        <v>194.313062797675</v>
      </c>
      <c r="I4" t="n">
        <v>218.273197584497</v>
      </c>
      <c r="J4" t="n">
        <v>230.567769530072</v>
      </c>
      <c r="K4" t="n">
        <v>289.645322553061</v>
      </c>
      <c r="L4" t="n">
        <v>283.341277297494</v>
      </c>
      <c r="M4" t="n">
        <v>241.00578235626</v>
      </c>
      <c r="N4" t="n">
        <v>215.423237956369</v>
      </c>
      <c r="O4" t="n">
        <v>195.288695199049</v>
      </c>
      <c r="P4" t="n">
        <v>192.659971989682</v>
      </c>
      <c r="Q4" t="n">
        <v>211.820977378302</v>
      </c>
      <c r="R4" t="n">
        <v>225.092968442105</v>
      </c>
      <c r="S4" t="n">
        <v>262.949918021803</v>
      </c>
      <c r="T4" t="n">
        <v>250.240970316188</v>
      </c>
      <c r="U4" t="n">
        <v>224.894443974212</v>
      </c>
      <c r="V4" t="n">
        <v>180.927877919236</v>
      </c>
      <c r="W4" t="n">
        <v>149.522274655962</v>
      </c>
      <c r="X4" t="n">
        <v>120.30868171988</v>
      </c>
      <c r="Y4" t="n">
        <v>115.287615625188</v>
      </c>
      <c r="Z4" t="n">
        <v>88.0396040823746</v>
      </c>
      <c r="AA4" t="n">
        <v>68.2776278573747</v>
      </c>
      <c r="AB4" t="n">
        <v>54.1854430379747</v>
      </c>
      <c r="AC4" t="n">
        <v>47.3</v>
      </c>
      <c r="AD4" t="n">
        <v>41.1</v>
      </c>
      <c r="AE4" t="n">
        <v>38.5</v>
      </c>
      <c r="AF4" t="n">
        <v>38.2</v>
      </c>
    </row>
    <row r="5">
      <c r="A5" t="s">
        <v>141</v>
      </c>
      <c r="B5" t="s">
        <v>280</v>
      </c>
      <c r="C5" t="s">
        <v>217</v>
      </c>
      <c r="D5" t="s">
        <v>281</v>
      </c>
      <c r="E5" t="s">
        <v>218</v>
      </c>
      <c r="F5" t="n">
        <v>43.6864174525422</v>
      </c>
      <c r="G5" t="n">
        <v>39.6976575981796</v>
      </c>
      <c r="H5" t="n">
        <v>37.8512549191945</v>
      </c>
      <c r="I5" t="n">
        <v>37.8512549191945</v>
      </c>
      <c r="J5" t="n">
        <v>37.1661643324218</v>
      </c>
      <c r="K5" t="n">
        <v>43.5279402091426</v>
      </c>
      <c r="L5" t="n">
        <v>51.2334512819475</v>
      </c>
      <c r="M5" t="n">
        <v>50.8350574150584</v>
      </c>
      <c r="N5" t="n">
        <v>52.3465849438316</v>
      </c>
      <c r="O5" t="n">
        <v>49.8314337152992</v>
      </c>
      <c r="P5" t="n">
        <v>55.7753792401633</v>
      </c>
      <c r="Q5" t="n">
        <v>57.0353652169742</v>
      </c>
      <c r="R5" t="n">
        <v>63.4954065828312</v>
      </c>
      <c r="S5" t="n">
        <v>86.8254819490666</v>
      </c>
      <c r="T5" t="n">
        <v>83.5652365794376</v>
      </c>
      <c r="U5" t="n">
        <v>82.3628590746975</v>
      </c>
      <c r="V5" t="n">
        <v>68.0774349528899</v>
      </c>
      <c r="W5" t="n">
        <v>56.7148702701054</v>
      </c>
      <c r="X5" t="n">
        <v>48.5847593332855</v>
      </c>
      <c r="Y5" t="n">
        <v>47.7049548383165</v>
      </c>
      <c r="Z5" t="n">
        <v>36.3652524587167</v>
      </c>
      <c r="AA5" t="n">
        <v>27.3230815770898</v>
      </c>
      <c r="AB5" t="n">
        <v>20.8882978723404</v>
      </c>
      <c r="AC5" t="n">
        <v>18.7</v>
      </c>
      <c r="AD5" t="n">
        <v>15.7</v>
      </c>
      <c r="AE5" t="n">
        <v>13.9</v>
      </c>
      <c r="AF5" t="n">
        <v>13.1</v>
      </c>
    </row>
    <row r="6">
      <c r="A6" t="s">
        <v>141</v>
      </c>
      <c r="B6" t="s">
        <v>282</v>
      </c>
      <c r="C6" t="s">
        <v>217</v>
      </c>
      <c r="D6" t="s">
        <v>283</v>
      </c>
      <c r="E6" t="s">
        <v>218</v>
      </c>
      <c r="F6" t="n">
        <v>30.3082271415781</v>
      </c>
      <c r="G6" t="n">
        <v>37.5306131838265</v>
      </c>
      <c r="H6" t="n">
        <v>44.4112256008614</v>
      </c>
      <c r="I6" t="n">
        <v>51.8524681882397</v>
      </c>
      <c r="J6" t="n">
        <v>55.9125048472742</v>
      </c>
      <c r="K6" t="n">
        <v>71.5317875778892</v>
      </c>
      <c r="L6" t="n">
        <v>56.3382140923531</v>
      </c>
      <c r="M6" t="n">
        <v>43.6271065151109</v>
      </c>
      <c r="N6" t="n">
        <v>33.9321939561974</v>
      </c>
      <c r="O6" t="n">
        <v>27.8690746599489</v>
      </c>
      <c r="P6" t="n">
        <v>28.0893835505414</v>
      </c>
      <c r="Q6" t="n">
        <v>22.062106918239</v>
      </c>
      <c r="R6" t="n">
        <v>22.062106918239</v>
      </c>
      <c r="S6" t="n">
        <v>24.6166666666667</v>
      </c>
      <c r="T6" t="n">
        <v>19.25</v>
      </c>
      <c r="U6" t="n">
        <v>9.8</v>
      </c>
      <c r="V6" t="n">
        <v>6.9</v>
      </c>
      <c r="W6" t="n">
        <v>6</v>
      </c>
      <c r="X6" t="n">
        <v>5.3</v>
      </c>
      <c r="Y6" t="n">
        <v>5.4</v>
      </c>
      <c r="Z6" t="n">
        <v>3.7</v>
      </c>
      <c r="AA6" t="n">
        <v>2.8</v>
      </c>
      <c r="AB6" t="n">
        <v>2.1</v>
      </c>
      <c r="AC6" t="n">
        <v>1.6</v>
      </c>
      <c r="AD6" t="n">
        <v>1.3</v>
      </c>
      <c r="AE6" t="n">
        <v>1</v>
      </c>
      <c r="AF6" t="n">
        <v>0.8</v>
      </c>
    </row>
    <row r="7">
      <c r="A7" t="s">
        <v>141</v>
      </c>
      <c r="B7" t="s">
        <v>284</v>
      </c>
      <c r="C7" t="s">
        <v>217</v>
      </c>
      <c r="D7" t="s">
        <v>285</v>
      </c>
      <c r="E7" t="s">
        <v>218</v>
      </c>
      <c r="F7" t="n">
        <v>6.28832502339551</v>
      </c>
      <c r="G7" t="n">
        <v>7.31919797805051</v>
      </c>
      <c r="H7" t="n">
        <v>8.32182783805743</v>
      </c>
      <c r="I7" t="n">
        <v>9.45662254324708</v>
      </c>
      <c r="J7" t="n">
        <v>10.0128944575557</v>
      </c>
      <c r="K7" t="n">
        <v>12.6288758924126</v>
      </c>
      <c r="L7" t="n">
        <v>12.4522482575537</v>
      </c>
      <c r="M7" t="n">
        <v>12.5381258317437</v>
      </c>
      <c r="N7" t="n">
        <v>11.3358397930834</v>
      </c>
      <c r="O7" t="n">
        <v>10.320689960867</v>
      </c>
      <c r="P7" t="n">
        <v>9.70844564115451</v>
      </c>
      <c r="Q7" t="n">
        <v>27.0384747762995</v>
      </c>
      <c r="R7" t="n">
        <v>34.8292217457417</v>
      </c>
      <c r="S7" t="n">
        <v>35.5683033742986</v>
      </c>
      <c r="T7" t="n">
        <v>27.6745545836579</v>
      </c>
      <c r="U7" t="n">
        <v>23.3097758405978</v>
      </c>
      <c r="V7" t="n">
        <v>17.4575342465753</v>
      </c>
      <c r="W7" t="n">
        <v>11.8356164383562</v>
      </c>
      <c r="X7" t="n">
        <v>9.76438356164384</v>
      </c>
      <c r="Y7" t="n">
        <v>10.6520547945206</v>
      </c>
      <c r="Z7" t="n">
        <v>8.38356164383562</v>
      </c>
      <c r="AA7" t="n">
        <v>7.2</v>
      </c>
      <c r="AB7" t="n">
        <v>6.4</v>
      </c>
      <c r="AC7" t="n">
        <v>5.3</v>
      </c>
      <c r="AD7" t="n">
        <v>4.3</v>
      </c>
      <c r="AE7" t="n">
        <v>3.9</v>
      </c>
      <c r="AF7" t="n">
        <v>3.8</v>
      </c>
    </row>
    <row r="8">
      <c r="A8" t="s">
        <v>141</v>
      </c>
      <c r="B8" t="s">
        <v>286</v>
      </c>
      <c r="C8" t="s">
        <v>217</v>
      </c>
      <c r="D8" t="s">
        <v>287</v>
      </c>
      <c r="E8" t="s">
        <v>218</v>
      </c>
      <c r="F8" t="n">
        <v>29.9834971455556</v>
      </c>
      <c r="G8" t="n">
        <v>43.7133140202882</v>
      </c>
      <c r="H8" t="n">
        <v>56.1887991451794</v>
      </c>
      <c r="I8" t="n">
        <v>68.4481735041277</v>
      </c>
      <c r="J8" t="n">
        <v>75.4661619992247</v>
      </c>
      <c r="K8" t="n">
        <v>98.4263858150265</v>
      </c>
      <c r="L8" t="n">
        <v>70.7030991107055</v>
      </c>
      <c r="M8" t="n">
        <v>50.6959871321365</v>
      </c>
      <c r="N8" t="n">
        <v>36.4536362321383</v>
      </c>
      <c r="O8" t="n">
        <v>26.2298577946191</v>
      </c>
      <c r="P8" t="n">
        <v>20.3237970991419</v>
      </c>
      <c r="Q8" t="n">
        <v>14.6832719130365</v>
      </c>
      <c r="R8" t="n">
        <v>10.695222751471</v>
      </c>
      <c r="S8" t="n">
        <v>11.0608713925469</v>
      </c>
      <c r="T8" t="n">
        <v>8.68415522555338</v>
      </c>
      <c r="U8" t="n">
        <v>7.58720930232558</v>
      </c>
      <c r="V8" t="n">
        <v>6.17093023255814</v>
      </c>
      <c r="W8" t="n">
        <v>8.7</v>
      </c>
      <c r="X8" t="n">
        <v>6.4</v>
      </c>
      <c r="Y8" t="n">
        <v>5</v>
      </c>
      <c r="Z8" t="n">
        <v>4</v>
      </c>
      <c r="AA8" t="n">
        <v>3.1</v>
      </c>
      <c r="AB8" t="n">
        <v>2.4</v>
      </c>
      <c r="AC8" t="n">
        <v>1.9</v>
      </c>
      <c r="AD8" t="n">
        <v>1.8</v>
      </c>
      <c r="AE8" t="n">
        <v>1.8</v>
      </c>
      <c r="AF8" t="n">
        <v>1.9</v>
      </c>
    </row>
    <row r="9">
      <c r="A9" t="s">
        <v>141</v>
      </c>
      <c r="B9" t="s">
        <v>288</v>
      </c>
      <c r="C9" t="s">
        <v>217</v>
      </c>
      <c r="D9" t="s">
        <v>289</v>
      </c>
      <c r="E9" t="s">
        <v>218</v>
      </c>
      <c r="F9" t="n">
        <v>8.43061772384345</v>
      </c>
      <c r="G9" t="n">
        <v>7.45785414032305</v>
      </c>
      <c r="H9" t="n">
        <v>6.93265314452565</v>
      </c>
      <c r="I9" t="n">
        <v>6.833615242461</v>
      </c>
      <c r="J9" t="n">
        <v>6.6383690926764</v>
      </c>
      <c r="K9" t="n">
        <v>7.58670753448731</v>
      </c>
      <c r="L9" t="n">
        <v>12.8603944791919</v>
      </c>
      <c r="M9" t="n">
        <v>11.0617379086756</v>
      </c>
      <c r="N9" t="n">
        <v>10.0724767948916</v>
      </c>
      <c r="O9" t="n">
        <v>11.231257311118</v>
      </c>
      <c r="P9" t="n">
        <v>9.93177299412917</v>
      </c>
      <c r="Q9" t="n">
        <v>8.69030136986302</v>
      </c>
      <c r="R9" t="n">
        <v>8.20750684931507</v>
      </c>
      <c r="S9" t="n">
        <v>8.69030136986302</v>
      </c>
      <c r="T9" t="n">
        <v>9.76438356164384</v>
      </c>
      <c r="U9" t="n">
        <v>7.2</v>
      </c>
      <c r="V9" t="n">
        <v>5.7</v>
      </c>
      <c r="W9" t="n">
        <v>4.8</v>
      </c>
      <c r="X9" t="n">
        <v>4.2</v>
      </c>
      <c r="Y9" t="n">
        <v>3.7</v>
      </c>
      <c r="Z9" t="n">
        <v>2.3</v>
      </c>
      <c r="AA9" t="n">
        <v>2.1</v>
      </c>
      <c r="AB9" t="n">
        <v>2</v>
      </c>
      <c r="AC9" t="n">
        <v>2</v>
      </c>
      <c r="AD9" t="n">
        <v>2.2</v>
      </c>
      <c r="AE9" t="n">
        <v>2.2</v>
      </c>
      <c r="AF9" t="n">
        <v>2.3</v>
      </c>
    </row>
    <row r="10">
      <c r="A10" t="s">
        <v>141</v>
      </c>
      <c r="B10" t="s">
        <v>290</v>
      </c>
      <c r="C10" t="s">
        <v>217</v>
      </c>
      <c r="D10" t="s">
        <v>291</v>
      </c>
      <c r="E10" t="s">
        <v>218</v>
      </c>
      <c r="F10" t="n">
        <v>12.1576207688744</v>
      </c>
      <c r="G10" t="n">
        <v>10.7941492807763</v>
      </c>
      <c r="H10" t="n">
        <v>10.1264699438211</v>
      </c>
      <c r="I10" t="n">
        <v>10.0209858819063</v>
      </c>
      <c r="J10" t="n">
        <v>9.70783007309672</v>
      </c>
      <c r="K10" t="n">
        <v>11.12355529209</v>
      </c>
      <c r="L10" t="n">
        <v>18.8017615999043</v>
      </c>
      <c r="M10" t="n">
        <v>16.2117230121624</v>
      </c>
      <c r="N10" t="n">
        <v>14.7728126856391</v>
      </c>
      <c r="O10" t="n">
        <v>16.488365126552</v>
      </c>
      <c r="P10" t="n">
        <v>15.4950901189284</v>
      </c>
      <c r="Q10" t="n">
        <v>16.0081725731976</v>
      </c>
      <c r="R10" t="n">
        <v>17.3595118163896</v>
      </c>
      <c r="S10" t="n">
        <v>19.6601700089231</v>
      </c>
      <c r="T10" t="n">
        <v>33.929648241206</v>
      </c>
      <c r="U10" t="n">
        <v>21.1</v>
      </c>
      <c r="V10" t="n">
        <v>16.5</v>
      </c>
      <c r="W10" t="n">
        <v>13</v>
      </c>
      <c r="X10" t="n">
        <v>12.3</v>
      </c>
      <c r="Y10" t="n">
        <v>10.8</v>
      </c>
      <c r="Z10" t="n">
        <v>7.9</v>
      </c>
      <c r="AA10" t="n">
        <v>6.6</v>
      </c>
      <c r="AB10" t="n">
        <v>5.7</v>
      </c>
      <c r="AC10" t="n">
        <v>5.6</v>
      </c>
      <c r="AD10" t="n">
        <v>5.8</v>
      </c>
      <c r="AE10" t="n">
        <v>5.7</v>
      </c>
      <c r="AF10" t="n">
        <v>5.9</v>
      </c>
    </row>
    <row r="11">
      <c r="A11" t="s">
        <v>141</v>
      </c>
      <c r="B11" t="s">
        <v>292</v>
      </c>
      <c r="C11" t="s">
        <v>217</v>
      </c>
      <c r="D11" t="s">
        <v>293</v>
      </c>
      <c r="E11" t="s">
        <v>218</v>
      </c>
      <c r="F11" t="n">
        <v>3.22197208111022</v>
      </c>
      <c r="G11" t="n">
        <v>2.88866462444365</v>
      </c>
      <c r="H11" t="n">
        <v>2.77756213888812</v>
      </c>
      <c r="I11" t="n">
        <v>2.77756213888812</v>
      </c>
      <c r="J11" t="n">
        <v>2.67073282585396</v>
      </c>
      <c r="K11" t="n">
        <v>3.08161479906227</v>
      </c>
      <c r="L11" t="n">
        <v>5.16916030810445</v>
      </c>
      <c r="M11" t="n">
        <v>4.48644102212839</v>
      </c>
      <c r="N11" t="n">
        <v>4.09631571585636</v>
      </c>
      <c r="O11" t="n">
        <v>4.5839723486964</v>
      </c>
      <c r="P11" t="n">
        <v>4.99143655746941</v>
      </c>
      <c r="Q11" t="n">
        <v>6.90305055820238</v>
      </c>
      <c r="R11" t="n">
        <v>8.84453352769679</v>
      </c>
      <c r="S11" t="n">
        <v>10.7007936507937</v>
      </c>
      <c r="T11" t="n">
        <v>24.3801587301587</v>
      </c>
      <c r="U11" t="n">
        <v>13.9</v>
      </c>
      <c r="V11" t="n">
        <v>10.8</v>
      </c>
      <c r="W11" t="n">
        <v>8.2</v>
      </c>
      <c r="X11" t="n">
        <v>8.1</v>
      </c>
      <c r="Y11" t="n">
        <v>7.1</v>
      </c>
      <c r="Z11" t="n">
        <v>5.6</v>
      </c>
      <c r="AA11" t="n">
        <v>4.5</v>
      </c>
      <c r="AB11" t="n">
        <v>3.7</v>
      </c>
      <c r="AC11" t="n">
        <v>3.6</v>
      </c>
      <c r="AD11" t="n">
        <v>3.6</v>
      </c>
      <c r="AE11" t="n">
        <v>3.5</v>
      </c>
      <c r="AF11" t="n">
        <v>3.6</v>
      </c>
    </row>
    <row r="12">
      <c r="A12" t="s">
        <v>141</v>
      </c>
      <c r="B12" t="s">
        <v>294</v>
      </c>
      <c r="C12" t="s">
        <v>217</v>
      </c>
      <c r="D12" t="s">
        <v>295</v>
      </c>
      <c r="E12" t="s">
        <v>218</v>
      </c>
      <c r="F12" t="n">
        <v>6.7895124059112</v>
      </c>
      <c r="G12" t="n">
        <v>6.69111367539074</v>
      </c>
      <c r="H12" t="n">
        <v>6.88228835183048</v>
      </c>
      <c r="I12" t="n">
        <v>7.23980982465284</v>
      </c>
      <c r="J12" t="n">
        <v>7.41426307343966</v>
      </c>
      <c r="K12" t="n">
        <v>9.03346995154717</v>
      </c>
      <c r="L12" t="n">
        <v>13.3829184467365</v>
      </c>
      <c r="M12" t="n">
        <v>13.6277279305183</v>
      </c>
      <c r="N12" t="n">
        <v>15.1781879944695</v>
      </c>
      <c r="O12" t="n">
        <v>15.5818632070884</v>
      </c>
      <c r="P12" t="n">
        <v>16.5033712462173</v>
      </c>
      <c r="Q12" t="n">
        <v>18.2314729473918</v>
      </c>
      <c r="R12" t="n">
        <v>20.3250392188627</v>
      </c>
      <c r="S12" t="n">
        <v>22.3487444224724</v>
      </c>
      <c r="T12" t="n">
        <v>20.493710300449</v>
      </c>
      <c r="U12" t="n">
        <v>19.4336908021499</v>
      </c>
      <c r="V12" t="n">
        <v>17.3300438596491</v>
      </c>
      <c r="W12" t="n">
        <v>13.3461257309942</v>
      </c>
      <c r="X12" t="n">
        <v>10.7565789473684</v>
      </c>
      <c r="Y12" t="n">
        <v>9.76973684210526</v>
      </c>
      <c r="Z12" t="n">
        <v>7.5</v>
      </c>
      <c r="AA12" t="n">
        <v>5.7</v>
      </c>
      <c r="AB12" t="n">
        <v>4.4</v>
      </c>
      <c r="AC12" t="n">
        <v>3.5</v>
      </c>
      <c r="AD12" t="n">
        <v>2.9</v>
      </c>
      <c r="AE12" t="n">
        <v>2.4</v>
      </c>
      <c r="AF12" t="n">
        <v>2.1</v>
      </c>
    </row>
    <row r="13">
      <c r="A13" t="s">
        <v>141</v>
      </c>
      <c r="B13" t="s">
        <v>296</v>
      </c>
      <c r="C13" t="s">
        <v>217</v>
      </c>
      <c r="D13" t="s">
        <v>297</v>
      </c>
      <c r="E13" t="s">
        <v>218</v>
      </c>
      <c r="F13" t="n">
        <v>11.7451429001224</v>
      </c>
      <c r="G13" t="n">
        <v>14.9318095784502</v>
      </c>
      <c r="H13" t="n">
        <v>17.9358422747065</v>
      </c>
      <c r="I13" t="n">
        <v>21.0224755964002</v>
      </c>
      <c r="J13" t="n">
        <v>22.7402654311255</v>
      </c>
      <c r="K13" t="n">
        <v>29.2032882378664</v>
      </c>
      <c r="L13" t="n">
        <v>27.563531411676</v>
      </c>
      <c r="M13" t="n">
        <v>24.2984298945904</v>
      </c>
      <c r="N13" t="n">
        <v>22.1723172788138</v>
      </c>
      <c r="O13" t="n">
        <v>22.0219964837032</v>
      </c>
      <c r="P13" t="n">
        <v>22.9557913876058</v>
      </c>
      <c r="Q13" t="n">
        <v>32.1862669455592</v>
      </c>
      <c r="R13" t="n">
        <v>33.8931144350964</v>
      </c>
      <c r="S13" t="n">
        <v>37.1678114819656</v>
      </c>
      <c r="T13" t="n">
        <v>34.1253136394153</v>
      </c>
      <c r="U13" t="n">
        <v>37.2500411533859</v>
      </c>
      <c r="V13" t="n">
        <v>29.0272927072927</v>
      </c>
      <c r="W13" t="n">
        <v>24.5994005994006</v>
      </c>
      <c r="X13" t="n">
        <v>15.2516283716284</v>
      </c>
      <c r="Y13" t="n">
        <v>14.0708571428571</v>
      </c>
      <c r="Z13" t="n">
        <v>11.2371428571429</v>
      </c>
      <c r="AA13" t="n">
        <v>8.67428571428571</v>
      </c>
      <c r="AB13" t="n">
        <v>6.9</v>
      </c>
      <c r="AC13" t="n">
        <v>6.4</v>
      </c>
      <c r="AD13" t="n">
        <v>5.8</v>
      </c>
      <c r="AE13" t="n">
        <v>6.6</v>
      </c>
      <c r="AF13" t="n">
        <v>7.7</v>
      </c>
    </row>
    <row r="14">
      <c r="A14" t="s">
        <v>141</v>
      </c>
      <c r="B14" t="s">
        <v>298</v>
      </c>
      <c r="C14" t="s">
        <v>217</v>
      </c>
      <c r="D14" t="s">
        <v>299</v>
      </c>
      <c r="E14" t="s">
        <v>218</v>
      </c>
      <c r="F14" t="n">
        <v>5.50941056609803</v>
      </c>
      <c r="G14" t="n">
        <v>6.7031161887526</v>
      </c>
      <c r="H14" t="n">
        <v>7.86498966146972</v>
      </c>
      <c r="I14" t="n">
        <v>9.04896659975549</v>
      </c>
      <c r="J14" t="n">
        <v>9.79612897955181</v>
      </c>
      <c r="K14" t="n">
        <v>12.4900644489286</v>
      </c>
      <c r="L14" t="n">
        <v>26.9689926636101</v>
      </c>
      <c r="M14" t="n">
        <v>20.5551634628088</v>
      </c>
      <c r="N14" t="n">
        <v>18.938465212925</v>
      </c>
      <c r="O14" t="n">
        <v>15.5158510178181</v>
      </c>
      <c r="P14" t="n">
        <v>11.5778177645648</v>
      </c>
      <c r="Q14" t="n">
        <v>9.13179992698065</v>
      </c>
      <c r="R14" t="n">
        <v>6.82828282828283</v>
      </c>
      <c r="S14" t="n">
        <v>5.49593495934959</v>
      </c>
      <c r="T14" t="n">
        <v>4.14308943089431</v>
      </c>
      <c r="U14" t="n">
        <v>3.46666666666667</v>
      </c>
      <c r="V14" t="n">
        <v>2.66666666666667</v>
      </c>
      <c r="W14" t="n">
        <v>1.33333333333333</v>
      </c>
      <c r="X14" t="n">
        <v>1.15555555555556</v>
      </c>
      <c r="Y14" t="n">
        <v>1.51111111111111</v>
      </c>
      <c r="Z14" t="n">
        <v>1.06666666666667</v>
      </c>
      <c r="AA14" t="n">
        <v>0.888888888888889</v>
      </c>
      <c r="AB14" t="n">
        <v>0.8</v>
      </c>
      <c r="AC14" t="n">
        <v>0.6</v>
      </c>
      <c r="AD14" t="n">
        <v>0.4</v>
      </c>
      <c r="AE14" t="n">
        <v>0.3</v>
      </c>
      <c r="AF14" t="n">
        <v>0.2</v>
      </c>
    </row>
    <row r="15">
      <c r="A15" t="s">
        <v>141</v>
      </c>
      <c r="B15" t="s">
        <v>300</v>
      </c>
      <c r="C15" t="s">
        <v>217</v>
      </c>
      <c r="D15" t="s">
        <v>301</v>
      </c>
      <c r="E15" t="s">
        <v>218</v>
      </c>
      <c r="F15" t="n">
        <v>10.8844959380605</v>
      </c>
      <c r="G15" t="n">
        <v>11.5064671345211</v>
      </c>
      <c r="H15" t="n">
        <v>12.4069732580923</v>
      </c>
      <c r="I15" t="n">
        <v>13.5434898924214</v>
      </c>
      <c r="J15" t="n">
        <v>14.1928352982224</v>
      </c>
      <c r="K15" t="n">
        <v>17.5590846958777</v>
      </c>
      <c r="L15" t="n">
        <v>33.1671599811024</v>
      </c>
      <c r="M15" t="n">
        <v>25.6722433100481</v>
      </c>
      <c r="N15" t="n">
        <v>23.6974553631213</v>
      </c>
      <c r="O15" t="n">
        <v>19.9602222592599</v>
      </c>
      <c r="P15" t="n">
        <v>16.2671414888241</v>
      </c>
      <c r="Q15" t="n">
        <v>15.176606863875</v>
      </c>
      <c r="R15" t="n">
        <v>12.5252719298246</v>
      </c>
      <c r="S15" t="n">
        <v>13.2620526315789</v>
      </c>
      <c r="T15" t="n">
        <v>10.8337894736842</v>
      </c>
      <c r="U15" t="n">
        <v>8.96589473684211</v>
      </c>
      <c r="V15" t="n">
        <v>7.488</v>
      </c>
      <c r="W15" t="n">
        <v>4.63073684210526</v>
      </c>
      <c r="X15" t="n">
        <v>3.744</v>
      </c>
      <c r="Y15" t="n">
        <v>5.28</v>
      </c>
      <c r="Z15" t="n">
        <v>3.84</v>
      </c>
      <c r="AA15" t="n">
        <v>2.976</v>
      </c>
      <c r="AB15" t="n">
        <v>2.4</v>
      </c>
      <c r="AC15" t="n">
        <v>1.9</v>
      </c>
      <c r="AD15" t="n">
        <v>1.6</v>
      </c>
      <c r="AE15" t="n">
        <v>1.4</v>
      </c>
      <c r="AF15" t="n">
        <v>1.2</v>
      </c>
    </row>
    <row r="16">
      <c r="A16" t="s">
        <v>141</v>
      </c>
      <c r="B16" t="s">
        <v>302</v>
      </c>
      <c r="C16" t="s">
        <v>217</v>
      </c>
      <c r="D16" t="s">
        <v>303</v>
      </c>
      <c r="E16" t="s">
        <v>218</v>
      </c>
      <c r="F16" t="n">
        <v>5.0969433907349</v>
      </c>
      <c r="G16" t="n">
        <v>4.30408552995392</v>
      </c>
      <c r="H16" t="n">
        <v>3.87367697695852</v>
      </c>
      <c r="I16" t="n">
        <v>3.66979924132913</v>
      </c>
      <c r="J16" t="n">
        <v>3.4714317147708</v>
      </c>
      <c r="K16" t="n">
        <v>3.85714634974533</v>
      </c>
      <c r="L16" t="n">
        <v>3.29268590831918</v>
      </c>
      <c r="M16" t="n">
        <v>2.92683191850594</v>
      </c>
      <c r="N16" t="n">
        <v>2.74390492359932</v>
      </c>
      <c r="O16" t="n">
        <v>2.83536842105263</v>
      </c>
      <c r="P16" t="n">
        <v>3.59146666666667</v>
      </c>
      <c r="Q16" t="n">
        <v>5.33866666666667</v>
      </c>
      <c r="R16" t="n">
        <v>5.2416</v>
      </c>
      <c r="S16" t="n">
        <v>7.5712</v>
      </c>
      <c r="T16" t="n">
        <v>6.58792727272727</v>
      </c>
      <c r="U16" t="n">
        <v>5.408</v>
      </c>
      <c r="V16" t="n">
        <v>4.784</v>
      </c>
      <c r="W16" t="n">
        <v>3.328</v>
      </c>
      <c r="X16" t="n">
        <v>2.6</v>
      </c>
      <c r="Y16" t="n">
        <v>3.8</v>
      </c>
      <c r="Z16" t="n">
        <v>2.8</v>
      </c>
      <c r="AA16" t="n">
        <v>2.1</v>
      </c>
      <c r="AB16" t="n">
        <v>1.6</v>
      </c>
      <c r="AC16" t="n">
        <v>1.3</v>
      </c>
      <c r="AD16" t="n">
        <v>1.2</v>
      </c>
      <c r="AE16" t="n">
        <v>1.1</v>
      </c>
      <c r="AF16" t="n">
        <v>1</v>
      </c>
    </row>
    <row r="17">
      <c r="A17" t="s">
        <v>141</v>
      </c>
      <c r="B17" t="s">
        <v>304</v>
      </c>
      <c r="C17" t="s">
        <v>217</v>
      </c>
      <c r="D17" t="s">
        <v>305</v>
      </c>
      <c r="E17" t="s">
        <v>218</v>
      </c>
      <c r="F17" t="n">
        <v>2.80461417596957</v>
      </c>
      <c r="G17" t="n">
        <v>3.2201125724095</v>
      </c>
      <c r="H17" t="n">
        <v>3.62262664396069</v>
      </c>
      <c r="I17" t="n">
        <v>4.19462032458606</v>
      </c>
      <c r="J17" t="n">
        <v>4.48061716489875</v>
      </c>
      <c r="K17" t="n">
        <v>5.69411764705882</v>
      </c>
      <c r="L17" t="n">
        <v>5.69411764705882</v>
      </c>
      <c r="M17" t="n">
        <v>5.69411764705882</v>
      </c>
      <c r="N17" t="n">
        <v>5.60514705882353</v>
      </c>
      <c r="O17" t="n">
        <v>6.05</v>
      </c>
      <c r="P17" t="n">
        <v>5.5</v>
      </c>
      <c r="Q17" t="n">
        <v>5.5</v>
      </c>
      <c r="R17" t="n">
        <v>5.59322033898305</v>
      </c>
      <c r="S17" t="n">
        <v>6.24576271186441</v>
      </c>
      <c r="T17" t="n">
        <v>6.52542372881356</v>
      </c>
      <c r="U17" t="n">
        <v>5.5</v>
      </c>
      <c r="V17" t="n">
        <v>4.6</v>
      </c>
      <c r="W17" t="n">
        <v>3.6</v>
      </c>
      <c r="X17" t="n">
        <v>2.9</v>
      </c>
      <c r="Y17" t="n">
        <v>2.3</v>
      </c>
      <c r="Z17" t="n">
        <v>1.7</v>
      </c>
      <c r="AA17" t="n">
        <v>1.3</v>
      </c>
      <c r="AB17" t="n">
        <v>1</v>
      </c>
      <c r="AC17" t="n">
        <v>0.9</v>
      </c>
      <c r="AD17" t="n">
        <v>0.7</v>
      </c>
      <c r="AE17" t="n">
        <v>0.7</v>
      </c>
      <c r="AF17" t="n">
        <v>0.7</v>
      </c>
    </row>
    <row r="18">
      <c r="A18" t="s">
        <v>141</v>
      </c>
      <c r="B18" t="s">
        <v>306</v>
      </c>
      <c r="C18" t="s">
        <v>217</v>
      </c>
      <c r="D18" t="s">
        <v>307</v>
      </c>
      <c r="E18" t="s">
        <v>218</v>
      </c>
      <c r="F18" t="n">
        <v>3.18124587829089</v>
      </c>
      <c r="G18" t="n">
        <v>3.67831554677384</v>
      </c>
      <c r="H18" t="n">
        <v>4.16230443450724</v>
      </c>
      <c r="I18" t="n">
        <v>4.7052137085734</v>
      </c>
      <c r="J18" t="n">
        <v>4.97154656000209</v>
      </c>
      <c r="K18" t="n">
        <v>6.27984828631843</v>
      </c>
      <c r="L18" t="n">
        <v>6.53443673035836</v>
      </c>
      <c r="M18" t="n">
        <v>6.61715111935024</v>
      </c>
      <c r="N18" t="n">
        <v>5.87272161842334</v>
      </c>
      <c r="O18" t="n">
        <v>5.38332815022139</v>
      </c>
      <c r="P18" t="n">
        <v>5.55155715491581</v>
      </c>
      <c r="Q18" t="n">
        <v>5.29132791327913</v>
      </c>
      <c r="R18" t="n">
        <v>5.55589430894309</v>
      </c>
      <c r="S18" t="n">
        <v>6.52597109304426</v>
      </c>
      <c r="T18" t="n">
        <v>6.87872628726287</v>
      </c>
      <c r="U18" t="n">
        <v>7.23148148148148</v>
      </c>
      <c r="V18" t="n">
        <v>5.5</v>
      </c>
      <c r="W18" t="n">
        <v>5.8</v>
      </c>
      <c r="X18" t="n">
        <v>4.3</v>
      </c>
      <c r="Y18" t="n">
        <v>3.2</v>
      </c>
      <c r="Z18" t="n">
        <v>2.3</v>
      </c>
      <c r="AA18" t="n">
        <v>1.6</v>
      </c>
      <c r="AB18" t="n">
        <v>1.1</v>
      </c>
      <c r="AC18" t="n">
        <v>0.8</v>
      </c>
      <c r="AD18" t="n">
        <v>0.6</v>
      </c>
      <c r="AE18" t="n">
        <v>0.4</v>
      </c>
      <c r="AF18" t="n">
        <v>0.3</v>
      </c>
    </row>
    <row r="19">
      <c r="A19" t="s">
        <v>141</v>
      </c>
      <c r="B19" t="s">
        <v>308</v>
      </c>
      <c r="C19" t="s">
        <v>217</v>
      </c>
      <c r="D19" t="s">
        <v>309</v>
      </c>
      <c r="E19" t="s">
        <v>218</v>
      </c>
      <c r="F19" t="n">
        <v>5.45170960589371</v>
      </c>
      <c r="G19" t="n">
        <v>4.13926099706745</v>
      </c>
      <c r="H19" t="n">
        <v>3.25227649769585</v>
      </c>
      <c r="I19" t="n">
        <v>2.60182119815668</v>
      </c>
      <c r="J19" t="n">
        <v>2.15323133640553</v>
      </c>
      <c r="K19" t="n">
        <v>2.0635133640553</v>
      </c>
      <c r="L19" t="n">
        <v>2.15323133640553</v>
      </c>
      <c r="M19" t="n">
        <v>2.15323133640553</v>
      </c>
      <c r="N19" t="n">
        <v>2.24294930875576</v>
      </c>
      <c r="O19" t="n">
        <v>2.32921658986175</v>
      </c>
      <c r="P19" t="n">
        <v>2.50838709677419</v>
      </c>
      <c r="Q19" t="n">
        <v>2.88</v>
      </c>
      <c r="R19" t="n">
        <v>2.88</v>
      </c>
      <c r="S19" t="n">
        <v>3.552</v>
      </c>
      <c r="T19" t="n">
        <v>3.072</v>
      </c>
      <c r="U19" t="n">
        <v>2.4</v>
      </c>
      <c r="V19" t="n">
        <v>1.9</v>
      </c>
      <c r="W19" t="n">
        <v>1.4</v>
      </c>
      <c r="X19" t="n">
        <v>1.1</v>
      </c>
      <c r="Y19" t="n">
        <v>1.1</v>
      </c>
      <c r="Z19" t="n">
        <v>1.1</v>
      </c>
      <c r="AA19" t="n">
        <v>1</v>
      </c>
      <c r="AB19" t="n">
        <v>0.9</v>
      </c>
      <c r="AC19" t="n">
        <v>0.7</v>
      </c>
      <c r="AD19" t="n">
        <v>0.6</v>
      </c>
      <c r="AE19" t="n">
        <v>0.7</v>
      </c>
      <c r="AF19" t="n">
        <v>0.7</v>
      </c>
    </row>
    <row r="20">
      <c r="A20" t="s">
        <v>141</v>
      </c>
      <c r="B20" t="s">
        <v>310</v>
      </c>
      <c r="C20" t="s">
        <v>217</v>
      </c>
      <c r="D20" t="s">
        <v>311</v>
      </c>
      <c r="E20" t="s">
        <v>218</v>
      </c>
      <c r="F20" t="n">
        <v>9.62136707892481</v>
      </c>
      <c r="G20" t="n">
        <v>7.94808584780745</v>
      </c>
      <c r="H20" t="n">
        <v>6.89374792922075</v>
      </c>
      <c r="I20" t="n">
        <v>6.28097033551223</v>
      </c>
      <c r="J20" t="n">
        <v>5.75755614088621</v>
      </c>
      <c r="K20" t="n">
        <v>6.26771934324322</v>
      </c>
      <c r="L20" t="n">
        <v>6.552615677027</v>
      </c>
      <c r="M20" t="n">
        <v>14.9675537043669</v>
      </c>
      <c r="N20" t="n">
        <v>12.6224070410099</v>
      </c>
      <c r="O20" t="n">
        <v>10.1661548600566</v>
      </c>
      <c r="P20" t="n">
        <v>8.89538550254955</v>
      </c>
      <c r="Q20" t="n">
        <v>8.0204295514791</v>
      </c>
      <c r="R20" t="n">
        <v>6.98074423925033</v>
      </c>
      <c r="S20" t="n">
        <v>6.3123751099604</v>
      </c>
      <c r="T20" t="n">
        <v>6.01178581900991</v>
      </c>
      <c r="U20" t="n">
        <v>5.78634385079704</v>
      </c>
      <c r="V20" t="n">
        <v>5.68827022620726</v>
      </c>
      <c r="W20" t="n">
        <v>4.80560760489923</v>
      </c>
      <c r="X20" t="n">
        <v>3.53065048523209</v>
      </c>
      <c r="Y20" t="n">
        <v>3.53065048523209</v>
      </c>
      <c r="Z20" t="n">
        <v>94.8371949783175</v>
      </c>
      <c r="AA20" t="n">
        <v>75.7714790966661</v>
      </c>
      <c r="AB20" t="n">
        <v>62.6495953468529</v>
      </c>
      <c r="AC20" t="n">
        <v>140.613536222936</v>
      </c>
      <c r="AD20" t="n">
        <v>210.123627075351</v>
      </c>
      <c r="AE20" t="n">
        <v>390.8</v>
      </c>
      <c r="AF20" t="n">
        <v>563</v>
      </c>
    </row>
    <row r="21">
      <c r="A21" t="s">
        <v>141</v>
      </c>
      <c r="B21" t="s">
        <v>312</v>
      </c>
      <c r="C21" t="s">
        <v>217</v>
      </c>
      <c r="D21" t="s">
        <v>313</v>
      </c>
      <c r="E21" t="s">
        <v>218</v>
      </c>
      <c r="F21" t="n">
        <v>14.7019183380991</v>
      </c>
      <c r="G21" t="n">
        <v>12.4047435977712</v>
      </c>
      <c r="H21" t="n">
        <v>10.976859442632</v>
      </c>
      <c r="I21" t="n">
        <v>10.2227240610772</v>
      </c>
      <c r="J21" t="n">
        <v>9.56846972116822</v>
      </c>
      <c r="K21" t="n">
        <v>10.6050539409614</v>
      </c>
      <c r="L21" t="n">
        <v>13.2563174262018</v>
      </c>
      <c r="M21" t="n">
        <v>21.8918613495561</v>
      </c>
      <c r="N21" t="n">
        <v>18.3315932408048</v>
      </c>
      <c r="O21" t="n">
        <v>15.3264140210007</v>
      </c>
      <c r="P21" t="n">
        <v>14.1594281818382</v>
      </c>
      <c r="Q21" t="n">
        <v>15.6880028151049</v>
      </c>
      <c r="R21" t="n">
        <v>15.0343360311421</v>
      </c>
      <c r="S21" t="n">
        <v>13.8904191592074</v>
      </c>
      <c r="T21" t="n">
        <v>14.383570135274</v>
      </c>
      <c r="U21" t="n">
        <v>20.0548063600391</v>
      </c>
      <c r="V21" t="n">
        <v>24.3028687909834</v>
      </c>
      <c r="W21" t="n">
        <v>28.828909132624</v>
      </c>
      <c r="X21" t="n">
        <v>26.3774712812104</v>
      </c>
      <c r="Y21" t="n">
        <v>31.5745195262072</v>
      </c>
      <c r="Z21" t="n">
        <v>123.16023765502</v>
      </c>
      <c r="AA21" t="n">
        <v>103.698364506022</v>
      </c>
      <c r="AB21" t="n">
        <v>90.3784033182837</v>
      </c>
      <c r="AC21" t="n">
        <v>169.123942843125</v>
      </c>
      <c r="AD21" t="n">
        <v>239.243645882913</v>
      </c>
      <c r="AE21" t="n">
        <v>419.4</v>
      </c>
      <c r="AF21" t="n">
        <v>593.6</v>
      </c>
    </row>
    <row r="22">
      <c r="A22" t="s">
        <v>141</v>
      </c>
      <c r="B22" t="s">
        <v>314</v>
      </c>
      <c r="C22" t="s">
        <v>217</v>
      </c>
      <c r="D22" t="s">
        <v>315</v>
      </c>
      <c r="E22" t="s">
        <v>218</v>
      </c>
      <c r="F22" t="n">
        <v>4.28605300491221</v>
      </c>
      <c r="G22" t="n">
        <v>3.8098248932553</v>
      </c>
      <c r="H22" t="n">
        <v>3.53105721813906</v>
      </c>
      <c r="I22" t="n">
        <v>3.44493387135518</v>
      </c>
      <c r="J22" t="n">
        <v>3.36091109400505</v>
      </c>
      <c r="K22" t="n">
        <v>3.85275174190823</v>
      </c>
      <c r="L22" t="n">
        <v>6.26072158060088</v>
      </c>
      <c r="M22" t="n">
        <v>5.63464942254079</v>
      </c>
      <c r="N22" t="n">
        <v>4.61728216569315</v>
      </c>
      <c r="O22" t="n">
        <v>4.3042460866631</v>
      </c>
      <c r="P22" t="n">
        <v>4.5478826576063</v>
      </c>
      <c r="Q22" t="n">
        <v>7.15870418326917</v>
      </c>
      <c r="R22" t="n">
        <v>7.67004019635982</v>
      </c>
      <c r="S22" t="n">
        <v>7.24392685211761</v>
      </c>
      <c r="T22" t="n">
        <v>8.09615354060204</v>
      </c>
      <c r="U22" t="n">
        <v>14.2321856976899</v>
      </c>
      <c r="V22" t="n">
        <v>18.5809091053174</v>
      </c>
      <c r="W22" t="n">
        <v>23.9880519666531</v>
      </c>
      <c r="X22" t="n">
        <v>22.8131269723681</v>
      </c>
      <c r="Y22" t="n">
        <v>28.0023790304604</v>
      </c>
      <c r="Z22" t="n">
        <v>28.2961102790316</v>
      </c>
      <c r="AA22" t="n">
        <v>27.9031087473784</v>
      </c>
      <c r="AB22" t="n">
        <v>27.7059136325559</v>
      </c>
      <c r="AC22" t="n">
        <v>28.5003484320558</v>
      </c>
      <c r="AD22" t="n">
        <v>29.0982578397213</v>
      </c>
      <c r="AE22" t="n">
        <v>28.6</v>
      </c>
      <c r="AF22" t="n">
        <v>30.6</v>
      </c>
    </row>
    <row r="23">
      <c r="A23" t="s">
        <v>141</v>
      </c>
      <c r="B23" t="s">
        <v>316</v>
      </c>
      <c r="C23" t="s">
        <v>217</v>
      </c>
      <c r="D23" t="s">
        <v>317</v>
      </c>
      <c r="E23" t="s">
        <v>218</v>
      </c>
      <c r="F23" t="n">
        <v>8.62153044538772</v>
      </c>
      <c r="G23" t="n">
        <v>9.42353327751681</v>
      </c>
      <c r="H23" t="n">
        <v>10.4051513272581</v>
      </c>
      <c r="I23" t="n">
        <v>11.5199889694644</v>
      </c>
      <c r="J23" t="n">
        <v>12.1599883566568</v>
      </c>
      <c r="K23" t="n">
        <v>15.110573766728</v>
      </c>
      <c r="L23" t="n">
        <v>34.8503984562108</v>
      </c>
      <c r="M23" t="n">
        <v>70.4639443238714</v>
      </c>
      <c r="N23" t="n">
        <v>64.5354874696995</v>
      </c>
      <c r="O23" t="n">
        <v>62.6103043156099</v>
      </c>
      <c r="P23" t="n">
        <v>59.2283072680908</v>
      </c>
      <c r="Q23" t="n">
        <v>65.4911192148678</v>
      </c>
      <c r="R23" t="n">
        <v>75.2605126889089</v>
      </c>
      <c r="S23" t="n">
        <v>106.78610274988</v>
      </c>
      <c r="T23" t="n">
        <v>91.8835901229707</v>
      </c>
      <c r="U23" t="n">
        <v>72.86688689354</v>
      </c>
      <c r="V23" t="n">
        <v>52.3480519853316</v>
      </c>
      <c r="W23" t="n">
        <v>39.5850983584317</v>
      </c>
      <c r="X23" t="n">
        <v>31.3299145299145</v>
      </c>
      <c r="Y23" t="n">
        <v>24.7863247863248</v>
      </c>
      <c r="Z23" t="n">
        <v>18.8376068376068</v>
      </c>
      <c r="AA23" t="n">
        <v>14.574358974359</v>
      </c>
      <c r="AB23" t="n">
        <v>11.6</v>
      </c>
      <c r="AC23" t="n">
        <v>8.4</v>
      </c>
      <c r="AD23" t="n">
        <v>5.9</v>
      </c>
      <c r="AE23" t="n">
        <v>4</v>
      </c>
      <c r="AF23" t="n">
        <v>2.6</v>
      </c>
    </row>
    <row r="24">
      <c r="A24" t="s">
        <v>141</v>
      </c>
      <c r="B24" t="s">
        <v>318</v>
      </c>
      <c r="C24" t="s">
        <v>217</v>
      </c>
      <c r="D24" t="s">
        <v>319</v>
      </c>
      <c r="E24" t="s">
        <v>218</v>
      </c>
      <c r="F24" t="n">
        <v>120.124129899302</v>
      </c>
      <c r="G24" t="n">
        <v>135.235286367527</v>
      </c>
      <c r="H24" t="n">
        <v>151.604894621092</v>
      </c>
      <c r="I24" t="n">
        <v>170.753137394788</v>
      </c>
      <c r="J24" t="n">
        <v>180.751806722297</v>
      </c>
      <c r="K24" t="n">
        <v>227.454438347471</v>
      </c>
      <c r="L24" t="n">
        <v>228.196675455929</v>
      </c>
      <c r="M24" t="n">
        <v>252.580432692696</v>
      </c>
      <c r="N24" t="n">
        <v>300.194770052094</v>
      </c>
      <c r="O24" t="n">
        <v>322.939199567656</v>
      </c>
      <c r="P24" t="n">
        <v>413.296520717336</v>
      </c>
      <c r="Q24" t="n">
        <v>563.986362355365</v>
      </c>
      <c r="R24" t="n">
        <v>607.600622221497</v>
      </c>
      <c r="S24" t="n">
        <v>613.896554857717</v>
      </c>
      <c r="T24" t="n">
        <v>584.894249699441</v>
      </c>
      <c r="U24" t="n">
        <v>521.13800447154</v>
      </c>
      <c r="V24" t="n">
        <v>430.203830720376</v>
      </c>
      <c r="W24" t="n">
        <v>340.713549324247</v>
      </c>
      <c r="X24" t="n">
        <v>273.279633898905</v>
      </c>
      <c r="Y24" t="n">
        <v>259.149555880434</v>
      </c>
      <c r="Z24" t="n">
        <v>242.480836811318</v>
      </c>
      <c r="AA24" t="n">
        <v>234.614467409491</v>
      </c>
      <c r="AB24" t="n">
        <v>232.244624304344</v>
      </c>
      <c r="AC24" t="n">
        <v>202.704301641222</v>
      </c>
      <c r="AD24" t="n">
        <v>185.571554770318</v>
      </c>
      <c r="AE24" t="n">
        <v>169.5</v>
      </c>
      <c r="AF24" t="n">
        <v>164.7</v>
      </c>
    </row>
    <row r="25">
      <c r="A25" t="s">
        <v>141</v>
      </c>
      <c r="B25" t="s">
        <v>320</v>
      </c>
      <c r="C25" t="s">
        <v>217</v>
      </c>
      <c r="D25" t="s">
        <v>321</v>
      </c>
      <c r="E25" t="s">
        <v>218</v>
      </c>
      <c r="F25" t="n">
        <v>5.33502910385081</v>
      </c>
      <c r="G25" t="n">
        <v>6.32299745641577</v>
      </c>
      <c r="H25" t="n">
        <v>7.28102737405452</v>
      </c>
      <c r="I25" t="n">
        <v>8.3731814801627</v>
      </c>
      <c r="J25" t="n">
        <v>8.90763987251351</v>
      </c>
      <c r="K25" t="n">
        <v>11.329134206789</v>
      </c>
      <c r="L25" t="n">
        <v>21.1250021299525</v>
      </c>
      <c r="M25" t="n">
        <v>26.0955908664119</v>
      </c>
      <c r="N25" t="n">
        <v>25.5985319927659</v>
      </c>
      <c r="O25" t="n">
        <v>26.1728580310652</v>
      </c>
      <c r="P25" t="n">
        <v>29.8268609379996</v>
      </c>
      <c r="Q25" t="n">
        <v>40.7926186357936</v>
      </c>
      <c r="R25" t="n">
        <v>46.2907541910527</v>
      </c>
      <c r="S25" t="n">
        <v>49.5016735569061</v>
      </c>
      <c r="T25" t="n">
        <v>47.0847744863157</v>
      </c>
      <c r="U25" t="n">
        <v>40.806804554807</v>
      </c>
      <c r="V25" t="n">
        <v>30.8031947003519</v>
      </c>
      <c r="W25" t="n">
        <v>22.5365226401935</v>
      </c>
      <c r="X25" t="n">
        <v>17.517471746526</v>
      </c>
      <c r="Y25" t="n">
        <v>15.0708974802514</v>
      </c>
      <c r="Z25" t="n">
        <v>13.2115010378827</v>
      </c>
      <c r="AA25" t="n">
        <v>16.0495271867612</v>
      </c>
      <c r="AB25" t="n">
        <v>18.5111111111111</v>
      </c>
      <c r="AC25" t="n">
        <v>15.7393939393939</v>
      </c>
      <c r="AD25" t="n">
        <v>12.4727272727273</v>
      </c>
      <c r="AE25" t="n">
        <v>9.8</v>
      </c>
      <c r="AF25" t="n">
        <v>8.1</v>
      </c>
    </row>
    <row r="26">
      <c r="A26" t="s">
        <v>141</v>
      </c>
      <c r="B26" t="s">
        <v>322</v>
      </c>
      <c r="C26" t="s">
        <v>217</v>
      </c>
      <c r="D26" t="s">
        <v>323</v>
      </c>
      <c r="E26" t="s">
        <v>218</v>
      </c>
      <c r="F26" t="n">
        <v>42.9965362212502</v>
      </c>
      <c r="G26" t="n">
        <v>46.5385849717422</v>
      </c>
      <c r="H26" t="n">
        <v>50.8477132098665</v>
      </c>
      <c r="I26" t="n">
        <v>56.2762946913469</v>
      </c>
      <c r="J26" t="n">
        <v>59.0279747156872</v>
      </c>
      <c r="K26" t="n">
        <v>73.5899420464294</v>
      </c>
      <c r="L26" t="n">
        <v>88.2909350880371</v>
      </c>
      <c r="M26" t="n">
        <v>103.336768595549</v>
      </c>
      <c r="N26" t="n">
        <v>134.313018174551</v>
      </c>
      <c r="O26" t="n">
        <v>169.667143931134</v>
      </c>
      <c r="P26" t="n">
        <v>221.657823312125</v>
      </c>
      <c r="Q26" t="n">
        <v>331.265960174179</v>
      </c>
      <c r="R26" t="n">
        <v>364.719144002053</v>
      </c>
      <c r="S26" t="n">
        <v>378.046274720764</v>
      </c>
      <c r="T26" t="n">
        <v>366.98759624344</v>
      </c>
      <c r="U26" t="n">
        <v>322.55292011185</v>
      </c>
      <c r="V26" t="n">
        <v>255.862254909</v>
      </c>
      <c r="W26" t="n">
        <v>199.759895354772</v>
      </c>
      <c r="X26" t="n">
        <v>154.964058791726</v>
      </c>
      <c r="Y26" t="n">
        <v>146.425823760136</v>
      </c>
      <c r="Z26" t="n">
        <v>139.364431053686</v>
      </c>
      <c r="AA26" t="n">
        <v>125.191777048227</v>
      </c>
      <c r="AB26" t="n">
        <v>116.397721675462</v>
      </c>
      <c r="AC26" t="n">
        <v>102.059593428014</v>
      </c>
      <c r="AD26" t="n">
        <v>90.8968253968254</v>
      </c>
      <c r="AE26" t="n">
        <v>88.1</v>
      </c>
      <c r="AF26" t="n">
        <v>90.3</v>
      </c>
    </row>
    <row r="27">
      <c r="A27" t="s">
        <v>141</v>
      </c>
      <c r="B27" t="s">
        <v>324</v>
      </c>
      <c r="C27" t="s">
        <v>217</v>
      </c>
      <c r="D27" t="s">
        <v>325</v>
      </c>
      <c r="E27" t="s">
        <v>218</v>
      </c>
      <c r="F27" t="n">
        <v>68.5415174916416</v>
      </c>
      <c r="G27" t="n">
        <v>78.5763540394375</v>
      </c>
      <c r="H27" t="n">
        <v>89.117084459362</v>
      </c>
      <c r="I27" t="n">
        <v>101.119939008317</v>
      </c>
      <c r="J27" t="n">
        <v>107.495418004053</v>
      </c>
      <c r="K27" t="n">
        <v>135.787833739723</v>
      </c>
      <c r="L27" t="n">
        <v>114.250138678107</v>
      </c>
      <c r="M27" t="n">
        <v>118.904217914666</v>
      </c>
      <c r="N27" t="n">
        <v>135.783365568167</v>
      </c>
      <c r="O27" t="n">
        <v>124.437185922111</v>
      </c>
      <c r="P27" t="n">
        <v>158.465379356367</v>
      </c>
      <c r="Q27" t="n">
        <v>189.999989848284</v>
      </c>
      <c r="R27" t="n">
        <v>195.453767522275</v>
      </c>
      <c r="S27" t="n">
        <v>186.330977051388</v>
      </c>
      <c r="T27" t="n">
        <v>171.418014990729</v>
      </c>
      <c r="U27" t="n">
        <v>157.795391282856</v>
      </c>
      <c r="V27" t="n">
        <v>143.540349661318</v>
      </c>
      <c r="W27" t="n">
        <v>118.418325527045</v>
      </c>
      <c r="X27" t="n">
        <v>100.79830867805</v>
      </c>
      <c r="Y27" t="n">
        <v>97.6575629354039</v>
      </c>
      <c r="Z27" t="n">
        <v>89.9116317387203</v>
      </c>
      <c r="AA27" t="n">
        <v>93.3508744828243</v>
      </c>
      <c r="AB27" t="n">
        <v>97.2980573362207</v>
      </c>
      <c r="AC27" t="n">
        <v>84.874914162546</v>
      </c>
      <c r="AD27" t="n">
        <v>82.1852161785216</v>
      </c>
      <c r="AE27" t="n">
        <v>71.6</v>
      </c>
      <c r="AF27" t="n">
        <v>66.3</v>
      </c>
    </row>
    <row r="28">
      <c r="A28" t="s">
        <v>141</v>
      </c>
      <c r="B28" t="s">
        <v>326</v>
      </c>
      <c r="C28" t="s">
        <v>217</v>
      </c>
      <c r="D28" t="s">
        <v>327</v>
      </c>
      <c r="E28" t="s">
        <v>218</v>
      </c>
      <c r="F28" t="n">
        <v>25.68238237247</v>
      </c>
      <c r="G28" t="n">
        <v>33.741077134506</v>
      </c>
      <c r="H28" t="n">
        <v>41.206564916978</v>
      </c>
      <c r="I28" t="n">
        <v>48.8680870372202</v>
      </c>
      <c r="J28" t="n">
        <v>53.273670473308</v>
      </c>
      <c r="K28" t="n">
        <v>68.6270761252427</v>
      </c>
      <c r="L28" t="n">
        <v>103.911752057561</v>
      </c>
      <c r="M28" t="n">
        <v>110.58325158397</v>
      </c>
      <c r="N28" t="n">
        <v>107.123593542378</v>
      </c>
      <c r="O28" t="n">
        <v>113.337259061078</v>
      </c>
      <c r="P28" t="n">
        <v>96.3463241422108</v>
      </c>
      <c r="Q28" t="n">
        <v>82.013813112791</v>
      </c>
      <c r="R28" t="n">
        <v>79.4634654055193</v>
      </c>
      <c r="S28" t="n">
        <v>67.7836187486332</v>
      </c>
      <c r="T28" t="n">
        <v>61.2151761725919</v>
      </c>
      <c r="U28" t="n">
        <v>67.533723768653</v>
      </c>
      <c r="V28" t="n">
        <v>50.0834039043441</v>
      </c>
      <c r="W28" t="n">
        <v>36.7539656832271</v>
      </c>
      <c r="X28" t="n">
        <v>31.4613946248424</v>
      </c>
      <c r="Y28" t="n">
        <v>26.4783787060009</v>
      </c>
      <c r="Z28" t="n">
        <v>23.8403114548495</v>
      </c>
      <c r="AA28" t="n">
        <v>25.1157190635452</v>
      </c>
      <c r="AB28" t="n">
        <v>29.8</v>
      </c>
      <c r="AC28" t="n">
        <v>32.8</v>
      </c>
      <c r="AD28" t="n">
        <v>27.8</v>
      </c>
      <c r="AE28" t="n">
        <v>22.9</v>
      </c>
      <c r="AF28" t="n">
        <v>19.5</v>
      </c>
    </row>
    <row r="29">
      <c r="A29" t="s">
        <v>141</v>
      </c>
      <c r="B29" t="s">
        <v>328</v>
      </c>
      <c r="C29" t="s">
        <v>217</v>
      </c>
      <c r="D29" t="s">
        <v>329</v>
      </c>
      <c r="E29" t="s">
        <v>218</v>
      </c>
      <c r="F29" t="n">
        <v>5.19932725970386</v>
      </c>
      <c r="G29" t="n">
        <v>6.09576299413556</v>
      </c>
      <c r="H29" t="n">
        <v>7.0246411646705</v>
      </c>
      <c r="I29" t="n">
        <v>8.00482365276406</v>
      </c>
      <c r="J29" t="n">
        <v>8.53847856294833</v>
      </c>
      <c r="K29" t="n">
        <v>10.8813537783915</v>
      </c>
      <c r="L29" t="n">
        <v>20.0768640136519</v>
      </c>
      <c r="M29" t="n">
        <v>16.4491138329673</v>
      </c>
      <c r="N29" t="n">
        <v>14.7097815545568</v>
      </c>
      <c r="O29" t="n">
        <v>17.0712180582984</v>
      </c>
      <c r="P29" t="n">
        <v>19.1605313131946</v>
      </c>
      <c r="Q29" t="n">
        <v>20.8449736264425</v>
      </c>
      <c r="R29" t="n">
        <v>18.93063931381</v>
      </c>
      <c r="S29" t="n">
        <v>17.59372975775</v>
      </c>
      <c r="T29" t="n">
        <v>15.9309077379626</v>
      </c>
      <c r="U29" t="n">
        <v>23.0890520931958</v>
      </c>
      <c r="V29" t="n">
        <v>17.0957236775152</v>
      </c>
      <c r="W29" t="n">
        <v>12.5043007469826</v>
      </c>
      <c r="X29" t="n">
        <v>10.0620545073375</v>
      </c>
      <c r="Y29" t="n">
        <v>9.1912997903564</v>
      </c>
      <c r="Z29" t="n">
        <v>6.96603773584906</v>
      </c>
      <c r="AA29" t="n">
        <v>5.2</v>
      </c>
      <c r="AB29" t="n">
        <v>7.3</v>
      </c>
      <c r="AC29" t="n">
        <v>8.2</v>
      </c>
      <c r="AD29" t="n">
        <v>8.4</v>
      </c>
      <c r="AE29" t="n">
        <v>8.2</v>
      </c>
      <c r="AF29" t="n">
        <v>7.8</v>
      </c>
    </row>
    <row r="30">
      <c r="A30" t="s">
        <v>141</v>
      </c>
      <c r="B30" t="s">
        <v>330</v>
      </c>
      <c r="C30" t="s">
        <v>217</v>
      </c>
      <c r="D30" t="s">
        <v>331</v>
      </c>
      <c r="E30" t="s">
        <v>218</v>
      </c>
      <c r="F30" t="n">
        <v>3.09586833214406</v>
      </c>
      <c r="G30" t="n">
        <v>2.99267272107259</v>
      </c>
      <c r="H30" t="n">
        <v>2.99267272107259</v>
      </c>
      <c r="I30" t="n">
        <v>3.17971476613963</v>
      </c>
      <c r="J30" t="n">
        <v>3.27323578867315</v>
      </c>
      <c r="K30" t="n">
        <v>3.90969830313737</v>
      </c>
      <c r="L30" t="n">
        <v>18.5710669399025</v>
      </c>
      <c r="M30" t="n">
        <v>18.2255587177648</v>
      </c>
      <c r="N30" t="n">
        <v>14.252214163181</v>
      </c>
      <c r="O30" t="n">
        <v>13.9961863638424</v>
      </c>
      <c r="P30" t="n">
        <v>11.4272660818713</v>
      </c>
      <c r="Q30" t="n">
        <v>9.6903216374269</v>
      </c>
      <c r="R30" t="n">
        <v>6.92165831244779</v>
      </c>
      <c r="S30" t="n">
        <v>6.26690685045948</v>
      </c>
      <c r="T30" t="n">
        <v>5.05093984962406</v>
      </c>
      <c r="U30" t="n">
        <v>3.62142857142857</v>
      </c>
      <c r="V30" t="n">
        <v>2.6</v>
      </c>
      <c r="W30" t="n">
        <v>1.3</v>
      </c>
      <c r="X30" t="n">
        <v>3.15714285714286</v>
      </c>
      <c r="Y30" t="n">
        <v>2.41428571428571</v>
      </c>
      <c r="Z30" t="n">
        <v>1.76428571428571</v>
      </c>
      <c r="AA30" t="n">
        <v>1.3</v>
      </c>
      <c r="AB30" t="n">
        <v>1</v>
      </c>
      <c r="AC30" t="n">
        <v>0.7</v>
      </c>
      <c r="AD30" t="n">
        <v>0.5</v>
      </c>
      <c r="AE30" t="n">
        <v>0.3</v>
      </c>
      <c r="AF30" t="n">
        <v>0.2</v>
      </c>
    </row>
    <row r="31">
      <c r="A31" t="s">
        <v>141</v>
      </c>
      <c r="B31" t="s">
        <v>332</v>
      </c>
      <c r="C31" t="s">
        <v>217</v>
      </c>
      <c r="D31" t="s">
        <v>333</v>
      </c>
      <c r="E31" t="s">
        <v>218</v>
      </c>
      <c r="F31" t="n">
        <v>4.69638092185658</v>
      </c>
      <c r="G31" t="n">
        <v>3.8823415620681</v>
      </c>
      <c r="H31" t="n">
        <v>3.33638727990228</v>
      </c>
      <c r="I31" t="n">
        <v>3.04876768680725</v>
      </c>
      <c r="J31" t="n">
        <v>2.82293304334005</v>
      </c>
      <c r="K31" t="n">
        <v>3.04433955654319</v>
      </c>
      <c r="L31" t="n">
        <v>16.4501154985141</v>
      </c>
      <c r="M31" t="n">
        <v>19.6155951370294</v>
      </c>
      <c r="N31" t="n">
        <v>14.6338566895299</v>
      </c>
      <c r="O31" t="n">
        <v>10.4893028718658</v>
      </c>
      <c r="P31" t="n">
        <v>7.68156018394214</v>
      </c>
      <c r="Q31" t="n">
        <v>5.88374822599823</v>
      </c>
      <c r="R31" t="n">
        <v>5.88374822599823</v>
      </c>
      <c r="S31" t="n">
        <v>4.78398220244716</v>
      </c>
      <c r="T31" t="n">
        <v>4.45405239538184</v>
      </c>
      <c r="U31" t="n">
        <v>4.78398220244716</v>
      </c>
      <c r="V31" t="n">
        <v>3.08965517241379</v>
      </c>
      <c r="W31" t="n">
        <v>2.51034482758621</v>
      </c>
      <c r="X31" t="n">
        <v>2.02758620689655</v>
      </c>
      <c r="Y31" t="n">
        <v>1.44827586206897</v>
      </c>
      <c r="Z31" t="n">
        <v>2.12413793103448</v>
      </c>
      <c r="AA31" t="n">
        <v>2.8</v>
      </c>
      <c r="AB31" t="n">
        <v>3.4</v>
      </c>
      <c r="AC31" t="n">
        <v>4.2</v>
      </c>
      <c r="AD31" t="n">
        <v>3.1</v>
      </c>
      <c r="AE31" t="n">
        <v>2.2</v>
      </c>
      <c r="AF31" t="n">
        <v>1.6</v>
      </c>
    </row>
    <row r="32">
      <c r="A32" t="s">
        <v>141</v>
      </c>
      <c r="B32" t="s">
        <v>334</v>
      </c>
      <c r="C32" t="s">
        <v>217</v>
      </c>
      <c r="D32" t="s">
        <v>335</v>
      </c>
      <c r="E32" t="s">
        <v>218</v>
      </c>
      <c r="F32" t="n">
        <v>3.39518882393645</v>
      </c>
      <c r="G32" t="n">
        <v>2.85504514740111</v>
      </c>
      <c r="H32" t="n">
        <v>2.55451407925362</v>
      </c>
      <c r="I32" t="n">
        <v>2.34163790598249</v>
      </c>
      <c r="J32" t="n">
        <v>2.20389449974822</v>
      </c>
      <c r="K32" t="n">
        <v>2.40424854517988</v>
      </c>
      <c r="L32" t="n">
        <v>3.70384235338522</v>
      </c>
      <c r="M32" t="n">
        <v>2.88774149585966</v>
      </c>
      <c r="N32" t="n">
        <v>3.32718041914266</v>
      </c>
      <c r="O32" t="n">
        <v>5.73014405519013</v>
      </c>
      <c r="P32" t="n">
        <v>4.647783511432</v>
      </c>
      <c r="Q32" t="n">
        <v>4.25501307384619</v>
      </c>
      <c r="R32" t="n">
        <v>4.85337428735582</v>
      </c>
      <c r="S32" t="n">
        <v>4.58374238250271</v>
      </c>
      <c r="T32" t="n">
        <v>6.40375774026114</v>
      </c>
      <c r="U32" t="n">
        <v>8.1563651218063</v>
      </c>
      <c r="V32" t="n">
        <v>6.97713161021985</v>
      </c>
      <c r="W32" t="n">
        <v>5.50308972073678</v>
      </c>
      <c r="X32" t="n">
        <v>5.1100118835413</v>
      </c>
      <c r="Y32" t="n">
        <v>5.1100118835413</v>
      </c>
      <c r="Z32" t="n">
        <v>6.09270647653001</v>
      </c>
      <c r="AA32" t="n">
        <v>10.0234848484848</v>
      </c>
      <c r="AB32" t="n">
        <v>13.1</v>
      </c>
      <c r="AC32" t="n">
        <v>15.6</v>
      </c>
      <c r="AD32" t="n">
        <v>12.1</v>
      </c>
      <c r="AE32" t="n">
        <v>9.2</v>
      </c>
      <c r="AF32" t="n">
        <v>7.3</v>
      </c>
    </row>
    <row r="33">
      <c r="A33" t="s">
        <v>141</v>
      </c>
      <c r="B33" t="s">
        <v>336</v>
      </c>
      <c r="C33" t="s">
        <v>217</v>
      </c>
      <c r="D33" t="s">
        <v>337</v>
      </c>
      <c r="E33" t="s">
        <v>218</v>
      </c>
      <c r="F33" t="n">
        <v>10.2147593866344</v>
      </c>
      <c r="G33" t="n">
        <v>21.2077861551076</v>
      </c>
      <c r="H33" t="n">
        <v>30.580870214731</v>
      </c>
      <c r="I33" t="n">
        <v>39.4332273821532</v>
      </c>
      <c r="J33" t="n">
        <v>44.7027009744231</v>
      </c>
      <c r="K33" t="n">
        <v>59.5464001463524</v>
      </c>
      <c r="L33" t="n">
        <v>53.5833614857163</v>
      </c>
      <c r="M33" t="n">
        <v>64.6104252061</v>
      </c>
      <c r="N33" t="n">
        <v>73.9919894721372</v>
      </c>
      <c r="O33" t="n">
        <v>81.8103151571016</v>
      </c>
      <c r="P33" t="n">
        <v>64.6134529914252</v>
      </c>
      <c r="Q33" t="n">
        <v>48.2665074942604</v>
      </c>
      <c r="R33" t="n">
        <v>49.9218570292621</v>
      </c>
      <c r="S33" t="n">
        <v>39.6747390074662</v>
      </c>
      <c r="T33" t="n">
        <v>33.1649148687688</v>
      </c>
      <c r="U33" t="n">
        <v>28.1372549019608</v>
      </c>
      <c r="V33" t="n">
        <v>20.5</v>
      </c>
      <c r="W33" t="n">
        <v>15.1</v>
      </c>
      <c r="X33" t="n">
        <v>11.1</v>
      </c>
      <c r="Y33" t="n">
        <v>8.3</v>
      </c>
      <c r="Z33" t="n">
        <v>6.9</v>
      </c>
      <c r="AA33" t="n">
        <v>5.8</v>
      </c>
      <c r="AB33" t="n">
        <v>5</v>
      </c>
      <c r="AC33" t="n">
        <v>4.1</v>
      </c>
      <c r="AD33" t="n">
        <v>3.7</v>
      </c>
      <c r="AE33" t="n">
        <v>3</v>
      </c>
      <c r="AF33" t="n">
        <v>2.6</v>
      </c>
    </row>
    <row r="34">
      <c r="A34" t="s">
        <v>141</v>
      </c>
      <c r="B34" t="s">
        <v>338</v>
      </c>
      <c r="C34" t="s">
        <v>217</v>
      </c>
      <c r="D34" t="s">
        <v>339</v>
      </c>
      <c r="E34" t="s">
        <v>218</v>
      </c>
      <c r="F34" t="n">
        <v>22.0782804553123</v>
      </c>
      <c r="G34" t="n">
        <v>26.5465038807922</v>
      </c>
      <c r="H34" t="n">
        <v>30.9851476164873</v>
      </c>
      <c r="I34" t="n">
        <v>35.8265769315635</v>
      </c>
      <c r="J34" t="n">
        <v>38.442234096921</v>
      </c>
      <c r="K34" t="n">
        <v>48.9828466718832</v>
      </c>
      <c r="L34" t="n">
        <v>51.0332914162876</v>
      </c>
      <c r="M34" t="n">
        <v>48.3745381731814</v>
      </c>
      <c r="N34" t="n">
        <v>49.1130807407109</v>
      </c>
      <c r="O34" t="n">
        <v>57.0675024357146</v>
      </c>
      <c r="P34" t="n">
        <v>56.2360553803599</v>
      </c>
      <c r="Q34" t="n">
        <v>85.0950574479509</v>
      </c>
      <c r="R34" t="n">
        <v>104.926867493852</v>
      </c>
      <c r="S34" t="n">
        <v>140.538410400857</v>
      </c>
      <c r="T34" t="n">
        <v>144.209487560675</v>
      </c>
      <c r="U34" t="n">
        <v>128.079744212249</v>
      </c>
      <c r="V34" t="n">
        <v>91.4429801701407</v>
      </c>
      <c r="W34" t="n">
        <v>65.2740927564395</v>
      </c>
      <c r="X34" t="n">
        <v>46.6384378758246</v>
      </c>
      <c r="Y34" t="n">
        <v>33.7760476405972</v>
      </c>
      <c r="Z34" t="n">
        <v>61.6780000393514</v>
      </c>
      <c r="AA34" t="n">
        <v>75.4278726595889</v>
      </c>
      <c r="AB34" t="n">
        <v>86.8653017164678</v>
      </c>
      <c r="AC34" t="n">
        <v>74.8530714219619</v>
      </c>
      <c r="AD34" t="n">
        <v>70.2803738317757</v>
      </c>
      <c r="AE34" t="n">
        <v>64</v>
      </c>
      <c r="AF34" t="n">
        <v>62</v>
      </c>
    </row>
    <row r="35">
      <c r="A35" t="s">
        <v>141</v>
      </c>
      <c r="B35" t="s">
        <v>340</v>
      </c>
      <c r="C35" t="s">
        <v>217</v>
      </c>
      <c r="D35" t="s">
        <v>341</v>
      </c>
      <c r="E35" t="s">
        <v>218</v>
      </c>
      <c r="F35" t="n">
        <v>55.0509727238808</v>
      </c>
      <c r="G35" t="n">
        <v>81.6119541728691</v>
      </c>
      <c r="H35" t="n">
        <v>105.207983363433</v>
      </c>
      <c r="I35" t="n">
        <v>128.428645063712</v>
      </c>
      <c r="J35" t="n">
        <v>141.792708025597</v>
      </c>
      <c r="K35" t="n">
        <v>185.054818205519</v>
      </c>
      <c r="L35" t="n">
        <v>195.981742899284</v>
      </c>
      <c r="M35" t="n">
        <v>229.339015779448</v>
      </c>
      <c r="N35" t="n">
        <v>256.725559499658</v>
      </c>
      <c r="O35" t="n">
        <v>288.693536674448</v>
      </c>
      <c r="P35" t="n">
        <v>255.324072395697</v>
      </c>
      <c r="Q35" t="n">
        <v>268.572328913532</v>
      </c>
      <c r="R35" t="n">
        <v>304.682894145604</v>
      </c>
      <c r="S35" t="n">
        <v>276.753628848923</v>
      </c>
      <c r="T35" t="n">
        <v>271.387586602701</v>
      </c>
      <c r="U35" t="n">
        <v>354.824334103853</v>
      </c>
      <c r="V35" t="n">
        <v>297.767154750469</v>
      </c>
      <c r="W35" t="n">
        <v>239.120528773465</v>
      </c>
      <c r="X35" t="n">
        <v>188.815633671267</v>
      </c>
      <c r="Y35" t="n">
        <v>174.200813194893</v>
      </c>
      <c r="Z35" t="n">
        <v>160.5745256124</v>
      </c>
      <c r="AA35" t="n">
        <v>170.499878786729</v>
      </c>
      <c r="AB35" t="n">
        <v>181.353459033569</v>
      </c>
      <c r="AC35" t="n">
        <v>147.964548219717</v>
      </c>
      <c r="AD35" t="n">
        <v>120.980434782609</v>
      </c>
      <c r="AE35" t="n">
        <v>110.2</v>
      </c>
      <c r="AF35" t="n">
        <v>107.6</v>
      </c>
    </row>
    <row r="36">
      <c r="A36" t="s">
        <v>141</v>
      </c>
      <c r="B36" t="s">
        <v>342</v>
      </c>
      <c r="C36" t="s">
        <v>217</v>
      </c>
      <c r="D36" t="s">
        <v>343</v>
      </c>
      <c r="E36" t="s">
        <v>218</v>
      </c>
      <c r="F36" t="n">
        <v>25.9671875410179</v>
      </c>
      <c r="G36" t="n">
        <v>34.2342921459134</v>
      </c>
      <c r="H36" t="n">
        <v>41.7617118045028</v>
      </c>
      <c r="I36" t="n">
        <v>49.5494436095382</v>
      </c>
      <c r="J36" t="n">
        <v>53.8456381421571</v>
      </c>
      <c r="K36" t="n">
        <v>69.4031149064136</v>
      </c>
      <c r="L36" t="n">
        <v>75.3311076382361</v>
      </c>
      <c r="M36" t="n">
        <v>86.4978365351981</v>
      </c>
      <c r="N36" t="n">
        <v>100.943684235236</v>
      </c>
      <c r="O36" t="n">
        <v>112.587665157428</v>
      </c>
      <c r="P36" t="n">
        <v>98.071930729395</v>
      </c>
      <c r="Q36" t="n">
        <v>110.143761897422</v>
      </c>
      <c r="R36" t="n">
        <v>121.035019522704</v>
      </c>
      <c r="S36" t="n">
        <v>119.222832469173</v>
      </c>
      <c r="T36" t="n">
        <v>117.88217411209</v>
      </c>
      <c r="U36" t="n">
        <v>96.414200940457</v>
      </c>
      <c r="V36" t="n">
        <v>78.3984056928562</v>
      </c>
      <c r="W36" t="n">
        <v>60.6701229984917</v>
      </c>
      <c r="X36" t="n">
        <v>48.2804382370493</v>
      </c>
      <c r="Y36" t="n">
        <v>38.2913820500736</v>
      </c>
      <c r="Z36" t="n">
        <v>30.0651004843289</v>
      </c>
      <c r="AA36" t="n">
        <v>24.8577464788732</v>
      </c>
      <c r="AB36" t="n">
        <v>22.0957746478873</v>
      </c>
      <c r="AC36" t="n">
        <v>21.2995305164319</v>
      </c>
      <c r="AD36" t="n">
        <v>21.2</v>
      </c>
      <c r="AE36" t="n">
        <v>25.6</v>
      </c>
      <c r="AF36" t="n">
        <v>31.4</v>
      </c>
    </row>
    <row r="37">
      <c r="A37" t="s">
        <v>141</v>
      </c>
      <c r="B37" t="s">
        <v>344</v>
      </c>
      <c r="C37" t="s">
        <v>217</v>
      </c>
      <c r="D37" t="s">
        <v>345</v>
      </c>
      <c r="E37" t="s">
        <v>218</v>
      </c>
      <c r="F37" t="n">
        <v>10.4309290809274</v>
      </c>
      <c r="G37" t="n">
        <v>15.1722604813489</v>
      </c>
      <c r="H37" t="n">
        <v>19.4106652311994</v>
      </c>
      <c r="I37" t="n">
        <v>23.5825096988005</v>
      </c>
      <c r="J37" t="n">
        <v>25.9691733309683</v>
      </c>
      <c r="K37" t="n">
        <v>33.8487088288262</v>
      </c>
      <c r="L37" t="n">
        <v>30.3171420970867</v>
      </c>
      <c r="M37" t="n">
        <v>36.2326820184694</v>
      </c>
      <c r="N37" t="n">
        <v>41.3559621289527</v>
      </c>
      <c r="O37" t="n">
        <v>45.6377662887685</v>
      </c>
      <c r="P37" t="n">
        <v>49.9636209132964</v>
      </c>
      <c r="Q37" t="n">
        <v>58.5607132268692</v>
      </c>
      <c r="R37" t="n">
        <v>72.5091184024108</v>
      </c>
      <c r="S37" t="n">
        <v>68.7018214330052</v>
      </c>
      <c r="T37" t="n">
        <v>65.2781426240515</v>
      </c>
      <c r="U37" t="n">
        <v>101.372443707516</v>
      </c>
      <c r="V37" t="n">
        <v>82.9770539225428</v>
      </c>
      <c r="W37" t="n">
        <v>67.720300235717</v>
      </c>
      <c r="X37" t="n">
        <v>54.3531582443418</v>
      </c>
      <c r="Y37" t="n">
        <v>47.8895394260957</v>
      </c>
      <c r="Z37" t="n">
        <v>45.832933438472</v>
      </c>
      <c r="AA37" t="n">
        <v>45.7347901120513</v>
      </c>
      <c r="AB37" t="n">
        <v>46.3261882600519</v>
      </c>
      <c r="AC37" t="n">
        <v>42.4574059428313</v>
      </c>
      <c r="AD37" t="n">
        <v>36.8892215568862</v>
      </c>
      <c r="AE37" t="n">
        <v>33.3</v>
      </c>
      <c r="AF37" t="n">
        <v>32</v>
      </c>
    </row>
    <row r="38">
      <c r="A38" t="s">
        <v>141</v>
      </c>
      <c r="B38" t="s">
        <v>346</v>
      </c>
      <c r="C38" t="s">
        <v>217</v>
      </c>
      <c r="D38" t="s">
        <v>347</v>
      </c>
      <c r="E38" t="s">
        <v>218</v>
      </c>
      <c r="F38" t="n">
        <v>22.9694958478037</v>
      </c>
      <c r="G38" t="n">
        <v>37.1524676815379</v>
      </c>
      <c r="H38" t="n">
        <v>49.6039287704592</v>
      </c>
      <c r="I38" t="n">
        <v>61.6079525062041</v>
      </c>
      <c r="J38" t="n">
        <v>68.6542061835331</v>
      </c>
      <c r="K38" t="n">
        <v>90.2190588800466</v>
      </c>
      <c r="L38" t="n">
        <v>100.422404824814</v>
      </c>
      <c r="M38" t="n">
        <v>117.768620331815</v>
      </c>
      <c r="N38" t="n">
        <v>128.264002055133</v>
      </c>
      <c r="O38" t="n">
        <v>145.793606623633</v>
      </c>
      <c r="P38" t="n">
        <v>119.388171154558</v>
      </c>
      <c r="Q38" t="n">
        <v>114.428970198907</v>
      </c>
      <c r="R38" t="n">
        <v>125.710699655137</v>
      </c>
      <c r="S38" t="n">
        <v>104.998068247939</v>
      </c>
      <c r="T38" t="n">
        <v>104.622404318608</v>
      </c>
      <c r="U38" t="n">
        <v>156.933606477912</v>
      </c>
      <c r="V38" t="n">
        <v>136.313145235078</v>
      </c>
      <c r="W38" t="n">
        <v>110.668125147437</v>
      </c>
      <c r="X38" t="n">
        <v>86.1299567042384</v>
      </c>
      <c r="Y38" t="n">
        <v>87.9959420832356</v>
      </c>
      <c r="Z38" t="n">
        <v>84.6605329072824</v>
      </c>
      <c r="AA38" t="n">
        <v>99.9013953934947</v>
      </c>
      <c r="AB38" t="n">
        <v>112.932012183951</v>
      </c>
      <c r="AC38" t="n">
        <v>84.2019492251814</v>
      </c>
      <c r="AD38" t="n">
        <v>62.8774319066148</v>
      </c>
      <c r="AE38" t="n">
        <v>51.3</v>
      </c>
      <c r="AF38" t="n">
        <v>44.2</v>
      </c>
    </row>
    <row r="39">
      <c r="A39" t="s">
        <v>141</v>
      </c>
      <c r="B39" t="s">
        <v>348</v>
      </c>
      <c r="C39" t="s">
        <v>217</v>
      </c>
      <c r="D39" t="s">
        <v>349</v>
      </c>
      <c r="E39" t="s">
        <v>218</v>
      </c>
      <c r="F39" t="n">
        <v>117.697462192196</v>
      </c>
      <c r="G39" t="n">
        <v>128.771640205614</v>
      </c>
      <c r="H39" t="n">
        <v>141.782477209088</v>
      </c>
      <c r="I39" t="n">
        <v>157.769818852842</v>
      </c>
      <c r="J39" t="n">
        <v>165.778020019104</v>
      </c>
      <c r="K39" t="n">
        <v>207.303156356574</v>
      </c>
      <c r="L39" t="n">
        <v>201.301236401107</v>
      </c>
      <c r="M39" t="n">
        <v>167.58462336025</v>
      </c>
      <c r="N39" t="n">
        <v>138.579592394053</v>
      </c>
      <c r="O39" t="n">
        <v>120.536953997016</v>
      </c>
      <c r="P39" t="n">
        <v>133.729272089197</v>
      </c>
      <c r="Q39" t="n">
        <v>133.891269996028</v>
      </c>
      <c r="R39" t="n">
        <v>135.531089591816</v>
      </c>
      <c r="S39" t="n">
        <v>140.978746055311</v>
      </c>
      <c r="T39" t="n">
        <v>131.530435032204</v>
      </c>
      <c r="U39" t="n">
        <v>119.33940479908</v>
      </c>
      <c r="V39" t="n">
        <v>103.963172260546</v>
      </c>
      <c r="W39" t="n">
        <v>86.8003715268312</v>
      </c>
      <c r="X39" t="n">
        <v>78.7304957159467</v>
      </c>
      <c r="Y39" t="n">
        <v>91.8849675687358</v>
      </c>
      <c r="Z39" t="n">
        <v>84.2360588490331</v>
      </c>
      <c r="AA39" t="n">
        <v>100.159327849667</v>
      </c>
      <c r="AB39" t="n">
        <v>113.691702519691</v>
      </c>
      <c r="AC39" t="n">
        <v>151.390001080464</v>
      </c>
      <c r="AD39" t="n">
        <v>164.138632750397</v>
      </c>
      <c r="AE39" t="n">
        <v>188.4</v>
      </c>
      <c r="AF39" t="n">
        <v>218.5</v>
      </c>
    </row>
    <row r="40">
      <c r="A40" t="s">
        <v>141</v>
      </c>
      <c r="B40" t="s">
        <v>350</v>
      </c>
      <c r="C40" t="s">
        <v>217</v>
      </c>
      <c r="D40" t="s">
        <v>351</v>
      </c>
      <c r="E40" t="s">
        <v>218</v>
      </c>
      <c r="F40" t="e">
        <v>#NUM!</v>
      </c>
      <c r="G40" t="e">
        <v>#NUM!</v>
      </c>
      <c r="H40" t="e">
        <v>#NUM!</v>
      </c>
      <c r="I40" t="e">
        <v>#NUM!</v>
      </c>
      <c r="J40" t="e">
        <v>#NUM!</v>
      </c>
      <c r="K40" t="e">
        <v>#NUM!</v>
      </c>
      <c r="L40" t="e">
        <v>#NUM!</v>
      </c>
      <c r="M40" t="e">
        <v>#NUM!</v>
      </c>
      <c r="N40" t="e">
        <v>#NUM!</v>
      </c>
      <c r="O40" t="e">
        <v>#NUM!</v>
      </c>
      <c r="P40" t="e">
        <v>#NUM!</v>
      </c>
      <c r="Q40" t="e">
        <v>#NUM!</v>
      </c>
      <c r="R40" t="e">
        <v>#NUM!</v>
      </c>
      <c r="S40" t="e">
        <v>#NUM!</v>
      </c>
      <c r="T40" t="e">
        <v>#NUM!</v>
      </c>
      <c r="U40" t="e">
        <v>#NUM!</v>
      </c>
      <c r="V40" t="e">
        <v>#NUM!</v>
      </c>
      <c r="W40" t="e">
        <v>#NUM!</v>
      </c>
      <c r="X40" t="e">
        <v>#NUM!</v>
      </c>
      <c r="Y40" t="e">
        <v>#NUM!</v>
      </c>
      <c r="Z40" t="e">
        <v>#NUM!</v>
      </c>
      <c r="AA40" t="e">
        <v>#NUM!</v>
      </c>
      <c r="AB40" t="e">
        <v>#NUM!</v>
      </c>
      <c r="AC40" t="e">
        <v>#NUM!</v>
      </c>
      <c r="AD40" t="e">
        <v>#NUM!</v>
      </c>
      <c r="AE40" t="n">
        <v>0</v>
      </c>
      <c r="AF40" t="e">
        <v>#NUM!</v>
      </c>
    </row>
    <row r="41">
      <c r="A41" t="s">
        <v>141</v>
      </c>
      <c r="B41" t="s">
        <v>352</v>
      </c>
      <c r="C41" t="s">
        <v>217</v>
      </c>
      <c r="D41" t="s">
        <v>353</v>
      </c>
      <c r="E41" t="s">
        <v>218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141</v>
      </c>
      <c r="B42" t="s">
        <v>354</v>
      </c>
      <c r="C42" t="s">
        <v>217</v>
      </c>
      <c r="D42" t="s">
        <v>355</v>
      </c>
      <c r="E42" t="s">
        <v>218</v>
      </c>
      <c r="F42" t="n">
        <v>100.701494210739</v>
      </c>
      <c r="G42" t="n">
        <v>150.67079626228</v>
      </c>
      <c r="H42" t="n">
        <v>196.874033047142</v>
      </c>
      <c r="I42" t="n">
        <v>242.063980134475</v>
      </c>
      <c r="J42" t="n">
        <v>268.530329400155</v>
      </c>
      <c r="K42" t="n">
        <v>350.096416955452</v>
      </c>
      <c r="L42" t="n">
        <v>361.522432911499</v>
      </c>
      <c r="M42" t="n">
        <v>337.143847450963</v>
      </c>
      <c r="N42" t="n">
        <v>394.985588103687</v>
      </c>
      <c r="O42" t="n">
        <v>435.723657954077</v>
      </c>
      <c r="P42" t="n">
        <v>353.861912156023</v>
      </c>
      <c r="Q42" t="n">
        <v>330.15864700326</v>
      </c>
      <c r="R42" t="n">
        <v>360.134251012092</v>
      </c>
      <c r="S42" t="n">
        <v>375.777313943882</v>
      </c>
      <c r="T42" t="n">
        <v>382.161042417676</v>
      </c>
      <c r="U42" t="n">
        <v>343.660065476568</v>
      </c>
      <c r="V42" t="n">
        <v>272.291375790059</v>
      </c>
      <c r="W42" t="n">
        <v>217.852824744745</v>
      </c>
      <c r="X42" t="n">
        <v>181.511191683799</v>
      </c>
      <c r="Y42" t="n">
        <v>173.16697789628</v>
      </c>
      <c r="Z42" t="n">
        <v>163.165261166144</v>
      </c>
      <c r="AA42" t="n">
        <v>154.318951825811</v>
      </c>
      <c r="AB42" t="n">
        <v>149.87882853159</v>
      </c>
      <c r="AC42" t="n">
        <v>129.205886665164</v>
      </c>
      <c r="AD42" t="n">
        <v>107.406126126126</v>
      </c>
      <c r="AE42" t="n">
        <v>110.8</v>
      </c>
      <c r="AF42" t="n">
        <v>119.1</v>
      </c>
    </row>
    <row r="43">
      <c r="A43" t="s">
        <v>141</v>
      </c>
      <c r="B43" t="s">
        <v>356</v>
      </c>
      <c r="C43" t="s">
        <v>217</v>
      </c>
      <c r="D43" t="s">
        <v>357</v>
      </c>
      <c r="E43" t="s">
        <v>218</v>
      </c>
      <c r="F43" t="n">
        <v>111.446790076907</v>
      </c>
      <c r="G43" t="n">
        <v>161.530165374627</v>
      </c>
      <c r="H43" t="n">
        <v>208.057876053188</v>
      </c>
      <c r="I43" t="n">
        <v>253.961525329757</v>
      </c>
      <c r="J43" t="n">
        <v>280.70715331743</v>
      </c>
      <c r="K43" t="n">
        <v>365.038411258904</v>
      </c>
      <c r="L43" t="n">
        <v>379.272809140937</v>
      </c>
      <c r="M43" t="n">
        <v>354.618185854806</v>
      </c>
      <c r="N43" t="n">
        <v>417.437992387602</v>
      </c>
      <c r="O43" t="n">
        <v>468.086338636491</v>
      </c>
      <c r="P43" t="n">
        <v>379.019157983391</v>
      </c>
      <c r="Q43" t="n">
        <v>351.877937740267</v>
      </c>
      <c r="R43" t="n">
        <v>377.820247803341</v>
      </c>
      <c r="S43" t="n">
        <v>502.513130447587</v>
      </c>
      <c r="T43" t="n">
        <v>583.013203009946</v>
      </c>
      <c r="U43" t="n">
        <v>561.934530591706</v>
      </c>
      <c r="V43" t="n">
        <v>449.527799653093</v>
      </c>
      <c r="W43" t="n">
        <v>356.426824911426</v>
      </c>
      <c r="X43" t="n">
        <v>283.05352163455</v>
      </c>
      <c r="Y43" t="n">
        <v>258.811420440468</v>
      </c>
      <c r="Z43" t="n">
        <v>270.47754128608</v>
      </c>
      <c r="AA43" t="n">
        <v>267.725589557878</v>
      </c>
      <c r="AB43" t="n">
        <v>269.600556827174</v>
      </c>
      <c r="AC43" t="n">
        <v>239.181024972781</v>
      </c>
      <c r="AD43" t="n">
        <v>233.106902356902</v>
      </c>
      <c r="AE43" t="n">
        <v>237.2</v>
      </c>
      <c r="AF43" t="n">
        <v>252.6</v>
      </c>
    </row>
    <row r="44">
      <c r="A44" t="s">
        <v>141</v>
      </c>
      <c r="B44" t="s">
        <v>358</v>
      </c>
      <c r="C44" t="s">
        <v>217</v>
      </c>
      <c r="D44" t="s">
        <v>359</v>
      </c>
      <c r="E44" t="s">
        <v>218</v>
      </c>
      <c r="F44" t="n">
        <v>676.620038494285</v>
      </c>
      <c r="G44" t="n">
        <v>855.722759316023</v>
      </c>
      <c r="H44" t="n">
        <v>1027.14075963437</v>
      </c>
      <c r="I44" t="n">
        <v>1206.07558565299</v>
      </c>
      <c r="J44" t="n">
        <v>1305.83631813659</v>
      </c>
      <c r="K44" t="n">
        <v>1674.56942259473</v>
      </c>
      <c r="L44" t="n">
        <v>1703.5731800611</v>
      </c>
      <c r="M44" t="n">
        <v>1671.0287989578</v>
      </c>
      <c r="N44" t="n">
        <v>1723.20475432227</v>
      </c>
      <c r="O44" t="n">
        <v>1791.57146470352</v>
      </c>
      <c r="P44" t="n">
        <v>1711.94104385529</v>
      </c>
      <c r="Q44" t="n">
        <v>1865.59371756038</v>
      </c>
      <c r="R44" t="n">
        <v>2024.40949172045</v>
      </c>
      <c r="S44" t="n">
        <v>2197.79458311145</v>
      </c>
      <c r="T44" t="n">
        <v>2204.47094449512</v>
      </c>
      <c r="U44" t="n">
        <v>2184.02971802899</v>
      </c>
      <c r="V44" t="n">
        <v>1773.06277598652</v>
      </c>
      <c r="W44" t="n">
        <v>1419.75147891459</v>
      </c>
      <c r="X44" t="n">
        <v>1147.65377487078</v>
      </c>
      <c r="Y44" t="n">
        <v>1073.26971661066</v>
      </c>
      <c r="Z44" t="n">
        <v>1129.25190425885</v>
      </c>
      <c r="AA44" t="n">
        <v>1111.55665373507</v>
      </c>
      <c r="AB44" t="n">
        <v>1117.28378226991</v>
      </c>
      <c r="AC44" t="n">
        <v>1120.46551058108</v>
      </c>
      <c r="AD44" t="n">
        <v>1134.70660630707</v>
      </c>
      <c r="AE44" t="n">
        <v>1300.9</v>
      </c>
      <c r="AF44" t="n">
        <v>1507.8</v>
      </c>
    </row>
    <row r="45">
      <c r="A45" t="s">
        <v>141</v>
      </c>
      <c r="B45" t="s">
        <v>360</v>
      </c>
      <c r="C45" t="s">
        <v>217</v>
      </c>
      <c r="D45" t="s">
        <v>361</v>
      </c>
      <c r="E45" t="s">
        <v>218</v>
      </c>
      <c r="F45" t="n">
        <v>675.103452020194</v>
      </c>
      <c r="G45" t="n">
        <v>854.037020026067</v>
      </c>
      <c r="H45" t="n">
        <v>1025.28834571302</v>
      </c>
      <c r="I45" t="n">
        <v>1203.96027327518</v>
      </c>
      <c r="J45" t="n">
        <v>1303.61800184742</v>
      </c>
      <c r="K45" t="n">
        <v>1671.73290863761</v>
      </c>
      <c r="L45" t="n">
        <v>1700.78152789264</v>
      </c>
      <c r="M45" t="n">
        <v>1668.34435910829</v>
      </c>
      <c r="N45" t="n">
        <v>1720.53985108709</v>
      </c>
      <c r="O45" t="n">
        <v>1788.8354239101</v>
      </c>
      <c r="P45" t="n">
        <v>1707.70944212739</v>
      </c>
      <c r="Q45" t="n">
        <v>1861.89706497086</v>
      </c>
      <c r="R45" t="n">
        <v>2014.41625480451</v>
      </c>
      <c r="S45" t="n">
        <v>2188.09055481436</v>
      </c>
      <c r="T45" t="n">
        <v>2193.01296462562</v>
      </c>
      <c r="U45" t="n">
        <v>2171.32277770646</v>
      </c>
      <c r="V45" t="n">
        <v>1761.8093597882</v>
      </c>
      <c r="W45" t="n">
        <v>1409.56578961735</v>
      </c>
      <c r="X45" t="n">
        <v>1137.93122835771</v>
      </c>
      <c r="Y45" t="n">
        <v>1063.54124378719</v>
      </c>
      <c r="Z45" t="n">
        <v>1118.84107429295</v>
      </c>
      <c r="AA45" t="n">
        <v>1101.34074817484</v>
      </c>
      <c r="AB45" t="n">
        <v>1107.06815455824</v>
      </c>
      <c r="AC45" t="n">
        <v>1109.95166241545</v>
      </c>
      <c r="AD45" t="n">
        <v>1123.79493572867</v>
      </c>
      <c r="AE45" t="n">
        <v>1289.1</v>
      </c>
      <c r="AF45" t="n">
        <v>1494.7</v>
      </c>
    </row>
    <row r="46">
      <c r="A46" t="s">
        <v>141</v>
      </c>
      <c r="B46" t="s">
        <v>362</v>
      </c>
      <c r="C46" t="s">
        <v>217</v>
      </c>
      <c r="D46" t="s">
        <v>363</v>
      </c>
      <c r="E46" t="s">
        <v>218</v>
      </c>
      <c r="F46" t="n">
        <v>14.8855181904498</v>
      </c>
      <c r="G46" t="n">
        <v>17.4634570949412</v>
      </c>
      <c r="H46" t="n">
        <v>20.0506359238213</v>
      </c>
      <c r="I46" t="n">
        <v>22.9476859812556</v>
      </c>
      <c r="J46" t="n">
        <v>24.5173974001688</v>
      </c>
      <c r="K46" t="n">
        <v>31.1041608808112</v>
      </c>
      <c r="L46" t="n">
        <v>34.2575781129672</v>
      </c>
      <c r="M46" t="n">
        <v>32.7953644130235</v>
      </c>
      <c r="N46" t="n">
        <v>40.2456913603558</v>
      </c>
      <c r="O46" t="n">
        <v>51.390652044762</v>
      </c>
      <c r="P46" t="n">
        <v>40.6991155583344</v>
      </c>
      <c r="Q46" t="n">
        <v>36.3568952727255</v>
      </c>
      <c r="R46" t="n">
        <v>34.1218402354678</v>
      </c>
      <c r="S46" t="n">
        <v>135.437458165395</v>
      </c>
      <c r="T46" t="n">
        <v>204.097247963528</v>
      </c>
      <c r="U46" t="n">
        <v>218.261250406179</v>
      </c>
      <c r="V46" t="n">
        <v>177.225756460603</v>
      </c>
      <c r="W46" t="n">
        <v>138.565491278324</v>
      </c>
      <c r="X46" t="n">
        <v>101.535907255118</v>
      </c>
      <c r="Y46" t="n">
        <v>85.6433304673608</v>
      </c>
      <c r="Z46" t="n">
        <v>107.299138285767</v>
      </c>
      <c r="AA46" t="n">
        <v>113.391213902724</v>
      </c>
      <c r="AB46" t="n">
        <v>119.707173597915</v>
      </c>
      <c r="AC46" t="n">
        <v>109.963566444596</v>
      </c>
      <c r="AD46" t="n">
        <v>125.701105845182</v>
      </c>
      <c r="AE46" t="n">
        <v>126.4</v>
      </c>
      <c r="AF46" t="n">
        <v>133.5</v>
      </c>
    </row>
    <row r="47">
      <c r="A47" t="s">
        <v>141</v>
      </c>
      <c r="B47" t="s">
        <v>364</v>
      </c>
      <c r="C47" t="s">
        <v>217</v>
      </c>
      <c r="D47" t="s">
        <v>365</v>
      </c>
      <c r="E47" t="s">
        <v>218</v>
      </c>
      <c r="F47" t="n">
        <v>136.158710627114</v>
      </c>
      <c r="G47" t="n">
        <v>233.023296710833</v>
      </c>
      <c r="H47" t="n">
        <v>307.844231198614</v>
      </c>
      <c r="I47" t="n">
        <v>387.088143423283</v>
      </c>
      <c r="J47" t="n">
        <v>418.916306360429</v>
      </c>
      <c r="K47" t="n">
        <v>489.925889143253</v>
      </c>
      <c r="L47" t="n">
        <v>549.331742984673</v>
      </c>
      <c r="M47" t="n">
        <v>549.906457972974</v>
      </c>
      <c r="N47" t="n">
        <v>597.965831563231</v>
      </c>
      <c r="O47" t="n">
        <v>664.196224299665</v>
      </c>
      <c r="P47" t="n">
        <v>702.909151641906</v>
      </c>
      <c r="Q47" t="n">
        <v>955.74616994428</v>
      </c>
      <c r="R47" t="n">
        <v>994.430402971257</v>
      </c>
      <c r="S47" t="n">
        <v>1230.08620431753</v>
      </c>
      <c r="T47" t="n">
        <v>1623.67657075195</v>
      </c>
      <c r="U47" t="n">
        <v>1310.92174257665</v>
      </c>
      <c r="V47" t="n">
        <v>1068.77885605656</v>
      </c>
      <c r="W47" t="n">
        <v>824.314675934378</v>
      </c>
      <c r="X47" t="n">
        <v>699.451337135573</v>
      </c>
      <c r="Y47" t="n">
        <v>576.838744843316</v>
      </c>
      <c r="Z47" t="n">
        <v>596.84131223207</v>
      </c>
      <c r="AA47" t="n">
        <v>591.826665292394</v>
      </c>
      <c r="AB47" t="n">
        <v>557.663831426667</v>
      </c>
      <c r="AC47" t="n">
        <v>519.187114942067</v>
      </c>
      <c r="AD47" t="n">
        <v>475.075129533679</v>
      </c>
      <c r="AE47" t="n">
        <v>462.3</v>
      </c>
      <c r="AF47" t="n">
        <v>460</v>
      </c>
    </row>
    <row r="48">
      <c r="A48" t="s">
        <v>141</v>
      </c>
      <c r="B48" t="s">
        <v>366</v>
      </c>
      <c r="C48" t="s">
        <v>217</v>
      </c>
      <c r="D48" t="s">
        <v>367</v>
      </c>
      <c r="E48" t="s">
        <v>218</v>
      </c>
      <c r="F48" t="n">
        <v>247.11625344932</v>
      </c>
      <c r="G48" t="n">
        <v>372.299407690994</v>
      </c>
      <c r="H48" t="n">
        <v>480.695896046251</v>
      </c>
      <c r="I48" t="n">
        <v>593.043630105047</v>
      </c>
      <c r="J48" t="n">
        <v>649.841605585456</v>
      </c>
      <c r="K48" t="n">
        <v>778.645265258758</v>
      </c>
      <c r="L48" t="n">
        <v>847.190024765644</v>
      </c>
      <c r="M48" t="n">
        <v>841.361598052875</v>
      </c>
      <c r="N48" t="n">
        <v>901.680318985309</v>
      </c>
      <c r="O48" t="n">
        <v>1012.53352129878</v>
      </c>
      <c r="P48" t="n">
        <v>1020.13136972038</v>
      </c>
      <c r="Q48" t="n">
        <v>1421.25869200977</v>
      </c>
      <c r="R48" t="n">
        <v>1395.54727761118</v>
      </c>
      <c r="S48" t="n">
        <v>1600.64400557533</v>
      </c>
      <c r="T48" t="n">
        <v>1910.60644453531</v>
      </c>
      <c r="U48" t="n">
        <v>1568.8537985418</v>
      </c>
      <c r="V48" t="n">
        <v>1285.07641509316</v>
      </c>
      <c r="W48" t="n">
        <v>1001.72840737538</v>
      </c>
      <c r="X48" t="n">
        <v>852.828156495357</v>
      </c>
      <c r="Y48" t="n">
        <v>712.931745420661</v>
      </c>
      <c r="Z48" t="n">
        <v>732.4466583971</v>
      </c>
      <c r="AA48" t="n">
        <v>721.235740156328</v>
      </c>
      <c r="AB48" t="n">
        <v>672.356811983083</v>
      </c>
      <c r="AC48" t="n">
        <v>631.49040415625</v>
      </c>
      <c r="AD48" t="n">
        <v>586.078067885118</v>
      </c>
      <c r="AE48" t="n">
        <v>573.5</v>
      </c>
      <c r="AF48" t="n">
        <v>570.6</v>
      </c>
    </row>
    <row r="49">
      <c r="A49" t="s">
        <v>141</v>
      </c>
      <c r="B49" t="s">
        <v>368</v>
      </c>
      <c r="C49" t="s">
        <v>217</v>
      </c>
      <c r="D49" t="s">
        <v>369</v>
      </c>
      <c r="E49" t="s">
        <v>218</v>
      </c>
      <c r="F49" t="n">
        <v>81.0918230167815</v>
      </c>
      <c r="G49" t="n">
        <v>104.924538125076</v>
      </c>
      <c r="H49" t="n">
        <v>132.72757584923</v>
      </c>
      <c r="I49" t="n">
        <v>159.811050445998</v>
      </c>
      <c r="J49" t="n">
        <v>181.380081741956</v>
      </c>
      <c r="K49" t="n">
        <v>228.035908745644</v>
      </c>
      <c r="L49" t="n">
        <v>224.814324696927</v>
      </c>
      <c r="M49" t="n">
        <v>214.483873618575</v>
      </c>
      <c r="N49" t="n">
        <v>227.857374814997</v>
      </c>
      <c r="O49" t="n">
        <v>268.175750241146</v>
      </c>
      <c r="P49" t="n">
        <v>244.000941091783</v>
      </c>
      <c r="Q49" t="n">
        <v>351.025172123979</v>
      </c>
      <c r="R49" t="n">
        <v>301.512338407678</v>
      </c>
      <c r="S49" t="n">
        <v>281.830662645799</v>
      </c>
      <c r="T49" t="n">
        <v>226.946405071154</v>
      </c>
      <c r="U49" t="n">
        <v>202.411658576975</v>
      </c>
      <c r="V49" t="n">
        <v>169.138509221856</v>
      </c>
      <c r="W49" t="n">
        <v>137.320373823685</v>
      </c>
      <c r="X49" t="n">
        <v>117.942068921632</v>
      </c>
      <c r="Y49" t="n">
        <v>105.186271118128</v>
      </c>
      <c r="Z49" t="n">
        <v>95.775383860588</v>
      </c>
      <c r="AA49" t="n">
        <v>83.9755419065115</v>
      </c>
      <c r="AB49" t="n">
        <v>69.963171811653</v>
      </c>
      <c r="AC49" t="n">
        <v>65.2923350571818</v>
      </c>
      <c r="AD49" t="n">
        <v>63.7993700787402</v>
      </c>
      <c r="AE49" t="n">
        <v>63.4</v>
      </c>
      <c r="AF49" t="n">
        <v>61.1</v>
      </c>
    </row>
    <row r="50">
      <c r="A50" t="s">
        <v>141</v>
      </c>
      <c r="B50" t="s">
        <v>370</v>
      </c>
      <c r="C50" t="s">
        <v>217</v>
      </c>
      <c r="D50" t="s">
        <v>371</v>
      </c>
      <c r="E50" t="s">
        <v>218</v>
      </c>
      <c r="F50" t="n">
        <v>22.6069825481791</v>
      </c>
      <c r="G50" t="n">
        <v>26.2671606750271</v>
      </c>
      <c r="H50" t="n">
        <v>30.1392122486367</v>
      </c>
      <c r="I50" t="n">
        <v>34.3883470902478</v>
      </c>
      <c r="J50" t="n">
        <v>35.7445072571871</v>
      </c>
      <c r="K50" t="n">
        <v>42.7421092070068</v>
      </c>
      <c r="L50" t="n">
        <v>55.9718096758423</v>
      </c>
      <c r="M50" t="n">
        <v>60.7411117864848</v>
      </c>
      <c r="N50" t="n">
        <v>59.3034523359171</v>
      </c>
      <c r="O50" t="n">
        <v>60.2800061917481</v>
      </c>
      <c r="P50" t="n">
        <v>56.7881765647871</v>
      </c>
      <c r="Q50" t="n">
        <v>89.3467311285983</v>
      </c>
      <c r="R50" t="n">
        <v>81.2068896002695</v>
      </c>
      <c r="S50" t="n">
        <v>77.1561896439615</v>
      </c>
      <c r="T50" t="n">
        <v>62.3445246307543</v>
      </c>
      <c r="U50" t="n">
        <v>55.1807127943012</v>
      </c>
      <c r="V50" t="n">
        <v>46.8590254070098</v>
      </c>
      <c r="W50" t="n">
        <v>39.7711055975461</v>
      </c>
      <c r="X50" t="n">
        <v>35.2427123859444</v>
      </c>
      <c r="Y50" t="n">
        <v>30.8251021982912</v>
      </c>
      <c r="Z50" t="n">
        <v>39.6322742549458</v>
      </c>
      <c r="AA50" t="n">
        <v>45.1122924235309</v>
      </c>
      <c r="AB50" t="n">
        <v>44.4243053931067</v>
      </c>
      <c r="AC50" t="n">
        <v>46.8041788963088</v>
      </c>
      <c r="AD50" t="n">
        <v>46.9033402922756</v>
      </c>
      <c r="AE50" t="n">
        <v>47.7</v>
      </c>
      <c r="AF50" t="n">
        <v>49.5</v>
      </c>
    </row>
    <row r="51">
      <c r="A51" t="s">
        <v>141</v>
      </c>
      <c r="B51" t="s">
        <v>372</v>
      </c>
      <c r="C51" t="s">
        <v>217</v>
      </c>
      <c r="D51" t="s">
        <v>373</v>
      </c>
      <c r="E51" t="s">
        <v>218</v>
      </c>
      <c r="F51" t="n">
        <v>16.8772627438751</v>
      </c>
      <c r="G51" t="n">
        <v>17.8528270643303</v>
      </c>
      <c r="H51" t="n">
        <v>19.1822929095464</v>
      </c>
      <c r="I51" t="n">
        <v>20.9750305646442</v>
      </c>
      <c r="J51" t="n">
        <v>21.7648852720994</v>
      </c>
      <c r="K51" t="n">
        <v>26.991885278391</v>
      </c>
      <c r="L51" t="n">
        <v>36.3803671143531</v>
      </c>
      <c r="M51" t="n">
        <v>39.9694616278767</v>
      </c>
      <c r="N51" t="n">
        <v>38.990617669643</v>
      </c>
      <c r="O51" t="n">
        <v>39.4739724341427</v>
      </c>
      <c r="P51" t="n">
        <v>36.6365198701663</v>
      </c>
      <c r="Q51" t="n">
        <v>60.1148530263996</v>
      </c>
      <c r="R51" t="n">
        <v>53.6770829483192</v>
      </c>
      <c r="S51" t="n">
        <v>49.8242417579015</v>
      </c>
      <c r="T51" t="n">
        <v>39.9824162254765</v>
      </c>
      <c r="U51" t="n">
        <v>37.4340864001165</v>
      </c>
      <c r="V51" t="n">
        <v>32.1004698681737</v>
      </c>
      <c r="W51" t="n">
        <v>27.5848074402349</v>
      </c>
      <c r="X51" t="n">
        <v>24.4434770555818</v>
      </c>
      <c r="Y51" t="n">
        <v>21.9991293500237</v>
      </c>
      <c r="Z51" t="n">
        <v>21.1191641760227</v>
      </c>
      <c r="AA51" t="n">
        <v>20.0436511855771</v>
      </c>
      <c r="AB51" t="n">
        <v>20.6331703380941</v>
      </c>
      <c r="AC51" t="n">
        <v>22.5179310901315</v>
      </c>
      <c r="AD51" t="n">
        <v>24.1050980392157</v>
      </c>
      <c r="AE51" t="n">
        <v>25.4</v>
      </c>
      <c r="AF51" t="n">
        <v>27.9</v>
      </c>
    </row>
    <row r="52">
      <c r="A52" t="s">
        <v>141</v>
      </c>
      <c r="B52" t="s">
        <v>374</v>
      </c>
      <c r="C52" t="s">
        <v>217</v>
      </c>
      <c r="D52" t="s">
        <v>375</v>
      </c>
      <c r="E52" t="s">
        <v>218</v>
      </c>
      <c r="F52" t="n">
        <v>5.09713105460172</v>
      </c>
      <c r="G52" t="n">
        <v>8.40337822515419</v>
      </c>
      <c r="H52" t="n">
        <v>11.4712782121152</v>
      </c>
      <c r="I52" t="n">
        <v>14.3706122657268</v>
      </c>
      <c r="J52" t="n">
        <v>14.990035208215</v>
      </c>
      <c r="K52" t="n">
        <v>16.5615711574634</v>
      </c>
      <c r="L52" t="n">
        <v>20.2287761994731</v>
      </c>
      <c r="M52" t="n">
        <v>21.263202255128</v>
      </c>
      <c r="N52" t="n">
        <v>20.805929088351</v>
      </c>
      <c r="O52" t="n">
        <v>21.3713075961866</v>
      </c>
      <c r="P52" t="n">
        <v>20.9041751897126</v>
      </c>
      <c r="Q52" t="n">
        <v>29.4340397786183</v>
      </c>
      <c r="R52" t="n">
        <v>28.0961288795902</v>
      </c>
      <c r="S52" t="n">
        <v>28.3415099178399</v>
      </c>
      <c r="T52" t="n">
        <v>23.2893277150946</v>
      </c>
      <c r="U52" t="n">
        <v>17.7442496876911</v>
      </c>
      <c r="V52" t="n">
        <v>14.7536458077432</v>
      </c>
      <c r="W52" t="n">
        <v>12.1791841231705</v>
      </c>
      <c r="X52" t="n">
        <v>10.7929355237853</v>
      </c>
      <c r="Y52" t="n">
        <v>8.81258038180631</v>
      </c>
      <c r="Z52" t="n">
        <v>18.5064188017933</v>
      </c>
      <c r="AA52" t="n">
        <v>25.0668953082491</v>
      </c>
      <c r="AB52" t="n">
        <v>23.7889751552795</v>
      </c>
      <c r="AC52" t="n">
        <v>24.2845788043478</v>
      </c>
      <c r="AD52" t="n">
        <v>22.7977678571429</v>
      </c>
      <c r="AE52" t="n">
        <v>22.3</v>
      </c>
      <c r="AF52" t="n">
        <v>21.6</v>
      </c>
    </row>
    <row r="53">
      <c r="A53" t="s">
        <v>141</v>
      </c>
      <c r="B53" t="s">
        <v>376</v>
      </c>
      <c r="C53" t="s">
        <v>217</v>
      </c>
      <c r="D53" t="s">
        <v>377</v>
      </c>
      <c r="E53" t="s">
        <v>218</v>
      </c>
      <c r="F53" t="n">
        <v>12.8546216038293</v>
      </c>
      <c r="G53" t="n">
        <v>12.092059305297</v>
      </c>
      <c r="H53" t="n">
        <v>11.667776522655</v>
      </c>
      <c r="I53" t="n">
        <v>11.8672256939825</v>
      </c>
      <c r="J53" t="n">
        <v>11.7691494485776</v>
      </c>
      <c r="K53" t="n">
        <v>13.9698847113198</v>
      </c>
      <c r="L53" t="n">
        <v>13.5010966337587</v>
      </c>
      <c r="M53" t="n">
        <v>14.1396620150852</v>
      </c>
      <c r="N53" t="n">
        <v>24.4479317422118</v>
      </c>
      <c r="O53" t="n">
        <v>28.5075514042027</v>
      </c>
      <c r="P53" t="n">
        <v>21.7778999251778</v>
      </c>
      <c r="Q53" t="n">
        <v>18.7906658646445</v>
      </c>
      <c r="R53" t="n">
        <v>15.5777540846794</v>
      </c>
      <c r="S53" t="n">
        <v>13.5203148659482</v>
      </c>
      <c r="T53" t="n">
        <v>10.8557272646299</v>
      </c>
      <c r="U53" t="n">
        <v>9.27671238977465</v>
      </c>
      <c r="V53" t="n">
        <v>10.5596619755945</v>
      </c>
      <c r="W53" t="n">
        <v>10.7570388349515</v>
      </c>
      <c r="X53" t="n">
        <v>13.2018203883495</v>
      </c>
      <c r="Y53" t="n">
        <v>10.6592475728155</v>
      </c>
      <c r="Z53" t="n">
        <v>10.1702912621359</v>
      </c>
      <c r="AA53" t="n">
        <v>10.0725</v>
      </c>
      <c r="AB53" t="n">
        <v>8.98625</v>
      </c>
      <c r="AC53" t="n">
        <v>8.4925</v>
      </c>
      <c r="AD53" t="n">
        <v>7.9</v>
      </c>
      <c r="AE53" t="n">
        <v>7.7</v>
      </c>
      <c r="AF53" t="n">
        <v>7.7</v>
      </c>
    </row>
    <row r="54">
      <c r="A54" t="s">
        <v>141</v>
      </c>
      <c r="B54" t="s">
        <v>378</v>
      </c>
      <c r="C54" t="s">
        <v>217</v>
      </c>
      <c r="D54" t="s">
        <v>379</v>
      </c>
      <c r="E54" t="s">
        <v>218</v>
      </c>
      <c r="F54" t="n">
        <v>53.3513016598549</v>
      </c>
      <c r="G54" t="n">
        <v>90.3141050704725</v>
      </c>
      <c r="H54" t="n">
        <v>122.559278669793</v>
      </c>
      <c r="I54" t="n">
        <v>153.525053865618</v>
      </c>
      <c r="J54" t="n">
        <v>171.63576259591</v>
      </c>
      <c r="K54" t="n">
        <v>226.306782716558</v>
      </c>
      <c r="L54" t="n">
        <v>185.794319179954</v>
      </c>
      <c r="M54" t="n">
        <v>149.551929564133</v>
      </c>
      <c r="N54" t="n">
        <v>131.229736125091</v>
      </c>
      <c r="O54" t="n">
        <v>118.941647034524</v>
      </c>
      <c r="P54" t="n">
        <v>99.3920982899867</v>
      </c>
      <c r="Q54" t="n">
        <v>91.2874328794884</v>
      </c>
      <c r="R54" t="n">
        <v>95.9280892863148</v>
      </c>
      <c r="S54" t="n">
        <v>88.7654586196033</v>
      </c>
      <c r="T54" t="n">
        <v>85.6204785238979</v>
      </c>
      <c r="U54" t="n">
        <v>95.8975052034355</v>
      </c>
      <c r="V54" t="n">
        <v>77.3334953969734</v>
      </c>
      <c r="W54" t="n">
        <v>62.9137120917906</v>
      </c>
      <c r="X54" t="n">
        <v>54.9262345378172</v>
      </c>
      <c r="Y54" t="n">
        <v>44.7074002052</v>
      </c>
      <c r="Z54" t="n">
        <v>42.2563365974588</v>
      </c>
      <c r="AA54" t="n">
        <v>38.1289734879396</v>
      </c>
      <c r="AB54" t="n">
        <v>34.3753439735828</v>
      </c>
      <c r="AC54" t="n">
        <v>32.8893780957622</v>
      </c>
      <c r="AD54" t="n">
        <v>31.8987341772152</v>
      </c>
      <c r="AE54" t="n">
        <v>31.5</v>
      </c>
      <c r="AF54" t="n">
        <v>31.9</v>
      </c>
    </row>
    <row r="55">
      <c r="A55" t="s">
        <v>141</v>
      </c>
      <c r="B55" t="s">
        <v>380</v>
      </c>
      <c r="C55" t="s">
        <v>217</v>
      </c>
      <c r="D55" t="s">
        <v>381</v>
      </c>
      <c r="E55" t="s">
        <v>218</v>
      </c>
      <c r="F55" t="n">
        <v>43.4219124883428</v>
      </c>
      <c r="G55" t="n">
        <v>79.5840099549753</v>
      </c>
      <c r="H55" t="n">
        <v>110.977702324149</v>
      </c>
      <c r="I55" t="n">
        <v>140.75220782575</v>
      </c>
      <c r="J55" t="n">
        <v>158.299893085852</v>
      </c>
      <c r="K55" t="n">
        <v>209.699096176228</v>
      </c>
      <c r="L55" t="n">
        <v>170.879060620358</v>
      </c>
      <c r="M55" t="n">
        <v>135.485146248421</v>
      </c>
      <c r="N55" t="n">
        <v>111.305728456736</v>
      </c>
      <c r="O55" t="n">
        <v>96.8887702578523</v>
      </c>
      <c r="P55" t="n">
        <v>82.2496296060287</v>
      </c>
      <c r="Q55" t="n">
        <v>76.3053348409913</v>
      </c>
      <c r="R55" t="n">
        <v>82.8124671765867</v>
      </c>
      <c r="S55" t="n">
        <v>77.192829210092</v>
      </c>
      <c r="T55" t="n">
        <v>75.8298739591915</v>
      </c>
      <c r="U55" t="n">
        <v>86.7424314545453</v>
      </c>
      <c r="V55" t="n">
        <v>66.8473783686404</v>
      </c>
      <c r="W55" t="n">
        <v>52.2121535187014</v>
      </c>
      <c r="X55" t="n">
        <v>41.7301681532045</v>
      </c>
      <c r="Y55" t="n">
        <v>34.0533919363414</v>
      </c>
      <c r="Z55" t="n">
        <v>32.090660412633</v>
      </c>
      <c r="AA55" t="n">
        <v>28.0547184588969</v>
      </c>
      <c r="AB55" t="n">
        <v>25.3875445209032</v>
      </c>
      <c r="AC55" t="n">
        <v>24.3958435630554</v>
      </c>
      <c r="AD55" t="n">
        <v>23.9991631799163</v>
      </c>
      <c r="AE55" t="n">
        <v>23.8</v>
      </c>
      <c r="AF55" t="n">
        <v>24.2</v>
      </c>
    </row>
    <row r="56">
      <c r="A56" t="s">
        <v>141</v>
      </c>
      <c r="B56" t="s">
        <v>382</v>
      </c>
      <c r="C56" t="s">
        <v>217</v>
      </c>
      <c r="D56" t="s">
        <v>383</v>
      </c>
      <c r="E56" t="s">
        <v>218</v>
      </c>
      <c r="F56" t="e">
        <v>#NUM!</v>
      </c>
      <c r="G56" t="e">
        <v>#NUM!</v>
      </c>
      <c r="H56" t="e">
        <v>#NUM!</v>
      </c>
      <c r="I56" t="e">
        <v>#NUM!</v>
      </c>
      <c r="J56" t="e">
        <v>#NUM!</v>
      </c>
      <c r="K56" t="e">
        <v>#NUM!</v>
      </c>
      <c r="L56" t="e">
        <v>#NUM!</v>
      </c>
      <c r="M56" t="e">
        <v>#NUM!</v>
      </c>
      <c r="N56" t="e">
        <v>#NUM!</v>
      </c>
      <c r="O56" t="e">
        <v>#NUM!</v>
      </c>
      <c r="P56" t="e">
        <v>#NUM!</v>
      </c>
      <c r="Q56" t="e">
        <v>#NUM!</v>
      </c>
      <c r="R56" t="e">
        <v>#NUM!</v>
      </c>
      <c r="S56" t="e">
        <v>#NUM!</v>
      </c>
      <c r="T56" t="e">
        <v>#NUM!</v>
      </c>
      <c r="U56" t="e">
        <v>#NUM!</v>
      </c>
      <c r="V56" t="e">
        <v>#NUM!</v>
      </c>
      <c r="W56" t="e">
        <v>#NUM!</v>
      </c>
      <c r="X56" t="e">
        <v>#NUM!</v>
      </c>
      <c r="Y56" t="e">
        <v>#NUM!</v>
      </c>
      <c r="Z56" t="e">
        <v>#NUM!</v>
      </c>
      <c r="AA56" t="e">
        <v>#NUM!</v>
      </c>
      <c r="AB56" t="e">
        <v>#NUM!</v>
      </c>
      <c r="AC56" t="e">
        <v>#NUM!</v>
      </c>
      <c r="AD56" t="e">
        <v>#NUM!</v>
      </c>
      <c r="AE56" t="n">
        <v>0</v>
      </c>
      <c r="AF56" t="e">
        <v>#NUM!</v>
      </c>
    </row>
    <row r="57">
      <c r="A57" t="s">
        <v>141</v>
      </c>
      <c r="B57" t="s">
        <v>384</v>
      </c>
      <c r="C57" t="s">
        <v>217</v>
      </c>
      <c r="D57" t="s">
        <v>385</v>
      </c>
      <c r="E57" t="s">
        <v>218</v>
      </c>
      <c r="F57" t="n">
        <v>960.540064696612</v>
      </c>
      <c r="G57" t="n">
        <v>1264.65635905913</v>
      </c>
      <c r="H57" t="n">
        <v>1545.96253580676</v>
      </c>
      <c r="I57" t="n">
        <v>1839.02927619953</v>
      </c>
      <c r="J57" t="n">
        <v>1997.19258357182</v>
      </c>
      <c r="K57" t="n">
        <v>2513.59798664477</v>
      </c>
      <c r="L57" t="n">
        <v>2613.42256966577</v>
      </c>
      <c r="M57" t="n">
        <v>2581.60882075366</v>
      </c>
      <c r="N57" t="n">
        <v>2690.59174295358</v>
      </c>
      <c r="O57" t="n">
        <v>2860.58782145574</v>
      </c>
      <c r="P57" t="n">
        <v>2774.61613349839</v>
      </c>
      <c r="Q57" t="n">
        <v>3285.38337024328</v>
      </c>
      <c r="R57" t="n">
        <v>3438.197932754</v>
      </c>
      <c r="S57" t="n">
        <v>3803.09136636256</v>
      </c>
      <c r="T57" t="n">
        <v>4076.07646421001</v>
      </c>
      <c r="U57" t="n">
        <v>3759.8751363705</v>
      </c>
      <c r="V57" t="n">
        <v>3065.46994581352</v>
      </c>
      <c r="W57" t="n">
        <v>2427.33561684581</v>
      </c>
      <c r="X57" t="n">
        <v>2005.19029217698</v>
      </c>
      <c r="Y57" t="n">
        <v>1790.94084732247</v>
      </c>
      <c r="Z57" t="n">
        <v>1865.64916974322</v>
      </c>
      <c r="AA57" t="n">
        <v>1835.86248524368</v>
      </c>
      <c r="AB57" t="n">
        <v>1792.22434496523</v>
      </c>
      <c r="AC57" t="n">
        <v>1751.76085639804</v>
      </c>
      <c r="AD57" t="n">
        <v>1720.49541509133</v>
      </c>
      <c r="AE57" t="n">
        <v>1874.3</v>
      </c>
      <c r="AF57" t="n">
        <v>2078.4</v>
      </c>
    </row>
    <row r="58">
      <c r="A58" t="s">
        <v>141</v>
      </c>
      <c r="B58" t="s">
        <v>386</v>
      </c>
      <c r="C58" t="s">
        <v>217</v>
      </c>
      <c r="D58" t="s">
        <v>387</v>
      </c>
      <c r="E58" t="s">
        <v>218</v>
      </c>
      <c r="F58" t="n">
        <v>960.540064696612</v>
      </c>
      <c r="G58" t="n">
        <v>1264.65635905913</v>
      </c>
      <c r="H58" t="n">
        <v>1545.96253580676</v>
      </c>
      <c r="I58" t="n">
        <v>1839.02927619953</v>
      </c>
      <c r="J58" t="n">
        <v>1997.19258357182</v>
      </c>
      <c r="K58" t="n">
        <v>2513.59798664477</v>
      </c>
      <c r="L58" t="n">
        <v>2613.42256966577</v>
      </c>
      <c r="M58" t="n">
        <v>2581.60882075366</v>
      </c>
      <c r="N58" t="n">
        <v>2690.59174295358</v>
      </c>
      <c r="O58" t="n">
        <v>2860.58782145574</v>
      </c>
      <c r="P58" t="n">
        <v>2774.61613349839</v>
      </c>
      <c r="Q58" t="n">
        <v>3285.38337024328</v>
      </c>
      <c r="R58" t="n">
        <v>3438.197932754</v>
      </c>
      <c r="S58" t="n">
        <v>3803.09136636256</v>
      </c>
      <c r="T58" t="n">
        <v>4076.07646421001</v>
      </c>
      <c r="U58" t="n">
        <v>3759.8751363705</v>
      </c>
      <c r="V58" t="n">
        <v>3065.46994581352</v>
      </c>
      <c r="W58" t="n">
        <v>2427.33561684581</v>
      </c>
      <c r="X58" t="n">
        <v>2005.19029217698</v>
      </c>
      <c r="Y58" t="n">
        <v>1790.94084732247</v>
      </c>
      <c r="Z58" t="n">
        <v>1865.64916974322</v>
      </c>
      <c r="AA58" t="n">
        <v>1835.86248524368</v>
      </c>
      <c r="AB58" t="n">
        <v>1792.22434496523</v>
      </c>
      <c r="AC58" t="n">
        <v>1751.76085639804</v>
      </c>
      <c r="AD58" t="n">
        <v>1720.49541509133</v>
      </c>
      <c r="AE58" t="n">
        <v>1874.3</v>
      </c>
      <c r="AF58" t="n">
        <v>2078.4</v>
      </c>
    </row>
    <row r="59">
      <c r="A59" t="s">
        <v>141</v>
      </c>
      <c r="B59" t="s">
        <v>388</v>
      </c>
      <c r="C59" t="s">
        <v>217</v>
      </c>
      <c r="D59" t="s">
        <v>389</v>
      </c>
      <c r="E59" t="s">
        <v>218</v>
      </c>
      <c r="F59" t="e">
        <v>#NUM!</v>
      </c>
      <c r="G59" t="e">
        <v>#NUM!</v>
      </c>
      <c r="H59" t="e">
        <v>#NUM!</v>
      </c>
      <c r="I59" t="e">
        <v>#NUM!</v>
      </c>
      <c r="J59" t="e">
        <v>#NUM!</v>
      </c>
      <c r="K59" t="e">
        <v>#NUM!</v>
      </c>
      <c r="L59" t="e">
        <v>#NUM!</v>
      </c>
      <c r="M59" t="e">
        <v>#NUM!</v>
      </c>
      <c r="N59" t="e">
        <v>#NUM!</v>
      </c>
      <c r="O59" t="e">
        <v>#NUM!</v>
      </c>
      <c r="P59" t="e">
        <v>#NUM!</v>
      </c>
      <c r="Q59" t="e">
        <v>#NUM!</v>
      </c>
      <c r="R59" t="e">
        <v>#NUM!</v>
      </c>
      <c r="S59" t="e">
        <v>#NUM!</v>
      </c>
      <c r="T59" t="e">
        <v>#NUM!</v>
      </c>
      <c r="U59" t="e">
        <v>#NUM!</v>
      </c>
      <c r="V59" t="e">
        <v>#NUM!</v>
      </c>
      <c r="W59" t="e">
        <v>#NUM!</v>
      </c>
      <c r="X59" t="e">
        <v>#NUM!</v>
      </c>
      <c r="Y59" t="e">
        <v>#NUM!</v>
      </c>
      <c r="Z59" t="e">
        <v>#NUM!</v>
      </c>
      <c r="AA59" t="e">
        <v>#NUM!</v>
      </c>
      <c r="AB59" t="e">
        <v>#NUM!</v>
      </c>
      <c r="AC59" t="e">
        <v>#NUM!</v>
      </c>
      <c r="AD59" t="e">
        <v>#NUM!</v>
      </c>
      <c r="AE59" t="n">
        <v>0</v>
      </c>
      <c r="AF59" t="e">
        <v>#NUM!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142</v>
      </c>
      <c r="B2" t="s">
        <v>197</v>
      </c>
      <c r="C2" t="s">
        <v>217</v>
      </c>
      <c r="D2" t="s">
        <v>199</v>
      </c>
      <c r="E2" t="s">
        <v>218</v>
      </c>
      <c r="F2" t="n">
        <v>66.2108096410218</v>
      </c>
      <c r="G2" t="n">
        <v>76.4981089902054</v>
      </c>
      <c r="H2" t="n">
        <v>87.6851583550683</v>
      </c>
      <c r="I2" t="n">
        <v>100.269136304992</v>
      </c>
      <c r="J2" t="n">
        <v>109.653932313834</v>
      </c>
      <c r="K2" t="n">
        <v>133.089205446869</v>
      </c>
      <c r="L2" t="n">
        <v>137.33974784936</v>
      </c>
      <c r="M2" t="n">
        <v>134.032569974726</v>
      </c>
      <c r="N2" t="n">
        <v>133.206341803649</v>
      </c>
      <c r="O2" t="n">
        <v>129.579212006409</v>
      </c>
      <c r="P2" t="n">
        <v>178.312263478385</v>
      </c>
      <c r="Q2" t="n">
        <v>199.136346394111</v>
      </c>
      <c r="R2" t="n">
        <v>288.85065311524</v>
      </c>
      <c r="S2" t="n">
        <v>365.305317105783</v>
      </c>
      <c r="T2" t="n">
        <v>446.011154308606</v>
      </c>
      <c r="U2" t="n">
        <v>484.161408565174</v>
      </c>
      <c r="V2" t="n">
        <v>492.980558250458</v>
      </c>
      <c r="W2" t="n">
        <v>500.572458847515</v>
      </c>
      <c r="X2" t="n">
        <v>518.393783601922</v>
      </c>
      <c r="Y2" t="n">
        <v>542.541647787885</v>
      </c>
      <c r="Z2" t="n">
        <v>589.501794027566</v>
      </c>
      <c r="AA2" t="n">
        <v>604.939956106353</v>
      </c>
      <c r="AB2" t="n">
        <v>623.205647616012</v>
      </c>
      <c r="AC2" t="n">
        <v>649.255405062629</v>
      </c>
      <c r="AD2" t="n">
        <v>675.743432324386</v>
      </c>
      <c r="AE2" t="n">
        <v>699.1</v>
      </c>
      <c r="AF2" t="n">
        <v>748.6</v>
      </c>
    </row>
    <row r="3">
      <c r="A3" t="s">
        <v>142</v>
      </c>
      <c r="B3" t="s">
        <v>276</v>
      </c>
      <c r="C3" t="s">
        <v>217</v>
      </c>
      <c r="D3" t="s">
        <v>277</v>
      </c>
      <c r="E3" t="s">
        <v>218</v>
      </c>
      <c r="F3" t="n">
        <v>0.0938697318007663</v>
      </c>
      <c r="G3" t="n">
        <v>0.187739463601533</v>
      </c>
      <c r="H3" t="n">
        <v>0.281609195402299</v>
      </c>
      <c r="I3" t="n">
        <v>0.375478927203065</v>
      </c>
      <c r="J3" t="n">
        <v>0.469348659003831</v>
      </c>
      <c r="K3" t="n">
        <v>0.657088122605364</v>
      </c>
      <c r="L3" t="n">
        <v>0.844827586206896</v>
      </c>
      <c r="M3" t="n">
        <v>0.844827586206896</v>
      </c>
      <c r="N3" t="n">
        <v>0.938697318007663</v>
      </c>
      <c r="O3" t="n">
        <v>1.03256704980843</v>
      </c>
      <c r="P3" t="n">
        <v>1.40804597701149</v>
      </c>
      <c r="Q3" t="n">
        <v>1.81034482758621</v>
      </c>
      <c r="R3" t="n">
        <v>2.34279918864097</v>
      </c>
      <c r="S3" t="n">
        <v>3.1947261663286</v>
      </c>
      <c r="T3" t="n">
        <v>3.62068965517241</v>
      </c>
      <c r="U3" t="n">
        <v>3.62068965517241</v>
      </c>
      <c r="V3" t="n">
        <v>3.41379310344828</v>
      </c>
      <c r="W3" t="n">
        <v>3.41379310344828</v>
      </c>
      <c r="X3" t="n">
        <v>3</v>
      </c>
      <c r="Y3" t="n">
        <v>3.1</v>
      </c>
      <c r="Z3" t="n">
        <v>2.8</v>
      </c>
      <c r="AA3" t="n">
        <v>2.8</v>
      </c>
      <c r="AB3" t="n">
        <v>2.8</v>
      </c>
      <c r="AC3" t="n">
        <v>3</v>
      </c>
      <c r="AD3" t="n">
        <v>3.5</v>
      </c>
      <c r="AE3" t="n">
        <v>3.5</v>
      </c>
      <c r="AF3" t="n">
        <v>3.6</v>
      </c>
    </row>
    <row r="4">
      <c r="A4" t="s">
        <v>142</v>
      </c>
      <c r="B4" t="s">
        <v>278</v>
      </c>
      <c r="C4" t="s">
        <v>217</v>
      </c>
      <c r="D4" t="s">
        <v>279</v>
      </c>
      <c r="E4" t="s">
        <v>218</v>
      </c>
      <c r="F4" t="n">
        <v>86.8283540681045</v>
      </c>
      <c r="G4" t="n">
        <v>97.3039141982116</v>
      </c>
      <c r="H4" t="n">
        <v>108.732929982269</v>
      </c>
      <c r="I4" t="n">
        <v>121.978577816472</v>
      </c>
      <c r="J4" t="n">
        <v>132.183956836974</v>
      </c>
      <c r="K4" t="n">
        <v>158.487804569619</v>
      </c>
      <c r="L4" t="n">
        <v>174.597317019997</v>
      </c>
      <c r="M4" t="n">
        <v>168.170977202258</v>
      </c>
      <c r="N4" t="n">
        <v>164.642914743469</v>
      </c>
      <c r="O4" t="n">
        <v>162.764858681757</v>
      </c>
      <c r="P4" t="n">
        <v>163.134989116508</v>
      </c>
      <c r="Q4" t="n">
        <v>178.685283400713</v>
      </c>
      <c r="R4" t="n">
        <v>189.611385686579</v>
      </c>
      <c r="S4" t="n">
        <v>208.786664423877</v>
      </c>
      <c r="T4" t="n">
        <v>216.895832953208</v>
      </c>
      <c r="U4" t="n">
        <v>204.775470949514</v>
      </c>
      <c r="V4" t="n">
        <v>189.588535876671</v>
      </c>
      <c r="W4" t="n">
        <v>174.868008599118</v>
      </c>
      <c r="X4" t="n">
        <v>161.067827537181</v>
      </c>
      <c r="Y4" t="n">
        <v>158.414483215336</v>
      </c>
      <c r="Z4" t="n">
        <v>156.550783412802</v>
      </c>
      <c r="AA4" t="n">
        <v>153.301616209895</v>
      </c>
      <c r="AB4" t="n">
        <v>151.620243645012</v>
      </c>
      <c r="AC4" t="n">
        <v>155.602390556241</v>
      </c>
      <c r="AD4" t="n">
        <v>155.702135678392</v>
      </c>
      <c r="AE4" t="n">
        <v>159.1</v>
      </c>
      <c r="AF4" t="n">
        <v>167.9</v>
      </c>
    </row>
    <row r="5">
      <c r="A5" t="s">
        <v>142</v>
      </c>
      <c r="B5" t="s">
        <v>280</v>
      </c>
      <c r="C5" t="s">
        <v>217</v>
      </c>
      <c r="D5" t="s">
        <v>281</v>
      </c>
      <c r="E5" t="s">
        <v>218</v>
      </c>
      <c r="F5" t="n">
        <v>17.3010873735389</v>
      </c>
      <c r="G5" t="n">
        <v>17.6195122945243</v>
      </c>
      <c r="H5" t="n">
        <v>18.241377434331</v>
      </c>
      <c r="I5" t="n">
        <v>19.1240247295406</v>
      </c>
      <c r="J5" t="n">
        <v>19.7006284902303</v>
      </c>
      <c r="K5" t="n">
        <v>22.2335664389742</v>
      </c>
      <c r="L5" t="n">
        <v>25.4491648908919</v>
      </c>
      <c r="M5" t="n">
        <v>26.431413360365</v>
      </c>
      <c r="N5" t="n">
        <v>27.8601384068712</v>
      </c>
      <c r="O5" t="n">
        <v>28.0370281745338</v>
      </c>
      <c r="P5" t="n">
        <v>30.5108836016986</v>
      </c>
      <c r="Q5" t="n">
        <v>31.738875820962</v>
      </c>
      <c r="R5" t="n">
        <v>34.5196232493847</v>
      </c>
      <c r="S5" t="n">
        <v>43.125355656094</v>
      </c>
      <c r="T5" t="n">
        <v>43.9023890913389</v>
      </c>
      <c r="U5" t="n">
        <v>45.0679392442063</v>
      </c>
      <c r="V5" t="n">
        <v>43.1818360599774</v>
      </c>
      <c r="W5" t="n">
        <v>41.0079221164545</v>
      </c>
      <c r="X5" t="n">
        <v>39.0363873993173</v>
      </c>
      <c r="Y5" t="n">
        <v>39.6263579897352</v>
      </c>
      <c r="Z5" t="n">
        <v>41.391888791258</v>
      </c>
      <c r="AA5" t="n">
        <v>40.0121591648828</v>
      </c>
      <c r="AB5" t="n">
        <v>39.0242046176017</v>
      </c>
      <c r="AC5" t="n">
        <v>44.0017817371938</v>
      </c>
      <c r="AD5" t="n">
        <v>44.8</v>
      </c>
      <c r="AE5" t="n">
        <v>45.7</v>
      </c>
      <c r="AF5" t="n">
        <v>48.1</v>
      </c>
    </row>
    <row r="6">
      <c r="A6" t="s">
        <v>142</v>
      </c>
      <c r="B6" t="s">
        <v>282</v>
      </c>
      <c r="C6" t="s">
        <v>217</v>
      </c>
      <c r="D6" t="s">
        <v>283</v>
      </c>
      <c r="E6" t="s">
        <v>218</v>
      </c>
      <c r="F6" t="n">
        <v>14.5640319353862</v>
      </c>
      <c r="G6" t="n">
        <v>14.4528561190855</v>
      </c>
      <c r="H6" t="n">
        <v>14.4528561190855</v>
      </c>
      <c r="I6" t="n">
        <v>14.8599788266654</v>
      </c>
      <c r="J6" t="n">
        <v>15.0607893513501</v>
      </c>
      <c r="K6" t="n">
        <v>16.6255466865553</v>
      </c>
      <c r="L6" t="n">
        <v>14.9918224456799</v>
      </c>
      <c r="M6" t="n">
        <v>13.4088349824714</v>
      </c>
      <c r="N6" t="n">
        <v>11.9189644288635</v>
      </c>
      <c r="O6" t="n">
        <v>10.7270679859772</v>
      </c>
      <c r="P6" t="n">
        <v>10.1574891548633</v>
      </c>
      <c r="Q6" t="n">
        <v>9.08313934040663</v>
      </c>
      <c r="R6" t="n">
        <v>8.5840657502744</v>
      </c>
      <c r="S6" t="n">
        <v>8.3844363142215</v>
      </c>
      <c r="T6" t="n">
        <v>7.48610385198349</v>
      </c>
      <c r="U6" t="n">
        <v>5.98888308158679</v>
      </c>
      <c r="V6" t="n">
        <v>5.11952908587258</v>
      </c>
      <c r="W6" t="n">
        <v>4.55069252077562</v>
      </c>
      <c r="X6" t="n">
        <v>4.0766620498615</v>
      </c>
      <c r="Y6" t="n">
        <v>3.79224376731302</v>
      </c>
      <c r="Z6" t="n">
        <v>3.60263157894737</v>
      </c>
      <c r="AA6" t="n">
        <v>3.7</v>
      </c>
      <c r="AB6" t="n">
        <v>3.8</v>
      </c>
      <c r="AC6" t="n">
        <v>3.4</v>
      </c>
      <c r="AD6" t="n">
        <v>3</v>
      </c>
      <c r="AE6" t="n">
        <v>2.5</v>
      </c>
      <c r="AF6" t="n">
        <v>2</v>
      </c>
    </row>
    <row r="7">
      <c r="A7" t="s">
        <v>142</v>
      </c>
      <c r="B7" t="s">
        <v>284</v>
      </c>
      <c r="C7" t="s">
        <v>217</v>
      </c>
      <c r="D7" t="s">
        <v>285</v>
      </c>
      <c r="E7" t="s">
        <v>218</v>
      </c>
      <c r="F7" t="n">
        <v>4.69301295441404</v>
      </c>
      <c r="G7" t="n">
        <v>5.1295722990107</v>
      </c>
      <c r="H7" t="n">
        <v>5.55703665726159</v>
      </c>
      <c r="I7" t="n">
        <v>6.06222180792173</v>
      </c>
      <c r="J7" t="n">
        <v>6.4597445494248</v>
      </c>
      <c r="K7" t="n">
        <v>7.5202996247035</v>
      </c>
      <c r="L7" t="n">
        <v>8.08432209655626</v>
      </c>
      <c r="M7" t="n">
        <v>8.91112776552224</v>
      </c>
      <c r="N7" t="n">
        <v>8.63552587586691</v>
      </c>
      <c r="O7" t="n">
        <v>8.45372533111182</v>
      </c>
      <c r="P7" t="n">
        <v>8.82944645693901</v>
      </c>
      <c r="Q7" t="n">
        <v>19.386393307627</v>
      </c>
      <c r="R7" t="n">
        <v>25.7186323277061</v>
      </c>
      <c r="S7" t="n">
        <v>28.1727002979071</v>
      </c>
      <c r="T7" t="n">
        <v>25.30600447812</v>
      </c>
      <c r="U7" t="n">
        <v>23.5266760382522</v>
      </c>
      <c r="V7" t="n">
        <v>20.8236111317296</v>
      </c>
      <c r="W7" t="n">
        <v>17.3364035259376</v>
      </c>
      <c r="X7" t="n">
        <v>15.9494912438626</v>
      </c>
      <c r="Y7" t="n">
        <v>16.9340277403973</v>
      </c>
      <c r="Z7" t="n">
        <v>17.4262959886647</v>
      </c>
      <c r="AA7" t="n">
        <v>19.2085308056872</v>
      </c>
      <c r="AB7" t="n">
        <v>21</v>
      </c>
      <c r="AC7" t="n">
        <v>19.1</v>
      </c>
      <c r="AD7" t="n">
        <v>17.2</v>
      </c>
      <c r="AE7" t="n">
        <v>16.6</v>
      </c>
      <c r="AF7" t="n">
        <v>16.5</v>
      </c>
    </row>
    <row r="8">
      <c r="A8" t="s">
        <v>142</v>
      </c>
      <c r="B8" t="s">
        <v>286</v>
      </c>
      <c r="C8" t="s">
        <v>217</v>
      </c>
      <c r="D8" t="s">
        <v>287</v>
      </c>
      <c r="E8" t="s">
        <v>218</v>
      </c>
      <c r="F8" t="n">
        <v>9.88519125417292</v>
      </c>
      <c r="G8" t="n">
        <v>16.0770143474461</v>
      </c>
      <c r="H8" t="n">
        <v>22.3174343902047</v>
      </c>
      <c r="I8" t="n">
        <v>28.7934756195052</v>
      </c>
      <c r="J8" t="n">
        <v>33.8861991984653</v>
      </c>
      <c r="K8" t="n">
        <v>44.3200853923431</v>
      </c>
      <c r="L8" t="n">
        <v>38.5106873070888</v>
      </c>
      <c r="M8" t="n">
        <v>33.4123457250629</v>
      </c>
      <c r="N8" t="n">
        <v>29.0423386547549</v>
      </c>
      <c r="O8" t="n">
        <v>25.2659354860252</v>
      </c>
      <c r="P8" t="n">
        <v>22.3757362237861</v>
      </c>
      <c r="Q8" t="n">
        <v>19.4947401434703</v>
      </c>
      <c r="R8" t="n">
        <v>16.9604239248192</v>
      </c>
      <c r="S8" t="n">
        <v>15.8820154671717</v>
      </c>
      <c r="T8" t="n">
        <v>14.0077403499279</v>
      </c>
      <c r="U8" t="n">
        <v>12.6266955266955</v>
      </c>
      <c r="V8" t="n">
        <v>11.3341991341991</v>
      </c>
      <c r="W8" t="n">
        <v>11.9307359307359</v>
      </c>
      <c r="X8" t="n">
        <v>10.4393939393939</v>
      </c>
      <c r="Y8" t="n">
        <v>9.25757575757576</v>
      </c>
      <c r="Z8" t="n">
        <v>8.27272727272727</v>
      </c>
      <c r="AA8" t="n">
        <v>7.28787878787879</v>
      </c>
      <c r="AB8" t="n">
        <v>6.5</v>
      </c>
      <c r="AC8" t="n">
        <v>5.8</v>
      </c>
      <c r="AD8" t="n">
        <v>5.3</v>
      </c>
      <c r="AE8" t="n">
        <v>4.9</v>
      </c>
      <c r="AF8" t="n">
        <v>4.6</v>
      </c>
    </row>
    <row r="9">
      <c r="A9" t="s">
        <v>142</v>
      </c>
      <c r="B9" t="s">
        <v>288</v>
      </c>
      <c r="C9" t="s">
        <v>217</v>
      </c>
      <c r="D9" t="s">
        <v>289</v>
      </c>
      <c r="E9" t="s">
        <v>218</v>
      </c>
      <c r="F9" t="n">
        <v>3.40907427919551</v>
      </c>
      <c r="G9" t="n">
        <v>4.54543237226068</v>
      </c>
      <c r="H9" t="n">
        <v>5.62767817517989</v>
      </c>
      <c r="I9" t="n">
        <v>6.83360921271844</v>
      </c>
      <c r="J9" t="n">
        <v>7.82398735948923</v>
      </c>
      <c r="K9" t="n">
        <v>9.85242852676422</v>
      </c>
      <c r="L9" t="n">
        <v>16.4207142112737</v>
      </c>
      <c r="M9" t="n">
        <v>16.2382618311484</v>
      </c>
      <c r="N9" t="n">
        <v>16.4207142112737</v>
      </c>
      <c r="O9" t="n">
        <v>18.4958594137973</v>
      </c>
      <c r="P9" t="n">
        <v>18.0287922568832</v>
      </c>
      <c r="Q9" t="n">
        <v>17.3539176804224</v>
      </c>
      <c r="R9" t="n">
        <v>17.1589298413165</v>
      </c>
      <c r="S9" t="n">
        <v>17.8452870349692</v>
      </c>
      <c r="T9" t="n">
        <v>19.1199503946098</v>
      </c>
      <c r="U9" t="n">
        <v>16.7667257306578</v>
      </c>
      <c r="V9" t="n">
        <v>15.385936552839</v>
      </c>
      <c r="W9" t="n">
        <v>14.4059405940594</v>
      </c>
      <c r="X9" t="n">
        <v>13.7199434229137</v>
      </c>
      <c r="Y9" t="n">
        <v>12.9359466558901</v>
      </c>
      <c r="Z9" t="n">
        <v>10.877955142453</v>
      </c>
      <c r="AA9" t="n">
        <v>10.2899575671853</v>
      </c>
      <c r="AB9" t="n">
        <v>9.89795918367347</v>
      </c>
      <c r="AC9" t="n">
        <v>9.79897959183673</v>
      </c>
      <c r="AD9" t="n">
        <v>9.79897959183673</v>
      </c>
      <c r="AE9" t="n">
        <v>9.7</v>
      </c>
      <c r="AF9" t="n">
        <v>10</v>
      </c>
    </row>
    <row r="10">
      <c r="A10" t="s">
        <v>142</v>
      </c>
      <c r="B10" t="s">
        <v>290</v>
      </c>
      <c r="C10" t="s">
        <v>217</v>
      </c>
      <c r="D10" t="s">
        <v>291</v>
      </c>
      <c r="E10" t="s">
        <v>218</v>
      </c>
      <c r="F10" t="n">
        <v>4.69873166570845</v>
      </c>
      <c r="G10" t="n">
        <v>6.30317662473085</v>
      </c>
      <c r="H10" t="n">
        <v>7.96190731544949</v>
      </c>
      <c r="I10" t="n">
        <v>9.61632961476367</v>
      </c>
      <c r="J10" t="n">
        <v>10.9322484041524</v>
      </c>
      <c r="K10" t="n">
        <v>13.7884214106427</v>
      </c>
      <c r="L10" t="n">
        <v>22.9807023510711</v>
      </c>
      <c r="M10" t="n">
        <v>22.7015845087504</v>
      </c>
      <c r="N10" t="n">
        <v>22.8869035659647</v>
      </c>
      <c r="O10" t="n">
        <v>25.7248796081443</v>
      </c>
      <c r="P10" t="n">
        <v>26.00860989794</v>
      </c>
      <c r="Q10" t="n">
        <v>27.4752608320344</v>
      </c>
      <c r="R10" t="n">
        <v>29.7483939224545</v>
      </c>
      <c r="S10" t="n">
        <v>32.9321685228509</v>
      </c>
      <c r="T10" t="n">
        <v>48.0550978747341</v>
      </c>
      <c r="U10" t="n">
        <v>38.5037740735448</v>
      </c>
      <c r="V10" t="n">
        <v>35.4510451828034</v>
      </c>
      <c r="W10" t="n">
        <v>32.5131132615766</v>
      </c>
      <c r="X10" t="n">
        <v>32.9048375177401</v>
      </c>
      <c r="Y10" t="n">
        <v>31.6317336852085</v>
      </c>
      <c r="Z10" t="n">
        <v>30.260698788636</v>
      </c>
      <c r="AA10" t="n">
        <v>30.3586298526769</v>
      </c>
      <c r="AB10" t="n">
        <v>30.8498698179306</v>
      </c>
      <c r="AC10" t="n">
        <v>34.2225243960966</v>
      </c>
      <c r="AD10" t="n">
        <v>37.406015037594</v>
      </c>
      <c r="AE10" t="n">
        <v>39.8</v>
      </c>
      <c r="AF10" t="n">
        <v>43.9</v>
      </c>
    </row>
    <row r="11">
      <c r="A11" t="s">
        <v>142</v>
      </c>
      <c r="B11" t="s">
        <v>292</v>
      </c>
      <c r="C11" t="s">
        <v>217</v>
      </c>
      <c r="D11" t="s">
        <v>293</v>
      </c>
      <c r="E11" t="s">
        <v>218</v>
      </c>
      <c r="F11" t="n">
        <v>1.25507403034106</v>
      </c>
      <c r="G11" t="n">
        <v>1.71146458682871</v>
      </c>
      <c r="H11" t="n">
        <v>2.28195278243828</v>
      </c>
      <c r="I11" t="n">
        <v>2.71661045528367</v>
      </c>
      <c r="J11" t="n">
        <v>3.0300655078164</v>
      </c>
      <c r="K11" t="n">
        <v>3.83808297656744</v>
      </c>
      <c r="L11" t="n">
        <v>6.39680496094573</v>
      </c>
      <c r="M11" t="n">
        <v>6.3013302600361</v>
      </c>
      <c r="N11" t="n">
        <v>6.3013302600361</v>
      </c>
      <c r="O11" t="n">
        <v>7.04266323180505</v>
      </c>
      <c r="P11" t="n">
        <v>7.80403222983802</v>
      </c>
      <c r="Q11" t="n">
        <v>9.97730702802076</v>
      </c>
      <c r="R11" t="n">
        <v>12.471633785026</v>
      </c>
      <c r="S11" t="n">
        <v>14.9860760803941</v>
      </c>
      <c r="T11" t="n">
        <v>28.9663752426409</v>
      </c>
      <c r="U11" t="n">
        <v>21.7247814319807</v>
      </c>
      <c r="V11" t="n">
        <v>20.0536443987514</v>
      </c>
      <c r="W11" t="n">
        <v>18.0971912866781</v>
      </c>
      <c r="X11" t="n">
        <v>19.1732404983184</v>
      </c>
      <c r="Y11" t="n">
        <v>18.6841272203001</v>
      </c>
      <c r="Z11" t="n">
        <v>19.3688858095258</v>
      </c>
      <c r="AA11" t="n">
        <v>20.0536443987514</v>
      </c>
      <c r="AB11" t="n">
        <v>20.9383640045787</v>
      </c>
      <c r="AC11" t="n">
        <v>24.4115523465704</v>
      </c>
      <c r="AD11" t="n">
        <v>27.6</v>
      </c>
      <c r="AE11" t="n">
        <v>30.1</v>
      </c>
      <c r="AF11" t="n">
        <v>33.9</v>
      </c>
    </row>
    <row r="12">
      <c r="A12" t="s">
        <v>142</v>
      </c>
      <c r="B12" t="s">
        <v>294</v>
      </c>
      <c r="C12" t="s">
        <v>217</v>
      </c>
      <c r="D12" t="s">
        <v>295</v>
      </c>
      <c r="E12" t="s">
        <v>218</v>
      </c>
      <c r="F12" t="n">
        <v>9.73659086309364</v>
      </c>
      <c r="G12" t="n">
        <v>9.41560435112352</v>
      </c>
      <c r="H12" t="n">
        <v>9.20636869887633</v>
      </c>
      <c r="I12" t="n">
        <v>9.20636869887633</v>
      </c>
      <c r="J12" t="n">
        <v>9.20636869887633</v>
      </c>
      <c r="K12" t="n">
        <v>9.96565683898985</v>
      </c>
      <c r="L12" t="n">
        <v>12.2009443542773</v>
      </c>
      <c r="M12" t="n">
        <v>12.6528311822135</v>
      </c>
      <c r="N12" t="n">
        <v>13.8277369348476</v>
      </c>
      <c r="O12" t="n">
        <v>14.3630041710352</v>
      </c>
      <c r="P12" t="n">
        <v>15.1916390270565</v>
      </c>
      <c r="Q12" t="n">
        <v>16.4259596980048</v>
      </c>
      <c r="R12" t="n">
        <v>18.0589498434205</v>
      </c>
      <c r="S12" t="n">
        <v>19.6041006321624</v>
      </c>
      <c r="T12" t="n">
        <v>19.4100006259034</v>
      </c>
      <c r="U12" t="n">
        <v>19.3129506227739</v>
      </c>
      <c r="V12" t="n">
        <v>19.1138480390339</v>
      </c>
      <c r="W12" t="n">
        <v>17.2321738797508</v>
      </c>
      <c r="X12" t="n">
        <v>15.7551304043436</v>
      </c>
      <c r="Y12" t="n">
        <v>15.2658406402335</v>
      </c>
      <c r="Z12" t="n">
        <v>14.8744088289455</v>
      </c>
      <c r="AA12" t="n">
        <v>14.2872611120134</v>
      </c>
      <c r="AB12" t="n">
        <v>13.8931297709924</v>
      </c>
      <c r="AC12" t="n">
        <v>13.2977099236641</v>
      </c>
      <c r="AD12" t="n">
        <v>13</v>
      </c>
      <c r="AE12" t="n">
        <v>12.5</v>
      </c>
      <c r="AF12" t="n">
        <v>12.3</v>
      </c>
    </row>
    <row r="13">
      <c r="A13" t="s">
        <v>142</v>
      </c>
      <c r="B13" t="s">
        <v>296</v>
      </c>
      <c r="C13" t="s">
        <v>217</v>
      </c>
      <c r="D13" t="s">
        <v>297</v>
      </c>
      <c r="E13" t="s">
        <v>218</v>
      </c>
      <c r="F13" t="n">
        <v>14.4893887950184</v>
      </c>
      <c r="G13" t="n">
        <v>15.864294301115</v>
      </c>
      <c r="H13" t="n">
        <v>17.3995485883197</v>
      </c>
      <c r="I13" t="n">
        <v>19.2260205395798</v>
      </c>
      <c r="J13" t="n">
        <v>20.6396985204312</v>
      </c>
      <c r="K13" t="n">
        <v>24.601783504264</v>
      </c>
      <c r="L13" t="n">
        <v>24.7826789712072</v>
      </c>
      <c r="M13" t="n">
        <v>23.8159787276494</v>
      </c>
      <c r="N13" t="n">
        <v>23.0250421647386</v>
      </c>
      <c r="O13" t="n">
        <v>23.1119291163036</v>
      </c>
      <c r="P13" t="n">
        <v>23.5615775426908</v>
      </c>
      <c r="Q13" t="n">
        <v>28.1996833581812</v>
      </c>
      <c r="R13" t="n">
        <v>29.7976654151448</v>
      </c>
      <c r="S13" t="n">
        <v>32.4463467853798</v>
      </c>
      <c r="T13" t="n">
        <v>31.8771126312504</v>
      </c>
      <c r="U13" t="n">
        <v>34.4463127537691</v>
      </c>
      <c r="V13" t="n">
        <v>31.4596382375463</v>
      </c>
      <c r="W13" t="n">
        <v>29.6732865395153</v>
      </c>
      <c r="X13" t="n">
        <v>24.2331840072708</v>
      </c>
      <c r="Y13" t="n">
        <v>22.9525685922524</v>
      </c>
      <c r="Z13" t="n">
        <v>22.462129092418</v>
      </c>
      <c r="AA13" t="n">
        <v>20.7873212214921</v>
      </c>
      <c r="AB13" t="n">
        <v>19.3025125628141</v>
      </c>
      <c r="AC13" t="n">
        <v>19.8</v>
      </c>
      <c r="AD13" t="n">
        <v>19.9</v>
      </c>
      <c r="AE13" t="n">
        <v>22.3</v>
      </c>
      <c r="AF13" t="n">
        <v>25.6</v>
      </c>
    </row>
    <row r="14">
      <c r="A14" t="s">
        <v>142</v>
      </c>
      <c r="B14" t="s">
        <v>298</v>
      </c>
      <c r="C14" t="s">
        <v>217</v>
      </c>
      <c r="D14" t="s">
        <v>299</v>
      </c>
      <c r="E14" t="s">
        <v>218</v>
      </c>
      <c r="F14" t="n">
        <v>1.18388012118231</v>
      </c>
      <c r="G14" t="n">
        <v>2.2601347768026</v>
      </c>
      <c r="H14" t="n">
        <v>3.3902021652039</v>
      </c>
      <c r="I14" t="n">
        <v>4.55255719327381</v>
      </c>
      <c r="J14" t="n">
        <v>5.52118638333206</v>
      </c>
      <c r="K14" t="n">
        <v>7.42504375689484</v>
      </c>
      <c r="L14" t="n">
        <v>15.0380633051035</v>
      </c>
      <c r="M14" t="n">
        <v>13.7543261936922</v>
      </c>
      <c r="N14" t="n">
        <v>13.9377172096081</v>
      </c>
      <c r="O14" t="n">
        <v>13.0326706375556</v>
      </c>
      <c r="P14" t="n">
        <v>11.5325071109305</v>
      </c>
      <c r="Q14" t="n">
        <v>10.3695652173913</v>
      </c>
      <c r="R14" t="n">
        <v>9.09782608695653</v>
      </c>
      <c r="S14" t="n">
        <v>8.11956521739131</v>
      </c>
      <c r="T14" t="n">
        <v>7.14130434782609</v>
      </c>
      <c r="U14" t="n">
        <v>6.35869565217392</v>
      </c>
      <c r="V14" t="n">
        <v>5.67391304347826</v>
      </c>
      <c r="W14" t="n">
        <v>4.5</v>
      </c>
      <c r="X14" t="n">
        <v>4.10869565217391</v>
      </c>
      <c r="Y14" t="n">
        <v>4.40217391304348</v>
      </c>
      <c r="Z14" t="n">
        <v>4.30434782608696</v>
      </c>
      <c r="AA14" t="n">
        <v>4.5</v>
      </c>
      <c r="AB14" t="n">
        <v>4.7</v>
      </c>
      <c r="AC14" t="n">
        <v>4.2</v>
      </c>
      <c r="AD14" t="n">
        <v>3.7</v>
      </c>
      <c r="AE14" t="n">
        <v>3.3</v>
      </c>
      <c r="AF14" t="n">
        <v>2.9</v>
      </c>
    </row>
    <row r="15">
      <c r="A15" t="s">
        <v>142</v>
      </c>
      <c r="B15" t="s">
        <v>300</v>
      </c>
      <c r="C15" t="s">
        <v>217</v>
      </c>
      <c r="D15" t="s">
        <v>301</v>
      </c>
      <c r="E15" t="s">
        <v>218</v>
      </c>
      <c r="F15" t="n">
        <v>3.88471099973961</v>
      </c>
      <c r="G15" t="n">
        <v>4.82964070237897</v>
      </c>
      <c r="H15" t="n">
        <v>5.83581584870792</v>
      </c>
      <c r="I15" t="n">
        <v>6.98384519599473</v>
      </c>
      <c r="J15" t="n">
        <v>7.94053631873373</v>
      </c>
      <c r="K15" t="n">
        <v>10.0202005926878</v>
      </c>
      <c r="L15" t="n">
        <v>17.5119393535759</v>
      </c>
      <c r="M15" t="n">
        <v>16.1366561582689</v>
      </c>
      <c r="N15" t="n">
        <v>16.2283417046227</v>
      </c>
      <c r="O15" t="n">
        <v>15.321730436208</v>
      </c>
      <c r="P15" t="n">
        <v>14.0997519351607</v>
      </c>
      <c r="Q15" t="n">
        <v>13.5163139240506</v>
      </c>
      <c r="R15" t="n">
        <v>12.340982278481</v>
      </c>
      <c r="S15" t="n">
        <v>12.2430379746835</v>
      </c>
      <c r="T15" t="n">
        <v>11.1569620253165</v>
      </c>
      <c r="U15" t="n">
        <v>10.0708860759494</v>
      </c>
      <c r="V15" t="n">
        <v>9.28101265822785</v>
      </c>
      <c r="W15" t="n">
        <v>7.60253164556962</v>
      </c>
      <c r="X15" t="n">
        <v>6.91139240506329</v>
      </c>
      <c r="Y15" t="n">
        <v>7.89873417721519</v>
      </c>
      <c r="Z15" t="n">
        <v>7.70126582278481</v>
      </c>
      <c r="AA15" t="n">
        <v>7.8</v>
      </c>
      <c r="AB15" t="n">
        <v>8</v>
      </c>
      <c r="AC15" t="n">
        <v>7.6</v>
      </c>
      <c r="AD15" t="n">
        <v>7.5</v>
      </c>
      <c r="AE15" t="n">
        <v>7.4</v>
      </c>
      <c r="AF15" t="n">
        <v>7.5</v>
      </c>
    </row>
    <row r="16">
      <c r="A16" t="s">
        <v>142</v>
      </c>
      <c r="B16" t="s">
        <v>302</v>
      </c>
      <c r="C16" t="s">
        <v>217</v>
      </c>
      <c r="D16" t="s">
        <v>303</v>
      </c>
      <c r="E16" t="s">
        <v>218</v>
      </c>
      <c r="F16" t="n">
        <v>2.53778841058201</v>
      </c>
      <c r="G16" t="n">
        <v>2.44018116402116</v>
      </c>
      <c r="H16" t="n">
        <v>2.34632804232804</v>
      </c>
      <c r="I16" t="n">
        <v>2.34632804232804</v>
      </c>
      <c r="J16" t="n">
        <v>2.34632804232804</v>
      </c>
      <c r="K16" t="n">
        <v>2.52681481481481</v>
      </c>
      <c r="L16" t="n">
        <v>2.43657142857143</v>
      </c>
      <c r="M16" t="n">
        <v>2.34632804232804</v>
      </c>
      <c r="N16" t="n">
        <v>2.25608465608466</v>
      </c>
      <c r="O16" t="n">
        <v>2.25608465608466</v>
      </c>
      <c r="P16" t="n">
        <v>2.53809523809524</v>
      </c>
      <c r="Q16" t="n">
        <v>3.12380952380952</v>
      </c>
      <c r="R16" t="n">
        <v>3.22142857142857</v>
      </c>
      <c r="S16" t="n">
        <v>4.1</v>
      </c>
      <c r="T16" t="n">
        <v>4</v>
      </c>
      <c r="U16" t="n">
        <v>3.7</v>
      </c>
      <c r="V16" t="n">
        <v>3.6</v>
      </c>
      <c r="W16" t="n">
        <v>3.1</v>
      </c>
      <c r="X16" t="n">
        <v>2.8</v>
      </c>
      <c r="Y16" t="n">
        <v>3.5</v>
      </c>
      <c r="Z16" t="n">
        <v>3.4</v>
      </c>
      <c r="AA16" t="n">
        <v>3.3</v>
      </c>
      <c r="AB16" t="n">
        <v>3.3</v>
      </c>
      <c r="AC16" t="n">
        <v>3.4</v>
      </c>
      <c r="AD16" t="n">
        <v>3.8</v>
      </c>
      <c r="AE16" t="n">
        <v>4.1</v>
      </c>
      <c r="AF16" t="n">
        <v>4.6</v>
      </c>
    </row>
    <row r="17">
      <c r="A17" t="s">
        <v>142</v>
      </c>
      <c r="B17" t="s">
        <v>304</v>
      </c>
      <c r="C17" t="s">
        <v>217</v>
      </c>
      <c r="D17" t="s">
        <v>305</v>
      </c>
      <c r="E17" t="s">
        <v>218</v>
      </c>
      <c r="F17" t="n">
        <v>1.55127051322076</v>
      </c>
      <c r="G17" t="n">
        <v>1.66207554987938</v>
      </c>
      <c r="H17" t="n">
        <v>1.66207554987938</v>
      </c>
      <c r="I17" t="n">
        <v>1.85761384986519</v>
      </c>
      <c r="J17" t="n">
        <v>1.9553829998581</v>
      </c>
      <c r="K17" t="n">
        <v>2.23472342840925</v>
      </c>
      <c r="L17" t="n">
        <v>2.32783690459297</v>
      </c>
      <c r="M17" t="n">
        <v>2.41736909323116</v>
      </c>
      <c r="N17" t="n">
        <v>2.41736909323116</v>
      </c>
      <c r="O17" t="n">
        <v>2.59643347050754</v>
      </c>
      <c r="P17" t="n">
        <v>2.5037037037037</v>
      </c>
      <c r="Q17" t="n">
        <v>2.6</v>
      </c>
      <c r="R17" t="n">
        <v>2.7</v>
      </c>
      <c r="S17" t="n">
        <v>2.9</v>
      </c>
      <c r="T17" t="n">
        <v>3</v>
      </c>
      <c r="U17" t="n">
        <v>2.8</v>
      </c>
      <c r="V17" t="n">
        <v>2.6</v>
      </c>
      <c r="W17" t="n">
        <v>2.4</v>
      </c>
      <c r="X17" t="n">
        <v>2.2</v>
      </c>
      <c r="Y17" t="n">
        <v>2</v>
      </c>
      <c r="Z17" t="n">
        <v>1.9</v>
      </c>
      <c r="AA17" t="n">
        <v>1.7</v>
      </c>
      <c r="AB17" t="n">
        <v>1.6</v>
      </c>
      <c r="AC17" t="n">
        <v>1.5</v>
      </c>
      <c r="AD17" t="n">
        <v>1.3</v>
      </c>
      <c r="AE17" t="n">
        <v>1.3</v>
      </c>
      <c r="AF17" t="n">
        <v>1.2</v>
      </c>
    </row>
    <row r="18">
      <c r="A18" t="s">
        <v>142</v>
      </c>
      <c r="B18" t="s">
        <v>306</v>
      </c>
      <c r="C18" t="s">
        <v>217</v>
      </c>
      <c r="D18" t="s">
        <v>307</v>
      </c>
      <c r="E18" t="s">
        <v>218</v>
      </c>
      <c r="F18" t="n">
        <v>2.35559033929945</v>
      </c>
      <c r="G18" t="n">
        <v>2.46266262744942</v>
      </c>
      <c r="H18" t="n">
        <v>2.66788451307021</v>
      </c>
      <c r="I18" t="n">
        <v>2.86550558811245</v>
      </c>
      <c r="J18" t="n">
        <v>3.05653929398661</v>
      </c>
      <c r="K18" t="n">
        <v>3.6296404116091</v>
      </c>
      <c r="L18" t="n">
        <v>3.91619097042034</v>
      </c>
      <c r="M18" t="n">
        <v>4.00943361257321</v>
      </c>
      <c r="N18" t="n">
        <v>3.91619097042034</v>
      </c>
      <c r="O18" t="n">
        <v>3.73404255319149</v>
      </c>
      <c r="P18" t="n">
        <v>3.82739361702128</v>
      </c>
      <c r="Q18" t="n">
        <v>3.73170877659574</v>
      </c>
      <c r="R18" t="n">
        <v>3.82739361702128</v>
      </c>
      <c r="S18" t="n">
        <v>4.21994680851064</v>
      </c>
      <c r="T18" t="n">
        <v>4.41622340425532</v>
      </c>
      <c r="U18" t="n">
        <v>4.6125</v>
      </c>
      <c r="V18" t="n">
        <v>4.1</v>
      </c>
      <c r="W18" t="n">
        <v>4.3</v>
      </c>
      <c r="X18" t="n">
        <v>3.8</v>
      </c>
      <c r="Y18" t="n">
        <v>3.3</v>
      </c>
      <c r="Z18" t="n">
        <v>2.9</v>
      </c>
      <c r="AA18" t="n">
        <v>2.6</v>
      </c>
      <c r="AB18" t="n">
        <v>2.3</v>
      </c>
      <c r="AC18" t="n">
        <v>2</v>
      </c>
      <c r="AD18" t="n">
        <v>1.7</v>
      </c>
      <c r="AE18" t="n">
        <v>1.5</v>
      </c>
      <c r="AF18" t="n">
        <v>1.4</v>
      </c>
    </row>
    <row r="19">
      <c r="A19" t="s">
        <v>142</v>
      </c>
      <c r="B19" t="s">
        <v>308</v>
      </c>
      <c r="C19" t="s">
        <v>217</v>
      </c>
      <c r="D19" t="s">
        <v>309</v>
      </c>
      <c r="E19" t="s">
        <v>218</v>
      </c>
      <c r="F19" t="n">
        <v>3.78569858041435</v>
      </c>
      <c r="G19" t="n">
        <v>3.67435450451981</v>
      </c>
      <c r="H19" t="n">
        <v>3.67435450451981</v>
      </c>
      <c r="I19" t="n">
        <v>3.67435450451981</v>
      </c>
      <c r="J19" t="n">
        <v>3.67435450451981</v>
      </c>
      <c r="K19" t="n">
        <v>3.96443512329769</v>
      </c>
      <c r="L19" t="n">
        <v>4.43639168559503</v>
      </c>
      <c r="M19" t="n">
        <v>4.79854610890891</v>
      </c>
      <c r="N19" t="n">
        <v>5.34177774387973</v>
      </c>
      <c r="O19" t="n">
        <v>5.88500937885055</v>
      </c>
      <c r="P19" t="n">
        <v>6.44548646255061</v>
      </c>
      <c r="Q19" t="n">
        <v>7.31129807692308</v>
      </c>
      <c r="R19" t="n">
        <v>7.60375</v>
      </c>
      <c r="S19" t="n">
        <v>9.085</v>
      </c>
      <c r="T19" t="n">
        <v>8.69</v>
      </c>
      <c r="U19" t="n">
        <v>7.9</v>
      </c>
      <c r="V19" t="n">
        <v>7.2</v>
      </c>
      <c r="W19" t="n">
        <v>6.4</v>
      </c>
      <c r="X19" t="n">
        <v>5.8</v>
      </c>
      <c r="Y19" t="n">
        <v>5.8</v>
      </c>
      <c r="Z19" t="n">
        <v>5.8</v>
      </c>
      <c r="AA19" t="n">
        <v>5.6</v>
      </c>
      <c r="AB19" t="n">
        <v>5.4</v>
      </c>
      <c r="AC19" t="n">
        <v>4.9</v>
      </c>
      <c r="AD19" t="n">
        <v>4.6</v>
      </c>
      <c r="AE19" t="n">
        <v>4.6</v>
      </c>
      <c r="AF19" t="n">
        <v>4.8</v>
      </c>
    </row>
    <row r="20">
      <c r="A20" t="s">
        <v>142</v>
      </c>
      <c r="B20" t="s">
        <v>310</v>
      </c>
      <c r="C20" t="s">
        <v>217</v>
      </c>
      <c r="D20" t="s">
        <v>311</v>
      </c>
      <c r="E20" t="s">
        <v>218</v>
      </c>
      <c r="F20" t="n">
        <v>9.52911648662049</v>
      </c>
      <c r="G20" t="n">
        <v>8.82697106129056</v>
      </c>
      <c r="H20" t="n">
        <v>8.34197265132954</v>
      </c>
      <c r="I20" t="n">
        <v>7.97529253478758</v>
      </c>
      <c r="J20" t="n">
        <v>7.61685242086454</v>
      </c>
      <c r="K20" t="n">
        <v>7.87950250434263</v>
      </c>
      <c r="L20" t="n">
        <v>8.05267838355895</v>
      </c>
      <c r="M20" t="n">
        <v>12.8339561737971</v>
      </c>
      <c r="N20" t="n">
        <v>12.2467817083292</v>
      </c>
      <c r="O20" t="n">
        <v>11.1710508825976</v>
      </c>
      <c r="P20" t="n">
        <v>10.2330237092497</v>
      </c>
      <c r="Q20" t="n">
        <v>10.7623180390385</v>
      </c>
      <c r="R20" t="n">
        <v>9.68608623513466</v>
      </c>
      <c r="S20" t="n">
        <v>9.23346538302556</v>
      </c>
      <c r="T20" t="n">
        <v>8.77636313634113</v>
      </c>
      <c r="U20" t="n">
        <v>8.3192608896567</v>
      </c>
      <c r="V20" t="n">
        <v>8.12351357460595</v>
      </c>
      <c r="W20" t="n">
        <v>7.54326260499124</v>
      </c>
      <c r="X20" t="n">
        <v>6.67288615056917</v>
      </c>
      <c r="Y20" t="n">
        <v>6.38276066576182</v>
      </c>
      <c r="Z20" t="n">
        <v>11.8951448771016</v>
      </c>
      <c r="AA20" t="n">
        <v>11.3101377519982</v>
      </c>
      <c r="AB20" t="n">
        <v>10.8183926323461</v>
      </c>
      <c r="AC20" t="n">
        <v>15.9794606771351</v>
      </c>
      <c r="AD20" t="n">
        <v>21.3390313390313</v>
      </c>
      <c r="AE20" t="n">
        <v>35</v>
      </c>
      <c r="AF20" t="n">
        <v>50.1</v>
      </c>
    </row>
    <row r="21">
      <c r="A21" t="s">
        <v>142</v>
      </c>
      <c r="B21" t="s">
        <v>312</v>
      </c>
      <c r="C21" t="s">
        <v>217</v>
      </c>
      <c r="D21" t="s">
        <v>313</v>
      </c>
      <c r="E21" t="s">
        <v>218</v>
      </c>
      <c r="F21" t="n">
        <v>17.0542976163261</v>
      </c>
      <c r="G21" t="n">
        <v>15.8107550818024</v>
      </c>
      <c r="H21" t="n">
        <v>15.123330947811</v>
      </c>
      <c r="I21" t="n">
        <v>14.6354815623977</v>
      </c>
      <c r="J21" t="n">
        <v>14.1582375984065</v>
      </c>
      <c r="K21" t="n">
        <v>14.9361627411761</v>
      </c>
      <c r="L21" t="n">
        <v>15.8600490963004</v>
      </c>
      <c r="M21" t="n">
        <v>24.5381891678609</v>
      </c>
      <c r="N21" t="n">
        <v>23.3412043304043</v>
      </c>
      <c r="O21" t="n">
        <v>21.4207254930926</v>
      </c>
      <c r="P21" t="n">
        <v>21.1168854151764</v>
      </c>
      <c r="Q21" t="n">
        <v>21.9048289008173</v>
      </c>
      <c r="R21" t="n">
        <v>19.8262684941704</v>
      </c>
      <c r="S21" t="n">
        <v>18.6979442709249</v>
      </c>
      <c r="T21" t="n">
        <v>17.884990172189</v>
      </c>
      <c r="U21" t="n">
        <v>17.3972177129475</v>
      </c>
      <c r="V21" t="n">
        <v>16.3160346912389</v>
      </c>
      <c r="W21" t="n">
        <v>15.0534843877502</v>
      </c>
      <c r="X21" t="n">
        <v>13.4995763219179</v>
      </c>
      <c r="Y21" t="n">
        <v>13.4024570678034</v>
      </c>
      <c r="Z21" t="n">
        <v>20.1036856017051</v>
      </c>
      <c r="AA21" t="n">
        <v>20.0056188426724</v>
      </c>
      <c r="AB21" t="n">
        <v>20.4983680752505</v>
      </c>
      <c r="AC21" t="n">
        <v>27.165313031764</v>
      </c>
      <c r="AD21" t="n">
        <v>34.2302845528455</v>
      </c>
      <c r="AE21" t="n">
        <v>49.1</v>
      </c>
      <c r="AF21" t="n">
        <v>66</v>
      </c>
    </row>
    <row r="22">
      <c r="A22" t="s">
        <v>142</v>
      </c>
      <c r="B22" t="s">
        <v>314</v>
      </c>
      <c r="C22" t="s">
        <v>217</v>
      </c>
      <c r="D22" t="s">
        <v>315</v>
      </c>
      <c r="E22" t="s">
        <v>218</v>
      </c>
      <c r="F22" t="n">
        <v>0.539178302900107</v>
      </c>
      <c r="G22" t="n">
        <v>0.539178302900107</v>
      </c>
      <c r="H22" t="n">
        <v>1.07835660580021</v>
      </c>
      <c r="I22" t="n">
        <v>1.61753490870032</v>
      </c>
      <c r="J22" t="n">
        <v>2.15671321160043</v>
      </c>
      <c r="K22" t="n">
        <v>3.23506981740064</v>
      </c>
      <c r="L22" t="n">
        <v>5.39178302900107</v>
      </c>
      <c r="M22" t="n">
        <v>5.93096133190118</v>
      </c>
      <c r="N22" t="n">
        <v>5.39178302900107</v>
      </c>
      <c r="O22" t="n">
        <v>5.39178302900107</v>
      </c>
      <c r="P22" t="n">
        <v>10.244387755102</v>
      </c>
      <c r="Q22" t="n">
        <v>9.67525510204081</v>
      </c>
      <c r="R22" t="n">
        <v>9.10612244897959</v>
      </c>
      <c r="S22" t="n">
        <v>7.96785714285714</v>
      </c>
      <c r="T22" t="n">
        <v>7.96785714285714</v>
      </c>
      <c r="U22" t="n">
        <v>9.10612244897959</v>
      </c>
      <c r="V22" t="n">
        <v>8.21530612244898</v>
      </c>
      <c r="W22" t="n">
        <v>7.53069727891156</v>
      </c>
      <c r="X22" t="n">
        <v>6.84608843537415</v>
      </c>
      <c r="Y22" t="n">
        <v>7.04169096209912</v>
      </c>
      <c r="Z22" t="n">
        <v>8.21530612244898</v>
      </c>
      <c r="AA22" t="n">
        <v>8.71020408163265</v>
      </c>
      <c r="AB22" t="n">
        <v>9.7</v>
      </c>
      <c r="AC22" t="n">
        <v>11.2</v>
      </c>
      <c r="AD22" t="n">
        <v>12.9</v>
      </c>
      <c r="AE22" t="n">
        <v>14.1</v>
      </c>
      <c r="AF22" t="n">
        <v>15.9</v>
      </c>
    </row>
    <row r="23">
      <c r="A23" t="s">
        <v>142</v>
      </c>
      <c r="B23" t="s">
        <v>316</v>
      </c>
      <c r="C23" t="s">
        <v>217</v>
      </c>
      <c r="D23" t="s">
        <v>317</v>
      </c>
      <c r="E23" t="s">
        <v>218</v>
      </c>
      <c r="F23" t="n">
        <v>22.6137219499789</v>
      </c>
      <c r="G23" t="n">
        <v>21.8808698497481</v>
      </c>
      <c r="H23" t="n">
        <v>21.5755553867283</v>
      </c>
      <c r="I23" t="n">
        <v>21.6718748304191</v>
      </c>
      <c r="J23" t="n">
        <v>21.577237822426</v>
      </c>
      <c r="K23" t="n">
        <v>23.3367550697483</v>
      </c>
      <c r="L23" t="n">
        <v>37.4473511584333</v>
      </c>
      <c r="M23" t="n">
        <v>65.2251984966139</v>
      </c>
      <c r="N23" t="n">
        <v>66.7195763597439</v>
      </c>
      <c r="O23" t="n">
        <v>69.5827051242062</v>
      </c>
      <c r="P23" t="n">
        <v>70.6601147519359</v>
      </c>
      <c r="Q23" t="n">
        <v>77.8835602966947</v>
      </c>
      <c r="R23" t="n">
        <v>87.9239710819312</v>
      </c>
      <c r="S23" t="n">
        <v>114.367270655444</v>
      </c>
      <c r="T23" t="n">
        <v>110.384330881374</v>
      </c>
      <c r="U23" t="n">
        <v>100.892986867499</v>
      </c>
      <c r="V23" t="n">
        <v>87.7114866186014</v>
      </c>
      <c r="W23" t="n">
        <v>78.1411669313074</v>
      </c>
      <c r="X23" t="n">
        <v>70.7507665279681</v>
      </c>
      <c r="Y23" t="n">
        <v>63.6756898751713</v>
      </c>
      <c r="Z23" t="n">
        <v>56.2190605523469</v>
      </c>
      <c r="AA23" t="n">
        <v>50.4100858192673</v>
      </c>
      <c r="AB23" t="n">
        <v>45.5667638483965</v>
      </c>
      <c r="AC23" t="n">
        <v>39.5842565597668</v>
      </c>
      <c r="AD23" t="n">
        <v>34.2</v>
      </c>
      <c r="AE23" t="n">
        <v>29.4</v>
      </c>
      <c r="AF23" t="n">
        <v>25.2</v>
      </c>
    </row>
    <row r="24">
      <c r="A24" t="s">
        <v>142</v>
      </c>
      <c r="B24" t="s">
        <v>318</v>
      </c>
      <c r="C24" t="s">
        <v>217</v>
      </c>
      <c r="D24" t="s">
        <v>319</v>
      </c>
      <c r="E24" t="s">
        <v>218</v>
      </c>
      <c r="F24" t="n">
        <v>284.921183894719</v>
      </c>
      <c r="G24" t="n">
        <v>279.878331082423</v>
      </c>
      <c r="H24" t="n">
        <v>279.264787061051</v>
      </c>
      <c r="I24" t="n">
        <v>283.608691457092</v>
      </c>
      <c r="J24" t="n">
        <v>284.934851002984</v>
      </c>
      <c r="K24" t="n">
        <v>312.494275085713</v>
      </c>
      <c r="L24" t="n">
        <v>320.107244664368</v>
      </c>
      <c r="M24" t="n">
        <v>341.165772458142</v>
      </c>
      <c r="N24" t="n">
        <v>379.650398829905</v>
      </c>
      <c r="O24" t="n">
        <v>409.055035586208</v>
      </c>
      <c r="P24" t="n">
        <v>492.325987972562</v>
      </c>
      <c r="Q24" t="n">
        <v>579.896056074932</v>
      </c>
      <c r="R24" t="n">
        <v>661.488052280217</v>
      </c>
      <c r="S24" t="n">
        <v>714.338901818069</v>
      </c>
      <c r="T24" t="n">
        <v>733.635082399449</v>
      </c>
      <c r="U24" t="n">
        <v>714.799534381413</v>
      </c>
      <c r="V24" t="n">
        <v>682.074250482153</v>
      </c>
      <c r="W24" t="n">
        <v>627.610922510774</v>
      </c>
      <c r="X24" t="n">
        <v>576.188398330798</v>
      </c>
      <c r="Y24" t="n">
        <v>571.081564052086</v>
      </c>
      <c r="Z24" t="n">
        <v>550.093850724395</v>
      </c>
      <c r="AA24" t="n">
        <v>535.439106623209</v>
      </c>
      <c r="AB24" t="n">
        <v>525.759521224007</v>
      </c>
      <c r="AC24" t="n">
        <v>491.451400395128</v>
      </c>
      <c r="AD24" t="n">
        <v>464.259217114247</v>
      </c>
      <c r="AE24" t="n">
        <v>438.7</v>
      </c>
      <c r="AF24" t="n">
        <v>424.8</v>
      </c>
    </row>
    <row r="25">
      <c r="A25" t="s">
        <v>142</v>
      </c>
      <c r="B25" t="s">
        <v>320</v>
      </c>
      <c r="C25" t="s">
        <v>217</v>
      </c>
      <c r="D25" t="s">
        <v>321</v>
      </c>
      <c r="E25" t="s">
        <v>218</v>
      </c>
      <c r="F25" t="n">
        <v>11.7147213266227</v>
      </c>
      <c r="G25" t="n">
        <v>12.3595683721248</v>
      </c>
      <c r="H25" t="n">
        <v>13.0927631060644</v>
      </c>
      <c r="I25" t="n">
        <v>14.0771813847159</v>
      </c>
      <c r="J25" t="n">
        <v>14.7521147387776</v>
      </c>
      <c r="K25" t="n">
        <v>17.1011775952709</v>
      </c>
      <c r="L25" t="n">
        <v>26.2034172830763</v>
      </c>
      <c r="M25" t="n">
        <v>32.3741879060534</v>
      </c>
      <c r="N25" t="n">
        <v>34.0733856138296</v>
      </c>
      <c r="O25" t="n">
        <v>36.3684841266783</v>
      </c>
      <c r="P25" t="n">
        <v>41.8649804682417</v>
      </c>
      <c r="Q25" t="n">
        <v>49.5197511633379</v>
      </c>
      <c r="R25" t="n">
        <v>58.8106909367301</v>
      </c>
      <c r="S25" t="n">
        <v>66.2343355303829</v>
      </c>
      <c r="T25" t="n">
        <v>68.1681847429488</v>
      </c>
      <c r="U25" t="n">
        <v>65.6541807666131</v>
      </c>
      <c r="V25" t="n">
        <v>59.2174963777295</v>
      </c>
      <c r="W25" t="n">
        <v>52.0246889974062</v>
      </c>
      <c r="X25" t="n">
        <v>47.107421606347</v>
      </c>
      <c r="Y25" t="n">
        <v>44.45762914099</v>
      </c>
      <c r="Z25" t="n">
        <v>41.3240517566031</v>
      </c>
      <c r="AA25" t="n">
        <v>43.7779740699405</v>
      </c>
      <c r="AB25" t="n">
        <v>46.3415491280902</v>
      </c>
      <c r="AC25" t="n">
        <v>43.2653435114504</v>
      </c>
      <c r="AD25" t="n">
        <v>39.088</v>
      </c>
      <c r="AE25" t="n">
        <v>34.9</v>
      </c>
      <c r="AF25" t="n">
        <v>31.6</v>
      </c>
    </row>
    <row r="26">
      <c r="A26" t="s">
        <v>142</v>
      </c>
      <c r="B26" t="s">
        <v>322</v>
      </c>
      <c r="C26" t="s">
        <v>217</v>
      </c>
      <c r="D26" t="s">
        <v>323</v>
      </c>
      <c r="E26" t="s">
        <v>218</v>
      </c>
      <c r="F26" t="n">
        <v>97.3437734502129</v>
      </c>
      <c r="G26" t="n">
        <v>96.4917491749375</v>
      </c>
      <c r="H26" t="n">
        <v>97.2172510484333</v>
      </c>
      <c r="I26" t="n">
        <v>99.6648152742247</v>
      </c>
      <c r="J26" t="n">
        <v>100.914229544779</v>
      </c>
      <c r="K26" t="n">
        <v>111.709705263523</v>
      </c>
      <c r="L26" t="n">
        <v>124.316154704299</v>
      </c>
      <c r="M26" t="n">
        <v>138.715363990193</v>
      </c>
      <c r="N26" t="n">
        <v>166.780199230477</v>
      </c>
      <c r="O26" t="n">
        <v>201.301669796447</v>
      </c>
      <c r="P26" t="n">
        <v>256.817396087425</v>
      </c>
      <c r="Q26" t="n">
        <v>326.635497889296</v>
      </c>
      <c r="R26" t="n">
        <v>388.046791790705</v>
      </c>
      <c r="S26" t="n">
        <v>432.551539028529</v>
      </c>
      <c r="T26" t="n">
        <v>454.352753975105</v>
      </c>
      <c r="U26" t="n">
        <v>443.346333670566</v>
      </c>
      <c r="V26" t="n">
        <v>415.785895217879</v>
      </c>
      <c r="W26" t="n">
        <v>381.35902038252</v>
      </c>
      <c r="X26" t="n">
        <v>345.705103704195</v>
      </c>
      <c r="Y26" t="n">
        <v>343.839611806899</v>
      </c>
      <c r="Z26" t="n">
        <v>334.133275459912</v>
      </c>
      <c r="AA26" t="n">
        <v>316.728452106056</v>
      </c>
      <c r="AB26" t="n">
        <v>303.000589666785</v>
      </c>
      <c r="AC26" t="n">
        <v>282.913251592387</v>
      </c>
      <c r="AD26" t="n">
        <v>264.583660644148</v>
      </c>
      <c r="AE26" t="n">
        <v>254.2</v>
      </c>
      <c r="AF26" t="n">
        <v>250.8</v>
      </c>
    </row>
    <row r="27">
      <c r="A27" t="s">
        <v>142</v>
      </c>
      <c r="B27" t="s">
        <v>324</v>
      </c>
      <c r="C27" t="s">
        <v>217</v>
      </c>
      <c r="D27" t="s">
        <v>325</v>
      </c>
      <c r="E27" t="s">
        <v>218</v>
      </c>
      <c r="F27" t="n">
        <v>171.153604927701</v>
      </c>
      <c r="G27" t="n">
        <v>166.492227884081</v>
      </c>
      <c r="H27" t="n">
        <v>164.519571155597</v>
      </c>
      <c r="I27" t="n">
        <v>165.450638338141</v>
      </c>
      <c r="J27" t="n">
        <v>164.902486030008</v>
      </c>
      <c r="K27" t="n">
        <v>178.993666556098</v>
      </c>
      <c r="L27" t="n">
        <v>165.708980366388</v>
      </c>
      <c r="M27" t="n">
        <v>166.473791045002</v>
      </c>
      <c r="N27" t="n">
        <v>175.307094243308</v>
      </c>
      <c r="O27" t="n">
        <v>168.677481775514</v>
      </c>
      <c r="P27" t="n">
        <v>191.011388429975</v>
      </c>
      <c r="Q27" t="n">
        <v>201.857178200048</v>
      </c>
      <c r="R27" t="n">
        <v>213.378913764725</v>
      </c>
      <c r="S27" t="n">
        <v>215.022397054312</v>
      </c>
      <c r="T27" t="n">
        <v>211.08123632399</v>
      </c>
      <c r="U27" t="n">
        <v>205.760631497049</v>
      </c>
      <c r="V27" t="n">
        <v>207.050977956027</v>
      </c>
      <c r="W27" t="n">
        <v>194.215199637342</v>
      </c>
      <c r="X27" t="n">
        <v>183.370696104292</v>
      </c>
      <c r="Y27" t="n">
        <v>182.781079718105</v>
      </c>
      <c r="Z27" t="n">
        <v>174.633480568479</v>
      </c>
      <c r="AA27" t="n">
        <v>174.928802125247</v>
      </c>
      <c r="AB27" t="n">
        <v>176.411249600884</v>
      </c>
      <c r="AC27" t="n">
        <v>165.267391758076</v>
      </c>
      <c r="AD27" t="n">
        <v>160.585313751669</v>
      </c>
      <c r="AE27" t="n">
        <v>149.6</v>
      </c>
      <c r="AF27" t="n">
        <v>142.4</v>
      </c>
    </row>
    <row r="28">
      <c r="A28" t="s">
        <v>142</v>
      </c>
      <c r="B28" t="s">
        <v>326</v>
      </c>
      <c r="C28" t="s">
        <v>217</v>
      </c>
      <c r="D28" t="s">
        <v>327</v>
      </c>
      <c r="E28" t="s">
        <v>218</v>
      </c>
      <c r="F28" t="n">
        <v>83.6946487311911</v>
      </c>
      <c r="G28" t="n">
        <v>75.4773559466742</v>
      </c>
      <c r="H28" t="n">
        <v>68.7594760980173</v>
      </c>
      <c r="I28" t="n">
        <v>63.2698832836966</v>
      </c>
      <c r="J28" t="n">
        <v>58.4380334075641</v>
      </c>
      <c r="K28" t="n">
        <v>56.5673036795781</v>
      </c>
      <c r="L28" t="n">
        <v>69.0312858462647</v>
      </c>
      <c r="M28" t="n">
        <v>66.3241765973916</v>
      </c>
      <c r="N28" t="n">
        <v>62.2635127240819</v>
      </c>
      <c r="O28" t="n">
        <v>63.5188254806158</v>
      </c>
      <c r="P28" t="n">
        <v>62.2189859414491</v>
      </c>
      <c r="Q28" t="n">
        <v>61.235639899271</v>
      </c>
      <c r="R28" t="n">
        <v>56.9781323914815</v>
      </c>
      <c r="S28" t="n">
        <v>53.8834734437013</v>
      </c>
      <c r="T28" t="n">
        <v>52.0600056452681</v>
      </c>
      <c r="U28" t="n">
        <v>51.6953120855815</v>
      </c>
      <c r="V28" t="n">
        <v>46.2589025928339</v>
      </c>
      <c r="W28" t="n">
        <v>40.7354515369731</v>
      </c>
      <c r="X28" t="n">
        <v>37.3900279807966</v>
      </c>
      <c r="Y28" t="n">
        <v>35.5254334095758</v>
      </c>
      <c r="Z28" t="n">
        <v>33.3664291692148</v>
      </c>
      <c r="AA28" t="n">
        <v>34.4459312893953</v>
      </c>
      <c r="AB28" t="n">
        <v>37.9003943126871</v>
      </c>
      <c r="AC28" t="n">
        <v>40.0831395348837</v>
      </c>
      <c r="AD28" t="n">
        <v>37.2912790697674</v>
      </c>
      <c r="AE28" t="n">
        <v>34.3</v>
      </c>
      <c r="AF28" t="n">
        <v>31.6</v>
      </c>
    </row>
    <row r="29">
      <c r="A29" t="s">
        <v>142</v>
      </c>
      <c r="B29" t="s">
        <v>328</v>
      </c>
      <c r="C29" t="s">
        <v>217</v>
      </c>
      <c r="D29" t="s">
        <v>329</v>
      </c>
      <c r="E29" t="s">
        <v>218</v>
      </c>
      <c r="F29" t="n">
        <v>37.4594076997963</v>
      </c>
      <c r="G29" t="n">
        <v>33.9837925523925</v>
      </c>
      <c r="H29" t="n">
        <v>31.1596546671522</v>
      </c>
      <c r="I29" t="n">
        <v>28.9403060441356</v>
      </c>
      <c r="J29" t="n">
        <v>26.9354053242106</v>
      </c>
      <c r="K29" t="n">
        <v>26.4239735775483</v>
      </c>
      <c r="L29" t="n">
        <v>30.7722223941069</v>
      </c>
      <c r="M29" t="n">
        <v>28.0116536305195</v>
      </c>
      <c r="N29" t="n">
        <v>26.1442100551515</v>
      </c>
      <c r="O29" t="n">
        <v>26.7857857620264</v>
      </c>
      <c r="P29" t="n">
        <v>27.7809233135568</v>
      </c>
      <c r="Q29" t="n">
        <v>29.6614781224745</v>
      </c>
      <c r="R29" t="n">
        <v>28.1870771631702</v>
      </c>
      <c r="S29" t="n">
        <v>27.3144122355179</v>
      </c>
      <c r="T29" t="n">
        <v>25.913673146517</v>
      </c>
      <c r="U29" t="n">
        <v>27.3144122355179</v>
      </c>
      <c r="V29" t="n">
        <v>24.1127228892301</v>
      </c>
      <c r="W29" t="n">
        <v>21.1235423657718</v>
      </c>
      <c r="X29" t="n">
        <v>19.0409395973154</v>
      </c>
      <c r="Y29" t="n">
        <v>18.0543624161074</v>
      </c>
      <c r="Z29" t="n">
        <v>15.8838926174497</v>
      </c>
      <c r="AA29" t="n">
        <v>13.9107382550336</v>
      </c>
      <c r="AB29" t="n">
        <v>14.6013422818792</v>
      </c>
      <c r="AC29" t="n">
        <v>14.8</v>
      </c>
      <c r="AD29" t="n">
        <v>14.6</v>
      </c>
      <c r="AE29" t="n">
        <v>14.2</v>
      </c>
      <c r="AF29" t="n">
        <v>13.6</v>
      </c>
    </row>
    <row r="30">
      <c r="A30" t="s">
        <v>142</v>
      </c>
      <c r="B30" t="s">
        <v>330</v>
      </c>
      <c r="C30" t="s">
        <v>217</v>
      </c>
      <c r="D30" t="s">
        <v>331</v>
      </c>
      <c r="E30" t="s">
        <v>218</v>
      </c>
      <c r="F30" t="n">
        <v>39.5234484729146</v>
      </c>
      <c r="G30" t="n">
        <v>34.7194934099084</v>
      </c>
      <c r="H30" t="n">
        <v>30.5786363977175</v>
      </c>
      <c r="I30" t="n">
        <v>27.0696125487991</v>
      </c>
      <c r="J30" t="n">
        <v>24.018128952389</v>
      </c>
      <c r="K30" t="n">
        <v>21.7123885729597</v>
      </c>
      <c r="L30" t="n">
        <v>27.6339490928578</v>
      </c>
      <c r="M30" t="n">
        <v>26.7219375716413</v>
      </c>
      <c r="N30" t="n">
        <v>23.8947018558704</v>
      </c>
      <c r="O30" t="n">
        <v>22.8126776208876</v>
      </c>
      <c r="P30" t="n">
        <v>21.1297751734451</v>
      </c>
      <c r="Q30" t="n">
        <v>19.2001153402537</v>
      </c>
      <c r="R30" t="n">
        <v>16.5686274509804</v>
      </c>
      <c r="S30" t="n">
        <v>14.7058823529412</v>
      </c>
      <c r="T30" t="n">
        <v>12.843137254902</v>
      </c>
      <c r="U30" t="n">
        <v>11.1764705882353</v>
      </c>
      <c r="V30" t="n">
        <v>9.70588235294118</v>
      </c>
      <c r="W30" t="n">
        <v>8.23529411764706</v>
      </c>
      <c r="X30" t="n">
        <v>7.35294117647059</v>
      </c>
      <c r="Y30" t="n">
        <v>6.47058823529412</v>
      </c>
      <c r="Z30" t="n">
        <v>5.68627450980392</v>
      </c>
      <c r="AA30" t="n">
        <v>5</v>
      </c>
      <c r="AB30" t="n">
        <v>4.4</v>
      </c>
      <c r="AC30" t="n">
        <v>3.8</v>
      </c>
      <c r="AD30" t="n">
        <v>3.3</v>
      </c>
      <c r="AE30" t="n">
        <v>2.8</v>
      </c>
      <c r="AF30" t="n">
        <v>2.4</v>
      </c>
    </row>
    <row r="31">
      <c r="A31" t="s">
        <v>142</v>
      </c>
      <c r="B31" t="s">
        <v>332</v>
      </c>
      <c r="C31" t="s">
        <v>217</v>
      </c>
      <c r="D31" t="s">
        <v>333</v>
      </c>
      <c r="E31" t="s">
        <v>218</v>
      </c>
      <c r="F31" t="n">
        <v>2.9201588136936</v>
      </c>
      <c r="G31" t="n">
        <v>2.53080430520112</v>
      </c>
      <c r="H31" t="n">
        <v>2.24960382684544</v>
      </c>
      <c r="I31" t="n">
        <v>1.99003415451712</v>
      </c>
      <c r="J31" t="n">
        <v>1.82419797497403</v>
      </c>
      <c r="K31" t="n">
        <v>1.74127988520248</v>
      </c>
      <c r="L31" t="n">
        <v>3.39964168063341</v>
      </c>
      <c r="M31" t="n">
        <v>3.95307172166676</v>
      </c>
      <c r="N31" t="n">
        <v>3.47870311506675</v>
      </c>
      <c r="O31" t="n">
        <v>3.01487603305785</v>
      </c>
      <c r="P31" t="n">
        <v>2.61818181818182</v>
      </c>
      <c r="Q31" t="n">
        <v>2.29090909090909</v>
      </c>
      <c r="R31" t="n">
        <v>2.12727272727273</v>
      </c>
      <c r="S31" t="n">
        <v>1.96363636363636</v>
      </c>
      <c r="T31" t="n">
        <v>1.88181818181818</v>
      </c>
      <c r="U31" t="n">
        <v>1.8</v>
      </c>
      <c r="V31" t="n">
        <v>1.5</v>
      </c>
      <c r="W31" t="n">
        <v>1.4</v>
      </c>
      <c r="X31" t="n">
        <v>1.2</v>
      </c>
      <c r="Y31" t="n">
        <v>1.1</v>
      </c>
      <c r="Z31" t="n">
        <v>1</v>
      </c>
      <c r="AA31" t="n">
        <v>1.1</v>
      </c>
      <c r="AB31" t="n">
        <v>1.1</v>
      </c>
      <c r="AC31" t="n">
        <v>1.3</v>
      </c>
      <c r="AD31" t="n">
        <v>1.1</v>
      </c>
      <c r="AE31" t="n">
        <v>1</v>
      </c>
      <c r="AF31" t="n">
        <v>0.8</v>
      </c>
    </row>
    <row r="32">
      <c r="A32" t="s">
        <v>142</v>
      </c>
      <c r="B32" t="s">
        <v>334</v>
      </c>
      <c r="C32" t="s">
        <v>217</v>
      </c>
      <c r="D32" t="s">
        <v>335</v>
      </c>
      <c r="E32" t="s">
        <v>218</v>
      </c>
      <c r="F32" t="n">
        <v>3.22030483925101</v>
      </c>
      <c r="G32" t="n">
        <v>2.99821485033715</v>
      </c>
      <c r="H32" t="n">
        <v>2.89113574853939</v>
      </c>
      <c r="I32" t="n">
        <v>2.79144141238286</v>
      </c>
      <c r="J32" t="n">
        <v>2.69518481195587</v>
      </c>
      <c r="K32" t="n">
        <v>2.78812221926469</v>
      </c>
      <c r="L32" t="n">
        <v>3.59757705711573</v>
      </c>
      <c r="M32" t="n">
        <v>3.24659392959224</v>
      </c>
      <c r="N32" t="n">
        <v>3.59757705711573</v>
      </c>
      <c r="O32" t="n">
        <v>5.08925534909054</v>
      </c>
      <c r="P32" t="n">
        <v>4.99837578928535</v>
      </c>
      <c r="Q32" t="n">
        <v>4.90406681212903</v>
      </c>
      <c r="R32" t="n">
        <v>5.00022498491587</v>
      </c>
      <c r="S32" t="n">
        <v>5.19254133048956</v>
      </c>
      <c r="T32" t="n">
        <v>7.01954661343959</v>
      </c>
      <c r="U32" t="n">
        <v>7.40417930458696</v>
      </c>
      <c r="V32" t="n">
        <v>7.40417930458696</v>
      </c>
      <c r="W32" t="n">
        <v>6.8196388331722</v>
      </c>
      <c r="X32" t="n">
        <v>7.01448565697712</v>
      </c>
      <c r="Y32" t="n">
        <v>7.50160271648943</v>
      </c>
      <c r="Z32" t="n">
        <v>8.57326024741649</v>
      </c>
      <c r="AA32" t="n">
        <v>12.3727733116124</v>
      </c>
      <c r="AB32" t="n">
        <v>15.9078514006445</v>
      </c>
      <c r="AC32" t="n">
        <v>18.476821192053</v>
      </c>
      <c r="AD32" t="n">
        <v>16.7880794701987</v>
      </c>
      <c r="AE32" t="n">
        <v>15</v>
      </c>
      <c r="AF32" t="n">
        <v>13.6</v>
      </c>
    </row>
    <row r="33">
      <c r="A33" t="s">
        <v>142</v>
      </c>
      <c r="B33" t="s">
        <v>336</v>
      </c>
      <c r="C33" t="s">
        <v>217</v>
      </c>
      <c r="D33" t="s">
        <v>337</v>
      </c>
      <c r="E33" t="s">
        <v>218</v>
      </c>
      <c r="F33" t="n">
        <v>1.77470540422873</v>
      </c>
      <c r="G33" t="n">
        <v>2.32930084305021</v>
      </c>
      <c r="H33" t="n">
        <v>2.88389628187169</v>
      </c>
      <c r="I33" t="n">
        <v>3.39887776077735</v>
      </c>
      <c r="J33" t="n">
        <v>3.79874573263351</v>
      </c>
      <c r="K33" t="n">
        <v>4.67537936324124</v>
      </c>
      <c r="L33" t="n">
        <v>4.58187177597642</v>
      </c>
      <c r="M33" t="n">
        <v>5.40660869565217</v>
      </c>
      <c r="N33" t="n">
        <v>6.1397081798084</v>
      </c>
      <c r="O33" t="n">
        <v>6.87280766396463</v>
      </c>
      <c r="P33" t="n">
        <v>6.5864406779661</v>
      </c>
      <c r="Q33" t="n">
        <v>5.8</v>
      </c>
      <c r="R33" t="n">
        <v>5.6</v>
      </c>
      <c r="S33" t="n">
        <v>5.1</v>
      </c>
      <c r="T33" t="n">
        <v>4.8</v>
      </c>
      <c r="U33" t="n">
        <v>4.2</v>
      </c>
      <c r="V33" t="n">
        <v>3.7</v>
      </c>
      <c r="W33" t="n">
        <v>3.3</v>
      </c>
      <c r="X33" t="n">
        <v>2.9</v>
      </c>
      <c r="Y33" t="n">
        <v>2.5</v>
      </c>
      <c r="Z33" t="n">
        <v>2.3</v>
      </c>
      <c r="AA33" t="n">
        <v>2.1</v>
      </c>
      <c r="AB33" t="n">
        <v>1.9</v>
      </c>
      <c r="AC33" t="n">
        <v>1.7</v>
      </c>
      <c r="AD33" t="n">
        <v>1.5</v>
      </c>
      <c r="AE33" t="n">
        <v>1.3</v>
      </c>
      <c r="AF33" t="n">
        <v>1.2</v>
      </c>
    </row>
    <row r="34">
      <c r="A34" t="s">
        <v>142</v>
      </c>
      <c r="B34" t="s">
        <v>338</v>
      </c>
      <c r="C34" t="s">
        <v>217</v>
      </c>
      <c r="D34" t="s">
        <v>339</v>
      </c>
      <c r="E34" t="s">
        <v>218</v>
      </c>
      <c r="F34" t="n">
        <v>534.174801721423</v>
      </c>
      <c r="G34" t="n">
        <v>486.329325918795</v>
      </c>
      <c r="H34" t="n">
        <v>447.434619159035</v>
      </c>
      <c r="I34" t="n">
        <v>417.214925273959</v>
      </c>
      <c r="J34" t="n">
        <v>389.352661845495</v>
      </c>
      <c r="K34" t="n">
        <v>383.823081661486</v>
      </c>
      <c r="L34" t="n">
        <v>367.228580147</v>
      </c>
      <c r="M34" t="n">
        <v>343.984148161374</v>
      </c>
      <c r="N34" t="n">
        <v>329.442544230354</v>
      </c>
      <c r="O34" t="n">
        <v>332.911229830172</v>
      </c>
      <c r="P34" t="n">
        <v>305.624826357453</v>
      </c>
      <c r="Q34" t="n">
        <v>331.395097595217</v>
      </c>
      <c r="R34" t="n">
        <v>411.98781208184</v>
      </c>
      <c r="S34" t="n">
        <v>542.751898256691</v>
      </c>
      <c r="T34" t="n">
        <v>550.965838509703</v>
      </c>
      <c r="U34" t="n">
        <v>523.688513390042</v>
      </c>
      <c r="V34" t="n">
        <v>453.843564101359</v>
      </c>
      <c r="W34" t="n">
        <v>393.317945431021</v>
      </c>
      <c r="X34" t="n">
        <v>340.855867124031</v>
      </c>
      <c r="Y34" t="n">
        <v>297.880947780241</v>
      </c>
      <c r="Z34" t="n">
        <v>338.951075164223</v>
      </c>
      <c r="AA34" t="n">
        <v>361.364313313133</v>
      </c>
      <c r="AB34" t="n">
        <v>384.362916154423</v>
      </c>
      <c r="AC34" t="n">
        <v>360.309172759188</v>
      </c>
      <c r="AD34" t="n">
        <v>347.963680241327</v>
      </c>
      <c r="AE34" t="n">
        <v>330.8</v>
      </c>
      <c r="AF34" t="n">
        <v>324.9</v>
      </c>
    </row>
    <row r="35">
      <c r="A35" t="s">
        <v>142</v>
      </c>
      <c r="B35" t="s">
        <v>340</v>
      </c>
      <c r="C35" t="s">
        <v>217</v>
      </c>
      <c r="D35" t="s">
        <v>341</v>
      </c>
      <c r="E35" t="s">
        <v>218</v>
      </c>
      <c r="F35" t="n">
        <v>226.355113242928</v>
      </c>
      <c r="G35" t="n">
        <v>371.191499055777</v>
      </c>
      <c r="H35" t="n">
        <v>516.253609331842</v>
      </c>
      <c r="I35" t="n">
        <v>668.462736734531</v>
      </c>
      <c r="J35" t="n">
        <v>786.889215328262</v>
      </c>
      <c r="K35" t="n">
        <v>1029.55469274887</v>
      </c>
      <c r="L35" t="n">
        <v>1043.54864002895</v>
      </c>
      <c r="M35" t="n">
        <v>1237.00408243276</v>
      </c>
      <c r="N35" t="n">
        <v>1445.26856931056</v>
      </c>
      <c r="O35" t="n">
        <v>1633.51553187448</v>
      </c>
      <c r="P35" t="n">
        <v>1912.88655738492</v>
      </c>
      <c r="Q35" t="n">
        <v>2279.9114690899</v>
      </c>
      <c r="R35" t="n">
        <v>2572.24331183431</v>
      </c>
      <c r="S35" t="n">
        <v>2853.32581435415</v>
      </c>
      <c r="T35" t="n">
        <v>3034.44971412741</v>
      </c>
      <c r="U35" t="n">
        <v>3262.98567586085</v>
      </c>
      <c r="V35" t="n">
        <v>3182.83034802035</v>
      </c>
      <c r="W35" t="n">
        <v>3030.42200638498</v>
      </c>
      <c r="X35" t="n">
        <v>2826.54311299502</v>
      </c>
      <c r="Y35" t="n">
        <v>2737.81798454793</v>
      </c>
      <c r="Z35" t="n">
        <v>2651.35747889534</v>
      </c>
      <c r="AA35" t="n">
        <v>2624.71412837692</v>
      </c>
      <c r="AB35" t="n">
        <v>2621.55467712399</v>
      </c>
      <c r="AC35" t="n">
        <v>2531.6705298085</v>
      </c>
      <c r="AD35" t="n">
        <v>2381.89935894621</v>
      </c>
      <c r="AE35" t="n">
        <v>2273.3</v>
      </c>
      <c r="AF35" t="n">
        <v>2224.2</v>
      </c>
    </row>
    <row r="36">
      <c r="A36" t="s">
        <v>142</v>
      </c>
      <c r="B36" t="s">
        <v>342</v>
      </c>
      <c r="C36" t="s">
        <v>217</v>
      </c>
      <c r="D36" t="s">
        <v>343</v>
      </c>
      <c r="E36" t="s">
        <v>218</v>
      </c>
      <c r="F36" t="n">
        <v>101.352581288419</v>
      </c>
      <c r="G36" t="n">
        <v>101.697709261025</v>
      </c>
      <c r="H36" t="n">
        <v>103.153733732823</v>
      </c>
      <c r="I36" t="n">
        <v>106.539292173285</v>
      </c>
      <c r="J36" t="n">
        <v>108.40840256229</v>
      </c>
      <c r="K36" t="n">
        <v>120.983371615353</v>
      </c>
      <c r="L36" t="n">
        <v>125.055882482536</v>
      </c>
      <c r="M36" t="n">
        <v>134.23695577144</v>
      </c>
      <c r="N36" t="n">
        <v>166.225747967514</v>
      </c>
      <c r="O36" t="n">
        <v>187.421679069632</v>
      </c>
      <c r="P36" t="n">
        <v>204.433039913947</v>
      </c>
      <c r="Q36" t="n">
        <v>254.317149952829</v>
      </c>
      <c r="R36" t="n">
        <v>299.129834922187</v>
      </c>
      <c r="S36" t="n">
        <v>321.476226342712</v>
      </c>
      <c r="T36" t="n">
        <v>340.87745220246</v>
      </c>
      <c r="U36" t="n">
        <v>306.215487690602</v>
      </c>
      <c r="V36" t="n">
        <v>295.820199553675</v>
      </c>
      <c r="W36" t="n">
        <v>270.20806106418</v>
      </c>
      <c r="X36" t="n">
        <v>250.731833874261</v>
      </c>
      <c r="Y36" t="n">
        <v>229.4534576714</v>
      </c>
      <c r="Z36" t="n">
        <v>207.027148748331</v>
      </c>
      <c r="AA36" t="n">
        <v>190.323487007839</v>
      </c>
      <c r="AB36" t="n">
        <v>179.174418043668</v>
      </c>
      <c r="AC36" t="n">
        <v>174.10625646839</v>
      </c>
      <c r="AD36" t="n">
        <v>171.816694490818</v>
      </c>
      <c r="AE36" t="n">
        <v>179.3</v>
      </c>
      <c r="AF36" t="n">
        <v>195.1</v>
      </c>
    </row>
    <row r="37">
      <c r="A37" t="s">
        <v>142</v>
      </c>
      <c r="B37" t="s">
        <v>344</v>
      </c>
      <c r="C37" t="s">
        <v>217</v>
      </c>
      <c r="D37" t="s">
        <v>345</v>
      </c>
      <c r="E37" t="s">
        <v>218</v>
      </c>
      <c r="F37" t="n">
        <v>120.029265420006</v>
      </c>
      <c r="G37" t="n">
        <v>261.952044880876</v>
      </c>
      <c r="H37" t="n">
        <v>402.994907966776</v>
      </c>
      <c r="I37" t="n">
        <v>549.023677629016</v>
      </c>
      <c r="J37" t="n">
        <v>663.552478059942</v>
      </c>
      <c r="K37" t="n">
        <v>889.292139380656</v>
      </c>
      <c r="L37" t="n">
        <v>896.508261801426</v>
      </c>
      <c r="M37" t="n">
        <v>1076.62231995966</v>
      </c>
      <c r="N37" t="n">
        <v>1250.46157697063</v>
      </c>
      <c r="O37" t="n">
        <v>1413.49390157493</v>
      </c>
      <c r="P37" t="n">
        <v>1676.43436809803</v>
      </c>
      <c r="Q37" t="n">
        <v>1995.82015553412</v>
      </c>
      <c r="R37" t="n">
        <v>2244.2743671373</v>
      </c>
      <c r="S37" t="n">
        <v>2504.64553193898</v>
      </c>
      <c r="T37" t="n">
        <v>2665.05922063425</v>
      </c>
      <c r="U37" t="n">
        <v>2919.00257398088</v>
      </c>
      <c r="V37" t="n">
        <v>2849.83753234063</v>
      </c>
      <c r="W37" t="n">
        <v>2725.51576079556</v>
      </c>
      <c r="X37" t="n">
        <v>2544.36603532729</v>
      </c>
      <c r="Y37" t="n">
        <v>2475.66039845157</v>
      </c>
      <c r="Z37" t="n">
        <v>2411.64399484848</v>
      </c>
      <c r="AA37" t="n">
        <v>2397.48619244079</v>
      </c>
      <c r="AB37" t="n">
        <v>2401.43559725496</v>
      </c>
      <c r="AC37" t="n">
        <v>2321.4938027786</v>
      </c>
      <c r="AD37" t="n">
        <v>2178.39211289387</v>
      </c>
      <c r="AE37" t="n">
        <v>2065.4</v>
      </c>
      <c r="AF37" t="n">
        <v>2002.9</v>
      </c>
    </row>
    <row r="38">
      <c r="A38" t="s">
        <v>142</v>
      </c>
      <c r="B38" t="s">
        <v>346</v>
      </c>
      <c r="C38" t="s">
        <v>217</v>
      </c>
      <c r="D38" t="s">
        <v>347</v>
      </c>
      <c r="E38" t="s">
        <v>218</v>
      </c>
      <c r="F38" t="n">
        <v>7.80846489768509</v>
      </c>
      <c r="G38" t="n">
        <v>9.76058112210636</v>
      </c>
      <c r="H38" t="n">
        <v>11.7506025159339</v>
      </c>
      <c r="I38" t="n">
        <v>13.9930839121045</v>
      </c>
      <c r="J38" t="n">
        <v>15.5772066191352</v>
      </c>
      <c r="K38" t="n">
        <v>19.3431247028821</v>
      </c>
      <c r="L38" t="n">
        <v>21.8552188201395</v>
      </c>
      <c r="M38" t="n">
        <v>25.4300501513148</v>
      </c>
      <c r="N38" t="n">
        <v>28.3549121495491</v>
      </c>
      <c r="O38" t="n">
        <v>32.2908631278151</v>
      </c>
      <c r="P38" t="n">
        <v>31.7915198835705</v>
      </c>
      <c r="Q38" t="n">
        <v>30.9346056009945</v>
      </c>
      <c r="R38" t="n">
        <v>31.1952904796546</v>
      </c>
      <c r="S38" t="n">
        <v>29.968509393376</v>
      </c>
      <c r="T38" t="n">
        <v>31.4625406534563</v>
      </c>
      <c r="U38" t="n">
        <v>37.7023182690859</v>
      </c>
      <c r="V38" t="n">
        <v>37.1101352596239</v>
      </c>
      <c r="W38" t="n">
        <v>34.6492509585878</v>
      </c>
      <c r="X38" t="n">
        <v>31.4008836812202</v>
      </c>
      <c r="Y38" t="n">
        <v>32.6805435177589</v>
      </c>
      <c r="Z38" t="n">
        <v>32.6805435177589</v>
      </c>
      <c r="AA38" t="n">
        <v>36.913264515541</v>
      </c>
      <c r="AB38" t="n">
        <v>40.9707547169811</v>
      </c>
      <c r="AC38" t="n">
        <v>36.0861635220126</v>
      </c>
      <c r="AD38" t="n">
        <v>31.7</v>
      </c>
      <c r="AE38" t="n">
        <v>28.6</v>
      </c>
      <c r="AF38" t="n">
        <v>26.2</v>
      </c>
    </row>
    <row r="39">
      <c r="A39" t="s">
        <v>142</v>
      </c>
      <c r="B39" t="s">
        <v>348</v>
      </c>
      <c r="C39" t="s">
        <v>217</v>
      </c>
      <c r="D39" t="s">
        <v>349</v>
      </c>
      <c r="E39" t="s">
        <v>218</v>
      </c>
      <c r="F39" t="n">
        <v>132.43484536911</v>
      </c>
      <c r="G39" t="n">
        <v>192.777681889575</v>
      </c>
      <c r="H39" t="n">
        <v>253.964607420194</v>
      </c>
      <c r="I39" t="n">
        <v>318.661619302217</v>
      </c>
      <c r="J39" t="n">
        <v>368.873718178382</v>
      </c>
      <c r="K39" t="n">
        <v>474.782979676615</v>
      </c>
      <c r="L39" t="n">
        <v>503.626316405881</v>
      </c>
      <c r="M39" t="n">
        <v>477.109591516234</v>
      </c>
      <c r="N39" t="n">
        <v>446.303638344342</v>
      </c>
      <c r="O39" t="n">
        <v>425.694828100947</v>
      </c>
      <c r="P39" t="n">
        <v>398.666585046919</v>
      </c>
      <c r="Q39" t="n">
        <v>424.126285865931</v>
      </c>
      <c r="R39" t="n">
        <v>450.205910388674</v>
      </c>
      <c r="S39" t="n">
        <v>486.127689704094</v>
      </c>
      <c r="T39" t="n">
        <v>487.057385668254</v>
      </c>
      <c r="U39" t="n">
        <v>475.478012457716</v>
      </c>
      <c r="V39" t="n">
        <v>481.02410050138</v>
      </c>
      <c r="W39" t="n">
        <v>485.162366011634</v>
      </c>
      <c r="X39" t="n">
        <v>479.750901779097</v>
      </c>
      <c r="Y39" t="n">
        <v>482.301203035743</v>
      </c>
      <c r="Z39" t="n">
        <v>456.922086500542</v>
      </c>
      <c r="AA39" t="n">
        <v>415.151407480811</v>
      </c>
      <c r="AB39" t="n">
        <v>379.913877173952</v>
      </c>
      <c r="AC39" t="n">
        <v>344.825023526018</v>
      </c>
      <c r="AD39" t="n">
        <v>316.944282380397</v>
      </c>
      <c r="AE39" t="n">
        <v>342.2</v>
      </c>
      <c r="AF39" t="n">
        <v>377.4</v>
      </c>
    </row>
    <row r="40">
      <c r="A40" t="s">
        <v>142</v>
      </c>
      <c r="B40" t="s">
        <v>350</v>
      </c>
      <c r="C40" t="s">
        <v>217</v>
      </c>
      <c r="D40" t="s">
        <v>351</v>
      </c>
      <c r="E40" t="s">
        <v>218</v>
      </c>
      <c r="F40" t="n">
        <v>8.27411362189609</v>
      </c>
      <c r="G40" t="n">
        <v>10.2867358542492</v>
      </c>
      <c r="H40" t="n">
        <v>12.4754030572809</v>
      </c>
      <c r="I40" t="n">
        <v>14.7625602844491</v>
      </c>
      <c r="J40" t="n">
        <v>16.49334321435</v>
      </c>
      <c r="K40" t="n">
        <v>20.4676427840729</v>
      </c>
      <c r="L40" t="n">
        <v>112.523533789216</v>
      </c>
      <c r="M40" t="n">
        <v>219.293559144952</v>
      </c>
      <c r="N40" t="n">
        <v>242.297698625334</v>
      </c>
      <c r="O40" t="n">
        <v>260.65640886733</v>
      </c>
      <c r="P40" t="n">
        <v>226.783621191494</v>
      </c>
      <c r="Q40" t="n">
        <v>197.415241801024</v>
      </c>
      <c r="R40" t="n">
        <v>176.252811592645</v>
      </c>
      <c r="S40" t="n">
        <v>158.911482028581</v>
      </c>
      <c r="T40" t="n">
        <v>160.031293881441</v>
      </c>
      <c r="U40" t="n">
        <v>151.576426031563</v>
      </c>
      <c r="V40" t="n">
        <v>203.656022671988</v>
      </c>
      <c r="W40" t="n">
        <v>196.84445429372</v>
      </c>
      <c r="X40" t="n">
        <v>184.523194009937</v>
      </c>
      <c r="Y40" t="n">
        <v>165.166927119651</v>
      </c>
      <c r="Z40" t="n">
        <v>144.852278329533</v>
      </c>
      <c r="AA40" t="n">
        <v>127.139363859889</v>
      </c>
      <c r="AB40" t="n">
        <v>111.827319261379</v>
      </c>
      <c r="AC40" t="n">
        <v>170.327731828719</v>
      </c>
      <c r="AD40" t="n">
        <v>242.443098988949</v>
      </c>
      <c r="AE40" t="n">
        <v>424.5</v>
      </c>
      <c r="AF40" t="n">
        <v>623.3</v>
      </c>
    </row>
    <row r="41">
      <c r="A41" t="s">
        <v>142</v>
      </c>
      <c r="B41" t="s">
        <v>352</v>
      </c>
      <c r="C41" t="s">
        <v>217</v>
      </c>
      <c r="D41" t="s">
        <v>353</v>
      </c>
      <c r="E41" t="s">
        <v>218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142</v>
      </c>
      <c r="B42" t="s">
        <v>354</v>
      </c>
      <c r="C42" t="s">
        <v>217</v>
      </c>
      <c r="D42" t="s">
        <v>355</v>
      </c>
      <c r="E42" t="s">
        <v>218</v>
      </c>
      <c r="F42" t="n">
        <v>207.761798845504</v>
      </c>
      <c r="G42" t="n">
        <v>238.220704540446</v>
      </c>
      <c r="H42" t="n">
        <v>272.029319813654</v>
      </c>
      <c r="I42" t="n">
        <v>310.329476754926</v>
      </c>
      <c r="J42" t="n">
        <v>339.251142808507</v>
      </c>
      <c r="K42" t="n">
        <v>410.62287920841</v>
      </c>
      <c r="L42" t="n">
        <v>441.343485538763</v>
      </c>
      <c r="M42" t="n">
        <v>447.981578613939</v>
      </c>
      <c r="N42" t="n">
        <v>503.206043778275</v>
      </c>
      <c r="O42" t="n">
        <v>550.949056909148</v>
      </c>
      <c r="P42" t="n">
        <v>573.794404980818</v>
      </c>
      <c r="Q42" t="n">
        <v>578.05384876573</v>
      </c>
      <c r="R42" t="n">
        <v>614.65530247508</v>
      </c>
      <c r="S42" t="n">
        <v>576.950529449075</v>
      </c>
      <c r="T42" t="n">
        <v>586.435708426765</v>
      </c>
      <c r="U42" t="n">
        <v>564.543658525138</v>
      </c>
      <c r="V42" t="n">
        <v>532.244389890671</v>
      </c>
      <c r="W42" t="n">
        <v>499.219409225108</v>
      </c>
      <c r="X42" t="n">
        <v>451.866907580999</v>
      </c>
      <c r="Y42" t="n">
        <v>426.937673322621</v>
      </c>
      <c r="Z42" t="n">
        <v>389.096584481626</v>
      </c>
      <c r="AA42" t="n">
        <v>354.689357455712</v>
      </c>
      <c r="AB42" t="n">
        <v>325.666626842859</v>
      </c>
      <c r="AC42" t="n">
        <v>291.757521574641</v>
      </c>
      <c r="AD42" t="n">
        <v>241.471668880035</v>
      </c>
      <c r="AE42" t="n">
        <v>225.5</v>
      </c>
      <c r="AF42" t="n">
        <v>215.6</v>
      </c>
    </row>
    <row r="43">
      <c r="A43" t="s">
        <v>142</v>
      </c>
      <c r="B43" t="s">
        <v>356</v>
      </c>
      <c r="C43" t="s">
        <v>217</v>
      </c>
      <c r="D43" t="s">
        <v>357</v>
      </c>
      <c r="E43" t="s">
        <v>218</v>
      </c>
      <c r="F43" t="n">
        <v>278.276941754904</v>
      </c>
      <c r="G43" t="n">
        <v>317.653762420526</v>
      </c>
      <c r="H43" t="n">
        <v>361.110276490346</v>
      </c>
      <c r="I43" t="n">
        <v>410.564154312601</v>
      </c>
      <c r="J43" t="n">
        <v>447.775694492533</v>
      </c>
      <c r="K43" t="n">
        <v>541.011945598202</v>
      </c>
      <c r="L43" t="n">
        <v>586.460592206536</v>
      </c>
      <c r="M43" t="n">
        <v>591.773537326933</v>
      </c>
      <c r="N43" t="n">
        <v>676.1988333655</v>
      </c>
      <c r="O43" t="n">
        <v>776.496267979521</v>
      </c>
      <c r="P43" t="n">
        <v>988.350317997496</v>
      </c>
      <c r="Q43" t="n">
        <v>1106.27582629974</v>
      </c>
      <c r="R43" t="n">
        <v>1317.97700622781</v>
      </c>
      <c r="S43" t="n">
        <v>1453.35430345809</v>
      </c>
      <c r="T43" t="n">
        <v>1577.58078741466</v>
      </c>
      <c r="U43" t="n">
        <v>1521.16006458175</v>
      </c>
      <c r="V43" t="n">
        <v>1417.2261814484</v>
      </c>
      <c r="W43" t="n">
        <v>1289.37319700529</v>
      </c>
      <c r="X43" t="n">
        <v>1140.93631013729</v>
      </c>
      <c r="Y43" t="n">
        <v>1053.99474560803</v>
      </c>
      <c r="Z43" t="n">
        <v>1047.23145746082</v>
      </c>
      <c r="AA43" t="n">
        <v>1010.56410238405</v>
      </c>
      <c r="AB43" t="n">
        <v>984.107994204022</v>
      </c>
      <c r="AC43" t="n">
        <v>918.394752041293</v>
      </c>
      <c r="AD43" t="n">
        <v>900.672043252985</v>
      </c>
      <c r="AE43" t="n">
        <v>886.1</v>
      </c>
      <c r="AF43" t="n">
        <v>905</v>
      </c>
    </row>
    <row r="44">
      <c r="A44" t="s">
        <v>142</v>
      </c>
      <c r="B44" t="s">
        <v>358</v>
      </c>
      <c r="C44" t="s">
        <v>217</v>
      </c>
      <c r="D44" t="s">
        <v>359</v>
      </c>
      <c r="E44" t="s">
        <v>218</v>
      </c>
      <c r="F44" t="n">
        <v>2117.55261039762</v>
      </c>
      <c r="G44" t="n">
        <v>2367.29221910977</v>
      </c>
      <c r="H44" t="n">
        <v>2643.5837233863</v>
      </c>
      <c r="I44" t="n">
        <v>2963.7147738257</v>
      </c>
      <c r="J44" t="n">
        <v>3201.52471131598</v>
      </c>
      <c r="K44" t="n">
        <v>3832.04682502102</v>
      </c>
      <c r="L44" t="n">
        <v>3938.57960674686</v>
      </c>
      <c r="M44" t="n">
        <v>4103.98256768721</v>
      </c>
      <c r="N44" t="n">
        <v>4439.89891855885</v>
      </c>
      <c r="O44" t="n">
        <v>4775.71859400691</v>
      </c>
      <c r="P44" t="n">
        <v>5342.7704477141</v>
      </c>
      <c r="Q44" t="n">
        <v>5946.27621269887</v>
      </c>
      <c r="R44" t="n">
        <v>6713.56236126128</v>
      </c>
      <c r="S44" t="n">
        <v>7451.00417322075</v>
      </c>
      <c r="T44" t="n">
        <v>7851.4013738606</v>
      </c>
      <c r="U44" t="n">
        <v>7977.76845207048</v>
      </c>
      <c r="V44" t="n">
        <v>7606.20251162131</v>
      </c>
      <c r="W44" t="n">
        <v>7133.27953557082</v>
      </c>
      <c r="X44" t="n">
        <v>6612.99382440324</v>
      </c>
      <c r="Y44" t="n">
        <v>6359.48591332527</v>
      </c>
      <c r="Z44" t="n">
        <v>6268.02553848894</v>
      </c>
      <c r="AA44" t="n">
        <v>6147.38826694097</v>
      </c>
      <c r="AB44" t="n">
        <v>6085.87587731819</v>
      </c>
      <c r="AC44" t="n">
        <v>5850.03314861818</v>
      </c>
      <c r="AD44" t="n">
        <v>5624.17775358769</v>
      </c>
      <c r="AE44" t="n">
        <v>5501.9</v>
      </c>
      <c r="AF44" t="n">
        <v>5547.8</v>
      </c>
    </row>
    <row r="45">
      <c r="A45" t="s">
        <v>142</v>
      </c>
      <c r="B45" t="s">
        <v>360</v>
      </c>
      <c r="C45" t="s">
        <v>217</v>
      </c>
      <c r="D45" t="s">
        <v>361</v>
      </c>
      <c r="E45" t="s">
        <v>218</v>
      </c>
      <c r="F45" t="n">
        <v>2049.77138584961</v>
      </c>
      <c r="G45" t="n">
        <v>2289.10157940008</v>
      </c>
      <c r="H45" t="n">
        <v>2554.06695536165</v>
      </c>
      <c r="I45" t="n">
        <v>2861.44469030256</v>
      </c>
      <c r="J45" t="n">
        <v>3089.74479767202</v>
      </c>
      <c r="K45" t="n">
        <v>3696.46105376543</v>
      </c>
      <c r="L45" t="n">
        <v>3798.68812744012</v>
      </c>
      <c r="M45" t="n">
        <v>3967.05351427641</v>
      </c>
      <c r="N45" t="n">
        <v>4303.2520675633</v>
      </c>
      <c r="O45" t="n">
        <v>4642.08733456063</v>
      </c>
      <c r="P45" t="n">
        <v>5160.77267002872</v>
      </c>
      <c r="Q45" t="n">
        <v>5743.05532370895</v>
      </c>
      <c r="R45" t="n">
        <v>6421.71661830643</v>
      </c>
      <c r="S45" t="n">
        <v>7083.49143532731</v>
      </c>
      <c r="T45" t="n">
        <v>7404.59503912035</v>
      </c>
      <c r="U45" t="n">
        <v>7493.57422875319</v>
      </c>
      <c r="V45" t="n">
        <v>7113.19327086424</v>
      </c>
      <c r="W45" t="n">
        <v>6632.68401260123</v>
      </c>
      <c r="X45" t="n">
        <v>6094.58752558263</v>
      </c>
      <c r="Y45" t="n">
        <v>5816.94073400993</v>
      </c>
      <c r="Z45" t="n">
        <v>5678.52616851579</v>
      </c>
      <c r="AA45" t="n">
        <v>5542.45469289854</v>
      </c>
      <c r="AB45" t="n">
        <v>5462.67588875378</v>
      </c>
      <c r="AC45" t="n">
        <v>5200.78243412104</v>
      </c>
      <c r="AD45" t="n">
        <v>4948.43618829887</v>
      </c>
      <c r="AE45" t="n">
        <v>4802.8</v>
      </c>
      <c r="AF45" t="n">
        <v>4799.2</v>
      </c>
    </row>
    <row r="46">
      <c r="A46" t="s">
        <v>142</v>
      </c>
      <c r="B46" t="s">
        <v>362</v>
      </c>
      <c r="C46" t="s">
        <v>217</v>
      </c>
      <c r="D46" t="s">
        <v>363</v>
      </c>
      <c r="E46" t="s">
        <v>218</v>
      </c>
      <c r="F46" t="n">
        <v>72.6293459344976</v>
      </c>
      <c r="G46" t="n">
        <v>81.865447729636</v>
      </c>
      <c r="H46" t="n">
        <v>91.8689563050778</v>
      </c>
      <c r="I46" t="n">
        <v>103.424799865465</v>
      </c>
      <c r="J46" t="n">
        <v>112.019920219581</v>
      </c>
      <c r="K46" t="n">
        <v>134.626905766367</v>
      </c>
      <c r="L46" t="n">
        <v>149.63568102306</v>
      </c>
      <c r="M46" t="n">
        <v>148.405557984703</v>
      </c>
      <c r="N46" t="n">
        <v>178.086669581643</v>
      </c>
      <c r="O46" t="n">
        <v>230.853090198426</v>
      </c>
      <c r="P46" t="n">
        <v>418.735862205713</v>
      </c>
      <c r="Q46" t="n">
        <v>531.604421298592</v>
      </c>
      <c r="R46" t="n">
        <v>705.864012596753</v>
      </c>
      <c r="S46" t="n">
        <v>877.180137742391</v>
      </c>
      <c r="T46" t="n">
        <v>991.190791458476</v>
      </c>
      <c r="U46" t="n">
        <v>956.641959887961</v>
      </c>
      <c r="V46" t="n">
        <v>885.005280758081</v>
      </c>
      <c r="W46" t="n">
        <v>790.176245328222</v>
      </c>
      <c r="X46" t="n">
        <v>689.091167606239</v>
      </c>
      <c r="Y46" t="n">
        <v>627.079830865936</v>
      </c>
      <c r="Z46" t="n">
        <v>658.149588037631</v>
      </c>
      <c r="AA46" t="n">
        <v>655.8885812378</v>
      </c>
      <c r="AB46" t="n">
        <v>658.455273458177</v>
      </c>
      <c r="AC46" t="n">
        <v>626.645839957782</v>
      </c>
      <c r="AD46" t="n">
        <v>659.20274966007</v>
      </c>
      <c r="AE46" t="n">
        <v>660.6</v>
      </c>
      <c r="AF46" t="n">
        <v>689.4</v>
      </c>
    </row>
    <row r="47">
      <c r="A47" t="s">
        <v>142</v>
      </c>
      <c r="B47" t="s">
        <v>364</v>
      </c>
      <c r="C47" t="s">
        <v>217</v>
      </c>
      <c r="D47" t="s">
        <v>365</v>
      </c>
      <c r="E47" t="s">
        <v>218</v>
      </c>
      <c r="F47" t="n">
        <v>57.8820767919415</v>
      </c>
      <c r="G47" t="n">
        <v>65.9066374380971</v>
      </c>
      <c r="H47" t="n">
        <v>73.4571065814907</v>
      </c>
      <c r="I47" t="n">
        <v>83.0174219355892</v>
      </c>
      <c r="J47" t="n">
        <v>88.4806571416508</v>
      </c>
      <c r="K47" t="n">
        <v>98.6855035747639</v>
      </c>
      <c r="L47" t="n">
        <v>108.565410146691</v>
      </c>
      <c r="M47" t="n">
        <v>112.316653993223</v>
      </c>
      <c r="N47" t="n">
        <v>121.032779401341</v>
      </c>
      <c r="O47" t="n">
        <v>132.253640137919</v>
      </c>
      <c r="P47" t="n">
        <v>139.814215128739</v>
      </c>
      <c r="Q47" t="n">
        <v>176.950547040535</v>
      </c>
      <c r="R47" t="n">
        <v>194.857659657154</v>
      </c>
      <c r="S47" t="n">
        <v>231.741854516177</v>
      </c>
      <c r="T47" t="n">
        <v>282.684593978388</v>
      </c>
      <c r="U47" t="n">
        <v>255.404875469728</v>
      </c>
      <c r="V47" t="n">
        <v>256.495078663428</v>
      </c>
      <c r="W47" t="n">
        <v>230.756818174711</v>
      </c>
      <c r="X47" t="n">
        <v>216.974414358815</v>
      </c>
      <c r="Y47" t="n">
        <v>199.408416995528</v>
      </c>
      <c r="Z47" t="n">
        <v>188.036058897454</v>
      </c>
      <c r="AA47" t="n">
        <v>172.890895157806</v>
      </c>
      <c r="AB47" t="n">
        <v>175.0631394145</v>
      </c>
      <c r="AC47" t="n">
        <v>166.011579365228</v>
      </c>
      <c r="AD47" t="n">
        <v>165.513644214162</v>
      </c>
      <c r="AE47" t="n">
        <v>173.4</v>
      </c>
      <c r="AF47" t="n">
        <v>183.7</v>
      </c>
    </row>
    <row r="48">
      <c r="A48" t="s">
        <v>142</v>
      </c>
      <c r="B48" t="s">
        <v>366</v>
      </c>
      <c r="C48" t="s">
        <v>217</v>
      </c>
      <c r="D48" t="s">
        <v>367</v>
      </c>
      <c r="E48" t="s">
        <v>218</v>
      </c>
      <c r="F48" t="n">
        <v>228.408764633434</v>
      </c>
      <c r="G48" t="n">
        <v>264.904142158238</v>
      </c>
      <c r="H48" t="n">
        <v>307.726992206375</v>
      </c>
      <c r="I48" t="n">
        <v>355.479533951133</v>
      </c>
      <c r="J48" t="n">
        <v>394.646878043816</v>
      </c>
      <c r="K48" t="n">
        <v>469.550675246753</v>
      </c>
      <c r="L48" t="n">
        <v>518.693121099818</v>
      </c>
      <c r="M48" t="n">
        <v>543.01133141062</v>
      </c>
      <c r="N48" t="n">
        <v>577.706104911317</v>
      </c>
      <c r="O48" t="n">
        <v>639.206282039959</v>
      </c>
      <c r="P48" t="n">
        <v>749.138447438865</v>
      </c>
      <c r="Q48" t="n">
        <v>790.902613973944</v>
      </c>
      <c r="R48" t="n">
        <v>801.702005585594</v>
      </c>
      <c r="S48" t="n">
        <v>833.897226170564</v>
      </c>
      <c r="T48" t="n">
        <v>832.250428389926</v>
      </c>
      <c r="U48" t="n">
        <v>788.88688502951</v>
      </c>
      <c r="V48" t="n">
        <v>746.17202982251</v>
      </c>
      <c r="W48" t="n">
        <v>678.338208929555</v>
      </c>
      <c r="X48" t="n">
        <v>628.120109560405</v>
      </c>
      <c r="Y48" t="n">
        <v>577.960807171693</v>
      </c>
      <c r="Z48" t="n">
        <v>537.273150687172</v>
      </c>
      <c r="AA48" t="n">
        <v>491.558234846452</v>
      </c>
      <c r="AB48" t="n">
        <v>470.03590200923</v>
      </c>
      <c r="AC48" t="n">
        <v>447.066091693146</v>
      </c>
      <c r="AD48" t="n">
        <v>438.8</v>
      </c>
      <c r="AE48" t="n">
        <v>438.8</v>
      </c>
      <c r="AF48" t="n">
        <v>444.9</v>
      </c>
    </row>
    <row r="49">
      <c r="A49" t="s">
        <v>142</v>
      </c>
      <c r="B49" t="s">
        <v>368</v>
      </c>
      <c r="C49" t="s">
        <v>217</v>
      </c>
      <c r="D49" t="s">
        <v>369</v>
      </c>
      <c r="E49" t="s">
        <v>218</v>
      </c>
      <c r="F49" t="n">
        <v>117.907784429392</v>
      </c>
      <c r="G49" t="n">
        <v>136.911985385949</v>
      </c>
      <c r="H49" t="n">
        <v>161.371207176031</v>
      </c>
      <c r="I49" t="n">
        <v>187.93784570472</v>
      </c>
      <c r="J49" t="n">
        <v>212.731999944333</v>
      </c>
      <c r="K49" t="n">
        <v>257.204961422327</v>
      </c>
      <c r="L49" t="n">
        <v>268.75977964809</v>
      </c>
      <c r="M49" t="n">
        <v>272.704562629523</v>
      </c>
      <c r="N49" t="n">
        <v>291.559057845895</v>
      </c>
      <c r="O49" t="n">
        <v>330.693364854844</v>
      </c>
      <c r="P49" t="n">
        <v>346.135665787307</v>
      </c>
      <c r="Q49" t="n">
        <v>366.682945110979</v>
      </c>
      <c r="R49" t="n">
        <v>370.715449381132</v>
      </c>
      <c r="S49" t="n">
        <v>376.618855392675</v>
      </c>
      <c r="T49" t="n">
        <v>353.751388017555</v>
      </c>
      <c r="U49" t="n">
        <v>343.003572142741</v>
      </c>
      <c r="V49" t="n">
        <v>312.686098695116</v>
      </c>
      <c r="W49" t="n">
        <v>284.197358933802</v>
      </c>
      <c r="X49" t="n">
        <v>259.390384755999</v>
      </c>
      <c r="Y49" t="n">
        <v>237.89719736986</v>
      </c>
      <c r="Z49" t="n">
        <v>216.626619772308</v>
      </c>
      <c r="AA49" t="n">
        <v>193.43066593099</v>
      </c>
      <c r="AB49" t="n">
        <v>173.58402792582</v>
      </c>
      <c r="AC49" t="n">
        <v>160.460836811153</v>
      </c>
      <c r="AD49" t="n">
        <v>152.890989761092</v>
      </c>
      <c r="AE49" t="n">
        <v>146.3</v>
      </c>
      <c r="AF49" t="n">
        <v>139.2</v>
      </c>
    </row>
    <row r="50">
      <c r="A50" t="s">
        <v>142</v>
      </c>
      <c r="B50" t="s">
        <v>370</v>
      </c>
      <c r="C50" t="s">
        <v>217</v>
      </c>
      <c r="D50" t="s">
        <v>371</v>
      </c>
      <c r="E50" t="s">
        <v>218</v>
      </c>
      <c r="F50" t="n">
        <v>48.0479428440195</v>
      </c>
      <c r="G50" t="n">
        <v>56.4794328142441</v>
      </c>
      <c r="H50" t="n">
        <v>65.7051568994394</v>
      </c>
      <c r="I50" t="n">
        <v>75.7891470536345</v>
      </c>
      <c r="J50" t="n">
        <v>82.9724590683333</v>
      </c>
      <c r="K50" t="n">
        <v>99.87237097673</v>
      </c>
      <c r="L50" t="n">
        <v>128.179510055963</v>
      </c>
      <c r="M50" t="n">
        <v>145.050338157126</v>
      </c>
      <c r="N50" t="n">
        <v>151.449617781705</v>
      </c>
      <c r="O50" t="n">
        <v>159.980640555485</v>
      </c>
      <c r="P50" t="n">
        <v>247.711959569783</v>
      </c>
      <c r="Q50" t="n">
        <v>234.194812540758</v>
      </c>
      <c r="R50" t="n">
        <v>224.868470448427</v>
      </c>
      <c r="S50" t="n">
        <v>218.610535278248</v>
      </c>
      <c r="T50" t="n">
        <v>197.785501041593</v>
      </c>
      <c r="U50" t="n">
        <v>189.932715134701</v>
      </c>
      <c r="V50" t="n">
        <v>176.585023024766</v>
      </c>
      <c r="W50" t="n">
        <v>163.099990608717</v>
      </c>
      <c r="X50" t="n">
        <v>151.302522933583</v>
      </c>
      <c r="Y50" t="n">
        <v>140.327210389178</v>
      </c>
      <c r="Z50" t="n">
        <v>132.400778003179</v>
      </c>
      <c r="AA50" t="n">
        <v>125.137873946666</v>
      </c>
      <c r="AB50" t="n">
        <v>121.292029120882</v>
      </c>
      <c r="AC50" t="n">
        <v>120.497322951376</v>
      </c>
      <c r="AD50" t="n">
        <v>120.397820620285</v>
      </c>
      <c r="AE50" t="n">
        <v>119.1</v>
      </c>
      <c r="AF50" t="n">
        <v>121.9</v>
      </c>
    </row>
    <row r="51">
      <c r="A51" t="s">
        <v>142</v>
      </c>
      <c r="B51" t="s">
        <v>372</v>
      </c>
      <c r="C51" t="s">
        <v>217</v>
      </c>
      <c r="D51" t="s">
        <v>373</v>
      </c>
      <c r="E51" t="s">
        <v>218</v>
      </c>
      <c r="F51" t="n">
        <v>40.2817261544421</v>
      </c>
      <c r="G51" t="n">
        <v>46.4462119511641</v>
      </c>
      <c r="H51" t="n">
        <v>53.1700510977691</v>
      </c>
      <c r="I51" t="n">
        <v>60.6821500602062</v>
      </c>
      <c r="J51" t="n">
        <v>66.4249402867242</v>
      </c>
      <c r="K51" t="n">
        <v>80.6454908833187</v>
      </c>
      <c r="L51" t="n">
        <v>104.472567735208</v>
      </c>
      <c r="M51" t="n">
        <v>118.73503432022</v>
      </c>
      <c r="N51" t="n">
        <v>124.083459289599</v>
      </c>
      <c r="O51" t="n">
        <v>131.045528383262</v>
      </c>
      <c r="P51" t="n">
        <v>210.621921663349</v>
      </c>
      <c r="Q51" t="n">
        <v>196.875475278526</v>
      </c>
      <c r="R51" t="n">
        <v>187.822633966106</v>
      </c>
      <c r="S51" t="n">
        <v>181.395608186878</v>
      </c>
      <c r="T51" t="n">
        <v>163.487124576072</v>
      </c>
      <c r="U51" t="n">
        <v>155.587334231205</v>
      </c>
      <c r="V51" t="n">
        <v>144.594212589153</v>
      </c>
      <c r="W51" t="n">
        <v>133.850675321111</v>
      </c>
      <c r="X51" t="n">
        <v>124.599231585682</v>
      </c>
      <c r="Y51" t="n">
        <v>116.259912936246</v>
      </c>
      <c r="Z51" t="n">
        <v>110.476325361846</v>
      </c>
      <c r="AA51" t="n">
        <v>104.873878257197</v>
      </c>
      <c r="AB51" t="n">
        <v>102.405095812348</v>
      </c>
      <c r="AC51" t="n">
        <v>102.703363081704</v>
      </c>
      <c r="AD51" t="n">
        <v>103.599031945789</v>
      </c>
      <c r="AE51" t="n">
        <v>103.1</v>
      </c>
      <c r="AF51" t="n">
        <v>106.2</v>
      </c>
    </row>
    <row r="52">
      <c r="A52" t="s">
        <v>142</v>
      </c>
      <c r="B52" t="s">
        <v>374</v>
      </c>
      <c r="C52" t="s">
        <v>217</v>
      </c>
      <c r="D52" t="s">
        <v>375</v>
      </c>
      <c r="E52" t="s">
        <v>218</v>
      </c>
      <c r="F52" t="n">
        <v>7.03058452650812</v>
      </c>
      <c r="G52" t="n">
        <v>9.88082149671412</v>
      </c>
      <c r="H52" t="n">
        <v>13.0501415994337</v>
      </c>
      <c r="I52" t="n">
        <v>16.2245003668636</v>
      </c>
      <c r="J52" t="n">
        <v>17.7779099764569</v>
      </c>
      <c r="K52" t="n">
        <v>20.1482979733178</v>
      </c>
      <c r="L52" t="n">
        <v>24.1118975746262</v>
      </c>
      <c r="M52" t="n">
        <v>26.362341348258</v>
      </c>
      <c r="N52" t="n">
        <v>27.3268172512431</v>
      </c>
      <c r="O52" t="n">
        <v>28.9155856960828</v>
      </c>
      <c r="P52" t="n">
        <v>30.8871029026339</v>
      </c>
      <c r="Q52" t="n">
        <v>33.2630338951442</v>
      </c>
      <c r="R52" t="n">
        <v>34.1203285831634</v>
      </c>
      <c r="S52" t="n">
        <v>35.3266028260025</v>
      </c>
      <c r="T52" t="n">
        <v>33.0863792321584</v>
      </c>
      <c r="U52" t="n">
        <v>34.2926534749975</v>
      </c>
      <c r="V52" t="n">
        <v>31.941157236712</v>
      </c>
      <c r="W52" t="n">
        <v>29.206134598706</v>
      </c>
      <c r="X52" t="n">
        <v>26.6664707205577</v>
      </c>
      <c r="Y52" t="n">
        <v>24.0387528028385</v>
      </c>
      <c r="Z52" t="n">
        <v>21.9062827961351</v>
      </c>
      <c r="AA52" t="n">
        <v>20.251141429316</v>
      </c>
      <c r="AB52" t="n">
        <v>18.8814990138067</v>
      </c>
      <c r="AC52" t="n">
        <v>17.7940828402367</v>
      </c>
      <c r="AD52" t="n">
        <v>16.8</v>
      </c>
      <c r="AE52" t="n">
        <v>16</v>
      </c>
      <c r="AF52" t="n">
        <v>15.7</v>
      </c>
    </row>
    <row r="53">
      <c r="A53" t="s">
        <v>142</v>
      </c>
      <c r="B53" t="s">
        <v>376</v>
      </c>
      <c r="C53" t="s">
        <v>217</v>
      </c>
      <c r="D53" t="s">
        <v>377</v>
      </c>
      <c r="E53" t="s">
        <v>218</v>
      </c>
      <c r="F53" t="n">
        <v>193.606932483465</v>
      </c>
      <c r="G53" t="n">
        <v>193.842894619338</v>
      </c>
      <c r="H53" t="n">
        <v>195.680268028052</v>
      </c>
      <c r="I53" t="n">
        <v>201.754600073269</v>
      </c>
      <c r="J53" t="n">
        <v>205.055071103491</v>
      </c>
      <c r="K53" t="n">
        <v>227.515464287241</v>
      </c>
      <c r="L53" t="n">
        <v>229.451332545842</v>
      </c>
      <c r="M53" t="n">
        <v>239.948458678712</v>
      </c>
      <c r="N53" t="n">
        <v>329.990973069487</v>
      </c>
      <c r="O53" t="n">
        <v>380.540701388575</v>
      </c>
      <c r="P53" t="n">
        <v>381.047008867804</v>
      </c>
      <c r="Q53" t="n">
        <v>340.936797408035</v>
      </c>
      <c r="R53" t="n">
        <v>309.010312813547</v>
      </c>
      <c r="S53" t="n">
        <v>281.982551293353</v>
      </c>
      <c r="T53" t="n">
        <v>258.5908169247</v>
      </c>
      <c r="U53" t="n">
        <v>240.524736701354</v>
      </c>
      <c r="V53" t="n">
        <v>218.037456952092</v>
      </c>
      <c r="W53" t="n">
        <v>196.450565870488</v>
      </c>
      <c r="X53" t="n">
        <v>178.331816938072</v>
      </c>
      <c r="Y53" t="n">
        <v>161.254361711201</v>
      </c>
      <c r="Z53" t="n">
        <v>146.345199314545</v>
      </c>
      <c r="AA53" t="n">
        <v>135.723370332038</v>
      </c>
      <c r="AB53" t="n">
        <v>127.030752727075</v>
      </c>
      <c r="AC53" t="n">
        <v>120.46534185786</v>
      </c>
      <c r="AD53" t="n">
        <v>114.790528233151</v>
      </c>
      <c r="AE53" t="n">
        <v>109.6</v>
      </c>
      <c r="AF53" t="n">
        <v>108.9</v>
      </c>
    </row>
    <row r="54">
      <c r="A54" t="s">
        <v>142</v>
      </c>
      <c r="B54" t="s">
        <v>378</v>
      </c>
      <c r="C54" t="s">
        <v>217</v>
      </c>
      <c r="D54" t="s">
        <v>379</v>
      </c>
      <c r="E54" t="s">
        <v>218</v>
      </c>
      <c r="F54" t="n">
        <v>315.8893628299</v>
      </c>
      <c r="G54" t="n">
        <v>368.020047074096</v>
      </c>
      <c r="H54" t="n">
        <v>422.962079481276</v>
      </c>
      <c r="I54" t="n">
        <v>485.225971778663</v>
      </c>
      <c r="J54" t="n">
        <v>532.076546629428</v>
      </c>
      <c r="K54" t="n">
        <v>647.211976333163</v>
      </c>
      <c r="L54" t="n">
        <v>631.051978429737</v>
      </c>
      <c r="M54" t="n">
        <v>613.445999299269</v>
      </c>
      <c r="N54" t="n">
        <v>667.965765925095</v>
      </c>
      <c r="O54" t="n">
        <v>703.203922577539</v>
      </c>
      <c r="P54" t="n">
        <v>706.999350271745</v>
      </c>
      <c r="Q54" t="n">
        <v>659.016361494023</v>
      </c>
      <c r="R54" t="n">
        <v>635.239159096209</v>
      </c>
      <c r="S54" t="n">
        <v>620.728619929037</v>
      </c>
      <c r="T54" t="n">
        <v>611.359774128791</v>
      </c>
      <c r="U54" t="n">
        <v>617.155461378304</v>
      </c>
      <c r="V54" t="n">
        <v>552.983969245258</v>
      </c>
      <c r="W54" t="n">
        <v>494.650663865145</v>
      </c>
      <c r="X54" t="n">
        <v>444.65413834913</v>
      </c>
      <c r="Y54" t="n">
        <v>399.815890064586</v>
      </c>
      <c r="Z54" t="n">
        <v>364.921441213644</v>
      </c>
      <c r="AA54" t="n">
        <v>334.249164904739</v>
      </c>
      <c r="AB54" t="n">
        <v>308.575669225202</v>
      </c>
      <c r="AC54" t="n">
        <v>288.693216311207</v>
      </c>
      <c r="AD54" t="n">
        <v>271.769820872274</v>
      </c>
      <c r="AE54" t="n">
        <v>256.3</v>
      </c>
      <c r="AF54" t="n">
        <v>248.6</v>
      </c>
    </row>
    <row r="55">
      <c r="A55" t="s">
        <v>142</v>
      </c>
      <c r="B55" t="s">
        <v>380</v>
      </c>
      <c r="C55" t="s">
        <v>217</v>
      </c>
      <c r="D55" t="s">
        <v>381</v>
      </c>
      <c r="E55" t="s">
        <v>218</v>
      </c>
      <c r="F55" t="n">
        <v>142.992042526756</v>
      </c>
      <c r="G55" t="n">
        <v>188.989482780118</v>
      </c>
      <c r="H55" t="n">
        <v>236.338199186634</v>
      </c>
      <c r="I55" t="n">
        <v>287.173496970867</v>
      </c>
      <c r="J55" t="n">
        <v>326.319858017916</v>
      </c>
      <c r="K55" t="n">
        <v>412.394333721764</v>
      </c>
      <c r="L55" t="n">
        <v>396.723780339972</v>
      </c>
      <c r="M55" t="n">
        <v>373.728339231471</v>
      </c>
      <c r="N55" t="n">
        <v>358.4299268405</v>
      </c>
      <c r="O55" t="n">
        <v>353.943513352221</v>
      </c>
      <c r="P55" t="n">
        <v>356.94667043521</v>
      </c>
      <c r="Q55" t="n">
        <v>342.783876319988</v>
      </c>
      <c r="R55" t="n">
        <v>344.277162646801</v>
      </c>
      <c r="S55" t="n">
        <v>350.513523297103</v>
      </c>
      <c r="T55" t="n">
        <v>358.733397229845</v>
      </c>
      <c r="U55" t="n">
        <v>376.617245598266</v>
      </c>
      <c r="V55" t="n">
        <v>334.935894284683</v>
      </c>
      <c r="W55" t="n">
        <v>298.19145647051</v>
      </c>
      <c r="X55" t="n">
        <v>266.316157263501</v>
      </c>
      <c r="Y55" t="n">
        <v>238.556498882075</v>
      </c>
      <c r="Z55" t="n">
        <v>218.570656675938</v>
      </c>
      <c r="AA55" t="n">
        <v>198.521909390915</v>
      </c>
      <c r="AB55" t="n">
        <v>181.542412416655</v>
      </c>
      <c r="AC55" t="n">
        <v>168.227314844771</v>
      </c>
      <c r="AD55" t="n">
        <v>156.978979591837</v>
      </c>
      <c r="AE55" t="n">
        <v>146.7</v>
      </c>
      <c r="AF55" t="n">
        <v>139.7</v>
      </c>
    </row>
    <row r="56">
      <c r="A56" t="s">
        <v>142</v>
      </c>
      <c r="B56" t="s">
        <v>382</v>
      </c>
      <c r="C56" t="s">
        <v>217</v>
      </c>
      <c r="D56" t="s">
        <v>383</v>
      </c>
      <c r="E56" t="s">
        <v>218</v>
      </c>
      <c r="F56" t="e">
        <v>#NUM!</v>
      </c>
      <c r="G56" t="e">
        <v>#NUM!</v>
      </c>
      <c r="H56" t="e">
        <v>#NUM!</v>
      </c>
      <c r="I56" t="e">
        <v>#NUM!</v>
      </c>
      <c r="J56" t="e">
        <v>#NUM!</v>
      </c>
      <c r="K56" t="e">
        <v>#NUM!</v>
      </c>
      <c r="L56" t="e">
        <v>#NUM!</v>
      </c>
      <c r="M56" t="e">
        <v>#NUM!</v>
      </c>
      <c r="N56" t="e">
        <v>#NUM!</v>
      </c>
      <c r="O56" t="e">
        <v>#NUM!</v>
      </c>
      <c r="P56" t="e">
        <v>#NUM!</v>
      </c>
      <c r="Q56" t="e">
        <v>#NUM!</v>
      </c>
      <c r="R56" t="e">
        <v>#NUM!</v>
      </c>
      <c r="S56" t="e">
        <v>#NUM!</v>
      </c>
      <c r="T56" t="e">
        <v>#NUM!</v>
      </c>
      <c r="U56" t="e">
        <v>#NUM!</v>
      </c>
      <c r="V56" t="e">
        <v>#NUM!</v>
      </c>
      <c r="W56" t="e">
        <v>#NUM!</v>
      </c>
      <c r="X56" t="e">
        <v>#NUM!</v>
      </c>
      <c r="Y56" t="e">
        <v>#NUM!</v>
      </c>
      <c r="Z56" t="e">
        <v>#NUM!</v>
      </c>
      <c r="AA56" t="e">
        <v>#NUM!</v>
      </c>
      <c r="AB56" t="e">
        <v>#NUM!</v>
      </c>
      <c r="AC56" t="e">
        <v>#NUM!</v>
      </c>
      <c r="AD56" t="e">
        <v>#NUM!</v>
      </c>
      <c r="AE56" t="n">
        <v>0</v>
      </c>
      <c r="AF56" t="e">
        <v>#NUM!</v>
      </c>
    </row>
    <row r="57">
      <c r="A57" t="s">
        <v>142</v>
      </c>
      <c r="B57" t="s">
        <v>384</v>
      </c>
      <c r="C57" t="s">
        <v>217</v>
      </c>
      <c r="D57" t="s">
        <v>385</v>
      </c>
      <c r="E57" t="s">
        <v>218</v>
      </c>
      <c r="F57" t="n">
        <v>2354.40207389934</v>
      </c>
      <c r="G57" t="n">
        <v>2641.98560273606</v>
      </c>
      <c r="H57" t="n">
        <v>2962.53369363883</v>
      </c>
      <c r="I57" t="n">
        <v>3331.93701834728</v>
      </c>
      <c r="J57" t="n">
        <v>3610.07492133605</v>
      </c>
      <c r="K57" t="n">
        <v>4319.08523111866</v>
      </c>
      <c r="L57" t="n">
        <v>4560.81677249964</v>
      </c>
      <c r="M57" t="n">
        <v>4852.18976733496</v>
      </c>
      <c r="N57" t="n">
        <v>5245.05773861726</v>
      </c>
      <c r="O57" t="n">
        <v>5658.73587964661</v>
      </c>
      <c r="P57" t="n">
        <v>6300.86651522914</v>
      </c>
      <c r="Q57" t="n">
        <v>6919.44169387959</v>
      </c>
      <c r="R57" t="n">
        <v>7681.46249842799</v>
      </c>
      <c r="S57" t="n">
        <v>8437.43410614623</v>
      </c>
      <c r="T57" t="n">
        <v>8839.62900490448</v>
      </c>
      <c r="U57" t="n">
        <v>8917.80756199395</v>
      </c>
      <c r="V57" t="n">
        <v>8555.65755989304</v>
      </c>
      <c r="W57" t="n">
        <v>8008.19879620833</v>
      </c>
      <c r="X57" t="n">
        <v>7425.20082124772</v>
      </c>
      <c r="Y57" t="n">
        <v>7102.30626295882</v>
      </c>
      <c r="Z57" t="n">
        <v>6949.97114546534</v>
      </c>
      <c r="AA57" t="n">
        <v>6766.01896035641</v>
      </c>
      <c r="AB57" t="n">
        <v>6667.67881874047</v>
      </c>
      <c r="AC57" t="n">
        <v>6467.33028280606</v>
      </c>
      <c r="AD57" t="n">
        <v>6305.408026095</v>
      </c>
      <c r="AE57" t="n">
        <v>6365.2</v>
      </c>
      <c r="AF57" t="n">
        <v>6615.9</v>
      </c>
    </row>
    <row r="58">
      <c r="A58" t="s">
        <v>142</v>
      </c>
      <c r="B58" t="s">
        <v>386</v>
      </c>
      <c r="C58" t="s">
        <v>217</v>
      </c>
      <c r="D58" t="s">
        <v>387</v>
      </c>
      <c r="E58" t="s">
        <v>218</v>
      </c>
      <c r="F58" t="n">
        <v>2354.40207389934</v>
      </c>
      <c r="G58" t="n">
        <v>2641.98560273606</v>
      </c>
      <c r="H58" t="n">
        <v>2962.53369363883</v>
      </c>
      <c r="I58" t="n">
        <v>3331.93701834728</v>
      </c>
      <c r="J58" t="n">
        <v>3610.07492133605</v>
      </c>
      <c r="K58" t="n">
        <v>4319.08523111866</v>
      </c>
      <c r="L58" t="n">
        <v>4560.81677249964</v>
      </c>
      <c r="M58" t="n">
        <v>4852.18976733496</v>
      </c>
      <c r="N58" t="n">
        <v>5245.05773861726</v>
      </c>
      <c r="O58" t="n">
        <v>5658.73587964661</v>
      </c>
      <c r="P58" t="n">
        <v>6300.86651522914</v>
      </c>
      <c r="Q58" t="n">
        <v>6919.44169387959</v>
      </c>
      <c r="R58" t="n">
        <v>7681.46249842799</v>
      </c>
      <c r="S58" t="n">
        <v>8437.43410614623</v>
      </c>
      <c r="T58" t="n">
        <v>8839.62900490448</v>
      </c>
      <c r="U58" t="n">
        <v>8917.80756199395</v>
      </c>
      <c r="V58" t="n">
        <v>8555.65755989304</v>
      </c>
      <c r="W58" t="n">
        <v>8008.19879620833</v>
      </c>
      <c r="X58" t="n">
        <v>7425.20082124772</v>
      </c>
      <c r="Y58" t="n">
        <v>7102.30626295882</v>
      </c>
      <c r="Z58" t="n">
        <v>6949.97114546534</v>
      </c>
      <c r="AA58" t="n">
        <v>6766.01896035641</v>
      </c>
      <c r="AB58" t="n">
        <v>6667.67881874047</v>
      </c>
      <c r="AC58" t="n">
        <v>6467.33028280606</v>
      </c>
      <c r="AD58" t="n">
        <v>6305.408026095</v>
      </c>
      <c r="AE58" t="n">
        <v>6365.2</v>
      </c>
      <c r="AF58" t="n">
        <v>6615.9</v>
      </c>
    </row>
    <row r="59">
      <c r="A59" t="s">
        <v>142</v>
      </c>
      <c r="B59" t="s">
        <v>388</v>
      </c>
      <c r="C59" t="s">
        <v>217</v>
      </c>
      <c r="D59" t="s">
        <v>389</v>
      </c>
      <c r="E59" t="s">
        <v>218</v>
      </c>
      <c r="F59" t="e">
        <v>#NUM!</v>
      </c>
      <c r="G59" t="e">
        <v>#NUM!</v>
      </c>
      <c r="H59" t="e">
        <v>#NUM!</v>
      </c>
      <c r="I59" t="e">
        <v>#NUM!</v>
      </c>
      <c r="J59" t="e">
        <v>#NUM!</v>
      </c>
      <c r="K59" t="e">
        <v>#NUM!</v>
      </c>
      <c r="L59" t="e">
        <v>#NUM!</v>
      </c>
      <c r="M59" t="e">
        <v>#NUM!</v>
      </c>
      <c r="N59" t="e">
        <v>#NUM!</v>
      </c>
      <c r="O59" t="e">
        <v>#NUM!</v>
      </c>
      <c r="P59" t="e">
        <v>#NUM!</v>
      </c>
      <c r="Q59" t="e">
        <v>#NUM!</v>
      </c>
      <c r="R59" t="e">
        <v>#NUM!</v>
      </c>
      <c r="S59" t="e">
        <v>#NUM!</v>
      </c>
      <c r="T59" t="e">
        <v>#NUM!</v>
      </c>
      <c r="U59" t="e">
        <v>#NUM!</v>
      </c>
      <c r="V59" t="e">
        <v>#NUM!</v>
      </c>
      <c r="W59" t="e">
        <v>#NUM!</v>
      </c>
      <c r="X59" t="e">
        <v>#NUM!</v>
      </c>
      <c r="Y59" t="e">
        <v>#NUM!</v>
      </c>
      <c r="Z59" t="e">
        <v>#NUM!</v>
      </c>
      <c r="AA59" t="e">
        <v>#NUM!</v>
      </c>
      <c r="AB59" t="e">
        <v>#NUM!</v>
      </c>
      <c r="AC59" t="e">
        <v>#NUM!</v>
      </c>
      <c r="AD59" t="e">
        <v>#NUM!</v>
      </c>
      <c r="AE59" t="n">
        <v>0</v>
      </c>
      <c r="AF59" t="e">
        <v>#NUM!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143</v>
      </c>
      <c r="B2" t="s">
        <v>197</v>
      </c>
      <c r="C2" t="s">
        <v>217</v>
      </c>
      <c r="D2" t="s">
        <v>199</v>
      </c>
      <c r="E2" t="s">
        <v>218</v>
      </c>
      <c r="F2" t="e">
        <v>#NUM!</v>
      </c>
      <c r="G2" t="e">
        <v>#NUM!</v>
      </c>
      <c r="H2" t="e">
        <v>#NUM!</v>
      </c>
      <c r="I2" t="e">
        <v>#NUM!</v>
      </c>
      <c r="J2" t="e">
        <v>#NUM!</v>
      </c>
      <c r="K2" t="e">
        <v>#NUM!</v>
      </c>
      <c r="L2" t="e">
        <v>#NUM!</v>
      </c>
      <c r="M2" t="e">
        <v>#NUM!</v>
      </c>
      <c r="N2" t="e">
        <v>#NUM!</v>
      </c>
      <c r="O2" t="e">
        <v>#NUM!</v>
      </c>
      <c r="P2" t="e">
        <v>#NUM!</v>
      </c>
      <c r="Q2" t="e">
        <v>#NUM!</v>
      </c>
      <c r="R2" t="e">
        <v>#NUM!</v>
      </c>
      <c r="S2" t="e">
        <v>#NUM!</v>
      </c>
      <c r="T2" t="e">
        <v>#NUM!</v>
      </c>
      <c r="U2" t="e">
        <v>#NUM!</v>
      </c>
      <c r="V2" t="e">
        <v>#NUM!</v>
      </c>
      <c r="W2" t="e">
        <v>#NUM!</v>
      </c>
      <c r="X2" t="e">
        <v>#NUM!</v>
      </c>
      <c r="Y2" t="e">
        <v>#NUM!</v>
      </c>
      <c r="Z2" t="e">
        <v>#NUM!</v>
      </c>
      <c r="AA2" t="e">
        <v>#NUM!</v>
      </c>
      <c r="AB2" t="e">
        <v>#NUM!</v>
      </c>
      <c r="AC2" t="e">
        <v>#NUM!</v>
      </c>
      <c r="AD2" t="e">
        <v>#NUM!</v>
      </c>
      <c r="AE2" t="n">
        <v>0</v>
      </c>
      <c r="AF2" t="e">
        <v>#NUM!</v>
      </c>
    </row>
    <row r="3">
      <c r="A3" t="s">
        <v>143</v>
      </c>
      <c r="B3" t="s">
        <v>276</v>
      </c>
      <c r="C3" t="s">
        <v>217</v>
      </c>
      <c r="D3" t="s">
        <v>277</v>
      </c>
      <c r="E3" t="s">
        <v>218</v>
      </c>
      <c r="F3" t="n">
        <v>0.10525093245217</v>
      </c>
      <c r="G3" t="n">
        <v>0.210501864904341</v>
      </c>
      <c r="H3" t="n">
        <v>0.210501864904341</v>
      </c>
      <c r="I3" t="n">
        <v>0.315752797356511</v>
      </c>
      <c r="J3" t="n">
        <v>0.421003729808682</v>
      </c>
      <c r="K3" t="n">
        <v>0.526254662260852</v>
      </c>
      <c r="L3" t="n">
        <v>0.631505594713022</v>
      </c>
      <c r="M3" t="n">
        <v>0.842007459617363</v>
      </c>
      <c r="N3" t="n">
        <v>0.947258392069534</v>
      </c>
      <c r="O3" t="n">
        <v>0.947258392069534</v>
      </c>
      <c r="P3" t="n">
        <v>1.0525093245217</v>
      </c>
      <c r="Q3" t="n">
        <v>1.89451678413907</v>
      </c>
      <c r="R3" t="n">
        <v>4.31528823053899</v>
      </c>
      <c r="S3" t="n">
        <v>4.52077814627894</v>
      </c>
      <c r="T3" t="n">
        <v>4.91388928943363</v>
      </c>
      <c r="U3" t="n">
        <v>4.91388928943363</v>
      </c>
      <c r="V3" t="n">
        <v>4.17217015140591</v>
      </c>
      <c r="W3" t="n">
        <v>6.07685652487383</v>
      </c>
      <c r="X3" t="n">
        <v>6.52368421052632</v>
      </c>
      <c r="Y3" t="n">
        <v>4.67368421052632</v>
      </c>
      <c r="Z3" t="n">
        <v>3.7</v>
      </c>
      <c r="AA3" t="n">
        <v>3.1</v>
      </c>
      <c r="AB3" t="n">
        <v>2.7</v>
      </c>
      <c r="AC3" t="n">
        <v>2.8</v>
      </c>
      <c r="AD3" t="n">
        <v>3.2</v>
      </c>
      <c r="AE3" t="n">
        <v>2.6</v>
      </c>
      <c r="AF3" t="n">
        <v>2.3</v>
      </c>
    </row>
    <row r="4">
      <c r="A4" t="s">
        <v>143</v>
      </c>
      <c r="B4" t="s">
        <v>278</v>
      </c>
      <c r="C4" t="s">
        <v>217</v>
      </c>
      <c r="D4" t="s">
        <v>279</v>
      </c>
      <c r="E4" t="s">
        <v>218</v>
      </c>
      <c r="F4" t="n">
        <v>17.7139534716638</v>
      </c>
      <c r="G4" t="n">
        <v>28.872349359326</v>
      </c>
      <c r="H4" t="n">
        <v>37.7660641173327</v>
      </c>
      <c r="I4" t="n">
        <v>46.2819413202607</v>
      </c>
      <c r="J4" t="n">
        <v>55.4676701319155</v>
      </c>
      <c r="K4" t="n">
        <v>76.8722067388372</v>
      </c>
      <c r="L4" t="n">
        <v>77.2195209259103</v>
      </c>
      <c r="M4" t="n">
        <v>83.748285085827</v>
      </c>
      <c r="N4" t="n">
        <v>89.8330349929874</v>
      </c>
      <c r="O4" t="n">
        <v>92.8819137563858</v>
      </c>
      <c r="P4" t="n">
        <v>119.745886470469</v>
      </c>
      <c r="Q4" t="n">
        <v>134.0726264589</v>
      </c>
      <c r="R4" t="n">
        <v>143.14441707689</v>
      </c>
      <c r="S4" t="n">
        <v>144.48607347343</v>
      </c>
      <c r="T4" t="n">
        <v>142.979964298932</v>
      </c>
      <c r="U4" t="n">
        <v>153.720705931312</v>
      </c>
      <c r="V4" t="n">
        <v>142.790338993727</v>
      </c>
      <c r="W4" t="n">
        <v>132.209681651568</v>
      </c>
      <c r="X4" t="n">
        <v>128.851670869416</v>
      </c>
      <c r="Y4" t="n">
        <v>126.890458223002</v>
      </c>
      <c r="Z4" t="n">
        <v>128.181206233095</v>
      </c>
      <c r="AA4" t="n">
        <v>135.934507788436</v>
      </c>
      <c r="AB4" t="n">
        <v>141.518076069514</v>
      </c>
      <c r="AC4" t="n">
        <v>154.090755180167</v>
      </c>
      <c r="AD4" t="n">
        <v>169.289843296576</v>
      </c>
      <c r="AE4" t="n">
        <v>172.8</v>
      </c>
      <c r="AF4" t="n">
        <v>177.5</v>
      </c>
    </row>
    <row r="5">
      <c r="A5" t="s">
        <v>143</v>
      </c>
      <c r="B5" t="s">
        <v>280</v>
      </c>
      <c r="C5" t="s">
        <v>217</v>
      </c>
      <c r="D5" t="s">
        <v>281</v>
      </c>
      <c r="E5" t="s">
        <v>218</v>
      </c>
      <c r="F5" t="n">
        <v>3.44997274021751</v>
      </c>
      <c r="G5" t="n">
        <v>5.51995638434802</v>
      </c>
      <c r="H5" t="n">
        <v>6.93203825011147</v>
      </c>
      <c r="I5" t="n">
        <v>8.54126141531592</v>
      </c>
      <c r="J5" t="n">
        <v>10.1793115497601</v>
      </c>
      <c r="K5" t="n">
        <v>13.3817915878868</v>
      </c>
      <c r="L5" t="n">
        <v>14.7661148555993</v>
      </c>
      <c r="M5" t="n">
        <v>19.2748522160876</v>
      </c>
      <c r="N5" t="n">
        <v>22.2657775599632</v>
      </c>
      <c r="O5" t="n">
        <v>22.8115074021192</v>
      </c>
      <c r="P5" t="n">
        <v>22.0511238220486</v>
      </c>
      <c r="Q5" t="n">
        <v>22.6933895644383</v>
      </c>
      <c r="R5" t="n">
        <v>24.5933012489029</v>
      </c>
      <c r="S5" t="n">
        <v>25.9366328297254</v>
      </c>
      <c r="T5" t="n">
        <v>27.6456357681181</v>
      </c>
      <c r="U5" t="n">
        <v>34.1621070563174</v>
      </c>
      <c r="V5" t="n">
        <v>32.0582822815881</v>
      </c>
      <c r="W5" t="n">
        <v>29.9080316407499</v>
      </c>
      <c r="X5" t="n">
        <v>28.2679137765798</v>
      </c>
      <c r="Y5" t="n">
        <v>28.9573750882037</v>
      </c>
      <c r="Z5" t="n">
        <v>28.3603158080345</v>
      </c>
      <c r="AA5" t="n">
        <v>28.6630949803623</v>
      </c>
      <c r="AB5" t="n">
        <v>29.069663703488</v>
      </c>
      <c r="AC5" t="n">
        <v>33.998430213768</v>
      </c>
      <c r="AD5" t="n">
        <v>35.798347107438</v>
      </c>
      <c r="AE5" t="n">
        <v>36.4</v>
      </c>
      <c r="AF5" t="n">
        <v>37.2</v>
      </c>
    </row>
    <row r="6">
      <c r="A6" t="s">
        <v>143</v>
      </c>
      <c r="B6" t="s">
        <v>282</v>
      </c>
      <c r="C6" t="s">
        <v>217</v>
      </c>
      <c r="D6" t="s">
        <v>283</v>
      </c>
      <c r="E6" t="s">
        <v>218</v>
      </c>
      <c r="F6" t="n">
        <v>1.58252135365584</v>
      </c>
      <c r="G6" t="n">
        <v>2.73344597449645</v>
      </c>
      <c r="H6" t="n">
        <v>4.03508691473286</v>
      </c>
      <c r="I6" t="n">
        <v>4.91776217733067</v>
      </c>
      <c r="J6" t="n">
        <v>5.99727094796423</v>
      </c>
      <c r="K6" t="n">
        <v>9.40748383994389</v>
      </c>
      <c r="L6" t="n">
        <v>7.64358061995441</v>
      </c>
      <c r="M6" t="n">
        <v>7.18724744861385</v>
      </c>
      <c r="N6" t="n">
        <v>6.73804448307548</v>
      </c>
      <c r="O6" t="n">
        <v>6.73804448307548</v>
      </c>
      <c r="P6" t="n">
        <v>7.73218219369318</v>
      </c>
      <c r="Q6" t="n">
        <v>10.1280696339925</v>
      </c>
      <c r="R6" t="n">
        <v>13.4330186724532</v>
      </c>
      <c r="S6" t="n">
        <v>11.246248190891</v>
      </c>
      <c r="T6" t="n">
        <v>10.6437706092362</v>
      </c>
      <c r="U6" t="n">
        <v>10.7423240408032</v>
      </c>
      <c r="V6" t="n">
        <v>9.74766440739546</v>
      </c>
      <c r="W6" t="n">
        <v>8.78254911953452</v>
      </c>
      <c r="X6" t="n">
        <v>8.6870866291048</v>
      </c>
      <c r="Y6" t="n">
        <v>8.29665576936975</v>
      </c>
      <c r="Z6" t="n">
        <v>8.29665576936975</v>
      </c>
      <c r="AA6" t="n">
        <v>8.39661547743444</v>
      </c>
      <c r="AB6" t="n">
        <v>8.49777951933124</v>
      </c>
      <c r="AC6" t="n">
        <v>8.59775339602926</v>
      </c>
      <c r="AD6" t="n">
        <v>8.69772727272727</v>
      </c>
      <c r="AE6" t="n">
        <v>8.9</v>
      </c>
      <c r="AF6" t="n">
        <v>9.1</v>
      </c>
    </row>
    <row r="7">
      <c r="A7" t="s">
        <v>143</v>
      </c>
      <c r="B7" t="s">
        <v>284</v>
      </c>
      <c r="C7" t="s">
        <v>217</v>
      </c>
      <c r="D7" t="s">
        <v>285</v>
      </c>
      <c r="E7" t="s">
        <v>218</v>
      </c>
      <c r="F7" t="n">
        <v>3.41869938669523</v>
      </c>
      <c r="G7" t="n">
        <v>5.33317104324457</v>
      </c>
      <c r="H7" t="n">
        <v>6.22203288378533</v>
      </c>
      <c r="I7" t="n">
        <v>7.68604062114658</v>
      </c>
      <c r="J7" t="n">
        <v>9.19995771319061</v>
      </c>
      <c r="K7" t="n">
        <v>11.0172333108579</v>
      </c>
      <c r="L7" t="n">
        <v>13.1977274036318</v>
      </c>
      <c r="M7" t="n">
        <v>14.6517143209811</v>
      </c>
      <c r="N7" t="n">
        <v>15.6431837111227</v>
      </c>
      <c r="O7" t="n">
        <v>16.729515913284</v>
      </c>
      <c r="P7" t="n">
        <v>18.2603212909701</v>
      </c>
      <c r="Q7" t="n">
        <v>20.3011807293726</v>
      </c>
      <c r="R7" t="n">
        <v>22.7330930042454</v>
      </c>
      <c r="S7" t="n">
        <v>27.0730471232377</v>
      </c>
      <c r="T7" t="n">
        <v>30.3819751049668</v>
      </c>
      <c r="U7" t="n">
        <v>30.5792606575964</v>
      </c>
      <c r="V7" t="n">
        <v>28.5871264128019</v>
      </c>
      <c r="W7" t="n">
        <v>27.1285995550058</v>
      </c>
      <c r="X7" t="n">
        <v>26.1665924785872</v>
      </c>
      <c r="Y7" t="n">
        <v>26.3618655567856</v>
      </c>
      <c r="Z7" t="n">
        <v>26.857389345447</v>
      </c>
      <c r="AA7" t="n">
        <v>28.9697682827293</v>
      </c>
      <c r="AB7" t="n">
        <v>30.5961412389527</v>
      </c>
      <c r="AC7" t="n">
        <v>30.9987220447284</v>
      </c>
      <c r="AD7" t="n">
        <v>30.9987220447284</v>
      </c>
      <c r="AE7" t="n">
        <v>31.4</v>
      </c>
      <c r="AF7" t="n">
        <v>31.8</v>
      </c>
    </row>
    <row r="8">
      <c r="A8" t="s">
        <v>143</v>
      </c>
      <c r="B8" t="s">
        <v>286</v>
      </c>
      <c r="C8" t="s">
        <v>217</v>
      </c>
      <c r="D8" t="s">
        <v>287</v>
      </c>
      <c r="E8" t="s">
        <v>218</v>
      </c>
      <c r="F8" t="n">
        <v>1.71243891788271</v>
      </c>
      <c r="G8" t="n">
        <v>3.42487783576542</v>
      </c>
      <c r="H8" t="n">
        <v>5.9276731772863</v>
      </c>
      <c r="I8" t="n">
        <v>7.31500094218309</v>
      </c>
      <c r="J8" t="n">
        <v>8.89991781298943</v>
      </c>
      <c r="K8" t="n">
        <v>15.7825209217013</v>
      </c>
      <c r="L8" t="n">
        <v>10.3646406052963</v>
      </c>
      <c r="M8" t="n">
        <v>7.02492307692308</v>
      </c>
      <c r="N8" t="n">
        <v>5.09873449131514</v>
      </c>
      <c r="O8" t="n">
        <v>3.965682382134</v>
      </c>
      <c r="P8" t="n">
        <v>3.28585111662531</v>
      </c>
      <c r="Q8" t="n">
        <v>2.94593548387097</v>
      </c>
      <c r="R8" t="n">
        <v>3.60058781362007</v>
      </c>
      <c r="S8" t="n">
        <v>3.38878853046595</v>
      </c>
      <c r="T8" t="n">
        <v>3.18340740740741</v>
      </c>
      <c r="U8" t="n">
        <v>3.28288888888889</v>
      </c>
      <c r="V8" t="n">
        <v>3.18340740740741</v>
      </c>
      <c r="W8" t="n">
        <v>3.28288888888889</v>
      </c>
      <c r="X8" t="n">
        <v>3.48185185185185</v>
      </c>
      <c r="Y8" t="n">
        <v>3.68666666666667</v>
      </c>
      <c r="Z8" t="n">
        <v>4.0962962962963</v>
      </c>
      <c r="AA8" t="n">
        <v>7.47574074074074</v>
      </c>
      <c r="AB8" t="n">
        <v>9.21666666666667</v>
      </c>
      <c r="AC8" t="n">
        <v>7.9</v>
      </c>
      <c r="AD8" t="n">
        <v>9.2</v>
      </c>
      <c r="AE8" t="n">
        <v>9.9</v>
      </c>
      <c r="AF8" t="n">
        <v>10.6</v>
      </c>
    </row>
    <row r="9">
      <c r="A9" t="s">
        <v>143</v>
      </c>
      <c r="B9" t="s">
        <v>288</v>
      </c>
      <c r="C9" t="s">
        <v>217</v>
      </c>
      <c r="D9" t="s">
        <v>289</v>
      </c>
      <c r="E9" t="s">
        <v>218</v>
      </c>
      <c r="F9" t="n">
        <v>0.51294998377893</v>
      </c>
      <c r="G9" t="n">
        <v>0.769424975668395</v>
      </c>
      <c r="H9" t="n">
        <v>1.02589996755786</v>
      </c>
      <c r="I9" t="n">
        <v>1.28237495944733</v>
      </c>
      <c r="J9" t="n">
        <v>1.5155340429832</v>
      </c>
      <c r="K9" t="n">
        <v>1.98185221005496</v>
      </c>
      <c r="L9" t="n">
        <v>2.33159083535877</v>
      </c>
      <c r="M9" t="n">
        <v>2.66467524041003</v>
      </c>
      <c r="N9" t="n">
        <v>2.87784925964283</v>
      </c>
      <c r="O9" t="n">
        <v>3.28897058244895</v>
      </c>
      <c r="P9" t="n">
        <v>3.18619025174742</v>
      </c>
      <c r="Q9" t="n">
        <v>3.48489558784874</v>
      </c>
      <c r="R9" t="n">
        <v>4.08230626005138</v>
      </c>
      <c r="S9" t="n">
        <v>5.83186608578769</v>
      </c>
      <c r="T9" t="n">
        <v>4.97142682722885</v>
      </c>
      <c r="U9" t="n">
        <v>4.97142682722885</v>
      </c>
      <c r="V9" t="n">
        <v>4.5024242963582</v>
      </c>
      <c r="W9" t="n">
        <v>4.31865187609868</v>
      </c>
      <c r="X9" t="n">
        <v>4.67853953244024</v>
      </c>
      <c r="Y9" t="n">
        <v>4.39782716049383</v>
      </c>
      <c r="Z9" t="n">
        <v>4.30222222222222</v>
      </c>
      <c r="AA9" t="n">
        <v>4.4</v>
      </c>
      <c r="AB9" t="n">
        <v>4.5</v>
      </c>
      <c r="AC9" t="n">
        <v>4.7</v>
      </c>
      <c r="AD9" t="n">
        <v>4.9</v>
      </c>
      <c r="AE9" t="n">
        <v>5.1</v>
      </c>
      <c r="AF9" t="n">
        <v>5.4</v>
      </c>
    </row>
    <row r="10">
      <c r="A10" t="s">
        <v>143</v>
      </c>
      <c r="B10" t="s">
        <v>290</v>
      </c>
      <c r="C10" t="s">
        <v>217</v>
      </c>
      <c r="D10" t="s">
        <v>291</v>
      </c>
      <c r="E10" t="s">
        <v>218</v>
      </c>
      <c r="F10" t="n">
        <v>0.68007635790064</v>
      </c>
      <c r="G10" t="n">
        <v>1.08812217264102</v>
      </c>
      <c r="H10" t="n">
        <v>1.49616798738141</v>
      </c>
      <c r="I10" t="n">
        <v>1.76819853054166</v>
      </c>
      <c r="J10" t="n">
        <v>2.00395833461389</v>
      </c>
      <c r="K10" t="n">
        <v>2.71123774683055</v>
      </c>
      <c r="L10" t="n">
        <v>3.182757354975</v>
      </c>
      <c r="M10" t="n">
        <v>3.63743697711428</v>
      </c>
      <c r="N10" t="n">
        <v>3.96811306594285</v>
      </c>
      <c r="O10" t="n">
        <v>4.61159086042007</v>
      </c>
      <c r="P10" t="n">
        <v>4.93332975765868</v>
      </c>
      <c r="Q10" t="n">
        <v>5.13888516422779</v>
      </c>
      <c r="R10" t="n">
        <v>6.78332841678069</v>
      </c>
      <c r="S10" t="n">
        <v>8.37940569131732</v>
      </c>
      <c r="T10" t="n">
        <v>8.28082444789005</v>
      </c>
      <c r="U10" t="n">
        <v>8.66597907337331</v>
      </c>
      <c r="V10" t="n">
        <v>7.51051519692354</v>
      </c>
      <c r="W10" t="n">
        <v>7.03516613382711</v>
      </c>
      <c r="X10" t="n">
        <v>9.16422956906427</v>
      </c>
      <c r="Y10" t="n">
        <v>8.0918197258759</v>
      </c>
      <c r="Z10" t="n">
        <v>8.5852233676976</v>
      </c>
      <c r="AA10" t="n">
        <v>8.38556701030928</v>
      </c>
      <c r="AB10" t="n">
        <v>8.18350515463918</v>
      </c>
      <c r="AC10" t="n">
        <v>9.8</v>
      </c>
      <c r="AD10" t="n">
        <v>11.2</v>
      </c>
      <c r="AE10" t="n">
        <v>12.4</v>
      </c>
      <c r="AF10" t="n">
        <v>13.6</v>
      </c>
    </row>
    <row r="11">
      <c r="A11" t="s">
        <v>143</v>
      </c>
      <c r="B11" t="s">
        <v>292</v>
      </c>
      <c r="C11" t="s">
        <v>217</v>
      </c>
      <c r="D11" t="s">
        <v>293</v>
      </c>
      <c r="E11" t="s">
        <v>218</v>
      </c>
      <c r="F11" t="n">
        <v>0.151047665878645</v>
      </c>
      <c r="G11" t="n">
        <v>0.302095331757289</v>
      </c>
      <c r="H11" t="n">
        <v>0.453142997635934</v>
      </c>
      <c r="I11" t="n">
        <v>0.453142997635934</v>
      </c>
      <c r="J11" t="n">
        <v>0.453142997635934</v>
      </c>
      <c r="K11" t="n">
        <v>0.6797144964539</v>
      </c>
      <c r="L11" t="n">
        <v>0.793000245862884</v>
      </c>
      <c r="M11" t="n">
        <v>0.906285995271867</v>
      </c>
      <c r="N11" t="n">
        <v>1.01957174468085</v>
      </c>
      <c r="O11" t="n">
        <v>1.24614324349882</v>
      </c>
      <c r="P11" t="n">
        <v>1.69928624113475</v>
      </c>
      <c r="Q11" t="n">
        <v>1.59308085106383</v>
      </c>
      <c r="R11" t="n">
        <v>2.65513475177305</v>
      </c>
      <c r="S11" t="n">
        <v>2.45089361702128</v>
      </c>
      <c r="T11" t="n">
        <v>3.26785815602837</v>
      </c>
      <c r="U11" t="n">
        <v>3.6639621749409</v>
      </c>
      <c r="V11" t="n">
        <v>2.97078014184397</v>
      </c>
      <c r="W11" t="n">
        <v>2.67370212765957</v>
      </c>
      <c r="X11" t="n">
        <v>4.488</v>
      </c>
      <c r="Y11" t="n">
        <v>3.672</v>
      </c>
      <c r="Z11" t="n">
        <v>4.284</v>
      </c>
      <c r="AA11" t="n">
        <v>3.978</v>
      </c>
      <c r="AB11" t="n">
        <v>3.672</v>
      </c>
      <c r="AC11" t="n">
        <v>5.1</v>
      </c>
      <c r="AD11" t="n">
        <v>6.3</v>
      </c>
      <c r="AE11" t="n">
        <v>7.3</v>
      </c>
      <c r="AF11" t="n">
        <v>8.2</v>
      </c>
    </row>
    <row r="12">
      <c r="A12" t="s">
        <v>143</v>
      </c>
      <c r="B12" t="s">
        <v>294</v>
      </c>
      <c r="C12" t="s">
        <v>217</v>
      </c>
      <c r="D12" t="s">
        <v>295</v>
      </c>
      <c r="E12" t="s">
        <v>218</v>
      </c>
      <c r="F12" t="n">
        <v>0.301518108545257</v>
      </c>
      <c r="G12" t="n">
        <v>0.452277162817885</v>
      </c>
      <c r="H12" t="n">
        <v>0.565346453522357</v>
      </c>
      <c r="I12" t="n">
        <v>0.791485034931299</v>
      </c>
      <c r="J12" t="n">
        <v>1.01762361634024</v>
      </c>
      <c r="K12" t="n">
        <v>1.46990077915813</v>
      </c>
      <c r="L12" t="n">
        <v>1.5829700698626</v>
      </c>
      <c r="M12" t="n">
        <v>2.60059368620284</v>
      </c>
      <c r="N12" t="n">
        <v>3.359100178012</v>
      </c>
      <c r="O12" t="n">
        <v>3.359100178012</v>
      </c>
      <c r="P12" t="n">
        <v>3.15551834904158</v>
      </c>
      <c r="Q12" t="n">
        <v>2.95829845222648</v>
      </c>
      <c r="R12" t="n">
        <v>4.14161783311707</v>
      </c>
      <c r="S12" t="n">
        <v>5.87531832139864</v>
      </c>
      <c r="T12" t="n">
        <v>5.10478477105127</v>
      </c>
      <c r="U12" t="n">
        <v>4.91915623392214</v>
      </c>
      <c r="V12" t="n">
        <v>4.54789915966386</v>
      </c>
      <c r="W12" t="n">
        <v>3.91119327731092</v>
      </c>
      <c r="X12" t="n">
        <v>4.54789915966386</v>
      </c>
      <c r="Y12" t="n">
        <v>3.97941176470588</v>
      </c>
      <c r="Z12" t="n">
        <v>3.3</v>
      </c>
      <c r="AA12" t="n">
        <v>3.9</v>
      </c>
      <c r="AB12" t="n">
        <v>4.1</v>
      </c>
      <c r="AC12" t="n">
        <v>4</v>
      </c>
      <c r="AD12" t="n">
        <v>10.9</v>
      </c>
      <c r="AE12" t="n">
        <v>8.3</v>
      </c>
      <c r="AF12" t="n">
        <v>6.9</v>
      </c>
    </row>
    <row r="13">
      <c r="A13" t="s">
        <v>143</v>
      </c>
      <c r="B13" t="s">
        <v>296</v>
      </c>
      <c r="C13" t="s">
        <v>217</v>
      </c>
      <c r="D13" t="s">
        <v>297</v>
      </c>
      <c r="E13" t="s">
        <v>218</v>
      </c>
      <c r="F13" t="n">
        <v>1.81064986448531</v>
      </c>
      <c r="G13" t="n">
        <v>2.86686228543507</v>
      </c>
      <c r="H13" t="n">
        <v>3.68596579555938</v>
      </c>
      <c r="I13" t="n">
        <v>4.44857940843373</v>
      </c>
      <c r="J13" t="n">
        <v>5.29020253975903</v>
      </c>
      <c r="K13" t="n">
        <v>7.52384361210173</v>
      </c>
      <c r="L13" t="n">
        <v>7.40441752302075</v>
      </c>
      <c r="M13" t="n">
        <v>8.44566373719555</v>
      </c>
      <c r="N13" t="n">
        <v>9.24457787449783</v>
      </c>
      <c r="O13" t="n">
        <v>9.69009969977483</v>
      </c>
      <c r="P13" t="n">
        <v>16.8475597052903</v>
      </c>
      <c r="Q13" t="n">
        <v>18.2515230140645</v>
      </c>
      <c r="R13" t="n">
        <v>19.6309985907089</v>
      </c>
      <c r="S13" t="n">
        <v>17.5645776864238</v>
      </c>
      <c r="T13" t="n">
        <v>14.954983287298</v>
      </c>
      <c r="U13" t="n">
        <v>18.3001769173515</v>
      </c>
      <c r="V13" t="n">
        <v>17.316296437924</v>
      </c>
      <c r="W13" t="n">
        <v>15.0074569128674</v>
      </c>
      <c r="X13" t="n">
        <v>12.9045011671153</v>
      </c>
      <c r="Y13" t="n">
        <v>12.4156943047246</v>
      </c>
      <c r="Z13" t="n">
        <v>12.9083805866581</v>
      </c>
      <c r="AA13" t="n">
        <v>12.1078608603537</v>
      </c>
      <c r="AB13" t="n">
        <v>11.9060631793478</v>
      </c>
      <c r="AC13" t="n">
        <v>12.8065217391304</v>
      </c>
      <c r="AD13" t="n">
        <v>13.7</v>
      </c>
      <c r="AE13" t="n">
        <v>14.6</v>
      </c>
      <c r="AF13" t="n">
        <v>15.4</v>
      </c>
    </row>
    <row r="14">
      <c r="A14" t="s">
        <v>143</v>
      </c>
      <c r="B14" t="s">
        <v>298</v>
      </c>
      <c r="C14" t="s">
        <v>217</v>
      </c>
      <c r="D14" t="s">
        <v>299</v>
      </c>
      <c r="E14" t="s">
        <v>218</v>
      </c>
      <c r="F14" t="n">
        <v>3.05601758868702</v>
      </c>
      <c r="G14" t="n">
        <v>4.72293627342539</v>
      </c>
      <c r="H14" t="n">
        <v>5.61646475758696</v>
      </c>
      <c r="I14" t="n">
        <v>6.83743535706238</v>
      </c>
      <c r="J14" t="n">
        <v>7.99632270571702</v>
      </c>
      <c r="K14" t="n">
        <v>9.68568665762907</v>
      </c>
      <c r="L14" t="n">
        <v>12.0786210083374</v>
      </c>
      <c r="M14" t="n">
        <v>12.5218731554324</v>
      </c>
      <c r="N14" t="n">
        <v>14.0462751047894</v>
      </c>
      <c r="O14" t="n">
        <v>14.6896159492835</v>
      </c>
      <c r="P14" t="n">
        <v>30.8913982462874</v>
      </c>
      <c r="Q14" t="n">
        <v>33.332986423829</v>
      </c>
      <c r="R14" t="n">
        <v>29.6526882382328</v>
      </c>
      <c r="S14" t="n">
        <v>26.2312242107444</v>
      </c>
      <c r="T14" t="n">
        <v>24.0286023304529</v>
      </c>
      <c r="U14" t="n">
        <v>24.5230180162647</v>
      </c>
      <c r="V14" t="n">
        <v>22.9149512610998</v>
      </c>
      <c r="W14" t="n">
        <v>21.5439712711194</v>
      </c>
      <c r="X14" t="n">
        <v>20.9643128512687</v>
      </c>
      <c r="Y14" t="n">
        <v>20.670420615036</v>
      </c>
      <c r="Z14" t="n">
        <v>20.8691746594113</v>
      </c>
      <c r="AA14" t="n">
        <v>21.7765300793857</v>
      </c>
      <c r="AB14" t="n">
        <v>22.6923654565561</v>
      </c>
      <c r="AC14" t="n">
        <v>24.0980872105021</v>
      </c>
      <c r="AD14" t="n">
        <v>24.898023715415</v>
      </c>
      <c r="AE14" t="n">
        <v>25.4</v>
      </c>
      <c r="AF14" t="n">
        <v>25.8</v>
      </c>
    </row>
    <row r="15">
      <c r="A15" t="s">
        <v>143</v>
      </c>
      <c r="B15" t="s">
        <v>300</v>
      </c>
      <c r="C15" t="s">
        <v>217</v>
      </c>
      <c r="D15" t="s">
        <v>301</v>
      </c>
      <c r="E15" t="s">
        <v>218</v>
      </c>
      <c r="F15" t="n">
        <v>3.17433921425497</v>
      </c>
      <c r="G15" t="n">
        <v>4.96853094405125</v>
      </c>
      <c r="H15" t="n">
        <v>5.98771677872843</v>
      </c>
      <c r="I15" t="n">
        <v>7.20969979479546</v>
      </c>
      <c r="J15" t="n">
        <v>8.48884008096885</v>
      </c>
      <c r="K15" t="n">
        <v>10.4129771659885</v>
      </c>
      <c r="L15" t="n">
        <v>12.7015435760958</v>
      </c>
      <c r="M15" t="n">
        <v>13.2537846011434</v>
      </c>
      <c r="N15" t="n">
        <v>14.8833482816119</v>
      </c>
      <c r="O15" t="n">
        <v>15.632869418096</v>
      </c>
      <c r="P15" t="n">
        <v>32.4516806541164</v>
      </c>
      <c r="Q15" t="n">
        <v>37.4360891205984</v>
      </c>
      <c r="R15" t="n">
        <v>32.9269803469689</v>
      </c>
      <c r="S15" t="n">
        <v>28.5917666335748</v>
      </c>
      <c r="T15" t="n">
        <v>26.0015717469095</v>
      </c>
      <c r="U15" t="n">
        <v>26.6910073614109</v>
      </c>
      <c r="V15" t="n">
        <v>24.6916809672977</v>
      </c>
      <c r="W15" t="n">
        <v>23.1301517361643</v>
      </c>
      <c r="X15" t="n">
        <v>22.2627710460581</v>
      </c>
      <c r="Y15" t="n">
        <v>21.8704755210175</v>
      </c>
      <c r="Z15" t="n">
        <v>22.3675317828588</v>
      </c>
      <c r="AA15" t="n">
        <v>23.0728143165525</v>
      </c>
      <c r="AB15" t="n">
        <v>23.8859531470918</v>
      </c>
      <c r="AC15" t="n">
        <v>26.5957041343669</v>
      </c>
      <c r="AD15" t="n">
        <v>28.7953488372093</v>
      </c>
      <c r="AE15" t="n">
        <v>30.2</v>
      </c>
      <c r="AF15" t="n">
        <v>31.3</v>
      </c>
    </row>
    <row r="16">
      <c r="A16" t="s">
        <v>143</v>
      </c>
      <c r="B16" t="s">
        <v>302</v>
      </c>
      <c r="C16" t="s">
        <v>217</v>
      </c>
      <c r="D16" t="s">
        <v>303</v>
      </c>
      <c r="E16" t="s">
        <v>218</v>
      </c>
      <c r="F16" t="n">
        <v>0.122767857142857</v>
      </c>
      <c r="G16" t="n">
        <v>0.245535714285714</v>
      </c>
      <c r="H16" t="n">
        <v>0.368303571428571</v>
      </c>
      <c r="I16" t="n">
        <v>0.368303571428571</v>
      </c>
      <c r="J16" t="n">
        <v>0.491071428571429</v>
      </c>
      <c r="K16" t="n">
        <v>0.736607142857143</v>
      </c>
      <c r="L16" t="n">
        <v>0.613839285714286</v>
      </c>
      <c r="M16" t="n">
        <v>0.716145833333333</v>
      </c>
      <c r="N16" t="n">
        <v>0.818452380952381</v>
      </c>
      <c r="O16" t="n">
        <v>0.920758928571429</v>
      </c>
      <c r="P16" t="n">
        <v>1.53459821428571</v>
      </c>
      <c r="Q16" t="n">
        <v>3.98995535714286</v>
      </c>
      <c r="R16" t="n">
        <v>3.19196428571429</v>
      </c>
      <c r="S16" t="n">
        <v>2.32142857142857</v>
      </c>
      <c r="T16" t="n">
        <v>1.95</v>
      </c>
      <c r="U16" t="n">
        <v>2.13571428571429</v>
      </c>
      <c r="V16" t="n">
        <v>1.76428571428571</v>
      </c>
      <c r="W16" t="n">
        <v>1.57857142857143</v>
      </c>
      <c r="X16" t="n">
        <v>1.3</v>
      </c>
      <c r="Y16" t="n">
        <v>1.2</v>
      </c>
      <c r="Z16" t="n">
        <v>1.5</v>
      </c>
      <c r="AA16" t="n">
        <v>1.3</v>
      </c>
      <c r="AB16" t="n">
        <v>1.2</v>
      </c>
      <c r="AC16" t="n">
        <v>2.5</v>
      </c>
      <c r="AD16" t="n">
        <v>3.9</v>
      </c>
      <c r="AE16" t="n">
        <v>4.8</v>
      </c>
      <c r="AF16" t="n">
        <v>5.5</v>
      </c>
    </row>
    <row r="17">
      <c r="A17" t="s">
        <v>143</v>
      </c>
      <c r="B17" t="s">
        <v>304</v>
      </c>
      <c r="C17" t="s">
        <v>217</v>
      </c>
      <c r="D17" t="s">
        <v>305</v>
      </c>
      <c r="E17" t="s">
        <v>218</v>
      </c>
      <c r="F17" t="n">
        <v>0.517132104457549</v>
      </c>
      <c r="G17" t="n">
        <v>0.775698156686324</v>
      </c>
      <c r="H17" t="n">
        <v>0.904981182800711</v>
      </c>
      <c r="I17" t="n">
        <v>1.13122647850089</v>
      </c>
      <c r="J17" t="n">
        <v>1.35747177420107</v>
      </c>
      <c r="K17" t="n">
        <v>1.69683971775133</v>
      </c>
      <c r="L17" t="n">
        <v>1.92308501345151</v>
      </c>
      <c r="M17" t="n">
        <v>2.2435991823601</v>
      </c>
      <c r="N17" t="n">
        <v>2.45727529496582</v>
      </c>
      <c r="O17" t="n">
        <v>2.67095140757154</v>
      </c>
      <c r="P17" t="n">
        <v>3.31197974538871</v>
      </c>
      <c r="Q17" t="n">
        <v>4.13997468173589</v>
      </c>
      <c r="R17" t="n">
        <v>4.24347404877929</v>
      </c>
      <c r="S17" t="n">
        <v>4.54657933797781</v>
      </c>
      <c r="T17" t="n">
        <v>4.24347404877929</v>
      </c>
      <c r="U17" t="n">
        <v>4.24347404877929</v>
      </c>
      <c r="V17" t="n">
        <v>4.04610316278955</v>
      </c>
      <c r="W17" t="n">
        <v>3.75709579401887</v>
      </c>
      <c r="X17" t="n">
        <v>3.6631683991684</v>
      </c>
      <c r="Y17" t="n">
        <v>3.56676923076923</v>
      </c>
      <c r="Z17" t="n">
        <v>3.56676923076923</v>
      </c>
      <c r="AA17" t="n">
        <v>4.95384615384615</v>
      </c>
      <c r="AB17" t="n">
        <v>5.76263736263736</v>
      </c>
      <c r="AC17" t="n">
        <v>8.59340659340659</v>
      </c>
      <c r="AD17" t="n">
        <v>8.8967032967033</v>
      </c>
      <c r="AE17" t="n">
        <v>9.2</v>
      </c>
      <c r="AF17" t="n">
        <v>9.6</v>
      </c>
    </row>
    <row r="18">
      <c r="A18" t="s">
        <v>143</v>
      </c>
      <c r="B18" t="s">
        <v>306</v>
      </c>
      <c r="C18" t="s">
        <v>217</v>
      </c>
      <c r="D18" t="s">
        <v>307</v>
      </c>
      <c r="E18" t="s">
        <v>218</v>
      </c>
      <c r="F18" t="n">
        <v>0.335231812782833</v>
      </c>
      <c r="G18" t="n">
        <v>0.50284771917425</v>
      </c>
      <c r="H18" t="n">
        <v>0.628559648967812</v>
      </c>
      <c r="I18" t="n">
        <v>0.754271578761375</v>
      </c>
      <c r="J18" t="n">
        <v>0.879983508554937</v>
      </c>
      <c r="K18" t="n">
        <v>1.09997938569367</v>
      </c>
      <c r="L18" t="n">
        <v>1.20997732426304</v>
      </c>
      <c r="M18" t="n">
        <v>1.53997113997114</v>
      </c>
      <c r="N18" t="n">
        <v>1.64996907854051</v>
      </c>
      <c r="O18" t="n">
        <v>1.75996701710987</v>
      </c>
      <c r="P18" t="n">
        <v>1.97996289424861</v>
      </c>
      <c r="Q18" t="n">
        <v>2.63995052566481</v>
      </c>
      <c r="R18" t="n">
        <v>2.41995464852608</v>
      </c>
      <c r="S18" t="n">
        <v>2.94603174603175</v>
      </c>
      <c r="T18" t="n">
        <v>3.55555555555556</v>
      </c>
      <c r="U18" t="n">
        <v>3.25925925925926</v>
      </c>
      <c r="V18" t="n">
        <v>2.66666666666667</v>
      </c>
      <c r="W18" t="n">
        <v>2.28571428571429</v>
      </c>
      <c r="X18" t="n">
        <v>2.0952380952381</v>
      </c>
      <c r="Y18" t="n">
        <v>2</v>
      </c>
      <c r="Z18" t="n">
        <v>2</v>
      </c>
      <c r="AA18" t="n">
        <v>2.1</v>
      </c>
      <c r="AB18" t="n">
        <v>2.2</v>
      </c>
      <c r="AC18" t="n">
        <v>2.4</v>
      </c>
      <c r="AD18" t="n">
        <v>2.4</v>
      </c>
      <c r="AE18" t="n">
        <v>2.5</v>
      </c>
      <c r="AF18" t="n">
        <v>2.7</v>
      </c>
    </row>
    <row r="19">
      <c r="A19" t="s">
        <v>143</v>
      </c>
      <c r="B19" t="s">
        <v>308</v>
      </c>
      <c r="C19" t="s">
        <v>217</v>
      </c>
      <c r="D19" t="s">
        <v>309</v>
      </c>
      <c r="E19" t="s">
        <v>218</v>
      </c>
      <c r="F19" t="n">
        <v>0.747303184015127</v>
      </c>
      <c r="G19" t="n">
        <v>1.24550530669188</v>
      </c>
      <c r="H19" t="n">
        <v>1.49460636803025</v>
      </c>
      <c r="I19" t="n">
        <v>1.83951552988339</v>
      </c>
      <c r="J19" t="n">
        <v>2.29939441235424</v>
      </c>
      <c r="K19" t="n">
        <v>2.75927329482508</v>
      </c>
      <c r="L19" t="n">
        <v>3.47908371956206</v>
      </c>
      <c r="M19" t="n">
        <v>4.05893100615574</v>
      </c>
      <c r="N19" t="n">
        <v>4.62267142367737</v>
      </c>
      <c r="O19" t="n">
        <v>4.95286223965433</v>
      </c>
      <c r="P19" t="n">
        <v>5.72330747693389</v>
      </c>
      <c r="Q19" t="n">
        <v>7.48432516214432</v>
      </c>
      <c r="R19" t="n">
        <v>8.67747844886298</v>
      </c>
      <c r="S19" t="n">
        <v>8.78460781242919</v>
      </c>
      <c r="T19" t="n">
        <v>8.88918647686287</v>
      </c>
      <c r="U19" t="n">
        <v>8.78701191965755</v>
      </c>
      <c r="V19" t="n">
        <v>8.37831369083627</v>
      </c>
      <c r="W19" t="n">
        <v>7.97934637222501</v>
      </c>
      <c r="X19" t="n">
        <v>7.48679412702594</v>
      </c>
      <c r="Y19" t="n">
        <v>7.58661804871962</v>
      </c>
      <c r="Z19" t="n">
        <v>7.78892786335214</v>
      </c>
      <c r="AA19" t="n">
        <v>7.89141375629099</v>
      </c>
      <c r="AB19" t="n">
        <v>8.09638554216867</v>
      </c>
      <c r="AC19" t="n">
        <v>8.4</v>
      </c>
      <c r="AD19" t="n">
        <v>8.7</v>
      </c>
      <c r="AE19" t="n">
        <v>9</v>
      </c>
      <c r="AF19" t="n">
        <v>9.3</v>
      </c>
    </row>
    <row r="20">
      <c r="A20" t="s">
        <v>143</v>
      </c>
      <c r="B20" t="s">
        <v>310</v>
      </c>
      <c r="C20" t="s">
        <v>217</v>
      </c>
      <c r="D20" t="s">
        <v>311</v>
      </c>
      <c r="E20" t="s">
        <v>218</v>
      </c>
      <c r="F20" t="n">
        <v>3.73844197830056</v>
      </c>
      <c r="G20" t="n">
        <v>5.81535418846753</v>
      </c>
      <c r="H20" t="n">
        <v>7.20598236397064</v>
      </c>
      <c r="I20" t="n">
        <v>8.76727854283094</v>
      </c>
      <c r="J20" t="n">
        <v>10.361329186982</v>
      </c>
      <c r="K20" t="n">
        <v>13.4476825618277</v>
      </c>
      <c r="L20" t="n">
        <v>14.4479234135339</v>
      </c>
      <c r="M20" t="n">
        <v>14.4479234135339</v>
      </c>
      <c r="N20" t="n">
        <v>15.3970570684376</v>
      </c>
      <c r="O20" t="n">
        <v>16.437398762251</v>
      </c>
      <c r="P20" t="n">
        <v>18.1019454723523</v>
      </c>
      <c r="Q20" t="n">
        <v>19.2269251344759</v>
      </c>
      <c r="R20" t="n">
        <v>19.1257307916629</v>
      </c>
      <c r="S20" t="n">
        <v>18.7272780668366</v>
      </c>
      <c r="T20" t="n">
        <v>19.5872041005178</v>
      </c>
      <c r="U20" t="n">
        <v>21.9414353625993</v>
      </c>
      <c r="V20" t="n">
        <v>22.5509196782271</v>
      </c>
      <c r="W20" t="n">
        <v>23.5399951027107</v>
      </c>
      <c r="X20" t="n">
        <v>24.4190820567538</v>
      </c>
      <c r="Y20" t="n">
        <v>31.3115648953537</v>
      </c>
      <c r="Z20" t="n">
        <v>33.6896584317097</v>
      </c>
      <c r="AA20" t="n">
        <v>37.4997983733911</v>
      </c>
      <c r="AB20" t="n">
        <v>38.8138074808145</v>
      </c>
      <c r="AC20" t="n">
        <v>40.3182186234818</v>
      </c>
      <c r="AD20" t="n">
        <v>49.3</v>
      </c>
      <c r="AE20" t="n">
        <v>54.4</v>
      </c>
      <c r="AF20" t="n">
        <v>58.3</v>
      </c>
    </row>
    <row r="21">
      <c r="A21" t="s">
        <v>143</v>
      </c>
      <c r="B21" t="s">
        <v>312</v>
      </c>
      <c r="C21" t="s">
        <v>217</v>
      </c>
      <c r="D21" t="s">
        <v>313</v>
      </c>
      <c r="E21" t="s">
        <v>218</v>
      </c>
      <c r="F21" t="n">
        <v>4.67538293915019</v>
      </c>
      <c r="G21" t="n">
        <v>7.39012141994707</v>
      </c>
      <c r="H21" t="n">
        <v>9.03237062437975</v>
      </c>
      <c r="I21" t="n">
        <v>10.9678786153183</v>
      </c>
      <c r="J21" t="n">
        <v>12.917723702486</v>
      </c>
      <c r="K21" t="n">
        <v>16.7930408132317</v>
      </c>
      <c r="L21" t="n">
        <v>19.4132315784168</v>
      </c>
      <c r="M21" t="n">
        <v>19.7578451567319</v>
      </c>
      <c r="N21" t="n">
        <v>20.4314080598023</v>
      </c>
      <c r="O21" t="n">
        <v>20.8731682340683</v>
      </c>
      <c r="P21" t="n">
        <v>24.2968095846298</v>
      </c>
      <c r="Q21" t="n">
        <v>106.190074032824</v>
      </c>
      <c r="R21" t="n">
        <v>140.107500664204</v>
      </c>
      <c r="S21" t="n">
        <v>95.0509035343055</v>
      </c>
      <c r="T21" t="n">
        <v>71.388867167185</v>
      </c>
      <c r="U21" t="n">
        <v>58.5427935423207</v>
      </c>
      <c r="V21" t="n">
        <v>47.2345274392741</v>
      </c>
      <c r="W21" t="n">
        <v>41.1838235111026</v>
      </c>
      <c r="X21" t="n">
        <v>37.6152018017097</v>
      </c>
      <c r="Y21" t="n">
        <v>45.472163013555</v>
      </c>
      <c r="Z21" t="n">
        <v>50.7113470129429</v>
      </c>
      <c r="AA21" t="n">
        <v>53.1118841496502</v>
      </c>
      <c r="AB21" t="n">
        <v>53.2128573134328</v>
      </c>
      <c r="AC21" t="n">
        <v>53.71392</v>
      </c>
      <c r="AD21" t="n">
        <v>62.4</v>
      </c>
      <c r="AE21" t="n">
        <v>67.4</v>
      </c>
      <c r="AF21" t="n">
        <v>72.3</v>
      </c>
    </row>
    <row r="22">
      <c r="A22" t="s">
        <v>143</v>
      </c>
      <c r="B22" t="s">
        <v>314</v>
      </c>
      <c r="C22" t="s">
        <v>217</v>
      </c>
      <c r="D22" t="s">
        <v>315</v>
      </c>
      <c r="E22" t="s">
        <v>218</v>
      </c>
      <c r="F22" t="n">
        <v>0.701483124631876</v>
      </c>
      <c r="G22" t="n">
        <v>1.22759546810578</v>
      </c>
      <c r="H22" t="n">
        <v>1.381044901619</v>
      </c>
      <c r="I22" t="n">
        <v>1.65725388194281</v>
      </c>
      <c r="J22" t="n">
        <v>1.91221601762631</v>
      </c>
      <c r="K22" t="n">
        <v>2.50978352313454</v>
      </c>
      <c r="L22" t="n">
        <v>4.14114281317199</v>
      </c>
      <c r="M22" t="n">
        <v>4.49609791144387</v>
      </c>
      <c r="N22" t="n">
        <v>4.15024422594819</v>
      </c>
      <c r="O22" t="n">
        <v>3.4772316487674</v>
      </c>
      <c r="P22" t="n">
        <v>5.15976309171937</v>
      </c>
      <c r="Q22" t="n">
        <v>86.8377150117025</v>
      </c>
      <c r="R22" t="n">
        <v>121.146603642093</v>
      </c>
      <c r="S22" t="n">
        <v>76.2084617782739</v>
      </c>
      <c r="T22" t="n">
        <v>51.3490170270723</v>
      </c>
      <c r="U22" t="n">
        <v>35.9443119189506</v>
      </c>
      <c r="V22" t="n">
        <v>24.3525148502375</v>
      </c>
      <c r="W22" t="n">
        <v>17.5033700486082</v>
      </c>
      <c r="X22" t="n">
        <v>13.1745796064793</v>
      </c>
      <c r="Y22" t="n">
        <v>14.1504743921444</v>
      </c>
      <c r="Z22" t="n">
        <v>17.0002227072291</v>
      </c>
      <c r="AA22" t="n">
        <v>15.6083916083916</v>
      </c>
      <c r="AB22" t="n">
        <v>14.4</v>
      </c>
      <c r="AC22" t="n">
        <v>13.4</v>
      </c>
      <c r="AD22" t="n">
        <v>13.1</v>
      </c>
      <c r="AE22" t="n">
        <v>13</v>
      </c>
      <c r="AF22" t="n">
        <v>14</v>
      </c>
    </row>
    <row r="23">
      <c r="A23" t="s">
        <v>143</v>
      </c>
      <c r="B23" t="s">
        <v>316</v>
      </c>
      <c r="C23" t="s">
        <v>217</v>
      </c>
      <c r="D23" t="s">
        <v>317</v>
      </c>
      <c r="E23" t="s">
        <v>218</v>
      </c>
      <c r="F23" t="n">
        <v>1.77486100166724</v>
      </c>
      <c r="G23" t="n">
        <v>2.07067116861178</v>
      </c>
      <c r="H23" t="n">
        <v>2.34676065776002</v>
      </c>
      <c r="I23" t="n">
        <v>2.73788743405336</v>
      </c>
      <c r="J23" t="n">
        <v>3.23568514933578</v>
      </c>
      <c r="K23" t="n">
        <v>4.35573000872125</v>
      </c>
      <c r="L23" t="n">
        <v>5.84912315456853</v>
      </c>
      <c r="M23" t="n">
        <v>11.1013970076505</v>
      </c>
      <c r="N23" t="n">
        <v>13.4385332197874</v>
      </c>
      <c r="O23" t="n">
        <v>13.668251736365</v>
      </c>
      <c r="P23" t="n">
        <v>18.1104335506836</v>
      </c>
      <c r="Q23" t="n">
        <v>27.3892359254166</v>
      </c>
      <c r="R23" t="n">
        <v>34.9790241939055</v>
      </c>
      <c r="S23" t="n">
        <v>30.2287863404122</v>
      </c>
      <c r="T23" t="n">
        <v>23.5345222373451</v>
      </c>
      <c r="U23" t="n">
        <v>19.6292303376983</v>
      </c>
      <c r="V23" t="n">
        <v>15.2346265307509</v>
      </c>
      <c r="W23" t="n">
        <v>16.5676563521916</v>
      </c>
      <c r="X23" t="n">
        <v>16.0969842967317</v>
      </c>
      <c r="Y23" t="n">
        <v>12.4653475956398</v>
      </c>
      <c r="Z23" t="n">
        <v>11.1792403040261</v>
      </c>
      <c r="AA23" t="n">
        <v>10.6756709209619</v>
      </c>
      <c r="AB23" t="n">
        <v>10.2689786954014</v>
      </c>
      <c r="AC23" t="n">
        <v>12.8865615001116</v>
      </c>
      <c r="AD23" t="n">
        <v>15.0842696629213</v>
      </c>
      <c r="AE23" t="n">
        <v>17.9</v>
      </c>
      <c r="AF23" t="n">
        <v>20.1</v>
      </c>
    </row>
    <row r="24">
      <c r="A24" t="s">
        <v>143</v>
      </c>
      <c r="B24" t="s">
        <v>318</v>
      </c>
      <c r="C24" t="s">
        <v>217</v>
      </c>
      <c r="D24" t="s">
        <v>319</v>
      </c>
      <c r="E24" t="s">
        <v>218</v>
      </c>
      <c r="F24" t="n">
        <v>30.1676770985095</v>
      </c>
      <c r="G24" t="n">
        <v>35.713205976912</v>
      </c>
      <c r="H24" t="n">
        <v>36.9307016352158</v>
      </c>
      <c r="I24" t="n">
        <v>42.9562371651721</v>
      </c>
      <c r="J24" t="n">
        <v>49.4088908165928</v>
      </c>
      <c r="K24" t="n">
        <v>55.5176264084625</v>
      </c>
      <c r="L24" t="n">
        <v>97.7037175280507</v>
      </c>
      <c r="M24" t="n">
        <v>212.161682646652</v>
      </c>
      <c r="N24" t="n">
        <v>254.6285450804</v>
      </c>
      <c r="O24" t="n">
        <v>299.184305131062</v>
      </c>
      <c r="P24" t="n">
        <v>413.686940428135</v>
      </c>
      <c r="Q24" t="n">
        <v>522.682301978063</v>
      </c>
      <c r="R24" t="n">
        <v>584.825046875548</v>
      </c>
      <c r="S24" t="n">
        <v>555.464116827771</v>
      </c>
      <c r="T24" t="n">
        <v>503.738850915118</v>
      </c>
      <c r="U24" t="n">
        <v>401.195816932397</v>
      </c>
      <c r="V24" t="n">
        <v>432.402151599355</v>
      </c>
      <c r="W24" t="n">
        <v>384.746493865733</v>
      </c>
      <c r="X24" t="n">
        <v>371.582090853844</v>
      </c>
      <c r="Y24" t="n">
        <v>319.12920995495</v>
      </c>
      <c r="Z24" t="n">
        <v>359.78892906046</v>
      </c>
      <c r="AA24" t="n">
        <v>383.130940118073</v>
      </c>
      <c r="AB24" t="n">
        <v>397.6365595083</v>
      </c>
      <c r="AC24" t="n">
        <v>358.345203741874</v>
      </c>
      <c r="AD24" t="n">
        <v>349.746518607443</v>
      </c>
      <c r="AE24" t="n">
        <v>334.2</v>
      </c>
      <c r="AF24" t="n">
        <v>335.3</v>
      </c>
    </row>
    <row r="25">
      <c r="A25" t="s">
        <v>143</v>
      </c>
      <c r="B25" t="s">
        <v>320</v>
      </c>
      <c r="C25" t="s">
        <v>217</v>
      </c>
      <c r="D25" t="s">
        <v>321</v>
      </c>
      <c r="E25" t="s">
        <v>218</v>
      </c>
      <c r="F25" t="e">
        <v>#NUM!</v>
      </c>
      <c r="G25" t="e">
        <v>#NUM!</v>
      </c>
      <c r="H25" t="e">
        <v>#NUM!</v>
      </c>
      <c r="I25" t="e">
        <v>#NUM!</v>
      </c>
      <c r="J25" t="e">
        <v>#NUM!</v>
      </c>
      <c r="K25" t="n">
        <v>0</v>
      </c>
      <c r="L25" t="n">
        <v>4.06947794389619</v>
      </c>
      <c r="M25" t="n">
        <v>9.42405418586486</v>
      </c>
      <c r="N25" t="n">
        <v>20.104648929845</v>
      </c>
      <c r="O25" t="n">
        <v>19.2923398821745</v>
      </c>
      <c r="P25" t="n">
        <v>24.1154248527182</v>
      </c>
      <c r="Q25" t="n">
        <v>31.6267866920894</v>
      </c>
      <c r="R25" t="n">
        <v>38.4597344342075</v>
      </c>
      <c r="S25" t="n">
        <v>38.077050509489</v>
      </c>
      <c r="T25" t="n">
        <v>32.6641364664734</v>
      </c>
      <c r="U25" t="n">
        <v>22.2627075358087</v>
      </c>
      <c r="V25" t="n">
        <v>21.3800451224947</v>
      </c>
      <c r="W25" t="n">
        <v>17.1615608830787</v>
      </c>
      <c r="X25" t="n">
        <v>14.6015490386415</v>
      </c>
      <c r="Y25" t="n">
        <v>12.0706138719437</v>
      </c>
      <c r="Z25" t="n">
        <v>13.1589479095779</v>
      </c>
      <c r="AA25" t="n">
        <v>21.1340678547767</v>
      </c>
      <c r="AB25" t="n">
        <v>25.8640735175124</v>
      </c>
      <c r="AC25" t="n">
        <v>21.0707317073171</v>
      </c>
      <c r="AD25" t="n">
        <v>16.3</v>
      </c>
      <c r="AE25" t="n">
        <v>15</v>
      </c>
      <c r="AF25" t="n">
        <v>14.9</v>
      </c>
    </row>
    <row r="26">
      <c r="A26" t="s">
        <v>143</v>
      </c>
      <c r="B26" t="s">
        <v>322</v>
      </c>
      <c r="C26" t="s">
        <v>217</v>
      </c>
      <c r="D26" t="s">
        <v>323</v>
      </c>
      <c r="E26" t="s">
        <v>218</v>
      </c>
      <c r="F26" t="n">
        <v>11.3126082612228</v>
      </c>
      <c r="G26" t="n">
        <v>13.8013820786918</v>
      </c>
      <c r="H26" t="n">
        <v>14.4287176277232</v>
      </c>
      <c r="I26" t="n">
        <v>16.8335038990104</v>
      </c>
      <c r="J26" t="n">
        <v>19.2923303112254</v>
      </c>
      <c r="K26" t="n">
        <v>21.6809045402343</v>
      </c>
      <c r="L26" t="n">
        <v>40.5582438381969</v>
      </c>
      <c r="M26" t="n">
        <v>88.5071009980209</v>
      </c>
      <c r="N26" t="n">
        <v>119.713788003299</v>
      </c>
      <c r="O26" t="n">
        <v>166.422924941003</v>
      </c>
      <c r="P26" t="n">
        <v>235.010379104766</v>
      </c>
      <c r="Q26" t="n">
        <v>319.291123508122</v>
      </c>
      <c r="R26" t="n">
        <v>363.508307105979</v>
      </c>
      <c r="S26" t="n">
        <v>348.890010573567</v>
      </c>
      <c r="T26" t="n">
        <v>314.523631865231</v>
      </c>
      <c r="U26" t="n">
        <v>236.125130523454</v>
      </c>
      <c r="V26" t="n">
        <v>234.927538990791</v>
      </c>
      <c r="W26" t="n">
        <v>207.67828011862</v>
      </c>
      <c r="X26" t="n">
        <v>202.00558635612</v>
      </c>
      <c r="Y26" t="n">
        <v>170.791895169898</v>
      </c>
      <c r="Z26" t="n">
        <v>205.128906052399</v>
      </c>
      <c r="AA26" t="n">
        <v>203.416980965069</v>
      </c>
      <c r="AB26" t="n">
        <v>202.401926169834</v>
      </c>
      <c r="AC26" t="n">
        <v>184.001751063486</v>
      </c>
      <c r="AD26" t="n">
        <v>178.101694915254</v>
      </c>
      <c r="AE26" t="n">
        <v>177.5</v>
      </c>
      <c r="AF26" t="n">
        <v>184</v>
      </c>
    </row>
    <row r="27">
      <c r="A27" t="s">
        <v>143</v>
      </c>
      <c r="B27" t="s">
        <v>324</v>
      </c>
      <c r="C27" t="s">
        <v>217</v>
      </c>
      <c r="D27" t="s">
        <v>325</v>
      </c>
      <c r="E27" t="s">
        <v>218</v>
      </c>
      <c r="F27" t="n">
        <v>17.583896055499</v>
      </c>
      <c r="G27" t="n">
        <v>20.6869365358812</v>
      </c>
      <c r="H27" t="n">
        <v>21.4460901702255</v>
      </c>
      <c r="I27" t="n">
        <v>24.8992741806855</v>
      </c>
      <c r="J27" t="n">
        <v>28.7033299582902</v>
      </c>
      <c r="K27" t="n">
        <v>32.2490354237261</v>
      </c>
      <c r="L27" t="n">
        <v>51.4612267399884</v>
      </c>
      <c r="M27" t="n">
        <v>110.890643426814</v>
      </c>
      <c r="N27" t="n">
        <v>113.817375951275</v>
      </c>
      <c r="O27" t="n">
        <v>113.337808355975</v>
      </c>
      <c r="P27" t="n">
        <v>154.190286262687</v>
      </c>
      <c r="Q27" t="n">
        <v>173.11221794401</v>
      </c>
      <c r="R27" t="n">
        <v>185.444343888374</v>
      </c>
      <c r="S27" t="n">
        <v>171.528455113717</v>
      </c>
      <c r="T27" t="n">
        <v>158.762864356751</v>
      </c>
      <c r="U27" t="n">
        <v>142.771323573085</v>
      </c>
      <c r="V27" t="n">
        <v>176.094609438501</v>
      </c>
      <c r="W27" t="n">
        <v>159.935568439722</v>
      </c>
      <c r="X27" t="n">
        <v>155.030749443675</v>
      </c>
      <c r="Y27" t="n">
        <v>136.3133833604</v>
      </c>
      <c r="Z27" t="n">
        <v>141.567644682655</v>
      </c>
      <c r="AA27" t="n">
        <v>158.571860710636</v>
      </c>
      <c r="AB27" t="n">
        <v>169.325934437653</v>
      </c>
      <c r="AC27" t="n">
        <v>153.247507428736</v>
      </c>
      <c r="AD27" t="n">
        <v>155.348158640227</v>
      </c>
      <c r="AE27" t="n">
        <v>141.7</v>
      </c>
      <c r="AF27" t="n">
        <v>136.4</v>
      </c>
    </row>
    <row r="28">
      <c r="A28" t="s">
        <v>143</v>
      </c>
      <c r="B28" t="s">
        <v>326</v>
      </c>
      <c r="C28" t="s">
        <v>217</v>
      </c>
      <c r="D28" t="s">
        <v>327</v>
      </c>
      <c r="E28" t="s">
        <v>218</v>
      </c>
      <c r="F28" t="n">
        <v>3.8807875291143</v>
      </c>
      <c r="G28" t="n">
        <v>5.42078258035013</v>
      </c>
      <c r="H28" t="n">
        <v>5.87726953448488</v>
      </c>
      <c r="I28" t="n">
        <v>7.65153958263126</v>
      </c>
      <c r="J28" t="n">
        <v>9.88323862756537</v>
      </c>
      <c r="K28" t="n">
        <v>11.0859607885918</v>
      </c>
      <c r="L28" t="n">
        <v>18.2997917323645</v>
      </c>
      <c r="M28" t="n">
        <v>37.0635218466763</v>
      </c>
      <c r="N28" t="n">
        <v>30.1362333159878</v>
      </c>
      <c r="O28" t="n">
        <v>25.1714502326291</v>
      </c>
      <c r="P28" t="n">
        <v>23.3911511984942</v>
      </c>
      <c r="Q28" t="n">
        <v>23.4886143284879</v>
      </c>
      <c r="R28" t="n">
        <v>24.111781647407</v>
      </c>
      <c r="S28" t="n">
        <v>23.6417664106154</v>
      </c>
      <c r="T28" t="n">
        <v>23.9624880479687</v>
      </c>
      <c r="U28" t="n">
        <v>52.2490340895559</v>
      </c>
      <c r="V28" t="n">
        <v>48.5455584931697</v>
      </c>
      <c r="W28" t="n">
        <v>45.0362410117358</v>
      </c>
      <c r="X28" t="n">
        <v>43.790557749709</v>
      </c>
      <c r="Y28" t="n">
        <v>42.8087066790878</v>
      </c>
      <c r="Z28" t="n">
        <v>47.6755898050165</v>
      </c>
      <c r="AA28" t="n">
        <v>53.9248214496487</v>
      </c>
      <c r="AB28" t="n">
        <v>58.0885082282468</v>
      </c>
      <c r="AC28" t="n">
        <v>63.6351539792079</v>
      </c>
      <c r="AD28" t="n">
        <v>60.5236559139785</v>
      </c>
      <c r="AE28" t="n">
        <v>56.1</v>
      </c>
      <c r="AF28" t="n">
        <v>53.8</v>
      </c>
    </row>
    <row r="29">
      <c r="A29" t="s">
        <v>143</v>
      </c>
      <c r="B29" t="s">
        <v>328</v>
      </c>
      <c r="C29" t="s">
        <v>217</v>
      </c>
      <c r="D29" t="s">
        <v>329</v>
      </c>
      <c r="E29" t="s">
        <v>218</v>
      </c>
      <c r="F29" t="n">
        <v>1.5881911229124</v>
      </c>
      <c r="G29" t="n">
        <v>1.87695314526011</v>
      </c>
      <c r="H29" t="n">
        <v>2.12721356462812</v>
      </c>
      <c r="I29" t="n">
        <v>2.50260419368014</v>
      </c>
      <c r="J29" t="n">
        <v>2.97929070676207</v>
      </c>
      <c r="K29" t="n">
        <v>4.05183536119642</v>
      </c>
      <c r="L29" t="n">
        <v>7.38864095276994</v>
      </c>
      <c r="M29" t="n">
        <v>6.58050834856073</v>
      </c>
      <c r="N29" t="n">
        <v>6.46705130806831</v>
      </c>
      <c r="O29" t="n">
        <v>7.35905838504324</v>
      </c>
      <c r="P29" t="n">
        <v>11.5960920006742</v>
      </c>
      <c r="Q29" t="n">
        <v>15.3155932084376</v>
      </c>
      <c r="R29" t="n">
        <v>13.5898925652334</v>
      </c>
      <c r="S29" t="n">
        <v>13.2713794582357</v>
      </c>
      <c r="T29" t="n">
        <v>12.654105995062</v>
      </c>
      <c r="U29" t="n">
        <v>11.5405446674965</v>
      </c>
      <c r="V29" t="n">
        <v>9.83455110795356</v>
      </c>
      <c r="W29" t="n">
        <v>8.56871779702885</v>
      </c>
      <c r="X29" t="n">
        <v>8.18788589493867</v>
      </c>
      <c r="Y29" t="n">
        <v>8.38283555910388</v>
      </c>
      <c r="Z29" t="n">
        <v>8.18559236947791</v>
      </c>
      <c r="AA29" t="n">
        <v>8.28541666666666</v>
      </c>
      <c r="AB29" t="n">
        <v>9.7</v>
      </c>
      <c r="AC29" t="n">
        <v>10.4</v>
      </c>
      <c r="AD29" t="n">
        <v>10.7</v>
      </c>
      <c r="AE29" t="n">
        <v>10.7</v>
      </c>
      <c r="AF29" t="n">
        <v>10.6</v>
      </c>
    </row>
    <row r="30">
      <c r="A30" t="s">
        <v>143</v>
      </c>
      <c r="B30" t="s">
        <v>330</v>
      </c>
      <c r="C30" t="s">
        <v>217</v>
      </c>
      <c r="D30" t="s">
        <v>331</v>
      </c>
      <c r="E30" t="s">
        <v>218</v>
      </c>
      <c r="F30" t="n">
        <v>0.822250367173904</v>
      </c>
      <c r="G30" t="n">
        <v>1.25501371831806</v>
      </c>
      <c r="H30" t="n">
        <v>1.29549803181219</v>
      </c>
      <c r="I30" t="n">
        <v>1.76658822519845</v>
      </c>
      <c r="J30" t="n">
        <v>2.33039297792136</v>
      </c>
      <c r="K30" t="n">
        <v>2.29398058764133</v>
      </c>
      <c r="L30" t="n">
        <v>3.57259271845782</v>
      </c>
      <c r="M30" t="n">
        <v>3.24111504354936</v>
      </c>
      <c r="N30" t="n">
        <v>3.1682809976269</v>
      </c>
      <c r="O30" t="n">
        <v>3.2402873839366</v>
      </c>
      <c r="P30" t="n">
        <v>3.20428419078175</v>
      </c>
      <c r="Q30" t="n">
        <v>3.41790313683387</v>
      </c>
      <c r="R30" t="n">
        <v>3.55884759608475</v>
      </c>
      <c r="S30" t="n">
        <v>3.6984102469116</v>
      </c>
      <c r="T30" t="n">
        <v>3.96738553759609</v>
      </c>
      <c r="U30" t="n">
        <v>13.2690709576743</v>
      </c>
      <c r="V30" t="n">
        <v>13.4716521936693</v>
      </c>
      <c r="W30" t="n">
        <v>13.3733189659783</v>
      </c>
      <c r="X30" t="n">
        <v>13.7609513997748</v>
      </c>
      <c r="Y30" t="n">
        <v>13.7609513997748</v>
      </c>
      <c r="Z30" t="n">
        <v>14.0622861019596</v>
      </c>
      <c r="AA30" t="n">
        <v>14.7755904694503</v>
      </c>
      <c r="AB30" t="n">
        <v>15.3912400723441</v>
      </c>
      <c r="AC30" t="n">
        <v>15.8975308641975</v>
      </c>
      <c r="AD30" t="n">
        <v>16.1993827160494</v>
      </c>
      <c r="AE30" t="n">
        <v>16.3</v>
      </c>
      <c r="AF30" t="n">
        <v>16.5</v>
      </c>
    </row>
    <row r="31">
      <c r="A31" t="s">
        <v>143</v>
      </c>
      <c r="B31" t="s">
        <v>332</v>
      </c>
      <c r="C31" t="s">
        <v>217</v>
      </c>
      <c r="D31" t="s">
        <v>333</v>
      </c>
      <c r="E31" t="s">
        <v>218</v>
      </c>
      <c r="F31" t="n">
        <v>0.730208646329405</v>
      </c>
      <c r="G31" t="n">
        <v>0.912760807911757</v>
      </c>
      <c r="H31" t="n">
        <v>1.27786513107646</v>
      </c>
      <c r="I31" t="n">
        <v>1.44824714855332</v>
      </c>
      <c r="J31" t="n">
        <v>1.77007984823184</v>
      </c>
      <c r="K31" t="n">
        <v>2.89649429710664</v>
      </c>
      <c r="L31" t="n">
        <v>5.63207224437402</v>
      </c>
      <c r="M31" t="n">
        <v>33.4066750933418</v>
      </c>
      <c r="N31" t="n">
        <v>22.6230305372518</v>
      </c>
      <c r="O31" t="n">
        <v>14.0469797453524</v>
      </c>
      <c r="P31" t="n">
        <v>9.48722715785582</v>
      </c>
      <c r="Q31" t="n">
        <v>7.2421581357678</v>
      </c>
      <c r="R31" t="n">
        <v>8.29684135942331</v>
      </c>
      <c r="S31" t="n">
        <v>7.75278618831358</v>
      </c>
      <c r="T31" t="n">
        <v>7.48075860275872</v>
      </c>
      <c r="U31" t="n">
        <v>8.99003446121004</v>
      </c>
      <c r="V31" t="n">
        <v>7.03567914355569</v>
      </c>
      <c r="W31" t="n">
        <v>5.89475820135747</v>
      </c>
      <c r="X31" t="n">
        <v>4.86551470588235</v>
      </c>
      <c r="Y31" t="n">
        <v>3.37607142857143</v>
      </c>
      <c r="Z31" t="n">
        <v>6.95073529411765</v>
      </c>
      <c r="AA31" t="n">
        <v>9.67058823529412</v>
      </c>
      <c r="AB31" t="n">
        <v>10.3757352941176</v>
      </c>
      <c r="AC31" t="n">
        <v>13.7</v>
      </c>
      <c r="AD31" t="n">
        <v>10.7</v>
      </c>
      <c r="AE31" t="n">
        <v>7</v>
      </c>
      <c r="AF31" t="n">
        <v>4.9</v>
      </c>
    </row>
    <row r="32">
      <c r="A32" t="s">
        <v>143</v>
      </c>
      <c r="B32" t="s">
        <v>334</v>
      </c>
      <c r="C32" t="s">
        <v>217</v>
      </c>
      <c r="D32" t="s">
        <v>335</v>
      </c>
      <c r="E32" t="s">
        <v>218</v>
      </c>
      <c r="F32" t="n">
        <v>1.09611862055931</v>
      </c>
      <c r="G32" t="n">
        <v>1.55283471245902</v>
      </c>
      <c r="H32" t="n">
        <v>1.55283471245902</v>
      </c>
      <c r="I32" t="n">
        <v>2.12493171178603</v>
      </c>
      <c r="J32" t="n">
        <v>2.83324228238137</v>
      </c>
      <c r="K32" t="n">
        <v>2.75561920615174</v>
      </c>
      <c r="L32" t="n">
        <v>4.29089276386485</v>
      </c>
      <c r="M32" t="n">
        <v>3.86946579598527</v>
      </c>
      <c r="N32" t="n">
        <v>3.86946579598527</v>
      </c>
      <c r="O32" t="n">
        <v>4.12991060917659</v>
      </c>
      <c r="P32" t="n">
        <v>4.01829140352317</v>
      </c>
      <c r="Q32" t="n">
        <v>4.23747093462443</v>
      </c>
      <c r="R32" t="n">
        <v>4.49099483669598</v>
      </c>
      <c r="S32" t="n">
        <v>4.56228046902448</v>
      </c>
      <c r="T32" t="n">
        <v>5.04252051839548</v>
      </c>
      <c r="U32" t="n">
        <v>16.3797310798887</v>
      </c>
      <c r="V32" t="n">
        <v>16.6775443722503</v>
      </c>
      <c r="W32" t="n">
        <v>15.9988071012866</v>
      </c>
      <c r="X32" t="n">
        <v>16.0946083414141</v>
      </c>
      <c r="Y32" t="n">
        <v>16.5823237456994</v>
      </c>
      <c r="Z32" t="n">
        <v>17.6680711338106</v>
      </c>
      <c r="AA32" t="n">
        <v>20.3785138645657</v>
      </c>
      <c r="AB32" t="n">
        <v>21.797912840207</v>
      </c>
      <c r="AC32" t="n">
        <v>22.8070754716981</v>
      </c>
      <c r="AD32" t="n">
        <v>22.0033018867925</v>
      </c>
      <c r="AE32" t="n">
        <v>21.3</v>
      </c>
      <c r="AF32" t="n">
        <v>21</v>
      </c>
    </row>
    <row r="33">
      <c r="A33" t="s">
        <v>143</v>
      </c>
      <c r="B33" t="s">
        <v>336</v>
      </c>
      <c r="C33" t="s">
        <v>217</v>
      </c>
      <c r="D33" t="s">
        <v>337</v>
      </c>
      <c r="E33" t="s">
        <v>218</v>
      </c>
      <c r="F33" t="n">
        <v>0.0870827575757575</v>
      </c>
      <c r="G33" t="n">
        <v>0.174165515151515</v>
      </c>
      <c r="H33" t="n">
        <v>0.261248272727273</v>
      </c>
      <c r="I33" t="n">
        <v>0.34833103030303</v>
      </c>
      <c r="J33" t="n">
        <v>0.435413787878788</v>
      </c>
      <c r="K33" t="n">
        <v>0.69666206060606</v>
      </c>
      <c r="L33" t="n">
        <v>0.783744818181818</v>
      </c>
      <c r="M33" t="n">
        <v>3.4833103030303</v>
      </c>
      <c r="N33" t="n">
        <v>4.24793939393939</v>
      </c>
      <c r="O33" t="n">
        <v>4.16464646464646</v>
      </c>
      <c r="P33" t="n">
        <v>3.51136858783918</v>
      </c>
      <c r="Q33" t="n">
        <v>2.44979203802733</v>
      </c>
      <c r="R33" t="n">
        <v>2.68686868686869</v>
      </c>
      <c r="S33" t="n">
        <v>2.3030303030303</v>
      </c>
      <c r="T33" t="n">
        <v>1.91919191919192</v>
      </c>
      <c r="U33" t="n">
        <v>2.07272727272727</v>
      </c>
      <c r="V33" t="n">
        <v>1.52727272727273</v>
      </c>
      <c r="W33" t="n">
        <v>1.2</v>
      </c>
      <c r="X33" t="n">
        <v>0.9</v>
      </c>
      <c r="Y33" t="n">
        <v>0.7</v>
      </c>
      <c r="Z33" t="n">
        <v>0.8</v>
      </c>
      <c r="AA33" t="n">
        <v>0.8</v>
      </c>
      <c r="AB33" t="n">
        <v>0.8</v>
      </c>
      <c r="AC33" t="n">
        <v>0.8</v>
      </c>
      <c r="AD33" t="n">
        <v>0.9</v>
      </c>
      <c r="AE33" t="n">
        <v>0.8</v>
      </c>
      <c r="AF33" t="n">
        <v>0.8</v>
      </c>
    </row>
    <row r="34">
      <c r="A34" t="s">
        <v>143</v>
      </c>
      <c r="B34" t="s">
        <v>338</v>
      </c>
      <c r="C34" t="s">
        <v>217</v>
      </c>
      <c r="D34" t="s">
        <v>339</v>
      </c>
      <c r="E34" t="s">
        <v>218</v>
      </c>
      <c r="F34" t="n">
        <v>12.8528599435553</v>
      </c>
      <c r="G34" t="n">
        <v>22.7067192336145</v>
      </c>
      <c r="H34" t="n">
        <v>40.6330765233101</v>
      </c>
      <c r="I34" t="n">
        <v>49.0663565564499</v>
      </c>
      <c r="J34" t="n">
        <v>58.8796278677399</v>
      </c>
      <c r="K34" t="n">
        <v>109.955931560237</v>
      </c>
      <c r="L34" t="n">
        <v>102.90747440894</v>
      </c>
      <c r="M34" t="n">
        <v>177.810619716431</v>
      </c>
      <c r="N34" t="n">
        <v>221.356077606169</v>
      </c>
      <c r="O34" t="n">
        <v>248.138226937527</v>
      </c>
      <c r="P34" t="n">
        <v>337.327833538949</v>
      </c>
      <c r="Q34" t="n">
        <v>202.396700123369</v>
      </c>
      <c r="R34" t="n">
        <v>121.252901140982</v>
      </c>
      <c r="S34" t="n">
        <v>164.190337455245</v>
      </c>
      <c r="T34" t="n">
        <v>156.288128700714</v>
      </c>
      <c r="U34" t="n">
        <v>101.127612688698</v>
      </c>
      <c r="V34" t="n">
        <v>130.635669803599</v>
      </c>
      <c r="W34" t="n">
        <v>123.410677602205</v>
      </c>
      <c r="X34" t="n">
        <v>121.480878108816</v>
      </c>
      <c r="Y34" t="n">
        <v>88.3408161227144</v>
      </c>
      <c r="Z34" t="n">
        <v>129.136406489496</v>
      </c>
      <c r="AA34" t="n">
        <v>139.822166901585</v>
      </c>
      <c r="AB34" t="n">
        <v>146.726965267096</v>
      </c>
      <c r="AC34" t="n">
        <v>117.462025655907</v>
      </c>
      <c r="AD34" t="n">
        <v>107.056531049251</v>
      </c>
      <c r="AE34" t="n">
        <v>93.8</v>
      </c>
      <c r="AF34" t="n">
        <v>89.6</v>
      </c>
    </row>
    <row r="35">
      <c r="A35" t="s">
        <v>143</v>
      </c>
      <c r="B35" t="s">
        <v>340</v>
      </c>
      <c r="C35" t="s">
        <v>217</v>
      </c>
      <c r="D35" t="s">
        <v>341</v>
      </c>
      <c r="E35" t="s">
        <v>218</v>
      </c>
      <c r="F35" t="n">
        <v>27.4818537092715</v>
      </c>
      <c r="G35" t="n">
        <v>42.8929484688906</v>
      </c>
      <c r="H35" t="n">
        <v>51.3734170387203</v>
      </c>
      <c r="I35" t="n">
        <v>67.4654834505868</v>
      </c>
      <c r="J35" t="n">
        <v>86.8513787903368</v>
      </c>
      <c r="K35" t="n">
        <v>102.619784737862</v>
      </c>
      <c r="L35" t="n">
        <v>121.455460389563</v>
      </c>
      <c r="M35" t="n">
        <v>150.869497214482</v>
      </c>
      <c r="N35" t="n">
        <v>175.114237419196</v>
      </c>
      <c r="O35" t="n">
        <v>187.20124707271</v>
      </c>
      <c r="P35" t="n">
        <v>224.828756253001</v>
      </c>
      <c r="Q35" t="n">
        <v>259.346989045171</v>
      </c>
      <c r="R35" t="n">
        <v>287.65479765337</v>
      </c>
      <c r="S35" t="n">
        <v>288.539889338457</v>
      </c>
      <c r="T35" t="n">
        <v>287.351148221332</v>
      </c>
      <c r="U35" t="n">
        <v>485.549896377677</v>
      </c>
      <c r="V35" t="n">
        <v>411.945755606489</v>
      </c>
      <c r="W35" t="n">
        <v>357.995890513029</v>
      </c>
      <c r="X35" t="n">
        <v>321.253956522593</v>
      </c>
      <c r="Y35" t="n">
        <v>304.75925459845</v>
      </c>
      <c r="Z35" t="n">
        <v>308.724892264013</v>
      </c>
      <c r="AA35" t="n">
        <v>339.958933088381</v>
      </c>
      <c r="AB35" t="n">
        <v>357.164356912443</v>
      </c>
      <c r="AC35" t="n">
        <v>356.662016044774</v>
      </c>
      <c r="AD35" t="n">
        <v>354.862207721588</v>
      </c>
      <c r="AE35" t="n">
        <v>368.8</v>
      </c>
      <c r="AF35" t="n">
        <v>382.2</v>
      </c>
    </row>
    <row r="36">
      <c r="A36" t="s">
        <v>143</v>
      </c>
      <c r="B36" t="s">
        <v>342</v>
      </c>
      <c r="C36" t="s">
        <v>217</v>
      </c>
      <c r="D36" t="s">
        <v>343</v>
      </c>
      <c r="E36" t="s">
        <v>218</v>
      </c>
      <c r="F36" t="n">
        <v>8.38920481364719</v>
      </c>
      <c r="G36" t="n">
        <v>13.0799429890198</v>
      </c>
      <c r="H36" t="n">
        <v>16.1624773240117</v>
      </c>
      <c r="I36" t="n">
        <v>20.8031886348666</v>
      </c>
      <c r="J36" t="n">
        <v>26.289743879227</v>
      </c>
      <c r="K36" t="n">
        <v>34.8301973993149</v>
      </c>
      <c r="L36" t="n">
        <v>38.5593405898197</v>
      </c>
      <c r="M36" t="n">
        <v>46.7495764669806</v>
      </c>
      <c r="N36" t="n">
        <v>54.5529959075996</v>
      </c>
      <c r="O36" t="n">
        <v>61.3721203960495</v>
      </c>
      <c r="P36" t="n">
        <v>95.2991802104948</v>
      </c>
      <c r="Q36" t="n">
        <v>129.984280700212</v>
      </c>
      <c r="R36" t="n">
        <v>159.769556143875</v>
      </c>
      <c r="S36" t="n">
        <v>161.806092426959</v>
      </c>
      <c r="T36" t="n">
        <v>164.294435331002</v>
      </c>
      <c r="U36" t="n">
        <v>185.198946340737</v>
      </c>
      <c r="V36" t="n">
        <v>132.313257920441</v>
      </c>
      <c r="W36" t="n">
        <v>98.1492219584889</v>
      </c>
      <c r="X36" t="n">
        <v>77.6617630059888</v>
      </c>
      <c r="Y36" t="n">
        <v>64.718135838324</v>
      </c>
      <c r="Z36" t="n">
        <v>59.4653621791645</v>
      </c>
      <c r="AA36" t="n">
        <v>58.2579436577601</v>
      </c>
      <c r="AB36" t="n">
        <v>58.6639223592079</v>
      </c>
      <c r="AC36" t="n">
        <v>58.8648262029038</v>
      </c>
      <c r="AD36" t="n">
        <v>60.0641095890411</v>
      </c>
      <c r="AE36" t="n">
        <v>73.2</v>
      </c>
      <c r="AF36" t="n">
        <v>84</v>
      </c>
    </row>
    <row r="37">
      <c r="A37" t="s">
        <v>143</v>
      </c>
      <c r="B37" t="s">
        <v>344</v>
      </c>
      <c r="C37" t="s">
        <v>217</v>
      </c>
      <c r="D37" t="s">
        <v>345</v>
      </c>
      <c r="E37" t="s">
        <v>218</v>
      </c>
      <c r="F37" t="n">
        <v>8.599808837308</v>
      </c>
      <c r="G37" t="n">
        <v>13.2521644378189</v>
      </c>
      <c r="H37" t="n">
        <v>14.1661068128409</v>
      </c>
      <c r="I37" t="n">
        <v>19.11797600848</v>
      </c>
      <c r="J37" t="n">
        <v>24.9312790580804</v>
      </c>
      <c r="K37" t="n">
        <v>26.3325687475276</v>
      </c>
      <c r="L37" t="n">
        <v>38.0490824823826</v>
      </c>
      <c r="M37" t="n">
        <v>52.3246837768317</v>
      </c>
      <c r="N37" t="n">
        <v>56.4407418756557</v>
      </c>
      <c r="O37" t="n">
        <v>56.4961846476358</v>
      </c>
      <c r="P37" t="n">
        <v>78.0132862224189</v>
      </c>
      <c r="Q37" t="n">
        <v>85.9771425242908</v>
      </c>
      <c r="R37" t="n">
        <v>88.2020593363797</v>
      </c>
      <c r="S37" t="n">
        <v>90.9939181899345</v>
      </c>
      <c r="T37" t="n">
        <v>85.6923117519775</v>
      </c>
      <c r="U37" t="n">
        <v>175.216393541645</v>
      </c>
      <c r="V37" t="n">
        <v>158.41212921432</v>
      </c>
      <c r="W37" t="n">
        <v>145.402437443095</v>
      </c>
      <c r="X37" t="n">
        <v>131.78868517274</v>
      </c>
      <c r="Y37" t="n">
        <v>127.264595980243</v>
      </c>
      <c r="Z37" t="n">
        <v>129.445142017288</v>
      </c>
      <c r="AA37" t="n">
        <v>137.874128009112</v>
      </c>
      <c r="AB37" t="n">
        <v>139.895742789304</v>
      </c>
      <c r="AC37" t="n">
        <v>141.000447147295</v>
      </c>
      <c r="AD37" t="n">
        <v>137.800436999272</v>
      </c>
      <c r="AE37" t="n">
        <v>137.6</v>
      </c>
      <c r="AF37" t="n">
        <v>138.7</v>
      </c>
    </row>
    <row r="38">
      <c r="A38" t="s">
        <v>143</v>
      </c>
      <c r="B38" t="s">
        <v>346</v>
      </c>
      <c r="C38" t="s">
        <v>217</v>
      </c>
      <c r="D38" t="s">
        <v>347</v>
      </c>
      <c r="E38" t="s">
        <v>218</v>
      </c>
      <c r="F38" t="n">
        <v>9.86699700189692</v>
      </c>
      <c r="G38" t="n">
        <v>15.5724034315652</v>
      </c>
      <c r="H38" t="n">
        <v>19.8980710514444</v>
      </c>
      <c r="I38" t="n">
        <v>25.9565882074066</v>
      </c>
      <c r="J38" t="n">
        <v>33.4777782544329</v>
      </c>
      <c r="K38" t="n">
        <v>39.7100499887837</v>
      </c>
      <c r="L38" t="n">
        <v>42.5346142139273</v>
      </c>
      <c r="M38" t="n">
        <v>48.9498475364335</v>
      </c>
      <c r="N38" t="n">
        <v>60.6196601637817</v>
      </c>
      <c r="O38" t="n">
        <v>66.1211019252208</v>
      </c>
      <c r="P38" t="n">
        <v>53.8230915282342</v>
      </c>
      <c r="Q38" t="n">
        <v>50.8891260125973</v>
      </c>
      <c r="R38" t="n">
        <v>51.5841970020377</v>
      </c>
      <c r="S38" t="n">
        <v>48.2326813776115</v>
      </c>
      <c r="T38" t="n">
        <v>50.2680153317207</v>
      </c>
      <c r="U38" t="n">
        <v>125.067193126984</v>
      </c>
      <c r="V38" t="n">
        <v>121.180642902321</v>
      </c>
      <c r="W38" t="n">
        <v>114.389093660397</v>
      </c>
      <c r="X38" t="n">
        <v>111.80023739147</v>
      </c>
      <c r="Y38" t="n">
        <v>112.780941228237</v>
      </c>
      <c r="Z38" t="n">
        <v>119.823550574943</v>
      </c>
      <c r="AA38" t="n">
        <v>143.828436230778</v>
      </c>
      <c r="AB38" t="n">
        <v>158.606023626762</v>
      </c>
      <c r="AC38" t="n">
        <v>156.796829440906</v>
      </c>
      <c r="AD38" t="n">
        <v>156.996825396825</v>
      </c>
      <c r="AE38" t="n">
        <v>158</v>
      </c>
      <c r="AF38" t="n">
        <v>159.5</v>
      </c>
    </row>
    <row r="39">
      <c r="A39" t="s">
        <v>143</v>
      </c>
      <c r="B39" t="s">
        <v>348</v>
      </c>
      <c r="C39" t="s">
        <v>217</v>
      </c>
      <c r="D39" t="s">
        <v>349</v>
      </c>
      <c r="E39" t="s">
        <v>218</v>
      </c>
      <c r="F39" t="n">
        <v>40.8750426427305</v>
      </c>
      <c r="G39" t="n">
        <v>63.0156907408761</v>
      </c>
      <c r="H39" t="n">
        <v>76.5302777825603</v>
      </c>
      <c r="I39" t="n">
        <v>93.8892165300838</v>
      </c>
      <c r="J39" t="n">
        <v>111.169440431326</v>
      </c>
      <c r="K39" t="n">
        <v>139.803993269698</v>
      </c>
      <c r="L39" t="n">
        <v>164.809585561839</v>
      </c>
      <c r="M39" t="n">
        <v>266.485909931926</v>
      </c>
      <c r="N39" t="n">
        <v>239.810237037318</v>
      </c>
      <c r="O39" t="n">
        <v>321.752085032789</v>
      </c>
      <c r="P39" t="n">
        <v>330.24718958811</v>
      </c>
      <c r="Q39" t="n">
        <v>364.473757496372</v>
      </c>
      <c r="R39" t="n">
        <v>433.497991216924</v>
      </c>
      <c r="S39" t="n">
        <v>504.438632678489</v>
      </c>
      <c r="T39" t="n">
        <v>519.07965640745</v>
      </c>
      <c r="U39" t="n">
        <v>498.311640379983</v>
      </c>
      <c r="V39" t="n">
        <v>495.332342240778</v>
      </c>
      <c r="W39" t="n">
        <v>501.883119485602</v>
      </c>
      <c r="X39" t="n">
        <v>512.608698310276</v>
      </c>
      <c r="Y39" t="n">
        <v>525.772662582713</v>
      </c>
      <c r="Z39" t="n">
        <v>517.171267012067</v>
      </c>
      <c r="AA39" t="n">
        <v>561.820586618606</v>
      </c>
      <c r="AB39" t="n">
        <v>571.708951828488</v>
      </c>
      <c r="AC39" t="n">
        <v>642.006789967722</v>
      </c>
      <c r="AD39" t="n">
        <v>733.051028084253</v>
      </c>
      <c r="AE39" t="n">
        <v>798.2</v>
      </c>
      <c r="AF39" t="n">
        <v>859.7</v>
      </c>
    </row>
    <row r="40">
      <c r="A40" t="s">
        <v>143</v>
      </c>
      <c r="B40" t="s">
        <v>350</v>
      </c>
      <c r="C40" t="s">
        <v>217</v>
      </c>
      <c r="D40" t="s">
        <v>351</v>
      </c>
      <c r="E40" t="s">
        <v>218</v>
      </c>
      <c r="F40" t="n">
        <v>3.23705735840869</v>
      </c>
      <c r="G40" t="n">
        <v>3.69949412389564</v>
      </c>
      <c r="H40" t="n">
        <v>4.93265883186086</v>
      </c>
      <c r="I40" t="n">
        <v>5.754768637171</v>
      </c>
      <c r="J40" t="n">
        <v>6.52207112212714</v>
      </c>
      <c r="K40" t="n">
        <v>10.5077812523159</v>
      </c>
      <c r="L40" t="n">
        <v>62.3220129447704</v>
      </c>
      <c r="M40" t="n">
        <v>223.523644192975</v>
      </c>
      <c r="N40" t="n">
        <v>257.256633179415</v>
      </c>
      <c r="O40" t="n">
        <v>277.250672027556</v>
      </c>
      <c r="P40" t="n">
        <v>171.020580610118</v>
      </c>
      <c r="Q40" t="n">
        <v>107.97896771981</v>
      </c>
      <c r="R40" t="n">
        <v>87.5935578848014</v>
      </c>
      <c r="S40" t="n">
        <v>61.315490519361</v>
      </c>
      <c r="T40" t="n">
        <v>43.3174112126829</v>
      </c>
      <c r="U40" t="n">
        <v>40.6471598365586</v>
      </c>
      <c r="V40" t="n">
        <v>30.7026052922224</v>
      </c>
      <c r="W40" t="n">
        <v>21.3134293618792</v>
      </c>
      <c r="X40" t="n">
        <v>15.9152682134556</v>
      </c>
      <c r="Y40" t="n">
        <v>11.9364511600917</v>
      </c>
      <c r="Z40" t="n">
        <v>26.1418145241678</v>
      </c>
      <c r="AA40" t="n">
        <v>34.9559129077953</v>
      </c>
      <c r="AB40" t="n">
        <v>40.2094027089668</v>
      </c>
      <c r="AC40" t="n">
        <v>35.9083969465649</v>
      </c>
      <c r="AD40" t="n">
        <v>39.2</v>
      </c>
      <c r="AE40" t="n">
        <v>48.2</v>
      </c>
      <c r="AF40" t="n">
        <v>55.5</v>
      </c>
    </row>
    <row r="41">
      <c r="A41" t="s">
        <v>143</v>
      </c>
      <c r="B41" t="s">
        <v>352</v>
      </c>
      <c r="C41" t="s">
        <v>217</v>
      </c>
      <c r="D41" t="s">
        <v>353</v>
      </c>
      <c r="E41" t="s">
        <v>218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143</v>
      </c>
      <c r="B42" t="s">
        <v>354</v>
      </c>
      <c r="C42" t="s">
        <v>217</v>
      </c>
      <c r="D42" t="s">
        <v>355</v>
      </c>
      <c r="E42" t="s">
        <v>218</v>
      </c>
      <c r="F42" t="n">
        <v>24.5728020761715</v>
      </c>
      <c r="G42" t="n">
        <v>37.482016070105</v>
      </c>
      <c r="H42" t="n">
        <v>53.0820730378302</v>
      </c>
      <c r="I42" t="n">
        <v>66.6285378017377</v>
      </c>
      <c r="J42" t="n">
        <v>83.4771335676944</v>
      </c>
      <c r="K42" t="n">
        <v>127.643446965367</v>
      </c>
      <c r="L42" t="n">
        <v>130.067646834688</v>
      </c>
      <c r="M42" t="n">
        <v>123.051549702526</v>
      </c>
      <c r="N42" t="n">
        <v>164.421568921511</v>
      </c>
      <c r="O42" t="n">
        <v>189.850259748931</v>
      </c>
      <c r="P42" t="n">
        <v>172.731210177341</v>
      </c>
      <c r="Q42" t="n">
        <v>166.15899827791</v>
      </c>
      <c r="R42" t="n">
        <v>205.03487613151</v>
      </c>
      <c r="S42" t="n">
        <v>208.721080456687</v>
      </c>
      <c r="T42" t="n">
        <v>199.262905535838</v>
      </c>
      <c r="U42" t="n">
        <v>248.530345623119</v>
      </c>
      <c r="V42" t="n">
        <v>243.498568081722</v>
      </c>
      <c r="W42" t="n">
        <v>228.400118165123</v>
      </c>
      <c r="X42" t="n">
        <v>204.172984166742</v>
      </c>
      <c r="Y42" t="n">
        <v>163.887292139603</v>
      </c>
      <c r="Z42" t="n">
        <v>192.126638124964</v>
      </c>
      <c r="AA42" t="n">
        <v>203.575899361893</v>
      </c>
      <c r="AB42" t="n">
        <v>207.726377668128</v>
      </c>
      <c r="AC42" t="n">
        <v>194.467247178673</v>
      </c>
      <c r="AD42" t="n">
        <v>198.566556759303</v>
      </c>
      <c r="AE42" t="n">
        <v>212.8</v>
      </c>
      <c r="AF42" t="n">
        <v>227.7</v>
      </c>
    </row>
    <row r="43">
      <c r="A43" t="s">
        <v>143</v>
      </c>
      <c r="B43" t="s">
        <v>356</v>
      </c>
      <c r="C43" t="s">
        <v>217</v>
      </c>
      <c r="D43" t="s">
        <v>357</v>
      </c>
      <c r="E43" t="s">
        <v>218</v>
      </c>
      <c r="F43" t="n">
        <v>29.0949233017193</v>
      </c>
      <c r="G43" t="n">
        <v>43.7003429671241</v>
      </c>
      <c r="H43" t="n">
        <v>60.4092976310246</v>
      </c>
      <c r="I43" t="n">
        <v>76.0253065424459</v>
      </c>
      <c r="J43" t="n">
        <v>95.4485461494191</v>
      </c>
      <c r="K43" t="n">
        <v>142.837744087195</v>
      </c>
      <c r="L43" t="n">
        <v>148.578041907176</v>
      </c>
      <c r="M43" t="n">
        <v>182.190476496494</v>
      </c>
      <c r="N43" t="n">
        <v>212.600809384135</v>
      </c>
      <c r="O43" t="n">
        <v>232.920335823603</v>
      </c>
      <c r="P43" t="n">
        <v>215.975886214122</v>
      </c>
      <c r="Q43" t="n">
        <v>211.049665520162</v>
      </c>
      <c r="R43" t="n">
        <v>253.157312841228</v>
      </c>
      <c r="S43" t="n">
        <v>274.595709165196</v>
      </c>
      <c r="T43" t="n">
        <v>265.333227035146</v>
      </c>
      <c r="U43" t="n">
        <v>329.624893091037</v>
      </c>
      <c r="V43" t="n">
        <v>321.915525276614</v>
      </c>
      <c r="W43" t="n">
        <v>298.894037981249</v>
      </c>
      <c r="X43" t="n">
        <v>258.736991171925</v>
      </c>
      <c r="Y43" t="n">
        <v>211.560155404792</v>
      </c>
      <c r="Z43" t="n">
        <v>240.693029263813</v>
      </c>
      <c r="AA43" t="n">
        <v>250.429152632699</v>
      </c>
      <c r="AB43" t="n">
        <v>251.845149456955</v>
      </c>
      <c r="AC43" t="n">
        <v>235.878889981813</v>
      </c>
      <c r="AD43" t="n">
        <v>242.575451688924</v>
      </c>
      <c r="AE43" t="n">
        <v>255.1</v>
      </c>
      <c r="AF43" t="n">
        <v>269.7</v>
      </c>
    </row>
    <row r="44">
      <c r="A44" t="s">
        <v>143</v>
      </c>
      <c r="B44" t="s">
        <v>358</v>
      </c>
      <c r="C44" t="s">
        <v>217</v>
      </c>
      <c r="D44" t="s">
        <v>359</v>
      </c>
      <c r="E44" t="s">
        <v>218</v>
      </c>
      <c r="F44" t="n">
        <v>168.89203668748</v>
      </c>
      <c r="G44" t="n">
        <v>255.71153779532</v>
      </c>
      <c r="H44" t="n">
        <v>322.203451859267</v>
      </c>
      <c r="I44" t="n">
        <v>403.390315458547</v>
      </c>
      <c r="J44" t="n">
        <v>496.910234384771</v>
      </c>
      <c r="K44" t="n">
        <v>662.512692956388</v>
      </c>
      <c r="L44" t="n">
        <v>753.198447868633</v>
      </c>
      <c r="M44" t="n">
        <v>1056.04114470991</v>
      </c>
      <c r="N44" t="n">
        <v>1147.95620063779</v>
      </c>
      <c r="O44" t="n">
        <v>1283.90092132183</v>
      </c>
      <c r="P44" t="n">
        <v>1434.64968761688</v>
      </c>
      <c r="Q44" t="n">
        <v>1616.86479398634</v>
      </c>
      <c r="R44" t="n">
        <v>1812.54223365298</v>
      </c>
      <c r="S44" t="n">
        <v>1836.70946343501</v>
      </c>
      <c r="T44" t="n">
        <v>1774.46763394382</v>
      </c>
      <c r="U44" t="n">
        <v>2156.80477982437</v>
      </c>
      <c r="V44" t="n">
        <v>2098.54467626277</v>
      </c>
      <c r="W44" t="n">
        <v>1950.53962847625</v>
      </c>
      <c r="X44" t="n">
        <v>1862.40855650021</v>
      </c>
      <c r="Y44" t="n">
        <v>1725.90258631938</v>
      </c>
      <c r="Z44" t="n">
        <v>1839.72775402005</v>
      </c>
      <c r="AA44" t="n">
        <v>1973.07337444023</v>
      </c>
      <c r="AB44" t="n">
        <v>2031.46509301499</v>
      </c>
      <c r="AC44" t="n">
        <v>2038.29354710915</v>
      </c>
      <c r="AD44" t="n">
        <v>2138.85869219948</v>
      </c>
      <c r="AE44" t="n">
        <v>2208.2</v>
      </c>
      <c r="AF44" t="n">
        <v>2304.9</v>
      </c>
    </row>
    <row r="45">
      <c r="A45" t="s">
        <v>143</v>
      </c>
      <c r="B45" t="s">
        <v>360</v>
      </c>
      <c r="C45" t="s">
        <v>217</v>
      </c>
      <c r="D45" t="s">
        <v>361</v>
      </c>
      <c r="E45" t="s">
        <v>218</v>
      </c>
      <c r="F45" t="n">
        <v>168.900414436551</v>
      </c>
      <c r="G45" t="n">
        <v>255.724222153564</v>
      </c>
      <c r="H45" t="n">
        <v>322.104191491308</v>
      </c>
      <c r="I45" t="n">
        <v>403.293915582867</v>
      </c>
      <c r="J45" t="n">
        <v>496.815929470973</v>
      </c>
      <c r="K45" t="n">
        <v>662.318378853746</v>
      </c>
      <c r="L45" t="n">
        <v>753.005844623416</v>
      </c>
      <c r="M45" t="n">
        <v>1055.75147366352</v>
      </c>
      <c r="N45" t="n">
        <v>1147.76515897863</v>
      </c>
      <c r="O45" t="n">
        <v>1283.80659090195</v>
      </c>
      <c r="P45" t="n">
        <v>1434.55551960325</v>
      </c>
      <c r="Q45" t="n">
        <v>1616.86479398634</v>
      </c>
      <c r="R45" t="n">
        <v>1812.54223365298</v>
      </c>
      <c r="S45" t="n">
        <v>1836.70946343501</v>
      </c>
      <c r="T45" t="n">
        <v>1774.46763394382</v>
      </c>
      <c r="U45" t="n">
        <v>2156.80477982437</v>
      </c>
      <c r="V45" t="n">
        <v>2098.54467626277</v>
      </c>
      <c r="W45" t="n">
        <v>1950.53962847625</v>
      </c>
      <c r="X45" t="n">
        <v>1862.40855650021</v>
      </c>
      <c r="Y45" t="n">
        <v>1725.90258631938</v>
      </c>
      <c r="Z45" t="n">
        <v>1839.72775402005</v>
      </c>
      <c r="AA45" t="n">
        <v>1973.07337444023</v>
      </c>
      <c r="AB45" t="n">
        <v>2031.46509301499</v>
      </c>
      <c r="AC45" t="n">
        <v>2038.29354710915</v>
      </c>
      <c r="AD45" t="n">
        <v>2138.85869219948</v>
      </c>
      <c r="AE45" t="n">
        <v>2208.2</v>
      </c>
      <c r="AF45" t="n">
        <v>2304.9</v>
      </c>
    </row>
    <row r="46">
      <c r="A46" t="s">
        <v>143</v>
      </c>
      <c r="B46" t="s">
        <v>362</v>
      </c>
      <c r="C46" t="s">
        <v>217</v>
      </c>
      <c r="D46" t="s">
        <v>363</v>
      </c>
      <c r="E46" t="s">
        <v>218</v>
      </c>
      <c r="F46" t="n">
        <v>4.18715879742225</v>
      </c>
      <c r="G46" t="n">
        <v>5.66497954945364</v>
      </c>
      <c r="H46" t="n">
        <v>6.45807668637714</v>
      </c>
      <c r="I46" t="n">
        <v>8.31887844346886</v>
      </c>
      <c r="J46" t="n">
        <v>10.6355281365868</v>
      </c>
      <c r="K46" t="n">
        <v>12.9071943405179</v>
      </c>
      <c r="L46" t="n">
        <v>16.4462637564664</v>
      </c>
      <c r="M46" t="n">
        <v>61.0428808138783</v>
      </c>
      <c r="N46" t="n">
        <v>47.9058207034482</v>
      </c>
      <c r="O46" t="n">
        <v>41.615157378753</v>
      </c>
      <c r="P46" t="n">
        <v>42.2848265779513</v>
      </c>
      <c r="Q46" t="n">
        <v>44.2625133444034</v>
      </c>
      <c r="R46" t="n">
        <v>46.7522797200261</v>
      </c>
      <c r="S46" t="n">
        <v>65.722916298729</v>
      </c>
      <c r="T46" t="n">
        <v>66.1634184186936</v>
      </c>
      <c r="U46" t="n">
        <v>81.1146324509698</v>
      </c>
      <c r="V46" t="n">
        <v>78.4306924066363</v>
      </c>
      <c r="W46" t="n">
        <v>70.4907951506558</v>
      </c>
      <c r="X46" t="n">
        <v>54.5179826809685</v>
      </c>
      <c r="Y46" t="n">
        <v>47.6418407212067</v>
      </c>
      <c r="Z46" t="n">
        <v>48.5332680943686</v>
      </c>
      <c r="AA46" t="n">
        <v>46.8321019962155</v>
      </c>
      <c r="AB46" t="n">
        <v>44.1128186544997</v>
      </c>
      <c r="AC46" t="n">
        <v>41.40589569161</v>
      </c>
      <c r="AD46" t="n">
        <v>44</v>
      </c>
      <c r="AE46" t="n">
        <v>42.3</v>
      </c>
      <c r="AF46" t="n">
        <v>42</v>
      </c>
    </row>
    <row r="47">
      <c r="A47" t="s">
        <v>143</v>
      </c>
      <c r="B47" t="s">
        <v>364</v>
      </c>
      <c r="C47" t="s">
        <v>217</v>
      </c>
      <c r="D47" t="s">
        <v>365</v>
      </c>
      <c r="E47" t="s">
        <v>218</v>
      </c>
      <c r="F47" t="n">
        <v>36.2417759537672</v>
      </c>
      <c r="G47" t="n">
        <v>69.4945394577392</v>
      </c>
      <c r="H47" t="n">
        <v>96.6730969684392</v>
      </c>
      <c r="I47" t="n">
        <v>120.923856788167</v>
      </c>
      <c r="J47" t="n">
        <v>112.904199185831</v>
      </c>
      <c r="K47" t="n">
        <v>132.666263900854</v>
      </c>
      <c r="L47" t="n">
        <v>140.416526740423</v>
      </c>
      <c r="M47" t="n">
        <v>198.166121245357</v>
      </c>
      <c r="N47" t="n">
        <v>250.676566369578</v>
      </c>
      <c r="O47" t="n">
        <v>280.735384980542</v>
      </c>
      <c r="P47" t="n">
        <v>314.880738327857</v>
      </c>
      <c r="Q47" t="n">
        <v>432.707079121506</v>
      </c>
      <c r="R47" t="n">
        <v>449.063247139928</v>
      </c>
      <c r="S47" t="n">
        <v>462.608078260158</v>
      </c>
      <c r="T47" t="n">
        <v>582.901437807742</v>
      </c>
      <c r="U47" t="n">
        <v>446.150003112169</v>
      </c>
      <c r="V47" t="n">
        <v>375.907202181168</v>
      </c>
      <c r="W47" t="n">
        <v>283.177032663518</v>
      </c>
      <c r="X47" t="n">
        <v>242.344211961619</v>
      </c>
      <c r="Y47" t="n">
        <v>197.345832798842</v>
      </c>
      <c r="Z47" t="n">
        <v>179.711516414207</v>
      </c>
      <c r="AA47" t="n">
        <v>161.911327043578</v>
      </c>
      <c r="AB47" t="n">
        <v>183.40487828543</v>
      </c>
      <c r="AC47" t="n">
        <v>178.480582923246</v>
      </c>
      <c r="AD47" t="n">
        <v>178.580572045332</v>
      </c>
      <c r="AE47" t="n">
        <v>185.8</v>
      </c>
      <c r="AF47" t="n">
        <v>198.4</v>
      </c>
    </row>
    <row r="48">
      <c r="A48" t="s">
        <v>143</v>
      </c>
      <c r="B48" t="s">
        <v>366</v>
      </c>
      <c r="C48" t="s">
        <v>217</v>
      </c>
      <c r="D48" t="s">
        <v>367</v>
      </c>
      <c r="E48" t="s">
        <v>218</v>
      </c>
      <c r="F48" t="n">
        <v>110.502380762328</v>
      </c>
      <c r="G48" t="n">
        <v>143.462274553289</v>
      </c>
      <c r="H48" t="n">
        <v>180.288528065852</v>
      </c>
      <c r="I48" t="n">
        <v>215.792918503373</v>
      </c>
      <c r="J48" t="n">
        <v>226.78780225864</v>
      </c>
      <c r="K48" t="n">
        <v>281.268352485967</v>
      </c>
      <c r="L48" t="n">
        <v>289.203379054841</v>
      </c>
      <c r="M48" t="n">
        <v>354.22974109079</v>
      </c>
      <c r="N48" t="n">
        <v>379.989477349465</v>
      </c>
      <c r="O48" t="n">
        <v>433.059903150594</v>
      </c>
      <c r="P48" t="n">
        <v>526.586394000812</v>
      </c>
      <c r="Q48" t="n">
        <v>687.100077955276</v>
      </c>
      <c r="R48" t="n">
        <v>714.040287945898</v>
      </c>
      <c r="S48" t="n">
        <v>720.150507764022</v>
      </c>
      <c r="T48" t="n">
        <v>829.585728112866</v>
      </c>
      <c r="U48" t="n">
        <v>628.336317739089</v>
      </c>
      <c r="V48" t="n">
        <v>513.113303389012</v>
      </c>
      <c r="W48" t="n">
        <v>389.464571256547</v>
      </c>
      <c r="X48" t="n">
        <v>329.239073572638</v>
      </c>
      <c r="Y48" t="n">
        <v>274.382250285871</v>
      </c>
      <c r="Z48" t="n">
        <v>263.069564378967</v>
      </c>
      <c r="AA48" t="n">
        <v>250.887621290618</v>
      </c>
      <c r="AB48" t="n">
        <v>276.85900465107</v>
      </c>
      <c r="AC48" t="n">
        <v>278.769070405744</v>
      </c>
      <c r="AD48" t="n">
        <v>282.770061728395</v>
      </c>
      <c r="AE48" t="n">
        <v>292.5</v>
      </c>
      <c r="AF48" t="n">
        <v>308.9</v>
      </c>
    </row>
    <row r="49">
      <c r="A49" t="s">
        <v>143</v>
      </c>
      <c r="B49" t="s">
        <v>368</v>
      </c>
      <c r="C49" t="s">
        <v>217</v>
      </c>
      <c r="D49" t="s">
        <v>369</v>
      </c>
      <c r="E49" t="s">
        <v>218</v>
      </c>
      <c r="F49" t="n">
        <v>60.6236405261539</v>
      </c>
      <c r="G49" t="n">
        <v>61.7062055355495</v>
      </c>
      <c r="H49" t="n">
        <v>71.2763809311092</v>
      </c>
      <c r="I49" t="n">
        <v>81.4195582174594</v>
      </c>
      <c r="J49" t="n">
        <v>96.5795401648515</v>
      </c>
      <c r="K49" t="n">
        <v>125.795807929384</v>
      </c>
      <c r="L49" t="n">
        <v>124.787424699489</v>
      </c>
      <c r="M49" t="n">
        <v>133.163234333988</v>
      </c>
      <c r="N49" t="n">
        <v>111.800148611958</v>
      </c>
      <c r="O49" t="n">
        <v>132.201635584943</v>
      </c>
      <c r="P49" t="n">
        <v>158.734250056615</v>
      </c>
      <c r="Q49" t="n">
        <v>185.171047957395</v>
      </c>
      <c r="R49" t="n">
        <v>186.17619839866</v>
      </c>
      <c r="S49" t="n">
        <v>178.619635051891</v>
      </c>
      <c r="T49" t="n">
        <v>178.939741924743</v>
      </c>
      <c r="U49" t="n">
        <v>127.888672029061</v>
      </c>
      <c r="V49" t="n">
        <v>94.9142417018189</v>
      </c>
      <c r="W49" t="n">
        <v>72.9959013500586</v>
      </c>
      <c r="X49" t="n">
        <v>59.073504271372</v>
      </c>
      <c r="Y49" t="n">
        <v>53.3820370824358</v>
      </c>
      <c r="Z49" t="n">
        <v>50.3061204475742</v>
      </c>
      <c r="AA49" t="n">
        <v>48.6930985494556</v>
      </c>
      <c r="AB49" t="n">
        <v>48.4897870732575</v>
      </c>
      <c r="AC49" t="n">
        <v>49.6970016891892</v>
      </c>
      <c r="AD49" t="n">
        <v>51.1969111969112</v>
      </c>
      <c r="AE49" t="n">
        <v>52</v>
      </c>
      <c r="AF49" t="n">
        <v>52.5</v>
      </c>
    </row>
    <row r="50">
      <c r="A50" t="s">
        <v>143</v>
      </c>
      <c r="B50" t="s">
        <v>370</v>
      </c>
      <c r="C50" t="s">
        <v>217</v>
      </c>
      <c r="D50" t="s">
        <v>371</v>
      </c>
      <c r="E50" t="s">
        <v>218</v>
      </c>
      <c r="F50" t="n">
        <v>6.92846432524695</v>
      </c>
      <c r="G50" t="n">
        <v>7.46142311949671</v>
      </c>
      <c r="H50" t="n">
        <v>8.08320837945477</v>
      </c>
      <c r="I50" t="n">
        <v>9.1690124901278</v>
      </c>
      <c r="J50" t="n">
        <v>10.3151390513938</v>
      </c>
      <c r="K50" t="n">
        <v>12.8939238142422</v>
      </c>
      <c r="L50" t="n">
        <v>14.3642835474453</v>
      </c>
      <c r="M50" t="n">
        <v>15.680095780799</v>
      </c>
      <c r="N50" t="n">
        <v>16.3200996902194</v>
      </c>
      <c r="O50" t="n">
        <v>18.004755142113</v>
      </c>
      <c r="P50" t="n">
        <v>44.0116236807208</v>
      </c>
      <c r="Q50" t="n">
        <v>60.8913758217972</v>
      </c>
      <c r="R50" t="n">
        <v>69.342854405759</v>
      </c>
      <c r="S50" t="n">
        <v>70.8394627742286</v>
      </c>
      <c r="T50" t="n">
        <v>67.9202541434225</v>
      </c>
      <c r="U50" t="n">
        <v>54.7743985027601</v>
      </c>
      <c r="V50" t="n">
        <v>42.4451058508473</v>
      </c>
      <c r="W50" t="n">
        <v>33.4625369382261</v>
      </c>
      <c r="X50" t="n">
        <v>27.8041487679138</v>
      </c>
      <c r="Y50" t="n">
        <v>23.4659127899415</v>
      </c>
      <c r="Z50" t="n">
        <v>32.9119370062315</v>
      </c>
      <c r="AA50" t="n">
        <v>40.2817879309397</v>
      </c>
      <c r="AB50" t="n">
        <v>44.9609855188772</v>
      </c>
      <c r="AC50" t="n">
        <v>50.5936816912645</v>
      </c>
      <c r="AD50" t="n">
        <v>52.8933944954128</v>
      </c>
      <c r="AE50" t="n">
        <v>54.7</v>
      </c>
      <c r="AF50" t="n">
        <v>57.9</v>
      </c>
    </row>
    <row r="51">
      <c r="A51" t="s">
        <v>143</v>
      </c>
      <c r="B51" t="s">
        <v>372</v>
      </c>
      <c r="C51" t="s">
        <v>217</v>
      </c>
      <c r="D51" t="s">
        <v>373</v>
      </c>
      <c r="E51" t="s">
        <v>218</v>
      </c>
      <c r="F51" t="n">
        <v>6.45246130299877</v>
      </c>
      <c r="G51" t="n">
        <v>6.85574013443619</v>
      </c>
      <c r="H51" t="n">
        <v>7.22301192735241</v>
      </c>
      <c r="I51" t="n">
        <v>8.17029218011994</v>
      </c>
      <c r="J51" t="n">
        <v>9.28951028698569</v>
      </c>
      <c r="K51" t="n">
        <v>11.8031424822877</v>
      </c>
      <c r="L51" t="n">
        <v>13.4577886246645</v>
      </c>
      <c r="M51" t="n">
        <v>14.8573986416296</v>
      </c>
      <c r="N51" t="n">
        <v>16.3326013436354</v>
      </c>
      <c r="O51" t="n">
        <v>18.6212461179027</v>
      </c>
      <c r="P51" t="n">
        <v>43.1721627873164</v>
      </c>
      <c r="Q51" t="n">
        <v>58.4154145771509</v>
      </c>
      <c r="R51" t="n">
        <v>66.4727131395165</v>
      </c>
      <c r="S51" t="n">
        <v>67.6579621108006</v>
      </c>
      <c r="T51" t="n">
        <v>65.0594344052649</v>
      </c>
      <c r="U51" t="n">
        <v>52.8961488425415</v>
      </c>
      <c r="V51" t="n">
        <v>40.3548057135259</v>
      </c>
      <c r="W51" t="n">
        <v>31.9681101495902</v>
      </c>
      <c r="X51" t="n">
        <v>26.7050676249625</v>
      </c>
      <c r="Y51" t="n">
        <v>22.6648175414811</v>
      </c>
      <c r="Z51" t="n">
        <v>32.3073057060586</v>
      </c>
      <c r="AA51" t="n">
        <v>39.8793304809161</v>
      </c>
      <c r="AB51" t="n">
        <v>44.6607808191892</v>
      </c>
      <c r="AC51" t="n">
        <v>50.2936720936815</v>
      </c>
      <c r="AD51" t="n">
        <v>52.6933701657459</v>
      </c>
      <c r="AE51" t="n">
        <v>54.5</v>
      </c>
      <c r="AF51" t="n">
        <v>57.6</v>
      </c>
    </row>
    <row r="52">
      <c r="A52" t="s">
        <v>143</v>
      </c>
      <c r="B52" t="s">
        <v>374</v>
      </c>
      <c r="C52" t="s">
        <v>217</v>
      </c>
      <c r="D52" t="s">
        <v>375</v>
      </c>
      <c r="E52" t="s">
        <v>218</v>
      </c>
      <c r="F52" t="n">
        <v>1.13315726290516</v>
      </c>
      <c r="G52" t="n">
        <v>1.13315726290516</v>
      </c>
      <c r="H52" t="n">
        <v>1.35978871548619</v>
      </c>
      <c r="I52" t="n">
        <v>1.58642016806723</v>
      </c>
      <c r="J52" t="n">
        <v>1.58642016806723</v>
      </c>
      <c r="K52" t="n">
        <v>1.58642016806723</v>
      </c>
      <c r="L52" t="n">
        <v>1.13315726290516</v>
      </c>
      <c r="M52" t="n">
        <v>0.944297719087635</v>
      </c>
      <c r="N52" t="n">
        <v>-0.314765906362545</v>
      </c>
      <c r="O52" t="n">
        <v>-1.25906362545018</v>
      </c>
      <c r="P52" t="n">
        <v>0.472148859543817</v>
      </c>
      <c r="Q52" t="n">
        <v>2.67551020408163</v>
      </c>
      <c r="R52" t="n">
        <v>3.12142857142857</v>
      </c>
      <c r="S52" t="n">
        <v>3.54707792207792</v>
      </c>
      <c r="T52" t="n">
        <v>3.12142857142857</v>
      </c>
      <c r="U52" t="n">
        <v>1.9</v>
      </c>
      <c r="V52" t="n">
        <v>2.1</v>
      </c>
      <c r="W52" t="n">
        <v>1.5</v>
      </c>
      <c r="X52" t="n">
        <v>1.1</v>
      </c>
      <c r="Y52" t="n">
        <v>0.8</v>
      </c>
      <c r="Z52" t="n">
        <v>0.6</v>
      </c>
      <c r="AA52" t="n">
        <v>0.4</v>
      </c>
      <c r="AB52" t="n">
        <v>0.3</v>
      </c>
      <c r="AC52" t="n">
        <v>0.3</v>
      </c>
      <c r="AD52" t="n">
        <v>0.2</v>
      </c>
      <c r="AE52" t="n">
        <v>0.2</v>
      </c>
      <c r="AF52" t="n">
        <v>0.3</v>
      </c>
    </row>
    <row r="53">
      <c r="A53" t="s">
        <v>143</v>
      </c>
      <c r="B53" t="s">
        <v>376</v>
      </c>
      <c r="C53" t="s">
        <v>217</v>
      </c>
      <c r="D53" t="s">
        <v>377</v>
      </c>
      <c r="E53" t="s">
        <v>218</v>
      </c>
      <c r="F53" t="n">
        <v>1.65684358427409</v>
      </c>
      <c r="G53" t="n">
        <v>2.84769991047109</v>
      </c>
      <c r="H53" t="n">
        <v>3.89185654431049</v>
      </c>
      <c r="I53" t="n">
        <v>4.67022785317259</v>
      </c>
      <c r="J53" t="n">
        <v>5.49952064953034</v>
      </c>
      <c r="K53" t="n">
        <v>8.7821802620407</v>
      </c>
      <c r="L53" t="n">
        <v>9.20849969223685</v>
      </c>
      <c r="M53" t="n">
        <v>13.0965328956257</v>
      </c>
      <c r="N53" t="n">
        <v>15.0590103020039</v>
      </c>
      <c r="O53" t="n">
        <v>17.0198189350773</v>
      </c>
      <c r="P53" t="n">
        <v>11.7471643219326</v>
      </c>
      <c r="Q53" t="n">
        <v>9.19177468047327</v>
      </c>
      <c r="R53" t="n">
        <v>7.49657033366468</v>
      </c>
      <c r="S53" t="n">
        <v>6.27791604297042</v>
      </c>
      <c r="T53" t="n">
        <v>5.48869231185414</v>
      </c>
      <c r="U53" t="n">
        <v>13.2790943028729</v>
      </c>
      <c r="V53" t="n">
        <v>12.1808233454924</v>
      </c>
      <c r="W53" t="n">
        <v>9.8421052631579</v>
      </c>
      <c r="X53" t="n">
        <v>8.68421052631579</v>
      </c>
      <c r="Y53" t="n">
        <v>7.99342105263158</v>
      </c>
      <c r="Z53" t="n">
        <v>7.59375</v>
      </c>
      <c r="AA53" t="n">
        <v>7.695</v>
      </c>
      <c r="AB53" t="n">
        <v>7.8975</v>
      </c>
      <c r="AC53" t="n">
        <v>8.1</v>
      </c>
      <c r="AD53" t="n">
        <v>8.2</v>
      </c>
      <c r="AE53" t="n">
        <v>8.3</v>
      </c>
      <c r="AF53" t="n">
        <v>9.2</v>
      </c>
    </row>
    <row r="54">
      <c r="A54" t="s">
        <v>143</v>
      </c>
      <c r="B54" t="s">
        <v>378</v>
      </c>
      <c r="C54" t="s">
        <v>217</v>
      </c>
      <c r="D54" t="s">
        <v>379</v>
      </c>
      <c r="E54" t="s">
        <v>218</v>
      </c>
      <c r="F54" t="n">
        <v>8.72584213513163</v>
      </c>
      <c r="G54" t="n">
        <v>14.1905109470323</v>
      </c>
      <c r="H54" t="n">
        <v>19.9478039598282</v>
      </c>
      <c r="I54" t="n">
        <v>24.2334649668225</v>
      </c>
      <c r="J54" t="n">
        <v>28.9764061224086</v>
      </c>
      <c r="K54" t="n">
        <v>45.4517692044763</v>
      </c>
      <c r="L54" t="n">
        <v>42.3445735354899</v>
      </c>
      <c r="M54" t="n">
        <v>49.2622513902976</v>
      </c>
      <c r="N54" t="n">
        <v>54.1268130713979</v>
      </c>
      <c r="O54" t="n">
        <v>59.7145313362313</v>
      </c>
      <c r="P54" t="n">
        <v>47.5047444820074</v>
      </c>
      <c r="Q54" t="n">
        <v>42.182636179044</v>
      </c>
      <c r="R54" t="n">
        <v>38.9378180114252</v>
      </c>
      <c r="S54" t="n">
        <v>35.9426012413156</v>
      </c>
      <c r="T54" t="n">
        <v>34.4655080396177</v>
      </c>
      <c r="U54" t="n">
        <v>54.4288040696075</v>
      </c>
      <c r="V54" t="n">
        <v>51.0332456505861</v>
      </c>
      <c r="W54" t="n">
        <v>43.4366938171019</v>
      </c>
      <c r="X54" t="n">
        <v>43.8219416558345</v>
      </c>
      <c r="Y54" t="n">
        <v>44.1160486468133</v>
      </c>
      <c r="Z54" t="n">
        <v>43.0230834776355</v>
      </c>
      <c r="AA54" t="n">
        <v>41.4071930183816</v>
      </c>
      <c r="AB54" t="n">
        <v>40.89975192747</v>
      </c>
      <c r="AC54" t="n">
        <v>41.0002427184466</v>
      </c>
      <c r="AD54" t="n">
        <v>41.1997572815534</v>
      </c>
      <c r="AE54" t="n">
        <v>41.3</v>
      </c>
      <c r="AF54" t="n">
        <v>42.4</v>
      </c>
    </row>
    <row r="55">
      <c r="A55" t="s">
        <v>143</v>
      </c>
      <c r="B55" t="s">
        <v>380</v>
      </c>
      <c r="C55" t="s">
        <v>217</v>
      </c>
      <c r="D55" t="s">
        <v>381</v>
      </c>
      <c r="E55" t="s">
        <v>218</v>
      </c>
      <c r="F55" t="n">
        <v>7.6118399863388</v>
      </c>
      <c r="G55" t="n">
        <v>12.0426125157002</v>
      </c>
      <c r="H55" t="n">
        <v>17.1738126310855</v>
      </c>
      <c r="I55" t="n">
        <v>20.9902154379934</v>
      </c>
      <c r="J55" t="n">
        <v>25.2836685957648</v>
      </c>
      <c r="K55" t="n">
        <v>39.3198228529724</v>
      </c>
      <c r="L55" t="n">
        <v>34.3932256633565</v>
      </c>
      <c r="M55" t="n">
        <v>34.754309397355</v>
      </c>
      <c r="N55" t="n">
        <v>36.704806353329</v>
      </c>
      <c r="O55" t="n">
        <v>39.5887554239477</v>
      </c>
      <c r="P55" t="n">
        <v>35.5083354570057</v>
      </c>
      <c r="Q55" t="n">
        <v>34.31046389942</v>
      </c>
      <c r="R55" t="n">
        <v>33.8879212405601</v>
      </c>
      <c r="S55" t="n">
        <v>32.7251004136781</v>
      </c>
      <c r="T55" t="n">
        <v>32.56507547278</v>
      </c>
      <c r="U55" t="n">
        <v>41.1597321956202</v>
      </c>
      <c r="V55" t="n">
        <v>38.8619801555734</v>
      </c>
      <c r="W55" t="n">
        <v>33.6024640442928</v>
      </c>
      <c r="X55" t="n">
        <v>35.142978155206</v>
      </c>
      <c r="Y55" t="n">
        <v>36.121891195741</v>
      </c>
      <c r="Z55" t="n">
        <v>35.4272394419767</v>
      </c>
      <c r="AA55" t="n">
        <v>33.7113902382342</v>
      </c>
      <c r="AB55" t="n">
        <v>33.0006079139341</v>
      </c>
      <c r="AC55" t="n">
        <v>32.9003021148036</v>
      </c>
      <c r="AD55" t="n">
        <v>33</v>
      </c>
      <c r="AE55" t="n">
        <v>33</v>
      </c>
      <c r="AF55" t="n">
        <v>33.2</v>
      </c>
    </row>
    <row r="56">
      <c r="A56" t="s">
        <v>143</v>
      </c>
      <c r="B56" t="s">
        <v>382</v>
      </c>
      <c r="C56" t="s">
        <v>217</v>
      </c>
      <c r="D56" t="s">
        <v>383</v>
      </c>
      <c r="E56" t="s">
        <v>218</v>
      </c>
      <c r="F56" t="e">
        <v>#NUM!</v>
      </c>
      <c r="G56" t="e">
        <v>#NUM!</v>
      </c>
      <c r="H56" t="e">
        <v>#NUM!</v>
      </c>
      <c r="I56" t="e">
        <v>#NUM!</v>
      </c>
      <c r="J56" t="e">
        <v>#NUM!</v>
      </c>
      <c r="K56" t="e">
        <v>#NUM!</v>
      </c>
      <c r="L56" t="e">
        <v>#NUM!</v>
      </c>
      <c r="M56" t="e">
        <v>#NUM!</v>
      </c>
      <c r="N56" t="e">
        <v>#NUM!</v>
      </c>
      <c r="O56" t="e">
        <v>#NUM!</v>
      </c>
      <c r="P56" t="e">
        <v>#NUM!</v>
      </c>
      <c r="Q56" t="e">
        <v>#NUM!</v>
      </c>
      <c r="R56" t="e">
        <v>#NUM!</v>
      </c>
      <c r="S56" t="e">
        <v>#NUM!</v>
      </c>
      <c r="T56" t="e">
        <v>#NUM!</v>
      </c>
      <c r="U56" t="e">
        <v>#NUM!</v>
      </c>
      <c r="V56" t="e">
        <v>#NUM!</v>
      </c>
      <c r="W56" t="e">
        <v>#NUM!</v>
      </c>
      <c r="X56" t="e">
        <v>#NUM!</v>
      </c>
      <c r="Y56" t="e">
        <v>#NUM!</v>
      </c>
      <c r="Z56" t="e">
        <v>#NUM!</v>
      </c>
      <c r="AA56" t="e">
        <v>#NUM!</v>
      </c>
      <c r="AB56" t="e">
        <v>#NUM!</v>
      </c>
      <c r="AC56" t="e">
        <v>#NUM!</v>
      </c>
      <c r="AD56" t="e">
        <v>#NUM!</v>
      </c>
      <c r="AE56" t="n">
        <v>0</v>
      </c>
      <c r="AF56" t="e">
        <v>#NUM!</v>
      </c>
    </row>
    <row r="57">
      <c r="A57" t="s">
        <v>143</v>
      </c>
      <c r="B57" t="s">
        <v>384</v>
      </c>
      <c r="C57" t="s">
        <v>217</v>
      </c>
      <c r="D57" t="s">
        <v>385</v>
      </c>
      <c r="E57" t="s">
        <v>218</v>
      </c>
      <c r="F57" t="n">
        <v>269.543200506439</v>
      </c>
      <c r="G57" t="n">
        <v>388.995244796974</v>
      </c>
      <c r="H57" t="n">
        <v>489.855087397982</v>
      </c>
      <c r="I57" t="n">
        <v>605.326052362952</v>
      </c>
      <c r="J57" t="n">
        <v>715.157468601967</v>
      </c>
      <c r="K57" t="n">
        <v>937.650903278135</v>
      </c>
      <c r="L57" t="n">
        <v>1057.45999625133</v>
      </c>
      <c r="M57" t="n">
        <v>1484.23757321375</v>
      </c>
      <c r="N57" t="n">
        <v>1613.83397110244</v>
      </c>
      <c r="O57" t="n">
        <v>1808.09080462732</v>
      </c>
      <c r="P57" t="n">
        <v>2011.04291504282</v>
      </c>
      <c r="Q57" t="n">
        <v>2314.62323958551</v>
      </c>
      <c r="R57" t="n">
        <v>2539.40761911249</v>
      </c>
      <c r="S57" t="n">
        <v>2562.00350633813</v>
      </c>
      <c r="T57" t="n">
        <v>2576.90881095886</v>
      </c>
      <c r="U57" t="n">
        <v>2825.17469734146</v>
      </c>
      <c r="V57" t="n">
        <v>2642.01593341483</v>
      </c>
      <c r="W57" t="n">
        <v>2361.25674703015</v>
      </c>
      <c r="X57" t="n">
        <v>2207.53181081038</v>
      </c>
      <c r="Y57" t="n">
        <v>2011.97616591105</v>
      </c>
      <c r="Z57" t="n">
        <v>2128.77757905839</v>
      </c>
      <c r="AA57" t="n">
        <v>2258.94487051673</v>
      </c>
      <c r="AB57" t="n">
        <v>2348.53331821592</v>
      </c>
      <c r="AC57" t="n">
        <v>2352.95200743175</v>
      </c>
      <c r="AD57" t="n">
        <v>2460.7131708276</v>
      </c>
      <c r="AE57" t="n">
        <v>2548.9</v>
      </c>
      <c r="AF57" t="n">
        <v>2669.2</v>
      </c>
    </row>
    <row r="58">
      <c r="A58" t="s">
        <v>143</v>
      </c>
      <c r="B58" t="s">
        <v>386</v>
      </c>
      <c r="C58" t="s">
        <v>217</v>
      </c>
      <c r="D58" t="s">
        <v>387</v>
      </c>
      <c r="E58" t="s">
        <v>218</v>
      </c>
      <c r="F58" t="n">
        <v>269.543200506439</v>
      </c>
      <c r="G58" t="n">
        <v>388.995244796974</v>
      </c>
      <c r="H58" t="n">
        <v>489.855087397982</v>
      </c>
      <c r="I58" t="n">
        <v>605.326052362952</v>
      </c>
      <c r="J58" t="n">
        <v>715.157468601967</v>
      </c>
      <c r="K58" t="n">
        <v>937.650903278135</v>
      </c>
      <c r="L58" t="n">
        <v>1057.45999625133</v>
      </c>
      <c r="M58" t="n">
        <v>1484.23757321375</v>
      </c>
      <c r="N58" t="n">
        <v>1613.83397110244</v>
      </c>
      <c r="O58" t="n">
        <v>1808.09080462732</v>
      </c>
      <c r="P58" t="n">
        <v>2011.04291504282</v>
      </c>
      <c r="Q58" t="n">
        <v>2314.62323958551</v>
      </c>
      <c r="R58" t="n">
        <v>2539.40761911249</v>
      </c>
      <c r="S58" t="n">
        <v>2562.00350633813</v>
      </c>
      <c r="T58" t="n">
        <v>2576.90881095886</v>
      </c>
      <c r="U58" t="n">
        <v>2825.17469734146</v>
      </c>
      <c r="V58" t="n">
        <v>2642.01593341483</v>
      </c>
      <c r="W58" t="n">
        <v>2361.25674703015</v>
      </c>
      <c r="X58" t="n">
        <v>2207.53181081038</v>
      </c>
      <c r="Y58" t="n">
        <v>2011.97616591105</v>
      </c>
      <c r="Z58" t="n">
        <v>2128.77757905839</v>
      </c>
      <c r="AA58" t="n">
        <v>2258.94487051673</v>
      </c>
      <c r="AB58" t="n">
        <v>2348.53331821592</v>
      </c>
      <c r="AC58" t="n">
        <v>2352.95200743175</v>
      </c>
      <c r="AD58" t="n">
        <v>2460.7131708276</v>
      </c>
      <c r="AE58" t="n">
        <v>2548.9</v>
      </c>
      <c r="AF58" t="n">
        <v>2669.2</v>
      </c>
    </row>
    <row r="59">
      <c r="A59" t="s">
        <v>143</v>
      </c>
      <c r="B59" t="s">
        <v>388</v>
      </c>
      <c r="C59" t="s">
        <v>217</v>
      </c>
      <c r="D59" t="s">
        <v>389</v>
      </c>
      <c r="E59" t="s">
        <v>218</v>
      </c>
      <c r="F59" t="e">
        <v>#NUM!</v>
      </c>
      <c r="G59" t="e">
        <v>#NUM!</v>
      </c>
      <c r="H59" t="e">
        <v>#NUM!</v>
      </c>
      <c r="I59" t="e">
        <v>#NUM!</v>
      </c>
      <c r="J59" t="e">
        <v>#NUM!</v>
      </c>
      <c r="K59" t="e">
        <v>#NUM!</v>
      </c>
      <c r="L59" t="e">
        <v>#NUM!</v>
      </c>
      <c r="M59" t="e">
        <v>#NUM!</v>
      </c>
      <c r="N59" t="e">
        <v>#NUM!</v>
      </c>
      <c r="O59" t="e">
        <v>#NUM!</v>
      </c>
      <c r="P59" t="e">
        <v>#NUM!</v>
      </c>
      <c r="Q59" t="e">
        <v>#NUM!</v>
      </c>
      <c r="R59" t="e">
        <v>#NUM!</v>
      </c>
      <c r="S59" t="e">
        <v>#NUM!</v>
      </c>
      <c r="T59" t="e">
        <v>#NUM!</v>
      </c>
      <c r="U59" t="e">
        <v>#NUM!</v>
      </c>
      <c r="V59" t="e">
        <v>#NUM!</v>
      </c>
      <c r="W59" t="e">
        <v>#NUM!</v>
      </c>
      <c r="X59" t="e">
        <v>#NUM!</v>
      </c>
      <c r="Y59" t="e">
        <v>#NUM!</v>
      </c>
      <c r="Z59" t="e">
        <v>#NUM!</v>
      </c>
      <c r="AA59" t="e">
        <v>#NUM!</v>
      </c>
      <c r="AB59" t="e">
        <v>#NUM!</v>
      </c>
      <c r="AC59" t="e">
        <v>#NUM!</v>
      </c>
      <c r="AD59" t="e">
        <v>#NUM!</v>
      </c>
      <c r="AE59" t="n">
        <v>0</v>
      </c>
      <c r="AF59" t="e">
        <v>#NUM!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144</v>
      </c>
      <c r="B2" t="s">
        <v>197</v>
      </c>
      <c r="C2" t="s">
        <v>217</v>
      </c>
      <c r="D2" t="s">
        <v>199</v>
      </c>
      <c r="E2" t="s">
        <v>218</v>
      </c>
      <c r="F2" t="n">
        <v>662.795759149703</v>
      </c>
      <c r="G2" t="n">
        <v>721.762233210513</v>
      </c>
      <c r="H2" t="n">
        <v>901.736536840524</v>
      </c>
      <c r="I2" t="n">
        <v>1003.59895866936</v>
      </c>
      <c r="J2" t="n">
        <v>1136.57201835883</v>
      </c>
      <c r="K2" t="n">
        <v>1258.5104287621</v>
      </c>
      <c r="L2" t="n">
        <v>1591.08883453191</v>
      </c>
      <c r="M2" t="n">
        <v>1840.66734908904</v>
      </c>
      <c r="N2" t="n">
        <v>2014.34629186622</v>
      </c>
      <c r="O2" t="n">
        <v>2161.09074125124</v>
      </c>
      <c r="P2" t="n">
        <v>2303.38563918574</v>
      </c>
      <c r="Q2" t="n">
        <v>2430.95376161592</v>
      </c>
      <c r="R2" t="n">
        <v>2783.27838546458</v>
      </c>
      <c r="S2" t="n">
        <v>2969.42458725306</v>
      </c>
      <c r="T2" t="n">
        <v>2950.61629182008</v>
      </c>
      <c r="U2" t="n">
        <v>2765.43116890251</v>
      </c>
      <c r="V2" t="n">
        <v>2529.01279466382</v>
      </c>
      <c r="W2" t="n">
        <v>2340.22993505241</v>
      </c>
      <c r="X2" t="n">
        <v>2207.658398838</v>
      </c>
      <c r="Y2" t="n">
        <v>2068.73146420637</v>
      </c>
      <c r="Z2" t="n">
        <v>1990.97275158568</v>
      </c>
      <c r="AA2" t="n">
        <v>1983.04878911749</v>
      </c>
      <c r="AB2" t="n">
        <v>1999.81357088022</v>
      </c>
      <c r="AC2" t="n">
        <v>1998.69924286849</v>
      </c>
      <c r="AD2" t="n">
        <v>2019.62331328321</v>
      </c>
      <c r="AE2" t="n">
        <v>1984.9</v>
      </c>
      <c r="AF2" t="n">
        <v>2011</v>
      </c>
    </row>
    <row r="3">
      <c r="A3" t="s">
        <v>144</v>
      </c>
      <c r="B3" t="s">
        <v>276</v>
      </c>
      <c r="C3" t="s">
        <v>217</v>
      </c>
      <c r="D3" t="s">
        <v>277</v>
      </c>
      <c r="E3" t="s">
        <v>218</v>
      </c>
      <c r="F3" t="n">
        <v>20.2265761815694</v>
      </c>
      <c r="G3" t="n">
        <v>18.7393279329246</v>
      </c>
      <c r="H3" t="n">
        <v>19.916667907768</v>
      </c>
      <c r="I3" t="n">
        <v>19.4883524688913</v>
      </c>
      <c r="J3" t="n">
        <v>20.3220787777209</v>
      </c>
      <c r="K3" t="n">
        <v>21.0333515349411</v>
      </c>
      <c r="L3" t="n">
        <v>27.6806843313612</v>
      </c>
      <c r="M3" t="n">
        <v>26.7780533205559</v>
      </c>
      <c r="N3" t="n">
        <v>27.3775619769863</v>
      </c>
      <c r="O3" t="n">
        <v>28.7319290005828</v>
      </c>
      <c r="P3" t="n">
        <v>33.6891984408241</v>
      </c>
      <c r="Q3" t="n">
        <v>33.2627528909403</v>
      </c>
      <c r="R3" t="n">
        <v>30.2004677041553</v>
      </c>
      <c r="S3" t="n">
        <v>30.8210252597202</v>
      </c>
      <c r="T3" t="n">
        <v>29.7021101512815</v>
      </c>
      <c r="U3" t="n">
        <v>23.9435377750126</v>
      </c>
      <c r="V3" t="n">
        <v>15.6241729548811</v>
      </c>
      <c r="W3" t="n">
        <v>13.5950595841173</v>
      </c>
      <c r="X3" t="n">
        <v>10.0933018124507</v>
      </c>
      <c r="Y3" t="n">
        <v>14.3753086419753</v>
      </c>
      <c r="Z3" t="n">
        <v>13.9703703703704</v>
      </c>
      <c r="AA3" t="n">
        <v>8.2</v>
      </c>
      <c r="AB3" t="n">
        <v>3.5</v>
      </c>
      <c r="AC3" t="n">
        <v>4.7</v>
      </c>
      <c r="AD3" t="n">
        <v>4.9</v>
      </c>
      <c r="AE3" t="n">
        <v>4.9</v>
      </c>
      <c r="AF3" t="n">
        <v>5.1</v>
      </c>
    </row>
    <row r="4">
      <c r="A4" t="s">
        <v>144</v>
      </c>
      <c r="B4" t="s">
        <v>278</v>
      </c>
      <c r="C4" t="s">
        <v>217</v>
      </c>
      <c r="D4" t="s">
        <v>279</v>
      </c>
      <c r="E4" t="s">
        <v>218</v>
      </c>
      <c r="F4" t="n">
        <v>369.277789307374</v>
      </c>
      <c r="G4" t="n">
        <v>455.442606812428</v>
      </c>
      <c r="H4" t="n">
        <v>670.811573550938</v>
      </c>
      <c r="I4" t="n">
        <v>761.940283105542</v>
      </c>
      <c r="J4" t="n">
        <v>905.160552566467</v>
      </c>
      <c r="K4" t="n">
        <v>1022.64299944149</v>
      </c>
      <c r="L4" t="n">
        <v>971.475665644606</v>
      </c>
      <c r="M4" t="n">
        <v>878.688001377055</v>
      </c>
      <c r="N4" t="n">
        <v>769.650025424833</v>
      </c>
      <c r="O4" t="n">
        <v>707.806659815199</v>
      </c>
      <c r="P4" t="n">
        <v>636.029950804489</v>
      </c>
      <c r="Q4" t="n">
        <v>570.729578496838</v>
      </c>
      <c r="R4" t="n">
        <v>554.774849191767</v>
      </c>
      <c r="S4" t="n">
        <v>507.390451641752</v>
      </c>
      <c r="T4" t="n">
        <v>456.176437800826</v>
      </c>
      <c r="U4" t="n">
        <v>393.788957311111</v>
      </c>
      <c r="V4" t="n">
        <v>317.076822769985</v>
      </c>
      <c r="W4" t="n">
        <v>242.036333191056</v>
      </c>
      <c r="X4" t="n">
        <v>191.174379202905</v>
      </c>
      <c r="Y4" t="n">
        <v>175.53660495608</v>
      </c>
      <c r="Z4" t="n">
        <v>152.949932520486</v>
      </c>
      <c r="AA4" t="n">
        <v>138.698014432824</v>
      </c>
      <c r="AB4" t="n">
        <v>127.973941151936</v>
      </c>
      <c r="AC4" t="n">
        <v>118.501854169037</v>
      </c>
      <c r="AD4" t="n">
        <v>130.021476510067</v>
      </c>
      <c r="AE4" t="n">
        <v>133.2</v>
      </c>
      <c r="AF4" t="n">
        <v>143.6</v>
      </c>
    </row>
    <row r="5">
      <c r="A5" t="s">
        <v>144</v>
      </c>
      <c r="B5" t="s">
        <v>280</v>
      </c>
      <c r="C5" t="s">
        <v>217</v>
      </c>
      <c r="D5" t="s">
        <v>281</v>
      </c>
      <c r="E5" t="s">
        <v>218</v>
      </c>
      <c r="F5" t="n">
        <v>57.403473167998</v>
      </c>
      <c r="G5" t="n">
        <v>55.7949695415742</v>
      </c>
      <c r="H5" t="n">
        <v>63.5387553498354</v>
      </c>
      <c r="I5" t="n">
        <v>64.7294304926773</v>
      </c>
      <c r="J5" t="n">
        <v>69.9919858172852</v>
      </c>
      <c r="K5" t="n">
        <v>74.4049702603105</v>
      </c>
      <c r="L5" t="n">
        <v>92.9311068661752</v>
      </c>
      <c r="M5" t="n">
        <v>110.241803243208</v>
      </c>
      <c r="N5" t="n">
        <v>103.679791145398</v>
      </c>
      <c r="O5" t="n">
        <v>111.715464939276</v>
      </c>
      <c r="P5" t="n">
        <v>110.79473308538</v>
      </c>
      <c r="Q5" t="n">
        <v>112.409816658054</v>
      </c>
      <c r="R5" t="n">
        <v>112.516467337995</v>
      </c>
      <c r="S5" t="n">
        <v>111.785162536355</v>
      </c>
      <c r="T5" t="n">
        <v>101.594802415638</v>
      </c>
      <c r="U5" t="n">
        <v>100.77795978315</v>
      </c>
      <c r="V5" t="n">
        <v>85.0696543108777</v>
      </c>
      <c r="W5" t="n">
        <v>71.675273644141</v>
      </c>
      <c r="X5" t="n">
        <v>60.9759212016098</v>
      </c>
      <c r="Y5" t="n">
        <v>54.5574031803877</v>
      </c>
      <c r="Z5" t="n">
        <v>54.2485876906874</v>
      </c>
      <c r="AA5" t="n">
        <v>53.9391850992956</v>
      </c>
      <c r="AB5" t="n">
        <v>53.9391850992956</v>
      </c>
      <c r="AC5" t="n">
        <v>50.8195680506423</v>
      </c>
      <c r="AD5" t="n">
        <v>49.3160305343511</v>
      </c>
      <c r="AE5" t="n">
        <v>52.1</v>
      </c>
      <c r="AF5" t="n">
        <v>57.8</v>
      </c>
    </row>
    <row r="6">
      <c r="A6" t="s">
        <v>144</v>
      </c>
      <c r="B6" t="s">
        <v>282</v>
      </c>
      <c r="C6" t="s">
        <v>217</v>
      </c>
      <c r="D6" t="s">
        <v>283</v>
      </c>
      <c r="E6" t="s">
        <v>218</v>
      </c>
      <c r="F6" t="e">
        <v>#NUM!</v>
      </c>
      <c r="G6" t="e">
        <v>#NUM!</v>
      </c>
      <c r="H6" t="e">
        <v>#NUM!</v>
      </c>
      <c r="I6" t="e">
        <v>#NUM!</v>
      </c>
      <c r="J6" t="e">
        <v>#NUM!</v>
      </c>
      <c r="K6" t="e">
        <v>#NUM!</v>
      </c>
      <c r="L6" t="e">
        <v>#NUM!</v>
      </c>
      <c r="M6" t="e">
        <v>#NUM!</v>
      </c>
      <c r="N6" t="e">
        <v>#NUM!</v>
      </c>
      <c r="O6" t="e">
        <v>#NUM!</v>
      </c>
      <c r="P6" t="e">
        <v>#NUM!</v>
      </c>
      <c r="Q6" t="e">
        <v>#NUM!</v>
      </c>
      <c r="R6" t="e">
        <v>#NUM!</v>
      </c>
      <c r="S6" t="e">
        <v>#NUM!</v>
      </c>
      <c r="T6" t="e">
        <v>#NUM!</v>
      </c>
      <c r="U6" t="e">
        <v>#NUM!</v>
      </c>
      <c r="V6" t="e">
        <v>#NUM!</v>
      </c>
      <c r="W6" t="e">
        <v>#NUM!</v>
      </c>
      <c r="X6" t="e">
        <v>#NUM!</v>
      </c>
      <c r="Y6" t="e">
        <v>#NUM!</v>
      </c>
      <c r="Z6" t="e">
        <v>#NUM!</v>
      </c>
      <c r="AA6" t="e">
        <v>#NUM!</v>
      </c>
      <c r="AB6" t="e">
        <v>#NUM!</v>
      </c>
      <c r="AC6" t="e">
        <v>#NUM!</v>
      </c>
      <c r="AD6" t="e">
        <v>#NUM!</v>
      </c>
      <c r="AE6" t="n">
        <v>0</v>
      </c>
      <c r="AF6" t="e">
        <v>#NUM!</v>
      </c>
    </row>
    <row r="7">
      <c r="A7" t="s">
        <v>144</v>
      </c>
      <c r="B7" t="s">
        <v>284</v>
      </c>
      <c r="C7" t="s">
        <v>217</v>
      </c>
      <c r="D7" t="s">
        <v>285</v>
      </c>
      <c r="E7" t="s">
        <v>218</v>
      </c>
      <c r="F7" t="n">
        <v>35.9640168568787</v>
      </c>
      <c r="G7" t="n">
        <v>31.9906552211329</v>
      </c>
      <c r="H7" t="n">
        <v>31.7894561316918</v>
      </c>
      <c r="I7" t="n">
        <v>29.9259362894892</v>
      </c>
      <c r="J7" t="n">
        <v>29.9259362894892</v>
      </c>
      <c r="K7" t="n">
        <v>29.9259362894892</v>
      </c>
      <c r="L7" t="n">
        <v>32.9692518443525</v>
      </c>
      <c r="M7" t="n">
        <v>16.2798479604101</v>
      </c>
      <c r="N7" t="n">
        <v>16.8941818457086</v>
      </c>
      <c r="O7" t="n">
        <v>19.3786203524304</v>
      </c>
      <c r="P7" t="n">
        <v>20.8372261854091</v>
      </c>
      <c r="Q7" t="n">
        <v>21.0565654084134</v>
      </c>
      <c r="R7" t="n">
        <v>25.072508295585</v>
      </c>
      <c r="S7" t="n">
        <v>25.072508295585</v>
      </c>
      <c r="T7" t="n">
        <v>25.6993210029746</v>
      </c>
      <c r="U7" t="n">
        <v>22.1760269945023</v>
      </c>
      <c r="V7" t="n">
        <v>16.8125227911808</v>
      </c>
      <c r="W7" t="n">
        <v>12.4804617038827</v>
      </c>
      <c r="X7" t="n">
        <v>9.15233858284731</v>
      </c>
      <c r="Y7" t="n">
        <v>9.67235782050909</v>
      </c>
      <c r="Z7" t="n">
        <v>8.02599904255009</v>
      </c>
      <c r="AA7" t="n">
        <v>7.61440934806034</v>
      </c>
      <c r="AB7" t="n">
        <v>7.30983297413793</v>
      </c>
      <c r="AC7" t="n">
        <v>6.40862068965517</v>
      </c>
      <c r="AD7" t="n">
        <v>5.8078125</v>
      </c>
      <c r="AE7" t="n">
        <v>6.3</v>
      </c>
      <c r="AF7" t="n">
        <v>7.2</v>
      </c>
    </row>
    <row r="8">
      <c r="A8" t="s">
        <v>144</v>
      </c>
      <c r="B8" t="s">
        <v>286</v>
      </c>
      <c r="C8" t="s">
        <v>217</v>
      </c>
      <c r="D8" t="s">
        <v>287</v>
      </c>
      <c r="E8" t="s">
        <v>218</v>
      </c>
      <c r="F8" t="n">
        <v>3.33387789367082</v>
      </c>
      <c r="G8" t="n">
        <v>2.81295947278475</v>
      </c>
      <c r="H8" t="n">
        <v>2.61203379615727</v>
      </c>
      <c r="I8" t="n">
        <v>2.39436431314417</v>
      </c>
      <c r="J8" t="n">
        <v>2.29026151692051</v>
      </c>
      <c r="K8" t="n">
        <v>2.29026151692051</v>
      </c>
      <c r="L8" t="n">
        <v>2.29026151692051</v>
      </c>
      <c r="M8" t="n">
        <v>3.43539227538076</v>
      </c>
      <c r="N8" t="n">
        <v>3.12308388670978</v>
      </c>
      <c r="O8" t="n">
        <v>3.22382852821655</v>
      </c>
      <c r="P8" t="n">
        <v>3.63980640282514</v>
      </c>
      <c r="Q8" t="n">
        <v>3.63980640282514</v>
      </c>
      <c r="R8" t="n">
        <v>3.41921207538119</v>
      </c>
      <c r="S8" t="n">
        <v>4.06031433951516</v>
      </c>
      <c r="T8" t="n">
        <v>4.47675683587569</v>
      </c>
      <c r="U8" t="n">
        <v>4.16442496360529</v>
      </c>
      <c r="V8" t="n">
        <v>3.5397612190645</v>
      </c>
      <c r="W8" t="n">
        <v>2.18632310589278</v>
      </c>
      <c r="X8" t="n">
        <v>1.97810185771251</v>
      </c>
      <c r="Y8" t="n">
        <v>2.29043372998291</v>
      </c>
      <c r="Z8" t="n">
        <v>2.70687622634344</v>
      </c>
      <c r="AA8" t="n">
        <v>3.12331872270397</v>
      </c>
      <c r="AB8" t="n">
        <v>3.5397612190645</v>
      </c>
      <c r="AC8" t="n">
        <v>2.9150974745237</v>
      </c>
      <c r="AD8" t="n">
        <v>14.8770491803279</v>
      </c>
      <c r="AE8" t="n">
        <v>12.1</v>
      </c>
      <c r="AF8" t="n">
        <v>9.9</v>
      </c>
    </row>
    <row r="9">
      <c r="A9" t="s">
        <v>144</v>
      </c>
      <c r="B9" t="s">
        <v>288</v>
      </c>
      <c r="C9" t="s">
        <v>217</v>
      </c>
      <c r="D9" t="s">
        <v>289</v>
      </c>
      <c r="E9" t="s">
        <v>218</v>
      </c>
      <c r="F9" t="n">
        <v>13.3508421972799</v>
      </c>
      <c r="G9" t="n">
        <v>11.9348437824169</v>
      </c>
      <c r="H9" t="n">
        <v>11.9348437824169</v>
      </c>
      <c r="I9" t="n">
        <v>11.2778799044857</v>
      </c>
      <c r="J9" t="n">
        <v>11.2778799044857</v>
      </c>
      <c r="K9" t="n">
        <v>11.2778799044857</v>
      </c>
      <c r="L9" t="n">
        <v>14.5001313057673</v>
      </c>
      <c r="M9" t="n">
        <v>16.2360625184296</v>
      </c>
      <c r="N9" t="n">
        <v>15.0106993094915</v>
      </c>
      <c r="O9" t="n">
        <v>17.9733373311017</v>
      </c>
      <c r="P9" t="n">
        <v>16.843584698861</v>
      </c>
      <c r="Q9" t="n">
        <v>15.974238391823</v>
      </c>
      <c r="R9" t="n">
        <v>17.8091171260189</v>
      </c>
      <c r="S9" t="n">
        <v>21.3073365614869</v>
      </c>
      <c r="T9" t="n">
        <v>20.0539638225759</v>
      </c>
      <c r="U9" t="n">
        <v>18.193286766873</v>
      </c>
      <c r="V9" t="n">
        <v>16.8494644488653</v>
      </c>
      <c r="W9" t="n">
        <v>13.9550779177719</v>
      </c>
      <c r="X9" t="n">
        <v>12.1713461538462</v>
      </c>
      <c r="Y9" t="n">
        <v>10.8189743589744</v>
      </c>
      <c r="Z9" t="n">
        <v>8.21825936883629</v>
      </c>
      <c r="AA9" t="n">
        <v>7.49005917159763</v>
      </c>
      <c r="AB9" t="n">
        <v>6.87443786982248</v>
      </c>
      <c r="AC9" t="n">
        <v>6.67224852071006</v>
      </c>
      <c r="AD9" t="n">
        <v>6.47307692307692</v>
      </c>
      <c r="AE9" t="n">
        <v>5.1</v>
      </c>
      <c r="AF9" t="n">
        <v>3.9</v>
      </c>
    </row>
    <row r="10">
      <c r="A10" t="s">
        <v>144</v>
      </c>
      <c r="B10" t="s">
        <v>290</v>
      </c>
      <c r="C10" t="s">
        <v>217</v>
      </c>
      <c r="D10" t="s">
        <v>291</v>
      </c>
      <c r="E10" t="s">
        <v>218</v>
      </c>
      <c r="F10" t="n">
        <v>18.0539469328789</v>
      </c>
      <c r="G10" t="n">
        <v>16.0590356695773</v>
      </c>
      <c r="H10" t="n">
        <v>16.0590356695773</v>
      </c>
      <c r="I10" t="n">
        <v>15.1968055665128</v>
      </c>
      <c r="J10" t="n">
        <v>15.1968055665128</v>
      </c>
      <c r="K10" t="n">
        <v>15.1968055665128</v>
      </c>
      <c r="L10" t="n">
        <v>19.5671287359675</v>
      </c>
      <c r="M10" t="n">
        <v>21.987804455881</v>
      </c>
      <c r="N10" t="n">
        <v>20.2731591542756</v>
      </c>
      <c r="O10" t="n">
        <v>24.2693107183395</v>
      </c>
      <c r="P10" t="n">
        <v>21.9337703563236</v>
      </c>
      <c r="Q10" t="n">
        <v>20.2218663285129</v>
      </c>
      <c r="R10" t="n">
        <v>21.3926059580584</v>
      </c>
      <c r="S10" t="n">
        <v>25.2537104480495</v>
      </c>
      <c r="T10" t="n">
        <v>23.3032206166961</v>
      </c>
      <c r="U10" t="n">
        <v>21.0644832648737</v>
      </c>
      <c r="V10" t="n">
        <v>20.2503969551202</v>
      </c>
      <c r="W10" t="n">
        <v>17.7063772371402</v>
      </c>
      <c r="X10" t="n">
        <v>15.9460941199976</v>
      </c>
      <c r="Y10" t="n">
        <v>14.3000456947076</v>
      </c>
      <c r="Z10" t="n">
        <v>11.6252170036112</v>
      </c>
      <c r="AA10" t="n">
        <v>10.5964367378049</v>
      </c>
      <c r="AB10" t="n">
        <v>9.7813262195122</v>
      </c>
      <c r="AC10" t="n">
        <v>8.36958841463415</v>
      </c>
      <c r="AD10" t="n">
        <v>8.1703125</v>
      </c>
      <c r="AE10" t="n">
        <v>6.3</v>
      </c>
      <c r="AF10" t="n">
        <v>4.7</v>
      </c>
    </row>
    <row r="11">
      <c r="A11" t="s">
        <v>144</v>
      </c>
      <c r="B11" t="s">
        <v>292</v>
      </c>
      <c r="C11" t="s">
        <v>217</v>
      </c>
      <c r="D11" t="s">
        <v>293</v>
      </c>
      <c r="E11" t="s">
        <v>218</v>
      </c>
      <c r="F11" t="n">
        <v>4.71481976695415</v>
      </c>
      <c r="G11" t="n">
        <v>4.13749489753119</v>
      </c>
      <c r="H11" t="n">
        <v>4.13749489753119</v>
      </c>
      <c r="I11" t="n">
        <v>3.93062015265463</v>
      </c>
      <c r="J11" t="n">
        <v>3.93062015265463</v>
      </c>
      <c r="K11" t="n">
        <v>3.93062015265463</v>
      </c>
      <c r="L11" t="n">
        <v>5.0810455631877</v>
      </c>
      <c r="M11" t="n">
        <v>5.7650324659245</v>
      </c>
      <c r="N11" t="n">
        <v>5.27647039254107</v>
      </c>
      <c r="O11" t="n">
        <v>6.31291993393307</v>
      </c>
      <c r="P11" t="n">
        <v>5.12924744632062</v>
      </c>
      <c r="Q11" t="n">
        <v>4.30856785490932</v>
      </c>
      <c r="R11" t="n">
        <v>3.69305816135084</v>
      </c>
      <c r="S11" t="n">
        <v>4.09230769230769</v>
      </c>
      <c r="T11" t="n">
        <v>3.41025641025641</v>
      </c>
      <c r="U11" t="n">
        <v>3.02051282051282</v>
      </c>
      <c r="V11" t="n">
        <v>3.50769230769231</v>
      </c>
      <c r="W11" t="n">
        <v>3.8</v>
      </c>
      <c r="X11" t="n">
        <v>3.8</v>
      </c>
      <c r="Y11" t="n">
        <v>3.5</v>
      </c>
      <c r="Z11" t="n">
        <v>3.4</v>
      </c>
      <c r="AA11" t="n">
        <v>3.1</v>
      </c>
      <c r="AB11" t="n">
        <v>2.9</v>
      </c>
      <c r="AC11" t="n">
        <v>1.7</v>
      </c>
      <c r="AD11" t="n">
        <v>1.7</v>
      </c>
      <c r="AE11" t="n">
        <v>1.2</v>
      </c>
      <c r="AF11" t="n">
        <v>0.8</v>
      </c>
    </row>
    <row r="12">
      <c r="A12" t="s">
        <v>144</v>
      </c>
      <c r="B12" t="s">
        <v>294</v>
      </c>
      <c r="C12" t="s">
        <v>217</v>
      </c>
      <c r="D12" t="s">
        <v>295</v>
      </c>
      <c r="E12" t="s">
        <v>218</v>
      </c>
      <c r="F12" t="n">
        <v>142.203336669758</v>
      </c>
      <c r="G12" t="n">
        <v>245.167785098249</v>
      </c>
      <c r="H12" t="n">
        <v>447.74076308852</v>
      </c>
      <c r="I12" t="n">
        <v>542.990968839623</v>
      </c>
      <c r="J12" t="n">
        <v>677.084851494467</v>
      </c>
      <c r="K12" t="n">
        <v>786.81046915162</v>
      </c>
      <c r="L12" t="n">
        <v>676.878865434259</v>
      </c>
      <c r="M12" t="n">
        <v>563.914158529422</v>
      </c>
      <c r="N12" t="n">
        <v>462.5748152853</v>
      </c>
      <c r="O12" t="n">
        <v>383.508044618533</v>
      </c>
      <c r="P12" t="n">
        <v>317.667563176171</v>
      </c>
      <c r="Q12" t="n">
        <v>269.936802414675</v>
      </c>
      <c r="R12" t="n">
        <v>251.203018019966</v>
      </c>
      <c r="S12" t="n">
        <v>212.323878716461</v>
      </c>
      <c r="T12" t="n">
        <v>177.005013011208</v>
      </c>
      <c r="U12" t="n">
        <v>144.313062967136</v>
      </c>
      <c r="V12" t="n">
        <v>117.362420482082</v>
      </c>
      <c r="W12" t="n">
        <v>81.5724903437583</v>
      </c>
      <c r="X12" t="n">
        <v>59.0054815938353</v>
      </c>
      <c r="Y12" t="n">
        <v>51.165592431018</v>
      </c>
      <c r="Z12" t="n">
        <v>42.5352515390391</v>
      </c>
      <c r="AA12" t="n">
        <v>32.7511137758219</v>
      </c>
      <c r="AB12" t="n">
        <v>25.2010127807726</v>
      </c>
      <c r="AC12" t="n">
        <v>24.9994046785264</v>
      </c>
      <c r="AD12" t="n">
        <v>24.2966101694915</v>
      </c>
      <c r="AE12" t="n">
        <v>23.5</v>
      </c>
      <c r="AF12" t="n">
        <v>23.9</v>
      </c>
    </row>
    <row r="13">
      <c r="A13" t="s">
        <v>144</v>
      </c>
      <c r="B13" t="s">
        <v>296</v>
      </c>
      <c r="C13" t="s">
        <v>217</v>
      </c>
      <c r="D13" t="s">
        <v>297</v>
      </c>
      <c r="E13" t="s">
        <v>218</v>
      </c>
      <c r="F13" t="n">
        <v>24.500923858918</v>
      </c>
      <c r="G13" t="n">
        <v>24.1946623106816</v>
      </c>
      <c r="H13" t="n">
        <v>28.0254838432062</v>
      </c>
      <c r="I13" t="n">
        <v>28.9047147088754</v>
      </c>
      <c r="J13" t="n">
        <v>31.5810771819194</v>
      </c>
      <c r="K13" t="n">
        <v>33.7771123501985</v>
      </c>
      <c r="L13" t="n">
        <v>50.1044174137386</v>
      </c>
      <c r="M13" t="n">
        <v>59.4861087401794</v>
      </c>
      <c r="N13" t="n">
        <v>60.3094458853722</v>
      </c>
      <c r="O13" t="n">
        <v>56.6149930745133</v>
      </c>
      <c r="P13" t="n">
        <v>54.9467796505866</v>
      </c>
      <c r="Q13" t="n">
        <v>57.9079833443308</v>
      </c>
      <c r="R13" t="n">
        <v>61.819216740946</v>
      </c>
      <c r="S13" t="n">
        <v>54.7967239614237</v>
      </c>
      <c r="T13" t="n">
        <v>53.3298900504105</v>
      </c>
      <c r="U13" t="n">
        <v>42.2065016773229</v>
      </c>
      <c r="V13" t="n">
        <v>35.3622041080273</v>
      </c>
      <c r="W13" t="n">
        <v>23.1934456355591</v>
      </c>
      <c r="X13" t="n">
        <v>15.0757396631134</v>
      </c>
      <c r="Y13" t="n">
        <v>14.447583843817</v>
      </c>
      <c r="Z13" t="n">
        <v>13.400657478323</v>
      </c>
      <c r="AA13" t="n">
        <v>12.2490384762796</v>
      </c>
      <c r="AB13" t="n">
        <v>11.3226406083257</v>
      </c>
      <c r="AC13" t="n">
        <v>11.1204505974628</v>
      </c>
      <c r="AD13" t="n">
        <v>12.1222929936306</v>
      </c>
      <c r="AE13" t="n">
        <v>15.6</v>
      </c>
      <c r="AF13" t="n">
        <v>19.9</v>
      </c>
    </row>
    <row r="14">
      <c r="A14" t="s">
        <v>144</v>
      </c>
      <c r="B14" t="s">
        <v>298</v>
      </c>
      <c r="C14" t="s">
        <v>217</v>
      </c>
      <c r="D14" t="s">
        <v>299</v>
      </c>
      <c r="E14" t="s">
        <v>218</v>
      </c>
      <c r="F14" t="e">
        <v>#NUM!</v>
      </c>
      <c r="G14" t="e">
        <v>#NUM!</v>
      </c>
      <c r="H14" t="e">
        <v>#NUM!</v>
      </c>
      <c r="I14" t="e">
        <v>#NUM!</v>
      </c>
      <c r="J14" t="e">
        <v>#NUM!</v>
      </c>
      <c r="K14" t="e">
        <v>#NUM!</v>
      </c>
      <c r="L14" t="e">
        <v>#NUM!</v>
      </c>
      <c r="M14" t="e">
        <v>#NUM!</v>
      </c>
      <c r="N14" t="e">
        <v>#NUM!</v>
      </c>
      <c r="O14" t="e">
        <v>#NUM!</v>
      </c>
      <c r="P14" t="e">
        <v>#NUM!</v>
      </c>
      <c r="Q14" t="e">
        <v>#NUM!</v>
      </c>
      <c r="R14" t="e">
        <v>#NUM!</v>
      </c>
      <c r="S14" t="e">
        <v>#NUM!</v>
      </c>
      <c r="T14" t="e">
        <v>#NUM!</v>
      </c>
      <c r="U14" t="e">
        <v>#NUM!</v>
      </c>
      <c r="V14" t="e">
        <v>#NUM!</v>
      </c>
      <c r="W14" t="e">
        <v>#NUM!</v>
      </c>
      <c r="X14" t="e">
        <v>#NUM!</v>
      </c>
      <c r="Y14" t="e">
        <v>#NUM!</v>
      </c>
      <c r="Z14" t="e">
        <v>#NUM!</v>
      </c>
      <c r="AA14" t="e">
        <v>#NUM!</v>
      </c>
      <c r="AB14" t="e">
        <v>#NUM!</v>
      </c>
      <c r="AC14" t="e">
        <v>#NUM!</v>
      </c>
      <c r="AD14" t="e">
        <v>#NUM!</v>
      </c>
      <c r="AE14" t="n">
        <v>0</v>
      </c>
      <c r="AF14" t="e">
        <v>#NUM!</v>
      </c>
    </row>
    <row r="15">
      <c r="A15" t="s">
        <v>144</v>
      </c>
      <c r="B15" t="s">
        <v>300</v>
      </c>
      <c r="C15" t="s">
        <v>217</v>
      </c>
      <c r="D15" t="s">
        <v>301</v>
      </c>
      <c r="E15" t="s">
        <v>218</v>
      </c>
      <c r="F15" t="n">
        <v>6.08646420292604</v>
      </c>
      <c r="G15" t="n">
        <v>5.89324311711887</v>
      </c>
      <c r="H15" t="n">
        <v>6.85934854615475</v>
      </c>
      <c r="I15" t="n">
        <v>7.07040542449797</v>
      </c>
      <c r="J15" t="n">
        <v>7.68522328749779</v>
      </c>
      <c r="K15" t="n">
        <v>8.29195144177393</v>
      </c>
      <c r="L15" t="n">
        <v>11.4507900862592</v>
      </c>
      <c r="M15" t="n">
        <v>10.8481169238245</v>
      </c>
      <c r="N15" t="n">
        <v>9.64277059895515</v>
      </c>
      <c r="O15" t="n">
        <v>8.863556813181</v>
      </c>
      <c r="P15" t="n">
        <v>7.53911728937234</v>
      </c>
      <c r="Q15" t="n">
        <v>8.18532734274711</v>
      </c>
      <c r="R15" t="n">
        <v>8.0790243902439</v>
      </c>
      <c r="S15" t="n">
        <v>8.49333333333334</v>
      </c>
      <c r="T15" t="n">
        <v>7.28</v>
      </c>
      <c r="U15" t="n">
        <v>8.29111111111111</v>
      </c>
      <c r="V15" t="n">
        <v>5.86444444444445</v>
      </c>
      <c r="W15" t="n">
        <v>4.04444444444445</v>
      </c>
      <c r="X15" t="n">
        <v>2.28148148148148</v>
      </c>
      <c r="Y15" t="n">
        <v>2.8</v>
      </c>
      <c r="Z15" t="n">
        <v>1.5</v>
      </c>
      <c r="AA15" t="n">
        <v>1.4</v>
      </c>
      <c r="AB15" t="n">
        <v>1.4</v>
      </c>
      <c r="AC15" t="n">
        <v>2</v>
      </c>
      <c r="AD15" t="n">
        <v>2.6</v>
      </c>
      <c r="AE15" t="n">
        <v>2.8</v>
      </c>
      <c r="AF15" t="n">
        <v>3</v>
      </c>
    </row>
    <row r="16">
      <c r="A16" t="s">
        <v>144</v>
      </c>
      <c r="B16" t="s">
        <v>302</v>
      </c>
      <c r="C16" t="s">
        <v>217</v>
      </c>
      <c r="D16" t="s">
        <v>303</v>
      </c>
      <c r="E16" t="s">
        <v>218</v>
      </c>
      <c r="F16" t="n">
        <v>4.65916291849572</v>
      </c>
      <c r="G16" t="n">
        <v>4.5640779609754</v>
      </c>
      <c r="H16" t="n">
        <v>5.32475762113796</v>
      </c>
      <c r="I16" t="n">
        <v>5.53357164549632</v>
      </c>
      <c r="J16" t="n">
        <v>6.04593939044968</v>
      </c>
      <c r="K16" t="n">
        <v>6.54976767298715</v>
      </c>
      <c r="L16" t="n">
        <v>9.03074027639138</v>
      </c>
      <c r="M16" t="n">
        <v>9.03074027639138</v>
      </c>
      <c r="N16" t="n">
        <v>7.9269831314991</v>
      </c>
      <c r="O16" t="n">
        <v>7.15361892354797</v>
      </c>
      <c r="P16" t="n">
        <v>6.14606696248487</v>
      </c>
      <c r="Q16" t="n">
        <v>7.00867285195643</v>
      </c>
      <c r="R16" t="n">
        <v>7.11486486486486</v>
      </c>
      <c r="S16" t="n">
        <v>7.6304347826087</v>
      </c>
      <c r="T16" t="n">
        <v>6.91826086956522</v>
      </c>
      <c r="U16" t="n">
        <v>6.81652173913043</v>
      </c>
      <c r="V16" t="n">
        <v>4.78173913043478</v>
      </c>
      <c r="W16" t="n">
        <v>4.0695652173913</v>
      </c>
      <c r="X16" t="n">
        <v>2.08695652173913</v>
      </c>
      <c r="Y16" t="n">
        <v>2.4</v>
      </c>
      <c r="Z16" t="n">
        <v>1.2</v>
      </c>
      <c r="AA16" t="n">
        <v>0.9</v>
      </c>
      <c r="AB16" t="n">
        <v>0.7</v>
      </c>
      <c r="AC16" t="n">
        <v>1.4</v>
      </c>
      <c r="AD16" t="n">
        <v>2.6</v>
      </c>
      <c r="AE16" t="n">
        <v>2.8</v>
      </c>
      <c r="AF16" t="n">
        <v>3</v>
      </c>
    </row>
    <row r="17">
      <c r="A17" t="s">
        <v>144</v>
      </c>
      <c r="B17" t="s">
        <v>304</v>
      </c>
      <c r="C17" t="s">
        <v>217</v>
      </c>
      <c r="D17" t="s">
        <v>305</v>
      </c>
      <c r="E17" t="s">
        <v>218</v>
      </c>
      <c r="F17" t="n">
        <v>7.17004111168935</v>
      </c>
      <c r="G17" t="n">
        <v>6.64283220641808</v>
      </c>
      <c r="H17" t="n">
        <v>7.05800921931921</v>
      </c>
      <c r="I17" t="n">
        <v>6.94597732694906</v>
      </c>
      <c r="J17" t="n">
        <v>7.27673815204188</v>
      </c>
      <c r="K17" t="n">
        <v>7.49075986239605</v>
      </c>
      <c r="L17" t="n">
        <v>10.1957564793724</v>
      </c>
      <c r="M17" t="n">
        <v>9.98553469629256</v>
      </c>
      <c r="N17" t="n">
        <v>9.36143877777427</v>
      </c>
      <c r="O17" t="n">
        <v>9.46209940979335</v>
      </c>
      <c r="P17" t="n">
        <v>10.1980404749995</v>
      </c>
      <c r="Q17" t="n">
        <v>12.9394492048381</v>
      </c>
      <c r="R17" t="n">
        <v>12.2924767445962</v>
      </c>
      <c r="S17" t="n">
        <v>11.1367738027965</v>
      </c>
      <c r="T17" t="n">
        <v>13.1143317677791</v>
      </c>
      <c r="U17" t="n">
        <v>11.9784447642707</v>
      </c>
      <c r="V17" t="n">
        <v>10.016458121847</v>
      </c>
      <c r="W17" t="n">
        <v>9.50014584752502</v>
      </c>
      <c r="X17" t="n">
        <v>12.8408564752261</v>
      </c>
      <c r="Y17" t="n">
        <v>12.4266352986059</v>
      </c>
      <c r="Z17" t="n">
        <v>11.0804164745903</v>
      </c>
      <c r="AA17" t="n">
        <v>9.83775294472969</v>
      </c>
      <c r="AB17" t="n">
        <v>8.81298701298701</v>
      </c>
      <c r="AC17" t="n">
        <v>7.8</v>
      </c>
      <c r="AD17" t="n">
        <v>6.8</v>
      </c>
      <c r="AE17" t="n">
        <v>5.7</v>
      </c>
      <c r="AF17" t="n">
        <v>4.9</v>
      </c>
    </row>
    <row r="18">
      <c r="A18" t="s">
        <v>144</v>
      </c>
      <c r="B18" t="s">
        <v>306</v>
      </c>
      <c r="C18" t="s">
        <v>217</v>
      </c>
      <c r="D18" t="s">
        <v>307</v>
      </c>
      <c r="E18" t="s">
        <v>218</v>
      </c>
      <c r="F18" t="n">
        <v>18.2724839138393</v>
      </c>
      <c r="G18" t="n">
        <v>15.2911839068445</v>
      </c>
      <c r="H18" t="n">
        <v>13.3916579556837</v>
      </c>
      <c r="I18" t="n">
        <v>11.6268658219889</v>
      </c>
      <c r="J18" t="n">
        <v>10.4136276492596</v>
      </c>
      <c r="K18" t="n">
        <v>9.43120994649929</v>
      </c>
      <c r="L18" t="n">
        <v>12.7994992131062</v>
      </c>
      <c r="M18" t="n">
        <v>11.7328742786807</v>
      </c>
      <c r="N18" t="n">
        <v>12.9934310193654</v>
      </c>
      <c r="O18" t="n">
        <v>15.253158153168</v>
      </c>
      <c r="P18" t="n">
        <v>13.7770460738292</v>
      </c>
      <c r="Q18" t="n">
        <v>12.534004322807</v>
      </c>
      <c r="R18" t="n">
        <v>11.7121024</v>
      </c>
      <c r="S18" t="n">
        <v>9.591808</v>
      </c>
      <c r="T18" t="n">
        <v>7.4936</v>
      </c>
      <c r="U18" t="n">
        <v>4.93</v>
      </c>
      <c r="V18" t="n">
        <v>2.9</v>
      </c>
      <c r="W18" t="n">
        <v>2.5</v>
      </c>
      <c r="X18" t="n">
        <v>1.5</v>
      </c>
      <c r="Y18" t="n">
        <v>1.3</v>
      </c>
      <c r="Z18" t="n">
        <v>1.2</v>
      </c>
      <c r="AA18" t="n">
        <v>1.1</v>
      </c>
      <c r="AB18" t="n">
        <v>1</v>
      </c>
      <c r="AC18" t="n">
        <v>0.7</v>
      </c>
      <c r="AD18" t="n">
        <v>0.6</v>
      </c>
      <c r="AE18" t="n">
        <v>1.1</v>
      </c>
      <c r="AF18" t="n">
        <v>1.7</v>
      </c>
    </row>
    <row r="19">
      <c r="A19" t="s">
        <v>144</v>
      </c>
      <c r="B19" t="s">
        <v>308</v>
      </c>
      <c r="C19" t="s">
        <v>217</v>
      </c>
      <c r="D19" t="s">
        <v>309</v>
      </c>
      <c r="E19" t="s">
        <v>218</v>
      </c>
      <c r="F19" t="n">
        <v>16.8751119965219</v>
      </c>
      <c r="G19" t="n">
        <v>15.4345536553554</v>
      </c>
      <c r="H19" t="n">
        <v>15.9422692361237</v>
      </c>
      <c r="I19" t="n">
        <v>15.3887182209805</v>
      </c>
      <c r="J19" t="n">
        <v>15.8191718775114</v>
      </c>
      <c r="K19" t="n">
        <v>16.1334600605083</v>
      </c>
      <c r="L19" t="n">
        <v>20.5242118491277</v>
      </c>
      <c r="M19" t="n">
        <v>18.6677504758398</v>
      </c>
      <c r="N19" t="n">
        <v>21.1294318572692</v>
      </c>
      <c r="O19" t="n">
        <v>22.7241059597046</v>
      </c>
      <c r="P19" t="n">
        <v>26.2682325772732</v>
      </c>
      <c r="Q19" t="n">
        <v>25.7186879626859</v>
      </c>
      <c r="R19" t="n">
        <v>25.064823014482</v>
      </c>
      <c r="S19" t="n">
        <v>24.5315289077909</v>
      </c>
      <c r="T19" t="n">
        <v>24.5315289077909</v>
      </c>
      <c r="U19" t="n">
        <v>21.8174023052268</v>
      </c>
      <c r="V19" t="n">
        <v>9.81261156311637</v>
      </c>
      <c r="W19" t="n">
        <v>8.76871671597633</v>
      </c>
      <c r="X19" t="n">
        <v>5.49365384615385</v>
      </c>
      <c r="Y19" t="n">
        <v>6.53019230769231</v>
      </c>
      <c r="Z19" t="n">
        <v>2.38403846153846</v>
      </c>
      <c r="AA19" t="n">
        <v>2.07307692307692</v>
      </c>
      <c r="AB19" t="n">
        <v>1.87564102564103</v>
      </c>
      <c r="AC19" t="n">
        <v>3.35641025641026</v>
      </c>
      <c r="AD19" t="n">
        <v>5.23205128205128</v>
      </c>
      <c r="AE19" t="n">
        <v>7.7</v>
      </c>
      <c r="AF19" t="n">
        <v>10.6</v>
      </c>
    </row>
    <row r="20">
      <c r="A20" t="s">
        <v>144</v>
      </c>
      <c r="B20" t="s">
        <v>310</v>
      </c>
      <c r="C20" t="s">
        <v>217</v>
      </c>
      <c r="D20" t="s">
        <v>311</v>
      </c>
      <c r="E20" t="s">
        <v>218</v>
      </c>
      <c r="F20" t="n">
        <v>10.0453155478704</v>
      </c>
      <c r="G20" t="n">
        <v>10.4858995631279</v>
      </c>
      <c r="H20" t="n">
        <v>12.9990490451999</v>
      </c>
      <c r="I20" t="n">
        <v>13.8468131133651</v>
      </c>
      <c r="J20" t="n">
        <v>15.5891273461726</v>
      </c>
      <c r="K20" t="n">
        <v>17.0226103205333</v>
      </c>
      <c r="L20" t="n">
        <v>15.9750650700389</v>
      </c>
      <c r="M20" t="n">
        <v>73.0793031933272</v>
      </c>
      <c r="N20" t="n">
        <v>60.5036830288919</v>
      </c>
      <c r="O20" t="n">
        <v>50.6046319268447</v>
      </c>
      <c r="P20" t="n">
        <v>50.2482612794725</v>
      </c>
      <c r="Q20" t="n">
        <v>44.2372543226758</v>
      </c>
      <c r="R20" t="n">
        <v>38.1837353100991</v>
      </c>
      <c r="S20" t="n">
        <v>38.9127803756857</v>
      </c>
      <c r="T20" t="n">
        <v>40.0810624654869</v>
      </c>
      <c r="U20" t="n">
        <v>39.5466482992804</v>
      </c>
      <c r="V20" t="n">
        <v>34.6668562212201</v>
      </c>
      <c r="W20" t="n">
        <v>31.5060546245795</v>
      </c>
      <c r="X20" t="n">
        <v>25.2048436996636</v>
      </c>
      <c r="Y20" t="n">
        <v>25.4105975257833</v>
      </c>
      <c r="Z20" t="n">
        <v>23.9761283106181</v>
      </c>
      <c r="AA20" t="n">
        <v>21.9268865746678</v>
      </c>
      <c r="AB20" t="n">
        <v>20.5056994818653</v>
      </c>
      <c r="AC20" t="n">
        <v>20.3046632124352</v>
      </c>
      <c r="AD20" t="n">
        <v>19.3044334975369</v>
      </c>
      <c r="AE20" t="n">
        <v>20.2</v>
      </c>
      <c r="AF20" t="n">
        <v>21.8</v>
      </c>
    </row>
    <row r="21">
      <c r="A21" t="s">
        <v>144</v>
      </c>
      <c r="B21" t="s">
        <v>312</v>
      </c>
      <c r="C21" t="s">
        <v>217</v>
      </c>
      <c r="D21" t="s">
        <v>313</v>
      </c>
      <c r="E21" t="s">
        <v>218</v>
      </c>
      <c r="F21" t="n">
        <v>35.1323088178005</v>
      </c>
      <c r="G21" t="n">
        <v>33.1622728093257</v>
      </c>
      <c r="H21" t="n">
        <v>36.1358879150352</v>
      </c>
      <c r="I21" t="n">
        <v>35.9952813472724</v>
      </c>
      <c r="J21" t="n">
        <v>38.1126508382885</v>
      </c>
      <c r="K21" t="n">
        <v>39.9116745666692</v>
      </c>
      <c r="L21" t="n">
        <v>53.7572554831196</v>
      </c>
      <c r="M21" t="n">
        <v>103.171819580822</v>
      </c>
      <c r="N21" t="n">
        <v>100.351483762656</v>
      </c>
      <c r="O21" t="n">
        <v>101.242365673041</v>
      </c>
      <c r="P21" t="n">
        <v>101.64095766388</v>
      </c>
      <c r="Q21" t="n">
        <v>96.1809062191257</v>
      </c>
      <c r="R21" t="n">
        <v>89.5931729164459</v>
      </c>
      <c r="S21" t="n">
        <v>94.2764524098056</v>
      </c>
      <c r="T21" t="n">
        <v>101.430764755798</v>
      </c>
      <c r="U21" t="n">
        <v>142.069365275605</v>
      </c>
      <c r="V21" t="n">
        <v>131.519152857878</v>
      </c>
      <c r="W21" t="n">
        <v>126.056366728201</v>
      </c>
      <c r="X21" t="n">
        <v>110.493852317312</v>
      </c>
      <c r="Y21" t="n">
        <v>114.311100249843</v>
      </c>
      <c r="Z21" t="n">
        <v>107.005890422895</v>
      </c>
      <c r="AA21" t="n">
        <v>94.0292376863361</v>
      </c>
      <c r="AB21" t="n">
        <v>94.5391576304052</v>
      </c>
      <c r="AC21" t="n">
        <v>93.8343928770369</v>
      </c>
      <c r="AD21" t="n">
        <v>96.5411542100284</v>
      </c>
      <c r="AE21" t="n">
        <v>105.2</v>
      </c>
      <c r="AF21" t="n">
        <v>116.9</v>
      </c>
    </row>
    <row r="22">
      <c r="A22" t="s">
        <v>144</v>
      </c>
      <c r="B22" t="s">
        <v>314</v>
      </c>
      <c r="C22" t="s">
        <v>217</v>
      </c>
      <c r="D22" t="s">
        <v>315</v>
      </c>
      <c r="E22" t="s">
        <v>218</v>
      </c>
      <c r="F22" t="n">
        <v>25.1629784953054</v>
      </c>
      <c r="G22" t="n">
        <v>23.0710444161232</v>
      </c>
      <c r="H22" t="n">
        <v>24.0715744035571</v>
      </c>
      <c r="I22" t="n">
        <v>23.3673528119637</v>
      </c>
      <c r="J22" t="n">
        <v>24.1131193910689</v>
      </c>
      <c r="K22" t="n">
        <v>24.7795623893145</v>
      </c>
      <c r="L22" t="n">
        <v>38.0860099730753</v>
      </c>
      <c r="M22" t="n">
        <v>44.3139109749619</v>
      </c>
      <c r="N22" t="n">
        <v>50.2861361737438</v>
      </c>
      <c r="O22" t="n">
        <v>57.8174699324842</v>
      </c>
      <c r="P22" t="n">
        <v>58.422255182824</v>
      </c>
      <c r="Q22" t="n">
        <v>57.5303123556053</v>
      </c>
      <c r="R22" t="n">
        <v>55.6378678702236</v>
      </c>
      <c r="S22" t="n">
        <v>59.4046935528913</v>
      </c>
      <c r="T22" t="n">
        <v>65.1201911925758</v>
      </c>
      <c r="U22" t="n">
        <v>102.443708181654</v>
      </c>
      <c r="V22" t="n">
        <v>96.7980128409817</v>
      </c>
      <c r="W22" t="n">
        <v>94.5228458724971</v>
      </c>
      <c r="X22" t="n">
        <v>85.2783038036485</v>
      </c>
      <c r="Y22" t="n">
        <v>88.8917912529556</v>
      </c>
      <c r="Z22" t="n">
        <v>83.0206068944174</v>
      </c>
      <c r="AA22" t="n">
        <v>72.0887008934134</v>
      </c>
      <c r="AB22" t="n">
        <v>74.028765081763</v>
      </c>
      <c r="AC22" t="n">
        <v>73.5251680403905</v>
      </c>
      <c r="AD22" t="n">
        <v>77.2365339578454</v>
      </c>
      <c r="AE22" t="n">
        <v>85</v>
      </c>
      <c r="AF22" t="n">
        <v>95.1</v>
      </c>
    </row>
    <row r="23">
      <c r="A23" t="s">
        <v>144</v>
      </c>
      <c r="B23" t="s">
        <v>316</v>
      </c>
      <c r="C23" t="s">
        <v>217</v>
      </c>
      <c r="D23" t="s">
        <v>317</v>
      </c>
      <c r="E23" t="s">
        <v>218</v>
      </c>
      <c r="F23" t="n">
        <v>192.750057251417</v>
      </c>
      <c r="G23" t="n">
        <v>193.541870866886</v>
      </c>
      <c r="H23" t="n">
        <v>228.812477091763</v>
      </c>
      <c r="I23" t="n">
        <v>239.384269713634</v>
      </c>
      <c r="J23" t="n">
        <v>263.784645547878</v>
      </c>
      <c r="K23" t="n">
        <v>284.564179989287</v>
      </c>
      <c r="L23" t="n">
        <v>548.182994929896</v>
      </c>
      <c r="M23" t="n">
        <v>444.666388707401</v>
      </c>
      <c r="N23" t="n">
        <v>607.086040265915</v>
      </c>
      <c r="O23" t="n">
        <v>648.134163439261</v>
      </c>
      <c r="P23" t="n">
        <v>676.025897207492</v>
      </c>
      <c r="Q23" t="n">
        <v>732.972402648325</v>
      </c>
      <c r="R23" t="n">
        <v>860.603810609887</v>
      </c>
      <c r="S23" t="n">
        <v>881.970525907788</v>
      </c>
      <c r="T23" t="n">
        <v>800.656576627665</v>
      </c>
      <c r="U23" t="n">
        <v>574.441891681296</v>
      </c>
      <c r="V23" t="n">
        <v>477.222370677518</v>
      </c>
      <c r="W23" t="n">
        <v>409.208466583958</v>
      </c>
      <c r="X23" t="n">
        <v>352.025137877958</v>
      </c>
      <c r="Y23" t="n">
        <v>307.453212371083</v>
      </c>
      <c r="Z23" t="n">
        <v>260.73843378458</v>
      </c>
      <c r="AA23" t="n">
        <v>226.832131525637</v>
      </c>
      <c r="AB23" t="n">
        <v>200.302057662989</v>
      </c>
      <c r="AC23" t="n">
        <v>170.694815353829</v>
      </c>
      <c r="AD23" t="n">
        <v>143.901449275362</v>
      </c>
      <c r="AE23" t="n">
        <v>123.6</v>
      </c>
      <c r="AF23" t="n">
        <v>109.6</v>
      </c>
    </row>
    <row r="24">
      <c r="A24" t="s">
        <v>144</v>
      </c>
      <c r="B24" t="s">
        <v>318</v>
      </c>
      <c r="C24" t="s">
        <v>217</v>
      </c>
      <c r="D24" t="s">
        <v>319</v>
      </c>
      <c r="E24" t="s">
        <v>218</v>
      </c>
      <c r="F24" t="n">
        <v>819.867007407829</v>
      </c>
      <c r="G24" t="n">
        <v>711.177139682785</v>
      </c>
      <c r="H24" t="n">
        <v>674.76590780481</v>
      </c>
      <c r="I24" t="n">
        <v>617.50018864221</v>
      </c>
      <c r="J24" t="n">
        <v>595.89553827623</v>
      </c>
      <c r="K24" t="n">
        <v>579.72300800986</v>
      </c>
      <c r="L24" t="n">
        <v>989.28553929729</v>
      </c>
      <c r="M24" t="n">
        <v>1000.52849404625</v>
      </c>
      <c r="N24" t="n">
        <v>1157.54986474622</v>
      </c>
      <c r="O24" t="n">
        <v>1237.22964703693</v>
      </c>
      <c r="P24" t="n">
        <v>1389.67588932672</v>
      </c>
      <c r="Q24" t="n">
        <v>1547.4131005221</v>
      </c>
      <c r="R24" t="n">
        <v>1694.74785275915</v>
      </c>
      <c r="S24" t="n">
        <v>1759.66428859843</v>
      </c>
      <c r="T24" t="n">
        <v>1721.4566297407</v>
      </c>
      <c r="U24" t="n">
        <v>1589.78390594603</v>
      </c>
      <c r="V24" t="n">
        <v>1390.95885145304</v>
      </c>
      <c r="W24" t="n">
        <v>1178.94864546432</v>
      </c>
      <c r="X24" t="n">
        <v>1010.58676067023</v>
      </c>
      <c r="Y24" t="n">
        <v>1021.45773801583</v>
      </c>
      <c r="Z24" t="n">
        <v>1001.37665535497</v>
      </c>
      <c r="AA24" t="n">
        <v>1029.84888744294</v>
      </c>
      <c r="AB24" t="n">
        <v>1059.97337150796</v>
      </c>
      <c r="AC24" t="n">
        <v>971.633863115626</v>
      </c>
      <c r="AD24" t="n">
        <v>891.040743388134</v>
      </c>
      <c r="AE24" t="n">
        <v>835.5</v>
      </c>
      <c r="AF24" t="n">
        <v>824.6</v>
      </c>
    </row>
    <row r="25">
      <c r="A25" t="s">
        <v>144</v>
      </c>
      <c r="B25" t="s">
        <v>320</v>
      </c>
      <c r="C25" t="s">
        <v>217</v>
      </c>
      <c r="D25" t="s">
        <v>321</v>
      </c>
      <c r="E25" t="s">
        <v>218</v>
      </c>
      <c r="F25" t="n">
        <v>22.6849705490767</v>
      </c>
      <c r="G25" t="n">
        <v>32.5024157867023</v>
      </c>
      <c r="H25" t="n">
        <v>53.417013771189</v>
      </c>
      <c r="I25" t="n">
        <v>62.8677162076302</v>
      </c>
      <c r="J25" t="n">
        <v>76.7605819514467</v>
      </c>
      <c r="K25" t="n">
        <v>88.157774956928</v>
      </c>
      <c r="L25" t="n">
        <v>361.285207185943</v>
      </c>
      <c r="M25" t="n">
        <v>340.711754727776</v>
      </c>
      <c r="N25" t="n">
        <v>361.317388276713</v>
      </c>
      <c r="O25" t="n">
        <v>375.543214423481</v>
      </c>
      <c r="P25" t="n">
        <v>405.850892359364</v>
      </c>
      <c r="Q25" t="n">
        <v>455.571974710423</v>
      </c>
      <c r="R25" t="n">
        <v>516.861955742179</v>
      </c>
      <c r="S25" t="n">
        <v>556.834200640298</v>
      </c>
      <c r="T25" t="n">
        <v>546.285508539061</v>
      </c>
      <c r="U25" t="n">
        <v>498.824533506412</v>
      </c>
      <c r="V25" t="n">
        <v>415.908357210157</v>
      </c>
      <c r="W25" t="n">
        <v>338.00871166821</v>
      </c>
      <c r="X25" t="n">
        <v>285.535794547876</v>
      </c>
      <c r="Y25" t="n">
        <v>267.100766825888</v>
      </c>
      <c r="Z25" t="n">
        <v>249.692348162727</v>
      </c>
      <c r="AA25" t="n">
        <v>273.320260447547</v>
      </c>
      <c r="AB25" t="n">
        <v>294.564884578</v>
      </c>
      <c r="AC25" t="n">
        <v>275.524951888108</v>
      </c>
      <c r="AD25" t="n">
        <v>240.695386021014</v>
      </c>
      <c r="AE25" t="n">
        <v>217.9</v>
      </c>
      <c r="AF25" t="n">
        <v>206.6</v>
      </c>
    </row>
    <row r="26">
      <c r="A26" t="s">
        <v>144</v>
      </c>
      <c r="B26" t="s">
        <v>322</v>
      </c>
      <c r="C26" t="s">
        <v>217</v>
      </c>
      <c r="D26" t="s">
        <v>323</v>
      </c>
      <c r="E26" t="s">
        <v>218</v>
      </c>
      <c r="F26" t="n">
        <v>300.969811943604</v>
      </c>
      <c r="G26" t="n">
        <v>263.908318798285</v>
      </c>
      <c r="H26" t="n">
        <v>255.349638466623</v>
      </c>
      <c r="I26" t="n">
        <v>236.693020963241</v>
      </c>
      <c r="J26" t="n">
        <v>231.9093304343</v>
      </c>
      <c r="K26" t="n">
        <v>228.510324334969</v>
      </c>
      <c r="L26" t="n">
        <v>319.819636506993</v>
      </c>
      <c r="M26" t="n">
        <v>362.57729774264</v>
      </c>
      <c r="N26" t="n">
        <v>501.088899226711</v>
      </c>
      <c r="O26" t="n">
        <v>563.122295522542</v>
      </c>
      <c r="P26" t="n">
        <v>628.027153255228</v>
      </c>
      <c r="Q26" t="n">
        <v>718.619764056177</v>
      </c>
      <c r="R26" t="n">
        <v>787.319530618556</v>
      </c>
      <c r="S26" t="n">
        <v>820.755138276437</v>
      </c>
      <c r="T26" t="n">
        <v>812.668400802915</v>
      </c>
      <c r="U26" t="n">
        <v>747.249077694286</v>
      </c>
      <c r="V26" t="n">
        <v>646.506714672259</v>
      </c>
      <c r="W26" t="n">
        <v>550.113975637554</v>
      </c>
      <c r="X26" t="n">
        <v>463.898983232121</v>
      </c>
      <c r="Y26" t="n">
        <v>489.889752158742</v>
      </c>
      <c r="Z26" t="n">
        <v>497.512090606965</v>
      </c>
      <c r="AA26" t="n">
        <v>477.599225926927</v>
      </c>
      <c r="AB26" t="n">
        <v>464.221954471629</v>
      </c>
      <c r="AC26" t="n">
        <v>427.257437810512</v>
      </c>
      <c r="AD26" t="n">
        <v>397.649511065363</v>
      </c>
      <c r="AE26" t="n">
        <v>386.8</v>
      </c>
      <c r="AF26" t="n">
        <v>396.9</v>
      </c>
    </row>
    <row r="27">
      <c r="A27" t="s">
        <v>144</v>
      </c>
      <c r="B27" t="s">
        <v>324</v>
      </c>
      <c r="C27" t="s">
        <v>217</v>
      </c>
      <c r="D27" t="s">
        <v>325</v>
      </c>
      <c r="E27" t="s">
        <v>218</v>
      </c>
      <c r="F27" t="n">
        <v>474.158402271051</v>
      </c>
      <c r="G27" t="n">
        <v>396.701278483049</v>
      </c>
      <c r="H27" t="n">
        <v>350.762832090758</v>
      </c>
      <c r="I27" t="n">
        <v>305.173221489316</v>
      </c>
      <c r="J27" t="n">
        <v>276.272834192368</v>
      </c>
      <c r="K27" t="n">
        <v>253.54439060591</v>
      </c>
      <c r="L27" t="n">
        <v>302.007008691727</v>
      </c>
      <c r="M27" t="n">
        <v>291.901355158364</v>
      </c>
      <c r="N27" t="n">
        <v>292.168827383617</v>
      </c>
      <c r="O27" t="n">
        <v>296.49341038219</v>
      </c>
      <c r="P27" t="n">
        <v>352.052047611028</v>
      </c>
      <c r="Q27" t="n">
        <v>370.60614201215</v>
      </c>
      <c r="R27" t="n">
        <v>388.97629902597</v>
      </c>
      <c r="S27" t="n">
        <v>382.058295130559</v>
      </c>
      <c r="T27" t="n">
        <v>363.250669187152</v>
      </c>
      <c r="U27" t="n">
        <v>343.785984358468</v>
      </c>
      <c r="V27" t="n">
        <v>328.585951222145</v>
      </c>
      <c r="W27" t="n">
        <v>290.84918931708</v>
      </c>
      <c r="X27" t="n">
        <v>261.162227095565</v>
      </c>
      <c r="Y27" t="n">
        <v>264.473317137981</v>
      </c>
      <c r="Z27" t="n">
        <v>254.182526587865</v>
      </c>
      <c r="AA27" t="n">
        <v>278.930521062952</v>
      </c>
      <c r="AB27" t="n">
        <v>301.187788117023</v>
      </c>
      <c r="AC27" t="n">
        <v>268.85291186767</v>
      </c>
      <c r="AD27" t="n">
        <v>252.695644674429</v>
      </c>
      <c r="AE27" t="n">
        <v>230.8</v>
      </c>
      <c r="AF27" t="n">
        <v>221.1</v>
      </c>
    </row>
    <row r="28">
      <c r="A28" t="s">
        <v>144</v>
      </c>
      <c r="B28" t="s">
        <v>326</v>
      </c>
      <c r="C28" t="s">
        <v>217</v>
      </c>
      <c r="D28" t="s">
        <v>327</v>
      </c>
      <c r="E28" t="s">
        <v>218</v>
      </c>
      <c r="F28" t="n">
        <v>2749.17533860418</v>
      </c>
      <c r="G28" t="n">
        <v>3712.15906791</v>
      </c>
      <c r="H28" t="n">
        <v>4514.77372208667</v>
      </c>
      <c r="I28" t="n">
        <v>6495.91235280982</v>
      </c>
      <c r="J28" t="n">
        <v>7718.95510369062</v>
      </c>
      <c r="K28" t="n">
        <v>9281.89057842878</v>
      </c>
      <c r="L28" t="n">
        <v>12020.4564400754</v>
      </c>
      <c r="M28" t="n">
        <v>14428.264148318</v>
      </c>
      <c r="N28" t="n">
        <v>17013.7233140783</v>
      </c>
      <c r="O28" t="n">
        <v>18034.3263897832</v>
      </c>
      <c r="P28" t="n">
        <v>19311.5077824041</v>
      </c>
      <c r="Q28" t="n">
        <v>23510.39412978</v>
      </c>
      <c r="R28" t="n">
        <v>28484.1259823824</v>
      </c>
      <c r="S28" t="n">
        <v>32121.4545088648</v>
      </c>
      <c r="T28" t="n">
        <v>34060.1609269158</v>
      </c>
      <c r="U28" t="n">
        <v>36099.3758693315</v>
      </c>
      <c r="V28" t="n">
        <v>33287.8737359114</v>
      </c>
      <c r="W28" t="n">
        <v>30477.5981553345</v>
      </c>
      <c r="X28" t="n">
        <v>27974.8798705605</v>
      </c>
      <c r="Y28" t="n">
        <v>25782.8110364527</v>
      </c>
      <c r="Z28" t="n">
        <v>23863.4777746147</v>
      </c>
      <c r="AA28" t="n">
        <v>22011.3664867573</v>
      </c>
      <c r="AB28" t="n">
        <v>20739.8228781637</v>
      </c>
      <c r="AC28" t="n">
        <v>19512.5854299497</v>
      </c>
      <c r="AD28" t="n">
        <v>18441.9431397016</v>
      </c>
      <c r="AE28" t="n">
        <v>17130.3</v>
      </c>
      <c r="AF28" t="n">
        <v>15928.9</v>
      </c>
    </row>
    <row r="29">
      <c r="A29" t="s">
        <v>144</v>
      </c>
      <c r="B29" t="s">
        <v>328</v>
      </c>
      <c r="C29" t="s">
        <v>217</v>
      </c>
      <c r="D29" t="s">
        <v>329</v>
      </c>
      <c r="E29" t="s">
        <v>218</v>
      </c>
      <c r="F29" t="n">
        <v>1147.61950717555</v>
      </c>
      <c r="G29" t="n">
        <v>1219.30505756707</v>
      </c>
      <c r="H29" t="n">
        <v>1471.32403250015</v>
      </c>
      <c r="I29" t="n">
        <v>1600.94482903674</v>
      </c>
      <c r="J29" t="n">
        <v>1797.76740455432</v>
      </c>
      <c r="K29" t="n">
        <v>1978.25323606048</v>
      </c>
      <c r="L29" t="n">
        <v>3731.69760593037</v>
      </c>
      <c r="M29" t="n">
        <v>3659.27023798408</v>
      </c>
      <c r="N29" t="n">
        <v>3661.5511722375</v>
      </c>
      <c r="O29" t="n">
        <v>4077.06885931706</v>
      </c>
      <c r="P29" t="n">
        <v>4839.02045908893</v>
      </c>
      <c r="Q29" t="n">
        <v>6150.60700343729</v>
      </c>
      <c r="R29" t="n">
        <v>6401.03298436063</v>
      </c>
      <c r="S29" t="n">
        <v>6566.87450570984</v>
      </c>
      <c r="T29" t="n">
        <v>6662.08922921206</v>
      </c>
      <c r="U29" t="n">
        <v>6385.21535428625</v>
      </c>
      <c r="V29" t="n">
        <v>5705.71391542006</v>
      </c>
      <c r="W29" t="n">
        <v>5034.20095031699</v>
      </c>
      <c r="X29" t="n">
        <v>4528.47910157548</v>
      </c>
      <c r="Y29" t="n">
        <v>3939.63389477679</v>
      </c>
      <c r="Z29" t="n">
        <v>3357.19819108658</v>
      </c>
      <c r="AA29" t="n">
        <v>2835.12563710976</v>
      </c>
      <c r="AB29" t="n">
        <v>2800.45364609315</v>
      </c>
      <c r="AC29" t="n">
        <v>2713.39185454734</v>
      </c>
      <c r="AD29" t="n">
        <v>2593.97265829937</v>
      </c>
      <c r="AE29" t="n">
        <v>2464.1</v>
      </c>
      <c r="AF29" t="n">
        <v>2390.9</v>
      </c>
    </row>
    <row r="30">
      <c r="A30" t="s">
        <v>144</v>
      </c>
      <c r="B30" t="s">
        <v>330</v>
      </c>
      <c r="C30" t="s">
        <v>217</v>
      </c>
      <c r="D30" t="s">
        <v>331</v>
      </c>
      <c r="E30" t="s">
        <v>218</v>
      </c>
      <c r="F30" t="n">
        <v>1355.74445534045</v>
      </c>
      <c r="G30" t="n">
        <v>2293.72401241375</v>
      </c>
      <c r="H30" t="n">
        <v>2872.02805660152</v>
      </c>
      <c r="I30" t="n">
        <v>4717.23397171447</v>
      </c>
      <c r="J30" t="n">
        <v>5756.64093657786</v>
      </c>
      <c r="K30" t="n">
        <v>7150.72248317586</v>
      </c>
      <c r="L30" t="n">
        <v>8058.21617152357</v>
      </c>
      <c r="M30" t="n">
        <v>10270.7106974997</v>
      </c>
      <c r="N30" t="n">
        <v>12836.6770848795</v>
      </c>
      <c r="O30" t="n">
        <v>13492.4222910146</v>
      </c>
      <c r="P30" t="n">
        <v>13562.4979841846</v>
      </c>
      <c r="Q30" t="n">
        <v>16595.2934470732</v>
      </c>
      <c r="R30" t="n">
        <v>21253.2949676493</v>
      </c>
      <c r="S30" t="n">
        <v>24690.2977449942</v>
      </c>
      <c r="T30" t="n">
        <v>26469.543966128</v>
      </c>
      <c r="U30" t="n">
        <v>28732.9997824693</v>
      </c>
      <c r="V30" t="n">
        <v>26657.7974981185</v>
      </c>
      <c r="W30" t="n">
        <v>24580.7775144386</v>
      </c>
      <c r="X30" t="n">
        <v>22624.7121104328</v>
      </c>
      <c r="Y30" t="n">
        <v>21036.9716041163</v>
      </c>
      <c r="Z30" t="n">
        <v>19684.842632381</v>
      </c>
      <c r="AA30" t="n">
        <v>18220.6299714678</v>
      </c>
      <c r="AB30" t="n">
        <v>16852.5161810997</v>
      </c>
      <c r="AC30" t="n">
        <v>15658.4236527085</v>
      </c>
      <c r="AD30" t="n">
        <v>14807.3497566663</v>
      </c>
      <c r="AE30" t="n">
        <v>13726.3</v>
      </c>
      <c r="AF30" t="n">
        <v>12683</v>
      </c>
    </row>
    <row r="31">
      <c r="A31" t="s">
        <v>144</v>
      </c>
      <c r="B31" t="s">
        <v>332</v>
      </c>
      <c r="C31" t="s">
        <v>217</v>
      </c>
      <c r="D31" t="s">
        <v>333</v>
      </c>
      <c r="E31" t="s">
        <v>218</v>
      </c>
      <c r="F31" t="n">
        <v>196.252467026933</v>
      </c>
      <c r="G31" t="n">
        <v>189.563268040859</v>
      </c>
      <c r="H31" t="n">
        <v>188.604263312153</v>
      </c>
      <c r="I31" t="n">
        <v>188.261968823383</v>
      </c>
      <c r="J31" t="n">
        <v>188.94079803789</v>
      </c>
      <c r="K31" t="n">
        <v>190.929648543552</v>
      </c>
      <c r="L31" t="n">
        <v>385.385138386454</v>
      </c>
      <c r="M31" t="n">
        <v>621.39218531142</v>
      </c>
      <c r="N31" t="n">
        <v>587.889786468319</v>
      </c>
      <c r="O31" t="n">
        <v>542.59057346098</v>
      </c>
      <c r="P31" t="n">
        <v>1079.43557866236</v>
      </c>
      <c r="Q31" t="n">
        <v>999.469674889554</v>
      </c>
      <c r="R31" t="n">
        <v>938.330256980589</v>
      </c>
      <c r="S31" t="n">
        <v>878.769756537496</v>
      </c>
      <c r="T31" t="n">
        <v>829.258800687776</v>
      </c>
      <c r="U31" t="n">
        <v>775.914090679205</v>
      </c>
      <c r="V31" t="n">
        <v>709.887520651611</v>
      </c>
      <c r="W31" t="n">
        <v>657.481088345628</v>
      </c>
      <c r="X31" t="n">
        <v>608.014451257164</v>
      </c>
      <c r="Y31" t="n">
        <v>560.146624198489</v>
      </c>
      <c r="Z31" t="n">
        <v>532.736947591278</v>
      </c>
      <c r="AA31" t="n">
        <v>507.560148208696</v>
      </c>
      <c r="AB31" t="n">
        <v>484.99057220183</v>
      </c>
      <c r="AC31" t="n">
        <v>469.87869313447</v>
      </c>
      <c r="AD31" t="n">
        <v>434.143419740778</v>
      </c>
      <c r="AE31" t="n">
        <v>399.4</v>
      </c>
      <c r="AF31" t="n">
        <v>367.4</v>
      </c>
    </row>
    <row r="32">
      <c r="A32" t="s">
        <v>144</v>
      </c>
      <c r="B32" t="s">
        <v>334</v>
      </c>
      <c r="C32" t="s">
        <v>217</v>
      </c>
      <c r="D32" t="s">
        <v>335</v>
      </c>
      <c r="E32" t="s">
        <v>218</v>
      </c>
      <c r="F32" t="n">
        <v>93.5967681137992</v>
      </c>
      <c r="G32" t="n">
        <v>83.9746704572404</v>
      </c>
      <c r="H32" t="n">
        <v>78.2164073401725</v>
      </c>
      <c r="I32" t="n">
        <v>71.8377965811478</v>
      </c>
      <c r="J32" t="n">
        <v>67.5641599573401</v>
      </c>
      <c r="K32" t="n">
        <v>63.8932731461484</v>
      </c>
      <c r="L32" t="n">
        <v>70.970980186617</v>
      </c>
      <c r="M32" t="n">
        <v>64.5992761643379</v>
      </c>
      <c r="N32" t="n">
        <v>66.3584092520203</v>
      </c>
      <c r="O32" t="n">
        <v>83.232404747534</v>
      </c>
      <c r="P32" t="n">
        <v>90.5647832610073</v>
      </c>
      <c r="Q32" t="n">
        <v>99.6421290486889</v>
      </c>
      <c r="R32" t="n">
        <v>116.180241753865</v>
      </c>
      <c r="S32" t="n">
        <v>142.998851566387</v>
      </c>
      <c r="T32" t="n">
        <v>221.279254969186</v>
      </c>
      <c r="U32" t="n">
        <v>233.836210009886</v>
      </c>
      <c r="V32" t="n">
        <v>232.518537391711</v>
      </c>
      <c r="W32" t="n">
        <v>213.006492295903</v>
      </c>
      <c r="X32" t="n">
        <v>216.410470138889</v>
      </c>
      <c r="Y32" t="n">
        <v>234.307533734025</v>
      </c>
      <c r="Z32" t="n">
        <v>279.039902559612</v>
      </c>
      <c r="AA32" t="n">
        <v>440.907649121562</v>
      </c>
      <c r="AB32" t="n">
        <v>593.744780204088</v>
      </c>
      <c r="AC32" t="n">
        <v>661.94383283357</v>
      </c>
      <c r="AD32" t="n">
        <v>598.007787114846</v>
      </c>
      <c r="AE32" t="n">
        <v>533.1</v>
      </c>
      <c r="AF32" t="n">
        <v>480.9</v>
      </c>
    </row>
    <row r="33">
      <c r="A33" t="s">
        <v>144</v>
      </c>
      <c r="B33" t="s">
        <v>336</v>
      </c>
      <c r="C33" t="s">
        <v>217</v>
      </c>
      <c r="D33" t="s">
        <v>337</v>
      </c>
      <c r="E33" t="s">
        <v>218</v>
      </c>
      <c r="F33" t="n">
        <v>0.865265052918048</v>
      </c>
      <c r="G33" t="n">
        <v>0.778738547626243</v>
      </c>
      <c r="H33" t="n">
        <v>0.865265052918048</v>
      </c>
      <c r="I33" t="n">
        <v>0.865265052918048</v>
      </c>
      <c r="J33" t="n">
        <v>0.865265052918048</v>
      </c>
      <c r="K33" t="n">
        <v>0.961405614353387</v>
      </c>
      <c r="L33" t="n">
        <v>3.74948189597821</v>
      </c>
      <c r="M33" t="n">
        <v>4.61474694889626</v>
      </c>
      <c r="N33" t="n">
        <v>5.09544975607295</v>
      </c>
      <c r="O33" t="n">
        <v>5.92925062524853</v>
      </c>
      <c r="P33" t="n">
        <v>13.9969195087834</v>
      </c>
      <c r="Q33" t="n">
        <v>13.4860830303607</v>
      </c>
      <c r="R33" t="n">
        <v>23.5245959627344</v>
      </c>
      <c r="S33" t="n">
        <v>26.714371686495</v>
      </c>
      <c r="T33" t="n">
        <v>28.4822345186895</v>
      </c>
      <c r="U33" t="n">
        <v>25.4584356485546</v>
      </c>
      <c r="V33" t="n">
        <v>21.1143375021743</v>
      </c>
      <c r="W33" t="n">
        <v>17.6629554104727</v>
      </c>
      <c r="X33" t="n">
        <v>14.5822073737624</v>
      </c>
      <c r="Y33" t="n">
        <v>12.2203005456178</v>
      </c>
      <c r="Z33" t="n">
        <v>11.5074496804567</v>
      </c>
      <c r="AA33" t="n">
        <v>10.8909791618608</v>
      </c>
      <c r="AB33" t="n">
        <v>10.3820549019608</v>
      </c>
      <c r="AC33" t="n">
        <v>9.18412549019608</v>
      </c>
      <c r="AD33" t="n">
        <v>8.48533333333333</v>
      </c>
      <c r="AE33" t="n">
        <v>7.4</v>
      </c>
      <c r="AF33" t="n">
        <v>6.7</v>
      </c>
    </row>
    <row r="34">
      <c r="A34" t="s">
        <v>144</v>
      </c>
      <c r="B34" t="s">
        <v>338</v>
      </c>
      <c r="C34" t="s">
        <v>217</v>
      </c>
      <c r="D34" t="s">
        <v>339</v>
      </c>
      <c r="E34" t="s">
        <v>218</v>
      </c>
      <c r="F34" t="n">
        <v>58.4136102978203</v>
      </c>
      <c r="G34" t="n">
        <v>61.3135767665064</v>
      </c>
      <c r="H34" t="n">
        <v>76.9485388419655</v>
      </c>
      <c r="I34" t="n">
        <v>82.0710175492455</v>
      </c>
      <c r="J34" t="n">
        <v>92.5735092409035</v>
      </c>
      <c r="K34" t="n">
        <v>101.22918513344</v>
      </c>
      <c r="L34" t="n">
        <v>145.452525685624</v>
      </c>
      <c r="M34" t="n">
        <v>137.006895161943</v>
      </c>
      <c r="N34" t="n">
        <v>123.285415525087</v>
      </c>
      <c r="O34" t="n">
        <v>124.797501569957</v>
      </c>
      <c r="P34" t="n">
        <v>123.53372940216</v>
      </c>
      <c r="Q34" t="n">
        <v>124.199081625152</v>
      </c>
      <c r="R34" t="n">
        <v>131.440370836512</v>
      </c>
      <c r="S34" t="n">
        <v>152.075326846823</v>
      </c>
      <c r="T34" t="n">
        <v>184.882112735839</v>
      </c>
      <c r="U34" t="n">
        <v>184.252190716296</v>
      </c>
      <c r="V34" t="n">
        <v>186.497923788738</v>
      </c>
      <c r="W34" t="n">
        <v>176.057315541509</v>
      </c>
      <c r="X34" t="n">
        <v>167.84685041295</v>
      </c>
      <c r="Y34" t="n">
        <v>217.993687202992</v>
      </c>
      <c r="Z34" t="n">
        <v>191.195408870709</v>
      </c>
      <c r="AA34" t="n">
        <v>170.547956508862</v>
      </c>
      <c r="AB34" t="n">
        <v>154.606985139549</v>
      </c>
      <c r="AC34" t="n">
        <v>129.712640074707</v>
      </c>
      <c r="AD34" t="n">
        <v>109.231696905016</v>
      </c>
      <c r="AE34" t="n">
        <v>93.3</v>
      </c>
      <c r="AF34" t="n">
        <v>82.2</v>
      </c>
    </row>
    <row r="35">
      <c r="A35" t="s">
        <v>144</v>
      </c>
      <c r="B35" t="s">
        <v>340</v>
      </c>
      <c r="C35" t="s">
        <v>217</v>
      </c>
      <c r="D35" t="s">
        <v>341</v>
      </c>
      <c r="E35" t="s">
        <v>218</v>
      </c>
      <c r="F35" t="n">
        <v>44.2881203142631</v>
      </c>
      <c r="G35" t="n">
        <v>47.4374977588329</v>
      </c>
      <c r="H35" t="n">
        <v>60.074536096227</v>
      </c>
      <c r="I35" t="n">
        <v>64.6224323147793</v>
      </c>
      <c r="J35" t="n">
        <v>73.0469783399175</v>
      </c>
      <c r="K35" t="n">
        <v>80.3516761739092</v>
      </c>
      <c r="L35" t="n">
        <v>126.0015943895</v>
      </c>
      <c r="M35" t="n">
        <v>200.658276779532</v>
      </c>
      <c r="N35" t="n">
        <v>226.169842531453</v>
      </c>
      <c r="O35" t="n">
        <v>234.489832510411</v>
      </c>
      <c r="P35" t="n">
        <v>212.537592871138</v>
      </c>
      <c r="Q35" t="n">
        <v>185.011715791436</v>
      </c>
      <c r="R35" t="n">
        <v>166.177564746301</v>
      </c>
      <c r="S35" t="n">
        <v>154.976871044038</v>
      </c>
      <c r="T35" t="n">
        <v>144.7453882955</v>
      </c>
      <c r="U35" t="n">
        <v>124.650152257224</v>
      </c>
      <c r="V35" t="n">
        <v>103.723484360026</v>
      </c>
      <c r="W35" t="n">
        <v>85.675800864342</v>
      </c>
      <c r="X35" t="n">
        <v>70.2294425354342</v>
      </c>
      <c r="Y35" t="n">
        <v>64.5823382379943</v>
      </c>
      <c r="Z35" t="n">
        <v>59.2769960762633</v>
      </c>
      <c r="AA35" t="n">
        <v>54.9845239466029</v>
      </c>
      <c r="AB35" t="n">
        <v>51.8338395799768</v>
      </c>
      <c r="AC35" t="n">
        <v>45.40483622122</v>
      </c>
      <c r="AD35" t="n">
        <v>39.6916449086162</v>
      </c>
      <c r="AE35" t="n">
        <v>38.1</v>
      </c>
      <c r="AF35" t="n">
        <v>37.9</v>
      </c>
    </row>
    <row r="36">
      <c r="A36" t="s">
        <v>144</v>
      </c>
      <c r="B36" t="s">
        <v>342</v>
      </c>
      <c r="C36" t="s">
        <v>217</v>
      </c>
      <c r="D36" t="s">
        <v>343</v>
      </c>
      <c r="E36" t="s">
        <v>218</v>
      </c>
      <c r="F36" t="n">
        <v>31.2999311094831</v>
      </c>
      <c r="G36" t="n">
        <v>33.6696419821253</v>
      </c>
      <c r="H36" t="n">
        <v>42.6482131773587</v>
      </c>
      <c r="I36" t="n">
        <v>46.0515618598412</v>
      </c>
      <c r="J36" t="n">
        <v>52.1572745558651</v>
      </c>
      <c r="K36" t="n">
        <v>57.4032673545208</v>
      </c>
      <c r="L36" t="n">
        <v>67.8402250553428</v>
      </c>
      <c r="M36" t="n">
        <v>95.3910588114427</v>
      </c>
      <c r="N36" t="n">
        <v>119.633001443276</v>
      </c>
      <c r="O36" t="n">
        <v>121.657411620801</v>
      </c>
      <c r="P36" t="n">
        <v>105.16830789699</v>
      </c>
      <c r="Q36" t="n">
        <v>94.3655209831001</v>
      </c>
      <c r="R36" t="n">
        <v>88.9132908818543</v>
      </c>
      <c r="S36" t="n">
        <v>88.1945922257654</v>
      </c>
      <c r="T36" t="n">
        <v>85.8683587152235</v>
      </c>
      <c r="U36" t="n">
        <v>71.1222737489409</v>
      </c>
      <c r="V36" t="n">
        <v>57.9514823139519</v>
      </c>
      <c r="W36" t="n">
        <v>46.9904313684058</v>
      </c>
      <c r="X36" t="n">
        <v>38.128200891031</v>
      </c>
      <c r="Y36" t="n">
        <v>33.5034864972402</v>
      </c>
      <c r="Z36" t="n">
        <v>27.7833790464919</v>
      </c>
      <c r="AA36" t="n">
        <v>23.0847193548057</v>
      </c>
      <c r="AB36" t="n">
        <v>19.3220117947713</v>
      </c>
      <c r="AC36" t="n">
        <v>16.2023119737405</v>
      </c>
      <c r="AD36" t="n">
        <v>14.3020408163265</v>
      </c>
      <c r="AE36" t="n">
        <v>14.6</v>
      </c>
      <c r="AF36" t="n">
        <v>15</v>
      </c>
    </row>
    <row r="37">
      <c r="A37" t="s">
        <v>144</v>
      </c>
      <c r="B37" t="s">
        <v>344</v>
      </c>
      <c r="C37" t="s">
        <v>217</v>
      </c>
      <c r="D37" t="s">
        <v>345</v>
      </c>
      <c r="E37" t="s">
        <v>218</v>
      </c>
      <c r="F37" t="n">
        <v>9.388162931205</v>
      </c>
      <c r="G37" t="n">
        <v>8.68904441505144</v>
      </c>
      <c r="H37" t="n">
        <v>9.18274012045209</v>
      </c>
      <c r="I37" t="n">
        <v>8.96918802462762</v>
      </c>
      <c r="J37" t="n">
        <v>9.27847037030444</v>
      </c>
      <c r="K37" t="n">
        <v>9.57777586612071</v>
      </c>
      <c r="L37" t="n">
        <v>37.4315118033085</v>
      </c>
      <c r="M37" t="n">
        <v>46.517789074824</v>
      </c>
      <c r="N37" t="n">
        <v>51.2384103762861</v>
      </c>
      <c r="O37" t="n">
        <v>59.7304374218903</v>
      </c>
      <c r="P37" t="n">
        <v>63.4138143962402</v>
      </c>
      <c r="Q37" t="n">
        <v>53.4562732926983</v>
      </c>
      <c r="R37" t="n">
        <v>45.1523861792695</v>
      </c>
      <c r="S37" t="n">
        <v>39.2673560705107</v>
      </c>
      <c r="T37" t="n">
        <v>34.0716753690691</v>
      </c>
      <c r="U37" t="n">
        <v>30.4069893555355</v>
      </c>
      <c r="V37" t="n">
        <v>25.3903480140499</v>
      </c>
      <c r="W37" t="n">
        <v>21.278550764811</v>
      </c>
      <c r="X37" t="n">
        <v>17.6278190159464</v>
      </c>
      <c r="Y37" t="n">
        <v>15.3465718491769</v>
      </c>
      <c r="Z37" t="n">
        <v>16.2735459877177</v>
      </c>
      <c r="AA37" t="n">
        <v>15.2435747226723</v>
      </c>
      <c r="AB37" t="n">
        <v>14.5274336283186</v>
      </c>
      <c r="AC37" t="n">
        <v>13.316814159292</v>
      </c>
      <c r="AD37" t="n">
        <v>11.4</v>
      </c>
      <c r="AE37" t="n">
        <v>9.8</v>
      </c>
      <c r="AF37" t="n">
        <v>8.8</v>
      </c>
    </row>
    <row r="38">
      <c r="A38" t="s">
        <v>144</v>
      </c>
      <c r="B38" t="s">
        <v>346</v>
      </c>
      <c r="C38" t="s">
        <v>217</v>
      </c>
      <c r="D38" t="s">
        <v>347</v>
      </c>
      <c r="E38" t="s">
        <v>218</v>
      </c>
      <c r="F38" t="n">
        <v>3.80800817113786</v>
      </c>
      <c r="G38" t="n">
        <v>5.27262669849857</v>
      </c>
      <c r="H38" t="n">
        <v>8.43620271759771</v>
      </c>
      <c r="I38" t="n">
        <v>9.79016117844673</v>
      </c>
      <c r="J38" t="n">
        <v>11.8087511121471</v>
      </c>
      <c r="K38" t="n">
        <v>13.5800637789692</v>
      </c>
      <c r="L38" t="n">
        <v>20.8998144683426</v>
      </c>
      <c r="M38" t="n">
        <v>58.6166889507469</v>
      </c>
      <c r="N38" t="n">
        <v>55.3170740098108</v>
      </c>
      <c r="O38" t="n">
        <v>53.1496247726291</v>
      </c>
      <c r="P38" t="n">
        <v>43.9960782840097</v>
      </c>
      <c r="Q38" t="n">
        <v>37.2672663111611</v>
      </c>
      <c r="R38" t="n">
        <v>32.2366986823818</v>
      </c>
      <c r="S38" t="n">
        <v>27.7175353156928</v>
      </c>
      <c r="T38" t="n">
        <v>25.0447729816795</v>
      </c>
      <c r="U38" t="n">
        <v>23.276906653561</v>
      </c>
      <c r="V38" t="n">
        <v>20.4916357719383</v>
      </c>
      <c r="W38" t="n">
        <v>17.4928598053132</v>
      </c>
      <c r="X38" t="n">
        <v>14.5434822799988</v>
      </c>
      <c r="Y38" t="n">
        <v>15.7639143594392</v>
      </c>
      <c r="Z38" t="n">
        <v>15.2586606940726</v>
      </c>
      <c r="AA38" t="n">
        <v>16.6828023588527</v>
      </c>
      <c r="AB38" t="n">
        <v>17.9972049689441</v>
      </c>
      <c r="AC38" t="n">
        <v>15.8975310559006</v>
      </c>
      <c r="AD38" t="n">
        <v>13.9978260869565</v>
      </c>
      <c r="AE38" t="n">
        <v>13.7</v>
      </c>
      <c r="AF38" t="n">
        <v>14.1</v>
      </c>
    </row>
    <row r="39">
      <c r="A39" t="s">
        <v>144</v>
      </c>
      <c r="B39" t="s">
        <v>348</v>
      </c>
      <c r="C39" t="s">
        <v>217</v>
      </c>
      <c r="D39" t="s">
        <v>349</v>
      </c>
      <c r="E39" t="s">
        <v>218</v>
      </c>
      <c r="F39" t="n">
        <v>21.392475055795</v>
      </c>
      <c r="G39" t="n">
        <v>19.9398995890435</v>
      </c>
      <c r="H39" t="n">
        <v>20.9825087178823</v>
      </c>
      <c r="I39" t="n">
        <v>20.8407350103291</v>
      </c>
      <c r="J39" t="n">
        <v>21.6688436862362</v>
      </c>
      <c r="K39" t="n">
        <v>22.4763782335493</v>
      </c>
      <c r="L39" t="n">
        <v>26.4196024850492</v>
      </c>
      <c r="M39" t="n">
        <v>34.9163590631555</v>
      </c>
      <c r="N39" t="n">
        <v>33.7215026693593</v>
      </c>
      <c r="O39" t="n">
        <v>29.9889699311478</v>
      </c>
      <c r="P39" t="n">
        <v>26.3580184148205</v>
      </c>
      <c r="Q39" t="n">
        <v>22.9569837806501</v>
      </c>
      <c r="R39" t="n">
        <v>19.5768143896341</v>
      </c>
      <c r="S39" t="n">
        <v>15.9923272478701</v>
      </c>
      <c r="T39" t="n">
        <v>13.6883478986007</v>
      </c>
      <c r="U39" t="n">
        <v>11.5411560713692</v>
      </c>
      <c r="V39" t="n">
        <v>10.437219403673</v>
      </c>
      <c r="W39" t="n">
        <v>9.42389713147176</v>
      </c>
      <c r="X39" t="n">
        <v>9.6287644604168</v>
      </c>
      <c r="Y39" t="n">
        <v>9.83363178936184</v>
      </c>
      <c r="Z39" t="n">
        <v>9.52633079594428</v>
      </c>
      <c r="AA39" t="n">
        <v>8.70686148016413</v>
      </c>
      <c r="AB39" t="n">
        <v>7.99816345270891</v>
      </c>
      <c r="AC39" t="n">
        <v>7.4982782369146</v>
      </c>
      <c r="AD39" t="n">
        <v>6.59848484848485</v>
      </c>
      <c r="AE39" t="n">
        <v>6.5</v>
      </c>
      <c r="AF39" t="n">
        <v>6.8</v>
      </c>
    </row>
    <row r="40">
      <c r="A40" t="s">
        <v>144</v>
      </c>
      <c r="B40" t="s">
        <v>350</v>
      </c>
      <c r="C40" t="s">
        <v>217</v>
      </c>
      <c r="D40" t="s">
        <v>351</v>
      </c>
      <c r="E40" t="s">
        <v>218</v>
      </c>
      <c r="F40" t="e">
        <v>#NUM!</v>
      </c>
      <c r="G40" t="e">
        <v>#NUM!</v>
      </c>
      <c r="H40" t="e">
        <v>#NUM!</v>
      </c>
      <c r="I40" t="e">
        <v>#NUM!</v>
      </c>
      <c r="J40" t="e">
        <v>#NUM!</v>
      </c>
      <c r="K40" t="e">
        <v>#NUM!</v>
      </c>
      <c r="L40" t="e">
        <v>#NUM!</v>
      </c>
      <c r="M40" t="e">
        <v>#NUM!</v>
      </c>
      <c r="N40" t="e">
        <v>#NUM!</v>
      </c>
      <c r="O40" t="e">
        <v>#NUM!</v>
      </c>
      <c r="P40" t="e">
        <v>#NUM!</v>
      </c>
      <c r="Q40" t="e">
        <v>#NUM!</v>
      </c>
      <c r="R40" t="e">
        <v>#NUM!</v>
      </c>
      <c r="S40" t="e">
        <v>#NUM!</v>
      </c>
      <c r="T40" t="e">
        <v>#NUM!</v>
      </c>
      <c r="U40" t="e">
        <v>#NUM!</v>
      </c>
      <c r="V40" t="e">
        <v>#NUM!</v>
      </c>
      <c r="W40" t="e">
        <v>#NUM!</v>
      </c>
      <c r="X40" t="e">
        <v>#NUM!</v>
      </c>
      <c r="Y40" t="e">
        <v>#NUM!</v>
      </c>
      <c r="Z40" t="e">
        <v>#NUM!</v>
      </c>
      <c r="AA40" t="e">
        <v>#NUM!</v>
      </c>
      <c r="AB40" t="e">
        <v>#NUM!</v>
      </c>
      <c r="AC40" t="e">
        <v>#NUM!</v>
      </c>
      <c r="AD40" t="e">
        <v>#NUM!</v>
      </c>
      <c r="AE40" t="n">
        <v>0</v>
      </c>
      <c r="AF40" t="e">
        <v>#NUM!</v>
      </c>
    </row>
    <row r="41">
      <c r="A41" t="s">
        <v>144</v>
      </c>
      <c r="B41" t="s">
        <v>352</v>
      </c>
      <c r="C41" t="s">
        <v>217</v>
      </c>
      <c r="D41" t="s">
        <v>353</v>
      </c>
      <c r="E41" t="s">
        <v>218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144</v>
      </c>
      <c r="B42" t="s">
        <v>354</v>
      </c>
      <c r="C42" t="s">
        <v>217</v>
      </c>
      <c r="D42" t="s">
        <v>355</v>
      </c>
      <c r="E42" t="s">
        <v>218</v>
      </c>
      <c r="F42" t="n">
        <v>38.4433738447562</v>
      </c>
      <c r="G42" t="n">
        <v>61.3070646050586</v>
      </c>
      <c r="H42" t="n">
        <v>108.558363178713</v>
      </c>
      <c r="I42" t="n">
        <v>129.965768129871</v>
      </c>
      <c r="J42" t="n">
        <v>162.166872337516</v>
      </c>
      <c r="K42" t="n">
        <v>187.273926176573</v>
      </c>
      <c r="L42" t="n">
        <v>276.289322417154</v>
      </c>
      <c r="M42" t="n">
        <v>316.484242210392</v>
      </c>
      <c r="N42" t="n">
        <v>358.371862502944</v>
      </c>
      <c r="O42" t="n">
        <v>380.296944900243</v>
      </c>
      <c r="P42" t="n">
        <v>356.182054978075</v>
      </c>
      <c r="Q42" t="n">
        <v>338.260270349772</v>
      </c>
      <c r="R42" t="n">
        <v>322.938005823075</v>
      </c>
      <c r="S42" t="n">
        <v>283.509528367932</v>
      </c>
      <c r="T42" t="n">
        <v>268.539404989373</v>
      </c>
      <c r="U42" t="n">
        <v>234.272922792698</v>
      </c>
      <c r="V42" t="n">
        <v>202.280154540466</v>
      </c>
      <c r="W42" t="n">
        <v>175.302628858852</v>
      </c>
      <c r="X42" t="n">
        <v>146.934153649329</v>
      </c>
      <c r="Y42" t="n">
        <v>130.481667430847</v>
      </c>
      <c r="Z42" t="n">
        <v>114.210078280039</v>
      </c>
      <c r="AA42" t="n">
        <v>99.57304658711</v>
      </c>
      <c r="AB42" t="n">
        <v>88.1231685401323</v>
      </c>
      <c r="AC42" t="n">
        <v>75.6062465481777</v>
      </c>
      <c r="AD42" t="n">
        <v>91.0483711747285</v>
      </c>
      <c r="AE42" t="n">
        <v>100.8</v>
      </c>
      <c r="AF42" t="n">
        <v>117.9</v>
      </c>
    </row>
    <row r="43">
      <c r="A43" t="s">
        <v>144</v>
      </c>
      <c r="B43" t="s">
        <v>356</v>
      </c>
      <c r="C43" t="s">
        <v>217</v>
      </c>
      <c r="D43" t="s">
        <v>357</v>
      </c>
      <c r="E43" t="s">
        <v>218</v>
      </c>
      <c r="F43" t="n">
        <v>302.006100610433</v>
      </c>
      <c r="G43" t="n">
        <v>352.116589421949</v>
      </c>
      <c r="H43" t="n">
        <v>442.007842763223</v>
      </c>
      <c r="I43" t="n">
        <v>534.377399308296</v>
      </c>
      <c r="J43" t="n">
        <v>611.347552512452</v>
      </c>
      <c r="K43" t="n">
        <v>690.224322576849</v>
      </c>
      <c r="L43" t="n">
        <v>868.438395572725</v>
      </c>
      <c r="M43" t="n">
        <v>897.423896922775</v>
      </c>
      <c r="N43" t="n">
        <v>995.047751753764</v>
      </c>
      <c r="O43" t="n">
        <v>1140.40520166048</v>
      </c>
      <c r="P43" t="n">
        <v>1604.27776460416</v>
      </c>
      <c r="Q43" t="n">
        <v>2059.36969038297</v>
      </c>
      <c r="R43" t="n">
        <v>2806.72419875447</v>
      </c>
      <c r="S43" t="n">
        <v>3194.8374743795</v>
      </c>
      <c r="T43" t="n">
        <v>3163.50839538331</v>
      </c>
      <c r="U43" t="n">
        <v>2757.28750325597</v>
      </c>
      <c r="V43" t="n">
        <v>2567.53719108333</v>
      </c>
      <c r="W43" t="n">
        <v>2130.99283331487</v>
      </c>
      <c r="X43" t="n">
        <v>1717.22346340148</v>
      </c>
      <c r="Y43" t="n">
        <v>1531.06915392912</v>
      </c>
      <c r="Z43" t="n">
        <v>1243.56927823372</v>
      </c>
      <c r="AA43" t="n">
        <v>1007.86458449436</v>
      </c>
      <c r="AB43" t="n">
        <v>820.553428532033</v>
      </c>
      <c r="AC43" t="n">
        <v>689.464518090036</v>
      </c>
      <c r="AD43" t="n">
        <v>626.450017667844</v>
      </c>
      <c r="AE43" t="n">
        <v>562.9</v>
      </c>
      <c r="AF43" t="n">
        <v>523.9</v>
      </c>
    </row>
    <row r="44">
      <c r="A44" t="s">
        <v>144</v>
      </c>
      <c r="B44" t="s">
        <v>358</v>
      </c>
      <c r="C44" t="s">
        <v>217</v>
      </c>
      <c r="D44" t="s">
        <v>359</v>
      </c>
      <c r="E44" t="s">
        <v>218</v>
      </c>
      <c r="F44" t="n">
        <v>5418.25612375056</v>
      </c>
      <c r="G44" t="n">
        <v>6476.95998217549</v>
      </c>
      <c r="H44" t="n">
        <v>7873.52238112316</v>
      </c>
      <c r="I44" t="n">
        <v>10136.9750299862</v>
      </c>
      <c r="J44" t="n">
        <v>11784.0007289018</v>
      </c>
      <c r="K44" t="n">
        <v>13718.5366840167</v>
      </c>
      <c r="L44" t="n">
        <v>17679.4853853931</v>
      </c>
      <c r="M44" t="n">
        <v>20330.6100178555</v>
      </c>
      <c r="N44" t="n">
        <v>23410.7103709591</v>
      </c>
      <c r="O44" t="n">
        <v>24771.9043875725</v>
      </c>
      <c r="P44" t="n">
        <v>26716.237057224</v>
      </c>
      <c r="Q44" t="n">
        <v>31622.1874046604</v>
      </c>
      <c r="R44" t="n">
        <v>37884.6989977273</v>
      </c>
      <c r="S44" t="n">
        <v>42135.6596180741</v>
      </c>
      <c r="T44" t="n">
        <v>43894.264790797</v>
      </c>
      <c r="U44" t="n">
        <v>45027.5936795961</v>
      </c>
      <c r="V44" t="n">
        <v>41336.3698527257</v>
      </c>
      <c r="W44" t="n">
        <v>37461.8844899984</v>
      </c>
      <c r="X44" t="n">
        <v>34063.8741078444</v>
      </c>
      <c r="Y44" t="n">
        <v>31520.7710987963</v>
      </c>
      <c r="Z44" t="n">
        <v>29073.7482217969</v>
      </c>
      <c r="AA44" t="n">
        <v>26884.0965412499</v>
      </c>
      <c r="AB44" t="n">
        <v>25391.0695846633</v>
      </c>
      <c r="AC44" t="n">
        <v>23858.4738376368</v>
      </c>
      <c r="AD44" t="n">
        <v>22614.1405311718</v>
      </c>
      <c r="AE44" t="n">
        <v>21112</v>
      </c>
      <c r="AF44" t="n">
        <v>19878.8</v>
      </c>
    </row>
    <row r="45">
      <c r="A45" t="s">
        <v>144</v>
      </c>
      <c r="B45" t="s">
        <v>360</v>
      </c>
      <c r="C45" t="s">
        <v>217</v>
      </c>
      <c r="D45" t="s">
        <v>361</v>
      </c>
      <c r="E45" t="s">
        <v>218</v>
      </c>
      <c r="F45" t="n">
        <v>4770.7103174986</v>
      </c>
      <c r="G45" t="n">
        <v>5772.90524819388</v>
      </c>
      <c r="H45" t="n">
        <v>6993.47529567809</v>
      </c>
      <c r="I45" t="n">
        <v>9155.39072514893</v>
      </c>
      <c r="J45" t="n">
        <v>10672.4037564927</v>
      </c>
      <c r="K45" t="n">
        <v>12487.9570662026</v>
      </c>
      <c r="L45" t="n">
        <v>16123.444036406</v>
      </c>
      <c r="M45" t="n">
        <v>18530.7675607899</v>
      </c>
      <c r="N45" t="n">
        <v>21438.4687736522</v>
      </c>
      <c r="O45" t="n">
        <v>22656.3639578092</v>
      </c>
      <c r="P45" t="n">
        <v>24460.5845345351</v>
      </c>
      <c r="Q45" t="n">
        <v>29225.1754434429</v>
      </c>
      <c r="R45" t="n">
        <v>35132.9046378311</v>
      </c>
      <c r="S45" t="n">
        <v>39193.8560847277</v>
      </c>
      <c r="T45" t="n">
        <v>40962.4600158467</v>
      </c>
      <c r="U45" t="n">
        <v>42262.4285901801</v>
      </c>
      <c r="V45" t="n">
        <v>38807.733872951</v>
      </c>
      <c r="W45" t="n">
        <v>35121.1209168242</v>
      </c>
      <c r="X45" t="n">
        <v>31855.3559943533</v>
      </c>
      <c r="Y45" t="n">
        <v>29451.1625548143</v>
      </c>
      <c r="Z45" t="n">
        <v>27082.2626919511</v>
      </c>
      <c r="AA45" t="n">
        <v>24901.426454359</v>
      </c>
      <c r="AB45" t="n">
        <v>23391.5798105023</v>
      </c>
      <c r="AC45" t="n">
        <v>21859.2920942855</v>
      </c>
      <c r="AD45" t="n">
        <v>20594.4459466765</v>
      </c>
      <c r="AE45" t="n">
        <v>19127.1</v>
      </c>
      <c r="AF45" t="n">
        <v>17867.8</v>
      </c>
    </row>
    <row r="46">
      <c r="A46" t="s">
        <v>144</v>
      </c>
      <c r="B46" t="s">
        <v>362</v>
      </c>
      <c r="C46" t="s">
        <v>217</v>
      </c>
      <c r="D46" t="s">
        <v>363</v>
      </c>
      <c r="E46" t="s">
        <v>218</v>
      </c>
      <c r="F46" t="n">
        <v>263.777137389372</v>
      </c>
      <c r="G46" t="n">
        <v>290.642366875745</v>
      </c>
      <c r="H46" t="n">
        <v>332.353030951354</v>
      </c>
      <c r="I46" t="n">
        <v>403.077928700912</v>
      </c>
      <c r="J46" t="n">
        <v>447.348475383841</v>
      </c>
      <c r="K46" t="n">
        <v>500.772673765767</v>
      </c>
      <c r="L46" t="n">
        <v>589.01902300138</v>
      </c>
      <c r="M46" t="n">
        <v>577.457593506998</v>
      </c>
      <c r="N46" t="n">
        <v>632.740651034389</v>
      </c>
      <c r="O46" t="n">
        <v>755.911515599953</v>
      </c>
      <c r="P46" t="n">
        <v>1243.86700340365</v>
      </c>
      <c r="Q46" t="n">
        <v>1717.09025969637</v>
      </c>
      <c r="R46" t="n">
        <v>2479.93048416085</v>
      </c>
      <c r="S46" t="n">
        <v>2908.28307665596</v>
      </c>
      <c r="T46" t="n">
        <v>2892.1433030476</v>
      </c>
      <c r="U46" t="n">
        <v>2520.54846058458</v>
      </c>
      <c r="V46" t="n">
        <v>2362.45149312317</v>
      </c>
      <c r="W46" t="n">
        <v>1953.56757561695</v>
      </c>
      <c r="X46" t="n">
        <v>1568.77396223785</v>
      </c>
      <c r="Y46" t="n">
        <v>1399.21718820261</v>
      </c>
      <c r="Z46" t="n">
        <v>1128.52611325776</v>
      </c>
      <c r="AA46" t="n">
        <v>907.947429907582</v>
      </c>
      <c r="AB46" t="n">
        <v>732.290014100498</v>
      </c>
      <c r="AC46" t="n">
        <v>613.724890002088</v>
      </c>
      <c r="AD46" t="n">
        <v>535.387647944911</v>
      </c>
      <c r="AE46" t="n">
        <v>462.1</v>
      </c>
      <c r="AF46" t="n">
        <v>406</v>
      </c>
    </row>
    <row r="47">
      <c r="A47" t="s">
        <v>144</v>
      </c>
      <c r="B47" t="s">
        <v>364</v>
      </c>
      <c r="C47" t="s">
        <v>217</v>
      </c>
      <c r="D47" t="s">
        <v>365</v>
      </c>
      <c r="E47" t="s">
        <v>218</v>
      </c>
      <c r="F47" t="n">
        <v>621.07119665978</v>
      </c>
      <c r="G47" t="n">
        <v>606.47395105812</v>
      </c>
      <c r="H47" t="n">
        <v>582.433991002515</v>
      </c>
      <c r="I47" t="n">
        <v>602.88588661788</v>
      </c>
      <c r="J47" t="n">
        <v>593.967620042098</v>
      </c>
      <c r="K47" t="n">
        <v>571.332615072548</v>
      </c>
      <c r="L47" t="n">
        <v>560.256526355727</v>
      </c>
      <c r="M47" t="n">
        <v>539.977711512278</v>
      </c>
      <c r="N47" t="n">
        <v>586.058355223217</v>
      </c>
      <c r="O47" t="n">
        <v>592.607933032663</v>
      </c>
      <c r="P47" t="n">
        <v>573.069004624531</v>
      </c>
      <c r="Q47" t="n">
        <v>571.494773235455</v>
      </c>
      <c r="R47" t="n">
        <v>595.613854669657</v>
      </c>
      <c r="S47" t="n">
        <v>639.087947902866</v>
      </c>
      <c r="T47" t="n">
        <v>693.982715968361</v>
      </c>
      <c r="U47" t="n">
        <v>704.21993665806</v>
      </c>
      <c r="V47" t="n">
        <v>640.737224961059</v>
      </c>
      <c r="W47" t="n">
        <v>583.517517752843</v>
      </c>
      <c r="X47" t="n">
        <v>550.790155203719</v>
      </c>
      <c r="Y47" t="n">
        <v>867.166643162998</v>
      </c>
      <c r="Z47" t="n">
        <v>1013.02599821427</v>
      </c>
      <c r="AA47" t="n">
        <v>1123.11750150471</v>
      </c>
      <c r="AB47" t="n">
        <v>1149.86082472512</v>
      </c>
      <c r="AC47" t="n">
        <v>1045.6333763301</v>
      </c>
      <c r="AD47" t="n">
        <v>937.733123469745</v>
      </c>
      <c r="AE47" t="n">
        <v>853</v>
      </c>
      <c r="AF47" t="n">
        <v>778.8</v>
      </c>
    </row>
    <row r="48">
      <c r="A48" t="s">
        <v>144</v>
      </c>
      <c r="B48" t="s">
        <v>366</v>
      </c>
      <c r="C48" t="s">
        <v>217</v>
      </c>
      <c r="D48" t="s">
        <v>367</v>
      </c>
      <c r="E48" t="s">
        <v>218</v>
      </c>
      <c r="F48" t="n">
        <v>889.299413819762</v>
      </c>
      <c r="G48" t="n">
        <v>869.882332250358</v>
      </c>
      <c r="H48" t="n">
        <v>838.814847882825</v>
      </c>
      <c r="I48" t="n">
        <v>869.283720212503</v>
      </c>
      <c r="J48" t="n">
        <v>858.795586579573</v>
      </c>
      <c r="K48" t="n">
        <v>828.255852869036</v>
      </c>
      <c r="L48" t="n">
        <v>814.602369444202</v>
      </c>
      <c r="M48" t="n">
        <v>785.706033934604</v>
      </c>
      <c r="N48" t="n">
        <v>851.682757252179</v>
      </c>
      <c r="O48" t="n">
        <v>862.458102188052</v>
      </c>
      <c r="P48" t="n">
        <v>847.29432535006</v>
      </c>
      <c r="Q48" t="n">
        <v>847.237308594705</v>
      </c>
      <c r="R48" t="n">
        <v>878.536133464751</v>
      </c>
      <c r="S48" t="n">
        <v>938.131968082468</v>
      </c>
      <c r="T48" t="n">
        <v>1013.71655576209</v>
      </c>
      <c r="U48" t="n">
        <v>1025.25531442792</v>
      </c>
      <c r="V48" t="n">
        <v>903.060371883279</v>
      </c>
      <c r="W48" t="n">
        <v>798.082045606059</v>
      </c>
      <c r="X48" t="n">
        <v>727.547620509146</v>
      </c>
      <c r="Y48" t="n">
        <v>1013.0916062924</v>
      </c>
      <c r="Z48" t="n">
        <v>1136.25698616127</v>
      </c>
      <c r="AA48" t="n">
        <v>1230.13460183023</v>
      </c>
      <c r="AB48" t="n">
        <v>1238.91471435056</v>
      </c>
      <c r="AC48" t="n">
        <v>1121.08757578141</v>
      </c>
      <c r="AD48" t="n">
        <v>1002.58402276209</v>
      </c>
      <c r="AE48" t="n">
        <v>908.8</v>
      </c>
      <c r="AF48" t="n">
        <v>831.6</v>
      </c>
    </row>
    <row r="49">
      <c r="A49" t="s">
        <v>144</v>
      </c>
      <c r="B49" t="s">
        <v>368</v>
      </c>
      <c r="C49" t="s">
        <v>217</v>
      </c>
      <c r="D49" t="s">
        <v>369</v>
      </c>
      <c r="E49" t="s">
        <v>218</v>
      </c>
      <c r="F49" t="n">
        <v>59.3369690703566</v>
      </c>
      <c r="G49" t="n">
        <v>70.6622959565422</v>
      </c>
      <c r="H49" t="n">
        <v>97.685849680463</v>
      </c>
      <c r="I49" t="n">
        <v>110.997338630631</v>
      </c>
      <c r="J49" t="n">
        <v>133.237059244746</v>
      </c>
      <c r="K49" t="n">
        <v>149.253018431246</v>
      </c>
      <c r="L49" t="n">
        <v>173.286092325607</v>
      </c>
      <c r="M49" t="n">
        <v>172.806871937538</v>
      </c>
      <c r="N49" t="n">
        <v>162.388758529799</v>
      </c>
      <c r="O49" t="n">
        <v>179.650186357346</v>
      </c>
      <c r="P49" t="n">
        <v>336.053813678738</v>
      </c>
      <c r="Q49" t="n">
        <v>370.856828193137</v>
      </c>
      <c r="R49" t="n">
        <v>334.217716267105</v>
      </c>
      <c r="S49" t="n">
        <v>305.624755796751</v>
      </c>
      <c r="T49" t="n">
        <v>272.788228153418</v>
      </c>
      <c r="U49" t="n">
        <v>236.079808700947</v>
      </c>
      <c r="V49" t="n">
        <v>191.360746541296</v>
      </c>
      <c r="W49" t="n">
        <v>155.171295013282</v>
      </c>
      <c r="X49" t="n">
        <v>126.251594740265</v>
      </c>
      <c r="Y49" t="n">
        <v>103.081440730021</v>
      </c>
      <c r="Z49" t="n">
        <v>84.1523138893784</v>
      </c>
      <c r="AA49" t="n">
        <v>68.4123334186267</v>
      </c>
      <c r="AB49" t="n">
        <v>55.9178653391769</v>
      </c>
      <c r="AC49" t="n">
        <v>46.1576561163388</v>
      </c>
      <c r="AD49" t="n">
        <v>39.1640718562874</v>
      </c>
      <c r="AE49" t="n">
        <v>33.2</v>
      </c>
      <c r="AF49" t="n">
        <v>28.5</v>
      </c>
    </row>
    <row r="50">
      <c r="A50" t="s">
        <v>144</v>
      </c>
      <c r="B50" t="s">
        <v>370</v>
      </c>
      <c r="C50" t="s">
        <v>217</v>
      </c>
      <c r="D50" t="s">
        <v>371</v>
      </c>
      <c r="E50" t="s">
        <v>218</v>
      </c>
      <c r="F50" t="n">
        <v>21.3768450327434</v>
      </c>
      <c r="G50" t="n">
        <v>28.1548690675157</v>
      </c>
      <c r="H50" t="n">
        <v>43.4653635604348</v>
      </c>
      <c r="I50" t="n">
        <v>50.522883932361</v>
      </c>
      <c r="J50" t="n">
        <v>60.0163848008608</v>
      </c>
      <c r="K50" t="n">
        <v>68.1036990648066</v>
      </c>
      <c r="L50" t="n">
        <v>74.8517790026305</v>
      </c>
      <c r="M50" t="n">
        <v>75.3759511244976</v>
      </c>
      <c r="N50" t="n">
        <v>91.6847560834735</v>
      </c>
      <c r="O50" t="n">
        <v>96.2639059433584</v>
      </c>
      <c r="P50" t="n">
        <v>137.489508047137</v>
      </c>
      <c r="Q50" t="n">
        <v>138.048408486353</v>
      </c>
      <c r="R50" t="n">
        <v>123.103312138592</v>
      </c>
      <c r="S50" t="n">
        <v>112.681867724743</v>
      </c>
      <c r="T50" t="n">
        <v>100.078587732781</v>
      </c>
      <c r="U50" t="n">
        <v>86.3111629653086</v>
      </c>
      <c r="V50" t="n">
        <v>72.1651528831084</v>
      </c>
      <c r="W50" t="n">
        <v>60.4293077637441</v>
      </c>
      <c r="X50" t="n">
        <v>51.4380958819414</v>
      </c>
      <c r="Y50" t="n">
        <v>43.5084908372607</v>
      </c>
      <c r="Z50" t="n">
        <v>39.6572607870726</v>
      </c>
      <c r="AA50" t="n">
        <v>38.9286496964965</v>
      </c>
      <c r="AB50" t="n">
        <v>33.4703998713263</v>
      </c>
      <c r="AC50" t="n">
        <v>29.413381705105</v>
      </c>
      <c r="AD50" t="n">
        <v>25.6863436123348</v>
      </c>
      <c r="AE50" t="n">
        <v>22.6</v>
      </c>
      <c r="AF50" t="n">
        <v>24.3</v>
      </c>
    </row>
    <row r="51">
      <c r="A51" t="s">
        <v>144</v>
      </c>
      <c r="B51" t="s">
        <v>372</v>
      </c>
      <c r="C51" t="s">
        <v>217</v>
      </c>
      <c r="D51" t="s">
        <v>373</v>
      </c>
      <c r="E51" t="s">
        <v>218</v>
      </c>
      <c r="F51" t="n">
        <v>18.073084526687</v>
      </c>
      <c r="G51" t="n">
        <v>23.5819926444472</v>
      </c>
      <c r="H51" t="n">
        <v>36.4189644468681</v>
      </c>
      <c r="I51" t="n">
        <v>42.0218820540786</v>
      </c>
      <c r="J51" t="n">
        <v>50.4867216045404</v>
      </c>
      <c r="K51" t="n">
        <v>57.5587915569274</v>
      </c>
      <c r="L51" t="n">
        <v>63.5065333511433</v>
      </c>
      <c r="M51" t="n">
        <v>64.185229127415</v>
      </c>
      <c r="N51" t="n">
        <v>78.2015818736126</v>
      </c>
      <c r="O51" t="n">
        <v>81.9657976076012</v>
      </c>
      <c r="P51" t="n">
        <v>109.68085147492</v>
      </c>
      <c r="Q51" t="n">
        <v>109.68085147492</v>
      </c>
      <c r="R51" t="n">
        <v>96.5724023724081</v>
      </c>
      <c r="S51" t="n">
        <v>87.0455298642267</v>
      </c>
      <c r="T51" t="n">
        <v>76.4735983143149</v>
      </c>
      <c r="U51" t="n">
        <v>66.2771185390729</v>
      </c>
      <c r="V51" t="n">
        <v>55.1629555840591</v>
      </c>
      <c r="W51" t="n">
        <v>46.1567587540087</v>
      </c>
      <c r="X51" t="n">
        <v>39.399575603084</v>
      </c>
      <c r="Y51" t="n">
        <v>33.3859561689291</v>
      </c>
      <c r="Z51" t="n">
        <v>31.1119901140794</v>
      </c>
      <c r="AA51" t="n">
        <v>31.6288005810907</v>
      </c>
      <c r="AB51" t="n">
        <v>27.1250231520681</v>
      </c>
      <c r="AC51" t="n">
        <v>23.8982545986622</v>
      </c>
      <c r="AD51" t="n">
        <v>20.8858695652174</v>
      </c>
      <c r="AE51" t="n">
        <v>18.3</v>
      </c>
      <c r="AF51" t="n">
        <v>20.3</v>
      </c>
    </row>
    <row r="52">
      <c r="A52" t="s">
        <v>144</v>
      </c>
      <c r="B52" t="s">
        <v>374</v>
      </c>
      <c r="C52" t="s">
        <v>217</v>
      </c>
      <c r="D52" t="s">
        <v>375</v>
      </c>
      <c r="E52" t="s">
        <v>218</v>
      </c>
      <c r="F52" t="n">
        <v>2.54572894936828</v>
      </c>
      <c r="G52" t="n">
        <v>3.67716403797641</v>
      </c>
      <c r="H52" t="n">
        <v>5.65717544304062</v>
      </c>
      <c r="I52" t="n">
        <v>7.03324514540185</v>
      </c>
      <c r="J52" t="n">
        <v>7.49193504618893</v>
      </c>
      <c r="K52" t="n">
        <v>8.09128984988405</v>
      </c>
      <c r="L52" t="n">
        <v>8.52475180612783</v>
      </c>
      <c r="M52" t="n">
        <v>8.23577716863198</v>
      </c>
      <c r="N52" t="n">
        <v>9.8251376748592</v>
      </c>
      <c r="O52" t="n">
        <v>10.5269332230634</v>
      </c>
      <c r="P52" t="n">
        <v>26.0249182459068</v>
      </c>
      <c r="Q52" t="n">
        <v>26.7903570178452</v>
      </c>
      <c r="R52" t="n">
        <v>25.7248314546355</v>
      </c>
      <c r="S52" t="n">
        <v>25.5743938437897</v>
      </c>
      <c r="T52" t="n">
        <v>23.9576218191823</v>
      </c>
      <c r="U52" t="n">
        <v>20.1824814113111</v>
      </c>
      <c r="V52" t="n">
        <v>17.1340857814777</v>
      </c>
      <c r="W52" t="n">
        <v>14.3841707795121</v>
      </c>
      <c r="X52" t="n">
        <v>12.1299350603349</v>
      </c>
      <c r="Y52" t="n">
        <v>10.1977330153258</v>
      </c>
      <c r="Z52" t="n">
        <v>8.58756464448485</v>
      </c>
      <c r="AA52" t="n">
        <v>7.29942994781212</v>
      </c>
      <c r="AB52" t="n">
        <v>6.34733038940185</v>
      </c>
      <c r="AC52" t="n">
        <v>5.51489361702128</v>
      </c>
      <c r="AD52" t="n">
        <v>4.8</v>
      </c>
      <c r="AE52" t="n">
        <v>4.3</v>
      </c>
      <c r="AF52" t="n">
        <v>4</v>
      </c>
    </row>
    <row r="53">
      <c r="A53" t="s">
        <v>144</v>
      </c>
      <c r="B53" t="s">
        <v>376</v>
      </c>
      <c r="C53" t="s">
        <v>217</v>
      </c>
      <c r="D53" t="s">
        <v>377</v>
      </c>
      <c r="E53" t="s">
        <v>218</v>
      </c>
      <c r="F53" t="n">
        <v>68.8208422374667</v>
      </c>
      <c r="G53" t="n">
        <v>78.9546555766406</v>
      </c>
      <c r="H53" t="n">
        <v>104.502047618176</v>
      </c>
      <c r="I53" t="n">
        <v>121.093331914777</v>
      </c>
      <c r="J53" t="n">
        <v>139.670149878976</v>
      </c>
      <c r="K53" t="n">
        <v>156.372278556317</v>
      </c>
      <c r="L53" t="n">
        <v>172.258059446281</v>
      </c>
      <c r="M53" t="n">
        <v>203.052796330533</v>
      </c>
      <c r="N53" t="n">
        <v>266.186859055152</v>
      </c>
      <c r="O53" t="n">
        <v>274.902247339798</v>
      </c>
      <c r="P53" t="n">
        <v>295.249342812193</v>
      </c>
      <c r="Q53" t="n">
        <v>313.156980495236</v>
      </c>
      <c r="R53" t="n">
        <v>298.394992569768</v>
      </c>
      <c r="S53" t="n">
        <v>292.031911920132</v>
      </c>
      <c r="T53" t="n">
        <v>271.452481885492</v>
      </c>
      <c r="U53" t="n">
        <v>234.166829351796</v>
      </c>
      <c r="V53" t="n">
        <v>210.403383690224</v>
      </c>
      <c r="W53" t="n">
        <v>190.550146124123</v>
      </c>
      <c r="X53" t="n">
        <v>179.65267044709</v>
      </c>
      <c r="Y53" t="n">
        <v>160.001543570321</v>
      </c>
      <c r="Z53" t="n">
        <v>139.422566905328</v>
      </c>
      <c r="AA53" t="n">
        <v>122.419814843703</v>
      </c>
      <c r="AB53" t="n">
        <v>109.259684748005</v>
      </c>
      <c r="AC53" t="n">
        <v>98.3840663583416</v>
      </c>
      <c r="AD53" t="n">
        <v>89.6588739290086</v>
      </c>
      <c r="AE53" t="n">
        <v>81.3</v>
      </c>
      <c r="AF53" t="n">
        <v>77.6</v>
      </c>
    </row>
    <row r="54">
      <c r="A54" t="s">
        <v>144</v>
      </c>
      <c r="B54" t="s">
        <v>378</v>
      </c>
      <c r="C54" t="s">
        <v>217</v>
      </c>
      <c r="D54" t="s">
        <v>379</v>
      </c>
      <c r="E54" t="s">
        <v>218</v>
      </c>
      <c r="F54" t="n">
        <v>119.376882683362</v>
      </c>
      <c r="G54" t="n">
        <v>162.978736857333</v>
      </c>
      <c r="H54" t="n">
        <v>255.757086476932</v>
      </c>
      <c r="I54" t="n">
        <v>302.730798375683</v>
      </c>
      <c r="J54" t="n">
        <v>365.454302625083</v>
      </c>
      <c r="K54" t="n">
        <v>418.177176683795</v>
      </c>
      <c r="L54" t="n">
        <v>422.346629612434</v>
      </c>
      <c r="M54" t="n">
        <v>415.976250462494</v>
      </c>
      <c r="N54" t="n">
        <v>438.064323925977</v>
      </c>
      <c r="O54" t="n">
        <v>429.351237500027</v>
      </c>
      <c r="P54" t="n">
        <v>419.837859587649</v>
      </c>
      <c r="Q54" t="n">
        <v>412.173272191862</v>
      </c>
      <c r="R54" t="n">
        <v>393.246948468766</v>
      </c>
      <c r="S54" t="n">
        <v>378.916511794232</v>
      </c>
      <c r="T54" t="n">
        <v>346.816414341901</v>
      </c>
      <c r="U54" t="n">
        <v>308.036555753147</v>
      </c>
      <c r="V54" t="n">
        <v>271.838946586524</v>
      </c>
      <c r="W54" t="n">
        <v>241.759665330808</v>
      </c>
      <c r="X54" t="n">
        <v>222.667914935585</v>
      </c>
      <c r="Y54" t="n">
        <v>196.398685769938</v>
      </c>
      <c r="Z54" t="n">
        <v>169.546901073262</v>
      </c>
      <c r="AA54" t="n">
        <v>147.194727602486</v>
      </c>
      <c r="AB54" t="n">
        <v>129.865708424908</v>
      </c>
      <c r="AC54" t="n">
        <v>115.570413388988</v>
      </c>
      <c r="AD54" t="n">
        <v>104.143676939426</v>
      </c>
      <c r="AE54" t="n">
        <v>93.6</v>
      </c>
      <c r="AF54" t="n">
        <v>88.3</v>
      </c>
    </row>
    <row r="55">
      <c r="A55" t="s">
        <v>144</v>
      </c>
      <c r="B55" t="s">
        <v>380</v>
      </c>
      <c r="C55" t="s">
        <v>217</v>
      </c>
      <c r="D55" t="s">
        <v>381</v>
      </c>
      <c r="E55" t="s">
        <v>218</v>
      </c>
      <c r="F55" t="n">
        <v>43.5541685425729</v>
      </c>
      <c r="G55" t="n">
        <v>68.8504296320992</v>
      </c>
      <c r="H55" t="n">
        <v>120.161539028249</v>
      </c>
      <c r="I55" t="n">
        <v>143.92398935386</v>
      </c>
      <c r="J55" t="n">
        <v>177.882763550771</v>
      </c>
      <c r="K55" t="n">
        <v>205.730224937314</v>
      </c>
      <c r="L55" t="n">
        <v>198.58585097624</v>
      </c>
      <c r="M55" t="n">
        <v>173.68370435082</v>
      </c>
      <c r="N55" t="n">
        <v>148.582073971615</v>
      </c>
      <c r="O55" t="n">
        <v>136.578866717861</v>
      </c>
      <c r="P55" t="n">
        <v>116.247883964735</v>
      </c>
      <c r="Q55" t="n">
        <v>98.7883173102115</v>
      </c>
      <c r="R55" t="n">
        <v>94.5028106505314</v>
      </c>
      <c r="S55" t="n">
        <v>88.1350868088417</v>
      </c>
      <c r="T55" t="n">
        <v>77.9464712763725</v>
      </c>
      <c r="U55" t="n">
        <v>73.7770770739192</v>
      </c>
      <c r="V55" t="n">
        <v>61.362175828377</v>
      </c>
      <c r="W55" t="n">
        <v>51.1521632113425</v>
      </c>
      <c r="X55" t="n">
        <v>42.9719589730914</v>
      </c>
      <c r="Y55" t="n">
        <v>36.3608883618466</v>
      </c>
      <c r="Z55" t="n">
        <v>30.0953115537318</v>
      </c>
      <c r="AA55" t="n">
        <v>24.7541641107487</v>
      </c>
      <c r="AB55" t="n">
        <v>20.5946529282048</v>
      </c>
      <c r="AC55" t="n">
        <v>17.1789543937709</v>
      </c>
      <c r="AD55" t="n">
        <v>14.4822580645161</v>
      </c>
      <c r="AE55" t="n">
        <v>12.3</v>
      </c>
      <c r="AF55" t="n">
        <v>10.7</v>
      </c>
    </row>
    <row r="56">
      <c r="A56" t="s">
        <v>144</v>
      </c>
      <c r="B56" t="s">
        <v>382</v>
      </c>
      <c r="C56" t="s">
        <v>217</v>
      </c>
      <c r="D56" t="s">
        <v>383</v>
      </c>
      <c r="E56" t="s">
        <v>218</v>
      </c>
      <c r="F56" t="e">
        <v>#NUM!</v>
      </c>
      <c r="G56" t="e">
        <v>#NUM!</v>
      </c>
      <c r="H56" t="e">
        <v>#NUM!</v>
      </c>
      <c r="I56" t="e">
        <v>#NUM!</v>
      </c>
      <c r="J56" t="e">
        <v>#NUM!</v>
      </c>
      <c r="K56" t="e">
        <v>#NUM!</v>
      </c>
      <c r="L56" t="e">
        <v>#NUM!</v>
      </c>
      <c r="M56" t="e">
        <v>#NUM!</v>
      </c>
      <c r="N56" t="e">
        <v>#NUM!</v>
      </c>
      <c r="O56" t="e">
        <v>#NUM!</v>
      </c>
      <c r="P56" t="e">
        <v>#NUM!</v>
      </c>
      <c r="Q56" t="e">
        <v>#NUM!</v>
      </c>
      <c r="R56" t="e">
        <v>#NUM!</v>
      </c>
      <c r="S56" t="e">
        <v>#NUM!</v>
      </c>
      <c r="T56" t="e">
        <v>#NUM!</v>
      </c>
      <c r="U56" t="e">
        <v>#NUM!</v>
      </c>
      <c r="V56" t="e">
        <v>#NUM!</v>
      </c>
      <c r="W56" t="e">
        <v>#NUM!</v>
      </c>
      <c r="X56" t="e">
        <v>#NUM!</v>
      </c>
      <c r="Y56" t="e">
        <v>#NUM!</v>
      </c>
      <c r="Z56" t="e">
        <v>#NUM!</v>
      </c>
      <c r="AA56" t="e">
        <v>#NUM!</v>
      </c>
      <c r="AB56" t="e">
        <v>#NUM!</v>
      </c>
      <c r="AC56" t="e">
        <v>#NUM!</v>
      </c>
      <c r="AD56" t="e">
        <v>#NUM!</v>
      </c>
      <c r="AE56" t="n">
        <v>0</v>
      </c>
      <c r="AF56" t="e">
        <v>#NUM!</v>
      </c>
    </row>
    <row r="57">
      <c r="A57" t="s">
        <v>144</v>
      </c>
      <c r="B57" t="s">
        <v>384</v>
      </c>
      <c r="C57" t="s">
        <v>217</v>
      </c>
      <c r="D57" t="s">
        <v>385</v>
      </c>
      <c r="E57" t="s">
        <v>218</v>
      </c>
      <c r="F57" t="n">
        <v>14316.7928187839</v>
      </c>
      <c r="G57" t="n">
        <v>14936.2373702629</v>
      </c>
      <c r="H57" t="n">
        <v>15693.9209888928</v>
      </c>
      <c r="I57" t="n">
        <v>17768.0188817635</v>
      </c>
      <c r="J57" t="n">
        <v>18917.1432492632</v>
      </c>
      <c r="K57" t="n">
        <v>20061.4646338903</v>
      </c>
      <c r="L57" t="n">
        <v>22980.0681572343</v>
      </c>
      <c r="M57" t="n">
        <v>24658.2714904233</v>
      </c>
      <c r="N57" t="n">
        <v>27768.4667667609</v>
      </c>
      <c r="O57" t="n">
        <v>28932.5245555292</v>
      </c>
      <c r="P57" t="n">
        <v>30214.0170982813</v>
      </c>
      <c r="Q57" t="n">
        <v>33889.8003042521</v>
      </c>
      <c r="R57" t="n">
        <v>38964.8578595743</v>
      </c>
      <c r="S57" t="n">
        <v>42867.1813093536</v>
      </c>
      <c r="T57" t="n">
        <v>45083.8423287256</v>
      </c>
      <c r="U57" t="n">
        <v>46070.3962341365</v>
      </c>
      <c r="V57" t="n">
        <v>42252.8302832388</v>
      </c>
      <c r="W57" t="n">
        <v>38270.0260061156</v>
      </c>
      <c r="X57" t="n">
        <v>34799.2467477148</v>
      </c>
      <c r="Y57" t="n">
        <v>32544.9167375277</v>
      </c>
      <c r="Z57" t="n">
        <v>30220.0015753999</v>
      </c>
      <c r="AA57" t="n">
        <v>28122.4961663236</v>
      </c>
      <c r="AB57" t="n">
        <v>26637.2257804116</v>
      </c>
      <c r="AC57" t="n">
        <v>24984.9911778988</v>
      </c>
      <c r="AD57" t="n">
        <v>23620.3981667201</v>
      </c>
      <c r="AE57" t="n">
        <v>22020.8</v>
      </c>
      <c r="AF57" t="n">
        <v>20710.4</v>
      </c>
    </row>
    <row r="58">
      <c r="A58" t="s">
        <v>144</v>
      </c>
      <c r="B58" t="s">
        <v>386</v>
      </c>
      <c r="C58" t="s">
        <v>217</v>
      </c>
      <c r="D58" t="s">
        <v>387</v>
      </c>
      <c r="E58" t="s">
        <v>218</v>
      </c>
      <c r="F58" t="n">
        <v>14316.7928187839</v>
      </c>
      <c r="G58" t="n">
        <v>14936.2373702629</v>
      </c>
      <c r="H58" t="n">
        <v>15693.9209888928</v>
      </c>
      <c r="I58" t="n">
        <v>17768.0188817635</v>
      </c>
      <c r="J58" t="n">
        <v>18917.1432492632</v>
      </c>
      <c r="K58" t="n">
        <v>20061.4646338903</v>
      </c>
      <c r="L58" t="n">
        <v>22980.0681572343</v>
      </c>
      <c r="M58" t="n">
        <v>24658.2714904233</v>
      </c>
      <c r="N58" t="n">
        <v>27768.4667667609</v>
      </c>
      <c r="O58" t="n">
        <v>28932.5245555292</v>
      </c>
      <c r="P58" t="n">
        <v>30214.0170982813</v>
      </c>
      <c r="Q58" t="n">
        <v>33889.8003042521</v>
      </c>
      <c r="R58" t="n">
        <v>38964.8578595743</v>
      </c>
      <c r="S58" t="n">
        <v>42867.1813093536</v>
      </c>
      <c r="T58" t="n">
        <v>45083.8423287256</v>
      </c>
      <c r="U58" t="n">
        <v>46070.3962341365</v>
      </c>
      <c r="V58" t="n">
        <v>42252.8302832388</v>
      </c>
      <c r="W58" t="n">
        <v>38270.0260061156</v>
      </c>
      <c r="X58" t="n">
        <v>34799.2467477148</v>
      </c>
      <c r="Y58" t="n">
        <v>32544.9167375277</v>
      </c>
      <c r="Z58" t="n">
        <v>30220.0015753999</v>
      </c>
      <c r="AA58" t="n">
        <v>28122.4961663236</v>
      </c>
      <c r="AB58" t="n">
        <v>26637.2257804116</v>
      </c>
      <c r="AC58" t="n">
        <v>24984.9911778988</v>
      </c>
      <c r="AD58" t="n">
        <v>23620.3981667201</v>
      </c>
      <c r="AE58" t="n">
        <v>22020.8</v>
      </c>
      <c r="AF58" t="n">
        <v>20710.4</v>
      </c>
    </row>
    <row r="59">
      <c r="A59" t="s">
        <v>144</v>
      </c>
      <c r="B59" t="s">
        <v>388</v>
      </c>
      <c r="C59" t="s">
        <v>217</v>
      </c>
      <c r="D59" t="s">
        <v>389</v>
      </c>
      <c r="E59" t="s">
        <v>218</v>
      </c>
      <c r="F59" t="e">
        <v>#NUM!</v>
      </c>
      <c r="G59" t="e">
        <v>#NUM!</v>
      </c>
      <c r="H59" t="e">
        <v>#NUM!</v>
      </c>
      <c r="I59" t="e">
        <v>#NUM!</v>
      </c>
      <c r="J59" t="e">
        <v>#NUM!</v>
      </c>
      <c r="K59" t="e">
        <v>#NUM!</v>
      </c>
      <c r="L59" t="e">
        <v>#NUM!</v>
      </c>
      <c r="M59" t="e">
        <v>#NUM!</v>
      </c>
      <c r="N59" t="e">
        <v>#NUM!</v>
      </c>
      <c r="O59" t="e">
        <v>#NUM!</v>
      </c>
      <c r="P59" t="e">
        <v>#NUM!</v>
      </c>
      <c r="Q59" t="e">
        <v>#NUM!</v>
      </c>
      <c r="R59" t="e">
        <v>#NUM!</v>
      </c>
      <c r="S59" t="e">
        <v>#NUM!</v>
      </c>
      <c r="T59" t="e">
        <v>#NUM!</v>
      </c>
      <c r="U59" t="e">
        <v>#NUM!</v>
      </c>
      <c r="V59" t="e">
        <v>#NUM!</v>
      </c>
      <c r="W59" t="e">
        <v>#NUM!</v>
      </c>
      <c r="X59" t="e">
        <v>#NUM!</v>
      </c>
      <c r="Y59" t="e">
        <v>#NUM!</v>
      </c>
      <c r="Z59" t="e">
        <v>#NUM!</v>
      </c>
      <c r="AA59" t="e">
        <v>#NUM!</v>
      </c>
      <c r="AB59" t="e">
        <v>#NUM!</v>
      </c>
      <c r="AC59" t="e">
        <v>#NUM!</v>
      </c>
      <c r="AD59" t="e">
        <v>#NUM!</v>
      </c>
      <c r="AE59" t="n">
        <v>0</v>
      </c>
      <c r="AF59" t="e">
        <v>#NUM!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145</v>
      </c>
      <c r="B2" t="s">
        <v>197</v>
      </c>
      <c r="C2" t="s">
        <v>217</v>
      </c>
      <c r="D2" t="s">
        <v>199</v>
      </c>
      <c r="E2" t="s">
        <v>218</v>
      </c>
      <c r="F2" t="n">
        <v>1913.35779866482</v>
      </c>
      <c r="G2" t="n">
        <v>1910.01276754827</v>
      </c>
      <c r="H2" t="n">
        <v>1925.48433027743</v>
      </c>
      <c r="I2" t="n">
        <v>2029.83421869591</v>
      </c>
      <c r="J2" t="n">
        <v>2200.17854972778</v>
      </c>
      <c r="K2" t="n">
        <v>2399.4534392547</v>
      </c>
      <c r="L2" t="n">
        <v>2463.00850885637</v>
      </c>
      <c r="M2" t="n">
        <v>2451.51242540021</v>
      </c>
      <c r="N2" t="n">
        <v>2679.77588363202</v>
      </c>
      <c r="O2" t="n">
        <v>2973.69311014059</v>
      </c>
      <c r="P2" t="n">
        <v>3179.33591271653</v>
      </c>
      <c r="Q2" t="n">
        <v>3139.17222369659</v>
      </c>
      <c r="R2" t="n">
        <v>3436.62896925051</v>
      </c>
      <c r="S2" t="n">
        <v>3998.91470719568</v>
      </c>
      <c r="T2" t="n">
        <v>4246.58797131495</v>
      </c>
      <c r="U2" t="n">
        <v>4396.4327925058</v>
      </c>
      <c r="V2" t="n">
        <v>4292.87721318257</v>
      </c>
      <c r="W2" t="n">
        <v>4203.91618842036</v>
      </c>
      <c r="X2" t="n">
        <v>4139.10145392356</v>
      </c>
      <c r="Y2" t="n">
        <v>4087.19573753892</v>
      </c>
      <c r="Z2" t="n">
        <v>4083.45880360868</v>
      </c>
      <c r="AA2" t="n">
        <v>4086.28284210254</v>
      </c>
      <c r="AB2" t="n">
        <v>4111.14312599415</v>
      </c>
      <c r="AC2" t="n">
        <v>4158.43241366225</v>
      </c>
      <c r="AD2" t="n">
        <v>4207.91600935522</v>
      </c>
      <c r="AE2" t="n">
        <v>4385.5</v>
      </c>
      <c r="AF2" t="n">
        <v>4669.2</v>
      </c>
    </row>
    <row r="3">
      <c r="A3" t="s">
        <v>145</v>
      </c>
      <c r="B3" t="s">
        <v>276</v>
      </c>
      <c r="C3" t="s">
        <v>217</v>
      </c>
      <c r="D3" t="s">
        <v>277</v>
      </c>
      <c r="E3" t="s">
        <v>218</v>
      </c>
      <c r="F3" t="n">
        <v>535.324580897596</v>
      </c>
      <c r="G3" t="n">
        <v>508.585636489867</v>
      </c>
      <c r="H3" t="n">
        <v>486.213461528053</v>
      </c>
      <c r="I3" t="n">
        <v>475.458167565953</v>
      </c>
      <c r="J3" t="n">
        <v>474.286222366135</v>
      </c>
      <c r="K3" t="n">
        <v>476.465735259316</v>
      </c>
      <c r="L3" t="n">
        <v>481.149596013893</v>
      </c>
      <c r="M3" t="n">
        <v>488.467902278711</v>
      </c>
      <c r="N3" t="n">
        <v>512.219306445489</v>
      </c>
      <c r="O3" t="n">
        <v>545.034619558622</v>
      </c>
      <c r="P3" t="n">
        <v>565.268191561752</v>
      </c>
      <c r="Q3" t="n">
        <v>602.975730067397</v>
      </c>
      <c r="R3" t="n">
        <v>690.452342172906</v>
      </c>
      <c r="S3" t="n">
        <v>673.498789198063</v>
      </c>
      <c r="T3" t="n">
        <v>642.28457063489</v>
      </c>
      <c r="U3" t="n">
        <v>600.459463198317</v>
      </c>
      <c r="V3" t="n">
        <v>551.798532174894</v>
      </c>
      <c r="W3" t="n">
        <v>518.553970820428</v>
      </c>
      <c r="X3" t="n">
        <v>477.919105613393</v>
      </c>
      <c r="Y3" t="n">
        <v>458.696566570846</v>
      </c>
      <c r="Z3" t="n">
        <v>451.180280936159</v>
      </c>
      <c r="AA3" t="n">
        <v>427.060580382969</v>
      </c>
      <c r="AB3" t="n">
        <v>406.215956816657</v>
      </c>
      <c r="AC3" t="n">
        <v>410.764281787234</v>
      </c>
      <c r="AD3" t="n">
        <v>446.73260373917</v>
      </c>
      <c r="AE3" t="n">
        <v>441.2</v>
      </c>
      <c r="AF3" t="n">
        <v>447.9</v>
      </c>
    </row>
    <row r="4">
      <c r="A4" t="s">
        <v>145</v>
      </c>
      <c r="B4" t="s">
        <v>278</v>
      </c>
      <c r="C4" t="s">
        <v>217</v>
      </c>
      <c r="D4" t="s">
        <v>279</v>
      </c>
      <c r="E4" t="s">
        <v>218</v>
      </c>
      <c r="F4" t="n">
        <v>6634.70602042878</v>
      </c>
      <c r="G4" t="n">
        <v>6909.99275496226</v>
      </c>
      <c r="H4" t="n">
        <v>7224.18674093065</v>
      </c>
      <c r="I4" t="n">
        <v>7829.16003174929</v>
      </c>
      <c r="J4" t="n">
        <v>8666.48709544412</v>
      </c>
      <c r="K4" t="n">
        <v>9617.6766371206</v>
      </c>
      <c r="L4" t="n">
        <v>10389.0802875986</v>
      </c>
      <c r="M4" t="n">
        <v>10762.1827427443</v>
      </c>
      <c r="N4" t="n">
        <v>10898.9121594613</v>
      </c>
      <c r="O4" t="n">
        <v>11326.6021014389</v>
      </c>
      <c r="P4" t="n">
        <v>11386.4116374966</v>
      </c>
      <c r="Q4" t="n">
        <v>11414.5508881951</v>
      </c>
      <c r="R4" t="n">
        <v>11770.7669762825</v>
      </c>
      <c r="S4" t="n">
        <v>12562.6069184517</v>
      </c>
      <c r="T4" t="n">
        <v>12511.4685714053</v>
      </c>
      <c r="U4" t="n">
        <v>12317.1594498672</v>
      </c>
      <c r="V4" t="n">
        <v>11907.833435973</v>
      </c>
      <c r="W4" t="n">
        <v>12799.8277882971</v>
      </c>
      <c r="X4" t="n">
        <v>11870.0450904088</v>
      </c>
      <c r="Y4" t="n">
        <v>11558.1286703642</v>
      </c>
      <c r="Z4" t="n">
        <v>11210.1203426961</v>
      </c>
      <c r="AA4" t="n">
        <v>10804.0733170403</v>
      </c>
      <c r="AB4" t="n">
        <v>10467.954722703</v>
      </c>
      <c r="AC4" t="n">
        <v>10323.8557690925</v>
      </c>
      <c r="AD4" t="n">
        <v>10109.3924381752</v>
      </c>
      <c r="AE4" t="n">
        <v>10131.1</v>
      </c>
      <c r="AF4" t="n">
        <v>10356.5</v>
      </c>
    </row>
    <row r="5">
      <c r="A5" t="s">
        <v>145</v>
      </c>
      <c r="B5" t="s">
        <v>280</v>
      </c>
      <c r="C5" t="s">
        <v>217</v>
      </c>
      <c r="D5" t="s">
        <v>281</v>
      </c>
      <c r="E5" t="s">
        <v>218</v>
      </c>
      <c r="F5" t="n">
        <v>1437.49099228072</v>
      </c>
      <c r="G5" t="n">
        <v>1490.60353587136</v>
      </c>
      <c r="H5" t="n">
        <v>1552.63401040272</v>
      </c>
      <c r="I5" t="n">
        <v>1680.74633381148</v>
      </c>
      <c r="J5" t="n">
        <v>1862.26462993818</v>
      </c>
      <c r="K5" t="n">
        <v>2061.83116551873</v>
      </c>
      <c r="L5" t="n">
        <v>2187.6350916867</v>
      </c>
      <c r="M5" t="n">
        <v>2270.22993835034</v>
      </c>
      <c r="N5" t="n">
        <v>2345.83301672744</v>
      </c>
      <c r="O5" t="n">
        <v>2521.91357948137</v>
      </c>
      <c r="P5" t="n">
        <v>2539.57529916995</v>
      </c>
      <c r="Q5" t="n">
        <v>2554.03208455422</v>
      </c>
      <c r="R5" t="n">
        <v>2800.76996359941</v>
      </c>
      <c r="S5" t="n">
        <v>3033.08650640044</v>
      </c>
      <c r="T5" t="n">
        <v>3020.43005896121</v>
      </c>
      <c r="U5" t="n">
        <v>2975.20447842013</v>
      </c>
      <c r="V5" t="n">
        <v>2848.94399536179</v>
      </c>
      <c r="W5" t="n">
        <v>2716.53001537366</v>
      </c>
      <c r="X5" t="n">
        <v>2612.09530094876</v>
      </c>
      <c r="Y5" t="n">
        <v>2625.23471579853</v>
      </c>
      <c r="Z5" t="n">
        <v>2652.68044387356</v>
      </c>
      <c r="AA5" t="n">
        <v>2634.84934132145</v>
      </c>
      <c r="AB5" t="n">
        <v>2628.65519110484</v>
      </c>
      <c r="AC5" t="n">
        <v>2755.06587935241</v>
      </c>
      <c r="AD5" t="n">
        <v>2724.94981537674</v>
      </c>
      <c r="AE5" t="n">
        <v>2751.1</v>
      </c>
      <c r="AF5" t="n">
        <v>2833.3</v>
      </c>
    </row>
    <row r="6">
      <c r="A6" t="s">
        <v>145</v>
      </c>
      <c r="B6" t="s">
        <v>282</v>
      </c>
      <c r="C6" t="s">
        <v>217</v>
      </c>
      <c r="D6" t="s">
        <v>283</v>
      </c>
      <c r="E6" t="s">
        <v>218</v>
      </c>
      <c r="F6" t="n">
        <v>1243.7761052646</v>
      </c>
      <c r="G6" t="n">
        <v>1218.9267403855</v>
      </c>
      <c r="H6" t="n">
        <v>1203.66554129344</v>
      </c>
      <c r="I6" t="n">
        <v>1225.43726943053</v>
      </c>
      <c r="J6" t="n">
        <v>1277.58353621481</v>
      </c>
      <c r="K6" t="n">
        <v>1344.43043433436</v>
      </c>
      <c r="L6" t="n">
        <v>1411.27306802592</v>
      </c>
      <c r="M6" t="n">
        <v>1359.32983686724</v>
      </c>
      <c r="N6" t="n">
        <v>1311.19917864796</v>
      </c>
      <c r="O6" t="n">
        <v>1300.55164683015</v>
      </c>
      <c r="P6" t="n">
        <v>1228.3543139717</v>
      </c>
      <c r="Q6" t="n">
        <v>1080.94738291392</v>
      </c>
      <c r="R6" t="n">
        <v>1009.43789230607</v>
      </c>
      <c r="S6" t="n">
        <v>938.662781579521</v>
      </c>
      <c r="T6" t="n">
        <v>864.368270693705</v>
      </c>
      <c r="U6" t="n">
        <v>760.10952259398</v>
      </c>
      <c r="V6" t="n">
        <v>701.805084961738</v>
      </c>
      <c r="W6" t="n">
        <v>620.433408930835</v>
      </c>
      <c r="X6" t="n">
        <v>565.831163512936</v>
      </c>
      <c r="Y6" t="n">
        <v>526.399708536226</v>
      </c>
      <c r="Z6" t="n">
        <v>495.027589683835</v>
      </c>
      <c r="AA6" t="n">
        <v>488.632933511991</v>
      </c>
      <c r="AB6" t="n">
        <v>484.568613000351</v>
      </c>
      <c r="AC6" t="n">
        <v>446.118817022039</v>
      </c>
      <c r="AD6" t="n">
        <v>411.336671966084</v>
      </c>
      <c r="AE6" t="n">
        <v>380.3</v>
      </c>
      <c r="AF6" t="n">
        <v>354.3</v>
      </c>
    </row>
    <row r="7">
      <c r="A7" t="s">
        <v>145</v>
      </c>
      <c r="B7" t="s">
        <v>284</v>
      </c>
      <c r="C7" t="s">
        <v>217</v>
      </c>
      <c r="D7" t="s">
        <v>285</v>
      </c>
      <c r="E7" t="s">
        <v>218</v>
      </c>
      <c r="F7" t="n">
        <v>500.156712888198</v>
      </c>
      <c r="G7" t="n">
        <v>564.320671224365</v>
      </c>
      <c r="H7" t="n">
        <v>629.661742040814</v>
      </c>
      <c r="I7" t="n">
        <v>729.648844712795</v>
      </c>
      <c r="J7" t="n">
        <v>858.362571817042</v>
      </c>
      <c r="K7" t="n">
        <v>993.344105685392</v>
      </c>
      <c r="L7" t="n">
        <v>1016.50167896166</v>
      </c>
      <c r="M7" t="n">
        <v>1076.91392344775</v>
      </c>
      <c r="N7" t="n">
        <v>1042.63398574071</v>
      </c>
      <c r="O7" t="n">
        <v>1032.41431042851</v>
      </c>
      <c r="P7" t="n">
        <v>932.286942805485</v>
      </c>
      <c r="Q7" t="n">
        <v>972.443524975933</v>
      </c>
      <c r="R7" t="n">
        <v>1042.94705326894</v>
      </c>
      <c r="S7" t="n">
        <v>1034.41578902952</v>
      </c>
      <c r="T7" t="n">
        <v>980.13672234321</v>
      </c>
      <c r="U7" t="n">
        <v>933.188996987274</v>
      </c>
      <c r="V7" t="n">
        <v>873.333711513297</v>
      </c>
      <c r="W7" t="n">
        <v>801.681859888905</v>
      </c>
      <c r="X7" t="n">
        <v>740.51058300321</v>
      </c>
      <c r="Y7" t="n">
        <v>723.265676219754</v>
      </c>
      <c r="Z7" t="n">
        <v>702.17891636377</v>
      </c>
      <c r="AA7" t="n">
        <v>701.569826657512</v>
      </c>
      <c r="AB7" t="n">
        <v>703.6039519885</v>
      </c>
      <c r="AC7" t="n">
        <v>686.001207539039</v>
      </c>
      <c r="AD7" t="n">
        <v>652.542650038971</v>
      </c>
      <c r="AE7" t="n">
        <v>645.3</v>
      </c>
      <c r="AF7" t="n">
        <v>650.1</v>
      </c>
    </row>
    <row r="8">
      <c r="A8" t="s">
        <v>145</v>
      </c>
      <c r="B8" t="s">
        <v>286</v>
      </c>
      <c r="C8" t="s">
        <v>217</v>
      </c>
      <c r="D8" t="s">
        <v>287</v>
      </c>
      <c r="E8" t="s">
        <v>218</v>
      </c>
      <c r="F8" t="n">
        <v>409.348207638684</v>
      </c>
      <c r="G8" t="n">
        <v>417.238290699998</v>
      </c>
      <c r="H8" t="n">
        <v>429.129516648541</v>
      </c>
      <c r="I8" t="n">
        <v>447.965117725809</v>
      </c>
      <c r="J8" t="n">
        <v>464.853414813926</v>
      </c>
      <c r="K8" t="n">
        <v>514.883545150952</v>
      </c>
      <c r="L8" t="n">
        <v>534.168443277093</v>
      </c>
      <c r="M8" t="n">
        <v>546.644200790957</v>
      </c>
      <c r="N8" t="n">
        <v>562.161548173042</v>
      </c>
      <c r="O8" t="n">
        <v>541.812323274564</v>
      </c>
      <c r="P8" t="n">
        <v>856.761336866722</v>
      </c>
      <c r="Q8" t="n">
        <v>796.175427398492</v>
      </c>
      <c r="R8" t="n">
        <v>757.080468480718</v>
      </c>
      <c r="S8" t="n">
        <v>1129.44132372137</v>
      </c>
      <c r="T8" t="n">
        <v>1180.01177660476</v>
      </c>
      <c r="U8" t="n">
        <v>1351.35679619353</v>
      </c>
      <c r="V8" t="n">
        <v>1521.2387177811</v>
      </c>
      <c r="W8" t="n">
        <v>3074.7918327637</v>
      </c>
      <c r="X8" t="n">
        <v>2862.07877885944</v>
      </c>
      <c r="Y8" t="n">
        <v>2732.42084760239</v>
      </c>
      <c r="Z8" t="n">
        <v>2639.85170613447</v>
      </c>
      <c r="AA8" t="n">
        <v>2471.7568050667</v>
      </c>
      <c r="AB8" t="n">
        <v>2324.07386205967</v>
      </c>
      <c r="AC8" t="n">
        <v>2175.46595067786</v>
      </c>
      <c r="AD8" t="n">
        <v>2125.41704184636</v>
      </c>
      <c r="AE8" t="n">
        <v>2122.5</v>
      </c>
      <c r="AF8" t="n">
        <v>2160</v>
      </c>
    </row>
    <row r="9">
      <c r="A9" t="s">
        <v>145</v>
      </c>
      <c r="B9" t="s">
        <v>288</v>
      </c>
      <c r="C9" t="s">
        <v>217</v>
      </c>
      <c r="D9" t="s">
        <v>289</v>
      </c>
      <c r="E9" t="s">
        <v>218</v>
      </c>
      <c r="F9" t="n">
        <v>207.118795178295</v>
      </c>
      <c r="G9" t="n">
        <v>231.666207940167</v>
      </c>
      <c r="H9" t="n">
        <v>256.770968261589</v>
      </c>
      <c r="I9" t="n">
        <v>294.825159028077</v>
      </c>
      <c r="J9" t="n">
        <v>343.043106110781</v>
      </c>
      <c r="K9" t="n">
        <v>392.580016740497</v>
      </c>
      <c r="L9" t="n">
        <v>492.971244701601</v>
      </c>
      <c r="M9" t="n">
        <v>492.851881204094</v>
      </c>
      <c r="N9" t="n">
        <v>483.206797276205</v>
      </c>
      <c r="O9" t="n">
        <v>534.41459900378</v>
      </c>
      <c r="P9" t="n">
        <v>534.890692187747</v>
      </c>
      <c r="Q9" t="n">
        <v>528.350232412219</v>
      </c>
      <c r="R9" t="n">
        <v>562.295466127497</v>
      </c>
      <c r="S9" t="n">
        <v>587.45336902803</v>
      </c>
      <c r="T9" t="n">
        <v>631.769844184032</v>
      </c>
      <c r="U9" t="n">
        <v>571.95179362706</v>
      </c>
      <c r="V9" t="n">
        <v>539.482467233833</v>
      </c>
      <c r="W9" t="n">
        <v>518.045404976519</v>
      </c>
      <c r="X9" t="n">
        <v>500.325746933288</v>
      </c>
      <c r="Y9" t="n">
        <v>483.420785811586</v>
      </c>
      <c r="Z9" t="n">
        <v>425.894934088008</v>
      </c>
      <c r="AA9" t="n">
        <v>411.00633591656</v>
      </c>
      <c r="AB9" t="n">
        <v>398.884959466977</v>
      </c>
      <c r="AC9" t="n">
        <v>393.231312863547</v>
      </c>
      <c r="AD9" t="n">
        <v>390.71059931955</v>
      </c>
      <c r="AE9" t="n">
        <v>382.6</v>
      </c>
      <c r="AF9" t="n">
        <v>381.6</v>
      </c>
    </row>
    <row r="10">
      <c r="A10" t="s">
        <v>145</v>
      </c>
      <c r="B10" t="s">
        <v>290</v>
      </c>
      <c r="C10" t="s">
        <v>217</v>
      </c>
      <c r="D10" t="s">
        <v>291</v>
      </c>
      <c r="E10" t="s">
        <v>218</v>
      </c>
      <c r="F10" t="n">
        <v>281.065691256939</v>
      </c>
      <c r="G10" t="n">
        <v>314.246097504684</v>
      </c>
      <c r="H10" t="n">
        <v>348.27438698017</v>
      </c>
      <c r="I10" t="n">
        <v>399.889152244857</v>
      </c>
      <c r="J10" t="n">
        <v>465.269364413309</v>
      </c>
      <c r="K10" t="n">
        <v>532.525394932563</v>
      </c>
      <c r="L10" t="n">
        <v>668.595428955466</v>
      </c>
      <c r="M10" t="n">
        <v>668.358841754845</v>
      </c>
      <c r="N10" t="n">
        <v>655.260707673844</v>
      </c>
      <c r="O10" t="n">
        <v>724.73129483064</v>
      </c>
      <c r="P10" t="n">
        <v>720.01299212992</v>
      </c>
      <c r="Q10" t="n">
        <v>722.960482682277</v>
      </c>
      <c r="R10" t="n">
        <v>784.989305263349</v>
      </c>
      <c r="S10" t="n">
        <v>863.639694586179</v>
      </c>
      <c r="T10" t="n">
        <v>1022.08950999326</v>
      </c>
      <c r="U10" t="n">
        <v>898.41295657845</v>
      </c>
      <c r="V10" t="n">
        <v>845.372392239764</v>
      </c>
      <c r="W10" t="n">
        <v>799.660114360901</v>
      </c>
      <c r="X10" t="n">
        <v>787.238605072382</v>
      </c>
      <c r="Y10" t="n">
        <v>762.602404060159</v>
      </c>
      <c r="Z10" t="n">
        <v>703.776274399573</v>
      </c>
      <c r="AA10" t="n">
        <v>689.498223364992</v>
      </c>
      <c r="AB10" t="n">
        <v>679.213284573106</v>
      </c>
      <c r="AC10" t="n">
        <v>701.120133971495</v>
      </c>
      <c r="AD10" t="n">
        <v>721.186710508289</v>
      </c>
      <c r="AE10" t="n">
        <v>730.9</v>
      </c>
      <c r="AF10" t="n">
        <v>756.4</v>
      </c>
    </row>
    <row r="11">
      <c r="A11" t="s">
        <v>145</v>
      </c>
      <c r="B11" t="s">
        <v>292</v>
      </c>
      <c r="C11" t="s">
        <v>217</v>
      </c>
      <c r="D11" t="s">
        <v>293</v>
      </c>
      <c r="E11" t="s">
        <v>218</v>
      </c>
      <c r="F11" t="n">
        <v>74.3685273662048</v>
      </c>
      <c r="G11" t="n">
        <v>83.0539028250316</v>
      </c>
      <c r="H11" t="n">
        <v>92.029286539761</v>
      </c>
      <c r="I11" t="n">
        <v>105.667805639779</v>
      </c>
      <c r="J11" t="n">
        <v>122.929213183584</v>
      </c>
      <c r="K11" t="n">
        <v>140.748531059363</v>
      </c>
      <c r="L11" t="n">
        <v>176.634745932115</v>
      </c>
      <c r="M11" t="n">
        <v>176.518691565536</v>
      </c>
      <c r="N11" t="n">
        <v>173.046192715067</v>
      </c>
      <c r="O11" t="n">
        <v>191.413578991232</v>
      </c>
      <c r="P11" t="n">
        <v>186.321561170425</v>
      </c>
      <c r="Q11" t="n">
        <v>195.585529407612</v>
      </c>
      <c r="R11" t="n">
        <v>223.510551382853</v>
      </c>
      <c r="S11" t="n">
        <v>276.478173688584</v>
      </c>
      <c r="T11" t="n">
        <v>390.230964881084</v>
      </c>
      <c r="U11" t="n">
        <v>326.496672727683</v>
      </c>
      <c r="V11" t="n">
        <v>305.924311844214</v>
      </c>
      <c r="W11" t="n">
        <v>281.649441150069</v>
      </c>
      <c r="X11" t="n">
        <v>286.942455584403</v>
      </c>
      <c r="Y11" t="n">
        <v>279.20925465376</v>
      </c>
      <c r="Z11" t="n">
        <v>277.886952172704</v>
      </c>
      <c r="AA11" t="n">
        <v>278.494355346851</v>
      </c>
      <c r="AB11" t="n">
        <v>280.326555053081</v>
      </c>
      <c r="AC11" t="n">
        <v>307.884765182534</v>
      </c>
      <c r="AD11" t="n">
        <v>330.474410580794</v>
      </c>
      <c r="AE11" t="n">
        <v>348.3</v>
      </c>
      <c r="AF11" t="n">
        <v>374.8</v>
      </c>
    </row>
    <row r="12">
      <c r="A12" t="s">
        <v>145</v>
      </c>
      <c r="B12" t="s">
        <v>294</v>
      </c>
      <c r="C12" t="s">
        <v>217</v>
      </c>
      <c r="D12" t="s">
        <v>295</v>
      </c>
      <c r="E12" t="s">
        <v>218</v>
      </c>
      <c r="F12" t="n">
        <v>519.772124041788</v>
      </c>
      <c r="G12" t="n">
        <v>595.53002520766</v>
      </c>
      <c r="H12" t="n">
        <v>672.022436245354</v>
      </c>
      <c r="I12" t="n">
        <v>785.174090957237</v>
      </c>
      <c r="J12" t="n">
        <v>928.696773655617</v>
      </c>
      <c r="K12" t="n">
        <v>1078.87569081385</v>
      </c>
      <c r="L12" t="n">
        <v>1180.93779720186</v>
      </c>
      <c r="M12" t="n">
        <v>1259.25237708261</v>
      </c>
      <c r="N12" t="n">
        <v>1322.99599887036</v>
      </c>
      <c r="O12" t="n">
        <v>1380.38309804214</v>
      </c>
      <c r="P12" t="n">
        <v>1366.8533027461</v>
      </c>
      <c r="Q12" t="n">
        <v>1386.56862885708</v>
      </c>
      <c r="R12" t="n">
        <v>1490.70483601001</v>
      </c>
      <c r="S12" t="n">
        <v>1534.07663619565</v>
      </c>
      <c r="T12" t="n">
        <v>1526.80711517387</v>
      </c>
      <c r="U12" t="n">
        <v>1496.18022653368</v>
      </c>
      <c r="V12" t="n">
        <v>1454.86174292558</v>
      </c>
      <c r="W12" t="n">
        <v>1353.92342292927</v>
      </c>
      <c r="X12" t="n">
        <v>1270.36560163821</v>
      </c>
      <c r="Y12" t="n">
        <v>1245.3624226214</v>
      </c>
      <c r="Z12" t="n">
        <v>1203.89449281636</v>
      </c>
      <c r="AA12" t="n">
        <v>1154.57368665361</v>
      </c>
      <c r="AB12" t="n">
        <v>1112.83109471003</v>
      </c>
      <c r="AC12" t="n">
        <v>1084.00389401994</v>
      </c>
      <c r="AD12" t="n">
        <v>1056.48547640162</v>
      </c>
      <c r="AE12" t="n">
        <v>1020.1</v>
      </c>
      <c r="AF12" t="n">
        <v>1002.5</v>
      </c>
    </row>
    <row r="13">
      <c r="A13" t="s">
        <v>145</v>
      </c>
      <c r="B13" t="s">
        <v>296</v>
      </c>
      <c r="C13" t="s">
        <v>217</v>
      </c>
      <c r="D13" t="s">
        <v>297</v>
      </c>
      <c r="E13" t="s">
        <v>218</v>
      </c>
      <c r="F13" t="n">
        <v>1303.42296799955</v>
      </c>
      <c r="G13" t="n">
        <v>1381.57924266089</v>
      </c>
      <c r="H13" t="n">
        <v>1465.38099792538</v>
      </c>
      <c r="I13" t="n">
        <v>1611.28419472842</v>
      </c>
      <c r="J13" t="n">
        <v>1808.73390159637</v>
      </c>
      <c r="K13" t="n">
        <v>2027.54515871247</v>
      </c>
      <c r="L13" t="n">
        <v>2187.803951887</v>
      </c>
      <c r="M13" t="n">
        <v>2278.68088672946</v>
      </c>
      <c r="N13" t="n">
        <v>2370.65495982546</v>
      </c>
      <c r="O13" t="n">
        <v>2496.90628078463</v>
      </c>
      <c r="P13" t="n">
        <v>2439.12414313628</v>
      </c>
      <c r="Q13" t="n">
        <v>2576.48292499527</v>
      </c>
      <c r="R13" t="n">
        <v>2588.94798277495</v>
      </c>
      <c r="S13" t="n">
        <v>2664.35528057141</v>
      </c>
      <c r="T13" t="n">
        <v>2591.82462483246</v>
      </c>
      <c r="U13" t="n">
        <v>2655.72837979542</v>
      </c>
      <c r="V13" t="n">
        <v>2485.00957541105</v>
      </c>
      <c r="W13" t="n">
        <v>2369.60127386276</v>
      </c>
      <c r="X13" t="n">
        <v>2050.90570941897</v>
      </c>
      <c r="Y13" t="n">
        <v>1967.88630281163</v>
      </c>
      <c r="Z13" t="n">
        <v>1899.84199149748</v>
      </c>
      <c r="AA13" t="n">
        <v>1811.79335843539</v>
      </c>
      <c r="AB13" t="n">
        <v>1736.01376871866</v>
      </c>
      <c r="AC13" t="n">
        <v>1709.71512746324</v>
      </c>
      <c r="AD13" t="n">
        <v>1667.82071189955</v>
      </c>
      <c r="AE13" t="n">
        <v>1742.7</v>
      </c>
      <c r="AF13" t="n">
        <v>1859.3</v>
      </c>
    </row>
    <row r="14">
      <c r="A14" t="s">
        <v>145</v>
      </c>
      <c r="B14" t="s">
        <v>298</v>
      </c>
      <c r="C14" t="s">
        <v>217</v>
      </c>
      <c r="D14" t="s">
        <v>299</v>
      </c>
      <c r="E14" t="s">
        <v>218</v>
      </c>
      <c r="F14" t="n">
        <v>41.961056565866</v>
      </c>
      <c r="G14" t="n">
        <v>46.2399800972537</v>
      </c>
      <c r="H14" t="n">
        <v>50.6936892284339</v>
      </c>
      <c r="I14" t="n">
        <v>57.1571346050592</v>
      </c>
      <c r="J14" t="n">
        <v>65.2877673408108</v>
      </c>
      <c r="K14" t="n">
        <v>75.1798533015397</v>
      </c>
      <c r="L14" t="n">
        <v>203.956826899392</v>
      </c>
      <c r="M14" t="n">
        <v>204.074857470515</v>
      </c>
      <c r="N14" t="n">
        <v>210.430129848489</v>
      </c>
      <c r="O14" t="n">
        <v>206.090155041135</v>
      </c>
      <c r="P14" t="n">
        <v>196.209120210395</v>
      </c>
      <c r="Q14" t="n">
        <v>196.791688857101</v>
      </c>
      <c r="R14" t="n">
        <v>183.867049097782</v>
      </c>
      <c r="S14" t="n">
        <v>177.904379463125</v>
      </c>
      <c r="T14" t="n">
        <v>165.383250116747</v>
      </c>
      <c r="U14" t="n">
        <v>158.759640600181</v>
      </c>
      <c r="V14" t="n">
        <v>149.305992098423</v>
      </c>
      <c r="W14" t="n">
        <v>114.740632283857</v>
      </c>
      <c r="X14" t="n">
        <v>110.036470888975</v>
      </c>
      <c r="Y14" t="n">
        <v>119.826555416631</v>
      </c>
      <c r="Z14" t="n">
        <v>112.592129026682</v>
      </c>
      <c r="AA14" t="n">
        <v>106.100330596315</v>
      </c>
      <c r="AB14" t="n">
        <v>100.500025238544</v>
      </c>
      <c r="AC14" t="n">
        <v>95.2371840377337</v>
      </c>
      <c r="AD14" t="n">
        <v>89.605418138987</v>
      </c>
      <c r="AE14" t="n">
        <v>85</v>
      </c>
      <c r="AF14" t="n">
        <v>81.7</v>
      </c>
    </row>
    <row r="15">
      <c r="A15" t="s">
        <v>145</v>
      </c>
      <c r="B15" t="s">
        <v>300</v>
      </c>
      <c r="C15" t="s">
        <v>217</v>
      </c>
      <c r="D15" t="s">
        <v>301</v>
      </c>
      <c r="E15" t="s">
        <v>218</v>
      </c>
      <c r="F15" t="n">
        <v>282.654388133241</v>
      </c>
      <c r="G15" t="n">
        <v>291.516710991575</v>
      </c>
      <c r="H15" t="n">
        <v>301.986588539087</v>
      </c>
      <c r="I15" t="n">
        <v>323.811035457462</v>
      </c>
      <c r="J15" t="n">
        <v>354.966908058234</v>
      </c>
      <c r="K15" t="n">
        <v>390.991966386201</v>
      </c>
      <c r="L15" t="n">
        <v>513.583271761447</v>
      </c>
      <c r="M15" t="n">
        <v>575.721354775366</v>
      </c>
      <c r="N15" t="n">
        <v>572.75430715908</v>
      </c>
      <c r="O15" t="n">
        <v>567.75009955086</v>
      </c>
      <c r="P15" t="n">
        <v>542.559822096385</v>
      </c>
      <c r="Q15" t="n">
        <v>547.546793513189</v>
      </c>
      <c r="R15" t="n">
        <v>518.821223039432</v>
      </c>
      <c r="S15" t="n">
        <v>529.176296832605</v>
      </c>
      <c r="T15" t="n">
        <v>496.988964871929</v>
      </c>
      <c r="U15" t="n">
        <v>466.171129100623</v>
      </c>
      <c r="V15" t="n">
        <v>446.819856664862</v>
      </c>
      <c r="W15" t="n">
        <v>379.86832035327</v>
      </c>
      <c r="X15" t="n">
        <v>355.456239534655</v>
      </c>
      <c r="Y15" t="n">
        <v>389.057087156091</v>
      </c>
      <c r="Z15" t="n">
        <v>367.804360753681</v>
      </c>
      <c r="AA15" t="n">
        <v>350.786698234645</v>
      </c>
      <c r="AB15" t="n">
        <v>336.425221913192</v>
      </c>
      <c r="AC15" t="n">
        <v>330.155800885654</v>
      </c>
      <c r="AD15" t="n">
        <v>334.584720165828</v>
      </c>
      <c r="AE15" t="n">
        <v>338.9</v>
      </c>
      <c r="AF15" t="n">
        <v>350.1</v>
      </c>
    </row>
    <row r="16">
      <c r="A16" t="s">
        <v>145</v>
      </c>
      <c r="B16" t="s">
        <v>302</v>
      </c>
      <c r="C16" t="s">
        <v>217</v>
      </c>
      <c r="D16" t="s">
        <v>303</v>
      </c>
      <c r="E16" t="s">
        <v>218</v>
      </c>
      <c r="F16" t="n">
        <v>237.960564970528</v>
      </c>
      <c r="G16" t="n">
        <v>242.585006821704</v>
      </c>
      <c r="H16" t="n">
        <v>248.655826706415</v>
      </c>
      <c r="I16" t="n">
        <v>263.963286712093</v>
      </c>
      <c r="J16" t="n">
        <v>286.876766461407</v>
      </c>
      <c r="K16" t="n">
        <v>312.870542664664</v>
      </c>
      <c r="L16" t="n">
        <v>310.815938590252</v>
      </c>
      <c r="M16" t="n">
        <v>371.852981603265</v>
      </c>
      <c r="N16" t="n">
        <v>362.868312763561</v>
      </c>
      <c r="O16" t="n">
        <v>362.084821650253</v>
      </c>
      <c r="P16" t="n">
        <v>346.722288182899</v>
      </c>
      <c r="Q16" t="n">
        <v>351.08006106048</v>
      </c>
      <c r="R16" t="n">
        <v>335.181274176227</v>
      </c>
      <c r="S16" t="n">
        <v>351.283535135389</v>
      </c>
      <c r="T16" t="n">
        <v>331.595989592296</v>
      </c>
      <c r="U16" t="n">
        <v>307.442701461499</v>
      </c>
      <c r="V16" t="n">
        <v>297.528492006125</v>
      </c>
      <c r="W16" t="n">
        <v>265.104208093189</v>
      </c>
      <c r="X16" t="n">
        <v>245.402586159425</v>
      </c>
      <c r="Y16" t="n">
        <v>269.210299742056</v>
      </c>
      <c r="Z16" t="n">
        <v>255.191046396998</v>
      </c>
      <c r="AA16" t="n">
        <v>244.663530004579</v>
      </c>
      <c r="AB16" t="n">
        <v>235.903720021068</v>
      </c>
      <c r="AC16" t="n">
        <v>234.89299285731</v>
      </c>
      <c r="AD16" t="n">
        <v>244.961273734177</v>
      </c>
      <c r="AE16" t="n">
        <v>253.9</v>
      </c>
      <c r="AF16" t="n">
        <v>268.4</v>
      </c>
    </row>
    <row r="17">
      <c r="A17" t="s">
        <v>145</v>
      </c>
      <c r="B17" t="s">
        <v>304</v>
      </c>
      <c r="C17" t="s">
        <v>217</v>
      </c>
      <c r="D17" t="s">
        <v>305</v>
      </c>
      <c r="E17" t="s">
        <v>218</v>
      </c>
      <c r="F17" t="n">
        <v>176.674087445305</v>
      </c>
      <c r="G17" t="n">
        <v>170.266925323446</v>
      </c>
      <c r="H17" t="n">
        <v>165.161470291258</v>
      </c>
      <c r="I17" t="n">
        <v>164.1650209984</v>
      </c>
      <c r="J17" t="n">
        <v>166.646997557771</v>
      </c>
      <c r="K17" t="n">
        <v>171.289655847504</v>
      </c>
      <c r="L17" t="n">
        <v>169.635824687597</v>
      </c>
      <c r="M17" t="n">
        <v>171.734412209505</v>
      </c>
      <c r="N17" t="n">
        <v>168.134840351159</v>
      </c>
      <c r="O17" t="n">
        <v>174.032279730739</v>
      </c>
      <c r="P17" t="n">
        <v>178.076854624879</v>
      </c>
      <c r="Q17" t="n">
        <v>190.338259673053</v>
      </c>
      <c r="R17" t="n">
        <v>200.210115798287</v>
      </c>
      <c r="S17" t="n">
        <v>219.952163658354</v>
      </c>
      <c r="T17" t="n">
        <v>234.49789011663</v>
      </c>
      <c r="U17" t="n">
        <v>224.705670529342</v>
      </c>
      <c r="V17" t="n">
        <v>222.549974283971</v>
      </c>
      <c r="W17" t="n">
        <v>210.464885942734</v>
      </c>
      <c r="X17" t="n">
        <v>198.368024500336</v>
      </c>
      <c r="Y17" t="n">
        <v>186.212620321377</v>
      </c>
      <c r="Z17" t="n">
        <v>176.014776930282</v>
      </c>
      <c r="AA17" t="n">
        <v>165.553425502805</v>
      </c>
      <c r="AB17" t="n">
        <v>156.288135391639</v>
      </c>
      <c r="AC17" t="n">
        <v>147.89207374924</v>
      </c>
      <c r="AD17" t="n">
        <v>139.228096676737</v>
      </c>
      <c r="AE17" t="n">
        <v>133</v>
      </c>
      <c r="AF17" t="n">
        <v>128.9</v>
      </c>
    </row>
    <row r="18">
      <c r="A18" t="s">
        <v>145</v>
      </c>
      <c r="B18" t="s">
        <v>306</v>
      </c>
      <c r="C18" t="s">
        <v>217</v>
      </c>
      <c r="D18" t="s">
        <v>307</v>
      </c>
      <c r="E18" t="s">
        <v>218</v>
      </c>
      <c r="F18" t="n">
        <v>168.706384184802</v>
      </c>
      <c r="G18" t="n">
        <v>165.523244860561</v>
      </c>
      <c r="H18" t="n">
        <v>163.447718279237</v>
      </c>
      <c r="I18" t="n">
        <v>166.104376238884</v>
      </c>
      <c r="J18" t="n">
        <v>172.835089024251</v>
      </c>
      <c r="K18" t="n">
        <v>181.520269377229</v>
      </c>
      <c r="L18" t="n">
        <v>185.236998803051</v>
      </c>
      <c r="M18" t="n">
        <v>193.275362503502</v>
      </c>
      <c r="N18" t="n">
        <v>189.741992073822</v>
      </c>
      <c r="O18" t="n">
        <v>199.36998919638</v>
      </c>
      <c r="P18" t="n">
        <v>196.199795021879</v>
      </c>
      <c r="Q18" t="n">
        <v>191.31225564411</v>
      </c>
      <c r="R18" t="n">
        <v>190.414602831703</v>
      </c>
      <c r="S18" t="n">
        <v>196.700343847207</v>
      </c>
      <c r="T18" t="n">
        <v>197.954543701705</v>
      </c>
      <c r="U18" t="n">
        <v>199.198888659495</v>
      </c>
      <c r="V18" t="n">
        <v>185.153470364924</v>
      </c>
      <c r="W18" t="n">
        <v>194.855389661487</v>
      </c>
      <c r="X18" t="n">
        <v>176.760214441086</v>
      </c>
      <c r="Y18" t="n">
        <v>161.154725226149</v>
      </c>
      <c r="Z18" t="n">
        <v>146.680360278576</v>
      </c>
      <c r="AA18" t="n">
        <v>134.203400171892</v>
      </c>
      <c r="AB18" t="n">
        <v>123.121452733456</v>
      </c>
      <c r="AC18" t="n">
        <v>112.103194648113</v>
      </c>
      <c r="AD18" t="n">
        <v>101.728864864865</v>
      </c>
      <c r="AE18" t="n">
        <v>92.8</v>
      </c>
      <c r="AF18" t="n">
        <v>85.1</v>
      </c>
    </row>
    <row r="19">
      <c r="A19" t="s">
        <v>145</v>
      </c>
      <c r="B19" t="s">
        <v>308</v>
      </c>
      <c r="C19" t="s">
        <v>217</v>
      </c>
      <c r="D19" t="s">
        <v>309</v>
      </c>
      <c r="E19" t="s">
        <v>218</v>
      </c>
      <c r="F19" t="n">
        <v>283.218474713841</v>
      </c>
      <c r="G19" t="n">
        <v>274.245988600317</v>
      </c>
      <c r="H19" t="n">
        <v>268.032507739093</v>
      </c>
      <c r="I19" t="n">
        <v>270.88013066328</v>
      </c>
      <c r="J19" t="n">
        <v>281.025453909095</v>
      </c>
      <c r="K19" t="n">
        <v>295.216308783644</v>
      </c>
      <c r="L19" t="n">
        <v>309.943398064169</v>
      </c>
      <c r="M19" t="n">
        <v>339.087164131697</v>
      </c>
      <c r="N19" t="n">
        <v>336.103992599746</v>
      </c>
      <c r="O19" t="n">
        <v>366.588866846678</v>
      </c>
      <c r="P19" t="n">
        <v>366.258109974335</v>
      </c>
      <c r="Q19" t="n">
        <v>381.075264558254</v>
      </c>
      <c r="R19" t="n">
        <v>373.142806927982</v>
      </c>
      <c r="S19" t="n">
        <v>405.372032094506</v>
      </c>
      <c r="T19" t="n">
        <v>384.072990758478</v>
      </c>
      <c r="U19" t="n">
        <v>346.743447524044</v>
      </c>
      <c r="V19" t="n">
        <v>314.370324751833</v>
      </c>
      <c r="W19" t="n">
        <v>277.705103290496</v>
      </c>
      <c r="X19" t="n">
        <v>250.303829977718</v>
      </c>
      <c r="Y19" t="n">
        <v>238.361482775523</v>
      </c>
      <c r="Z19" t="n">
        <v>222.438353172596</v>
      </c>
      <c r="AA19" t="n">
        <v>201.400799597053</v>
      </c>
      <c r="AB19" t="n">
        <v>183.686386439091</v>
      </c>
      <c r="AC19" t="n">
        <v>176.415677355191</v>
      </c>
      <c r="AD19" t="n">
        <v>174.302312138728</v>
      </c>
      <c r="AE19" t="n">
        <v>173.5</v>
      </c>
      <c r="AF19" t="n">
        <v>176.5</v>
      </c>
    </row>
    <row r="20">
      <c r="A20" t="s">
        <v>145</v>
      </c>
      <c r="B20" t="s">
        <v>310</v>
      </c>
      <c r="C20" t="s">
        <v>217</v>
      </c>
      <c r="D20" t="s">
        <v>311</v>
      </c>
      <c r="E20" t="s">
        <v>218</v>
      </c>
      <c r="F20" t="n">
        <v>1352.42800937015</v>
      </c>
      <c r="G20" t="n">
        <v>1226.56526376332</v>
      </c>
      <c r="H20" t="n">
        <v>1114.00246134614</v>
      </c>
      <c r="I20" t="n">
        <v>1014.72184379076</v>
      </c>
      <c r="J20" t="n">
        <v>926.860105130224</v>
      </c>
      <c r="K20" t="n">
        <v>848.057713390304</v>
      </c>
      <c r="L20" t="n">
        <v>777.607579705233</v>
      </c>
      <c r="M20" t="n">
        <v>761.316042982964</v>
      </c>
      <c r="N20" t="n">
        <v>696.117370888631</v>
      </c>
      <c r="O20" t="n">
        <v>640.935061894781</v>
      </c>
      <c r="P20" t="n">
        <v>582.1930523386</v>
      </c>
      <c r="Q20" t="n">
        <v>531.022271348908</v>
      </c>
      <c r="R20" t="n">
        <v>485.68962366927</v>
      </c>
      <c r="S20" t="n">
        <v>447.197014134648</v>
      </c>
      <c r="T20" t="n">
        <v>412.568673914153</v>
      </c>
      <c r="U20" t="n">
        <v>380.132240240902</v>
      </c>
      <c r="V20" t="n">
        <v>351.902057668326</v>
      </c>
      <c r="W20" t="n">
        <v>319.418790806635</v>
      </c>
      <c r="X20" t="n">
        <v>286.075682960665</v>
      </c>
      <c r="Y20" t="n">
        <v>262.734992261498</v>
      </c>
      <c r="Z20" t="n">
        <v>534.319362891849</v>
      </c>
      <c r="AA20" t="n">
        <v>509.999877381885</v>
      </c>
      <c r="AB20" t="n">
        <v>489.28716088061</v>
      </c>
      <c r="AC20" t="n">
        <v>742.673426595893</v>
      </c>
      <c r="AD20" t="n">
        <v>1012.66333272936</v>
      </c>
      <c r="AE20" t="n">
        <v>1662.7</v>
      </c>
      <c r="AF20" t="n">
        <v>2412.3</v>
      </c>
    </row>
    <row r="21">
      <c r="A21" t="s">
        <v>145</v>
      </c>
      <c r="B21" t="s">
        <v>312</v>
      </c>
      <c r="C21" t="s">
        <v>217</v>
      </c>
      <c r="D21" t="s">
        <v>313</v>
      </c>
      <c r="E21" t="s">
        <v>218</v>
      </c>
      <c r="F21" t="n">
        <v>1368.08720540497</v>
      </c>
      <c r="G21" t="n">
        <v>1247.03273664933</v>
      </c>
      <c r="H21" t="n">
        <v>1139.33266163976</v>
      </c>
      <c r="I21" t="n">
        <v>1046.68335307375</v>
      </c>
      <c r="J21" t="n">
        <v>966.465290738905</v>
      </c>
      <c r="K21" t="n">
        <v>896.417250364502</v>
      </c>
      <c r="L21" t="n">
        <v>856.840865800738</v>
      </c>
      <c r="M21" t="n">
        <v>843.991255059228</v>
      </c>
      <c r="N21" t="n">
        <v>777.203158856211</v>
      </c>
      <c r="O21" t="n">
        <v>728.858669428354</v>
      </c>
      <c r="P21" t="n">
        <v>662.848377224967</v>
      </c>
      <c r="Q21" t="n">
        <v>641.841773455614</v>
      </c>
      <c r="R21" t="n">
        <v>607.576024155459</v>
      </c>
      <c r="S21" t="n">
        <v>572.056544222576</v>
      </c>
      <c r="T21" t="n">
        <v>545.837746895028</v>
      </c>
      <c r="U21" t="n">
        <v>569.622486319947</v>
      </c>
      <c r="V21" t="n">
        <v>608.762316291339</v>
      </c>
      <c r="W21" t="n">
        <v>662.012473745825</v>
      </c>
      <c r="X21" t="n">
        <v>651.218238671674</v>
      </c>
      <c r="Y21" t="n">
        <v>708.035257628876</v>
      </c>
      <c r="Z21" t="n">
        <v>995.016367485888</v>
      </c>
      <c r="AA21" t="n">
        <v>984.412823531152</v>
      </c>
      <c r="AB21" t="n">
        <v>971.157804527906</v>
      </c>
      <c r="AC21" t="n">
        <v>1234.63380490429</v>
      </c>
      <c r="AD21" t="n">
        <v>1513.57778395662</v>
      </c>
      <c r="AE21" t="n">
        <v>2166.6</v>
      </c>
      <c r="AF21" t="n">
        <v>2938.8</v>
      </c>
    </row>
    <row r="22">
      <c r="A22" t="s">
        <v>145</v>
      </c>
      <c r="B22" t="s">
        <v>314</v>
      </c>
      <c r="C22" t="s">
        <v>217</v>
      </c>
      <c r="D22" t="s">
        <v>315</v>
      </c>
      <c r="E22" t="s">
        <v>218</v>
      </c>
      <c r="F22" t="n">
        <v>63.7305132565499</v>
      </c>
      <c r="G22" t="n">
        <v>63.4714461294907</v>
      </c>
      <c r="H22" t="n">
        <v>63.9644282353509</v>
      </c>
      <c r="I22" t="n">
        <v>66.5752212245489</v>
      </c>
      <c r="J22" t="n">
        <v>70.679173217843</v>
      </c>
      <c r="K22" t="n">
        <v>75.9829937203238</v>
      </c>
      <c r="L22" t="n">
        <v>101.832878181877</v>
      </c>
      <c r="M22" t="n">
        <v>104.351325706805</v>
      </c>
      <c r="N22" t="n">
        <v>100.425883987427</v>
      </c>
      <c r="O22" t="n">
        <v>104.547032574384</v>
      </c>
      <c r="P22" t="n">
        <v>95.6889680989395</v>
      </c>
      <c r="Q22" t="n">
        <v>121.024797152409</v>
      </c>
      <c r="R22" t="n">
        <v>129.623361781354</v>
      </c>
      <c r="S22" t="n">
        <v>131.101152550849</v>
      </c>
      <c r="T22" t="n">
        <v>137.979273431895</v>
      </c>
      <c r="U22" t="n">
        <v>189.876883033531</v>
      </c>
      <c r="V22" t="n">
        <v>256.653467232389</v>
      </c>
      <c r="W22" t="n">
        <v>341.833248582996</v>
      </c>
      <c r="X22" t="n">
        <v>364.095923150272</v>
      </c>
      <c r="Y22" t="n">
        <v>443.852188786347</v>
      </c>
      <c r="Z22" t="n">
        <v>460.36200029938</v>
      </c>
      <c r="AA22" t="n">
        <v>473.931622578946</v>
      </c>
      <c r="AB22" t="n">
        <v>481.28330308219</v>
      </c>
      <c r="AC22" t="n">
        <v>491.748171056379</v>
      </c>
      <c r="AD22" t="n">
        <v>500.78950617284</v>
      </c>
      <c r="AE22" t="n">
        <v>503.9</v>
      </c>
      <c r="AF22" t="n">
        <v>526.5</v>
      </c>
    </row>
    <row r="23">
      <c r="A23" t="s">
        <v>145</v>
      </c>
      <c r="B23" t="s">
        <v>316</v>
      </c>
      <c r="C23" t="s">
        <v>217</v>
      </c>
      <c r="D23" t="s">
        <v>317</v>
      </c>
      <c r="E23" t="s">
        <v>218</v>
      </c>
      <c r="F23" t="n">
        <v>787.952819872258</v>
      </c>
      <c r="G23" t="n">
        <v>841.628758763508</v>
      </c>
      <c r="H23" t="n">
        <v>899.611776937262</v>
      </c>
      <c r="I23" t="n">
        <v>1010.91448259692</v>
      </c>
      <c r="J23" t="n">
        <v>1163.77974802798</v>
      </c>
      <c r="K23" t="n">
        <v>1316.19534694879</v>
      </c>
      <c r="L23" t="n">
        <v>1590.58134761564</v>
      </c>
      <c r="M23" t="n">
        <v>1817.31308973325</v>
      </c>
      <c r="N23" t="n">
        <v>2005.00160505733</v>
      </c>
      <c r="O23" t="n">
        <v>2249.52161589588</v>
      </c>
      <c r="P23" t="n">
        <v>2287.07797548047</v>
      </c>
      <c r="Q23" t="n">
        <v>2518.18799183651</v>
      </c>
      <c r="R23" t="n">
        <v>3000.88845750543</v>
      </c>
      <c r="S23" t="n">
        <v>3578.9848579266</v>
      </c>
      <c r="T23" t="n">
        <v>3583.82812557205</v>
      </c>
      <c r="U23" t="n">
        <v>3296.85808165795</v>
      </c>
      <c r="V23" t="n">
        <v>2864.51720944699</v>
      </c>
      <c r="W23" t="n">
        <v>2541.95994900124</v>
      </c>
      <c r="X23" t="n">
        <v>2287.49786284138</v>
      </c>
      <c r="Y23" t="n">
        <v>2053.86517298883</v>
      </c>
      <c r="Z23" t="n">
        <v>1826.22460823514</v>
      </c>
      <c r="AA23" t="n">
        <v>1642.13647758158</v>
      </c>
      <c r="AB23" t="n">
        <v>1484.95341353648</v>
      </c>
      <c r="AC23" t="n">
        <v>1294.80693985193</v>
      </c>
      <c r="AD23" t="n">
        <v>1122.34071302359</v>
      </c>
      <c r="AE23" t="n">
        <v>968</v>
      </c>
      <c r="AF23" t="n">
        <v>832.7</v>
      </c>
    </row>
    <row r="24">
      <c r="A24" t="s">
        <v>145</v>
      </c>
      <c r="B24" t="s">
        <v>318</v>
      </c>
      <c r="C24" t="s">
        <v>217</v>
      </c>
      <c r="D24" t="s">
        <v>319</v>
      </c>
      <c r="E24" t="s">
        <v>218</v>
      </c>
      <c r="F24" t="n">
        <v>1707.88033838859</v>
      </c>
      <c r="G24" t="n">
        <v>1618.28531014484</v>
      </c>
      <c r="H24" t="n">
        <v>1550.41294293534</v>
      </c>
      <c r="I24" t="n">
        <v>1537.55890722373</v>
      </c>
      <c r="J24" t="n">
        <v>1568.70020714746</v>
      </c>
      <c r="K24" t="n">
        <v>1601.60836378863</v>
      </c>
      <c r="L24" t="n">
        <v>1682.61029268603</v>
      </c>
      <c r="M24" t="n">
        <v>1944.57900442726</v>
      </c>
      <c r="N24" t="n">
        <v>2242.58235301756</v>
      </c>
      <c r="O24" t="n">
        <v>2630.31855424023</v>
      </c>
      <c r="P24" t="n">
        <v>3228.08236638686</v>
      </c>
      <c r="Q24" t="n">
        <v>4001.76505178827</v>
      </c>
      <c r="R24" t="n">
        <v>4802.01067545461</v>
      </c>
      <c r="S24" t="n">
        <v>4977.30830507767</v>
      </c>
      <c r="T24" t="n">
        <v>4974.57868623995</v>
      </c>
      <c r="U24" t="n">
        <v>4761.69287358378</v>
      </c>
      <c r="V24" t="n">
        <v>4524.06203879048</v>
      </c>
      <c r="W24" t="n">
        <v>4145.7583633678</v>
      </c>
      <c r="X24" t="n">
        <v>3799.32506088205</v>
      </c>
      <c r="Y24" t="n">
        <v>3797.78099640148</v>
      </c>
      <c r="Z24" t="n">
        <v>3651.79158073039</v>
      </c>
      <c r="AA24" t="n">
        <v>3558.66961767804</v>
      </c>
      <c r="AB24" t="n">
        <v>3491.23424650422</v>
      </c>
      <c r="AC24" t="n">
        <v>3284.43110344887</v>
      </c>
      <c r="AD24" t="n">
        <v>3129.34954735847</v>
      </c>
      <c r="AE24" t="n">
        <v>2984</v>
      </c>
      <c r="AF24" t="n">
        <v>2914.7</v>
      </c>
    </row>
    <row r="25">
      <c r="A25" t="s">
        <v>145</v>
      </c>
      <c r="B25" t="s">
        <v>320</v>
      </c>
      <c r="C25" t="s">
        <v>217</v>
      </c>
      <c r="D25" t="s">
        <v>321</v>
      </c>
      <c r="E25" t="s">
        <v>218</v>
      </c>
      <c r="F25" t="n">
        <v>170.866769988782</v>
      </c>
      <c r="G25" t="n">
        <v>157.366522399884</v>
      </c>
      <c r="H25" t="n">
        <v>146.354707162789</v>
      </c>
      <c r="I25" t="n">
        <v>140.132143082738</v>
      </c>
      <c r="J25" t="n">
        <v>137.765046071206</v>
      </c>
      <c r="K25" t="n">
        <v>136.793158620968</v>
      </c>
      <c r="L25" t="n">
        <v>155.981871921499</v>
      </c>
      <c r="M25" t="n">
        <v>173.017039211589</v>
      </c>
      <c r="N25" t="n">
        <v>195.003901812662</v>
      </c>
      <c r="O25" t="n">
        <v>231.933844279839</v>
      </c>
      <c r="P25" t="n">
        <v>271.854997040308</v>
      </c>
      <c r="Q25" t="n">
        <v>346.110118689341</v>
      </c>
      <c r="R25" t="n">
        <v>438.501135172911</v>
      </c>
      <c r="S25" t="n">
        <v>474.069629188148</v>
      </c>
      <c r="T25" t="n">
        <v>477.475005279399</v>
      </c>
      <c r="U25" t="n">
        <v>452.441541488804</v>
      </c>
      <c r="V25" t="n">
        <v>405.897030719768</v>
      </c>
      <c r="W25" t="n">
        <v>356.011975799247</v>
      </c>
      <c r="X25" t="n">
        <v>320.637668818036</v>
      </c>
      <c r="Y25" t="n">
        <v>304.569735526801</v>
      </c>
      <c r="Z25" t="n">
        <v>283.894788940889</v>
      </c>
      <c r="AA25" t="n">
        <v>292.795274215792</v>
      </c>
      <c r="AB25" t="n">
        <v>302.082262697367</v>
      </c>
      <c r="AC25" t="n">
        <v>285.665849897308</v>
      </c>
      <c r="AD25" t="n">
        <v>259.668639053254</v>
      </c>
      <c r="AE25" t="n">
        <v>238.5</v>
      </c>
      <c r="AF25" t="n">
        <v>222.9</v>
      </c>
    </row>
    <row r="26">
      <c r="A26" t="s">
        <v>145</v>
      </c>
      <c r="B26" t="s">
        <v>322</v>
      </c>
      <c r="C26" t="s">
        <v>217</v>
      </c>
      <c r="D26" t="s">
        <v>323</v>
      </c>
      <c r="E26" t="s">
        <v>218</v>
      </c>
      <c r="F26" t="n">
        <v>571.956739941071</v>
      </c>
      <c r="G26" t="n">
        <v>551.374963314404</v>
      </c>
      <c r="H26" t="n">
        <v>537.556041928078</v>
      </c>
      <c r="I26" t="n">
        <v>544.012074156083</v>
      </c>
      <c r="J26" t="n">
        <v>566.178949843258</v>
      </c>
      <c r="K26" t="n">
        <v>585.907267574992</v>
      </c>
      <c r="L26" t="n">
        <v>686.292404704856</v>
      </c>
      <c r="M26" t="n">
        <v>831.582826349956</v>
      </c>
      <c r="N26" t="n">
        <v>929.31476741111</v>
      </c>
      <c r="O26" t="n">
        <v>1212.1247552714</v>
      </c>
      <c r="P26" t="n">
        <v>1488.04066396115</v>
      </c>
      <c r="Q26" t="n">
        <v>1963.63500650624</v>
      </c>
      <c r="R26" t="n">
        <v>2480.83705569269</v>
      </c>
      <c r="S26" t="n">
        <v>2616.88981624481</v>
      </c>
      <c r="T26" t="n">
        <v>2654.13981520638</v>
      </c>
      <c r="U26" t="n">
        <v>2525.04880480863</v>
      </c>
      <c r="V26" t="n">
        <v>2345.67319074027</v>
      </c>
      <c r="W26" t="n">
        <v>2137.68550473444</v>
      </c>
      <c r="X26" t="n">
        <v>1928.41095804013</v>
      </c>
      <c r="Y26" t="n">
        <v>1953.14733449785</v>
      </c>
      <c r="Z26" t="n">
        <v>1904.26228472582</v>
      </c>
      <c r="AA26" t="n">
        <v>1808.82485173678</v>
      </c>
      <c r="AB26" t="n">
        <v>1731.86876230472</v>
      </c>
      <c r="AC26" t="n">
        <v>1638.51693542106</v>
      </c>
      <c r="AD26" t="n">
        <v>1557.59628277464</v>
      </c>
      <c r="AE26" t="n">
        <v>1517.8</v>
      </c>
      <c r="AF26" t="n">
        <v>1517.7</v>
      </c>
    </row>
    <row r="27">
      <c r="A27" t="s">
        <v>145</v>
      </c>
      <c r="B27" t="s">
        <v>324</v>
      </c>
      <c r="C27" t="s">
        <v>217</v>
      </c>
      <c r="D27" t="s">
        <v>325</v>
      </c>
      <c r="E27" t="s">
        <v>218</v>
      </c>
      <c r="F27" t="n">
        <v>948.827252885534</v>
      </c>
      <c r="G27" t="n">
        <v>894.388449742981</v>
      </c>
      <c r="H27" t="n">
        <v>852.118748573603</v>
      </c>
      <c r="I27" t="n">
        <v>839.30843528358</v>
      </c>
      <c r="J27" t="n">
        <v>850.48740824463</v>
      </c>
      <c r="K27" t="n">
        <v>864.440983169812</v>
      </c>
      <c r="L27" t="n">
        <v>829.175670240906</v>
      </c>
      <c r="M27" t="n">
        <v>928.536063387483</v>
      </c>
      <c r="N27" t="n">
        <v>1103.40161204803</v>
      </c>
      <c r="O27" t="n">
        <v>1174.9092855309</v>
      </c>
      <c r="P27" t="n">
        <v>1453.62545408326</v>
      </c>
      <c r="Q27" t="n">
        <v>1681.07797208395</v>
      </c>
      <c r="R27" t="n">
        <v>1877.49079773232</v>
      </c>
      <c r="S27" t="n">
        <v>1884.52335102006</v>
      </c>
      <c r="T27" t="n">
        <v>1843.3684422754</v>
      </c>
      <c r="U27" t="n">
        <v>1783.49934810632</v>
      </c>
      <c r="V27" t="n">
        <v>1772.12499001891</v>
      </c>
      <c r="W27" t="n">
        <v>1651.8562629825</v>
      </c>
      <c r="X27" t="n">
        <v>1550.25604357868</v>
      </c>
      <c r="Y27" t="n">
        <v>1539.92651237147</v>
      </c>
      <c r="Z27" t="n">
        <v>1463.34816828061</v>
      </c>
      <c r="AA27" t="n">
        <v>1456.99202519294</v>
      </c>
      <c r="AB27" t="n">
        <v>1457.2983948625</v>
      </c>
      <c r="AC27" t="n">
        <v>1360.24658109191</v>
      </c>
      <c r="AD27" t="n">
        <v>1312.11509077467</v>
      </c>
      <c r="AE27" t="n">
        <v>1227.7</v>
      </c>
      <c r="AF27" t="n">
        <v>1174.1</v>
      </c>
    </row>
    <row r="28">
      <c r="A28" t="s">
        <v>145</v>
      </c>
      <c r="B28" t="s">
        <v>326</v>
      </c>
      <c r="C28" t="s">
        <v>217</v>
      </c>
      <c r="D28" t="s">
        <v>327</v>
      </c>
      <c r="E28" t="s">
        <v>218</v>
      </c>
      <c r="F28" t="n">
        <v>745.582845570593</v>
      </c>
      <c r="G28" t="n">
        <v>711.180224933563</v>
      </c>
      <c r="H28" t="n">
        <v>683.658492498118</v>
      </c>
      <c r="I28" t="n">
        <v>678.590333167975</v>
      </c>
      <c r="J28" t="n">
        <v>696.33580528261</v>
      </c>
      <c r="K28" t="n">
        <v>738.572000864748</v>
      </c>
      <c r="L28" t="n">
        <v>795.836693405402</v>
      </c>
      <c r="M28" t="n">
        <v>971.689361294188</v>
      </c>
      <c r="N28" t="n">
        <v>1148.02252000349</v>
      </c>
      <c r="O28" t="n">
        <v>1291.73656084784</v>
      </c>
      <c r="P28" t="n">
        <v>1186.76383172318</v>
      </c>
      <c r="Q28" t="n">
        <v>1076.77915128552</v>
      </c>
      <c r="R28" t="n">
        <v>1006.16061555821</v>
      </c>
      <c r="S28" t="n">
        <v>996.108079360103</v>
      </c>
      <c r="T28" t="n">
        <v>1097.1004211598</v>
      </c>
      <c r="U28" t="n">
        <v>1102.51856258837</v>
      </c>
      <c r="V28" t="n">
        <v>965.152233079456</v>
      </c>
      <c r="W28" t="n">
        <v>829.785542761956</v>
      </c>
      <c r="X28" t="n">
        <v>744.647847413831</v>
      </c>
      <c r="Y28" t="n">
        <v>677.964489712071</v>
      </c>
      <c r="Z28" t="n">
        <v>631.342289846484</v>
      </c>
      <c r="AA28" t="n">
        <v>651.915147170083</v>
      </c>
      <c r="AB28" t="n">
        <v>678.598754193761</v>
      </c>
      <c r="AC28" t="n">
        <v>694.893220923843</v>
      </c>
      <c r="AD28" t="n">
        <v>621.331745740978</v>
      </c>
      <c r="AE28" t="n">
        <v>550</v>
      </c>
      <c r="AF28" t="n">
        <v>490.8</v>
      </c>
    </row>
    <row r="29">
      <c r="A29" t="s">
        <v>145</v>
      </c>
      <c r="B29" t="s">
        <v>328</v>
      </c>
      <c r="C29" t="s">
        <v>217</v>
      </c>
      <c r="D29" t="s">
        <v>329</v>
      </c>
      <c r="E29" t="s">
        <v>218</v>
      </c>
      <c r="F29" t="n">
        <v>414.560842461851</v>
      </c>
      <c r="G29" t="n">
        <v>363.385389181871</v>
      </c>
      <c r="H29" t="n">
        <v>319.269528224156</v>
      </c>
      <c r="I29" t="n">
        <v>282.239421372999</v>
      </c>
      <c r="J29" t="n">
        <v>251.390201811716</v>
      </c>
      <c r="K29" t="n">
        <v>225.629368410515</v>
      </c>
      <c r="L29" t="n">
        <v>223.034933357884</v>
      </c>
      <c r="M29" t="n">
        <v>228.377595259612</v>
      </c>
      <c r="N29" t="n">
        <v>223.647881748319</v>
      </c>
      <c r="O29" t="n">
        <v>247.832863685684</v>
      </c>
      <c r="P29" t="n">
        <v>252.64105743316</v>
      </c>
      <c r="Q29" t="n">
        <v>252.475119135995</v>
      </c>
      <c r="R29" t="n">
        <v>249.165822497704</v>
      </c>
      <c r="S29" t="n">
        <v>258.872565190043</v>
      </c>
      <c r="T29" t="n">
        <v>286.190775586982</v>
      </c>
      <c r="U29" t="n">
        <v>324.182714794475</v>
      </c>
      <c r="V29" t="n">
        <v>280.855925423839</v>
      </c>
      <c r="W29" t="n">
        <v>243.129010068398</v>
      </c>
      <c r="X29" t="n">
        <v>211.549832215882</v>
      </c>
      <c r="Y29" t="n">
        <v>186.02499724775</v>
      </c>
      <c r="Z29" t="n">
        <v>162.848447096685</v>
      </c>
      <c r="AA29" t="n">
        <v>142.746207367793</v>
      </c>
      <c r="AB29" t="n">
        <v>129.214314580967</v>
      </c>
      <c r="AC29" t="n">
        <v>115.575587084149</v>
      </c>
      <c r="AD29" t="n">
        <v>103.160043668122</v>
      </c>
      <c r="AE29" t="n">
        <v>92.1</v>
      </c>
      <c r="AF29" t="n">
        <v>82.3</v>
      </c>
    </row>
    <row r="30">
      <c r="A30" t="s">
        <v>145</v>
      </c>
      <c r="B30" t="s">
        <v>330</v>
      </c>
      <c r="C30" t="s">
        <v>217</v>
      </c>
      <c r="D30" t="s">
        <v>331</v>
      </c>
      <c r="E30" t="s">
        <v>218</v>
      </c>
      <c r="F30" t="n">
        <v>174.940859110022</v>
      </c>
      <c r="G30" t="n">
        <v>192.026068221769</v>
      </c>
      <c r="H30" t="n">
        <v>208.614707623126</v>
      </c>
      <c r="I30" t="n">
        <v>234.630517032496</v>
      </c>
      <c r="J30" t="n">
        <v>271.383922764677</v>
      </c>
      <c r="K30" t="n">
        <v>321.271642418116</v>
      </c>
      <c r="L30" t="n">
        <v>356.734204379543</v>
      </c>
      <c r="M30" t="n">
        <v>483.22439469725</v>
      </c>
      <c r="N30" t="n">
        <v>615.218221776903</v>
      </c>
      <c r="O30" t="n">
        <v>681.210487780654</v>
      </c>
      <c r="P30" t="n">
        <v>592.047130238332</v>
      </c>
      <c r="Q30" t="n">
        <v>513.977588816123</v>
      </c>
      <c r="R30" t="n">
        <v>448.225500877484</v>
      </c>
      <c r="S30" t="n">
        <v>397.091862031234</v>
      </c>
      <c r="T30" t="n">
        <v>347.518682146082</v>
      </c>
      <c r="U30" t="n">
        <v>301.227475890064</v>
      </c>
      <c r="V30" t="n">
        <v>243.372515532386</v>
      </c>
      <c r="W30" t="n">
        <v>193.444847858803</v>
      </c>
      <c r="X30" t="n">
        <v>163.468890029443</v>
      </c>
      <c r="Y30" t="n">
        <v>133.547799725091</v>
      </c>
      <c r="Z30" t="n">
        <v>109.577681825716</v>
      </c>
      <c r="AA30" t="n">
        <v>89.4800240530729</v>
      </c>
      <c r="AB30" t="n">
        <v>73.3028445632518</v>
      </c>
      <c r="AC30" t="n">
        <v>59.8740865372016</v>
      </c>
      <c r="AD30" t="n">
        <v>48.7675949367089</v>
      </c>
      <c r="AE30" t="n">
        <v>39.8</v>
      </c>
      <c r="AF30" t="n">
        <v>32.5</v>
      </c>
    </row>
    <row r="31">
      <c r="A31" t="s">
        <v>145</v>
      </c>
      <c r="B31" t="s">
        <v>332</v>
      </c>
      <c r="C31" t="s">
        <v>217</v>
      </c>
      <c r="D31" t="s">
        <v>333</v>
      </c>
      <c r="E31" t="s">
        <v>218</v>
      </c>
      <c r="F31" t="n">
        <v>54.737359404802</v>
      </c>
      <c r="G31" t="n">
        <v>47.6629487245469</v>
      </c>
      <c r="H31" t="n">
        <v>41.5576510713298</v>
      </c>
      <c r="I31" t="n">
        <v>36.304009606883</v>
      </c>
      <c r="J31" t="n">
        <v>31.7740975347229</v>
      </c>
      <c r="K31" t="n">
        <v>27.9637890905183</v>
      </c>
      <c r="L31" t="n">
        <v>36.2215523118794</v>
      </c>
      <c r="M31" t="n">
        <v>35.0161761950115</v>
      </c>
      <c r="N31" t="n">
        <v>30.5345836785851</v>
      </c>
      <c r="O31" t="n">
        <v>26.479209283773</v>
      </c>
      <c r="P31" t="n">
        <v>23.0721778409399</v>
      </c>
      <c r="Q31" t="n">
        <v>20.1881556108225</v>
      </c>
      <c r="R31" t="n">
        <v>18.1116596051379</v>
      </c>
      <c r="S31" t="n">
        <v>16.5976818672471</v>
      </c>
      <c r="T31" t="n">
        <v>15.9381713294757</v>
      </c>
      <c r="U31" t="n">
        <v>14.8502415458937</v>
      </c>
      <c r="V31" t="n">
        <v>12.392270531401</v>
      </c>
      <c r="W31" t="n">
        <v>10.7536231884058</v>
      </c>
      <c r="X31" t="n">
        <v>9.30602006688963</v>
      </c>
      <c r="Y31" t="n">
        <v>8.58221850613155</v>
      </c>
      <c r="Z31" t="n">
        <v>7.54821627647715</v>
      </c>
      <c r="AA31" t="n">
        <v>7.34141583054626</v>
      </c>
      <c r="AB31" t="n">
        <v>7.13461538461539</v>
      </c>
      <c r="AC31" t="n">
        <v>7.13461538461539</v>
      </c>
      <c r="AD31" t="n">
        <v>6.21730769230769</v>
      </c>
      <c r="AE31" t="n">
        <v>5.3</v>
      </c>
      <c r="AF31" t="n">
        <v>4.5</v>
      </c>
    </row>
    <row r="32">
      <c r="A32" t="s">
        <v>145</v>
      </c>
      <c r="B32" t="s">
        <v>334</v>
      </c>
      <c r="C32" t="s">
        <v>217</v>
      </c>
      <c r="D32" t="s">
        <v>335</v>
      </c>
      <c r="E32" t="s">
        <v>218</v>
      </c>
      <c r="F32" t="n">
        <v>39.7348688231653</v>
      </c>
      <c r="G32" t="n">
        <v>37.6736940715314</v>
      </c>
      <c r="H32" t="n">
        <v>36.0357073727691</v>
      </c>
      <c r="I32" t="n">
        <v>35.611757874266</v>
      </c>
      <c r="J32" t="n">
        <v>36.3219638717584</v>
      </c>
      <c r="K32" t="n">
        <v>37.5567048532347</v>
      </c>
      <c r="L32" t="n">
        <v>42.3511778132221</v>
      </c>
      <c r="M32" t="n">
        <v>49.4425378191569</v>
      </c>
      <c r="N32" t="n">
        <v>65.1385815712702</v>
      </c>
      <c r="O32" t="n">
        <v>113.429289412828</v>
      </c>
      <c r="P32" t="n">
        <v>114.604722463739</v>
      </c>
      <c r="Q32" t="n">
        <v>114.123190016412</v>
      </c>
      <c r="R32" t="n">
        <v>124.165279927396</v>
      </c>
      <c r="S32" t="n">
        <v>168.074058302307</v>
      </c>
      <c r="T32" t="n">
        <v>321.540726269915</v>
      </c>
      <c r="U32" t="n">
        <v>360.651803078694</v>
      </c>
      <c r="V32" t="n">
        <v>339.539975656897</v>
      </c>
      <c r="W32" t="n">
        <v>304.493347932749</v>
      </c>
      <c r="X32" t="n">
        <v>292.128135833957</v>
      </c>
      <c r="Y32" t="n">
        <v>290.073788887164</v>
      </c>
      <c r="Z32" t="n">
        <v>297.356405227683</v>
      </c>
      <c r="AA32" t="n">
        <v>363.378915242203</v>
      </c>
      <c r="AB32" t="n">
        <v>424.24794229035</v>
      </c>
      <c r="AC32" t="n">
        <v>472.354357326854</v>
      </c>
      <c r="AD32" t="n">
        <v>426.766551815531</v>
      </c>
      <c r="AE32" t="n">
        <v>380.3</v>
      </c>
      <c r="AF32" t="n">
        <v>342.2</v>
      </c>
    </row>
    <row r="33">
      <c r="A33" t="s">
        <v>145</v>
      </c>
      <c r="B33" t="s">
        <v>336</v>
      </c>
      <c r="C33" t="s">
        <v>217</v>
      </c>
      <c r="D33" t="s">
        <v>337</v>
      </c>
      <c r="E33" t="s">
        <v>218</v>
      </c>
      <c r="F33" t="n">
        <v>6.0577443434844</v>
      </c>
      <c r="G33" t="n">
        <v>11.3582706440332</v>
      </c>
      <c r="H33" t="n">
        <v>16.2602611325108</v>
      </c>
      <c r="I33" t="n">
        <v>22.64822086314</v>
      </c>
      <c r="J33" t="n">
        <v>30.3086485080256</v>
      </c>
      <c r="K33" t="n">
        <v>38.0829858576678</v>
      </c>
      <c r="L33" t="n">
        <v>35.6823391846916</v>
      </c>
      <c r="M33" t="n">
        <v>34.6140056761679</v>
      </c>
      <c r="N33" t="n">
        <v>33.870760155514</v>
      </c>
      <c r="O33" t="n">
        <v>32.7100799009637</v>
      </c>
      <c r="P33" t="n">
        <v>48.4320215307817</v>
      </c>
      <c r="Q33" t="n">
        <v>45.8393008920889</v>
      </c>
      <c r="R33" t="n">
        <v>64.6192787906099</v>
      </c>
      <c r="S33" t="n">
        <v>81.8772348864329</v>
      </c>
      <c r="T33" t="n">
        <v>99.1347317009035</v>
      </c>
      <c r="U33" t="n">
        <v>97.2355989096985</v>
      </c>
      <c r="V33" t="n">
        <v>85.6991719204122</v>
      </c>
      <c r="W33" t="n">
        <v>75.695778808162</v>
      </c>
      <c r="X33" t="n">
        <v>66.5298953878539</v>
      </c>
      <c r="Y33" t="n">
        <v>58.7149463160194</v>
      </c>
      <c r="Z33" t="n">
        <v>53.377223923654</v>
      </c>
      <c r="AA33" t="n">
        <v>48.6824776512103</v>
      </c>
      <c r="AB33" t="n">
        <v>44.608630149017</v>
      </c>
      <c r="AC33" t="n">
        <v>39.955575757056</v>
      </c>
      <c r="AD33" t="n">
        <v>36.4241486068112</v>
      </c>
      <c r="AE33" t="n">
        <v>32.5</v>
      </c>
      <c r="AF33" t="n">
        <v>29.3</v>
      </c>
    </row>
    <row r="34">
      <c r="A34" t="s">
        <v>145</v>
      </c>
      <c r="B34" t="s">
        <v>338</v>
      </c>
      <c r="C34" t="s">
        <v>217</v>
      </c>
      <c r="D34" t="s">
        <v>339</v>
      </c>
      <c r="E34" t="s">
        <v>218</v>
      </c>
      <c r="F34" t="n">
        <v>861.741253328153</v>
      </c>
      <c r="G34" t="n">
        <v>826.805797112147</v>
      </c>
      <c r="H34" t="n">
        <v>800.963654256457</v>
      </c>
      <c r="I34" t="n">
        <v>796.129419405798</v>
      </c>
      <c r="J34" t="n">
        <v>808.942519402871</v>
      </c>
      <c r="K34" t="n">
        <v>832.424934612323</v>
      </c>
      <c r="L34" t="n">
        <v>859.530796098047</v>
      </c>
      <c r="M34" t="n">
        <v>869.650554904937</v>
      </c>
      <c r="N34" t="n">
        <v>907.758114379676</v>
      </c>
      <c r="O34" t="n">
        <v>991.600554081222</v>
      </c>
      <c r="P34" t="n">
        <v>1279.94012483037</v>
      </c>
      <c r="Q34" t="n">
        <v>1632.3965434413</v>
      </c>
      <c r="R34" t="n">
        <v>1856.86153761383</v>
      </c>
      <c r="S34" t="n">
        <v>2281.22163508514</v>
      </c>
      <c r="T34" t="n">
        <v>2472.35101532201</v>
      </c>
      <c r="U34" t="n">
        <v>2368.20672538155</v>
      </c>
      <c r="V34" t="n">
        <v>2290.91538316936</v>
      </c>
      <c r="W34" t="n">
        <v>2147.66949556213</v>
      </c>
      <c r="X34" t="n">
        <v>2025.39386835358</v>
      </c>
      <c r="Y34" t="n">
        <v>2202.6979645948</v>
      </c>
      <c r="Z34" t="n">
        <v>2256.6558783645</v>
      </c>
      <c r="AA34" t="n">
        <v>2244.60622029639</v>
      </c>
      <c r="AB34" t="n">
        <v>2245.52845065397</v>
      </c>
      <c r="AC34" t="n">
        <v>2065.52982186073</v>
      </c>
      <c r="AD34" t="n">
        <v>1942.05586870027</v>
      </c>
      <c r="AE34" t="n">
        <v>1809</v>
      </c>
      <c r="AF34" t="n">
        <v>1721.9</v>
      </c>
    </row>
    <row r="35">
      <c r="A35" t="s">
        <v>145</v>
      </c>
      <c r="B35" t="s">
        <v>340</v>
      </c>
      <c r="C35" t="s">
        <v>217</v>
      </c>
      <c r="D35" t="s">
        <v>341</v>
      </c>
      <c r="E35" t="s">
        <v>218</v>
      </c>
      <c r="F35" t="n">
        <v>365.16368693701</v>
      </c>
      <c r="G35" t="n">
        <v>453.17120409124</v>
      </c>
      <c r="H35" t="n">
        <v>538.585061792161</v>
      </c>
      <c r="I35" t="n">
        <v>654.86535128369</v>
      </c>
      <c r="J35" t="n">
        <v>794.63898357349</v>
      </c>
      <c r="K35" t="n">
        <v>946.045776663306</v>
      </c>
      <c r="L35" t="n">
        <v>1059.14144249699</v>
      </c>
      <c r="M35" t="n">
        <v>1212.39710469579</v>
      </c>
      <c r="N35" t="n">
        <v>1290.85667998474</v>
      </c>
      <c r="O35" t="n">
        <v>1357.54338327044</v>
      </c>
      <c r="P35" t="n">
        <v>1379.95810355682</v>
      </c>
      <c r="Q35" t="n">
        <v>1499.63404890477</v>
      </c>
      <c r="R35" t="n">
        <v>1612.11667263742</v>
      </c>
      <c r="S35" t="n">
        <v>1910.24985392782</v>
      </c>
      <c r="T35" t="n">
        <v>2174.87321031609</v>
      </c>
      <c r="U35" t="n">
        <v>2230.35322311238</v>
      </c>
      <c r="V35" t="n">
        <v>2067.7551176933</v>
      </c>
      <c r="W35" t="n">
        <v>1895.48424132537</v>
      </c>
      <c r="X35" t="n">
        <v>1730.21564413217</v>
      </c>
      <c r="Y35" t="n">
        <v>1623.06369283767</v>
      </c>
      <c r="Z35" t="n">
        <v>1525.69200481108</v>
      </c>
      <c r="AA35" t="n">
        <v>1423.99936160496</v>
      </c>
      <c r="AB35" t="n">
        <v>1338.68504095095</v>
      </c>
      <c r="AC35" t="n">
        <v>1252.96487768163</v>
      </c>
      <c r="AD35" t="n">
        <v>1171.16447251379</v>
      </c>
      <c r="AE35" t="n">
        <v>1125.8</v>
      </c>
      <c r="AF35" t="n">
        <v>1102.4</v>
      </c>
    </row>
    <row r="36">
      <c r="A36" t="s">
        <v>145</v>
      </c>
      <c r="B36" t="s">
        <v>342</v>
      </c>
      <c r="C36" t="s">
        <v>217</v>
      </c>
      <c r="D36" t="s">
        <v>343</v>
      </c>
      <c r="E36" t="s">
        <v>218</v>
      </c>
      <c r="F36" t="n">
        <v>293.660754855046</v>
      </c>
      <c r="G36" t="n">
        <v>325.215290038777</v>
      </c>
      <c r="H36" t="n">
        <v>357.314461523124</v>
      </c>
      <c r="I36" t="n">
        <v>404.482765602937</v>
      </c>
      <c r="J36" t="n">
        <v>462.027046565472</v>
      </c>
      <c r="K36" t="n">
        <v>528.419358798764</v>
      </c>
      <c r="L36" t="n">
        <v>655.623268638817</v>
      </c>
      <c r="M36" t="n">
        <v>790.115628323368</v>
      </c>
      <c r="N36" t="n">
        <v>862.168512328431</v>
      </c>
      <c r="O36" t="n">
        <v>920.052240023465</v>
      </c>
      <c r="P36" t="n">
        <v>948.056639743214</v>
      </c>
      <c r="Q36" t="n">
        <v>1068.0528422604</v>
      </c>
      <c r="R36" t="n">
        <v>1179.90725561253</v>
      </c>
      <c r="S36" t="n">
        <v>1457.39472187162</v>
      </c>
      <c r="T36" t="n">
        <v>1673.14108511345</v>
      </c>
      <c r="U36" t="n">
        <v>1649.53985587656</v>
      </c>
      <c r="V36" t="n">
        <v>1532.98578609953</v>
      </c>
      <c r="W36" t="n">
        <v>1407.99992177211</v>
      </c>
      <c r="X36" t="n">
        <v>1290.19672465588</v>
      </c>
      <c r="Y36" t="n">
        <v>1202.89852637464</v>
      </c>
      <c r="Z36" t="n">
        <v>1100.28589415496</v>
      </c>
      <c r="AA36" t="n">
        <v>1009.97817704034</v>
      </c>
      <c r="AB36" t="n">
        <v>932.73144998723</v>
      </c>
      <c r="AC36" t="n">
        <v>869.878926403185</v>
      </c>
      <c r="AD36" t="n">
        <v>821.194675665542</v>
      </c>
      <c r="AE36" t="n">
        <v>799.9</v>
      </c>
      <c r="AF36" t="n">
        <v>793.9</v>
      </c>
    </row>
    <row r="37">
      <c r="A37" t="s">
        <v>145</v>
      </c>
      <c r="B37" t="s">
        <v>344</v>
      </c>
      <c r="C37" t="s">
        <v>217</v>
      </c>
      <c r="D37" t="s">
        <v>345</v>
      </c>
      <c r="E37" t="s">
        <v>218</v>
      </c>
      <c r="F37" t="n">
        <v>52.0153341064025</v>
      </c>
      <c r="G37" t="n">
        <v>98.166726580768</v>
      </c>
      <c r="H37" t="n">
        <v>141.658314306425</v>
      </c>
      <c r="I37" t="n">
        <v>197.517904912362</v>
      </c>
      <c r="J37" t="n">
        <v>263.677748427311</v>
      </c>
      <c r="K37" t="n">
        <v>332.161669008099</v>
      </c>
      <c r="L37" t="n">
        <v>311.898670955723</v>
      </c>
      <c r="M37" t="n">
        <v>304.02945545224</v>
      </c>
      <c r="N37" t="n">
        <v>300.255550616169</v>
      </c>
      <c r="O37" t="n">
        <v>292.385395982524</v>
      </c>
      <c r="P37" t="n">
        <v>294.865573705278</v>
      </c>
      <c r="Q37" t="n">
        <v>296.861586819591</v>
      </c>
      <c r="R37" t="n">
        <v>298.91939769869</v>
      </c>
      <c r="S37" t="n">
        <v>332.73459995224</v>
      </c>
      <c r="T37" t="n">
        <v>367.966328346052</v>
      </c>
      <c r="U37" t="n">
        <v>420.508733591227</v>
      </c>
      <c r="V37" t="n">
        <v>382.680328186716</v>
      </c>
      <c r="W37" t="n">
        <v>346.200521200693</v>
      </c>
      <c r="X37" t="n">
        <v>310.467645228931</v>
      </c>
      <c r="Y37" t="n">
        <v>287.67356049236</v>
      </c>
      <c r="Z37" t="n">
        <v>298.542582728476</v>
      </c>
      <c r="AA37" t="n">
        <v>285.271772298401</v>
      </c>
      <c r="AB37" t="n">
        <v>274.826343024766</v>
      </c>
      <c r="AC37" t="n">
        <v>259.861553191188</v>
      </c>
      <c r="AD37" t="n">
        <v>234.499387658973</v>
      </c>
      <c r="AE37" t="n">
        <v>213.3</v>
      </c>
      <c r="AF37" t="n">
        <v>196.8</v>
      </c>
    </row>
    <row r="38">
      <c r="A38" t="s">
        <v>145</v>
      </c>
      <c r="B38" t="s">
        <v>346</v>
      </c>
      <c r="C38" t="s">
        <v>217</v>
      </c>
      <c r="D38" t="s">
        <v>347</v>
      </c>
      <c r="E38" t="s">
        <v>218</v>
      </c>
      <c r="F38" t="n">
        <v>22.1735449245967</v>
      </c>
      <c r="G38" t="n">
        <v>27.3630979920555</v>
      </c>
      <c r="H38" t="n">
        <v>32.5910069580173</v>
      </c>
      <c r="I38" t="n">
        <v>40.2531311103989</v>
      </c>
      <c r="J38" t="n">
        <v>49.7244560775516</v>
      </c>
      <c r="K38" t="n">
        <v>59.6482328743453</v>
      </c>
      <c r="L38" t="n">
        <v>72.0664656570588</v>
      </c>
      <c r="M38" t="n">
        <v>102.966333366171</v>
      </c>
      <c r="N38" t="n">
        <v>115.528028214878</v>
      </c>
      <c r="O38" t="n">
        <v>134.387731966196</v>
      </c>
      <c r="P38" t="n">
        <v>127.356391531708</v>
      </c>
      <c r="Q38" t="n">
        <v>129.625328019105</v>
      </c>
      <c r="R38" t="n">
        <v>131.917890931749</v>
      </c>
      <c r="S38" t="n">
        <v>125.159991957702</v>
      </c>
      <c r="T38" t="n">
        <v>141.254559889044</v>
      </c>
      <c r="U38" t="n">
        <v>159.803138460333</v>
      </c>
      <c r="V38" t="n">
        <v>151.608105718777</v>
      </c>
      <c r="W38" t="n">
        <v>140.793530209901</v>
      </c>
      <c r="X38" t="n">
        <v>129.03517438264</v>
      </c>
      <c r="Y38" t="n">
        <v>132.095297095271</v>
      </c>
      <c r="Z38" t="n">
        <v>126.701575411104</v>
      </c>
      <c r="AA38" t="n">
        <v>128.728800617682</v>
      </c>
      <c r="AB38" t="n">
        <v>131.171086162997</v>
      </c>
      <c r="AC38" t="n">
        <v>123.282616833226</v>
      </c>
      <c r="AD38" t="n">
        <v>115.520751341682</v>
      </c>
      <c r="AE38" t="n">
        <v>112.6</v>
      </c>
      <c r="AF38" t="n">
        <v>111.7</v>
      </c>
    </row>
    <row r="39">
      <c r="A39" t="s">
        <v>145</v>
      </c>
      <c r="B39" t="s">
        <v>348</v>
      </c>
      <c r="C39" t="s">
        <v>217</v>
      </c>
      <c r="D39" t="s">
        <v>349</v>
      </c>
      <c r="E39" t="s">
        <v>218</v>
      </c>
      <c r="F39" t="n">
        <v>206.20537679172</v>
      </c>
      <c r="G39" t="n">
        <v>263.976617324369</v>
      </c>
      <c r="H39" t="n">
        <v>318.06567395027</v>
      </c>
      <c r="I39" t="n">
        <v>385.300150863156</v>
      </c>
      <c r="J39" t="n">
        <v>467.578459981437</v>
      </c>
      <c r="K39" t="n">
        <v>565.654029086778</v>
      </c>
      <c r="L39" t="n">
        <v>638.154578590289</v>
      </c>
      <c r="M39" t="n">
        <v>594.975720314855</v>
      </c>
      <c r="N39" t="n">
        <v>559.527818823679</v>
      </c>
      <c r="O39" t="n">
        <v>509.799962802904</v>
      </c>
      <c r="P39" t="n">
        <v>498.704386734411</v>
      </c>
      <c r="Q39" t="n">
        <v>505.227966658991</v>
      </c>
      <c r="R39" t="n">
        <v>508.300991011276</v>
      </c>
      <c r="S39" t="n">
        <v>539.538598059309</v>
      </c>
      <c r="T39" t="n">
        <v>535.438104714058</v>
      </c>
      <c r="U39" t="n">
        <v>509.412826317598</v>
      </c>
      <c r="V39" t="n">
        <v>501.161555593685</v>
      </c>
      <c r="W39" t="n">
        <v>492.889856718608</v>
      </c>
      <c r="X39" t="n">
        <v>479.465242980201</v>
      </c>
      <c r="Y39" t="n">
        <v>473.2865671686</v>
      </c>
      <c r="Z39" t="n">
        <v>439.876894203832</v>
      </c>
      <c r="AA39" t="n">
        <v>396.420901633718</v>
      </c>
      <c r="AB39" t="n">
        <v>359.215031462387</v>
      </c>
      <c r="AC39" t="n">
        <v>323.638147702991</v>
      </c>
      <c r="AD39" t="n">
        <v>294.602777777778</v>
      </c>
      <c r="AE39" t="n">
        <v>305.2</v>
      </c>
      <c r="AF39" t="n">
        <v>324.8</v>
      </c>
    </row>
    <row r="40">
      <c r="A40" t="s">
        <v>145</v>
      </c>
      <c r="B40" t="s">
        <v>350</v>
      </c>
      <c r="C40" t="s">
        <v>217</v>
      </c>
      <c r="D40" t="s">
        <v>351</v>
      </c>
      <c r="E40" t="s">
        <v>218</v>
      </c>
      <c r="F40" t="n">
        <v>20.779224100414</v>
      </c>
      <c r="G40" t="n">
        <v>19.8950017982687</v>
      </c>
      <c r="H40" t="n">
        <v>19.0300017200831</v>
      </c>
      <c r="I40" t="n">
        <v>18.6132863539499</v>
      </c>
      <c r="J40" t="n">
        <v>18.4784074673271</v>
      </c>
      <c r="K40" t="n">
        <v>18.7462104740999</v>
      </c>
      <c r="L40" t="n">
        <v>84.1613085620431</v>
      </c>
      <c r="M40" t="n">
        <v>129.351996115719</v>
      </c>
      <c r="N40" t="n">
        <v>134.66783157253</v>
      </c>
      <c r="O40" t="n">
        <v>140.858003943124</v>
      </c>
      <c r="P40" t="n">
        <v>127.165236683127</v>
      </c>
      <c r="Q40" t="n">
        <v>114.858923455727</v>
      </c>
      <c r="R40" t="n">
        <v>105.995602723943</v>
      </c>
      <c r="S40" t="n">
        <v>98.2225918575204</v>
      </c>
      <c r="T40" t="n">
        <v>93.2946625054898</v>
      </c>
      <c r="U40" t="n">
        <v>92.2950768357881</v>
      </c>
      <c r="V40" t="n">
        <v>87.3198746741229</v>
      </c>
      <c r="W40" t="n">
        <v>79.9250360996323</v>
      </c>
      <c r="X40" t="n">
        <v>73.0366933179149</v>
      </c>
      <c r="Y40" t="n">
        <v>75.3698099100149</v>
      </c>
      <c r="Z40" t="n">
        <v>72.5179792647711</v>
      </c>
      <c r="AA40" t="n">
        <v>68.258181881386</v>
      </c>
      <c r="AB40" t="n">
        <v>64.5685504283381</v>
      </c>
      <c r="AC40" t="n">
        <v>61.1167725752508</v>
      </c>
      <c r="AD40" t="n">
        <v>58.2788461538462</v>
      </c>
      <c r="AE40" t="n">
        <v>41.8</v>
      </c>
      <c r="AF40" t="n">
        <v>24.6</v>
      </c>
    </row>
    <row r="41">
      <c r="A41" t="s">
        <v>145</v>
      </c>
      <c r="B41" t="s">
        <v>352</v>
      </c>
      <c r="C41" t="s">
        <v>217</v>
      </c>
      <c r="D41" t="s">
        <v>353</v>
      </c>
      <c r="E41" t="s">
        <v>218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145</v>
      </c>
      <c r="B42" t="s">
        <v>354</v>
      </c>
      <c r="C42" t="s">
        <v>217</v>
      </c>
      <c r="D42" t="s">
        <v>355</v>
      </c>
      <c r="E42" t="s">
        <v>218</v>
      </c>
      <c r="F42" t="n">
        <v>325.247586440299</v>
      </c>
      <c r="G42" t="n">
        <v>375.862877786503</v>
      </c>
      <c r="H42" t="n">
        <v>430.952966942321</v>
      </c>
      <c r="I42" t="n">
        <v>505.203303505142</v>
      </c>
      <c r="J42" t="n">
        <v>592.199143444767</v>
      </c>
      <c r="K42" t="n">
        <v>689.585158637506</v>
      </c>
      <c r="L42" t="n">
        <v>767.787984234153</v>
      </c>
      <c r="M42" t="n">
        <v>827.632155476285</v>
      </c>
      <c r="N42" t="n">
        <v>958.752440035913</v>
      </c>
      <c r="O42" t="n">
        <v>1101.23100118807</v>
      </c>
      <c r="P42" t="n">
        <v>1155.37668280313</v>
      </c>
      <c r="Q42" t="n">
        <v>1210.05547590457</v>
      </c>
      <c r="R42" t="n">
        <v>1237.81965508402</v>
      </c>
      <c r="S42" t="n">
        <v>1230.4599346014</v>
      </c>
      <c r="T42" t="n">
        <v>1287.19941997347</v>
      </c>
      <c r="U42" t="n">
        <v>1215.46567185838</v>
      </c>
      <c r="V42" t="n">
        <v>1141.73601096237</v>
      </c>
      <c r="W42" t="n">
        <v>1070.49801614453</v>
      </c>
      <c r="X42" t="n">
        <v>991.901405966587</v>
      </c>
      <c r="Y42" t="n">
        <v>939.824547901073</v>
      </c>
      <c r="Z42" t="n">
        <v>883.241716430256</v>
      </c>
      <c r="AA42" t="n">
        <v>818.735298938158</v>
      </c>
      <c r="AB42" t="n">
        <v>760.863384206666</v>
      </c>
      <c r="AC42" t="n">
        <v>700.986218040959</v>
      </c>
      <c r="AD42" t="n">
        <v>680.143910207796</v>
      </c>
      <c r="AE42" t="n">
        <v>660.8</v>
      </c>
      <c r="AF42" t="n">
        <v>652.4</v>
      </c>
    </row>
    <row r="43">
      <c r="A43" t="s">
        <v>145</v>
      </c>
      <c r="B43" t="s">
        <v>356</v>
      </c>
      <c r="C43" t="s">
        <v>217</v>
      </c>
      <c r="D43" t="s">
        <v>357</v>
      </c>
      <c r="E43" t="s">
        <v>218</v>
      </c>
      <c r="F43" t="n">
        <v>466.346774952998</v>
      </c>
      <c r="G43" t="n">
        <v>513.735066792922</v>
      </c>
      <c r="H43" t="n">
        <v>566.576387948765</v>
      </c>
      <c r="I43" t="n">
        <v>641.892034276883</v>
      </c>
      <c r="J43" t="n">
        <v>732.634855874604</v>
      </c>
      <c r="K43" t="n">
        <v>838.028653690339</v>
      </c>
      <c r="L43" t="n">
        <v>928.719578236565</v>
      </c>
      <c r="M43" t="n">
        <v>1016.06848120192</v>
      </c>
      <c r="N43" t="n">
        <v>1171.36702611197</v>
      </c>
      <c r="O43" t="n">
        <v>1374.47128490325</v>
      </c>
      <c r="P43" t="n">
        <v>1532.85635829329</v>
      </c>
      <c r="Q43" t="n">
        <v>1708.77376284504</v>
      </c>
      <c r="R43" t="n">
        <v>1871.55371981416</v>
      </c>
      <c r="S43" t="n">
        <v>2646.49077869774</v>
      </c>
      <c r="T43" t="n">
        <v>3510.86603619198</v>
      </c>
      <c r="U43" t="n">
        <v>3458.52043965793</v>
      </c>
      <c r="V43" t="n">
        <v>3225.68633532939</v>
      </c>
      <c r="W43" t="n">
        <v>3001.1570604572</v>
      </c>
      <c r="X43" t="n">
        <v>2740.77153952954</v>
      </c>
      <c r="Y43" t="n">
        <v>2552.19799975627</v>
      </c>
      <c r="Z43" t="n">
        <v>2437.76286366216</v>
      </c>
      <c r="AA43" t="n">
        <v>2266.85146604387</v>
      </c>
      <c r="AB43" t="n">
        <v>2115.34292966441</v>
      </c>
      <c r="AC43" t="n">
        <v>1976.77410080344</v>
      </c>
      <c r="AD43" t="n">
        <v>1935.39413974455</v>
      </c>
      <c r="AE43" t="n">
        <v>1872.1</v>
      </c>
      <c r="AF43" t="n">
        <v>1840.7</v>
      </c>
    </row>
    <row r="44">
      <c r="A44" t="s">
        <v>145</v>
      </c>
      <c r="B44" t="s">
        <v>358</v>
      </c>
      <c r="C44" t="s">
        <v>217</v>
      </c>
      <c r="D44" t="s">
        <v>359</v>
      </c>
      <c r="E44" t="s">
        <v>218</v>
      </c>
      <c r="F44" t="n">
        <v>16293.7667031205</v>
      </c>
      <c r="G44" t="n">
        <v>16888.1105489801</v>
      </c>
      <c r="H44" t="n">
        <v>17581.2756046272</v>
      </c>
      <c r="I44" t="n">
        <v>18975.2084699591</v>
      </c>
      <c r="J44" t="n">
        <v>20918.2845256912</v>
      </c>
      <c r="K44" t="n">
        <v>23198.6587951825</v>
      </c>
      <c r="L44" t="n">
        <v>24874.4725656112</v>
      </c>
      <c r="M44" t="n">
        <v>26280.8929036692</v>
      </c>
      <c r="N44" t="n">
        <v>27670.2638288828</v>
      </c>
      <c r="O44" t="n">
        <v>29644.7539480113</v>
      </c>
      <c r="P44" t="n">
        <v>30864.4355003779</v>
      </c>
      <c r="Q44" t="n">
        <v>32467.5397255116</v>
      </c>
      <c r="R44" t="n">
        <v>34897.6812403806</v>
      </c>
      <c r="S44" t="n">
        <v>38567.1871728116</v>
      </c>
      <c r="T44" t="n">
        <v>40133.2748008818</v>
      </c>
      <c r="U44" t="n">
        <v>39482.7173036597</v>
      </c>
      <c r="V44" t="n">
        <v>37376.1268534598</v>
      </c>
      <c r="W44" t="n">
        <v>36541.4257871317</v>
      </c>
      <c r="X44" t="n">
        <v>34010.0517941495</v>
      </c>
      <c r="Y44" t="n">
        <v>33044.5942568266</v>
      </c>
      <c r="Z44" t="n">
        <v>32173.093616505</v>
      </c>
      <c r="AA44" t="n">
        <v>30965.4768915285</v>
      </c>
      <c r="AB44" t="n">
        <v>29984.3870490426</v>
      </c>
      <c r="AC44" t="n">
        <v>29193.3272096543</v>
      </c>
      <c r="AD44" t="n">
        <v>28540.4634906834</v>
      </c>
      <c r="AE44" t="n">
        <v>28667.8</v>
      </c>
      <c r="AF44" t="n">
        <v>29481.6</v>
      </c>
    </row>
    <row r="45">
      <c r="A45" t="s">
        <v>145</v>
      </c>
      <c r="B45" t="s">
        <v>360</v>
      </c>
      <c r="C45" t="s">
        <v>217</v>
      </c>
      <c r="D45" t="s">
        <v>361</v>
      </c>
      <c r="E45" t="s">
        <v>218</v>
      </c>
      <c r="F45" t="n">
        <v>14373.4920874685</v>
      </c>
      <c r="G45" t="n">
        <v>14971.8502022118</v>
      </c>
      <c r="H45" t="n">
        <v>15650.3009291647</v>
      </c>
      <c r="I45" t="n">
        <v>16940.1523895069</v>
      </c>
      <c r="J45" t="n">
        <v>18713.0119065427</v>
      </c>
      <c r="K45" t="n">
        <v>20793.8954950214</v>
      </c>
      <c r="L45" t="n">
        <v>22407.3022295373</v>
      </c>
      <c r="M45" t="n">
        <v>23826.3698627097</v>
      </c>
      <c r="N45" t="n">
        <v>24986.5961390289</v>
      </c>
      <c r="O45" t="n">
        <v>26666.1654815847</v>
      </c>
      <c r="P45" t="n">
        <v>27679.3751294439</v>
      </c>
      <c r="Q45" t="n">
        <v>29322.8669346882</v>
      </c>
      <c r="R45" t="n">
        <v>31455.5350075629</v>
      </c>
      <c r="S45" t="n">
        <v>34564.9581397652</v>
      </c>
      <c r="T45" t="n">
        <v>35885.7879553745</v>
      </c>
      <c r="U45" t="n">
        <v>35092.468279107</v>
      </c>
      <c r="V45" t="n">
        <v>33088.2724221277</v>
      </c>
      <c r="W45" t="n">
        <v>32342.3854581224</v>
      </c>
      <c r="X45" t="n">
        <v>29874.3560503415</v>
      </c>
      <c r="Y45" t="n">
        <v>28960.2197963086</v>
      </c>
      <c r="Z45" t="n">
        <v>28091.5130069508</v>
      </c>
      <c r="AA45" t="n">
        <v>26880.2052630222</v>
      </c>
      <c r="AB45" t="n">
        <v>25873.4594255429</v>
      </c>
      <c r="AC45" t="n">
        <v>25034.954134455</v>
      </c>
      <c r="AD45" t="n">
        <v>24332.4457487181</v>
      </c>
      <c r="AE45" t="n">
        <v>24282.3</v>
      </c>
      <c r="AF45" t="n">
        <v>24812.4</v>
      </c>
    </row>
    <row r="46">
      <c r="A46" t="s">
        <v>145</v>
      </c>
      <c r="B46" t="s">
        <v>362</v>
      </c>
      <c r="C46" t="s">
        <v>217</v>
      </c>
      <c r="D46" t="s">
        <v>363</v>
      </c>
      <c r="E46" t="s">
        <v>218</v>
      </c>
      <c r="F46" t="n">
        <v>154.387741378438</v>
      </c>
      <c r="G46" t="n">
        <v>154.387741378438</v>
      </c>
      <c r="H46" t="n">
        <v>155.445191661852</v>
      </c>
      <c r="I46" t="n">
        <v>160.774093199494</v>
      </c>
      <c r="J46" t="n">
        <v>169.402594125282</v>
      </c>
      <c r="K46" t="n">
        <v>182.810907559909</v>
      </c>
      <c r="L46" t="n">
        <v>199.391431733947</v>
      </c>
      <c r="M46" t="n">
        <v>229.206972927808</v>
      </c>
      <c r="N46" t="n">
        <v>260.097400546111</v>
      </c>
      <c r="O46" t="n">
        <v>326.48123413717</v>
      </c>
      <c r="P46" t="n">
        <v>429.287212385865</v>
      </c>
      <c r="Q46" t="n">
        <v>547.785180426756</v>
      </c>
      <c r="R46" t="n">
        <v>679.711450052994</v>
      </c>
      <c r="S46" t="n">
        <v>1438.32934238493</v>
      </c>
      <c r="T46" t="n">
        <v>2227.85177100583</v>
      </c>
      <c r="U46" t="n">
        <v>2243.25889958227</v>
      </c>
      <c r="V46" t="n">
        <v>2084.16252372537</v>
      </c>
      <c r="W46" t="n">
        <v>1930.81174910554</v>
      </c>
      <c r="X46" t="n">
        <v>1748.93699823832</v>
      </c>
      <c r="Y46" t="n">
        <v>1612.44897519026</v>
      </c>
      <c r="Z46" t="n">
        <v>1554.54278872273</v>
      </c>
      <c r="AA46" t="n">
        <v>1448.13093430389</v>
      </c>
      <c r="AB46" t="n">
        <v>1354.48432396895</v>
      </c>
      <c r="AC46" t="n">
        <v>1275.79975014785</v>
      </c>
      <c r="AD46" t="n">
        <v>1255.2613072004</v>
      </c>
      <c r="AE46" t="n">
        <v>1211.3</v>
      </c>
      <c r="AF46" t="n">
        <v>1188.3</v>
      </c>
    </row>
    <row r="47">
      <c r="A47" t="s">
        <v>145</v>
      </c>
      <c r="B47" t="s">
        <v>364</v>
      </c>
      <c r="C47" t="s">
        <v>217</v>
      </c>
      <c r="D47" t="s">
        <v>365</v>
      </c>
      <c r="E47" t="s">
        <v>218</v>
      </c>
      <c r="F47" t="n">
        <v>5162.35024349106</v>
      </c>
      <c r="G47" t="n">
        <v>5692.46933939968</v>
      </c>
      <c r="H47" t="n">
        <v>6227.45483301672</v>
      </c>
      <c r="I47" t="n">
        <v>7429.78161204078</v>
      </c>
      <c r="J47" t="n">
        <v>11051.8828403111</v>
      </c>
      <c r="K47" t="n">
        <v>11584.0145249075</v>
      </c>
      <c r="L47" t="n">
        <v>12062.7735009377</v>
      </c>
      <c r="M47" t="n">
        <v>15126.8460776235</v>
      </c>
      <c r="N47" t="n">
        <v>17589.4575993998</v>
      </c>
      <c r="O47" t="n">
        <v>19388.4892090605</v>
      </c>
      <c r="P47" t="n">
        <v>19861.6305889564</v>
      </c>
      <c r="Q47" t="n">
        <v>21582.5079765061</v>
      </c>
      <c r="R47" t="n">
        <v>22060.5475510216</v>
      </c>
      <c r="S47" t="n">
        <v>22872.8185028649</v>
      </c>
      <c r="T47" t="n">
        <v>25322.4057367182</v>
      </c>
      <c r="U47" t="n">
        <v>25563.1814846105</v>
      </c>
      <c r="V47" t="n">
        <v>24456.5968465098</v>
      </c>
      <c r="W47" t="n">
        <v>23012.8942043396</v>
      </c>
      <c r="X47" t="n">
        <v>21726.3804072643</v>
      </c>
      <c r="Y47" t="n">
        <v>21373.195869136</v>
      </c>
      <c r="Z47" t="n">
        <v>20809.2709292226</v>
      </c>
      <c r="AA47" t="n">
        <v>19557.5608710201</v>
      </c>
      <c r="AB47" t="n">
        <v>19352.3313043348</v>
      </c>
      <c r="AC47" t="n">
        <v>18291.9784302589</v>
      </c>
      <c r="AD47" t="n">
        <v>17263.1944782687</v>
      </c>
      <c r="AE47" t="n">
        <v>16508</v>
      </c>
      <c r="AF47" t="n">
        <v>16434.9</v>
      </c>
    </row>
    <row r="48">
      <c r="A48" t="s">
        <v>145</v>
      </c>
      <c r="B48" t="s">
        <v>366</v>
      </c>
      <c r="C48" t="s">
        <v>217</v>
      </c>
      <c r="D48" t="s">
        <v>367</v>
      </c>
      <c r="E48" t="s">
        <v>218</v>
      </c>
      <c r="F48" t="n">
        <v>7413.55264053335</v>
      </c>
      <c r="G48" t="n">
        <v>8256.85198535622</v>
      </c>
      <c r="H48" t="n">
        <v>9141.94565907452</v>
      </c>
      <c r="I48" t="n">
        <v>10666.2375976504</v>
      </c>
      <c r="J48" t="n">
        <v>14132.7648168868</v>
      </c>
      <c r="K48" t="n">
        <v>15512.8428147412</v>
      </c>
      <c r="L48" t="n">
        <v>16962.8686014358</v>
      </c>
      <c r="M48" t="n">
        <v>20107.6488540864</v>
      </c>
      <c r="N48" t="n">
        <v>22837.0320264822</v>
      </c>
      <c r="O48" t="n">
        <v>25115.7663361743</v>
      </c>
      <c r="P48" t="n">
        <v>25745.1754154013</v>
      </c>
      <c r="Q48" t="n">
        <v>27226.5749779997</v>
      </c>
      <c r="R48" t="n">
        <v>27730.6863075884</v>
      </c>
      <c r="S48" t="n">
        <v>28437.7221187771</v>
      </c>
      <c r="T48" t="n">
        <v>30341.7220800594</v>
      </c>
      <c r="U48" t="n">
        <v>30219.9953819403</v>
      </c>
      <c r="V48" t="n">
        <v>28829.7845101782</v>
      </c>
      <c r="W48" t="n">
        <v>27112.632620379</v>
      </c>
      <c r="X48" t="n">
        <v>25584.6916470006</v>
      </c>
      <c r="Y48" t="n">
        <v>25000.5947297841</v>
      </c>
      <c r="Z48" t="n">
        <v>24247.0524524971</v>
      </c>
      <c r="AA48" t="n">
        <v>22784.2039773128</v>
      </c>
      <c r="AB48" t="n">
        <v>22417.4711941612</v>
      </c>
      <c r="AC48" t="n">
        <v>21256.0816823878</v>
      </c>
      <c r="AD48" t="n">
        <v>20151.5411824174</v>
      </c>
      <c r="AE48" t="n">
        <v>19312.4</v>
      </c>
      <c r="AF48" t="n">
        <v>19191.8</v>
      </c>
    </row>
    <row r="49">
      <c r="A49" t="s">
        <v>145</v>
      </c>
      <c r="B49" t="s">
        <v>368</v>
      </c>
      <c r="C49" t="s">
        <v>217</v>
      </c>
      <c r="D49" t="s">
        <v>369</v>
      </c>
      <c r="E49" t="s">
        <v>218</v>
      </c>
      <c r="F49" t="n">
        <v>472.900016056415</v>
      </c>
      <c r="G49" t="n">
        <v>553.187603022966</v>
      </c>
      <c r="H49" t="n">
        <v>642.800916844576</v>
      </c>
      <c r="I49" t="n">
        <v>749.575085026526</v>
      </c>
      <c r="J49" t="n">
        <v>896.032388256331</v>
      </c>
      <c r="K49" t="n">
        <v>1066.74691264322</v>
      </c>
      <c r="L49" t="n">
        <v>1172.78963214486</v>
      </c>
      <c r="M49" t="n">
        <v>1240.00960748965</v>
      </c>
      <c r="N49" t="n">
        <v>1439.0646028012</v>
      </c>
      <c r="O49" t="n">
        <v>1595.28397076909</v>
      </c>
      <c r="P49" t="n">
        <v>1624.03349773507</v>
      </c>
      <c r="Q49" t="n">
        <v>1704.65106362614</v>
      </c>
      <c r="R49" t="n">
        <v>1721.13007819808</v>
      </c>
      <c r="S49" t="n">
        <v>1736.95911119422</v>
      </c>
      <c r="T49" t="n">
        <v>1702.545331472</v>
      </c>
      <c r="U49" t="n">
        <v>1641.60367317796</v>
      </c>
      <c r="V49" t="n">
        <v>1513.37723785441</v>
      </c>
      <c r="W49" t="n">
        <v>1399.57955314588</v>
      </c>
      <c r="X49" t="n">
        <v>1297.97999419114</v>
      </c>
      <c r="Y49" t="n">
        <v>1203.83388124583</v>
      </c>
      <c r="Z49" t="n">
        <v>1113.38174359732</v>
      </c>
      <c r="AA49" t="n">
        <v>1018.27786234336</v>
      </c>
      <c r="AB49" t="n">
        <v>932.705747113197</v>
      </c>
      <c r="AC49" t="n">
        <v>866.832144671293</v>
      </c>
      <c r="AD49" t="n">
        <v>817.678753246753</v>
      </c>
      <c r="AE49" t="n">
        <v>773.1</v>
      </c>
      <c r="AF49" t="n">
        <v>729</v>
      </c>
    </row>
    <row r="50">
      <c r="A50" t="s">
        <v>145</v>
      </c>
      <c r="B50" t="s">
        <v>370</v>
      </c>
      <c r="C50" t="s">
        <v>217</v>
      </c>
      <c r="D50" t="s">
        <v>371</v>
      </c>
      <c r="E50" t="s">
        <v>218</v>
      </c>
      <c r="F50" t="n">
        <v>1032.25342591191</v>
      </c>
      <c r="G50" t="n">
        <v>1140.71347212228</v>
      </c>
      <c r="H50" t="n">
        <v>1256.45720803428</v>
      </c>
      <c r="I50" t="n">
        <v>1414.42370565314</v>
      </c>
      <c r="J50" t="n">
        <v>1586.14252156833</v>
      </c>
      <c r="K50" t="n">
        <v>1826.155344251</v>
      </c>
      <c r="L50" t="n">
        <v>2179.24256727088</v>
      </c>
      <c r="M50" t="n">
        <v>2476.10336100135</v>
      </c>
      <c r="N50" t="n">
        <v>2652.63625638</v>
      </c>
      <c r="O50" t="n">
        <v>2890.7014342586</v>
      </c>
      <c r="P50" t="n">
        <v>2978.5882798206</v>
      </c>
      <c r="Q50" t="n">
        <v>2973.13729653256</v>
      </c>
      <c r="R50" t="n">
        <v>3017.53586824818</v>
      </c>
      <c r="S50" t="n">
        <v>3039.06918795499</v>
      </c>
      <c r="T50" t="n">
        <v>3083.65137846452</v>
      </c>
      <c r="U50" t="n">
        <v>3009.22800788806</v>
      </c>
      <c r="V50" t="n">
        <v>2854.82052623814</v>
      </c>
      <c r="W50" t="n">
        <v>2695.55466093468</v>
      </c>
      <c r="X50" t="n">
        <v>2556.04797278906</v>
      </c>
      <c r="Y50" t="n">
        <v>2421.70936851568</v>
      </c>
      <c r="Z50" t="n">
        <v>2323.76115486223</v>
      </c>
      <c r="AA50" t="n">
        <v>2207.62820766352</v>
      </c>
      <c r="AB50" t="n">
        <v>2132.88189900321</v>
      </c>
      <c r="AC50" t="n">
        <v>2096.85891247036</v>
      </c>
      <c r="AD50" t="n">
        <v>2070.55782883061</v>
      </c>
      <c r="AE50" t="n">
        <v>2031.4</v>
      </c>
      <c r="AF50" t="n">
        <v>2028</v>
      </c>
    </row>
    <row r="51">
      <c r="A51" t="s">
        <v>145</v>
      </c>
      <c r="B51" t="s">
        <v>372</v>
      </c>
      <c r="C51" t="s">
        <v>217</v>
      </c>
      <c r="D51" t="s">
        <v>373</v>
      </c>
      <c r="E51" t="s">
        <v>218</v>
      </c>
      <c r="F51" t="n">
        <v>946.439465412035</v>
      </c>
      <c r="G51" t="n">
        <v>1044.03601647267</v>
      </c>
      <c r="H51" t="n">
        <v>1147.91842927577</v>
      </c>
      <c r="I51" t="n">
        <v>1290.47039108126</v>
      </c>
      <c r="J51" t="n">
        <v>1450.65460898456</v>
      </c>
      <c r="K51" t="n">
        <v>1675.72960676537</v>
      </c>
      <c r="L51" t="n">
        <v>2006.73262394749</v>
      </c>
      <c r="M51" t="n">
        <v>2283.9483424545</v>
      </c>
      <c r="N51" t="n">
        <v>2448.92036737229</v>
      </c>
      <c r="O51" t="n">
        <v>2670.15852957158</v>
      </c>
      <c r="P51" t="n">
        <v>2753.65657050571</v>
      </c>
      <c r="Q51" t="n">
        <v>2738.60351459446</v>
      </c>
      <c r="R51" t="n">
        <v>2779.57961229403</v>
      </c>
      <c r="S51" t="n">
        <v>2789.08210296743</v>
      </c>
      <c r="T51" t="n">
        <v>2830.96109827475</v>
      </c>
      <c r="U51" t="n">
        <v>2768.4709352917</v>
      </c>
      <c r="V51" t="n">
        <v>2626.45924671554</v>
      </c>
      <c r="W51" t="n">
        <v>2482.10193413072</v>
      </c>
      <c r="X51" t="n">
        <v>2355.18026073207</v>
      </c>
      <c r="Y51" t="n">
        <v>2235.7363972279</v>
      </c>
      <c r="Z51" t="n">
        <v>2150.43661359011</v>
      </c>
      <c r="AA51" t="n">
        <v>2045.2271879834</v>
      </c>
      <c r="AB51" t="n">
        <v>1981.0848481983</v>
      </c>
      <c r="AC51" t="n">
        <v>1954.40424622267</v>
      </c>
      <c r="AD51" t="n">
        <v>1937.04469728821</v>
      </c>
      <c r="AE51" t="n">
        <v>1905.5</v>
      </c>
      <c r="AF51" t="n">
        <v>1907.5</v>
      </c>
    </row>
    <row r="52">
      <c r="A52" t="s">
        <v>145</v>
      </c>
      <c r="B52" t="s">
        <v>374</v>
      </c>
      <c r="C52" t="s">
        <v>217</v>
      </c>
      <c r="D52" t="s">
        <v>375</v>
      </c>
      <c r="E52" t="s">
        <v>218</v>
      </c>
      <c r="F52" t="n">
        <v>86.8261212460921</v>
      </c>
      <c r="G52" t="n">
        <v>98.2587421930865</v>
      </c>
      <c r="H52" t="n">
        <v>110.780470958322</v>
      </c>
      <c r="I52" t="n">
        <v>126.909428415856</v>
      </c>
      <c r="J52" t="n">
        <v>137.950957633562</v>
      </c>
      <c r="K52" t="n">
        <v>151.910280727434</v>
      </c>
      <c r="L52" t="n">
        <v>172.582882582353</v>
      </c>
      <c r="M52" t="n">
        <v>191.296689127427</v>
      </c>
      <c r="N52" t="n">
        <v>202.275904911243</v>
      </c>
      <c r="O52" t="n">
        <v>218.617533361452</v>
      </c>
      <c r="P52" t="n">
        <v>222.386801178029</v>
      </c>
      <c r="Q52" t="n">
        <v>234.358472160111</v>
      </c>
      <c r="R52" t="n">
        <v>237.76044998179</v>
      </c>
      <c r="S52" t="n">
        <v>252.035922133906</v>
      </c>
      <c r="T52" t="n">
        <v>254.556281355245</v>
      </c>
      <c r="U52" t="n">
        <v>241.296897389767</v>
      </c>
      <c r="V52" t="n">
        <v>228.872674162465</v>
      </c>
      <c r="W52" t="n">
        <v>213.906356056645</v>
      </c>
      <c r="X52" t="n">
        <v>201.275695032348</v>
      </c>
      <c r="Y52" t="n">
        <v>186.287079444833</v>
      </c>
      <c r="Z52" t="n">
        <v>173.53467805896</v>
      </c>
      <c r="AA52" t="n">
        <v>162.568179972144</v>
      </c>
      <c r="AB52" t="n">
        <v>151.892971155962</v>
      </c>
      <c r="AC52" t="n">
        <v>142.506893868584</v>
      </c>
      <c r="AD52" t="n">
        <v>133.518152866242</v>
      </c>
      <c r="AE52" t="n">
        <v>125.9</v>
      </c>
      <c r="AF52" t="n">
        <v>120.5</v>
      </c>
    </row>
    <row r="53">
      <c r="A53" t="s">
        <v>145</v>
      </c>
      <c r="B53" t="s">
        <v>376</v>
      </c>
      <c r="C53" t="s">
        <v>217</v>
      </c>
      <c r="D53" t="s">
        <v>377</v>
      </c>
      <c r="E53" t="s">
        <v>218</v>
      </c>
      <c r="F53" t="n">
        <v>372.801019607144</v>
      </c>
      <c r="G53" t="n">
        <v>404.147214059837</v>
      </c>
      <c r="H53" t="n">
        <v>448.118879068427</v>
      </c>
      <c r="I53" t="n">
        <v>507.967134548473</v>
      </c>
      <c r="J53" t="n">
        <v>562.224894565561</v>
      </c>
      <c r="K53" t="n">
        <v>630.535024083478</v>
      </c>
      <c r="L53" t="n">
        <v>852.949339229157</v>
      </c>
      <c r="M53" t="n">
        <v>1045.80619490113</v>
      </c>
      <c r="N53" t="n">
        <v>1218.65862931532</v>
      </c>
      <c r="O53" t="n">
        <v>1337.5819340897</v>
      </c>
      <c r="P53" t="n">
        <v>1385.81736261762</v>
      </c>
      <c r="Q53" t="n">
        <v>1490.58250294948</v>
      </c>
      <c r="R53" t="n">
        <v>1540.42849920165</v>
      </c>
      <c r="S53" t="n">
        <v>1640.65759887799</v>
      </c>
      <c r="T53" t="n">
        <v>1644.84632427152</v>
      </c>
      <c r="U53" t="n">
        <v>1606.69548176025</v>
      </c>
      <c r="V53" t="n">
        <v>1505.31916849374</v>
      </c>
      <c r="W53" t="n">
        <v>1408.53678266067</v>
      </c>
      <c r="X53" t="n">
        <v>1324.81220689527</v>
      </c>
      <c r="Y53" t="n">
        <v>1256.80145365803</v>
      </c>
      <c r="Z53" t="n">
        <v>1177.64345003145</v>
      </c>
      <c r="AA53" t="n">
        <v>1111.36247051397</v>
      </c>
      <c r="AB53" t="n">
        <v>1051.93459860667</v>
      </c>
      <c r="AC53" t="n">
        <v>1002.33991882276</v>
      </c>
      <c r="AD53" t="n">
        <v>956.986548672566</v>
      </c>
      <c r="AE53" t="n">
        <v>911.8</v>
      </c>
      <c r="AF53" t="n">
        <v>886.5</v>
      </c>
    </row>
    <row r="54">
      <c r="A54" t="s">
        <v>145</v>
      </c>
      <c r="B54" t="s">
        <v>378</v>
      </c>
      <c r="C54" t="s">
        <v>217</v>
      </c>
      <c r="D54" t="s">
        <v>379</v>
      </c>
      <c r="E54" t="s">
        <v>218</v>
      </c>
      <c r="F54" t="n">
        <v>813.311400503742</v>
      </c>
      <c r="G54" t="n">
        <v>1164.36377145288</v>
      </c>
      <c r="H54" t="n">
        <v>1512.40918038463</v>
      </c>
      <c r="I54" t="n">
        <v>1933.35561128606</v>
      </c>
      <c r="J54" t="n">
        <v>2407.15901795288</v>
      </c>
      <c r="K54" t="n">
        <v>2967.19851607656</v>
      </c>
      <c r="L54" t="n">
        <v>3111.66530907561</v>
      </c>
      <c r="M54" t="n">
        <v>3213.37710219421</v>
      </c>
      <c r="N54" t="n">
        <v>3303.24333471667</v>
      </c>
      <c r="O54" t="n">
        <v>3438.40406777787</v>
      </c>
      <c r="P54" t="n">
        <v>3527.48347402321</v>
      </c>
      <c r="Q54" t="n">
        <v>3650.51658314899</v>
      </c>
      <c r="R54" t="n">
        <v>3705.54461090179</v>
      </c>
      <c r="S54" t="n">
        <v>3822.96686752763</v>
      </c>
      <c r="T54" t="n">
        <v>3790.47887887507</v>
      </c>
      <c r="U54" t="n">
        <v>3816.4615972644</v>
      </c>
      <c r="V54" t="n">
        <v>3532.67342721141</v>
      </c>
      <c r="W54" t="n">
        <v>3268.31392605378</v>
      </c>
      <c r="X54" t="n">
        <v>3034.21812005081</v>
      </c>
      <c r="Y54" t="n">
        <v>2830.17663471505</v>
      </c>
      <c r="Z54" t="n">
        <v>2647.18354753307</v>
      </c>
      <c r="AA54" t="n">
        <v>2467.04190036664</v>
      </c>
      <c r="AB54" t="n">
        <v>2306.50682380585</v>
      </c>
      <c r="AC54" t="n">
        <v>2169.69301141671</v>
      </c>
      <c r="AD54" t="n">
        <v>2047.09604254654</v>
      </c>
      <c r="AE54" t="n">
        <v>1929.3</v>
      </c>
      <c r="AF54" t="n">
        <v>1841.2</v>
      </c>
    </row>
    <row r="55">
      <c r="A55" t="s">
        <v>145</v>
      </c>
      <c r="B55" t="s">
        <v>380</v>
      </c>
      <c r="C55" t="s">
        <v>217</v>
      </c>
      <c r="D55" t="s">
        <v>381</v>
      </c>
      <c r="E55" t="s">
        <v>218</v>
      </c>
      <c r="F55" t="n">
        <v>448.464668353903</v>
      </c>
      <c r="G55" t="n">
        <v>736.748158823796</v>
      </c>
      <c r="H55" t="n">
        <v>1013.45334967448</v>
      </c>
      <c r="I55" t="n">
        <v>1343.22548737117</v>
      </c>
      <c r="J55" t="n">
        <v>1724.23333166946</v>
      </c>
      <c r="K55" t="n">
        <v>2171.23204137983</v>
      </c>
      <c r="L55" t="n">
        <v>2136.496810683</v>
      </c>
      <c r="M55" t="n">
        <v>2085.31888750503</v>
      </c>
      <c r="N55" t="n">
        <v>2037.91298661353</v>
      </c>
      <c r="O55" t="n">
        <v>2070.45487021097</v>
      </c>
      <c r="P55" t="n">
        <v>2114.09570382703</v>
      </c>
      <c r="Q55" t="n">
        <v>2146.10179152888</v>
      </c>
      <c r="R55" t="n">
        <v>2158.21248727695</v>
      </c>
      <c r="S55" t="n">
        <v>2188.39316205618</v>
      </c>
      <c r="T55" t="n">
        <v>2156.40958032736</v>
      </c>
      <c r="U55" t="n">
        <v>2207.9049617372</v>
      </c>
      <c r="V55" t="n">
        <v>2025.80970716093</v>
      </c>
      <c r="W55" t="n">
        <v>1858.64014291901</v>
      </c>
      <c r="X55" t="n">
        <v>1708.58703644302</v>
      </c>
      <c r="Y55" t="n">
        <v>1572.90062046257</v>
      </c>
      <c r="Z55" t="n">
        <v>1469.12329528626</v>
      </c>
      <c r="AA55" t="n">
        <v>1355.44960095454</v>
      </c>
      <c r="AB55" t="n">
        <v>1254.40144376627</v>
      </c>
      <c r="AC55" t="n">
        <v>1167.24675042674</v>
      </c>
      <c r="AD55" t="n">
        <v>1090.05671170727</v>
      </c>
      <c r="AE55" t="n">
        <v>1017.5</v>
      </c>
      <c r="AF55" t="n">
        <v>954.7</v>
      </c>
    </row>
    <row r="56">
      <c r="A56" t="s">
        <v>145</v>
      </c>
      <c r="B56" t="s">
        <v>382</v>
      </c>
      <c r="C56" t="s">
        <v>217</v>
      </c>
      <c r="D56" t="s">
        <v>383</v>
      </c>
      <c r="E56" t="s">
        <v>218</v>
      </c>
      <c r="F56" t="e">
        <v>#NUM!</v>
      </c>
      <c r="G56" t="e">
        <v>#NUM!</v>
      </c>
      <c r="H56" t="e">
        <v>#NUM!</v>
      </c>
      <c r="I56" t="e">
        <v>#NUM!</v>
      </c>
      <c r="J56" t="e">
        <v>#NUM!</v>
      </c>
      <c r="K56" t="e">
        <v>#NUM!</v>
      </c>
      <c r="L56" t="e">
        <v>#NUM!</v>
      </c>
      <c r="M56" t="e">
        <v>#NUM!</v>
      </c>
      <c r="N56" t="e">
        <v>#NUM!</v>
      </c>
      <c r="O56" t="e">
        <v>#NUM!</v>
      </c>
      <c r="P56" t="e">
        <v>#NUM!</v>
      </c>
      <c r="Q56" t="e">
        <v>#NUM!</v>
      </c>
      <c r="R56" t="e">
        <v>#NUM!</v>
      </c>
      <c r="S56" t="e">
        <v>#NUM!</v>
      </c>
      <c r="T56" t="e">
        <v>#NUM!</v>
      </c>
      <c r="U56" t="e">
        <v>#NUM!</v>
      </c>
      <c r="V56" t="e">
        <v>#NUM!</v>
      </c>
      <c r="W56" t="e">
        <v>#NUM!</v>
      </c>
      <c r="X56" t="e">
        <v>#NUM!</v>
      </c>
      <c r="Y56" t="e">
        <v>#NUM!</v>
      </c>
      <c r="Z56" t="e">
        <v>#NUM!</v>
      </c>
      <c r="AA56" t="e">
        <v>#NUM!</v>
      </c>
      <c r="AB56" t="e">
        <v>#NUM!</v>
      </c>
      <c r="AC56" t="e">
        <v>#NUM!</v>
      </c>
      <c r="AD56" t="e">
        <v>#NUM!</v>
      </c>
      <c r="AE56" t="n">
        <v>0</v>
      </c>
      <c r="AF56" t="e">
        <v>#NUM!</v>
      </c>
    </row>
    <row r="57">
      <c r="A57" t="s">
        <v>145</v>
      </c>
      <c r="B57" t="s">
        <v>384</v>
      </c>
      <c r="C57" t="s">
        <v>217</v>
      </c>
      <c r="D57" t="s">
        <v>385</v>
      </c>
      <c r="E57" t="s">
        <v>218</v>
      </c>
      <c r="F57" t="n">
        <v>25860.7583398093</v>
      </c>
      <c r="G57" t="n">
        <v>27136.3310140284</v>
      </c>
      <c r="H57" t="n">
        <v>28564.0039457443</v>
      </c>
      <c r="I57" t="n">
        <v>31289.1193420638</v>
      </c>
      <c r="J57" t="n">
        <v>35857.4422911623</v>
      </c>
      <c r="K57" t="n">
        <v>39671.7116880747</v>
      </c>
      <c r="L57" t="n">
        <v>42799.5928730746</v>
      </c>
      <c r="M57" t="n">
        <v>46531.7846167272</v>
      </c>
      <c r="N57" t="n">
        <v>49956.7685668225</v>
      </c>
      <c r="O57" t="n">
        <v>53895.5252307026</v>
      </c>
      <c r="P57" t="n">
        <v>55855.7975156547</v>
      </c>
      <c r="Q57" t="n">
        <v>58819.1982999644</v>
      </c>
      <c r="R57" t="n">
        <v>62311.0068004272</v>
      </c>
      <c r="S57" t="n">
        <v>67559.0805520805</v>
      </c>
      <c r="T57" t="n">
        <v>70727.7432018524</v>
      </c>
      <c r="U57" t="n">
        <v>69797.8839798602</v>
      </c>
      <c r="V57" t="n">
        <v>66295.9887199233</v>
      </c>
      <c r="W57" t="n">
        <v>63740.9329209211</v>
      </c>
      <c r="X57" t="n">
        <v>59672.9287979328</v>
      </c>
      <c r="Y57" t="n">
        <v>58125.4131698439</v>
      </c>
      <c r="Z57" t="n">
        <v>56497.638987805</v>
      </c>
      <c r="AA57" t="n">
        <v>53824.6804747292</v>
      </c>
      <c r="AB57" t="n">
        <v>52471.9893887247</v>
      </c>
      <c r="AC57" t="n">
        <v>50518.4201317847</v>
      </c>
      <c r="AD57" t="n">
        <v>48755.2473074958</v>
      </c>
      <c r="AE57" t="n">
        <v>48022.1</v>
      </c>
      <c r="AF57" t="n">
        <v>48698.1</v>
      </c>
    </row>
    <row r="58">
      <c r="A58" t="s">
        <v>145</v>
      </c>
      <c r="B58" t="s">
        <v>386</v>
      </c>
      <c r="C58" t="s">
        <v>217</v>
      </c>
      <c r="D58" t="s">
        <v>387</v>
      </c>
      <c r="E58" t="s">
        <v>218</v>
      </c>
      <c r="F58" t="n">
        <v>25860.7583398093</v>
      </c>
      <c r="G58" t="n">
        <v>27136.3310140284</v>
      </c>
      <c r="H58" t="n">
        <v>28564.0039457443</v>
      </c>
      <c r="I58" t="n">
        <v>31289.1193420638</v>
      </c>
      <c r="J58" t="n">
        <v>35857.4422911623</v>
      </c>
      <c r="K58" t="n">
        <v>39671.7116880747</v>
      </c>
      <c r="L58" t="n">
        <v>42799.5928730746</v>
      </c>
      <c r="M58" t="n">
        <v>46531.7846167272</v>
      </c>
      <c r="N58" t="n">
        <v>49956.7685668225</v>
      </c>
      <c r="O58" t="n">
        <v>53895.5252307026</v>
      </c>
      <c r="P58" t="n">
        <v>55855.7975156547</v>
      </c>
      <c r="Q58" t="n">
        <v>58819.1982999644</v>
      </c>
      <c r="R58" t="n">
        <v>62311.0068004272</v>
      </c>
      <c r="S58" t="n">
        <v>67559.0805520805</v>
      </c>
      <c r="T58" t="n">
        <v>70727.7432018524</v>
      </c>
      <c r="U58" t="n">
        <v>69797.8839798602</v>
      </c>
      <c r="V58" t="n">
        <v>66295.9887199233</v>
      </c>
      <c r="W58" t="n">
        <v>63740.9329209211</v>
      </c>
      <c r="X58" t="n">
        <v>59672.9287979328</v>
      </c>
      <c r="Y58" t="n">
        <v>58125.4131698439</v>
      </c>
      <c r="Z58" t="n">
        <v>56497.638987805</v>
      </c>
      <c r="AA58" t="n">
        <v>53824.6804747292</v>
      </c>
      <c r="AB58" t="n">
        <v>52471.9893887247</v>
      </c>
      <c r="AC58" t="n">
        <v>50518.4201317847</v>
      </c>
      <c r="AD58" t="n">
        <v>48755.2473074958</v>
      </c>
      <c r="AE58" t="n">
        <v>48022.1</v>
      </c>
      <c r="AF58" t="n">
        <v>48698.1</v>
      </c>
    </row>
    <row r="59">
      <c r="A59" t="s">
        <v>145</v>
      </c>
      <c r="B59" t="s">
        <v>388</v>
      </c>
      <c r="C59" t="s">
        <v>217</v>
      </c>
      <c r="D59" t="s">
        <v>389</v>
      </c>
      <c r="E59" t="s">
        <v>218</v>
      </c>
      <c r="F59" t="e">
        <v>#NUM!</v>
      </c>
      <c r="G59" t="e">
        <v>#NUM!</v>
      </c>
      <c r="H59" t="e">
        <v>#NUM!</v>
      </c>
      <c r="I59" t="e">
        <v>#NUM!</v>
      </c>
      <c r="J59" t="e">
        <v>#NUM!</v>
      </c>
      <c r="K59" t="e">
        <v>#NUM!</v>
      </c>
      <c r="L59" t="e">
        <v>#NUM!</v>
      </c>
      <c r="M59" t="e">
        <v>#NUM!</v>
      </c>
      <c r="N59" t="e">
        <v>#NUM!</v>
      </c>
      <c r="O59" t="e">
        <v>#NUM!</v>
      </c>
      <c r="P59" t="e">
        <v>#NUM!</v>
      </c>
      <c r="Q59" t="e">
        <v>#NUM!</v>
      </c>
      <c r="R59" t="e">
        <v>#NUM!</v>
      </c>
      <c r="S59" t="e">
        <v>#NUM!</v>
      </c>
      <c r="T59" t="e">
        <v>#NUM!</v>
      </c>
      <c r="U59" t="e">
        <v>#NUM!</v>
      </c>
      <c r="V59" t="e">
        <v>#NUM!</v>
      </c>
      <c r="W59" t="e">
        <v>#NUM!</v>
      </c>
      <c r="X59" t="e">
        <v>#NUM!</v>
      </c>
      <c r="Y59" t="e">
        <v>#NUM!</v>
      </c>
      <c r="Z59" t="e">
        <v>#NUM!</v>
      </c>
      <c r="AA59" t="e">
        <v>#NUM!</v>
      </c>
      <c r="AB59" t="e">
        <v>#NUM!</v>
      </c>
      <c r="AC59" t="e">
        <v>#NUM!</v>
      </c>
      <c r="AD59" t="e">
        <v>#NUM!</v>
      </c>
      <c r="AE59" t="n">
        <v>0</v>
      </c>
      <c r="AF59" t="e">
        <v>#NUM!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146</v>
      </c>
      <c r="B2" t="s">
        <v>197</v>
      </c>
      <c r="C2" t="s">
        <v>217</v>
      </c>
      <c r="D2" t="s">
        <v>199</v>
      </c>
      <c r="E2" t="s">
        <v>218</v>
      </c>
      <c r="F2" t="n">
        <v>9859.59484292957</v>
      </c>
      <c r="G2" t="n">
        <v>9733.22929477074</v>
      </c>
      <c r="H2" t="n">
        <v>9629.18052903077</v>
      </c>
      <c r="I2" t="n">
        <v>9547.08215054072</v>
      </c>
      <c r="J2" t="n">
        <v>9485.66029719797</v>
      </c>
      <c r="K2" t="n">
        <v>9409.85241626038</v>
      </c>
      <c r="L2" t="n">
        <v>9321.06983194757</v>
      </c>
      <c r="M2" t="n">
        <v>9148.52860802515</v>
      </c>
      <c r="N2" t="n">
        <v>9010.285809319</v>
      </c>
      <c r="O2" t="n">
        <v>8922.76776343236</v>
      </c>
      <c r="P2" t="n">
        <v>8878.92765891024</v>
      </c>
      <c r="Q2" t="n">
        <v>8905.00821821147</v>
      </c>
      <c r="R2" t="n">
        <v>8923.00847082013</v>
      </c>
      <c r="S2" t="n">
        <v>9014.05957766523</v>
      </c>
      <c r="T2" t="n">
        <v>9013.35583533459</v>
      </c>
      <c r="U2" t="n">
        <v>8882.99941377103</v>
      </c>
      <c r="V2" t="n">
        <v>8666.8552143855</v>
      </c>
      <c r="W2" t="n">
        <v>8467.55671504232</v>
      </c>
      <c r="X2" t="n">
        <v>8271.45208934784</v>
      </c>
      <c r="Y2" t="n">
        <v>8101.27698105729</v>
      </c>
      <c r="Z2" t="n">
        <v>7957.19197901652</v>
      </c>
      <c r="AA2" t="n">
        <v>7849.67957492024</v>
      </c>
      <c r="AB2" t="n">
        <v>7710.89267292037</v>
      </c>
      <c r="AC2" t="n">
        <v>7566.78157167669</v>
      </c>
      <c r="AD2" t="n">
        <v>7420.64863104969</v>
      </c>
      <c r="AE2" t="n">
        <v>7271.9</v>
      </c>
      <c r="AF2" t="n">
        <v>7134</v>
      </c>
    </row>
    <row r="3">
      <c r="A3" t="s">
        <v>146</v>
      </c>
      <c r="B3" t="s">
        <v>276</v>
      </c>
      <c r="C3" t="s">
        <v>217</v>
      </c>
      <c r="D3" t="s">
        <v>277</v>
      </c>
      <c r="E3" t="s">
        <v>218</v>
      </c>
      <c r="F3" t="n">
        <v>2046.19994944277</v>
      </c>
      <c r="G3" t="n">
        <v>2029.68222314039</v>
      </c>
      <c r="H3" t="n">
        <v>2018.55073941722</v>
      </c>
      <c r="I3" t="n">
        <v>2012.74656206663</v>
      </c>
      <c r="J3" t="n">
        <v>2011.84811476742</v>
      </c>
      <c r="K3" t="n">
        <v>2006.32878965428</v>
      </c>
      <c r="L3" t="n">
        <v>1960.24721803827</v>
      </c>
      <c r="M3" t="n">
        <v>1889.69456052732</v>
      </c>
      <c r="N3" t="n">
        <v>1822.90923882172</v>
      </c>
      <c r="O3" t="n">
        <v>1756.7967852092</v>
      </c>
      <c r="P3" t="n">
        <v>1711.71296700702</v>
      </c>
      <c r="Q3" t="n">
        <v>1669.31417508288</v>
      </c>
      <c r="R3" t="n">
        <v>1636.39347197348</v>
      </c>
      <c r="S3" t="n">
        <v>1680.82625485274</v>
      </c>
      <c r="T3" t="n">
        <v>1737.77365184552</v>
      </c>
      <c r="U3" t="n">
        <v>1802.74905964912</v>
      </c>
      <c r="V3" t="n">
        <v>1893.59238985957</v>
      </c>
      <c r="W3" t="n">
        <v>1929.91878072852</v>
      </c>
      <c r="X3" t="n">
        <v>1952.3395608966</v>
      </c>
      <c r="Y3" t="n">
        <v>1942.47600109605</v>
      </c>
      <c r="Z3" t="n">
        <v>1972.21653070357</v>
      </c>
      <c r="AA3" t="n">
        <v>2185.26491518802</v>
      </c>
      <c r="AB3" t="n">
        <v>2334.50932309135</v>
      </c>
      <c r="AC3" t="n">
        <v>2341.79904764373</v>
      </c>
      <c r="AD3" t="n">
        <v>2333.93932613962</v>
      </c>
      <c r="AE3" t="n">
        <v>2268.4</v>
      </c>
      <c r="AF3" t="n">
        <v>2206.3</v>
      </c>
    </row>
    <row r="4">
      <c r="A4" t="s">
        <v>146</v>
      </c>
      <c r="B4" t="s">
        <v>278</v>
      </c>
      <c r="C4" t="s">
        <v>217</v>
      </c>
      <c r="D4" t="s">
        <v>279</v>
      </c>
      <c r="E4" t="s">
        <v>218</v>
      </c>
      <c r="F4" t="n">
        <v>5724.64645123771</v>
      </c>
      <c r="G4" t="n">
        <v>5725.37513313744</v>
      </c>
      <c r="H4" t="n">
        <v>5752.62959281079</v>
      </c>
      <c r="I4" t="n">
        <v>5805.76368633329</v>
      </c>
      <c r="J4" t="n">
        <v>5883.17523410076</v>
      </c>
      <c r="K4" t="n">
        <v>5933.20324127411</v>
      </c>
      <c r="L4" t="n">
        <v>6077.20514827749</v>
      </c>
      <c r="M4" t="n">
        <v>5862.4629168896</v>
      </c>
      <c r="N4" t="n">
        <v>5862.19739075953</v>
      </c>
      <c r="O4" t="n">
        <v>5906.80565318977</v>
      </c>
      <c r="P4" t="n">
        <v>5854.95845200706</v>
      </c>
      <c r="Q4" t="n">
        <v>6186.36960871484</v>
      </c>
      <c r="R4" t="n">
        <v>6217.1826404407</v>
      </c>
      <c r="S4" t="n">
        <v>6255.82874704246</v>
      </c>
      <c r="T4" t="n">
        <v>6857.5193936623</v>
      </c>
      <c r="U4" t="n">
        <v>7477.45891303694</v>
      </c>
      <c r="V4" t="n">
        <v>7379.42665232144</v>
      </c>
      <c r="W4" t="n">
        <v>7379.69842104176</v>
      </c>
      <c r="X4" t="n">
        <v>7180.28406102102</v>
      </c>
      <c r="Y4" t="n">
        <v>7065.88990838314</v>
      </c>
      <c r="Z4" t="n">
        <v>6952.1714702877</v>
      </c>
      <c r="AA4" t="n">
        <v>6843.88524790257</v>
      </c>
      <c r="AB4" t="n">
        <v>6692.55605315514</v>
      </c>
      <c r="AC4" t="n">
        <v>6677.67727110295</v>
      </c>
      <c r="AD4" t="n">
        <v>6585.85062785824</v>
      </c>
      <c r="AE4" t="n">
        <v>6532.1</v>
      </c>
      <c r="AF4" t="n">
        <v>6493.1</v>
      </c>
    </row>
    <row r="5">
      <c r="A5" t="s">
        <v>146</v>
      </c>
      <c r="B5" t="s">
        <v>280</v>
      </c>
      <c r="C5" t="s">
        <v>217</v>
      </c>
      <c r="D5" t="s">
        <v>281</v>
      </c>
      <c r="E5" t="s">
        <v>218</v>
      </c>
      <c r="F5" t="n">
        <v>1414.57066332487</v>
      </c>
      <c r="G5" t="n">
        <v>1413.6833878192</v>
      </c>
      <c r="H5" t="n">
        <v>1419.75325250844</v>
      </c>
      <c r="I5" t="n">
        <v>1432.60271827423</v>
      </c>
      <c r="J5" t="n">
        <v>1451.83802256256</v>
      </c>
      <c r="K5" t="n">
        <v>1464.40180740812</v>
      </c>
      <c r="L5" t="n">
        <v>1494.29976182641</v>
      </c>
      <c r="M5" t="n">
        <v>1442.4257575533</v>
      </c>
      <c r="N5" t="n">
        <v>1466.7186606166</v>
      </c>
      <c r="O5" t="n">
        <v>1520.18950205198</v>
      </c>
      <c r="P5" t="n">
        <v>1496.02615820458</v>
      </c>
      <c r="Q5" t="n">
        <v>1530.1443604407</v>
      </c>
      <c r="R5" t="n">
        <v>1534.27720497517</v>
      </c>
      <c r="S5" t="n">
        <v>1566.13099285524</v>
      </c>
      <c r="T5" t="n">
        <v>1676.98005911444</v>
      </c>
      <c r="U5" t="n">
        <v>1766.28860243322</v>
      </c>
      <c r="V5" t="n">
        <v>1731.99769659651</v>
      </c>
      <c r="W5" t="n">
        <v>1692.13166884476</v>
      </c>
      <c r="X5" t="n">
        <v>1661.04909509578</v>
      </c>
      <c r="Y5" t="n">
        <v>1672.48044639958</v>
      </c>
      <c r="Z5" t="n">
        <v>1706.51347873911</v>
      </c>
      <c r="AA5" t="n">
        <v>1724.25188910216</v>
      </c>
      <c r="AB5" t="n">
        <v>1720.06753714386</v>
      </c>
      <c r="AC5" t="n">
        <v>1761.8085084371</v>
      </c>
      <c r="AD5" t="n">
        <v>1761.21158873239</v>
      </c>
      <c r="AE5" t="n">
        <v>1773.3</v>
      </c>
      <c r="AF5" t="n">
        <v>1790.2</v>
      </c>
    </row>
    <row r="6">
      <c r="A6" t="s">
        <v>146</v>
      </c>
      <c r="B6" t="s">
        <v>282</v>
      </c>
      <c r="C6" t="s">
        <v>217</v>
      </c>
      <c r="D6" t="s">
        <v>283</v>
      </c>
      <c r="E6" t="s">
        <v>218</v>
      </c>
      <c r="F6" t="n">
        <v>1517.00894858817</v>
      </c>
      <c r="G6" t="n">
        <v>1476.36284243879</v>
      </c>
      <c r="H6" t="n">
        <v>1440.5836409001</v>
      </c>
      <c r="I6" t="n">
        <v>1409.78872814068</v>
      </c>
      <c r="J6" t="n">
        <v>1383.40803542697</v>
      </c>
      <c r="K6" t="n">
        <v>1355.70511026332</v>
      </c>
      <c r="L6" t="n">
        <v>1350.34326764034</v>
      </c>
      <c r="M6" t="n">
        <v>1295.41646805856</v>
      </c>
      <c r="N6" t="n">
        <v>1261.01884407596</v>
      </c>
      <c r="O6" t="n">
        <v>1228.2133914406</v>
      </c>
      <c r="P6" t="n">
        <v>1190.24740889833</v>
      </c>
      <c r="Q6" t="n">
        <v>1167.76022802736</v>
      </c>
      <c r="R6" t="n">
        <v>1166.01600065167</v>
      </c>
      <c r="S6" t="n">
        <v>1125.01418477914</v>
      </c>
      <c r="T6" t="n">
        <v>1121.48775775021</v>
      </c>
      <c r="U6" t="n">
        <v>1076.46110304014</v>
      </c>
      <c r="V6" t="n">
        <v>1047.53104652061</v>
      </c>
      <c r="W6" t="n">
        <v>995.725084337507</v>
      </c>
      <c r="X6" t="n">
        <v>951.438236072839</v>
      </c>
      <c r="Y6" t="n">
        <v>917.797341355549</v>
      </c>
      <c r="Z6" t="n">
        <v>878.527167439412</v>
      </c>
      <c r="AA6" t="n">
        <v>843.640868319676</v>
      </c>
      <c r="AB6" t="n">
        <v>808.871068716043</v>
      </c>
      <c r="AC6" t="n">
        <v>776.915668470471</v>
      </c>
      <c r="AD6" t="n">
        <v>744.382511396602</v>
      </c>
      <c r="AE6" t="n">
        <v>723.3</v>
      </c>
      <c r="AF6" t="n">
        <v>704</v>
      </c>
    </row>
    <row r="7">
      <c r="A7" t="s">
        <v>146</v>
      </c>
      <c r="B7" t="s">
        <v>284</v>
      </c>
      <c r="C7" t="s">
        <v>217</v>
      </c>
      <c r="D7" t="s">
        <v>285</v>
      </c>
      <c r="E7" t="s">
        <v>218</v>
      </c>
      <c r="F7" t="n">
        <v>213.521469819998</v>
      </c>
      <c r="G7" t="n">
        <v>236.644762634606</v>
      </c>
      <c r="H7" t="n">
        <v>261.59120906168</v>
      </c>
      <c r="I7" t="n">
        <v>288.275262159946</v>
      </c>
      <c r="J7" t="n">
        <v>316.68800382607</v>
      </c>
      <c r="K7" t="n">
        <v>341.271547196601</v>
      </c>
      <c r="L7" t="n">
        <v>346.396906222223</v>
      </c>
      <c r="M7" t="n">
        <v>338.805415582612</v>
      </c>
      <c r="N7" t="n">
        <v>327.604495998421</v>
      </c>
      <c r="O7" t="n">
        <v>375.650830120096</v>
      </c>
      <c r="P7" t="n">
        <v>370.044101312333</v>
      </c>
      <c r="Q7" t="n">
        <v>414.895352782342</v>
      </c>
      <c r="R7" t="n">
        <v>437.19206804882</v>
      </c>
      <c r="S7" t="n">
        <v>435.611189118975</v>
      </c>
      <c r="T7" t="n">
        <v>442.868801982708</v>
      </c>
      <c r="U7" t="n">
        <v>462.393294138107</v>
      </c>
      <c r="V7" t="n">
        <v>455.291690644518</v>
      </c>
      <c r="W7" t="n">
        <v>445.14793306501</v>
      </c>
      <c r="X7" t="n">
        <v>430.932359358124</v>
      </c>
      <c r="Y7" t="n">
        <v>431.300992685205</v>
      </c>
      <c r="Z7" t="n">
        <v>425.200823948884</v>
      </c>
      <c r="AA7" t="n">
        <v>424.906906328643</v>
      </c>
      <c r="AB7" t="n">
        <v>420.823178443159</v>
      </c>
      <c r="AC7" t="n">
        <v>411.038914745073</v>
      </c>
      <c r="AD7" t="n">
        <v>400.693307984791</v>
      </c>
      <c r="AE7" t="n">
        <v>394.1</v>
      </c>
      <c r="AF7" t="n">
        <v>388.5</v>
      </c>
    </row>
    <row r="8">
      <c r="A8" t="s">
        <v>146</v>
      </c>
      <c r="B8" t="s">
        <v>286</v>
      </c>
      <c r="C8" t="s">
        <v>217</v>
      </c>
      <c r="D8" t="s">
        <v>287</v>
      </c>
      <c r="E8" t="s">
        <v>218</v>
      </c>
      <c r="F8" t="n">
        <v>126.977437875266</v>
      </c>
      <c r="G8" t="n">
        <v>123.353736969099</v>
      </c>
      <c r="H8" t="n">
        <v>120.228219985085</v>
      </c>
      <c r="I8" t="n">
        <v>117.531635182356</v>
      </c>
      <c r="J8" t="n">
        <v>115.34935017897</v>
      </c>
      <c r="K8" t="n">
        <v>113.066394290011</v>
      </c>
      <c r="L8" t="n">
        <v>108.471617978843</v>
      </c>
      <c r="M8" t="n">
        <v>103.059312715865</v>
      </c>
      <c r="N8" t="n">
        <v>100.579852263496</v>
      </c>
      <c r="O8" t="n">
        <v>99.3737330757692</v>
      </c>
      <c r="P8" t="n">
        <v>116.838181540267</v>
      </c>
      <c r="Q8" t="n">
        <v>114.382738145375</v>
      </c>
      <c r="R8" t="n">
        <v>111.537636311237</v>
      </c>
      <c r="S8" t="n">
        <v>112.39305917174</v>
      </c>
      <c r="T8" t="n">
        <v>276.084891736613</v>
      </c>
      <c r="U8" t="n">
        <v>513.510355327047</v>
      </c>
      <c r="V8" t="n">
        <v>522.719336934108</v>
      </c>
      <c r="W8" t="n">
        <v>752.955051121934</v>
      </c>
      <c r="X8" t="n">
        <v>737.638856838306</v>
      </c>
      <c r="Y8" t="n">
        <v>710.069604563974</v>
      </c>
      <c r="Z8" t="n">
        <v>689.19081248563</v>
      </c>
      <c r="AA8" t="n">
        <v>660.278513042618</v>
      </c>
      <c r="AB8" t="n">
        <v>632.181555040804</v>
      </c>
      <c r="AC8" t="n">
        <v>621.295648326831</v>
      </c>
      <c r="AD8" t="n">
        <v>603.783150872391</v>
      </c>
      <c r="AE8" t="n">
        <v>584.1</v>
      </c>
      <c r="AF8" t="n">
        <v>565.8</v>
      </c>
    </row>
    <row r="9">
      <c r="A9" t="s">
        <v>146</v>
      </c>
      <c r="B9" t="s">
        <v>288</v>
      </c>
      <c r="C9" t="s">
        <v>217</v>
      </c>
      <c r="D9" t="s">
        <v>289</v>
      </c>
      <c r="E9" t="s">
        <v>218</v>
      </c>
      <c r="F9" t="n">
        <v>244.341050139165</v>
      </c>
      <c r="G9" t="n">
        <v>263.835646053233</v>
      </c>
      <c r="H9" t="n">
        <v>284.987026960454</v>
      </c>
      <c r="I9" t="n">
        <v>307.828157358025</v>
      </c>
      <c r="J9" t="n">
        <v>332.156690905988</v>
      </c>
      <c r="K9" t="n">
        <v>352.494999404905</v>
      </c>
      <c r="L9" t="n">
        <v>365.028615310868</v>
      </c>
      <c r="M9" t="n">
        <v>352.579894656702</v>
      </c>
      <c r="N9" t="n">
        <v>352.099932916086</v>
      </c>
      <c r="O9" t="n">
        <v>347.243382117243</v>
      </c>
      <c r="P9" t="n">
        <v>351.519106235532</v>
      </c>
      <c r="Q9" t="n">
        <v>348.875420011251</v>
      </c>
      <c r="R9" t="n">
        <v>347.414611602337</v>
      </c>
      <c r="S9" t="n">
        <v>351.310533624206</v>
      </c>
      <c r="T9" t="n">
        <v>354.04092637258</v>
      </c>
      <c r="U9" t="n">
        <v>353.032502181631</v>
      </c>
      <c r="V9" t="n">
        <v>351.893405004078</v>
      </c>
      <c r="W9" t="n">
        <v>339.309617173986</v>
      </c>
      <c r="X9" t="n">
        <v>345.959174772295</v>
      </c>
      <c r="Y9" t="n">
        <v>338.680672826353</v>
      </c>
      <c r="Z9" t="n">
        <v>315.244541879719</v>
      </c>
      <c r="AA9" t="n">
        <v>312.50158129158</v>
      </c>
      <c r="AB9" t="n">
        <v>307.223511244272</v>
      </c>
      <c r="AC9" t="n">
        <v>307.622891824375</v>
      </c>
      <c r="AD9" t="n">
        <v>312.597388781431</v>
      </c>
      <c r="AE9" t="n">
        <v>309.9</v>
      </c>
      <c r="AF9" t="n">
        <v>308</v>
      </c>
    </row>
    <row r="10">
      <c r="A10" t="s">
        <v>146</v>
      </c>
      <c r="B10" t="s">
        <v>290</v>
      </c>
      <c r="C10" t="s">
        <v>217</v>
      </c>
      <c r="D10" t="s">
        <v>291</v>
      </c>
      <c r="E10" t="s">
        <v>218</v>
      </c>
      <c r="F10" t="n">
        <v>306.945186618495</v>
      </c>
      <c r="G10" t="n">
        <v>331.486294489134</v>
      </c>
      <c r="H10" t="n">
        <v>358.050607129702</v>
      </c>
      <c r="I10" t="n">
        <v>386.750550721305</v>
      </c>
      <c r="J10" t="n">
        <v>417.229837665341</v>
      </c>
      <c r="K10" t="n">
        <v>442.766503812466</v>
      </c>
      <c r="L10" t="n">
        <v>458.542258187411</v>
      </c>
      <c r="M10" t="n">
        <v>442.97503407458</v>
      </c>
      <c r="N10" t="n">
        <v>442.446529361029</v>
      </c>
      <c r="O10" t="n">
        <v>436.446673286781</v>
      </c>
      <c r="P10" t="n">
        <v>440.538099916023</v>
      </c>
      <c r="Q10" t="n">
        <v>438.362603126315</v>
      </c>
      <c r="R10" t="n">
        <v>439.309049912482</v>
      </c>
      <c r="S10" t="n">
        <v>448.793336603213</v>
      </c>
      <c r="T10" t="n">
        <v>490.566282132366</v>
      </c>
      <c r="U10" t="n">
        <v>513.55554963912</v>
      </c>
      <c r="V10" t="n">
        <v>511.014496757438</v>
      </c>
      <c r="W10" t="n">
        <v>492.453552066567</v>
      </c>
      <c r="X10" t="n">
        <v>498.830124142901</v>
      </c>
      <c r="Y10" t="n">
        <v>504.726896943999</v>
      </c>
      <c r="Z10" t="n">
        <v>482.906534587915</v>
      </c>
      <c r="AA10" t="n">
        <v>483.98423227111</v>
      </c>
      <c r="AB10" t="n">
        <v>479.901237719029</v>
      </c>
      <c r="AC10" t="n">
        <v>516.24075311943</v>
      </c>
      <c r="AD10" t="n">
        <v>540.018270944742</v>
      </c>
      <c r="AE10" t="n">
        <v>560.5</v>
      </c>
      <c r="AF10" t="n">
        <v>582.3</v>
      </c>
    </row>
    <row r="11">
      <c r="A11" t="s">
        <v>146</v>
      </c>
      <c r="B11" t="s">
        <v>292</v>
      </c>
      <c r="C11" t="s">
        <v>217</v>
      </c>
      <c r="D11" t="s">
        <v>293</v>
      </c>
      <c r="E11" t="s">
        <v>218</v>
      </c>
      <c r="F11" t="n">
        <v>70.01629225444</v>
      </c>
      <c r="G11" t="n">
        <v>75.6462572748994</v>
      </c>
      <c r="H11" t="n">
        <v>81.7018026476041</v>
      </c>
      <c r="I11" t="n">
        <v>88.2525039734699</v>
      </c>
      <c r="J11" t="n">
        <v>95.1539705598605</v>
      </c>
      <c r="K11" t="n">
        <v>100.971243869197</v>
      </c>
      <c r="L11" t="n">
        <v>104.588844167058</v>
      </c>
      <c r="M11" t="n">
        <v>101.081766680085</v>
      </c>
      <c r="N11" t="n">
        <v>101.007222604363</v>
      </c>
      <c r="O11" t="n">
        <v>99.701094725858</v>
      </c>
      <c r="P11" t="n">
        <v>99.842514718377</v>
      </c>
      <c r="Q11" t="n">
        <v>100.055096367884</v>
      </c>
      <c r="R11" t="n">
        <v>101.992077539225</v>
      </c>
      <c r="S11" t="n">
        <v>106.99620787685</v>
      </c>
      <c r="T11" t="n">
        <v>140.259611047223</v>
      </c>
      <c r="U11" t="n">
        <v>160.520785056841</v>
      </c>
      <c r="V11" t="n">
        <v>159.118856803069</v>
      </c>
      <c r="W11" t="n">
        <v>153.141711356852</v>
      </c>
      <c r="X11" t="n">
        <v>152.868406696489</v>
      </c>
      <c r="Y11" t="n">
        <v>166.045128913245</v>
      </c>
      <c r="Z11" t="n">
        <v>167.665546359586</v>
      </c>
      <c r="AA11" t="n">
        <v>171.487262495193</v>
      </c>
      <c r="AB11" t="n">
        <v>172.682295683313</v>
      </c>
      <c r="AC11" t="n">
        <v>208.616183802384</v>
      </c>
      <c r="AD11" t="n">
        <v>227.418500797448</v>
      </c>
      <c r="AE11" t="n">
        <v>250.6</v>
      </c>
      <c r="AF11" t="n">
        <v>274.3</v>
      </c>
    </row>
    <row r="12">
      <c r="A12" t="s">
        <v>146</v>
      </c>
      <c r="B12" t="s">
        <v>294</v>
      </c>
      <c r="C12" t="s">
        <v>217</v>
      </c>
      <c r="D12" t="s">
        <v>295</v>
      </c>
      <c r="E12" t="s">
        <v>218</v>
      </c>
      <c r="F12" t="n">
        <v>651.221239630313</v>
      </c>
      <c r="G12" t="n">
        <v>648.027674090647</v>
      </c>
      <c r="H12" t="n">
        <v>647.777808012339</v>
      </c>
      <c r="I12" t="n">
        <v>650.380750802526</v>
      </c>
      <c r="J12" t="n">
        <v>655.765068849873</v>
      </c>
      <c r="K12" t="n">
        <v>658.25148437634</v>
      </c>
      <c r="L12" t="n">
        <v>675.617941211444</v>
      </c>
      <c r="M12" t="n">
        <v>651.079513810398</v>
      </c>
      <c r="N12" t="n">
        <v>693.838421567715</v>
      </c>
      <c r="O12" t="n">
        <v>688.555627331442</v>
      </c>
      <c r="P12" t="n">
        <v>684.603693004793</v>
      </c>
      <c r="Q12" t="n">
        <v>693.534106966797</v>
      </c>
      <c r="R12" t="n">
        <v>709.410607038717</v>
      </c>
      <c r="S12" t="n">
        <v>741.648769870635</v>
      </c>
      <c r="T12" t="n">
        <v>854.649984469168</v>
      </c>
      <c r="U12" t="n">
        <v>861.096971945064</v>
      </c>
      <c r="V12" t="n">
        <v>846.45007906313</v>
      </c>
      <c r="W12" t="n">
        <v>820.808313662267</v>
      </c>
      <c r="X12" t="n">
        <v>809.869064701864</v>
      </c>
      <c r="Y12" t="n">
        <v>787.280503584837</v>
      </c>
      <c r="Z12" t="n">
        <v>767.355385487328</v>
      </c>
      <c r="AA12" t="n">
        <v>749.4187351432</v>
      </c>
      <c r="AB12" t="n">
        <v>727.995383453825</v>
      </c>
      <c r="AC12" t="n">
        <v>712.414744159162</v>
      </c>
      <c r="AD12" t="n">
        <v>697.788352065392</v>
      </c>
      <c r="AE12" t="n">
        <v>684.5</v>
      </c>
      <c r="AF12" t="n">
        <v>673.3</v>
      </c>
    </row>
    <row r="13">
      <c r="A13" t="s">
        <v>146</v>
      </c>
      <c r="B13" t="s">
        <v>296</v>
      </c>
      <c r="C13" t="s">
        <v>217</v>
      </c>
      <c r="D13" t="s">
        <v>297</v>
      </c>
      <c r="E13" t="s">
        <v>218</v>
      </c>
      <c r="F13" t="n">
        <v>770.877907833316</v>
      </c>
      <c r="G13" t="n">
        <v>789.053078018004</v>
      </c>
      <c r="H13" t="n">
        <v>811.651256863388</v>
      </c>
      <c r="I13" t="n">
        <v>838.624561472141</v>
      </c>
      <c r="J13" t="n">
        <v>869.590786615347</v>
      </c>
      <c r="K13" t="n">
        <v>894.442057631293</v>
      </c>
      <c r="L13" t="n">
        <v>947.960739426752</v>
      </c>
      <c r="M13" t="n">
        <v>915.954405249372</v>
      </c>
      <c r="N13" t="n">
        <v>897.498266609933</v>
      </c>
      <c r="O13" t="n">
        <v>895.098063242415</v>
      </c>
      <c r="P13" t="n">
        <v>874.573852620467</v>
      </c>
      <c r="Q13" t="n">
        <v>1037.68881719651</v>
      </c>
      <c r="R13" t="n">
        <v>1028.69387867077</v>
      </c>
      <c r="S13" t="n">
        <v>1032.15966545936</v>
      </c>
      <c r="T13" t="n">
        <v>1072.46671669231</v>
      </c>
      <c r="U13" t="n">
        <v>1143.94850635331</v>
      </c>
      <c r="V13" t="n">
        <v>1150.1751503238</v>
      </c>
      <c r="W13" t="n">
        <v>1102.97221583631</v>
      </c>
      <c r="X13" t="n">
        <v>1071.34413890918</v>
      </c>
      <c r="Y13" t="n">
        <v>1030.7838720773</v>
      </c>
      <c r="Z13" t="n">
        <v>1000.37698700308</v>
      </c>
      <c r="AA13" t="n">
        <v>965.97922814355</v>
      </c>
      <c r="AB13" t="n">
        <v>929.615529889384</v>
      </c>
      <c r="AC13" t="n">
        <v>927.818013557016</v>
      </c>
      <c r="AD13" t="n">
        <v>894.191325954371</v>
      </c>
      <c r="AE13" t="n">
        <v>884.6</v>
      </c>
      <c r="AF13" t="n">
        <v>875</v>
      </c>
    </row>
    <row r="14">
      <c r="A14" t="s">
        <v>146</v>
      </c>
      <c r="B14" t="s">
        <v>298</v>
      </c>
      <c r="C14" t="s">
        <v>217</v>
      </c>
      <c r="D14" t="s">
        <v>299</v>
      </c>
      <c r="E14" t="s">
        <v>218</v>
      </c>
      <c r="F14" t="n">
        <v>39.9748340988958</v>
      </c>
      <c r="G14" t="n">
        <v>39.3021806405009</v>
      </c>
      <c r="H14" t="n">
        <v>38.8514675597612</v>
      </c>
      <c r="I14" t="n">
        <v>38.5953040373892</v>
      </c>
      <c r="J14" t="n">
        <v>38.5142214658821</v>
      </c>
      <c r="K14" t="n">
        <v>38.2798550066576</v>
      </c>
      <c r="L14" t="n">
        <v>55.0745740016734</v>
      </c>
      <c r="M14" t="n">
        <v>53.8278792506369</v>
      </c>
      <c r="N14" t="n">
        <v>54.0381444039597</v>
      </c>
      <c r="O14" t="n">
        <v>61.6702656816942</v>
      </c>
      <c r="P14" t="n">
        <v>60.940047250587</v>
      </c>
      <c r="Q14" t="n">
        <v>58.7446088671051</v>
      </c>
      <c r="R14" t="n">
        <v>58.0549709828595</v>
      </c>
      <c r="S14" t="n">
        <v>56.1403921525737</v>
      </c>
      <c r="T14" t="n">
        <v>54.3313569596873</v>
      </c>
      <c r="U14" t="n">
        <v>68.4195329469794</v>
      </c>
      <c r="V14" t="n">
        <v>71.2337039679349</v>
      </c>
      <c r="W14" t="n">
        <v>69.5982362747935</v>
      </c>
      <c r="X14" t="n">
        <v>68.2281922536362</v>
      </c>
      <c r="Y14" t="n">
        <v>66.4740168100379</v>
      </c>
      <c r="Z14" t="n">
        <v>62.9452669937232</v>
      </c>
      <c r="AA14" t="n">
        <v>60.9843552493704</v>
      </c>
      <c r="AB14" t="n">
        <v>58.7921071848505</v>
      </c>
      <c r="AC14" t="n">
        <v>57.095221238938</v>
      </c>
      <c r="AD14" t="n">
        <v>56.2</v>
      </c>
      <c r="AE14" t="n">
        <v>54.6</v>
      </c>
      <c r="AF14" t="n">
        <v>53.1</v>
      </c>
    </row>
    <row r="15">
      <c r="A15" t="s">
        <v>146</v>
      </c>
      <c r="B15" t="s">
        <v>300</v>
      </c>
      <c r="C15" t="s">
        <v>217</v>
      </c>
      <c r="D15" t="s">
        <v>301</v>
      </c>
      <c r="E15" t="s">
        <v>218</v>
      </c>
      <c r="F15" t="n">
        <v>247.959840937563</v>
      </c>
      <c r="G15" t="n">
        <v>251.978836394803</v>
      </c>
      <c r="H15" t="n">
        <v>257.352250782532</v>
      </c>
      <c r="I15" t="n">
        <v>263.95657863181</v>
      </c>
      <c r="J15" t="n">
        <v>271.759262403112</v>
      </c>
      <c r="K15" t="n">
        <v>277.596101311661</v>
      </c>
      <c r="L15" t="n">
        <v>292.629763921503</v>
      </c>
      <c r="M15" t="n">
        <v>283.252985318688</v>
      </c>
      <c r="N15" t="n">
        <v>282.986686680031</v>
      </c>
      <c r="O15" t="n">
        <v>291.881294164939</v>
      </c>
      <c r="P15" t="n">
        <v>288.179138805107</v>
      </c>
      <c r="Q15" t="n">
        <v>301.753404851807</v>
      </c>
      <c r="R15" t="n">
        <v>300.641096355776</v>
      </c>
      <c r="S15" t="n">
        <v>289.75568025954</v>
      </c>
      <c r="T15" t="n">
        <v>291.438083259199</v>
      </c>
      <c r="U15" t="n">
        <v>308.755081012144</v>
      </c>
      <c r="V15" t="n">
        <v>300.426934306819</v>
      </c>
      <c r="W15" t="n">
        <v>286.931723811879</v>
      </c>
      <c r="X15" t="n">
        <v>272.443904159263</v>
      </c>
      <c r="Y15" t="n">
        <v>277.881722273402</v>
      </c>
      <c r="Z15" t="n">
        <v>269.305125906939</v>
      </c>
      <c r="AA15" t="n">
        <v>261.761839368258</v>
      </c>
      <c r="AB15" t="n">
        <v>253.199070944648</v>
      </c>
      <c r="AC15" t="n">
        <v>255.993542362248</v>
      </c>
      <c r="AD15" t="n">
        <v>273.099559955996</v>
      </c>
      <c r="AE15" t="n">
        <v>272.5</v>
      </c>
      <c r="AF15" t="n">
        <v>272.6</v>
      </c>
    </row>
    <row r="16">
      <c r="A16" t="s">
        <v>146</v>
      </c>
      <c r="B16" t="s">
        <v>302</v>
      </c>
      <c r="C16" t="s">
        <v>217</v>
      </c>
      <c r="D16" t="s">
        <v>303</v>
      </c>
      <c r="E16" t="s">
        <v>218</v>
      </c>
      <c r="F16" t="n">
        <v>213.506869122529</v>
      </c>
      <c r="G16" t="n">
        <v>218.778643668764</v>
      </c>
      <c r="H16" t="n">
        <v>225.213309659022</v>
      </c>
      <c r="I16" t="n">
        <v>232.712608211664</v>
      </c>
      <c r="J16" t="n">
        <v>241.265768513477</v>
      </c>
      <c r="K16" t="n">
        <v>247.902182731682</v>
      </c>
      <c r="L16" t="n">
        <v>241.168525448958</v>
      </c>
      <c r="M16" t="n">
        <v>232.731142634417</v>
      </c>
      <c r="N16" t="n">
        <v>232.154837700118</v>
      </c>
      <c r="O16" t="n">
        <v>231.313696983813</v>
      </c>
      <c r="P16" t="n">
        <v>228.308440290716</v>
      </c>
      <c r="Q16" t="n">
        <v>246.011013198949</v>
      </c>
      <c r="R16" t="n">
        <v>245.753049885564</v>
      </c>
      <c r="S16" t="n">
        <v>236.597710324459</v>
      </c>
      <c r="T16" t="n">
        <v>240.902497216297</v>
      </c>
      <c r="U16" t="n">
        <v>240.314110098183</v>
      </c>
      <c r="V16" t="n">
        <v>229.191700483581</v>
      </c>
      <c r="W16" t="n">
        <v>217.33851739501</v>
      </c>
      <c r="X16" t="n">
        <v>204.22718664307</v>
      </c>
      <c r="Y16" t="n">
        <v>211.412446254328</v>
      </c>
      <c r="Z16" t="n">
        <v>206.362937623648</v>
      </c>
      <c r="AA16" t="n">
        <v>200.780266790925</v>
      </c>
      <c r="AB16" t="n">
        <v>194.409450194683</v>
      </c>
      <c r="AC16" t="n">
        <v>198.900428253595</v>
      </c>
      <c r="AD16" t="n">
        <v>216.900917010546</v>
      </c>
      <c r="AE16" t="n">
        <v>217.9</v>
      </c>
      <c r="AF16" t="n">
        <v>219.5</v>
      </c>
    </row>
    <row r="17">
      <c r="A17" t="s">
        <v>146</v>
      </c>
      <c r="B17" t="s">
        <v>304</v>
      </c>
      <c r="C17" t="s">
        <v>217</v>
      </c>
      <c r="D17" t="s">
        <v>305</v>
      </c>
      <c r="E17" t="s">
        <v>218</v>
      </c>
      <c r="F17" t="n">
        <v>302.246787106464</v>
      </c>
      <c r="G17" t="n">
        <v>290.401800733732</v>
      </c>
      <c r="H17" t="n">
        <v>279.525797004143</v>
      </c>
      <c r="I17" t="n">
        <v>269.458130586621</v>
      </c>
      <c r="J17" t="n">
        <v>260.023164780337</v>
      </c>
      <c r="K17" t="n">
        <v>250.825508098552</v>
      </c>
      <c r="L17" t="n">
        <v>243.599219973792</v>
      </c>
      <c r="M17" t="n">
        <v>233.546563543027</v>
      </c>
      <c r="N17" t="n">
        <v>227.04027674162</v>
      </c>
      <c r="O17" t="n">
        <v>217.214147411147</v>
      </c>
      <c r="P17" t="n">
        <v>211.047474582101</v>
      </c>
      <c r="Q17" t="n">
        <v>269.410537670992</v>
      </c>
      <c r="R17" t="n">
        <v>275.839554048823</v>
      </c>
      <c r="S17" t="n">
        <v>285.687908198346</v>
      </c>
      <c r="T17" t="n">
        <v>301.415383085985</v>
      </c>
      <c r="U17" t="n">
        <v>299.800809565085</v>
      </c>
      <c r="V17" t="n">
        <v>296.645011569663</v>
      </c>
      <c r="W17" t="n">
        <v>292.750130501726</v>
      </c>
      <c r="X17" t="n">
        <v>287.192160392605</v>
      </c>
      <c r="Y17" t="n">
        <v>275.855627745528</v>
      </c>
      <c r="Z17" t="n">
        <v>270.136437121917</v>
      </c>
      <c r="AA17" t="n">
        <v>262.098995959363</v>
      </c>
      <c r="AB17" t="n">
        <v>253.428801035993</v>
      </c>
      <c r="AC17" t="n">
        <v>245.440501554953</v>
      </c>
      <c r="AD17" t="n">
        <v>236.688976377953</v>
      </c>
      <c r="AE17" t="n">
        <v>228.3</v>
      </c>
      <c r="AF17" t="n">
        <v>220.5</v>
      </c>
    </row>
    <row r="18">
      <c r="A18" t="s">
        <v>146</v>
      </c>
      <c r="B18" t="s">
        <v>306</v>
      </c>
      <c r="C18" t="s">
        <v>217</v>
      </c>
      <c r="D18" t="s">
        <v>307</v>
      </c>
      <c r="E18" t="s">
        <v>218</v>
      </c>
      <c r="F18" t="n">
        <v>54.7067640702357</v>
      </c>
      <c r="G18" t="n">
        <v>53.8486187514869</v>
      </c>
      <c r="H18" t="n">
        <v>53.2447090084796</v>
      </c>
      <c r="I18" t="n">
        <v>52.8637093018</v>
      </c>
      <c r="J18" t="n">
        <v>52.7734981937764</v>
      </c>
      <c r="K18" t="n">
        <v>52.5126736557511</v>
      </c>
      <c r="L18" t="n">
        <v>65.7249969954193</v>
      </c>
      <c r="M18" t="n">
        <v>64.4202824148651</v>
      </c>
      <c r="N18" t="n">
        <v>64.2643011015119</v>
      </c>
      <c r="O18" t="n">
        <v>65.1747752611555</v>
      </c>
      <c r="P18" t="n">
        <v>77.3673352589907</v>
      </c>
      <c r="Q18" t="n">
        <v>91.5081592154187</v>
      </c>
      <c r="R18" t="n">
        <v>96.5996955132278</v>
      </c>
      <c r="S18" t="n">
        <v>98.5935682320062</v>
      </c>
      <c r="T18" t="n">
        <v>98.1905972446819</v>
      </c>
      <c r="U18" t="n">
        <v>106.373147015072</v>
      </c>
      <c r="V18" t="n">
        <v>101.194916261038</v>
      </c>
      <c r="W18" t="n">
        <v>102.464386536714</v>
      </c>
      <c r="X18" t="n">
        <v>96.9898868107989</v>
      </c>
      <c r="Y18" t="n">
        <v>95.8824856293245</v>
      </c>
      <c r="Z18" t="n">
        <v>93.401943712546</v>
      </c>
      <c r="AA18" t="n">
        <v>94.284018731867</v>
      </c>
      <c r="AB18" t="n">
        <v>93.9850207866285</v>
      </c>
      <c r="AC18" t="n">
        <v>92.6866092348472</v>
      </c>
      <c r="AD18" t="n">
        <v>89.4047872340426</v>
      </c>
      <c r="AE18" t="n">
        <v>93.9</v>
      </c>
      <c r="AF18" t="n">
        <v>98.5</v>
      </c>
    </row>
    <row r="19">
      <c r="A19" t="s">
        <v>146</v>
      </c>
      <c r="B19" t="s">
        <v>308</v>
      </c>
      <c r="C19" t="s">
        <v>217</v>
      </c>
      <c r="D19" t="s">
        <v>309</v>
      </c>
      <c r="E19" t="s">
        <v>218</v>
      </c>
      <c r="F19" t="n">
        <v>363.271891565233</v>
      </c>
      <c r="G19" t="n">
        <v>352.5489631605</v>
      </c>
      <c r="H19" t="n">
        <v>343.216423557505</v>
      </c>
      <c r="I19" t="n">
        <v>335.191369939928</v>
      </c>
      <c r="J19" t="n">
        <v>328.575750796377</v>
      </c>
      <c r="K19" t="n">
        <v>321.562167499948</v>
      </c>
      <c r="L19" t="n">
        <v>338.529790665119</v>
      </c>
      <c r="M19" t="n">
        <v>328.062880176357</v>
      </c>
      <c r="N19" t="n">
        <v>337.308115323686</v>
      </c>
      <c r="O19" t="n">
        <v>326.457125636341</v>
      </c>
      <c r="P19" t="n">
        <v>323.746438182953</v>
      </c>
      <c r="Q19" t="n">
        <v>358.330090136502</v>
      </c>
      <c r="R19" t="n">
        <v>351.675388462538</v>
      </c>
      <c r="S19" t="n">
        <v>354.702723226921</v>
      </c>
      <c r="T19" t="n">
        <v>379.346265831849</v>
      </c>
      <c r="U19" t="n">
        <v>425.241656550616</v>
      </c>
      <c r="V19" t="n">
        <v>415.949631072495</v>
      </c>
      <c r="W19" t="n">
        <v>395.392137875575</v>
      </c>
      <c r="X19" t="n">
        <v>362.594633351333</v>
      </c>
      <c r="Y19" t="n">
        <v>361.857465100556</v>
      </c>
      <c r="Z19" t="n">
        <v>369.290934228247</v>
      </c>
      <c r="AA19" t="n">
        <v>373.308161159358</v>
      </c>
      <c r="AB19" t="n">
        <v>372.511132792858</v>
      </c>
      <c r="AC19" t="n">
        <v>356.032758285935</v>
      </c>
      <c r="AD19" t="n">
        <v>344.589558955896</v>
      </c>
      <c r="AE19" t="n">
        <v>333</v>
      </c>
      <c r="AF19" t="n">
        <v>322.4</v>
      </c>
    </row>
    <row r="20">
      <c r="A20" t="s">
        <v>146</v>
      </c>
      <c r="B20" t="s">
        <v>310</v>
      </c>
      <c r="C20" t="s">
        <v>217</v>
      </c>
      <c r="D20" t="s">
        <v>311</v>
      </c>
      <c r="E20" t="s">
        <v>218</v>
      </c>
      <c r="F20" t="n">
        <v>8368.02903062939</v>
      </c>
      <c r="G20" t="n">
        <v>8932.45304861634</v>
      </c>
      <c r="H20" t="n">
        <v>9546.23773026791</v>
      </c>
      <c r="I20" t="n">
        <v>10209.3312768732</v>
      </c>
      <c r="J20" t="n">
        <v>10918.2128292904</v>
      </c>
      <c r="K20" t="n">
        <v>11531.5511195627</v>
      </c>
      <c r="L20" t="n">
        <v>11923.9833212706</v>
      </c>
      <c r="M20" t="n">
        <v>12015.2130504992</v>
      </c>
      <c r="N20" t="n">
        <v>12182.6892954459</v>
      </c>
      <c r="O20" t="n">
        <v>12363.6673289078</v>
      </c>
      <c r="P20" t="n">
        <v>12523.9068110093</v>
      </c>
      <c r="Q20" t="n">
        <v>12639.9772504551</v>
      </c>
      <c r="R20" t="n">
        <v>12740.4548586365</v>
      </c>
      <c r="S20" t="n">
        <v>13004.2579545711</v>
      </c>
      <c r="T20" t="n">
        <v>13319.4298226568</v>
      </c>
      <c r="U20" t="n">
        <v>13523.8650551188</v>
      </c>
      <c r="V20" t="n">
        <v>13087.3454456911</v>
      </c>
      <c r="W20" t="n">
        <v>13154.4758336522</v>
      </c>
      <c r="X20" t="n">
        <v>12969.0949809896</v>
      </c>
      <c r="Y20" t="n">
        <v>13029.9325505542</v>
      </c>
      <c r="Z20" t="n">
        <v>12802.5898059343</v>
      </c>
      <c r="AA20" t="n">
        <v>13049.8431841779</v>
      </c>
      <c r="AB20" t="n">
        <v>13148.1765446603</v>
      </c>
      <c r="AC20" t="n">
        <v>12698.7097638609</v>
      </c>
      <c r="AD20" t="n">
        <v>12268.2231049121</v>
      </c>
      <c r="AE20" t="n">
        <v>11861.8</v>
      </c>
      <c r="AF20" t="n">
        <v>11472.5</v>
      </c>
    </row>
    <row r="21">
      <c r="A21" t="s">
        <v>146</v>
      </c>
      <c r="B21" t="s">
        <v>312</v>
      </c>
      <c r="C21" t="s">
        <v>217</v>
      </c>
      <c r="D21" t="s">
        <v>313</v>
      </c>
      <c r="E21" t="s">
        <v>218</v>
      </c>
      <c r="F21" t="n">
        <v>14659.5855372916</v>
      </c>
      <c r="G21" t="n">
        <v>15023.6034491618</v>
      </c>
      <c r="H21" t="n">
        <v>15446.5910331866</v>
      </c>
      <c r="I21" t="n">
        <v>15928.2108757514</v>
      </c>
      <c r="J21" t="n">
        <v>16464.544040886</v>
      </c>
      <c r="K21" t="n">
        <v>16909.2446269136</v>
      </c>
      <c r="L21" t="n">
        <v>17156.1668199267</v>
      </c>
      <c r="M21" t="n">
        <v>17061.1990186948</v>
      </c>
      <c r="N21" t="n">
        <v>17112.9074413536</v>
      </c>
      <c r="O21" t="n">
        <v>17150.8573706745</v>
      </c>
      <c r="P21" t="n">
        <v>17269.8612463047</v>
      </c>
      <c r="Q21" t="n">
        <v>17333.3835283268</v>
      </c>
      <c r="R21" t="n">
        <v>17415.8976496883</v>
      </c>
      <c r="S21" t="n">
        <v>17712.411849357</v>
      </c>
      <c r="T21" t="n">
        <v>18076.3467753518</v>
      </c>
      <c r="U21" t="n">
        <v>18349.4057346693</v>
      </c>
      <c r="V21" t="n">
        <v>17857.9750584969</v>
      </c>
      <c r="W21" t="n">
        <v>17890.410005358</v>
      </c>
      <c r="X21" t="n">
        <v>17726.0762819153</v>
      </c>
      <c r="Y21" t="n">
        <v>17910.0613486515</v>
      </c>
      <c r="Z21" t="n">
        <v>17781.8681916741</v>
      </c>
      <c r="AA21" t="n">
        <v>18037.5243152018</v>
      </c>
      <c r="AB21" t="n">
        <v>18108.3515079345</v>
      </c>
      <c r="AC21" t="n">
        <v>17642.0711666187</v>
      </c>
      <c r="AD21" t="n">
        <v>17151.1404263216</v>
      </c>
      <c r="AE21" t="n">
        <v>16689.1</v>
      </c>
      <c r="AF21" t="n">
        <v>16244.3</v>
      </c>
    </row>
    <row r="22">
      <c r="A22" t="s">
        <v>146</v>
      </c>
      <c r="B22" t="s">
        <v>314</v>
      </c>
      <c r="C22" t="s">
        <v>217</v>
      </c>
      <c r="D22" t="s">
        <v>315</v>
      </c>
      <c r="E22" t="s">
        <v>218</v>
      </c>
      <c r="F22" t="n">
        <v>6356.30005864431</v>
      </c>
      <c r="G22" t="n">
        <v>6148.02424738199</v>
      </c>
      <c r="H22" t="n">
        <v>5949.20884008614</v>
      </c>
      <c r="I22" t="n">
        <v>5759.55720406571</v>
      </c>
      <c r="J22" t="n">
        <v>5578.6857076577</v>
      </c>
      <c r="K22" t="n">
        <v>5402.46918439458</v>
      </c>
      <c r="L22" t="n">
        <v>5251.37254195339</v>
      </c>
      <c r="M22" t="n">
        <v>5060.89454546944</v>
      </c>
      <c r="N22" t="n">
        <v>4941.69086293564</v>
      </c>
      <c r="O22" t="n">
        <v>4794.59797663452</v>
      </c>
      <c r="P22" t="n">
        <v>4751.43537256775</v>
      </c>
      <c r="Q22" t="n">
        <v>4697.04649539117</v>
      </c>
      <c r="R22" t="n">
        <v>4678.02864624081</v>
      </c>
      <c r="S22" t="n">
        <v>4709.53743503898</v>
      </c>
      <c r="T22" t="n">
        <v>4757.05391877736</v>
      </c>
      <c r="U22" t="n">
        <v>4825.59374999727</v>
      </c>
      <c r="V22" t="n">
        <v>4770.74249795129</v>
      </c>
      <c r="W22" t="n">
        <v>4736.03531456195</v>
      </c>
      <c r="X22" t="n">
        <v>4757.09246320335</v>
      </c>
      <c r="Y22" t="n">
        <v>4880.23911457888</v>
      </c>
      <c r="Z22" t="n">
        <v>4979.33413350117</v>
      </c>
      <c r="AA22" t="n">
        <v>4987.75923699894</v>
      </c>
      <c r="AB22" t="n">
        <v>4960.2735317097</v>
      </c>
      <c r="AC22" t="n">
        <v>4943.40524800761</v>
      </c>
      <c r="AD22" t="n">
        <v>4882.93545904116</v>
      </c>
      <c r="AE22" t="n">
        <v>4827.3</v>
      </c>
      <c r="AF22" t="n">
        <v>4771.8</v>
      </c>
    </row>
    <row r="23">
      <c r="A23" t="s">
        <v>146</v>
      </c>
      <c r="B23" t="s">
        <v>316</v>
      </c>
      <c r="C23" t="s">
        <v>217</v>
      </c>
      <c r="D23" t="s">
        <v>317</v>
      </c>
      <c r="E23" t="s">
        <v>218</v>
      </c>
      <c r="F23" t="n">
        <v>3320.58544061126</v>
      </c>
      <c r="G23" t="n">
        <v>3206.04536481538</v>
      </c>
      <c r="H23" t="n">
        <v>3098.62534194916</v>
      </c>
      <c r="I23" t="n">
        <v>2998.08668509732</v>
      </c>
      <c r="J23" t="n">
        <v>2904.00992738713</v>
      </c>
      <c r="K23" t="n">
        <v>2811.60215526729</v>
      </c>
      <c r="L23" t="n">
        <v>2816.68183395793</v>
      </c>
      <c r="M23" t="n">
        <v>2729.49076513298</v>
      </c>
      <c r="N23" t="n">
        <v>2873.58182539749</v>
      </c>
      <c r="O23" t="n">
        <v>2850.48628233053</v>
      </c>
      <c r="P23" t="n">
        <v>2927.65460531348</v>
      </c>
      <c r="Q23" t="n">
        <v>2886.01858964185</v>
      </c>
      <c r="R23" t="n">
        <v>2896.28911843061</v>
      </c>
      <c r="S23" t="n">
        <v>2819.0259016193</v>
      </c>
      <c r="T23" t="n">
        <v>2714.40156291364</v>
      </c>
      <c r="U23" t="n">
        <v>2612.00208579006</v>
      </c>
      <c r="V23" t="n">
        <v>2495.43557229057</v>
      </c>
      <c r="W23" t="n">
        <v>2659.33953533877</v>
      </c>
      <c r="X23" t="n">
        <v>3150.96911555549</v>
      </c>
      <c r="Y23" t="n">
        <v>3124.41445103626</v>
      </c>
      <c r="Z23" t="n">
        <v>3109.25710861934</v>
      </c>
      <c r="AA23" t="n">
        <v>3071.62497416887</v>
      </c>
      <c r="AB23" t="n">
        <v>3012.9441947655</v>
      </c>
      <c r="AC23" t="n">
        <v>2959.02036256434</v>
      </c>
      <c r="AD23" t="n">
        <v>2925.79194575714</v>
      </c>
      <c r="AE23" t="n">
        <v>2917.4</v>
      </c>
      <c r="AF23" t="n">
        <v>2914.5</v>
      </c>
    </row>
    <row r="24">
      <c r="A24" t="s">
        <v>146</v>
      </c>
      <c r="B24" t="s">
        <v>318</v>
      </c>
      <c r="C24" t="s">
        <v>217</v>
      </c>
      <c r="D24" t="s">
        <v>319</v>
      </c>
      <c r="E24" t="s">
        <v>218</v>
      </c>
      <c r="F24" t="n">
        <v>8571.82863236749</v>
      </c>
      <c r="G24" t="n">
        <v>8729.50692108661</v>
      </c>
      <c r="H24" t="n">
        <v>8917.54836791324</v>
      </c>
      <c r="I24" t="n">
        <v>9135.82235086256</v>
      </c>
      <c r="J24" t="n">
        <v>9382.48759758867</v>
      </c>
      <c r="K24" t="n">
        <v>9585.35998866057</v>
      </c>
      <c r="L24" t="n">
        <v>9377.65697319502</v>
      </c>
      <c r="M24" t="n">
        <v>9992.3601508011</v>
      </c>
      <c r="N24" t="n">
        <v>9876.9496546053</v>
      </c>
      <c r="O24" t="n">
        <v>9915.37948204398</v>
      </c>
      <c r="P24" t="n">
        <v>10167.2648058082</v>
      </c>
      <c r="Q24" t="n">
        <v>10221.4942490981</v>
      </c>
      <c r="R24" t="n">
        <v>10404.5535619625</v>
      </c>
      <c r="S24" t="n">
        <v>10922.5872974236</v>
      </c>
      <c r="T24" t="n">
        <v>11109.9678209684</v>
      </c>
      <c r="U24" t="n">
        <v>11466.5733236303</v>
      </c>
      <c r="V24" t="n">
        <v>11794.0218333883</v>
      </c>
      <c r="W24" t="n">
        <v>12017.4239998192</v>
      </c>
      <c r="X24" t="n">
        <v>12081.9534433762</v>
      </c>
      <c r="Y24" t="n">
        <v>12108.6864880378</v>
      </c>
      <c r="Z24" t="n">
        <v>11997.16036672</v>
      </c>
      <c r="AA24" t="n">
        <v>11932.6774182197</v>
      </c>
      <c r="AB24" t="n">
        <v>11804.6561573144</v>
      </c>
      <c r="AC24" t="n">
        <v>11982.204321218</v>
      </c>
      <c r="AD24" t="n">
        <v>12113.1280173574</v>
      </c>
      <c r="AE24" t="n">
        <v>12248.3</v>
      </c>
      <c r="AF24" t="n">
        <v>12404.2</v>
      </c>
    </row>
    <row r="25">
      <c r="A25" t="s">
        <v>146</v>
      </c>
      <c r="B25" t="s">
        <v>320</v>
      </c>
      <c r="C25" t="s">
        <v>217</v>
      </c>
      <c r="D25" t="s">
        <v>321</v>
      </c>
      <c r="E25" t="s">
        <v>218</v>
      </c>
      <c r="F25" t="n">
        <v>247.982024566808</v>
      </c>
      <c r="G25" t="n">
        <v>279.407192486305</v>
      </c>
      <c r="H25" t="n">
        <v>312.881030098176</v>
      </c>
      <c r="I25" t="n">
        <v>348.498213533693</v>
      </c>
      <c r="J25" t="n">
        <v>386.106921886679</v>
      </c>
      <c r="K25" t="n">
        <v>419.307619863232</v>
      </c>
      <c r="L25" t="n">
        <v>416.106798337558</v>
      </c>
      <c r="M25" t="n">
        <v>517.278349842662</v>
      </c>
      <c r="N25" t="n">
        <v>532.115383741316</v>
      </c>
      <c r="O25" t="n">
        <v>575.880950242609</v>
      </c>
      <c r="P25" t="n">
        <v>718.416829116879</v>
      </c>
      <c r="Q25" t="n">
        <v>755.047746823654</v>
      </c>
      <c r="R25" t="n">
        <v>815.596032655039</v>
      </c>
      <c r="S25" t="n">
        <v>881.974451744037</v>
      </c>
      <c r="T25" t="n">
        <v>983.618811747929</v>
      </c>
      <c r="U25" t="n">
        <v>967.415587393898</v>
      </c>
      <c r="V25" t="n">
        <v>1018.54915833231</v>
      </c>
      <c r="W25" t="n">
        <v>1038.57222931536</v>
      </c>
      <c r="X25" t="n">
        <v>1058.26080238295</v>
      </c>
      <c r="Y25" t="n">
        <v>1080.66322201698</v>
      </c>
      <c r="Z25" t="n">
        <v>1062.36143683331</v>
      </c>
      <c r="AA25" t="n">
        <v>1075.19993759209</v>
      </c>
      <c r="AB25" t="n">
        <v>1078.08918872164</v>
      </c>
      <c r="AC25" t="n">
        <v>1158.47653560205</v>
      </c>
      <c r="AD25" t="n">
        <v>1186.13273799771</v>
      </c>
      <c r="AE25" t="n">
        <v>1219.4</v>
      </c>
      <c r="AF25" t="n">
        <v>1255.1</v>
      </c>
    </row>
    <row r="26">
      <c r="A26" t="s">
        <v>146</v>
      </c>
      <c r="B26" t="s">
        <v>322</v>
      </c>
      <c r="C26" t="s">
        <v>217</v>
      </c>
      <c r="D26" t="s">
        <v>323</v>
      </c>
      <c r="E26" t="s">
        <v>218</v>
      </c>
      <c r="F26" t="n">
        <v>2369.00883000099</v>
      </c>
      <c r="G26" t="n">
        <v>2473.88964082258</v>
      </c>
      <c r="H26" t="n">
        <v>2590.0019271192</v>
      </c>
      <c r="I26" t="n">
        <v>2717.51304236552</v>
      </c>
      <c r="J26" t="n">
        <v>2855.50819056682</v>
      </c>
      <c r="K26" t="n">
        <v>2974.21317264661</v>
      </c>
      <c r="L26" t="n">
        <v>2941.37653300291</v>
      </c>
      <c r="M26" t="n">
        <v>3309.82112813358</v>
      </c>
      <c r="N26" t="n">
        <v>3289.92516729907</v>
      </c>
      <c r="O26" t="n">
        <v>3386.23389099297</v>
      </c>
      <c r="P26" t="n">
        <v>3481.36435898266</v>
      </c>
      <c r="Q26" t="n">
        <v>3580.69028513691</v>
      </c>
      <c r="R26" t="n">
        <v>3675.79576016799</v>
      </c>
      <c r="S26" t="n">
        <v>4048.05793388924</v>
      </c>
      <c r="T26" t="n">
        <v>4224.47736296344</v>
      </c>
      <c r="U26" t="n">
        <v>4640.59032243274</v>
      </c>
      <c r="V26" t="n">
        <v>4849.82026402995</v>
      </c>
      <c r="W26" t="n">
        <v>5052.92279376612</v>
      </c>
      <c r="X26" t="n">
        <v>5102.13868649232</v>
      </c>
      <c r="Y26" t="n">
        <v>5069.32276287188</v>
      </c>
      <c r="Z26" t="n">
        <v>5027.7639052555</v>
      </c>
      <c r="AA26" t="n">
        <v>4977.4931257635</v>
      </c>
      <c r="AB26" t="n">
        <v>4905.86376889093</v>
      </c>
      <c r="AC26" t="n">
        <v>4935.8201932888</v>
      </c>
      <c r="AD26" t="n">
        <v>4962.979440936</v>
      </c>
      <c r="AE26" t="n">
        <v>5046.5</v>
      </c>
      <c r="AF26" t="n">
        <v>5138.6</v>
      </c>
    </row>
    <row r="27">
      <c r="A27" t="s">
        <v>146</v>
      </c>
      <c r="B27" t="s">
        <v>324</v>
      </c>
      <c r="C27" t="s">
        <v>217</v>
      </c>
      <c r="D27" t="s">
        <v>325</v>
      </c>
      <c r="E27" t="s">
        <v>218</v>
      </c>
      <c r="F27" t="n">
        <v>5861.4597818613</v>
      </c>
      <c r="G27" t="n">
        <v>5886.3861964076</v>
      </c>
      <c r="H27" t="n">
        <v>5928.28800494551</v>
      </c>
      <c r="I27" t="n">
        <v>5986.80221562856</v>
      </c>
      <c r="J27" t="n">
        <v>6061.15137495748</v>
      </c>
      <c r="K27" t="n">
        <v>6115.26782574979</v>
      </c>
      <c r="L27" t="n">
        <v>5946.57005558945</v>
      </c>
      <c r="M27" t="n">
        <v>6101.4084363437</v>
      </c>
      <c r="N27" t="n">
        <v>5995.63584483774</v>
      </c>
      <c r="O27" t="n">
        <v>5901.84564626646</v>
      </c>
      <c r="P27" t="n">
        <v>5937.48704690978</v>
      </c>
      <c r="Q27" t="n">
        <v>5862.08596960366</v>
      </c>
      <c r="R27" t="n">
        <v>5897.65931928278</v>
      </c>
      <c r="S27" t="n">
        <v>5982.42971864844</v>
      </c>
      <c r="T27" t="n">
        <v>5907.79134519825</v>
      </c>
      <c r="U27" t="n">
        <v>5858.5633117106</v>
      </c>
      <c r="V27" t="n">
        <v>5925.64911010685</v>
      </c>
      <c r="W27" t="n">
        <v>5925.92089147227</v>
      </c>
      <c r="X27" t="n">
        <v>5921.54597102391</v>
      </c>
      <c r="Y27" t="n">
        <v>5958.69621428817</v>
      </c>
      <c r="Z27" t="n">
        <v>5907.03066720539</v>
      </c>
      <c r="AA27" t="n">
        <v>5879.98229782922</v>
      </c>
      <c r="AB27" t="n">
        <v>5820.70225670264</v>
      </c>
      <c r="AC27" t="n">
        <v>5887.9087592205</v>
      </c>
      <c r="AD27" t="n">
        <v>5964.01720774883</v>
      </c>
      <c r="AE27" t="n">
        <v>5982.4</v>
      </c>
      <c r="AF27" t="n">
        <v>6010.5</v>
      </c>
    </row>
    <row r="28">
      <c r="A28" t="s">
        <v>146</v>
      </c>
      <c r="B28" t="s">
        <v>326</v>
      </c>
      <c r="C28" t="s">
        <v>217</v>
      </c>
      <c r="D28" t="s">
        <v>327</v>
      </c>
      <c r="E28" t="s">
        <v>218</v>
      </c>
      <c r="F28" t="n">
        <v>3854.07393782044</v>
      </c>
      <c r="G28" t="n">
        <v>4370.06213392882</v>
      </c>
      <c r="H28" t="n">
        <v>4920.32715353262</v>
      </c>
      <c r="I28" t="n">
        <v>5504.74784212781</v>
      </c>
      <c r="J28" t="n">
        <v>6120.71542593243</v>
      </c>
      <c r="K28" t="n">
        <v>6662.27602378565</v>
      </c>
      <c r="L28" t="n">
        <v>7780.93895804893</v>
      </c>
      <c r="M28" t="n">
        <v>8787.29755651531</v>
      </c>
      <c r="N28" t="n">
        <v>10296.5494385638</v>
      </c>
      <c r="O28" t="n">
        <v>11803.861915628</v>
      </c>
      <c r="P28" t="n">
        <v>12549.9622230377</v>
      </c>
      <c r="Q28" t="n">
        <v>13232.2368318135</v>
      </c>
      <c r="R28" t="n">
        <v>13582.6163398529</v>
      </c>
      <c r="S28" t="n">
        <v>14136.0752320813</v>
      </c>
      <c r="T28" t="n">
        <v>14337.5394871704</v>
      </c>
      <c r="U28" t="n">
        <v>14252.1938672128</v>
      </c>
      <c r="V28" t="n">
        <v>14104.1710571698</v>
      </c>
      <c r="W28" t="n">
        <v>13966.2883286889</v>
      </c>
      <c r="X28" t="n">
        <v>13701.8843867854</v>
      </c>
      <c r="Y28" t="n">
        <v>13471.155202912</v>
      </c>
      <c r="Z28" t="n">
        <v>13504.7086951597</v>
      </c>
      <c r="AA28" t="n">
        <v>13664.1525545771</v>
      </c>
      <c r="AB28" t="n">
        <v>13536.5284073058</v>
      </c>
      <c r="AC28" t="n">
        <v>13420.9911875055</v>
      </c>
      <c r="AD28" t="n">
        <v>13268.7738671431</v>
      </c>
      <c r="AE28" t="n">
        <v>12917.7</v>
      </c>
      <c r="AF28" t="n">
        <v>12671.9</v>
      </c>
    </row>
    <row r="29">
      <c r="A29" t="s">
        <v>146</v>
      </c>
      <c r="B29" t="s">
        <v>328</v>
      </c>
      <c r="C29" t="s">
        <v>217</v>
      </c>
      <c r="D29" t="s">
        <v>329</v>
      </c>
      <c r="E29" t="s">
        <v>218</v>
      </c>
      <c r="F29" t="n">
        <v>3283.25131778251</v>
      </c>
      <c r="G29" t="n">
        <v>3725.47073337314</v>
      </c>
      <c r="H29" t="n">
        <v>4196.88601935758</v>
      </c>
      <c r="I29" t="n">
        <v>4697.3044382555</v>
      </c>
      <c r="J29" t="n">
        <v>5224.64300814829</v>
      </c>
      <c r="K29" t="n">
        <v>5688.05612204344</v>
      </c>
      <c r="L29" t="n">
        <v>6568.8267242214</v>
      </c>
      <c r="M29" t="n">
        <v>7439.96368054658</v>
      </c>
      <c r="N29" t="n">
        <v>8866.29542519287</v>
      </c>
      <c r="O29" t="n">
        <v>10246.5300487352</v>
      </c>
      <c r="P29" t="n">
        <v>10965.8337143724</v>
      </c>
      <c r="Q29" t="n">
        <v>11620.8391311072</v>
      </c>
      <c r="R29" t="n">
        <v>11992.5626169176</v>
      </c>
      <c r="S29" t="n">
        <v>12549.7502257972</v>
      </c>
      <c r="T29" t="n">
        <v>12769.8553507989</v>
      </c>
      <c r="U29" t="n">
        <v>12705.2270646358</v>
      </c>
      <c r="V29" t="n">
        <v>12516.6072010435</v>
      </c>
      <c r="W29" t="n">
        <v>12419.1304931339</v>
      </c>
      <c r="X29" t="n">
        <v>12164.4847275773</v>
      </c>
      <c r="Y29" t="n">
        <v>11938.2776324052</v>
      </c>
      <c r="Z29" t="n">
        <v>11949.1441302023</v>
      </c>
      <c r="AA29" t="n">
        <v>12107.6049865552</v>
      </c>
      <c r="AB29" t="n">
        <v>11989.4479922817</v>
      </c>
      <c r="AC29" t="n">
        <v>11756.6790482097</v>
      </c>
      <c r="AD29" t="n">
        <v>11476.6207304973</v>
      </c>
      <c r="AE29" t="n">
        <v>11176.5</v>
      </c>
      <c r="AF29" t="n">
        <v>10979</v>
      </c>
    </row>
    <row r="30">
      <c r="A30" t="s">
        <v>146</v>
      </c>
      <c r="B30" t="s">
        <v>330</v>
      </c>
      <c r="C30" t="s">
        <v>217</v>
      </c>
      <c r="D30" t="s">
        <v>331</v>
      </c>
      <c r="E30" t="s">
        <v>218</v>
      </c>
      <c r="F30" t="n">
        <v>13.6763004460551</v>
      </c>
      <c r="G30" t="n">
        <v>13.5323393887282</v>
      </c>
      <c r="H30" t="n">
        <v>13.2616926009536</v>
      </c>
      <c r="I30" t="n">
        <v>13.1341763259445</v>
      </c>
      <c r="J30" t="n">
        <v>13.1341763259445</v>
      </c>
      <c r="K30" t="n">
        <v>12.8996374629812</v>
      </c>
      <c r="L30" t="n">
        <v>13.465411035919</v>
      </c>
      <c r="M30" t="n">
        <v>13.0275114900354</v>
      </c>
      <c r="N30" t="n">
        <v>12.6072691839052</v>
      </c>
      <c r="O30" t="n">
        <v>12.4039261325519</v>
      </c>
      <c r="P30" t="n">
        <v>12.8008517687936</v>
      </c>
      <c r="Q30" t="n">
        <v>12.4039261325519</v>
      </c>
      <c r="R30" t="n">
        <v>12.0280495830807</v>
      </c>
      <c r="S30" t="n">
        <v>11.5654322914237</v>
      </c>
      <c r="T30" t="n">
        <v>11.2040125323167</v>
      </c>
      <c r="U30" t="n">
        <v>12.3978827201865</v>
      </c>
      <c r="V30" t="n">
        <v>21.1907073444323</v>
      </c>
      <c r="W30" t="n">
        <v>19.4627097498219</v>
      </c>
      <c r="X30" t="n">
        <v>22.9513086672429</v>
      </c>
      <c r="Y30" t="n">
        <v>24.1544014602838</v>
      </c>
      <c r="Z30" t="n">
        <v>24.7272331154684</v>
      </c>
      <c r="AA30" t="n">
        <v>26.6897119341564</v>
      </c>
      <c r="AB30" t="n">
        <v>27.9892110170928</v>
      </c>
      <c r="AC30" t="n">
        <v>26.6897119341564</v>
      </c>
      <c r="AD30" t="n">
        <v>24.2</v>
      </c>
      <c r="AE30" t="n">
        <v>21.4</v>
      </c>
      <c r="AF30" t="n">
        <v>18.5</v>
      </c>
    </row>
    <row r="31">
      <c r="A31" t="s">
        <v>146</v>
      </c>
      <c r="B31" t="s">
        <v>332</v>
      </c>
      <c r="C31" t="s">
        <v>217</v>
      </c>
      <c r="D31" t="s">
        <v>333</v>
      </c>
      <c r="E31" t="s">
        <v>218</v>
      </c>
      <c r="F31" t="n">
        <v>170.742292688297</v>
      </c>
      <c r="G31" t="n">
        <v>165.621371518482</v>
      </c>
      <c r="H31" t="n">
        <v>160.813417265081</v>
      </c>
      <c r="I31" t="n">
        <v>156.14000200924</v>
      </c>
      <c r="J31" t="n">
        <v>151.711303770433</v>
      </c>
      <c r="K31" t="n">
        <v>147.442370980356</v>
      </c>
      <c r="L31" t="n">
        <v>152.208826938772</v>
      </c>
      <c r="M31" t="n">
        <v>250.805637911257</v>
      </c>
      <c r="N31" t="n">
        <v>244.127962352147</v>
      </c>
      <c r="O31" t="n">
        <v>236.006288457849</v>
      </c>
      <c r="P31" t="n">
        <v>228.095983048181</v>
      </c>
      <c r="Q31" t="n">
        <v>220.449265709689</v>
      </c>
      <c r="R31" t="n">
        <v>213.68378405977</v>
      </c>
      <c r="S31" t="n">
        <v>206.494585001416</v>
      </c>
      <c r="T31" t="n">
        <v>199.557855804318</v>
      </c>
      <c r="U31" t="n">
        <v>192.943152878389</v>
      </c>
      <c r="V31" t="n">
        <v>185.836106319431</v>
      </c>
      <c r="W31" t="n">
        <v>181.575473637961</v>
      </c>
      <c r="X31" t="n">
        <v>177.197963474916</v>
      </c>
      <c r="Y31" t="n">
        <v>175.537597341367</v>
      </c>
      <c r="Z31" t="n">
        <v>169.336540913547</v>
      </c>
      <c r="AA31" t="n">
        <v>163.253768296722</v>
      </c>
      <c r="AB31" t="n">
        <v>157.369851174238</v>
      </c>
      <c r="AC31" t="n">
        <v>152.673734980467</v>
      </c>
      <c r="AD31" t="n">
        <v>147.796933797909</v>
      </c>
      <c r="AE31" t="n">
        <v>143.4</v>
      </c>
      <c r="AF31" t="n">
        <v>139.2</v>
      </c>
    </row>
    <row r="32">
      <c r="A32" t="s">
        <v>146</v>
      </c>
      <c r="B32" t="s">
        <v>334</v>
      </c>
      <c r="C32" t="s">
        <v>217</v>
      </c>
      <c r="D32" t="s">
        <v>335</v>
      </c>
      <c r="E32" t="s">
        <v>218</v>
      </c>
      <c r="F32" t="n">
        <v>291.898408025752</v>
      </c>
      <c r="G32" t="n">
        <v>308.738700796468</v>
      </c>
      <c r="H32" t="n">
        <v>327.413627088547</v>
      </c>
      <c r="I32" t="n">
        <v>347.671899439995</v>
      </c>
      <c r="J32" t="n">
        <v>369.316842595793</v>
      </c>
      <c r="K32" t="n">
        <v>388.089036501121</v>
      </c>
      <c r="L32" t="n">
        <v>433.635246571636</v>
      </c>
      <c r="M32" t="n">
        <v>444.641217296804</v>
      </c>
      <c r="N32" t="n">
        <v>513.992148874133</v>
      </c>
      <c r="O32" t="n">
        <v>649.971918168928</v>
      </c>
      <c r="P32" t="n">
        <v>709.271880007328</v>
      </c>
      <c r="Q32" t="n">
        <v>760.132459472391</v>
      </c>
      <c r="R32" t="n">
        <v>760.132459472391</v>
      </c>
      <c r="S32" t="n">
        <v>782.929212565538</v>
      </c>
      <c r="T32" t="n">
        <v>790.08247136005</v>
      </c>
      <c r="U32" t="n">
        <v>794.175632719252</v>
      </c>
      <c r="V32" t="n">
        <v>850.313517073165</v>
      </c>
      <c r="W32" t="n">
        <v>832.555237973927</v>
      </c>
      <c r="X32" t="n">
        <v>840.668389860458</v>
      </c>
      <c r="Y32" t="n">
        <v>849.151607132275</v>
      </c>
      <c r="Z32" t="n">
        <v>882.999442359309</v>
      </c>
      <c r="AA32" t="n">
        <v>901.131854040569</v>
      </c>
      <c r="AB32" t="n">
        <v>909.401861104408</v>
      </c>
      <c r="AC32" t="n">
        <v>1046.02186395866</v>
      </c>
      <c r="AD32" t="n">
        <v>1192.07095053763</v>
      </c>
      <c r="AE32" t="n">
        <v>1161.4</v>
      </c>
      <c r="AF32" t="n">
        <v>1132.7</v>
      </c>
    </row>
    <row r="33">
      <c r="A33" t="s">
        <v>146</v>
      </c>
      <c r="B33" t="s">
        <v>336</v>
      </c>
      <c r="C33" t="s">
        <v>217</v>
      </c>
      <c r="D33" t="s">
        <v>337</v>
      </c>
      <c r="E33" t="s">
        <v>218</v>
      </c>
      <c r="F33" t="n">
        <v>106.054060837058</v>
      </c>
      <c r="G33" t="n">
        <v>166.07958257986</v>
      </c>
      <c r="H33" t="n">
        <v>229.101416577845</v>
      </c>
      <c r="I33" t="n">
        <v>295.344728051815</v>
      </c>
      <c r="J33" t="n">
        <v>364.390770041664</v>
      </c>
      <c r="K33" t="n">
        <v>426.124138879307</v>
      </c>
      <c r="L33" t="n">
        <v>609.005498408258</v>
      </c>
      <c r="M33" t="n">
        <v>627.553369047985</v>
      </c>
      <c r="N33" t="n">
        <v>646.56419877867</v>
      </c>
      <c r="O33" t="n">
        <v>654.667701712345</v>
      </c>
      <c r="P33" t="n">
        <v>633.120970715429</v>
      </c>
      <c r="Q33" t="n">
        <v>620.095704602253</v>
      </c>
      <c r="R33" t="n">
        <v>603.350578124234</v>
      </c>
      <c r="S33" t="n">
        <v>583.820754197555</v>
      </c>
      <c r="T33" t="n">
        <v>565.083121201768</v>
      </c>
      <c r="U33" t="n">
        <v>547.338551103351</v>
      </c>
      <c r="V33" t="n">
        <v>530.157520351228</v>
      </c>
      <c r="W33" t="n">
        <v>513.493874340871</v>
      </c>
      <c r="X33" t="n">
        <v>496.547483172063</v>
      </c>
      <c r="Y33" t="n">
        <v>484.016316404314</v>
      </c>
      <c r="Z33" t="n">
        <v>478.489057819661</v>
      </c>
      <c r="AA33" t="n">
        <v>465.458950389274</v>
      </c>
      <c r="AB33" t="n">
        <v>452.310955214571</v>
      </c>
      <c r="AC33" t="n">
        <v>438.931337554802</v>
      </c>
      <c r="AD33" t="n">
        <v>428.087385652383</v>
      </c>
      <c r="AE33" t="n">
        <v>415</v>
      </c>
      <c r="AF33" t="n">
        <v>402.5</v>
      </c>
    </row>
    <row r="34">
      <c r="A34" t="s">
        <v>146</v>
      </c>
      <c r="B34" t="s">
        <v>338</v>
      </c>
      <c r="C34" t="s">
        <v>217</v>
      </c>
      <c r="D34" t="s">
        <v>339</v>
      </c>
      <c r="E34" t="s">
        <v>218</v>
      </c>
      <c r="F34" t="n">
        <v>10011.0758724532</v>
      </c>
      <c r="G34" t="n">
        <v>9922.85852890028</v>
      </c>
      <c r="H34" t="n">
        <v>9857.32248955385</v>
      </c>
      <c r="I34" t="n">
        <v>9814.21933281933</v>
      </c>
      <c r="J34" t="n">
        <v>9792.2675031615</v>
      </c>
      <c r="K34" t="n">
        <v>9751.42184842267</v>
      </c>
      <c r="L34" t="n">
        <v>9670.62460200126</v>
      </c>
      <c r="M34" t="n">
        <v>9408.44336463323</v>
      </c>
      <c r="N34" t="n">
        <v>9424.99579776632</v>
      </c>
      <c r="O34" t="n">
        <v>9485.29031755032</v>
      </c>
      <c r="P34" t="n">
        <v>9292.90392102999</v>
      </c>
      <c r="Q34" t="n">
        <v>9162.94261992009</v>
      </c>
      <c r="R34" t="n">
        <v>9216.14307339419</v>
      </c>
      <c r="S34" t="n">
        <v>9354.8468234386</v>
      </c>
      <c r="T34" t="n">
        <v>9323.2808025337</v>
      </c>
      <c r="U34" t="n">
        <v>9130.30067186607</v>
      </c>
      <c r="V34" t="n">
        <v>8966.12890298956</v>
      </c>
      <c r="W34" t="n">
        <v>8752.05214564368</v>
      </c>
      <c r="X34" t="n">
        <v>8570.85325720624</v>
      </c>
      <c r="Y34" t="n">
        <v>8524.76001907686</v>
      </c>
      <c r="Z34" t="n">
        <v>8533.52985796307</v>
      </c>
      <c r="AA34" t="n">
        <v>8498.64192395714</v>
      </c>
      <c r="AB34" t="n">
        <v>8416.14921545877</v>
      </c>
      <c r="AC34" t="n">
        <v>8436.12109304647</v>
      </c>
      <c r="AD34" t="n">
        <v>8565.45452175726</v>
      </c>
      <c r="AE34" t="n">
        <v>8623.5</v>
      </c>
      <c r="AF34" t="n">
        <v>8695.9</v>
      </c>
    </row>
    <row r="35">
      <c r="A35" t="s">
        <v>146</v>
      </c>
      <c r="B35" t="s">
        <v>340</v>
      </c>
      <c r="C35" t="s">
        <v>217</v>
      </c>
      <c r="D35" t="s">
        <v>341</v>
      </c>
      <c r="E35" t="s">
        <v>218</v>
      </c>
      <c r="F35" t="n">
        <v>10434.2511821852</v>
      </c>
      <c r="G35" t="n">
        <v>10787.8358243083</v>
      </c>
      <c r="H35" t="n">
        <v>11186.2813734305</v>
      </c>
      <c r="I35" t="n">
        <v>11632.808778564</v>
      </c>
      <c r="J35" t="n">
        <v>12123.1478896286</v>
      </c>
      <c r="K35" t="n">
        <v>12540.4020379615</v>
      </c>
      <c r="L35" t="n">
        <v>14157.3856369456</v>
      </c>
      <c r="M35" t="n">
        <v>14163.9838636526</v>
      </c>
      <c r="N35" t="n">
        <v>14261.9317389984</v>
      </c>
      <c r="O35" t="n">
        <v>14290.5799395646</v>
      </c>
      <c r="P35" t="n">
        <v>14449.7765767061</v>
      </c>
      <c r="Q35" t="n">
        <v>14018.6741716316</v>
      </c>
      <c r="R35" t="n">
        <v>13605.9384478265</v>
      </c>
      <c r="S35" t="n">
        <v>13189.2309085712</v>
      </c>
      <c r="T35" t="n">
        <v>12770.0375624987</v>
      </c>
      <c r="U35" t="n">
        <v>12341.4716383173</v>
      </c>
      <c r="V35" t="n">
        <v>12166.9650866625</v>
      </c>
      <c r="W35" t="n">
        <v>11949.9049220535</v>
      </c>
      <c r="X35" t="n">
        <v>11620.1530590957</v>
      </c>
      <c r="Y35" t="n">
        <v>11359.6516070375</v>
      </c>
      <c r="Z35" t="n">
        <v>11160.9983054593</v>
      </c>
      <c r="AA35" t="n">
        <v>11005.4726635062</v>
      </c>
      <c r="AB35" t="n">
        <v>10809.8021044048</v>
      </c>
      <c r="AC35" t="n">
        <v>10733.2104958832</v>
      </c>
      <c r="AD35" t="n">
        <v>10600.3934330008</v>
      </c>
      <c r="AE35" t="n">
        <v>10485.2</v>
      </c>
      <c r="AF35" t="n">
        <v>10386.8</v>
      </c>
    </row>
    <row r="36">
      <c r="A36" t="s">
        <v>146</v>
      </c>
      <c r="B36" t="s">
        <v>342</v>
      </c>
      <c r="C36" t="s">
        <v>217</v>
      </c>
      <c r="D36" t="s">
        <v>343</v>
      </c>
      <c r="E36" t="s">
        <v>218</v>
      </c>
      <c r="F36" t="n">
        <v>530.410848168521</v>
      </c>
      <c r="G36" t="n">
        <v>605.695886719942</v>
      </c>
      <c r="H36" t="n">
        <v>682.794171881514</v>
      </c>
      <c r="I36" t="n">
        <v>765.296358698924</v>
      </c>
      <c r="J36" t="n">
        <v>851.795602251507</v>
      </c>
      <c r="K36" t="n">
        <v>928.790155875218</v>
      </c>
      <c r="L36" t="n">
        <v>982.490381702742</v>
      </c>
      <c r="M36" t="n">
        <v>1058.18334929971</v>
      </c>
      <c r="N36" t="n">
        <v>1211.02629460767</v>
      </c>
      <c r="O36" t="n">
        <v>1396.04980546326</v>
      </c>
      <c r="P36" t="n">
        <v>1387.6961107456</v>
      </c>
      <c r="Q36" t="n">
        <v>1394.78523519385</v>
      </c>
      <c r="R36" t="n">
        <v>1399.51772451558</v>
      </c>
      <c r="S36" t="n">
        <v>1399.1518614414</v>
      </c>
      <c r="T36" t="n">
        <v>1388.52041571561</v>
      </c>
      <c r="U36" t="n">
        <v>1343.33134454672</v>
      </c>
      <c r="V36" t="n">
        <v>1372.70959238738</v>
      </c>
      <c r="W36" t="n">
        <v>1413.19795845779</v>
      </c>
      <c r="X36" t="n">
        <v>1383.39557664329</v>
      </c>
      <c r="Y36" t="n">
        <v>1362.93087230433</v>
      </c>
      <c r="Z36" t="n">
        <v>1363.21682185443</v>
      </c>
      <c r="AA36" t="n">
        <v>1334.79809722372</v>
      </c>
      <c r="AB36" t="n">
        <v>1303.41569681877</v>
      </c>
      <c r="AC36" t="n">
        <v>1261.27661583681</v>
      </c>
      <c r="AD36" t="n">
        <v>1220.58706418219</v>
      </c>
      <c r="AE36" t="n">
        <v>1206.4</v>
      </c>
      <c r="AF36" t="n">
        <v>1194.2</v>
      </c>
    </row>
    <row r="37">
      <c r="A37" t="s">
        <v>146</v>
      </c>
      <c r="B37" t="s">
        <v>344</v>
      </c>
      <c r="C37" t="s">
        <v>217</v>
      </c>
      <c r="D37" t="s">
        <v>345</v>
      </c>
      <c r="E37" t="s">
        <v>218</v>
      </c>
      <c r="F37" t="n">
        <v>9826.61034140572</v>
      </c>
      <c r="G37" t="n">
        <v>10102.0221168229</v>
      </c>
      <c r="H37" t="n">
        <v>10419.8906131804</v>
      </c>
      <c r="I37" t="n">
        <v>10780.1044203034</v>
      </c>
      <c r="J37" t="n">
        <v>11179.8060824493</v>
      </c>
      <c r="K37" t="n">
        <v>11516.5739232206</v>
      </c>
      <c r="L37" t="n">
        <v>13065.1316444725</v>
      </c>
      <c r="M37" t="n">
        <v>12992.80909093</v>
      </c>
      <c r="N37" t="n">
        <v>12935.276576945</v>
      </c>
      <c r="O37" t="n">
        <v>12779.0443224973</v>
      </c>
      <c r="P37" t="n">
        <v>12937.0870434079</v>
      </c>
      <c r="Q37" t="n">
        <v>12492.854717064</v>
      </c>
      <c r="R37" t="n">
        <v>12077.9349716759</v>
      </c>
      <c r="S37" t="n">
        <v>11660.5568224962</v>
      </c>
      <c r="T37" t="n">
        <v>11256.5556797507</v>
      </c>
      <c r="U37" t="n">
        <v>10869.615925897</v>
      </c>
      <c r="V37" t="n">
        <v>10636.4462924284</v>
      </c>
      <c r="W37" t="n">
        <v>10369.2826640556</v>
      </c>
      <c r="X37" t="n">
        <v>10067.3275487702</v>
      </c>
      <c r="Y37" t="n">
        <v>9827.01474162419</v>
      </c>
      <c r="Z37" t="n">
        <v>9613.20370025818</v>
      </c>
      <c r="AA37" t="n">
        <v>9476.78642735635</v>
      </c>
      <c r="AB37" t="n">
        <v>9306.61873162544</v>
      </c>
      <c r="AC37" t="n">
        <v>9252.29508826777</v>
      </c>
      <c r="AD37" t="n">
        <v>9137.38508131118</v>
      </c>
      <c r="AE37" t="n">
        <v>9012.6</v>
      </c>
      <c r="AF37" t="n">
        <v>8901.9</v>
      </c>
    </row>
    <row r="38">
      <c r="A38" t="s">
        <v>146</v>
      </c>
      <c r="B38" t="s">
        <v>346</v>
      </c>
      <c r="C38" t="s">
        <v>217</v>
      </c>
      <c r="D38" t="s">
        <v>347</v>
      </c>
      <c r="E38" t="s">
        <v>218</v>
      </c>
      <c r="F38" t="n">
        <v>25.624519725185</v>
      </c>
      <c r="G38" t="n">
        <v>30.3918722321962</v>
      </c>
      <c r="H38" t="n">
        <v>35.6125619407943</v>
      </c>
      <c r="I38" t="n">
        <v>41.1050466182302</v>
      </c>
      <c r="J38" t="n">
        <v>46.8094204346377</v>
      </c>
      <c r="K38" t="n">
        <v>51.830500135239</v>
      </c>
      <c r="L38" t="n">
        <v>58.0940046833041</v>
      </c>
      <c r="M38" t="n">
        <v>67.3707960070778</v>
      </c>
      <c r="N38" t="n">
        <v>79.4480661336166</v>
      </c>
      <c r="O38" t="n">
        <v>90.2110840055504</v>
      </c>
      <c r="P38" t="n">
        <v>101.797828740208</v>
      </c>
      <c r="Q38" t="n">
        <v>116.043992273145</v>
      </c>
      <c r="R38" t="n">
        <v>117.347857354866</v>
      </c>
      <c r="S38" t="n">
        <v>123.645825602827</v>
      </c>
      <c r="T38" t="n">
        <v>121.135250463683</v>
      </c>
      <c r="U38" t="n">
        <v>128.530876281466</v>
      </c>
      <c r="V38" t="n">
        <v>157.834161385909</v>
      </c>
      <c r="W38" t="n">
        <v>167.438306682641</v>
      </c>
      <c r="X38" t="n">
        <v>169.443555864469</v>
      </c>
      <c r="Y38" t="n">
        <v>169.720123148252</v>
      </c>
      <c r="Z38" t="n">
        <v>184.594471019672</v>
      </c>
      <c r="AA38" t="n">
        <v>193.902578634783</v>
      </c>
      <c r="AB38" t="n">
        <v>199.778414350988</v>
      </c>
      <c r="AC38" t="n">
        <v>219.646432569802</v>
      </c>
      <c r="AD38" t="n">
        <v>242.426791744841</v>
      </c>
      <c r="AE38" t="n">
        <v>266.2</v>
      </c>
      <c r="AF38" t="n">
        <v>290.7</v>
      </c>
    </row>
    <row r="39">
      <c r="A39" t="s">
        <v>146</v>
      </c>
      <c r="B39" t="s">
        <v>348</v>
      </c>
      <c r="C39" t="s">
        <v>217</v>
      </c>
      <c r="D39" t="s">
        <v>349</v>
      </c>
      <c r="E39" t="s">
        <v>218</v>
      </c>
      <c r="F39" t="n">
        <v>1468.4333274635</v>
      </c>
      <c r="G39" t="n">
        <v>1479.20340916848</v>
      </c>
      <c r="H39" t="n">
        <v>1494.68914083161</v>
      </c>
      <c r="I39" t="n">
        <v>1514.74203879631</v>
      </c>
      <c r="J39" t="n">
        <v>1539.28778371124</v>
      </c>
      <c r="K39" t="n">
        <v>1557.74447176533</v>
      </c>
      <c r="L39" t="n">
        <v>1571.90097409919</v>
      </c>
      <c r="M39" t="n">
        <v>1624.86190592355</v>
      </c>
      <c r="N39" t="n">
        <v>1600.82802670228</v>
      </c>
      <c r="O39" t="n">
        <v>1565.87180283704</v>
      </c>
      <c r="P39" t="n">
        <v>1591.67329769563</v>
      </c>
      <c r="Q39" t="n">
        <v>1661.76746925473</v>
      </c>
      <c r="R39" t="n">
        <v>1735.6164858163</v>
      </c>
      <c r="S39" t="n">
        <v>1772.6066296531</v>
      </c>
      <c r="T39" t="n">
        <v>1799.86287319863</v>
      </c>
      <c r="U39" t="n">
        <v>1777.00917471927</v>
      </c>
      <c r="V39" t="n">
        <v>1833.84259583462</v>
      </c>
      <c r="W39" t="n">
        <v>1799.68962154081</v>
      </c>
      <c r="X39" t="n">
        <v>2041.69610174699</v>
      </c>
      <c r="Y39" t="n">
        <v>2137.58067821196</v>
      </c>
      <c r="Z39" t="n">
        <v>2253.00965356712</v>
      </c>
      <c r="AA39" t="n">
        <v>2349.82478655791</v>
      </c>
      <c r="AB39" t="n">
        <v>2407.90541786173</v>
      </c>
      <c r="AC39" t="n">
        <v>2631.39035649129</v>
      </c>
      <c r="AD39" t="n">
        <v>2821.41476500951</v>
      </c>
      <c r="AE39" t="n">
        <v>2942</v>
      </c>
      <c r="AF39" t="n">
        <v>3068.7</v>
      </c>
    </row>
    <row r="40">
      <c r="A40" t="s">
        <v>146</v>
      </c>
      <c r="B40" t="s">
        <v>350</v>
      </c>
      <c r="C40" t="s">
        <v>217</v>
      </c>
      <c r="D40" t="s">
        <v>351</v>
      </c>
      <c r="E40" t="s">
        <v>218</v>
      </c>
      <c r="F40" t="n">
        <v>228.897772760722</v>
      </c>
      <c r="G40" t="n">
        <v>333.587451775315</v>
      </c>
      <c r="H40" t="n">
        <v>425.407305316134</v>
      </c>
      <c r="I40" t="n">
        <v>540.088417301605</v>
      </c>
      <c r="J40" t="n">
        <v>655.453563995146</v>
      </c>
      <c r="K40" t="n">
        <v>771.102995374544</v>
      </c>
      <c r="L40" t="n">
        <v>870.940214719378</v>
      </c>
      <c r="M40" t="n">
        <v>971.467993126428</v>
      </c>
      <c r="N40" t="n">
        <v>1092.73984436126</v>
      </c>
      <c r="O40" t="n">
        <v>1235.76349594539</v>
      </c>
      <c r="P40" t="n">
        <v>1191.3615451377</v>
      </c>
      <c r="Q40" t="n">
        <v>1148.37919641265</v>
      </c>
      <c r="R40" t="n">
        <v>1128.19158765252</v>
      </c>
      <c r="S40" t="n">
        <v>1260.62926560094</v>
      </c>
      <c r="T40" t="n">
        <v>1482.57626807762</v>
      </c>
      <c r="U40" t="n">
        <v>1718.69212895362</v>
      </c>
      <c r="V40" t="n">
        <v>2284.25103926201</v>
      </c>
      <c r="W40" t="n">
        <v>3009.06494986395</v>
      </c>
      <c r="X40" t="n">
        <v>3141.24939537118</v>
      </c>
      <c r="Y40" t="n">
        <v>3347.50049303615</v>
      </c>
      <c r="Z40" t="n">
        <v>3351.88540697184</v>
      </c>
      <c r="AA40" t="n">
        <v>3483.59706931052</v>
      </c>
      <c r="AB40" t="n">
        <v>3560.60961105328</v>
      </c>
      <c r="AC40" t="n">
        <v>3552.22136763482</v>
      </c>
      <c r="AD40" t="n">
        <v>3628.23024944053</v>
      </c>
      <c r="AE40" t="n">
        <v>3660.8</v>
      </c>
      <c r="AF40" t="n">
        <v>3700.5</v>
      </c>
    </row>
    <row r="41">
      <c r="A41" t="s">
        <v>146</v>
      </c>
      <c r="B41" t="s">
        <v>352</v>
      </c>
      <c r="C41" t="s">
        <v>217</v>
      </c>
      <c r="D41" t="s">
        <v>353</v>
      </c>
      <c r="E41" t="s">
        <v>218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146</v>
      </c>
      <c r="B42" t="s">
        <v>354</v>
      </c>
      <c r="C42" t="s">
        <v>217</v>
      </c>
      <c r="D42" t="s">
        <v>355</v>
      </c>
      <c r="E42" t="s">
        <v>218</v>
      </c>
      <c r="F42" t="n">
        <v>358.244822397164</v>
      </c>
      <c r="G42" t="n">
        <v>389.256624090998</v>
      </c>
      <c r="H42" t="n">
        <v>424.83088860743</v>
      </c>
      <c r="I42" t="n">
        <v>459.311802996701</v>
      </c>
      <c r="J42" t="n">
        <v>502.861914857522</v>
      </c>
      <c r="K42" t="n">
        <v>537.099321826544</v>
      </c>
      <c r="L42" t="n">
        <v>579.547308494781</v>
      </c>
      <c r="M42" t="n">
        <v>615.009314286842</v>
      </c>
      <c r="N42" t="n">
        <v>681.436291194037</v>
      </c>
      <c r="O42" t="n">
        <v>742.951243344755</v>
      </c>
      <c r="P42" t="n">
        <v>807.12072641384</v>
      </c>
      <c r="Q42" t="n">
        <v>871.309705408619</v>
      </c>
      <c r="R42" t="n">
        <v>955.654622138932</v>
      </c>
      <c r="S42" t="n">
        <v>1107.15625530817</v>
      </c>
      <c r="T42" t="n">
        <v>1124.42543111485</v>
      </c>
      <c r="U42" t="n">
        <v>1096.52938034292</v>
      </c>
      <c r="V42" t="n">
        <v>1224.95490136868</v>
      </c>
      <c r="W42" t="n">
        <v>1275.57960858923</v>
      </c>
      <c r="X42" t="n">
        <v>1263.7298623325</v>
      </c>
      <c r="Y42" t="n">
        <v>1235.9748321565</v>
      </c>
      <c r="Z42" t="n">
        <v>1223.10803678782</v>
      </c>
      <c r="AA42" t="n">
        <v>1204.39349420779</v>
      </c>
      <c r="AB42" t="n">
        <v>1183.67445965356</v>
      </c>
      <c r="AC42" t="n">
        <v>1155.4180385585</v>
      </c>
      <c r="AD42" t="n">
        <v>1159.29761699188</v>
      </c>
      <c r="AE42" t="n">
        <v>1157</v>
      </c>
      <c r="AF42" t="n">
        <v>1157</v>
      </c>
    </row>
    <row r="43">
      <c r="A43" t="s">
        <v>146</v>
      </c>
      <c r="B43" t="s">
        <v>356</v>
      </c>
      <c r="C43" t="s">
        <v>217</v>
      </c>
      <c r="D43" t="s">
        <v>357</v>
      </c>
      <c r="E43" t="s">
        <v>218</v>
      </c>
      <c r="F43" t="n">
        <v>543.479746482538</v>
      </c>
      <c r="G43" t="n">
        <v>610.843832706214</v>
      </c>
      <c r="H43" t="n">
        <v>684.536332813346</v>
      </c>
      <c r="I43" t="n">
        <v>759.538367053741</v>
      </c>
      <c r="J43" t="n">
        <v>845.442120273505</v>
      </c>
      <c r="K43" t="n">
        <v>917.32556988535</v>
      </c>
      <c r="L43" t="n">
        <v>1018.75197829733</v>
      </c>
      <c r="M43" t="n">
        <v>1088.57569667748</v>
      </c>
      <c r="N43" t="n">
        <v>1250.38538181602</v>
      </c>
      <c r="O43" t="n">
        <v>1453.03300053739</v>
      </c>
      <c r="P43" t="n">
        <v>1497.0881963076</v>
      </c>
      <c r="Q43" t="n">
        <v>1551.39491758245</v>
      </c>
      <c r="R43" t="n">
        <v>1629.18799286429</v>
      </c>
      <c r="S43" t="n">
        <v>1762.54605972376</v>
      </c>
      <c r="T43" t="n">
        <v>1760.12719504893</v>
      </c>
      <c r="U43" t="n">
        <v>2112.80776825042</v>
      </c>
      <c r="V43" t="n">
        <v>2252.98325665299</v>
      </c>
      <c r="W43" t="n">
        <v>2290.93605625648</v>
      </c>
      <c r="X43" t="n">
        <v>2255.47631863576</v>
      </c>
      <c r="Y43" t="n">
        <v>2202.73604988179</v>
      </c>
      <c r="Z43" t="n">
        <v>2155.7435849291</v>
      </c>
      <c r="AA43" t="n">
        <v>2106.94317103326</v>
      </c>
      <c r="AB43" t="n">
        <v>2056.73516355332</v>
      </c>
      <c r="AC43" t="n">
        <v>2014.89547653439</v>
      </c>
      <c r="AD43" t="n">
        <v>2017.68109216382</v>
      </c>
      <c r="AE43" t="n">
        <v>1997.8</v>
      </c>
      <c r="AF43" t="n">
        <v>1981.5</v>
      </c>
    </row>
    <row r="44">
      <c r="A44" t="s">
        <v>146</v>
      </c>
      <c r="B44" t="s">
        <v>358</v>
      </c>
      <c r="C44" t="s">
        <v>217</v>
      </c>
      <c r="D44" t="s">
        <v>359</v>
      </c>
      <c r="E44" t="s">
        <v>218</v>
      </c>
      <c r="F44" t="n">
        <v>71798.6334305629</v>
      </c>
      <c r="G44" t="n">
        <v>73077.2122432008</v>
      </c>
      <c r="H44" t="n">
        <v>74617.2376315264</v>
      </c>
      <c r="I44" t="n">
        <v>76418.642139193</v>
      </c>
      <c r="J44" t="n">
        <v>78531.6140461671</v>
      </c>
      <c r="K44" t="n">
        <v>80230.3412473354</v>
      </c>
      <c r="L44" t="n">
        <v>83072.1885913543</v>
      </c>
      <c r="M44" t="n">
        <v>84093.6223799334</v>
      </c>
      <c r="N44" t="n">
        <v>85938.2854122337</v>
      </c>
      <c r="O44" t="n">
        <v>87793.3139935084</v>
      </c>
      <c r="P44" t="n">
        <v>88909.0047027076</v>
      </c>
      <c r="Q44" t="n">
        <v>89626.1496865758</v>
      </c>
      <c r="R44" t="n">
        <v>90107.5158537316</v>
      </c>
      <c r="S44" t="n">
        <v>91571.2014717855</v>
      </c>
      <c r="T44" t="n">
        <v>93424.8436244862</v>
      </c>
      <c r="U44" t="n">
        <v>94594.9480102929</v>
      </c>
      <c r="V44" t="n">
        <v>93779.221012666</v>
      </c>
      <c r="W44" t="n">
        <v>93423.7039543685</v>
      </c>
      <c r="X44" t="n">
        <v>92897.2671765807</v>
      </c>
      <c r="Y44" t="n">
        <v>92352.7558363556</v>
      </c>
      <c r="Z44" t="n">
        <v>91858.4106485358</v>
      </c>
      <c r="AA44" t="n">
        <v>92056.7566644727</v>
      </c>
      <c r="AB44" t="n">
        <v>91361.3721406824</v>
      </c>
      <c r="AC44" t="n">
        <v>90788.5929771911</v>
      </c>
      <c r="AD44" t="n">
        <v>90084.0396309664</v>
      </c>
      <c r="AE44" t="n">
        <v>89077.6</v>
      </c>
      <c r="AF44" t="n">
        <v>88292.7</v>
      </c>
    </row>
    <row r="45">
      <c r="A45" t="s">
        <v>146</v>
      </c>
      <c r="B45" t="s">
        <v>360</v>
      </c>
      <c r="C45" t="s">
        <v>217</v>
      </c>
      <c r="D45" t="s">
        <v>361</v>
      </c>
      <c r="E45" t="s">
        <v>218</v>
      </c>
      <c r="F45" t="n">
        <v>62088.1748817479</v>
      </c>
      <c r="G45" t="n">
        <v>63481.3998976292</v>
      </c>
      <c r="H45" t="n">
        <v>65113.6509682658</v>
      </c>
      <c r="I45" t="n">
        <v>66985.2074853932</v>
      </c>
      <c r="J45" t="n">
        <v>69147.2508184384</v>
      </c>
      <c r="K45" t="n">
        <v>70910.6006789267</v>
      </c>
      <c r="L45" t="n">
        <v>73824.3296903843</v>
      </c>
      <c r="M45" t="n">
        <v>75005.5352354792</v>
      </c>
      <c r="N45" t="n">
        <v>76973.6280805586</v>
      </c>
      <c r="O45" t="n">
        <v>78903.7280510252</v>
      </c>
      <c r="P45" t="n">
        <v>80056.1912447899</v>
      </c>
      <c r="Q45" t="n">
        <v>80745.2976122889</v>
      </c>
      <c r="R45" t="n">
        <v>81207.3725973317</v>
      </c>
      <c r="S45" t="n">
        <v>82577.8113376783</v>
      </c>
      <c r="T45" t="n">
        <v>84423.8505378903</v>
      </c>
      <c r="U45" t="n">
        <v>85712.8779563202</v>
      </c>
      <c r="V45" t="n">
        <v>85113.0241808922</v>
      </c>
      <c r="W45" t="n">
        <v>84956.658841774</v>
      </c>
      <c r="X45" t="n">
        <v>84626.0771907001</v>
      </c>
      <c r="Y45" t="n">
        <v>84251.5378255363</v>
      </c>
      <c r="Z45" t="n">
        <v>83901.2376144124</v>
      </c>
      <c r="AA45" t="n">
        <v>84207.0838532283</v>
      </c>
      <c r="AB45" t="n">
        <v>83650.4806308556</v>
      </c>
      <c r="AC45" t="n">
        <v>83221.7997898656</v>
      </c>
      <c r="AD45" t="n">
        <v>82663.3864079733</v>
      </c>
      <c r="AE45" t="n">
        <v>81805.7</v>
      </c>
      <c r="AF45" t="n">
        <v>81158.7</v>
      </c>
    </row>
    <row r="46">
      <c r="A46" t="s">
        <v>146</v>
      </c>
      <c r="B46" t="s">
        <v>362</v>
      </c>
      <c r="C46" t="s">
        <v>217</v>
      </c>
      <c r="D46" t="s">
        <v>363</v>
      </c>
      <c r="E46" t="s">
        <v>218</v>
      </c>
      <c r="F46" t="n">
        <v>189.035267127085</v>
      </c>
      <c r="G46" t="n">
        <v>225.200954730501</v>
      </c>
      <c r="H46" t="n">
        <v>263.191376658951</v>
      </c>
      <c r="I46" t="n">
        <v>303.492169890899</v>
      </c>
      <c r="J46" t="n">
        <v>345.793588165268</v>
      </c>
      <c r="K46" t="n">
        <v>383.286557228256</v>
      </c>
      <c r="L46" t="n">
        <v>441.757702970234</v>
      </c>
      <c r="M46" t="n">
        <v>476.08132305713</v>
      </c>
      <c r="N46" t="n">
        <v>570.588530378896</v>
      </c>
      <c r="O46" t="n">
        <v>709.540141403808</v>
      </c>
      <c r="P46" t="n">
        <v>691.492036061647</v>
      </c>
      <c r="Q46" t="n">
        <v>683.413408658423</v>
      </c>
      <c r="R46" t="n">
        <v>679.062766269086</v>
      </c>
      <c r="S46" t="n">
        <v>665.036604671369</v>
      </c>
      <c r="T46" t="n">
        <v>646.274910667387</v>
      </c>
      <c r="U46" t="n">
        <v>1016.29654424341</v>
      </c>
      <c r="V46" t="n">
        <v>1028.05070762409</v>
      </c>
      <c r="W46" t="n">
        <v>1015.36655330424</v>
      </c>
      <c r="X46" t="n">
        <v>991.755497701277</v>
      </c>
      <c r="Y46" t="n">
        <v>966.770302955805</v>
      </c>
      <c r="Z46" t="n">
        <v>932.641147206058</v>
      </c>
      <c r="AA46" t="n">
        <v>902.552787370806</v>
      </c>
      <c r="AB46" t="n">
        <v>873.062156499655</v>
      </c>
      <c r="AC46" t="n">
        <v>859.479858022881</v>
      </c>
      <c r="AD46" t="n">
        <v>858.385359477124</v>
      </c>
      <c r="AE46" t="n">
        <v>840.8</v>
      </c>
      <c r="AF46" t="n">
        <v>824.5</v>
      </c>
    </row>
    <row r="47">
      <c r="A47" t="s">
        <v>146</v>
      </c>
      <c r="B47" t="s">
        <v>364</v>
      </c>
      <c r="C47" t="s">
        <v>217</v>
      </c>
      <c r="D47" t="s">
        <v>365</v>
      </c>
      <c r="E47" t="s">
        <v>218</v>
      </c>
      <c r="F47" t="n">
        <v>39622.752430155</v>
      </c>
      <c r="G47" t="n">
        <v>40584.1307423257</v>
      </c>
      <c r="H47" t="n">
        <v>41780.5883198861</v>
      </c>
      <c r="I47" t="n">
        <v>43097.3746572611</v>
      </c>
      <c r="J47" t="n">
        <v>44284.4893376618</v>
      </c>
      <c r="K47" t="n">
        <v>46005.2894820054</v>
      </c>
      <c r="L47" t="n">
        <v>48135.1176886223</v>
      </c>
      <c r="M47" t="n">
        <v>50245.7560810404</v>
      </c>
      <c r="N47" t="n">
        <v>52380.8180444727</v>
      </c>
      <c r="O47" t="n">
        <v>54387.5260773418</v>
      </c>
      <c r="P47" t="n">
        <v>54653.3965509985</v>
      </c>
      <c r="Q47" t="n">
        <v>55997.5351953537</v>
      </c>
      <c r="R47" t="n">
        <v>57314.41815531</v>
      </c>
      <c r="S47" t="n">
        <v>59087.8254403093</v>
      </c>
      <c r="T47" t="n">
        <v>60998.903306782</v>
      </c>
      <c r="U47" t="n">
        <v>61419.5580187661</v>
      </c>
      <c r="V47" t="n">
        <v>60993.4164741438</v>
      </c>
      <c r="W47" t="n">
        <v>60855.7882220575</v>
      </c>
      <c r="X47" t="n">
        <v>61753.3092191722</v>
      </c>
      <c r="Y47" t="n">
        <v>62312.265299568</v>
      </c>
      <c r="Z47" t="n">
        <v>62990.0728811699</v>
      </c>
      <c r="AA47" t="n">
        <v>64122.6854458558</v>
      </c>
      <c r="AB47" t="n">
        <v>65976.0130710192</v>
      </c>
      <c r="AC47" t="n">
        <v>66587.9143176387</v>
      </c>
      <c r="AD47" t="n">
        <v>66003.6998604452</v>
      </c>
      <c r="AE47" t="n">
        <v>65712.8</v>
      </c>
      <c r="AF47" t="n">
        <v>65854.4</v>
      </c>
    </row>
    <row r="48">
      <c r="A48" t="s">
        <v>146</v>
      </c>
      <c r="B48" t="s">
        <v>366</v>
      </c>
      <c r="C48" t="s">
        <v>217</v>
      </c>
      <c r="D48" t="s">
        <v>367</v>
      </c>
      <c r="E48" t="s">
        <v>218</v>
      </c>
      <c r="F48" t="n">
        <v>45141.7914067309</v>
      </c>
      <c r="G48" t="n">
        <v>46491.0755271749</v>
      </c>
      <c r="H48" t="n">
        <v>48095.964919271</v>
      </c>
      <c r="I48" t="n">
        <v>49852.8368769803</v>
      </c>
      <c r="J48" t="n">
        <v>51526.9367024586</v>
      </c>
      <c r="K48" t="n">
        <v>53641.6553859723</v>
      </c>
      <c r="L48" t="n">
        <v>56051.9374468116</v>
      </c>
      <c r="M48" t="n">
        <v>58220.8604785797</v>
      </c>
      <c r="N48" t="n">
        <v>60868.3888431006</v>
      </c>
      <c r="O48" t="n">
        <v>63013.1366063385</v>
      </c>
      <c r="P48" t="n">
        <v>63374.3894416023</v>
      </c>
      <c r="Q48" t="n">
        <v>64866.5380122822</v>
      </c>
      <c r="R48" t="n">
        <v>66236.8372045142</v>
      </c>
      <c r="S48" t="n">
        <v>68116.8339384703</v>
      </c>
      <c r="T48" t="n">
        <v>70053.6254423857</v>
      </c>
      <c r="U48" t="n">
        <v>70342.9327047867</v>
      </c>
      <c r="V48" t="n">
        <v>69724.4305405985</v>
      </c>
      <c r="W48" t="n">
        <v>69437.0386297781</v>
      </c>
      <c r="X48" t="n">
        <v>70275.8697101537</v>
      </c>
      <c r="Y48" t="n">
        <v>70688.0908530368</v>
      </c>
      <c r="Z48" t="n">
        <v>71212.0854485231</v>
      </c>
      <c r="AA48" t="n">
        <v>72181.1706630533</v>
      </c>
      <c r="AB48" t="n">
        <v>73816.981420016</v>
      </c>
      <c r="AC48" t="n">
        <v>74228.9189080481</v>
      </c>
      <c r="AD48" t="n">
        <v>73448.2299279244</v>
      </c>
      <c r="AE48" t="n">
        <v>72987.7</v>
      </c>
      <c r="AF48" t="n">
        <v>72964.4</v>
      </c>
    </row>
    <row r="49">
      <c r="A49" t="s">
        <v>146</v>
      </c>
      <c r="B49" t="s">
        <v>368</v>
      </c>
      <c r="C49" t="s">
        <v>217</v>
      </c>
      <c r="D49" t="s">
        <v>369</v>
      </c>
      <c r="E49" t="s">
        <v>218</v>
      </c>
      <c r="F49" t="n">
        <v>4515.5808208712</v>
      </c>
      <c r="G49" t="n">
        <v>4839.48438390053</v>
      </c>
      <c r="H49" t="n">
        <v>5176.88067389617</v>
      </c>
      <c r="I49" t="n">
        <v>5539.47639084541</v>
      </c>
      <c r="J49" t="n">
        <v>5958.4149717422</v>
      </c>
      <c r="K49" t="n">
        <v>6297.40455565782</v>
      </c>
      <c r="L49" t="n">
        <v>6532.29980849373</v>
      </c>
      <c r="M49" t="n">
        <v>6568.58062854816</v>
      </c>
      <c r="N49" t="n">
        <v>6867.61391877271</v>
      </c>
      <c r="O49" t="n">
        <v>6924.95910872225</v>
      </c>
      <c r="P49" t="n">
        <v>6960.08557750351</v>
      </c>
      <c r="Q49" t="n">
        <v>7064.44100093513</v>
      </c>
      <c r="R49" t="n">
        <v>7096.01766654055</v>
      </c>
      <c r="S49" t="n">
        <v>7157.39483317958</v>
      </c>
      <c r="T49" t="n">
        <v>7125.80572835982</v>
      </c>
      <c r="U49" t="n">
        <v>7026.62178496028</v>
      </c>
      <c r="V49" t="n">
        <v>6873.81955854277</v>
      </c>
      <c r="W49" t="n">
        <v>6765.47056555399</v>
      </c>
      <c r="X49" t="n">
        <v>6741.76949508436</v>
      </c>
      <c r="Y49" t="n">
        <v>6635.55924320622</v>
      </c>
      <c r="Z49" t="n">
        <v>6525.37010761358</v>
      </c>
      <c r="AA49" t="n">
        <v>6406.208533617</v>
      </c>
      <c r="AB49" t="n">
        <v>6233.26162495877</v>
      </c>
      <c r="AC49" t="n">
        <v>6077.38514877151</v>
      </c>
      <c r="AD49" t="n">
        <v>5923.47818288434</v>
      </c>
      <c r="AE49" t="n">
        <v>5792.8</v>
      </c>
      <c r="AF49" t="n">
        <v>5666.7</v>
      </c>
    </row>
    <row r="50">
      <c r="A50" t="s">
        <v>146</v>
      </c>
      <c r="B50" t="s">
        <v>370</v>
      </c>
      <c r="C50" t="s">
        <v>217</v>
      </c>
      <c r="D50" t="s">
        <v>371</v>
      </c>
      <c r="E50" t="s">
        <v>218</v>
      </c>
      <c r="F50" t="n">
        <v>1000.26032190689</v>
      </c>
      <c r="G50" t="n">
        <v>1064.56277117233</v>
      </c>
      <c r="H50" t="n">
        <v>1135.90344161081</v>
      </c>
      <c r="I50" t="n">
        <v>1213.73182628394</v>
      </c>
      <c r="J50" t="n">
        <v>1281.9658671049</v>
      </c>
      <c r="K50" t="n">
        <v>1336.55323291945</v>
      </c>
      <c r="L50" t="n">
        <v>1381.7026794493</v>
      </c>
      <c r="M50" t="n">
        <v>1403.37521522607</v>
      </c>
      <c r="N50" t="n">
        <v>1619.03264645935</v>
      </c>
      <c r="O50" t="n">
        <v>1700.07681719843</v>
      </c>
      <c r="P50" t="n">
        <v>1761.00058591969</v>
      </c>
      <c r="Q50" t="n">
        <v>1804.9233992164</v>
      </c>
      <c r="R50" t="n">
        <v>1826.69537171625</v>
      </c>
      <c r="S50" t="n">
        <v>1872.00066690531</v>
      </c>
      <c r="T50" t="n">
        <v>1929.62457573406</v>
      </c>
      <c r="U50" t="n">
        <v>1896.94283542853</v>
      </c>
      <c r="V50" t="n">
        <v>1857.39030566531</v>
      </c>
      <c r="W50" t="n">
        <v>1815.90158346503</v>
      </c>
      <c r="X50" t="n">
        <v>1780.8121380909</v>
      </c>
      <c r="Y50" t="n">
        <v>1740.25114105394</v>
      </c>
      <c r="Z50" t="n">
        <v>1696.69243958272</v>
      </c>
      <c r="AA50" t="n">
        <v>1652.20509522404</v>
      </c>
      <c r="AB50" t="n">
        <v>1607.47551501568</v>
      </c>
      <c r="AC50" t="n">
        <v>1563.24223014383</v>
      </c>
      <c r="AD50" t="n">
        <v>1520.86338388945</v>
      </c>
      <c r="AE50" t="n">
        <v>1482.1</v>
      </c>
      <c r="AF50" t="n">
        <v>1443.3</v>
      </c>
    </row>
    <row r="51">
      <c r="A51" t="s">
        <v>146</v>
      </c>
      <c r="B51" t="s">
        <v>372</v>
      </c>
      <c r="C51" t="s">
        <v>217</v>
      </c>
      <c r="D51" t="s">
        <v>373</v>
      </c>
      <c r="E51" t="s">
        <v>218</v>
      </c>
      <c r="F51" t="n">
        <v>897.766917365632</v>
      </c>
      <c r="G51" t="n">
        <v>943.420634371961</v>
      </c>
      <c r="H51" t="n">
        <v>993.724634520887</v>
      </c>
      <c r="I51" t="n">
        <v>1048.65293683759</v>
      </c>
      <c r="J51" t="n">
        <v>1107.86752180477</v>
      </c>
      <c r="K51" t="n">
        <v>1158.602049837</v>
      </c>
      <c r="L51" t="n">
        <v>1200.41054370755</v>
      </c>
      <c r="M51" t="n">
        <v>1219.85453375908</v>
      </c>
      <c r="N51" t="n">
        <v>1415.18783896431</v>
      </c>
      <c r="O51" t="n">
        <v>1486.1233795704</v>
      </c>
      <c r="P51" t="n">
        <v>1477.58937102409</v>
      </c>
      <c r="Q51" t="n">
        <v>1451.01134837548</v>
      </c>
      <c r="R51" t="n">
        <v>1433.93341422934</v>
      </c>
      <c r="S51" t="n">
        <v>1426.07790037137</v>
      </c>
      <c r="T51" t="n">
        <v>1463.93688324056</v>
      </c>
      <c r="U51" t="n">
        <v>1436.27503620144</v>
      </c>
      <c r="V51" t="n">
        <v>1399.09219242629</v>
      </c>
      <c r="W51" t="n">
        <v>1361.58981834637</v>
      </c>
      <c r="X51" t="n">
        <v>1323.67674174449</v>
      </c>
      <c r="Y51" t="n">
        <v>1289.75522078613</v>
      </c>
      <c r="Z51" t="n">
        <v>1257.53993371654</v>
      </c>
      <c r="AA51" t="n">
        <v>1223.34315665038</v>
      </c>
      <c r="AB51" t="n">
        <v>1190.57058938892</v>
      </c>
      <c r="AC51" t="n">
        <v>1157.32167910156</v>
      </c>
      <c r="AD51" t="n">
        <v>1128.67214810781</v>
      </c>
      <c r="AE51" t="n">
        <v>1100.8</v>
      </c>
      <c r="AF51" t="n">
        <v>1072.6</v>
      </c>
    </row>
    <row r="52">
      <c r="A52" t="s">
        <v>146</v>
      </c>
      <c r="B52" t="s">
        <v>374</v>
      </c>
      <c r="C52" t="s">
        <v>217</v>
      </c>
      <c r="D52" t="s">
        <v>375</v>
      </c>
      <c r="E52" t="s">
        <v>218</v>
      </c>
      <c r="F52" t="n">
        <v>88.0829104168424</v>
      </c>
      <c r="G52" t="n">
        <v>107.063739597576</v>
      </c>
      <c r="H52" t="n">
        <v>128.504332442864</v>
      </c>
      <c r="I52" t="n">
        <v>151.832811255569</v>
      </c>
      <c r="J52" t="n">
        <v>160.080519521304</v>
      </c>
      <c r="K52" t="n">
        <v>162.96919055026</v>
      </c>
      <c r="L52" t="n">
        <v>165.530134973192</v>
      </c>
      <c r="M52" t="n">
        <v>167.448343762929</v>
      </c>
      <c r="N52" t="n">
        <v>184.49527566663</v>
      </c>
      <c r="O52" t="n">
        <v>193.625587943647</v>
      </c>
      <c r="P52" t="n">
        <v>268.663170599739</v>
      </c>
      <c r="Q52" t="n">
        <v>345.277753752085</v>
      </c>
      <c r="R52" t="n">
        <v>387.556662374789</v>
      </c>
      <c r="S52" t="n">
        <v>445.028850951851</v>
      </c>
      <c r="T52" t="n">
        <v>465.384180600651</v>
      </c>
      <c r="U52" t="n">
        <v>460.663302323103</v>
      </c>
      <c r="V52" t="n">
        <v>458.295078948632</v>
      </c>
      <c r="W52" t="n">
        <v>454.309116609486</v>
      </c>
      <c r="X52" t="n">
        <v>457.13487556111</v>
      </c>
      <c r="Y52" t="n">
        <v>450.496369905523</v>
      </c>
      <c r="Z52" t="n">
        <v>439.152936130924</v>
      </c>
      <c r="AA52" t="n">
        <v>428.862586143477</v>
      </c>
      <c r="AB52" t="n">
        <v>416.905450842079</v>
      </c>
      <c r="AC52" t="n">
        <v>405.921115610312</v>
      </c>
      <c r="AD52" t="n">
        <v>392.19143081761</v>
      </c>
      <c r="AE52" t="n">
        <v>381.3</v>
      </c>
      <c r="AF52" t="n">
        <v>370.7</v>
      </c>
    </row>
    <row r="53">
      <c r="A53" t="s">
        <v>146</v>
      </c>
      <c r="B53" t="s">
        <v>376</v>
      </c>
      <c r="C53" t="s">
        <v>217</v>
      </c>
      <c r="D53" t="s">
        <v>377</v>
      </c>
      <c r="E53" t="s">
        <v>218</v>
      </c>
      <c r="F53" t="n">
        <v>1273.55206450075</v>
      </c>
      <c r="G53" t="n">
        <v>1362.8236495398</v>
      </c>
      <c r="H53" t="n">
        <v>1445.59790335245</v>
      </c>
      <c r="I53" t="n">
        <v>1525.48097759236</v>
      </c>
      <c r="J53" t="n">
        <v>1664.58938887617</v>
      </c>
      <c r="K53" t="n">
        <v>1763.79505719378</v>
      </c>
      <c r="L53" t="n">
        <v>1873.09169304779</v>
      </c>
      <c r="M53" t="n">
        <v>2083.48443892446</v>
      </c>
      <c r="N53" t="n">
        <v>2330.0855878799</v>
      </c>
      <c r="O53" t="n">
        <v>2564.66926510874</v>
      </c>
      <c r="P53" t="n">
        <v>2645.25247626079</v>
      </c>
      <c r="Q53" t="n">
        <v>2696.49457466789</v>
      </c>
      <c r="R53" t="n">
        <v>2725.56066135165</v>
      </c>
      <c r="S53" t="n">
        <v>2790.22402223781</v>
      </c>
      <c r="T53" t="n">
        <v>2816.36565013817</v>
      </c>
      <c r="U53" t="n">
        <v>2791.32930886361</v>
      </c>
      <c r="V53" t="n">
        <v>2760.27750271259</v>
      </c>
      <c r="W53" t="n">
        <v>2729.75067420071</v>
      </c>
      <c r="X53" t="n">
        <v>2758.00896275351</v>
      </c>
      <c r="Y53" t="n">
        <v>2760.49830693999</v>
      </c>
      <c r="Z53" t="n">
        <v>2774.89129213898</v>
      </c>
      <c r="AA53" t="n">
        <v>2781.26066617631</v>
      </c>
      <c r="AB53" t="n">
        <v>2734.04129743933</v>
      </c>
      <c r="AC53" t="n">
        <v>2700.29139938833</v>
      </c>
      <c r="AD53" t="n">
        <v>2649.25616054641</v>
      </c>
      <c r="AE53" t="n">
        <v>2603.6</v>
      </c>
      <c r="AF53" t="n">
        <v>2559</v>
      </c>
    </row>
    <row r="54">
      <c r="A54" t="s">
        <v>146</v>
      </c>
      <c r="B54" t="s">
        <v>378</v>
      </c>
      <c r="C54" t="s">
        <v>217</v>
      </c>
      <c r="D54" t="s">
        <v>379</v>
      </c>
      <c r="E54" t="s">
        <v>218</v>
      </c>
      <c r="F54" t="n">
        <v>1878.76947841466</v>
      </c>
      <c r="G54" t="n">
        <v>2012.9175401183</v>
      </c>
      <c r="H54" t="n">
        <v>2148.22088233774</v>
      </c>
      <c r="I54" t="n">
        <v>2287.51232080529</v>
      </c>
      <c r="J54" t="n">
        <v>2474.36959764325</v>
      </c>
      <c r="K54" t="n">
        <v>2621.28579785624</v>
      </c>
      <c r="L54" t="n">
        <v>2674.26082651825</v>
      </c>
      <c r="M54" t="n">
        <v>2842.9475381348</v>
      </c>
      <c r="N54" t="n">
        <v>3023.98172583245</v>
      </c>
      <c r="O54" t="n">
        <v>3159.05210979649</v>
      </c>
      <c r="P54" t="n">
        <v>3202.6385178749</v>
      </c>
      <c r="Q54" t="n">
        <v>3252.64100312172</v>
      </c>
      <c r="R54" t="n">
        <v>3303.7231485052</v>
      </c>
      <c r="S54" t="n">
        <v>3409.34760470547</v>
      </c>
      <c r="T54" t="n">
        <v>4091.10464510827</v>
      </c>
      <c r="U54" t="n">
        <v>4390.73859893251</v>
      </c>
      <c r="V54" t="n">
        <v>4368.28630719356</v>
      </c>
      <c r="W54" t="n">
        <v>4320.82068789675</v>
      </c>
      <c r="X54" t="n">
        <v>4344.3365984015</v>
      </c>
      <c r="Y54" t="n">
        <v>4404.07410748933</v>
      </c>
      <c r="Z54" t="n">
        <v>4480.51751045885</v>
      </c>
      <c r="AA54" t="n">
        <v>4510.99255520018</v>
      </c>
      <c r="AB54" t="n">
        <v>4470.24797777257</v>
      </c>
      <c r="AC54" t="n">
        <v>4382.37677020378</v>
      </c>
      <c r="AD54" t="n">
        <v>4279.80860035337</v>
      </c>
      <c r="AE54" t="n">
        <v>4184.2</v>
      </c>
      <c r="AF54" t="n">
        <v>4091.5</v>
      </c>
    </row>
    <row r="55">
      <c r="A55" t="s">
        <v>146</v>
      </c>
      <c r="B55" t="s">
        <v>380</v>
      </c>
      <c r="C55" t="s">
        <v>217</v>
      </c>
      <c r="D55" t="s">
        <v>381</v>
      </c>
      <c r="E55" t="s">
        <v>218</v>
      </c>
      <c r="F55" t="n">
        <v>646.850244855828</v>
      </c>
      <c r="G55" t="n">
        <v>693.825234469961</v>
      </c>
      <c r="H55" t="n">
        <v>744.650592361287</v>
      </c>
      <c r="I55" t="n">
        <v>799.502218398818</v>
      </c>
      <c r="J55" t="n">
        <v>857.934255881012</v>
      </c>
      <c r="K55" t="n">
        <v>908.698640852826</v>
      </c>
      <c r="L55" t="n">
        <v>892.131379770886</v>
      </c>
      <c r="M55" t="n">
        <v>904.655357025679</v>
      </c>
      <c r="N55" t="n">
        <v>908.228779488576</v>
      </c>
      <c r="O55" t="n">
        <v>886.897384460753</v>
      </c>
      <c r="P55" t="n">
        <v>877.697014194619</v>
      </c>
      <c r="Q55" t="n">
        <v>886.684925102777</v>
      </c>
      <c r="R55" t="n">
        <v>906.909534955009</v>
      </c>
      <c r="S55" t="n">
        <v>946.564465306461</v>
      </c>
      <c r="T55" t="n">
        <v>1388.06156911413</v>
      </c>
      <c r="U55" t="n">
        <v>1599.42520175771</v>
      </c>
      <c r="V55" t="n">
        <v>1608.01813360203</v>
      </c>
      <c r="W55" t="n">
        <v>1591.07923145109</v>
      </c>
      <c r="X55" t="n">
        <v>1586.3403506426</v>
      </c>
      <c r="Y55" t="n">
        <v>1643.57801014809</v>
      </c>
      <c r="Z55" t="n">
        <v>1705.62679723962</v>
      </c>
      <c r="AA55" t="n">
        <v>1729.73251895173</v>
      </c>
      <c r="AB55" t="n">
        <v>1736.20793297764</v>
      </c>
      <c r="AC55" t="n">
        <v>1682.0856174733</v>
      </c>
      <c r="AD55" t="n">
        <v>1630.55259465268</v>
      </c>
      <c r="AE55" t="n">
        <v>1580.6</v>
      </c>
      <c r="AF55" t="n">
        <v>1532.5</v>
      </c>
    </row>
    <row r="56">
      <c r="A56" t="s">
        <v>146</v>
      </c>
      <c r="B56" t="s">
        <v>382</v>
      </c>
      <c r="C56" t="s">
        <v>217</v>
      </c>
      <c r="D56" t="s">
        <v>383</v>
      </c>
      <c r="E56" t="s">
        <v>218</v>
      </c>
      <c r="F56" t="e">
        <v>#NUM!</v>
      </c>
      <c r="G56" t="e">
        <v>#NUM!</v>
      </c>
      <c r="H56" t="e">
        <v>#NUM!</v>
      </c>
      <c r="I56" t="e">
        <v>#NUM!</v>
      </c>
      <c r="J56" t="e">
        <v>#NUM!</v>
      </c>
      <c r="K56" t="e">
        <v>#NUM!</v>
      </c>
      <c r="L56" t="e">
        <v>#NUM!</v>
      </c>
      <c r="M56" t="e">
        <v>#NUM!</v>
      </c>
      <c r="N56" t="e">
        <v>#NUM!</v>
      </c>
      <c r="O56" t="e">
        <v>#NUM!</v>
      </c>
      <c r="P56" t="e">
        <v>#NUM!</v>
      </c>
      <c r="Q56" t="e">
        <v>#NUM!</v>
      </c>
      <c r="R56" t="e">
        <v>#NUM!</v>
      </c>
      <c r="S56" t="e">
        <v>#NUM!</v>
      </c>
      <c r="T56" t="e">
        <v>#NUM!</v>
      </c>
      <c r="U56" t="e">
        <v>#NUM!</v>
      </c>
      <c r="V56" t="e">
        <v>#NUM!</v>
      </c>
      <c r="W56" t="e">
        <v>#NUM!</v>
      </c>
      <c r="X56" t="e">
        <v>#NUM!</v>
      </c>
      <c r="Y56" t="e">
        <v>#NUM!</v>
      </c>
      <c r="Z56" t="e">
        <v>#NUM!</v>
      </c>
      <c r="AA56" t="e">
        <v>#NUM!</v>
      </c>
      <c r="AB56" t="e">
        <v>#NUM!</v>
      </c>
      <c r="AC56" t="e">
        <v>#NUM!</v>
      </c>
      <c r="AD56" t="e">
        <v>#NUM!</v>
      </c>
      <c r="AE56" t="n">
        <v>0</v>
      </c>
      <c r="AF56" t="e">
        <v>#NUM!</v>
      </c>
    </row>
    <row r="57">
      <c r="A57" t="s">
        <v>146</v>
      </c>
      <c r="B57" t="s">
        <v>384</v>
      </c>
      <c r="C57" t="s">
        <v>217</v>
      </c>
      <c r="D57" t="s">
        <v>385</v>
      </c>
      <c r="E57" t="s">
        <v>218</v>
      </c>
      <c r="F57" t="n">
        <v>117528.320547001</v>
      </c>
      <c r="G57" t="n">
        <v>120234.206298291</v>
      </c>
      <c r="H57" t="n">
        <v>123449.665391618</v>
      </c>
      <c r="I57" t="n">
        <v>127095.735424259</v>
      </c>
      <c r="J57" t="n">
        <v>130973.646175702</v>
      </c>
      <c r="K57" t="n">
        <v>134873.668481309</v>
      </c>
      <c r="L57" t="n">
        <v>140209.564146378</v>
      </c>
      <c r="M57" t="n">
        <v>143471.197081354</v>
      </c>
      <c r="N57" t="n">
        <v>148053.906329107</v>
      </c>
      <c r="O57" t="n">
        <v>152160.229784989</v>
      </c>
      <c r="P57" t="n">
        <v>153614.218394274</v>
      </c>
      <c r="Q57" t="n">
        <v>155795.964290209</v>
      </c>
      <c r="R57" t="n">
        <v>157634.112251785</v>
      </c>
      <c r="S57" t="n">
        <v>161074.98470963</v>
      </c>
      <c r="T57" t="n">
        <v>165026.734866171</v>
      </c>
      <c r="U57" t="n">
        <v>166656.019332011</v>
      </c>
      <c r="V57" t="n">
        <v>165787.380101407</v>
      </c>
      <c r="W57" t="n">
        <v>165869.193009421</v>
      </c>
      <c r="X57" t="n">
        <v>166313.747393507</v>
      </c>
      <c r="Y57" t="n">
        <v>166387.774667016</v>
      </c>
      <c r="Z57" t="n">
        <v>166421.992987473</v>
      </c>
      <c r="AA57" t="n">
        <v>167721.076175095</v>
      </c>
      <c r="AB57" t="n">
        <v>168738.583054318</v>
      </c>
      <c r="AC57" t="n">
        <v>168569.338935586</v>
      </c>
      <c r="AD57" t="n">
        <v>167160.289402197</v>
      </c>
      <c r="AE57" t="n">
        <v>165726.1</v>
      </c>
      <c r="AF57" t="n">
        <v>164957.6</v>
      </c>
    </row>
    <row r="58">
      <c r="A58" t="s">
        <v>146</v>
      </c>
      <c r="B58" t="s">
        <v>386</v>
      </c>
      <c r="C58" t="s">
        <v>217</v>
      </c>
      <c r="D58" t="s">
        <v>387</v>
      </c>
      <c r="E58" t="s">
        <v>218</v>
      </c>
      <c r="F58" t="n">
        <v>117528.320547001</v>
      </c>
      <c r="G58" t="n">
        <v>120234.206298291</v>
      </c>
      <c r="H58" t="n">
        <v>123449.665391618</v>
      </c>
      <c r="I58" t="n">
        <v>127095.735424259</v>
      </c>
      <c r="J58" t="n">
        <v>130973.646175702</v>
      </c>
      <c r="K58" t="n">
        <v>134873.668481309</v>
      </c>
      <c r="L58" t="n">
        <v>140209.564146378</v>
      </c>
      <c r="M58" t="n">
        <v>143471.197081354</v>
      </c>
      <c r="N58" t="n">
        <v>148053.906329107</v>
      </c>
      <c r="O58" t="n">
        <v>152160.229784989</v>
      </c>
      <c r="P58" t="n">
        <v>153614.218394274</v>
      </c>
      <c r="Q58" t="n">
        <v>155795.964290209</v>
      </c>
      <c r="R58" t="n">
        <v>157634.112251785</v>
      </c>
      <c r="S58" t="n">
        <v>161074.98470963</v>
      </c>
      <c r="T58" t="n">
        <v>165026.734866171</v>
      </c>
      <c r="U58" t="n">
        <v>166656.019332011</v>
      </c>
      <c r="V58" t="n">
        <v>165787.380101407</v>
      </c>
      <c r="W58" t="n">
        <v>165869.193009421</v>
      </c>
      <c r="X58" t="n">
        <v>166313.747393507</v>
      </c>
      <c r="Y58" t="n">
        <v>166387.774667016</v>
      </c>
      <c r="Z58" t="n">
        <v>166421.992987473</v>
      </c>
      <c r="AA58" t="n">
        <v>167721.076175095</v>
      </c>
      <c r="AB58" t="n">
        <v>168738.583054318</v>
      </c>
      <c r="AC58" t="n">
        <v>168569.338935586</v>
      </c>
      <c r="AD58" t="n">
        <v>167160.289402197</v>
      </c>
      <c r="AE58" t="n">
        <v>165726.1</v>
      </c>
      <c r="AF58" t="n">
        <v>164957.6</v>
      </c>
    </row>
    <row r="59">
      <c r="A59" t="s">
        <v>146</v>
      </c>
      <c r="B59" t="s">
        <v>388</v>
      </c>
      <c r="C59" t="s">
        <v>217</v>
      </c>
      <c r="D59" t="s">
        <v>389</v>
      </c>
      <c r="E59" t="s">
        <v>218</v>
      </c>
      <c r="F59" t="e">
        <v>#NUM!</v>
      </c>
      <c r="G59" t="e">
        <v>#NUM!</v>
      </c>
      <c r="H59" t="e">
        <v>#NUM!</v>
      </c>
      <c r="I59" t="e">
        <v>#NUM!</v>
      </c>
      <c r="J59" t="e">
        <v>#NUM!</v>
      </c>
      <c r="K59" t="e">
        <v>#NUM!</v>
      </c>
      <c r="L59" t="e">
        <v>#NUM!</v>
      </c>
      <c r="M59" t="e">
        <v>#NUM!</v>
      </c>
      <c r="N59" t="e">
        <v>#NUM!</v>
      </c>
      <c r="O59" t="e">
        <v>#NUM!</v>
      </c>
      <c r="P59" t="e">
        <v>#NUM!</v>
      </c>
      <c r="Q59" t="e">
        <v>#NUM!</v>
      </c>
      <c r="R59" t="e">
        <v>#NUM!</v>
      </c>
      <c r="S59" t="e">
        <v>#NUM!</v>
      </c>
      <c r="T59" t="e">
        <v>#NUM!</v>
      </c>
      <c r="U59" t="e">
        <v>#NUM!</v>
      </c>
      <c r="V59" t="e">
        <v>#NUM!</v>
      </c>
      <c r="W59" t="e">
        <v>#NUM!</v>
      </c>
      <c r="X59" t="e">
        <v>#NUM!</v>
      </c>
      <c r="Y59" t="e">
        <v>#NUM!</v>
      </c>
      <c r="Z59" t="e">
        <v>#NUM!</v>
      </c>
      <c r="AA59" t="e">
        <v>#NUM!</v>
      </c>
      <c r="AB59" t="e">
        <v>#NUM!</v>
      </c>
      <c r="AC59" t="e">
        <v>#NUM!</v>
      </c>
      <c r="AD59" t="e">
        <v>#NUM!</v>
      </c>
      <c r="AE59" t="n">
        <v>0</v>
      </c>
      <c r="AF59" t="e">
        <v>#NUM!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147</v>
      </c>
      <c r="B2" t="s">
        <v>197</v>
      </c>
      <c r="C2" t="s">
        <v>217</v>
      </c>
      <c r="D2" t="s">
        <v>199</v>
      </c>
      <c r="E2" t="s">
        <v>218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147</v>
      </c>
      <c r="B3" t="s">
        <v>276</v>
      </c>
      <c r="C3" t="s">
        <v>217</v>
      </c>
      <c r="D3" t="s">
        <v>277</v>
      </c>
      <c r="E3" t="s">
        <v>218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147</v>
      </c>
      <c r="B4" t="s">
        <v>278</v>
      </c>
      <c r="C4" t="s">
        <v>217</v>
      </c>
      <c r="D4" t="s">
        <v>279</v>
      </c>
      <c r="E4" t="s">
        <v>218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147</v>
      </c>
      <c r="B5" t="s">
        <v>280</v>
      </c>
      <c r="C5" t="s">
        <v>217</v>
      </c>
      <c r="D5" t="s">
        <v>281</v>
      </c>
      <c r="E5" t="s">
        <v>218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147</v>
      </c>
      <c r="B6" t="s">
        <v>282</v>
      </c>
      <c r="C6" t="s">
        <v>217</v>
      </c>
      <c r="D6" t="s">
        <v>283</v>
      </c>
      <c r="E6" t="s">
        <v>218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147</v>
      </c>
      <c r="B7" t="s">
        <v>284</v>
      </c>
      <c r="C7" t="s">
        <v>217</v>
      </c>
      <c r="D7" t="s">
        <v>285</v>
      </c>
      <c r="E7" t="s">
        <v>218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147</v>
      </c>
      <c r="B8" t="s">
        <v>286</v>
      </c>
      <c r="C8" t="s">
        <v>217</v>
      </c>
      <c r="D8" t="s">
        <v>287</v>
      </c>
      <c r="E8" t="s">
        <v>218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147</v>
      </c>
      <c r="B9" t="s">
        <v>288</v>
      </c>
      <c r="C9" t="s">
        <v>217</v>
      </c>
      <c r="D9" t="s">
        <v>289</v>
      </c>
      <c r="E9" t="s">
        <v>218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147</v>
      </c>
      <c r="B10" t="s">
        <v>290</v>
      </c>
      <c r="C10" t="s">
        <v>217</v>
      </c>
      <c r="D10" t="s">
        <v>291</v>
      </c>
      <c r="E10" t="s">
        <v>218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147</v>
      </c>
      <c r="B11" t="s">
        <v>292</v>
      </c>
      <c r="C11" t="s">
        <v>217</v>
      </c>
      <c r="D11" t="s">
        <v>293</v>
      </c>
      <c r="E11" t="s">
        <v>218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147</v>
      </c>
      <c r="B12" t="s">
        <v>294</v>
      </c>
      <c r="C12" t="s">
        <v>217</v>
      </c>
      <c r="D12" t="s">
        <v>295</v>
      </c>
      <c r="E12" t="s">
        <v>218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147</v>
      </c>
      <c r="B13" t="s">
        <v>296</v>
      </c>
      <c r="C13" t="s">
        <v>217</v>
      </c>
      <c r="D13" t="s">
        <v>297</v>
      </c>
      <c r="E13" t="s">
        <v>218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147</v>
      </c>
      <c r="B14" t="s">
        <v>298</v>
      </c>
      <c r="C14" t="s">
        <v>217</v>
      </c>
      <c r="D14" t="s">
        <v>299</v>
      </c>
      <c r="E14" t="s">
        <v>218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147</v>
      </c>
      <c r="B15" t="s">
        <v>300</v>
      </c>
      <c r="C15" t="s">
        <v>217</v>
      </c>
      <c r="D15" t="s">
        <v>301</v>
      </c>
      <c r="E15" t="s">
        <v>218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147</v>
      </c>
      <c r="B16" t="s">
        <v>302</v>
      </c>
      <c r="C16" t="s">
        <v>217</v>
      </c>
      <c r="D16" t="s">
        <v>303</v>
      </c>
      <c r="E16" t="s">
        <v>218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147</v>
      </c>
      <c r="B17" t="s">
        <v>304</v>
      </c>
      <c r="C17" t="s">
        <v>217</v>
      </c>
      <c r="D17" t="s">
        <v>305</v>
      </c>
      <c r="E17" t="s">
        <v>218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147</v>
      </c>
      <c r="B18" t="s">
        <v>306</v>
      </c>
      <c r="C18" t="s">
        <v>217</v>
      </c>
      <c r="D18" t="s">
        <v>307</v>
      </c>
      <c r="E18" t="s">
        <v>218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147</v>
      </c>
      <c r="B19" t="s">
        <v>308</v>
      </c>
      <c r="C19" t="s">
        <v>217</v>
      </c>
      <c r="D19" t="s">
        <v>309</v>
      </c>
      <c r="E19" t="s">
        <v>218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147</v>
      </c>
      <c r="B20" t="s">
        <v>310</v>
      </c>
      <c r="C20" t="s">
        <v>217</v>
      </c>
      <c r="D20" t="s">
        <v>311</v>
      </c>
      <c r="E20" t="s">
        <v>218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147</v>
      </c>
      <c r="B21" t="s">
        <v>312</v>
      </c>
      <c r="C21" t="s">
        <v>217</v>
      </c>
      <c r="D21" t="s">
        <v>313</v>
      </c>
      <c r="E21" t="s">
        <v>218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147</v>
      </c>
      <c r="B22" t="s">
        <v>314</v>
      </c>
      <c r="C22" t="s">
        <v>217</v>
      </c>
      <c r="D22" t="s">
        <v>315</v>
      </c>
      <c r="E22" t="s">
        <v>218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147</v>
      </c>
      <c r="B23" t="s">
        <v>316</v>
      </c>
      <c r="C23" t="s">
        <v>217</v>
      </c>
      <c r="D23" t="s">
        <v>317</v>
      </c>
      <c r="E23" t="s">
        <v>218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147</v>
      </c>
      <c r="B24" t="s">
        <v>318</v>
      </c>
      <c r="C24" t="s">
        <v>217</v>
      </c>
      <c r="D24" t="s">
        <v>319</v>
      </c>
      <c r="E24" t="s">
        <v>218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147</v>
      </c>
      <c r="B25" t="s">
        <v>320</v>
      </c>
      <c r="C25" t="s">
        <v>217</v>
      </c>
      <c r="D25" t="s">
        <v>321</v>
      </c>
      <c r="E25" t="s">
        <v>218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147</v>
      </c>
      <c r="B26" t="s">
        <v>322</v>
      </c>
      <c r="C26" t="s">
        <v>217</v>
      </c>
      <c r="D26" t="s">
        <v>323</v>
      </c>
      <c r="E26" t="s">
        <v>218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147</v>
      </c>
      <c r="B27" t="s">
        <v>324</v>
      </c>
      <c r="C27" t="s">
        <v>217</v>
      </c>
      <c r="D27" t="s">
        <v>325</v>
      </c>
      <c r="E27" t="s">
        <v>218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147</v>
      </c>
      <c r="B28" t="s">
        <v>326</v>
      </c>
      <c r="C28" t="s">
        <v>217</v>
      </c>
      <c r="D28" t="s">
        <v>327</v>
      </c>
      <c r="E28" t="s">
        <v>218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147</v>
      </c>
      <c r="B29" t="s">
        <v>328</v>
      </c>
      <c r="C29" t="s">
        <v>217</v>
      </c>
      <c r="D29" t="s">
        <v>329</v>
      </c>
      <c r="E29" t="s">
        <v>218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147</v>
      </c>
      <c r="B30" t="s">
        <v>330</v>
      </c>
      <c r="C30" t="s">
        <v>217</v>
      </c>
      <c r="D30" t="s">
        <v>331</v>
      </c>
      <c r="E30" t="s">
        <v>218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147</v>
      </c>
      <c r="B31" t="s">
        <v>332</v>
      </c>
      <c r="C31" t="s">
        <v>217</v>
      </c>
      <c r="D31" t="s">
        <v>333</v>
      </c>
      <c r="E31" t="s">
        <v>218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147</v>
      </c>
      <c r="B32" t="s">
        <v>334</v>
      </c>
      <c r="C32" t="s">
        <v>217</v>
      </c>
      <c r="D32" t="s">
        <v>335</v>
      </c>
      <c r="E32" t="s">
        <v>218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147</v>
      </c>
      <c r="B33" t="s">
        <v>336</v>
      </c>
      <c r="C33" t="s">
        <v>217</v>
      </c>
      <c r="D33" t="s">
        <v>337</v>
      </c>
      <c r="E33" t="s">
        <v>218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147</v>
      </c>
      <c r="B34" t="s">
        <v>338</v>
      </c>
      <c r="C34" t="s">
        <v>217</v>
      </c>
      <c r="D34" t="s">
        <v>339</v>
      </c>
      <c r="E34" t="s">
        <v>218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147</v>
      </c>
      <c r="B35" t="s">
        <v>340</v>
      </c>
      <c r="C35" t="s">
        <v>217</v>
      </c>
      <c r="D35" t="s">
        <v>341</v>
      </c>
      <c r="E35" t="s">
        <v>218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s">
        <v>147</v>
      </c>
      <c r="B36" t="s">
        <v>342</v>
      </c>
      <c r="C36" t="s">
        <v>217</v>
      </c>
      <c r="D36" t="s">
        <v>343</v>
      </c>
      <c r="E36" t="s">
        <v>218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147</v>
      </c>
      <c r="B37" t="s">
        <v>344</v>
      </c>
      <c r="C37" t="s">
        <v>217</v>
      </c>
      <c r="D37" t="s">
        <v>345</v>
      </c>
      <c r="E37" t="s">
        <v>218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147</v>
      </c>
      <c r="B38" t="s">
        <v>346</v>
      </c>
      <c r="C38" t="s">
        <v>217</v>
      </c>
      <c r="D38" t="s">
        <v>347</v>
      </c>
      <c r="E38" t="s">
        <v>218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147</v>
      </c>
      <c r="B39" t="s">
        <v>348</v>
      </c>
      <c r="C39" t="s">
        <v>217</v>
      </c>
      <c r="D39" t="s">
        <v>349</v>
      </c>
      <c r="E39" t="s">
        <v>218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147</v>
      </c>
      <c r="B40" t="s">
        <v>350</v>
      </c>
      <c r="C40" t="s">
        <v>217</v>
      </c>
      <c r="D40" t="s">
        <v>351</v>
      </c>
      <c r="E40" t="s">
        <v>218</v>
      </c>
      <c r="F40" t="n">
        <v>212967.378101499</v>
      </c>
      <c r="G40" t="n">
        <v>217475.682504481</v>
      </c>
      <c r="H40" t="n">
        <v>220970.097130457</v>
      </c>
      <c r="I40" t="n">
        <v>226920.997233964</v>
      </c>
      <c r="J40" t="n">
        <v>233164.185400265</v>
      </c>
      <c r="K40" t="n">
        <v>239658.355923408</v>
      </c>
      <c r="L40" t="n">
        <v>244805.896758724</v>
      </c>
      <c r="M40" t="n">
        <v>250228.224540471</v>
      </c>
      <c r="N40" t="n">
        <v>257871.172398094</v>
      </c>
      <c r="O40" t="n">
        <v>267839.657207408</v>
      </c>
      <c r="P40" t="n">
        <v>276045.833184423</v>
      </c>
      <c r="Q40" t="n">
        <v>286697.096132624</v>
      </c>
      <c r="R40" t="n">
        <v>299526.427905575</v>
      </c>
      <c r="S40" t="n">
        <v>306638.383827916</v>
      </c>
      <c r="T40" t="n">
        <v>310273.970161001</v>
      </c>
      <c r="U40" t="n">
        <v>310523.216536409</v>
      </c>
      <c r="V40" t="n">
        <v>309350.460130157</v>
      </c>
      <c r="W40" t="n">
        <v>304895.223929384</v>
      </c>
      <c r="X40" t="n">
        <v>298925.346564783</v>
      </c>
      <c r="Y40" t="n">
        <v>291178.882865078</v>
      </c>
      <c r="Z40" t="n">
        <v>283258.759144187</v>
      </c>
      <c r="AA40" t="n">
        <v>275461.136132344</v>
      </c>
      <c r="AB40" t="n">
        <v>267862.889119713</v>
      </c>
      <c r="AC40" t="n">
        <v>260768.924668496</v>
      </c>
      <c r="AD40" t="n">
        <v>254083.427173239</v>
      </c>
      <c r="AE40" t="n">
        <v>247901.6</v>
      </c>
      <c r="AF40" t="n">
        <v>242402.6</v>
      </c>
    </row>
    <row r="41">
      <c r="A41" t="s">
        <v>147</v>
      </c>
      <c r="B41" t="s">
        <v>352</v>
      </c>
      <c r="C41" t="s">
        <v>217</v>
      </c>
      <c r="D41" t="s">
        <v>353</v>
      </c>
      <c r="E41" t="s">
        <v>218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147</v>
      </c>
      <c r="B42" t="s">
        <v>354</v>
      </c>
      <c r="C42" t="s">
        <v>217</v>
      </c>
      <c r="D42" t="s">
        <v>355</v>
      </c>
      <c r="E42" t="s">
        <v>218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147</v>
      </c>
      <c r="B43" t="s">
        <v>356</v>
      </c>
      <c r="C43" t="s">
        <v>217</v>
      </c>
      <c r="D43" t="s">
        <v>357</v>
      </c>
      <c r="E43" t="s">
        <v>218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147</v>
      </c>
      <c r="B44" t="s">
        <v>358</v>
      </c>
      <c r="C44" t="s">
        <v>217</v>
      </c>
      <c r="D44" t="s">
        <v>359</v>
      </c>
      <c r="E44" t="s">
        <v>218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</row>
    <row r="45">
      <c r="A45" t="s">
        <v>147</v>
      </c>
      <c r="B45" t="s">
        <v>360</v>
      </c>
      <c r="C45" t="s">
        <v>217</v>
      </c>
      <c r="D45" t="s">
        <v>361</v>
      </c>
      <c r="E45" t="s">
        <v>218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</row>
    <row r="46">
      <c r="A46" t="s">
        <v>147</v>
      </c>
      <c r="B46" t="s">
        <v>362</v>
      </c>
      <c r="C46" t="s">
        <v>217</v>
      </c>
      <c r="D46" t="s">
        <v>363</v>
      </c>
      <c r="E46" t="s">
        <v>218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147</v>
      </c>
      <c r="B47" t="s">
        <v>364</v>
      </c>
      <c r="C47" t="s">
        <v>217</v>
      </c>
      <c r="D47" t="s">
        <v>365</v>
      </c>
      <c r="E47" t="s">
        <v>218</v>
      </c>
      <c r="F47" t="n">
        <v>2923.39935137423</v>
      </c>
      <c r="G47" t="n">
        <v>2852.42742586358</v>
      </c>
      <c r="H47" t="n">
        <v>2785.66419782491</v>
      </c>
      <c r="I47" t="n">
        <v>2722.3156886581</v>
      </c>
      <c r="J47" t="n">
        <v>2660.2160786912</v>
      </c>
      <c r="K47" t="n">
        <v>2604.51559042195</v>
      </c>
      <c r="L47" t="n">
        <v>2554.30501081639</v>
      </c>
      <c r="M47" t="n">
        <v>2506.04498499358</v>
      </c>
      <c r="N47" t="n">
        <v>2460.09300532181</v>
      </c>
      <c r="O47" t="n">
        <v>2415.09942433359</v>
      </c>
      <c r="P47" t="n">
        <v>2438.73053416073</v>
      </c>
      <c r="Q47" t="n">
        <v>2366.31505461736</v>
      </c>
      <c r="R47" t="n">
        <v>2296.14368564701</v>
      </c>
      <c r="S47" t="n">
        <v>2229.99749947269</v>
      </c>
      <c r="T47" t="n">
        <v>2165.80915305943</v>
      </c>
      <c r="U47" t="n">
        <v>2101.53685954574</v>
      </c>
      <c r="V47" t="n">
        <v>2037.17904684103</v>
      </c>
      <c r="W47" t="n">
        <v>1975.12792642277</v>
      </c>
      <c r="X47" t="n">
        <v>1915.52687147512</v>
      </c>
      <c r="Y47" t="n">
        <v>1856.90522340187</v>
      </c>
      <c r="Z47" t="n">
        <v>1799.99990958991</v>
      </c>
      <c r="AA47" t="n">
        <v>1744.92587054431</v>
      </c>
      <c r="AB47" t="n">
        <v>1691.32474468198</v>
      </c>
      <c r="AC47" t="n">
        <v>1639.39766980245</v>
      </c>
      <c r="AD47" t="n">
        <v>1589.05568528248</v>
      </c>
      <c r="AE47" t="n">
        <v>1540.3</v>
      </c>
      <c r="AF47" t="n">
        <v>1493</v>
      </c>
    </row>
    <row r="48">
      <c r="A48" t="s">
        <v>147</v>
      </c>
      <c r="B48" t="s">
        <v>366</v>
      </c>
      <c r="C48" t="s">
        <v>217</v>
      </c>
      <c r="D48" t="s">
        <v>367</v>
      </c>
      <c r="E48" t="s">
        <v>218</v>
      </c>
      <c r="F48" t="n">
        <v>2923.39935137423</v>
      </c>
      <c r="G48" t="n">
        <v>2852.42742586358</v>
      </c>
      <c r="H48" t="n">
        <v>2785.66419782491</v>
      </c>
      <c r="I48" t="n">
        <v>2722.3156886581</v>
      </c>
      <c r="J48" t="n">
        <v>2660.2160786912</v>
      </c>
      <c r="K48" t="n">
        <v>2604.51559042195</v>
      </c>
      <c r="L48" t="n">
        <v>2554.30501081639</v>
      </c>
      <c r="M48" t="n">
        <v>2506.04498499358</v>
      </c>
      <c r="N48" t="n">
        <v>2460.09300532181</v>
      </c>
      <c r="O48" t="n">
        <v>2415.09942433359</v>
      </c>
      <c r="P48" t="n">
        <v>2438.73053416073</v>
      </c>
      <c r="Q48" t="n">
        <v>2366.31505461736</v>
      </c>
      <c r="R48" t="n">
        <v>2296.14368564701</v>
      </c>
      <c r="S48" t="n">
        <v>2229.99749947269</v>
      </c>
      <c r="T48" t="n">
        <v>2165.80915305943</v>
      </c>
      <c r="U48" t="n">
        <v>2101.53685954574</v>
      </c>
      <c r="V48" t="n">
        <v>2037.17904684103</v>
      </c>
      <c r="W48" t="n">
        <v>1975.12792642277</v>
      </c>
      <c r="X48" t="n">
        <v>1915.52687147512</v>
      </c>
      <c r="Y48" t="n">
        <v>1856.90522340187</v>
      </c>
      <c r="Z48" t="n">
        <v>1799.99990958991</v>
      </c>
      <c r="AA48" t="n">
        <v>1744.92587054431</v>
      </c>
      <c r="AB48" t="n">
        <v>1691.32474468198</v>
      </c>
      <c r="AC48" t="n">
        <v>1639.39766980245</v>
      </c>
      <c r="AD48" t="n">
        <v>1589.05568528248</v>
      </c>
      <c r="AE48" t="n">
        <v>1540.3</v>
      </c>
      <c r="AF48" t="n">
        <v>1493</v>
      </c>
    </row>
    <row r="49">
      <c r="A49" t="s">
        <v>147</v>
      </c>
      <c r="B49" t="s">
        <v>368</v>
      </c>
      <c r="C49" t="s">
        <v>217</v>
      </c>
      <c r="D49" t="s">
        <v>369</v>
      </c>
      <c r="E49" t="s">
        <v>218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147</v>
      </c>
      <c r="B50" t="s">
        <v>370</v>
      </c>
      <c r="C50" t="s">
        <v>217</v>
      </c>
      <c r="D50" t="s">
        <v>371</v>
      </c>
      <c r="E50" t="s">
        <v>218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147</v>
      </c>
      <c r="B51" t="s">
        <v>372</v>
      </c>
      <c r="C51" t="s">
        <v>217</v>
      </c>
      <c r="D51" t="s">
        <v>373</v>
      </c>
      <c r="E51" t="s">
        <v>218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147</v>
      </c>
      <c r="B52" t="s">
        <v>374</v>
      </c>
      <c r="C52" t="s">
        <v>217</v>
      </c>
      <c r="D52" t="s">
        <v>375</v>
      </c>
      <c r="E52" t="s">
        <v>218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147</v>
      </c>
      <c r="B53" t="s">
        <v>376</v>
      </c>
      <c r="C53" t="s">
        <v>217</v>
      </c>
      <c r="D53" t="s">
        <v>377</v>
      </c>
      <c r="E53" t="s">
        <v>218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147</v>
      </c>
      <c r="B54" t="s">
        <v>378</v>
      </c>
      <c r="C54" t="s">
        <v>217</v>
      </c>
      <c r="D54" t="s">
        <v>379</v>
      </c>
      <c r="E54" t="s">
        <v>218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s">
        <v>147</v>
      </c>
      <c r="B55" t="s">
        <v>380</v>
      </c>
      <c r="C55" t="s">
        <v>217</v>
      </c>
      <c r="D55" t="s">
        <v>381</v>
      </c>
      <c r="E55" t="s">
        <v>218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147</v>
      </c>
      <c r="B56" t="s">
        <v>382</v>
      </c>
      <c r="C56" t="s">
        <v>217</v>
      </c>
      <c r="D56" t="s">
        <v>383</v>
      </c>
      <c r="E56" t="s">
        <v>218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147</v>
      </c>
      <c r="B57" t="s">
        <v>384</v>
      </c>
      <c r="C57" t="s">
        <v>217</v>
      </c>
      <c r="D57" t="s">
        <v>385</v>
      </c>
      <c r="E57" t="s">
        <v>218</v>
      </c>
      <c r="F57" t="n">
        <v>215911.462415855</v>
      </c>
      <c r="G57" t="n">
        <v>220347.899075107</v>
      </c>
      <c r="H57" t="n">
        <v>223774.735717573</v>
      </c>
      <c r="I57" t="n">
        <v>229661.404047057</v>
      </c>
      <c r="J57" t="n">
        <v>235841.610159838</v>
      </c>
      <c r="K57" t="n">
        <v>242279.25123872</v>
      </c>
      <c r="L57" t="n">
        <v>247375.863096653</v>
      </c>
      <c r="M57" t="n">
        <v>252749.221237506</v>
      </c>
      <c r="N57" t="n">
        <v>260345.436993381</v>
      </c>
      <c r="O57" t="n">
        <v>270268.057516543</v>
      </c>
      <c r="P57" t="n">
        <v>278497.762506698</v>
      </c>
      <c r="Q57" t="n">
        <v>289075.434832199</v>
      </c>
      <c r="R57" t="n">
        <v>301833.353400832</v>
      </c>
      <c r="S57" t="n">
        <v>308878.200534964</v>
      </c>
      <c r="T57" t="n">
        <v>312448.799883487</v>
      </c>
      <c r="U57" t="n">
        <v>312624.768954327</v>
      </c>
      <c r="V57" t="n">
        <v>311387.640964103</v>
      </c>
      <c r="W57" t="n">
        <v>306870.355188224</v>
      </c>
      <c r="X57" t="n">
        <v>300840.874091686</v>
      </c>
      <c r="Y57" t="n">
        <v>293035.787006217</v>
      </c>
      <c r="Z57" t="n">
        <v>285058.757931959</v>
      </c>
      <c r="AA57" t="n">
        <v>277206.061021307</v>
      </c>
      <c r="AB57" t="n">
        <v>269554.213238794</v>
      </c>
      <c r="AC57" t="n">
        <v>262408.321901897</v>
      </c>
      <c r="AD57" t="n">
        <v>255672.482602489</v>
      </c>
      <c r="AE57" t="n">
        <v>249441.9</v>
      </c>
      <c r="AF57" t="n">
        <v>243895.6</v>
      </c>
    </row>
    <row r="58">
      <c r="A58" t="s">
        <v>147</v>
      </c>
      <c r="B58" t="s">
        <v>386</v>
      </c>
      <c r="C58" t="s">
        <v>217</v>
      </c>
      <c r="D58" t="s">
        <v>387</v>
      </c>
      <c r="E58" t="s">
        <v>218</v>
      </c>
      <c r="F58" t="n">
        <v>215911.462415855</v>
      </c>
      <c r="G58" t="n">
        <v>220347.899075107</v>
      </c>
      <c r="H58" t="n">
        <v>223774.735717573</v>
      </c>
      <c r="I58" t="n">
        <v>229661.404047057</v>
      </c>
      <c r="J58" t="n">
        <v>235841.610159838</v>
      </c>
      <c r="K58" t="n">
        <v>242279.25123872</v>
      </c>
      <c r="L58" t="n">
        <v>247375.863096653</v>
      </c>
      <c r="M58" t="n">
        <v>252749.221237506</v>
      </c>
      <c r="N58" t="n">
        <v>260345.436993381</v>
      </c>
      <c r="O58" t="n">
        <v>270268.057516543</v>
      </c>
      <c r="P58" t="n">
        <v>278497.762506698</v>
      </c>
      <c r="Q58" t="n">
        <v>289075.434832199</v>
      </c>
      <c r="R58" t="n">
        <v>301833.353400832</v>
      </c>
      <c r="S58" t="n">
        <v>308878.200534964</v>
      </c>
      <c r="T58" t="n">
        <v>312448.799883487</v>
      </c>
      <c r="U58" t="n">
        <v>312624.768954327</v>
      </c>
      <c r="V58" t="n">
        <v>311387.640964103</v>
      </c>
      <c r="W58" t="n">
        <v>306870.355188224</v>
      </c>
      <c r="X58" t="n">
        <v>300840.874091686</v>
      </c>
      <c r="Y58" t="n">
        <v>293035.787006217</v>
      </c>
      <c r="Z58" t="n">
        <v>285058.757931959</v>
      </c>
      <c r="AA58" t="n">
        <v>277206.061021307</v>
      </c>
      <c r="AB58" t="n">
        <v>269554.213238794</v>
      </c>
      <c r="AC58" t="n">
        <v>262408.321901897</v>
      </c>
      <c r="AD58" t="n">
        <v>255672.482602489</v>
      </c>
      <c r="AE58" t="n">
        <v>249441.9</v>
      </c>
      <c r="AF58" t="n">
        <v>243895.6</v>
      </c>
    </row>
    <row r="59">
      <c r="A59" t="s">
        <v>147</v>
      </c>
      <c r="B59" t="s">
        <v>388</v>
      </c>
      <c r="C59" t="s">
        <v>217</v>
      </c>
      <c r="D59" t="s">
        <v>389</v>
      </c>
      <c r="E59" t="s">
        <v>218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148</v>
      </c>
      <c r="B2" t="s">
        <v>197</v>
      </c>
      <c r="C2" t="s">
        <v>217</v>
      </c>
      <c r="D2" t="s">
        <v>199</v>
      </c>
      <c r="E2" t="s">
        <v>218</v>
      </c>
      <c r="F2" t="n">
        <v>302.992916949634</v>
      </c>
      <c r="G2" t="n">
        <v>300.041270575284</v>
      </c>
      <c r="H2" t="n">
        <v>293.228344358769</v>
      </c>
      <c r="I2" t="n">
        <v>302.101248150605</v>
      </c>
      <c r="J2" t="n">
        <v>310.33914539566</v>
      </c>
      <c r="K2" t="n">
        <v>361.854054989302</v>
      </c>
      <c r="L2" t="n">
        <v>406.195621326647</v>
      </c>
      <c r="M2" t="n">
        <v>431.965962562646</v>
      </c>
      <c r="N2" t="n">
        <v>454.468284088316</v>
      </c>
      <c r="O2" t="n">
        <v>447.173295996842</v>
      </c>
      <c r="P2" t="n">
        <v>448.087605002118</v>
      </c>
      <c r="Q2" t="n">
        <v>453.131464816742</v>
      </c>
      <c r="R2" t="n">
        <v>449.644826077589</v>
      </c>
      <c r="S2" t="n">
        <v>469.735491704525</v>
      </c>
      <c r="T2" t="n">
        <v>483.925899280255</v>
      </c>
      <c r="U2" t="n">
        <v>464.046389000408</v>
      </c>
      <c r="V2" t="n">
        <v>469.323170681349</v>
      </c>
      <c r="W2" t="n">
        <v>495.18786557705</v>
      </c>
      <c r="X2" t="n">
        <v>548.168770686459</v>
      </c>
      <c r="Y2" t="n">
        <v>581.276823350243</v>
      </c>
      <c r="Z2" t="n">
        <v>570.279117103903</v>
      </c>
      <c r="AA2" t="n">
        <v>602.335623149486</v>
      </c>
      <c r="AB2" t="n">
        <v>595.310096155633</v>
      </c>
      <c r="AC2" t="n">
        <v>583.008182682466</v>
      </c>
      <c r="AD2" t="n">
        <v>585.339404553415</v>
      </c>
      <c r="AE2" t="n">
        <v>572.8</v>
      </c>
      <c r="AF2" t="n">
        <v>532.6</v>
      </c>
    </row>
    <row r="3">
      <c r="A3" t="s">
        <v>148</v>
      </c>
      <c r="B3" t="s">
        <v>276</v>
      </c>
      <c r="C3" t="s">
        <v>217</v>
      </c>
      <c r="D3" t="s">
        <v>277</v>
      </c>
      <c r="E3" t="s">
        <v>218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148</v>
      </c>
      <c r="B4" t="s">
        <v>278</v>
      </c>
      <c r="C4" t="s">
        <v>217</v>
      </c>
      <c r="D4" t="s">
        <v>279</v>
      </c>
      <c r="E4" t="s">
        <v>218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148</v>
      </c>
      <c r="B5" t="s">
        <v>280</v>
      </c>
      <c r="C5" t="s">
        <v>217</v>
      </c>
      <c r="D5" t="s">
        <v>281</v>
      </c>
      <c r="E5" t="s">
        <v>218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148</v>
      </c>
      <c r="B6" t="s">
        <v>282</v>
      </c>
      <c r="C6" t="s">
        <v>217</v>
      </c>
      <c r="D6" t="s">
        <v>283</v>
      </c>
      <c r="E6" t="s">
        <v>218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148</v>
      </c>
      <c r="B7" t="s">
        <v>284</v>
      </c>
      <c r="C7" t="s">
        <v>217</v>
      </c>
      <c r="D7" t="s">
        <v>285</v>
      </c>
      <c r="E7" t="s">
        <v>218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148</v>
      </c>
      <c r="B8" t="s">
        <v>286</v>
      </c>
      <c r="C8" t="s">
        <v>217</v>
      </c>
      <c r="D8" t="s">
        <v>287</v>
      </c>
      <c r="E8" t="s">
        <v>218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148</v>
      </c>
      <c r="B9" t="s">
        <v>288</v>
      </c>
      <c r="C9" t="s">
        <v>217</v>
      </c>
      <c r="D9" t="s">
        <v>289</v>
      </c>
      <c r="E9" t="s">
        <v>218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148</v>
      </c>
      <c r="B10" t="s">
        <v>290</v>
      </c>
      <c r="C10" t="s">
        <v>217</v>
      </c>
      <c r="D10" t="s">
        <v>291</v>
      </c>
      <c r="E10" t="s">
        <v>218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148</v>
      </c>
      <c r="B11" t="s">
        <v>292</v>
      </c>
      <c r="C11" t="s">
        <v>217</v>
      </c>
      <c r="D11" t="s">
        <v>293</v>
      </c>
      <c r="E11" t="s">
        <v>218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148</v>
      </c>
      <c r="B12" t="s">
        <v>294</v>
      </c>
      <c r="C12" t="s">
        <v>217</v>
      </c>
      <c r="D12" t="s">
        <v>295</v>
      </c>
      <c r="E12" t="s">
        <v>218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148</v>
      </c>
      <c r="B13" t="s">
        <v>296</v>
      </c>
      <c r="C13" t="s">
        <v>217</v>
      </c>
      <c r="D13" t="s">
        <v>297</v>
      </c>
      <c r="E13" t="s">
        <v>218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148</v>
      </c>
      <c r="B14" t="s">
        <v>298</v>
      </c>
      <c r="C14" t="s">
        <v>217</v>
      </c>
      <c r="D14" t="s">
        <v>299</v>
      </c>
      <c r="E14" t="s">
        <v>218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148</v>
      </c>
      <c r="B15" t="s">
        <v>300</v>
      </c>
      <c r="C15" t="s">
        <v>217</v>
      </c>
      <c r="D15" t="s">
        <v>301</v>
      </c>
      <c r="E15" t="s">
        <v>218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148</v>
      </c>
      <c r="B16" t="s">
        <v>302</v>
      </c>
      <c r="C16" t="s">
        <v>217</v>
      </c>
      <c r="D16" t="s">
        <v>303</v>
      </c>
      <c r="E16" t="s">
        <v>218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148</v>
      </c>
      <c r="B17" t="s">
        <v>304</v>
      </c>
      <c r="C17" t="s">
        <v>217</v>
      </c>
      <c r="D17" t="s">
        <v>305</v>
      </c>
      <c r="E17" t="s">
        <v>218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148</v>
      </c>
      <c r="B18" t="s">
        <v>306</v>
      </c>
      <c r="C18" t="s">
        <v>217</v>
      </c>
      <c r="D18" t="s">
        <v>307</v>
      </c>
      <c r="E18" t="s">
        <v>218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148</v>
      </c>
      <c r="B19" t="s">
        <v>308</v>
      </c>
      <c r="C19" t="s">
        <v>217</v>
      </c>
      <c r="D19" t="s">
        <v>309</v>
      </c>
      <c r="E19" t="s">
        <v>218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148</v>
      </c>
      <c r="B20" t="s">
        <v>310</v>
      </c>
      <c r="C20" t="s">
        <v>217</v>
      </c>
      <c r="D20" t="s">
        <v>311</v>
      </c>
      <c r="E20" t="s">
        <v>218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148</v>
      </c>
      <c r="B21" t="s">
        <v>312</v>
      </c>
      <c r="C21" t="s">
        <v>217</v>
      </c>
      <c r="D21" t="s">
        <v>313</v>
      </c>
      <c r="E21" t="s">
        <v>218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148</v>
      </c>
      <c r="B22" t="s">
        <v>314</v>
      </c>
      <c r="C22" t="s">
        <v>217</v>
      </c>
      <c r="D22" t="s">
        <v>315</v>
      </c>
      <c r="E22" t="s">
        <v>218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148</v>
      </c>
      <c r="B23" t="s">
        <v>316</v>
      </c>
      <c r="C23" t="s">
        <v>217</v>
      </c>
      <c r="D23" t="s">
        <v>317</v>
      </c>
      <c r="E23" t="s">
        <v>218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148</v>
      </c>
      <c r="B24" t="s">
        <v>318</v>
      </c>
      <c r="C24" t="s">
        <v>217</v>
      </c>
      <c r="D24" t="s">
        <v>319</v>
      </c>
      <c r="E24" t="s">
        <v>218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148</v>
      </c>
      <c r="B25" t="s">
        <v>320</v>
      </c>
      <c r="C25" t="s">
        <v>217</v>
      </c>
      <c r="D25" t="s">
        <v>321</v>
      </c>
      <c r="E25" t="s">
        <v>218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148</v>
      </c>
      <c r="B26" t="s">
        <v>322</v>
      </c>
      <c r="C26" t="s">
        <v>217</v>
      </c>
      <c r="D26" t="s">
        <v>323</v>
      </c>
      <c r="E26" t="s">
        <v>218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148</v>
      </c>
      <c r="B27" t="s">
        <v>324</v>
      </c>
      <c r="C27" t="s">
        <v>217</v>
      </c>
      <c r="D27" t="s">
        <v>325</v>
      </c>
      <c r="E27" t="s">
        <v>218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148</v>
      </c>
      <c r="B28" t="s">
        <v>326</v>
      </c>
      <c r="C28" t="s">
        <v>217</v>
      </c>
      <c r="D28" t="s">
        <v>327</v>
      </c>
      <c r="E28" t="s">
        <v>218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148</v>
      </c>
      <c r="B29" t="s">
        <v>328</v>
      </c>
      <c r="C29" t="s">
        <v>217</v>
      </c>
      <c r="D29" t="s">
        <v>329</v>
      </c>
      <c r="E29" t="s">
        <v>218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148</v>
      </c>
      <c r="B30" t="s">
        <v>330</v>
      </c>
      <c r="C30" t="s">
        <v>217</v>
      </c>
      <c r="D30" t="s">
        <v>331</v>
      </c>
      <c r="E30" t="s">
        <v>218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148</v>
      </c>
      <c r="B31" t="s">
        <v>332</v>
      </c>
      <c r="C31" t="s">
        <v>217</v>
      </c>
      <c r="D31" t="s">
        <v>333</v>
      </c>
      <c r="E31" t="s">
        <v>218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148</v>
      </c>
      <c r="B32" t="s">
        <v>334</v>
      </c>
      <c r="C32" t="s">
        <v>217</v>
      </c>
      <c r="D32" t="s">
        <v>335</v>
      </c>
      <c r="E32" t="s">
        <v>218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148</v>
      </c>
      <c r="B33" t="s">
        <v>336</v>
      </c>
      <c r="C33" t="s">
        <v>217</v>
      </c>
      <c r="D33" t="s">
        <v>337</v>
      </c>
      <c r="E33" t="s">
        <v>218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148</v>
      </c>
      <c r="B34" t="s">
        <v>338</v>
      </c>
      <c r="C34" t="s">
        <v>217</v>
      </c>
      <c r="D34" t="s">
        <v>339</v>
      </c>
      <c r="E34" t="s">
        <v>218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148</v>
      </c>
      <c r="B35" t="s">
        <v>340</v>
      </c>
      <c r="C35" t="s">
        <v>217</v>
      </c>
      <c r="D35" t="s">
        <v>341</v>
      </c>
      <c r="E35" t="s">
        <v>218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s">
        <v>148</v>
      </c>
      <c r="B36" t="s">
        <v>342</v>
      </c>
      <c r="C36" t="s">
        <v>217</v>
      </c>
      <c r="D36" t="s">
        <v>343</v>
      </c>
      <c r="E36" t="s">
        <v>218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148</v>
      </c>
      <c r="B37" t="s">
        <v>344</v>
      </c>
      <c r="C37" t="s">
        <v>217</v>
      </c>
      <c r="D37" t="s">
        <v>345</v>
      </c>
      <c r="E37" t="s">
        <v>218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148</v>
      </c>
      <c r="B38" t="s">
        <v>346</v>
      </c>
      <c r="C38" t="s">
        <v>217</v>
      </c>
      <c r="D38" t="s">
        <v>347</v>
      </c>
      <c r="E38" t="s">
        <v>218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148</v>
      </c>
      <c r="B39" t="s">
        <v>348</v>
      </c>
      <c r="C39" t="s">
        <v>217</v>
      </c>
      <c r="D39" t="s">
        <v>349</v>
      </c>
      <c r="E39" t="s">
        <v>218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148</v>
      </c>
      <c r="B40" t="s">
        <v>350</v>
      </c>
      <c r="C40" t="s">
        <v>217</v>
      </c>
      <c r="D40" t="s">
        <v>351</v>
      </c>
      <c r="E40" t="s">
        <v>218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s">
        <v>148</v>
      </c>
      <c r="B41" t="s">
        <v>352</v>
      </c>
      <c r="C41" t="s">
        <v>217</v>
      </c>
      <c r="D41" t="s">
        <v>353</v>
      </c>
      <c r="E41" t="s">
        <v>218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148</v>
      </c>
      <c r="B42" t="s">
        <v>354</v>
      </c>
      <c r="C42" t="s">
        <v>217</v>
      </c>
      <c r="D42" t="s">
        <v>355</v>
      </c>
      <c r="E42" t="s">
        <v>218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148</v>
      </c>
      <c r="B43" t="s">
        <v>356</v>
      </c>
      <c r="C43" t="s">
        <v>217</v>
      </c>
      <c r="D43" t="s">
        <v>357</v>
      </c>
      <c r="E43" t="s">
        <v>218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148</v>
      </c>
      <c r="B44" t="s">
        <v>358</v>
      </c>
      <c r="C44" t="s">
        <v>217</v>
      </c>
      <c r="D44" t="s">
        <v>359</v>
      </c>
      <c r="E44" t="s">
        <v>218</v>
      </c>
      <c r="F44" t="n">
        <v>302.992916949634</v>
      </c>
      <c r="G44" t="n">
        <v>300.041270575284</v>
      </c>
      <c r="H44" t="n">
        <v>293.228344358769</v>
      </c>
      <c r="I44" t="n">
        <v>302.101248150605</v>
      </c>
      <c r="J44" t="n">
        <v>310.33914539566</v>
      </c>
      <c r="K44" t="n">
        <v>361.854054989302</v>
      </c>
      <c r="L44" t="n">
        <v>406.195621326647</v>
      </c>
      <c r="M44" t="n">
        <v>431.965962562646</v>
      </c>
      <c r="N44" t="n">
        <v>454.468284088316</v>
      </c>
      <c r="O44" t="n">
        <v>447.173295996842</v>
      </c>
      <c r="P44" t="n">
        <v>448.087605002118</v>
      </c>
      <c r="Q44" t="n">
        <v>453.131464816742</v>
      </c>
      <c r="R44" t="n">
        <v>449.644826077589</v>
      </c>
      <c r="S44" t="n">
        <v>469.735491704525</v>
      </c>
      <c r="T44" t="n">
        <v>483.925899280255</v>
      </c>
      <c r="U44" t="n">
        <v>464.046389000408</v>
      </c>
      <c r="V44" t="n">
        <v>469.323170681349</v>
      </c>
      <c r="W44" t="n">
        <v>495.18786557705</v>
      </c>
      <c r="X44" t="n">
        <v>548.168770686459</v>
      </c>
      <c r="Y44" t="n">
        <v>581.276823350243</v>
      </c>
      <c r="Z44" t="n">
        <v>570.279117103903</v>
      </c>
      <c r="AA44" t="n">
        <v>602.335623149486</v>
      </c>
      <c r="AB44" t="n">
        <v>595.310096155633</v>
      </c>
      <c r="AC44" t="n">
        <v>583.008182682466</v>
      </c>
      <c r="AD44" t="n">
        <v>585.339404553415</v>
      </c>
      <c r="AE44" t="n">
        <v>572.8</v>
      </c>
      <c r="AF44" t="n">
        <v>532.6</v>
      </c>
    </row>
    <row r="45">
      <c r="A45" t="s">
        <v>148</v>
      </c>
      <c r="B45" t="s">
        <v>360</v>
      </c>
      <c r="C45" t="s">
        <v>217</v>
      </c>
      <c r="D45" t="s">
        <v>361</v>
      </c>
      <c r="E45" t="s">
        <v>218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</row>
    <row r="46">
      <c r="A46" t="s">
        <v>148</v>
      </c>
      <c r="B46" t="s">
        <v>362</v>
      </c>
      <c r="C46" t="s">
        <v>217</v>
      </c>
      <c r="D46" t="s">
        <v>363</v>
      </c>
      <c r="E46" t="s">
        <v>218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148</v>
      </c>
      <c r="B47" t="s">
        <v>364</v>
      </c>
      <c r="C47" t="s">
        <v>217</v>
      </c>
      <c r="D47" t="s">
        <v>365</v>
      </c>
      <c r="E47" t="s">
        <v>218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s">
        <v>148</v>
      </c>
      <c r="B48" t="s">
        <v>366</v>
      </c>
      <c r="C48" t="s">
        <v>217</v>
      </c>
      <c r="D48" t="s">
        <v>367</v>
      </c>
      <c r="E48" t="s">
        <v>218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s">
        <v>148</v>
      </c>
      <c r="B49" t="s">
        <v>368</v>
      </c>
      <c r="C49" t="s">
        <v>217</v>
      </c>
      <c r="D49" t="s">
        <v>369</v>
      </c>
      <c r="E49" t="s">
        <v>218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148</v>
      </c>
      <c r="B50" t="s">
        <v>370</v>
      </c>
      <c r="C50" t="s">
        <v>217</v>
      </c>
      <c r="D50" t="s">
        <v>371</v>
      </c>
      <c r="E50" t="s">
        <v>218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148</v>
      </c>
      <c r="B51" t="s">
        <v>372</v>
      </c>
      <c r="C51" t="s">
        <v>217</v>
      </c>
      <c r="D51" t="s">
        <v>373</v>
      </c>
      <c r="E51" t="s">
        <v>218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148</v>
      </c>
      <c r="B52" t="s">
        <v>374</v>
      </c>
      <c r="C52" t="s">
        <v>217</v>
      </c>
      <c r="D52" t="s">
        <v>375</v>
      </c>
      <c r="E52" t="s">
        <v>218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148</v>
      </c>
      <c r="B53" t="s">
        <v>376</v>
      </c>
      <c r="C53" t="s">
        <v>217</v>
      </c>
      <c r="D53" t="s">
        <v>377</v>
      </c>
      <c r="E53" t="s">
        <v>218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148</v>
      </c>
      <c r="B54" t="s">
        <v>378</v>
      </c>
      <c r="C54" t="s">
        <v>217</v>
      </c>
      <c r="D54" t="s">
        <v>379</v>
      </c>
      <c r="E54" t="s">
        <v>218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s">
        <v>148</v>
      </c>
      <c r="B55" t="s">
        <v>380</v>
      </c>
      <c r="C55" t="s">
        <v>217</v>
      </c>
      <c r="D55" t="s">
        <v>381</v>
      </c>
      <c r="E55" t="s">
        <v>218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148</v>
      </c>
      <c r="B56" t="s">
        <v>382</v>
      </c>
      <c r="C56" t="s">
        <v>217</v>
      </c>
      <c r="D56" t="s">
        <v>383</v>
      </c>
      <c r="E56" t="s">
        <v>218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148</v>
      </c>
      <c r="B57" t="s">
        <v>384</v>
      </c>
      <c r="C57" t="s">
        <v>217</v>
      </c>
      <c r="D57" t="s">
        <v>385</v>
      </c>
      <c r="E57" t="s">
        <v>218</v>
      </c>
      <c r="F57" t="n">
        <v>308.842119213009</v>
      </c>
      <c r="G57" t="n">
        <v>305.83349204575</v>
      </c>
      <c r="H57" t="n">
        <v>298.889043997481</v>
      </c>
      <c r="I57" t="n">
        <v>307.933236971469</v>
      </c>
      <c r="J57" t="n">
        <v>316.330164756565</v>
      </c>
      <c r="K57" t="n">
        <v>368.839556758661</v>
      </c>
      <c r="L57" t="n">
        <v>414.037125912155</v>
      </c>
      <c r="M57" t="n">
        <v>440.304957121857</v>
      </c>
      <c r="N57" t="n">
        <v>463.241680320425</v>
      </c>
      <c r="O57" t="n">
        <v>455.805864313614</v>
      </c>
      <c r="P57" t="n">
        <v>456.737823824904</v>
      </c>
      <c r="Q57" t="n">
        <v>461.879054088121</v>
      </c>
      <c r="R57" t="n">
        <v>458.325106662647</v>
      </c>
      <c r="S57" t="n">
        <v>478.80361755026</v>
      </c>
      <c r="T57" t="n">
        <v>493.267967384925</v>
      </c>
      <c r="U57" t="n">
        <v>473.004688145412</v>
      </c>
      <c r="V57" t="n">
        <v>477.103730873563</v>
      </c>
      <c r="W57" t="n">
        <v>501.872628686164</v>
      </c>
      <c r="X57" t="n">
        <v>553.344067409334</v>
      </c>
      <c r="Y57" t="n">
        <v>587.502402189762</v>
      </c>
      <c r="Z57" t="n">
        <v>577.35647813813</v>
      </c>
      <c r="AA57" t="n">
        <v>611.558851290433</v>
      </c>
      <c r="AB57" t="n">
        <v>605.256251201108</v>
      </c>
      <c r="AC57" t="n">
        <v>591.72409924336</v>
      </c>
      <c r="AD57" t="n">
        <v>593.041744548287</v>
      </c>
      <c r="AE57" t="n">
        <v>579.6</v>
      </c>
      <c r="AF57" t="n">
        <v>538.5</v>
      </c>
    </row>
    <row r="58">
      <c r="A58" t="s">
        <v>148</v>
      </c>
      <c r="B58" t="s">
        <v>386</v>
      </c>
      <c r="C58" t="s">
        <v>217</v>
      </c>
      <c r="D58" t="s">
        <v>387</v>
      </c>
      <c r="E58" t="s">
        <v>218</v>
      </c>
      <c r="F58" t="n">
        <v>308.842119213009</v>
      </c>
      <c r="G58" t="n">
        <v>305.83349204575</v>
      </c>
      <c r="H58" t="n">
        <v>298.889043997481</v>
      </c>
      <c r="I58" t="n">
        <v>307.933236971469</v>
      </c>
      <c r="J58" t="n">
        <v>316.330164756565</v>
      </c>
      <c r="K58" t="n">
        <v>368.839556758661</v>
      </c>
      <c r="L58" t="n">
        <v>414.037125912155</v>
      </c>
      <c r="M58" t="n">
        <v>440.304957121857</v>
      </c>
      <c r="N58" t="n">
        <v>463.241680320425</v>
      </c>
      <c r="O58" t="n">
        <v>455.805864313614</v>
      </c>
      <c r="P58" t="n">
        <v>456.737823824904</v>
      </c>
      <c r="Q58" t="n">
        <v>461.879054088121</v>
      </c>
      <c r="R58" t="n">
        <v>458.325106662647</v>
      </c>
      <c r="S58" t="n">
        <v>478.80361755026</v>
      </c>
      <c r="T58" t="n">
        <v>493.267967384925</v>
      </c>
      <c r="U58" t="n">
        <v>473.004688145412</v>
      </c>
      <c r="V58" t="n">
        <v>477.103730873563</v>
      </c>
      <c r="W58" t="n">
        <v>501.872628686164</v>
      </c>
      <c r="X58" t="n">
        <v>553.344067409334</v>
      </c>
      <c r="Y58" t="n">
        <v>587.502402189762</v>
      </c>
      <c r="Z58" t="n">
        <v>577.35647813813</v>
      </c>
      <c r="AA58" t="n">
        <v>611.558851290433</v>
      </c>
      <c r="AB58" t="n">
        <v>605.256251201108</v>
      </c>
      <c r="AC58" t="n">
        <v>591.72409924336</v>
      </c>
      <c r="AD58" t="n">
        <v>593.041744548287</v>
      </c>
      <c r="AE58" t="n">
        <v>579.6</v>
      </c>
      <c r="AF58" t="n">
        <v>538.5</v>
      </c>
    </row>
    <row r="59">
      <c r="A59" t="s">
        <v>148</v>
      </c>
      <c r="B59" t="s">
        <v>388</v>
      </c>
      <c r="C59" t="s">
        <v>217</v>
      </c>
      <c r="D59" t="s">
        <v>389</v>
      </c>
      <c r="E59" t="s">
        <v>218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149</v>
      </c>
      <c r="B2" t="s">
        <v>197</v>
      </c>
      <c r="C2" t="s">
        <v>217</v>
      </c>
      <c r="D2" t="s">
        <v>199</v>
      </c>
      <c r="E2" t="s">
        <v>218</v>
      </c>
      <c r="F2" t="n">
        <v>1.73704710767875</v>
      </c>
      <c r="G2" t="n">
        <v>1.93005234186528</v>
      </c>
      <c r="H2" t="n">
        <v>2.10551164567122</v>
      </c>
      <c r="I2" t="n">
        <v>2.26747407995362</v>
      </c>
      <c r="J2" t="n">
        <v>2.56980395728077</v>
      </c>
      <c r="K2" t="n">
        <v>2.99810461682756</v>
      </c>
      <c r="L2" t="n">
        <v>3.54321454715984</v>
      </c>
      <c r="M2" t="n">
        <v>3.93690505239983</v>
      </c>
      <c r="N2" t="n">
        <v>4.31789586392239</v>
      </c>
      <c r="O2" t="n">
        <v>4.56463277043224</v>
      </c>
      <c r="P2" t="n">
        <v>4.9157583681578</v>
      </c>
      <c r="Q2" t="n">
        <v>5.25871825430834</v>
      </c>
      <c r="R2" t="n">
        <v>5.6969447755007</v>
      </c>
      <c r="S2" t="n">
        <v>6.02561466639498</v>
      </c>
      <c r="T2" t="n">
        <v>6.22987279067955</v>
      </c>
      <c r="U2" t="n">
        <v>6.53131824829308</v>
      </c>
      <c r="V2" t="n">
        <v>6.53131824829308</v>
      </c>
      <c r="W2" t="n">
        <v>6.23444014609794</v>
      </c>
      <c r="X2" t="n">
        <v>6.03961389153238</v>
      </c>
      <c r="Y2" t="n">
        <v>5.9422007642496</v>
      </c>
      <c r="Z2" t="n">
        <v>5.74412740544128</v>
      </c>
      <c r="AA2" t="n">
        <v>5.84490157044902</v>
      </c>
      <c r="AB2" t="n">
        <v>6.65109489051095</v>
      </c>
      <c r="AC2" t="n">
        <v>6.65109489051095</v>
      </c>
      <c r="AD2" t="n">
        <v>9.92700729927007</v>
      </c>
      <c r="AE2" t="n">
        <v>13.6</v>
      </c>
      <c r="AF2" t="n">
        <v>17.1</v>
      </c>
    </row>
    <row r="3">
      <c r="A3" t="s">
        <v>149</v>
      </c>
      <c r="B3" t="s">
        <v>276</v>
      </c>
      <c r="C3" t="s">
        <v>217</v>
      </c>
      <c r="D3" t="s">
        <v>277</v>
      </c>
      <c r="E3" t="s">
        <v>218</v>
      </c>
      <c r="F3" t="n">
        <v>0.213712121212121</v>
      </c>
      <c r="G3" t="n">
        <v>0.213712121212121</v>
      </c>
      <c r="H3" t="n">
        <v>0.213712121212121</v>
      </c>
      <c r="I3" t="n">
        <v>0.320568181818182</v>
      </c>
      <c r="J3" t="n">
        <v>0.320568181818182</v>
      </c>
      <c r="K3" t="n">
        <v>0.427424242424242</v>
      </c>
      <c r="L3" t="n">
        <v>0.534280303030303</v>
      </c>
      <c r="M3" t="n">
        <v>0.641136363636364</v>
      </c>
      <c r="N3" t="n">
        <v>0.641136363636364</v>
      </c>
      <c r="O3" t="n">
        <v>0.747992424242424</v>
      </c>
      <c r="P3" t="n">
        <v>0.854848484848485</v>
      </c>
      <c r="Q3" t="n">
        <v>0.961704545454546</v>
      </c>
      <c r="R3" t="n">
        <v>1.06856060606061</v>
      </c>
      <c r="S3" t="n">
        <v>1.06856060606061</v>
      </c>
      <c r="T3" t="n">
        <v>1.16570247933884</v>
      </c>
      <c r="U3" t="n">
        <v>1.16570247933884</v>
      </c>
      <c r="V3" t="n">
        <v>1.16570247933884</v>
      </c>
      <c r="W3" t="n">
        <v>1.07603305785124</v>
      </c>
      <c r="X3" t="n">
        <v>1.07603305785124</v>
      </c>
      <c r="Y3" t="n">
        <v>1.07603305785124</v>
      </c>
      <c r="Z3" t="n">
        <v>0.986363636363636</v>
      </c>
      <c r="AA3" t="n">
        <v>0.986363636363636</v>
      </c>
      <c r="AB3" t="n">
        <v>6.90454545454545</v>
      </c>
      <c r="AC3" t="n">
        <v>11.2445454545455</v>
      </c>
      <c r="AD3" t="n">
        <v>19.1354545454545</v>
      </c>
      <c r="AE3" t="n">
        <v>21.7</v>
      </c>
      <c r="AF3" t="n">
        <v>24.4</v>
      </c>
    </row>
    <row r="4">
      <c r="A4" t="s">
        <v>149</v>
      </c>
      <c r="B4" t="s">
        <v>278</v>
      </c>
      <c r="C4" t="s">
        <v>217</v>
      </c>
      <c r="D4" t="s">
        <v>279</v>
      </c>
      <c r="E4" t="s">
        <v>218</v>
      </c>
      <c r="F4" t="n">
        <v>156.177735374109</v>
      </c>
      <c r="G4" t="n">
        <v>181.525954204462</v>
      </c>
      <c r="H4" t="n">
        <v>201.067856759694</v>
      </c>
      <c r="I4" t="n">
        <v>234.844937239152</v>
      </c>
      <c r="J4" t="n">
        <v>280.352176986023</v>
      </c>
      <c r="K4" t="n">
        <v>325.978383418218</v>
      </c>
      <c r="L4" t="n">
        <v>381.674490445362</v>
      </c>
      <c r="M4" t="n">
        <v>422.335290432506</v>
      </c>
      <c r="N4" t="n">
        <v>461.788320232696</v>
      </c>
      <c r="O4" t="n">
        <v>495.722033094983</v>
      </c>
      <c r="P4" t="n">
        <v>538.185901219759</v>
      </c>
      <c r="Q4" t="n">
        <v>581.901565361435</v>
      </c>
      <c r="R4" t="n">
        <v>648.09354884876</v>
      </c>
      <c r="S4" t="n">
        <v>697.904977006157</v>
      </c>
      <c r="T4" t="n">
        <v>732.993466814832</v>
      </c>
      <c r="U4" t="n">
        <v>775.111440291986</v>
      </c>
      <c r="V4" t="n">
        <v>778.290227783593</v>
      </c>
      <c r="W4" t="n">
        <v>743.548643260627</v>
      </c>
      <c r="X4" t="n">
        <v>725.290790385967</v>
      </c>
      <c r="Y4" t="n">
        <v>712.799133248478</v>
      </c>
      <c r="Z4" t="n">
        <v>657.357020048397</v>
      </c>
      <c r="AA4" t="n">
        <v>647.372861177674</v>
      </c>
      <c r="AB4" t="n">
        <v>686.519144870837</v>
      </c>
      <c r="AC4" t="n">
        <v>694.981170293404</v>
      </c>
      <c r="AD4" t="n">
        <v>746.934055727554</v>
      </c>
      <c r="AE4" t="n">
        <v>829.4</v>
      </c>
      <c r="AF4" t="n">
        <v>919.7</v>
      </c>
    </row>
    <row r="5">
      <c r="A5" t="s">
        <v>149</v>
      </c>
      <c r="B5" t="s">
        <v>280</v>
      </c>
      <c r="C5" t="s">
        <v>217</v>
      </c>
      <c r="D5" t="s">
        <v>281</v>
      </c>
      <c r="E5" t="s">
        <v>218</v>
      </c>
      <c r="F5" t="n">
        <v>14.3215032693192</v>
      </c>
      <c r="G5" t="n">
        <v>16.5999242439837</v>
      </c>
      <c r="H5" t="n">
        <v>18.2751459566793</v>
      </c>
      <c r="I5" t="n">
        <v>21.1759627751998</v>
      </c>
      <c r="J5" t="n">
        <v>24.912897382588</v>
      </c>
      <c r="K5" t="n">
        <v>29.0874909980487</v>
      </c>
      <c r="L5" t="n">
        <v>34.6712504307098</v>
      </c>
      <c r="M5" t="n">
        <v>38.622753237151</v>
      </c>
      <c r="N5" t="n">
        <v>42.2475423759128</v>
      </c>
      <c r="O5" t="n">
        <v>45.136263222129</v>
      </c>
      <c r="P5" t="n">
        <v>48.8492720218929</v>
      </c>
      <c r="Q5" t="n">
        <v>52.6586189226827</v>
      </c>
      <c r="R5" t="n">
        <v>58.0873425229592</v>
      </c>
      <c r="S5" t="n">
        <v>62.1121209374714</v>
      </c>
      <c r="T5" t="n">
        <v>64.9538519607544</v>
      </c>
      <c r="U5" t="n">
        <v>68.4675842924799</v>
      </c>
      <c r="V5" t="n">
        <v>68.569927467805</v>
      </c>
      <c r="W5" t="n">
        <v>65.3280827594417</v>
      </c>
      <c r="X5" t="n">
        <v>63.5937088808725</v>
      </c>
      <c r="Y5" t="n">
        <v>62.4339451930754</v>
      </c>
      <c r="Z5" t="n">
        <v>60.6697206821251</v>
      </c>
      <c r="AA5" t="n">
        <v>63.6632924263089</v>
      </c>
      <c r="AB5" t="n">
        <v>65.3730490949459</v>
      </c>
      <c r="AC5" t="n">
        <v>61.1939500660453</v>
      </c>
      <c r="AD5" t="n">
        <v>68.2129653401797</v>
      </c>
      <c r="AE5" t="n">
        <v>76.9</v>
      </c>
      <c r="AF5" t="n">
        <v>86.2</v>
      </c>
    </row>
    <row r="6">
      <c r="A6" t="s">
        <v>149</v>
      </c>
      <c r="B6" t="s">
        <v>282</v>
      </c>
      <c r="C6" t="s">
        <v>217</v>
      </c>
      <c r="D6" t="s">
        <v>283</v>
      </c>
      <c r="E6" t="s">
        <v>218</v>
      </c>
      <c r="F6" t="n">
        <v>1.21747587497562</v>
      </c>
      <c r="G6" t="n">
        <v>1.36966035934757</v>
      </c>
      <c r="H6" t="n">
        <v>1.52184484371952</v>
      </c>
      <c r="I6" t="n">
        <v>1.66019437496675</v>
      </c>
      <c r="J6" t="n">
        <v>1.91560889419241</v>
      </c>
      <c r="K6" t="n">
        <v>2.29873067303089</v>
      </c>
      <c r="L6" t="n">
        <v>2.93726697109502</v>
      </c>
      <c r="M6" t="n">
        <v>3.32038874993351</v>
      </c>
      <c r="N6" t="n">
        <v>3.70351052877199</v>
      </c>
      <c r="O6" t="n">
        <v>3.95041123069012</v>
      </c>
      <c r="P6" t="n">
        <v>4.18983009315619</v>
      </c>
      <c r="Q6" t="n">
        <v>4.41630739548895</v>
      </c>
      <c r="R6" t="n">
        <v>4.73945183906132</v>
      </c>
      <c r="S6" t="n">
        <v>4.95488146810956</v>
      </c>
      <c r="T6" t="n">
        <v>5.05397909747175</v>
      </c>
      <c r="U6" t="n">
        <v>5.24836290891297</v>
      </c>
      <c r="V6" t="n">
        <v>5.24836290891297</v>
      </c>
      <c r="W6" t="n">
        <v>5.05751334858886</v>
      </c>
      <c r="X6" t="n">
        <v>4.87019803938187</v>
      </c>
      <c r="Y6" t="n">
        <v>4.77654038477837</v>
      </c>
      <c r="Z6" t="n">
        <v>5.44525603864734</v>
      </c>
      <c r="AA6" t="n">
        <v>6.70933333333333</v>
      </c>
      <c r="AB6" t="n">
        <v>7.20266666666667</v>
      </c>
      <c r="AC6" t="n">
        <v>6.61066666666667</v>
      </c>
      <c r="AD6" t="n">
        <v>7.30133333333333</v>
      </c>
      <c r="AE6" t="n">
        <v>7.4</v>
      </c>
      <c r="AF6" t="n">
        <v>7.6</v>
      </c>
    </row>
    <row r="7">
      <c r="A7" t="s">
        <v>149</v>
      </c>
      <c r="B7" t="s">
        <v>284</v>
      </c>
      <c r="C7" t="s">
        <v>217</v>
      </c>
      <c r="D7" t="s">
        <v>285</v>
      </c>
      <c r="E7" t="s">
        <v>218</v>
      </c>
      <c r="F7" t="n">
        <v>8.89346806120431</v>
      </c>
      <c r="G7" t="n">
        <v>10.3757127380717</v>
      </c>
      <c r="H7" t="n">
        <v>11.6146038112743</v>
      </c>
      <c r="I7" t="n">
        <v>13.5258677295852</v>
      </c>
      <c r="J7" t="n">
        <v>16.1752645013597</v>
      </c>
      <c r="K7" t="n">
        <v>18.7578697578793</v>
      </c>
      <c r="L7" t="n">
        <v>21.9060437032576</v>
      </c>
      <c r="M7" t="n">
        <v>24.2255071541908</v>
      </c>
      <c r="N7" t="n">
        <v>26.4966484498962</v>
      </c>
      <c r="O7" t="n">
        <v>28.4413565930078</v>
      </c>
      <c r="P7" t="n">
        <v>30.8992516072184</v>
      </c>
      <c r="Q7" t="n">
        <v>33.5024852591085</v>
      </c>
      <c r="R7" t="n">
        <v>37.456876961823</v>
      </c>
      <c r="S7" t="n">
        <v>40.3128265248945</v>
      </c>
      <c r="T7" t="n">
        <v>42.3591628967166</v>
      </c>
      <c r="U7" t="n">
        <v>44.886559250936</v>
      </c>
      <c r="V7" t="n">
        <v>45.0929342359978</v>
      </c>
      <c r="W7" t="n">
        <v>43.1108272366132</v>
      </c>
      <c r="X7" t="n">
        <v>42.0403552284806</v>
      </c>
      <c r="Y7" t="n">
        <v>41.3575652363707</v>
      </c>
      <c r="Z7" t="n">
        <v>35.5200141623375</v>
      </c>
      <c r="AA7" t="n">
        <v>31.8975764573966</v>
      </c>
      <c r="AB7" t="n">
        <v>29.669809212753</v>
      </c>
      <c r="AC7" t="n">
        <v>26.7629697966387</v>
      </c>
      <c r="AD7" t="n">
        <v>23.181308411215</v>
      </c>
      <c r="AE7" t="n">
        <v>21.2</v>
      </c>
      <c r="AF7" t="n">
        <v>19.9</v>
      </c>
    </row>
    <row r="8">
      <c r="A8" t="s">
        <v>149</v>
      </c>
      <c r="B8" t="s">
        <v>286</v>
      </c>
      <c r="C8" t="s">
        <v>217</v>
      </c>
      <c r="D8" t="s">
        <v>287</v>
      </c>
      <c r="E8" t="s">
        <v>218</v>
      </c>
      <c r="F8" t="n">
        <v>0.50546449254642</v>
      </c>
      <c r="G8" t="n">
        <v>0.50546449254642</v>
      </c>
      <c r="H8" t="n">
        <v>0.50546449254642</v>
      </c>
      <c r="I8" t="n">
        <v>0.631830615683024</v>
      </c>
      <c r="J8" t="n">
        <v>0.758196738819629</v>
      </c>
      <c r="K8" t="n">
        <v>0.884562861956234</v>
      </c>
      <c r="L8" t="n">
        <v>1.13729510822944</v>
      </c>
      <c r="M8" t="n">
        <v>1.26366123136605</v>
      </c>
      <c r="N8" t="n">
        <v>1.39002735450265</v>
      </c>
      <c r="O8" t="n">
        <v>1.50586296737788</v>
      </c>
      <c r="P8" t="n">
        <v>1.6216985802531</v>
      </c>
      <c r="Q8" t="n">
        <v>1.72981181893664</v>
      </c>
      <c r="R8" t="n">
        <v>1.94603829630372</v>
      </c>
      <c r="S8" t="n">
        <v>2.05415153498726</v>
      </c>
      <c r="T8" t="n">
        <v>2.15685911173662</v>
      </c>
      <c r="U8" t="n">
        <v>2.25956668848598</v>
      </c>
      <c r="V8" t="n">
        <v>2.25956668848598</v>
      </c>
      <c r="W8" t="n">
        <v>2.16132465855181</v>
      </c>
      <c r="X8" t="n">
        <v>2.16132465855181</v>
      </c>
      <c r="Y8" t="n">
        <v>2.06308262861764</v>
      </c>
      <c r="Z8" t="n">
        <v>4.0279232273011</v>
      </c>
      <c r="AA8" t="n">
        <v>6.64607332504681</v>
      </c>
      <c r="AB8" t="n">
        <v>34.1366493513768</v>
      </c>
      <c r="AC8" t="n">
        <v>59.0175891118555</v>
      </c>
      <c r="AD8" t="n">
        <v>78.1289896128423</v>
      </c>
      <c r="AE8" t="n">
        <v>104.6</v>
      </c>
      <c r="AF8" t="n">
        <v>130.3</v>
      </c>
    </row>
    <row r="9">
      <c r="A9" t="s">
        <v>149</v>
      </c>
      <c r="B9" t="s">
        <v>288</v>
      </c>
      <c r="C9" t="s">
        <v>217</v>
      </c>
      <c r="D9" t="s">
        <v>289</v>
      </c>
      <c r="E9" t="s">
        <v>218</v>
      </c>
      <c r="F9" t="n">
        <v>13.5017299934863</v>
      </c>
      <c r="G9" t="n">
        <v>15.6422481631854</v>
      </c>
      <c r="H9" t="n">
        <v>17.1758019046742</v>
      </c>
      <c r="I9" t="n">
        <v>19.7958394833533</v>
      </c>
      <c r="J9" t="n">
        <v>23.3950830257811</v>
      </c>
      <c r="K9" t="n">
        <v>27.4520338395004</v>
      </c>
      <c r="L9" t="n">
        <v>32.5502686954076</v>
      </c>
      <c r="M9" t="n">
        <v>36.1384872917518</v>
      </c>
      <c r="N9" t="n">
        <v>39.5264704753535</v>
      </c>
      <c r="O9" t="n">
        <v>42.3066197748432</v>
      </c>
      <c r="P9" t="n">
        <v>45.8030346322682</v>
      </c>
      <c r="Q9" t="n">
        <v>49.4042560284171</v>
      </c>
      <c r="R9" t="n">
        <v>54.5300839165752</v>
      </c>
      <c r="S9" t="n">
        <v>58.3471897907354</v>
      </c>
      <c r="T9" t="n">
        <v>61.0965338122884</v>
      </c>
      <c r="U9" t="n">
        <v>64.4180916636978</v>
      </c>
      <c r="V9" t="n">
        <v>64.5208318417898</v>
      </c>
      <c r="W9" t="n">
        <v>61.4671741515677</v>
      </c>
      <c r="X9" t="n">
        <v>59.8241836475164</v>
      </c>
      <c r="Y9" t="n">
        <v>58.662549013584</v>
      </c>
      <c r="Z9" t="n">
        <v>52.2861849903684</v>
      </c>
      <c r="AA9" t="n">
        <v>49.3924839126571</v>
      </c>
      <c r="AB9" t="n">
        <v>54.8246511861469</v>
      </c>
      <c r="AC9" t="n">
        <v>53.0336462472165</v>
      </c>
      <c r="AD9" t="n">
        <v>61.2459459459459</v>
      </c>
      <c r="AE9" t="n">
        <v>73.1</v>
      </c>
      <c r="AF9" t="n">
        <v>85.1</v>
      </c>
    </row>
    <row r="10">
      <c r="A10" t="s">
        <v>149</v>
      </c>
      <c r="B10" t="s">
        <v>290</v>
      </c>
      <c r="C10" t="s">
        <v>217</v>
      </c>
      <c r="D10" t="s">
        <v>291</v>
      </c>
      <c r="E10" t="s">
        <v>218</v>
      </c>
      <c r="F10" t="n">
        <v>61.4120980570517</v>
      </c>
      <c r="G10" t="n">
        <v>71.8930961254552</v>
      </c>
      <c r="H10" t="n">
        <v>80.0001899438576</v>
      </c>
      <c r="I10" t="n">
        <v>94.4002241337519</v>
      </c>
      <c r="J10" t="n">
        <v>114.02662505175</v>
      </c>
      <c r="K10" t="n">
        <v>132.243896509722</v>
      </c>
      <c r="L10" t="n">
        <v>152.849947445162</v>
      </c>
      <c r="M10" t="n">
        <v>168.352750161729</v>
      </c>
      <c r="N10" t="n">
        <v>184.033893060549</v>
      </c>
      <c r="O10" t="n">
        <v>198.432337027811</v>
      </c>
      <c r="P10" t="n">
        <v>216.037086082569</v>
      </c>
      <c r="Q10" t="n">
        <v>234.049558085285</v>
      </c>
      <c r="R10" t="n">
        <v>262.733171215029</v>
      </c>
      <c r="S10" t="n">
        <v>284.345621526859</v>
      </c>
      <c r="T10" t="n">
        <v>299.729422619856</v>
      </c>
      <c r="U10" t="n">
        <v>317.952810424423</v>
      </c>
      <c r="V10" t="n">
        <v>319.698675339544</v>
      </c>
      <c r="W10" t="n">
        <v>305.507365460107</v>
      </c>
      <c r="X10" t="n">
        <v>298.15739402137</v>
      </c>
      <c r="Y10" t="n">
        <v>293.020091718661</v>
      </c>
      <c r="Z10" t="n">
        <v>265.426711767943</v>
      </c>
      <c r="AA10" t="n">
        <v>256.336071658465</v>
      </c>
      <c r="AB10" t="n">
        <v>256.134707894397</v>
      </c>
      <c r="AC10" t="n">
        <v>255.736364647283</v>
      </c>
      <c r="AD10" t="n">
        <v>271.379549166939</v>
      </c>
      <c r="AE10" t="n">
        <v>302.4</v>
      </c>
      <c r="AF10" t="n">
        <v>336.2</v>
      </c>
    </row>
    <row r="11">
      <c r="A11" t="s">
        <v>149</v>
      </c>
      <c r="B11" t="s">
        <v>292</v>
      </c>
      <c r="C11" t="s">
        <v>217</v>
      </c>
      <c r="D11" t="s">
        <v>293</v>
      </c>
      <c r="E11" t="s">
        <v>218</v>
      </c>
      <c r="F11" t="n">
        <v>47.9122072209524</v>
      </c>
      <c r="G11" t="n">
        <v>56.2518746894458</v>
      </c>
      <c r="H11" t="n">
        <v>62.8247839602235</v>
      </c>
      <c r="I11" t="n">
        <v>74.6044309527653</v>
      </c>
      <c r="J11" t="n">
        <v>90.6305679722483</v>
      </c>
      <c r="K11" t="n">
        <v>104.791594217912</v>
      </c>
      <c r="L11" t="n">
        <v>120.301792864593</v>
      </c>
      <c r="M11" t="n">
        <v>132.216666918275</v>
      </c>
      <c r="N11" t="n">
        <v>144.510057200999</v>
      </c>
      <c r="O11" t="n">
        <v>156.128956272436</v>
      </c>
      <c r="P11" t="n">
        <v>170.237696906465</v>
      </c>
      <c r="Q11" t="n">
        <v>184.649353787435</v>
      </c>
      <c r="R11" t="n">
        <v>208.207688352164</v>
      </c>
      <c r="S11" t="n">
        <v>226.004150439947</v>
      </c>
      <c r="T11" t="n">
        <v>238.639188607014</v>
      </c>
      <c r="U11" t="n">
        <v>253.541551439857</v>
      </c>
      <c r="V11" t="n">
        <v>255.184591060366</v>
      </c>
      <c r="W11" t="n">
        <v>244.046754525093</v>
      </c>
      <c r="X11" t="n">
        <v>238.339755509247</v>
      </c>
      <c r="Y11" t="n">
        <v>234.364194087002</v>
      </c>
      <c r="Z11" t="n">
        <v>213.147653465546</v>
      </c>
      <c r="AA11" t="n">
        <v>206.95208172862</v>
      </c>
      <c r="AB11" t="n">
        <v>201.312511618254</v>
      </c>
      <c r="AC11" t="n">
        <v>202.707056478548</v>
      </c>
      <c r="AD11" t="n">
        <v>210.134037052994</v>
      </c>
      <c r="AE11" t="n">
        <v>229.3</v>
      </c>
      <c r="AF11" t="n">
        <v>251.1</v>
      </c>
    </row>
    <row r="12">
      <c r="A12" t="s">
        <v>149</v>
      </c>
      <c r="B12" t="s">
        <v>294</v>
      </c>
      <c r="C12" t="s">
        <v>217</v>
      </c>
      <c r="D12" t="s">
        <v>295</v>
      </c>
      <c r="E12" t="s">
        <v>218</v>
      </c>
      <c r="F12" t="n">
        <v>5.39209586608617</v>
      </c>
      <c r="G12" t="n">
        <v>6.20908008822044</v>
      </c>
      <c r="H12" t="n">
        <v>6.81484399926634</v>
      </c>
      <c r="I12" t="n">
        <v>7.80867541582602</v>
      </c>
      <c r="J12" t="n">
        <v>9.17861847123409</v>
      </c>
      <c r="K12" t="n">
        <v>10.7748999444922</v>
      </c>
      <c r="L12" t="n">
        <v>12.9818071620388</v>
      </c>
      <c r="M12" t="n">
        <v>14.5090785928669</v>
      </c>
      <c r="N12" t="n">
        <v>15.8731799990338</v>
      </c>
      <c r="O12" t="n">
        <v>16.9554422716952</v>
      </c>
      <c r="P12" t="n">
        <v>18.3490402666291</v>
      </c>
      <c r="Q12" t="n">
        <v>19.6916529690654</v>
      </c>
      <c r="R12" t="n">
        <v>21.5309831914506</v>
      </c>
      <c r="S12" t="n">
        <v>22.9375298320981</v>
      </c>
      <c r="T12" t="n">
        <v>23.9479937013536</v>
      </c>
      <c r="U12" t="n">
        <v>25.1453933864212</v>
      </c>
      <c r="V12" t="n">
        <v>25.1453933864212</v>
      </c>
      <c r="W12" t="n">
        <v>23.9712894150708</v>
      </c>
      <c r="X12" t="n">
        <v>23.3000933114488</v>
      </c>
      <c r="Y12" t="n">
        <v>22.9149678021687</v>
      </c>
      <c r="Z12" t="n">
        <v>20.5747157713089</v>
      </c>
      <c r="AA12" t="n">
        <v>19.7833805493355</v>
      </c>
      <c r="AB12" t="n">
        <v>22.1813660704671</v>
      </c>
      <c r="AC12" t="n">
        <v>23.4686774941995</v>
      </c>
      <c r="AD12" t="n">
        <v>31.7517401392111</v>
      </c>
      <c r="AE12" t="n">
        <v>42.5</v>
      </c>
      <c r="AF12" t="n">
        <v>52.9</v>
      </c>
    </row>
    <row r="13">
      <c r="A13" t="s">
        <v>149</v>
      </c>
      <c r="B13" t="s">
        <v>296</v>
      </c>
      <c r="C13" t="s">
        <v>217</v>
      </c>
      <c r="D13" t="s">
        <v>297</v>
      </c>
      <c r="E13" t="s">
        <v>218</v>
      </c>
      <c r="F13" t="n">
        <v>20.653067863323</v>
      </c>
      <c r="G13" t="n">
        <v>23.931332603533</v>
      </c>
      <c r="H13" t="n">
        <v>26.5392342334051</v>
      </c>
      <c r="I13" t="n">
        <v>30.7680133145521</v>
      </c>
      <c r="J13" t="n">
        <v>36.4249126235056</v>
      </c>
      <c r="K13" t="n">
        <v>42.0910101427176</v>
      </c>
      <c r="L13" t="n">
        <v>48.8672718375205</v>
      </c>
      <c r="M13" t="n">
        <v>53.8563388575814</v>
      </c>
      <c r="N13" t="n">
        <v>58.7296502623278</v>
      </c>
      <c r="O13" t="n">
        <v>62.9504670162939</v>
      </c>
      <c r="P13" t="n">
        <v>68.2931265785623</v>
      </c>
      <c r="Q13" t="n">
        <v>73.797013424532</v>
      </c>
      <c r="R13" t="n">
        <v>81.9603998652988</v>
      </c>
      <c r="S13" t="n">
        <v>88.4997934715726</v>
      </c>
      <c r="T13" t="n">
        <v>92.9756450954223</v>
      </c>
      <c r="U13" t="n">
        <v>97.9008414302068</v>
      </c>
      <c r="V13" t="n">
        <v>98.3108973105428</v>
      </c>
      <c r="W13" t="n">
        <v>94.2761157392392</v>
      </c>
      <c r="X13" t="n">
        <v>92.2476337407515</v>
      </c>
      <c r="Y13" t="n">
        <v>90.9892714756626</v>
      </c>
      <c r="Z13" t="n">
        <v>92.1671261225967</v>
      </c>
      <c r="AA13" t="n">
        <v>98.8574808898925</v>
      </c>
      <c r="AB13" t="n">
        <v>110.635816189401</v>
      </c>
      <c r="AC13" t="n">
        <v>116.112836792837</v>
      </c>
      <c r="AD13" t="n">
        <v>120.27032967033</v>
      </c>
      <c r="AE13" t="n">
        <v>125.8</v>
      </c>
      <c r="AF13" t="n">
        <v>133.2</v>
      </c>
    </row>
    <row r="14">
      <c r="A14" t="s">
        <v>149</v>
      </c>
      <c r="B14" t="s">
        <v>298</v>
      </c>
      <c r="C14" t="s">
        <v>217</v>
      </c>
      <c r="D14" t="s">
        <v>299</v>
      </c>
      <c r="E14" t="s">
        <v>218</v>
      </c>
      <c r="F14" t="n">
        <v>19.2270747559245</v>
      </c>
      <c r="G14" t="n">
        <v>22.185086256836</v>
      </c>
      <c r="H14" t="n">
        <v>24.3270945850822</v>
      </c>
      <c r="I14" t="n">
        <v>27.8023938115226</v>
      </c>
      <c r="J14" t="n">
        <v>32.4820046510858</v>
      </c>
      <c r="K14" t="n">
        <v>38.1193773591255</v>
      </c>
      <c r="L14" t="n">
        <v>45.8988421262939</v>
      </c>
      <c r="M14" t="n">
        <v>51.2537070410282</v>
      </c>
      <c r="N14" t="n">
        <v>56.129059662004</v>
      </c>
      <c r="O14" t="n">
        <v>59.862967064412</v>
      </c>
      <c r="P14" t="n">
        <v>64.6195206489874</v>
      </c>
      <c r="Q14" t="n">
        <v>69.6679206996896</v>
      </c>
      <c r="R14" t="n">
        <v>76.4064715317968</v>
      </c>
      <c r="S14" t="n">
        <v>81.4131633985527</v>
      </c>
      <c r="T14" t="n">
        <v>84.8689031682791</v>
      </c>
      <c r="U14" t="n">
        <v>89.2881123273374</v>
      </c>
      <c r="V14" t="n">
        <v>89.2881123273374</v>
      </c>
      <c r="W14" t="n">
        <v>85.0643622392455</v>
      </c>
      <c r="X14" t="n">
        <v>82.7496857157286</v>
      </c>
      <c r="Y14" t="n">
        <v>81.1062924246452</v>
      </c>
      <c r="Z14" t="n">
        <v>71.9965276957902</v>
      </c>
      <c r="AA14" t="n">
        <v>67.6089276700079</v>
      </c>
      <c r="AB14" t="n">
        <v>67.6089276700079</v>
      </c>
      <c r="AC14" t="n">
        <v>58.4618374558304</v>
      </c>
      <c r="AD14" t="n">
        <v>58.4618374558304</v>
      </c>
      <c r="AE14" t="n">
        <v>55.8</v>
      </c>
      <c r="AF14" t="n">
        <v>54.6</v>
      </c>
    </row>
    <row r="15">
      <c r="A15" t="s">
        <v>149</v>
      </c>
      <c r="B15" t="s">
        <v>300</v>
      </c>
      <c r="C15" t="s">
        <v>217</v>
      </c>
      <c r="D15" t="s">
        <v>301</v>
      </c>
      <c r="E15" t="s">
        <v>218</v>
      </c>
      <c r="F15" t="n">
        <v>27.4894209309508</v>
      </c>
      <c r="G15" t="n">
        <v>31.907363580568</v>
      </c>
      <c r="H15" t="n">
        <v>35.1133666197638</v>
      </c>
      <c r="I15" t="n">
        <v>40.6043457619491</v>
      </c>
      <c r="J15" t="n">
        <v>48.1746475141768</v>
      </c>
      <c r="K15" t="n">
        <v>56.2486107847093</v>
      </c>
      <c r="L15" t="n">
        <v>66.770868229424</v>
      </c>
      <c r="M15" t="n">
        <v>74.1756681477922</v>
      </c>
      <c r="N15" t="n">
        <v>81.180452998174</v>
      </c>
      <c r="O15" t="n">
        <v>86.8498159861593</v>
      </c>
      <c r="P15" t="n">
        <v>94.0485975251191</v>
      </c>
      <c r="Q15" t="n">
        <v>101.567996133929</v>
      </c>
      <c r="R15" t="n">
        <v>112.442513921288</v>
      </c>
      <c r="S15" t="n">
        <v>120.505252322621</v>
      </c>
      <c r="T15" t="n">
        <v>126.098323105527</v>
      </c>
      <c r="U15" t="n">
        <v>133.131695709023</v>
      </c>
      <c r="V15" t="n">
        <v>133.439159209505</v>
      </c>
      <c r="W15" t="n">
        <v>127.342454809366</v>
      </c>
      <c r="X15" t="n">
        <v>123.963390428526</v>
      </c>
      <c r="Y15" t="n">
        <v>121.640891310427</v>
      </c>
      <c r="Z15" t="n">
        <v>108.702456457102</v>
      </c>
      <c r="AA15" t="n">
        <v>103.112614802742</v>
      </c>
      <c r="AB15" t="n">
        <v>103.81679851359</v>
      </c>
      <c r="AC15" t="n">
        <v>94.8584937521108</v>
      </c>
      <c r="AD15" t="n">
        <v>97.5263888888889</v>
      </c>
      <c r="AE15" t="n">
        <v>99.4</v>
      </c>
      <c r="AF15" t="n">
        <v>103.1</v>
      </c>
    </row>
    <row r="16">
      <c r="A16" t="s">
        <v>149</v>
      </c>
      <c r="B16" t="s">
        <v>302</v>
      </c>
      <c r="C16" t="s">
        <v>217</v>
      </c>
      <c r="D16" t="s">
        <v>303</v>
      </c>
      <c r="E16" t="s">
        <v>218</v>
      </c>
      <c r="F16" t="n">
        <v>8.26240500132012</v>
      </c>
      <c r="G16" t="n">
        <v>9.72047647214132</v>
      </c>
      <c r="H16" t="n">
        <v>10.7836535862818</v>
      </c>
      <c r="I16" t="n">
        <v>12.796602255721</v>
      </c>
      <c r="J16" t="n">
        <v>15.6861576037871</v>
      </c>
      <c r="K16" t="n">
        <v>18.1202165423058</v>
      </c>
      <c r="L16" t="n">
        <v>20.8578032141649</v>
      </c>
      <c r="M16" t="n">
        <v>22.9051949407087</v>
      </c>
      <c r="N16" t="n">
        <v>25.0329999352008</v>
      </c>
      <c r="O16" t="n">
        <v>26.9679178045883</v>
      </c>
      <c r="P16" t="n">
        <v>29.4089793300036</v>
      </c>
      <c r="Q16" t="n">
        <v>31.8784356096222</v>
      </c>
      <c r="R16" t="n">
        <v>36.012840227935</v>
      </c>
      <c r="S16" t="n">
        <v>39.0684751563658</v>
      </c>
      <c r="T16" t="n">
        <v>41.2050323914796</v>
      </c>
      <c r="U16" t="n">
        <v>43.8180344455734</v>
      </c>
      <c r="V16" t="n">
        <v>44.1258894885165</v>
      </c>
      <c r="W16" t="n">
        <v>42.2544789968161</v>
      </c>
      <c r="X16" t="n">
        <v>41.1908651090244</v>
      </c>
      <c r="Y16" t="n">
        <v>40.5124273307581</v>
      </c>
      <c r="Z16" t="n">
        <v>36.6867985997664</v>
      </c>
      <c r="AA16" t="n">
        <v>35.48723025318</v>
      </c>
      <c r="AB16" t="n">
        <v>36.1929422184421</v>
      </c>
      <c r="AC16" t="n">
        <v>36.392352368406</v>
      </c>
      <c r="AD16" t="n">
        <v>39.062443438914</v>
      </c>
      <c r="AE16" t="n">
        <v>43.6</v>
      </c>
      <c r="AF16" t="n">
        <v>48.5</v>
      </c>
    </row>
    <row r="17">
      <c r="A17" t="s">
        <v>149</v>
      </c>
      <c r="B17" t="s">
        <v>304</v>
      </c>
      <c r="C17" t="s">
        <v>217</v>
      </c>
      <c r="D17" t="s">
        <v>305</v>
      </c>
      <c r="E17" t="s">
        <v>218</v>
      </c>
      <c r="F17" t="n">
        <v>5.48367241257616</v>
      </c>
      <c r="G17" t="n">
        <v>6.2900948261903</v>
      </c>
      <c r="H17" t="n">
        <v>7.038915638832</v>
      </c>
      <c r="I17" t="n">
        <v>8.331777694944</v>
      </c>
      <c r="J17" t="n">
        <v>9.97081593001495</v>
      </c>
      <c r="K17" t="n">
        <v>11.5661464788173</v>
      </c>
      <c r="L17" t="n">
        <v>13.4938375586202</v>
      </c>
      <c r="M17" t="n">
        <v>15.0214418105395</v>
      </c>
      <c r="N17" t="n">
        <v>16.398407309839</v>
      </c>
      <c r="O17" t="n">
        <v>17.6041725532095</v>
      </c>
      <c r="P17" t="n">
        <v>19.1097925742076</v>
      </c>
      <c r="Q17" t="n">
        <v>20.6743369954878</v>
      </c>
      <c r="R17" t="n">
        <v>23.163916843112</v>
      </c>
      <c r="S17" t="n">
        <v>25.0126801592289</v>
      </c>
      <c r="T17" t="n">
        <v>26.2278710981388</v>
      </c>
      <c r="U17" t="n">
        <v>27.8295731499335</v>
      </c>
      <c r="V17" t="n">
        <v>28.0342023642713</v>
      </c>
      <c r="W17" t="n">
        <v>26.7554492739712</v>
      </c>
      <c r="X17" t="n">
        <v>26.1759088564845</v>
      </c>
      <c r="Y17" t="n">
        <v>25.6911698035866</v>
      </c>
      <c r="Z17" t="n">
        <v>24.7105908034497</v>
      </c>
      <c r="AA17" t="n">
        <v>25.7069855939114</v>
      </c>
      <c r="AB17" t="n">
        <v>27.4140901060071</v>
      </c>
      <c r="AC17" t="n">
        <v>25.4275618374558</v>
      </c>
      <c r="AD17" t="n">
        <v>26.3180212014134</v>
      </c>
      <c r="AE17" t="n">
        <v>28</v>
      </c>
      <c r="AF17" t="n">
        <v>30</v>
      </c>
    </row>
    <row r="18">
      <c r="A18" t="s">
        <v>149</v>
      </c>
      <c r="B18" t="s">
        <v>306</v>
      </c>
      <c r="C18" t="s">
        <v>217</v>
      </c>
      <c r="D18" t="s">
        <v>307</v>
      </c>
      <c r="E18" t="s">
        <v>218</v>
      </c>
      <c r="F18" t="n">
        <v>6.00260776182591</v>
      </c>
      <c r="G18" t="n">
        <v>6.97600361509497</v>
      </c>
      <c r="H18" t="n">
        <v>7.7342648776053</v>
      </c>
      <c r="I18" t="n">
        <v>9.02330902387284</v>
      </c>
      <c r="J18" t="n">
        <v>10.663910664577</v>
      </c>
      <c r="K18" t="n">
        <v>12.530095030878</v>
      </c>
      <c r="L18" t="n">
        <v>14.7260910672174</v>
      </c>
      <c r="M18" t="n">
        <v>16.3764288592332</v>
      </c>
      <c r="N18" t="n">
        <v>18.0015706544242</v>
      </c>
      <c r="O18" t="n">
        <v>19.3305456691804</v>
      </c>
      <c r="P18" t="n">
        <v>20.9608326533281</v>
      </c>
      <c r="Q18" t="n">
        <v>22.6512223834352</v>
      </c>
      <c r="R18" t="n">
        <v>25.1559248585266</v>
      </c>
      <c r="S18" t="n">
        <v>27.007226687942</v>
      </c>
      <c r="T18" t="n">
        <v>28.3271287441196</v>
      </c>
      <c r="U18" t="n">
        <v>29.9343417225094</v>
      </c>
      <c r="V18" t="n">
        <v>30.0368565914221</v>
      </c>
      <c r="W18" t="n">
        <v>28.6626213225335</v>
      </c>
      <c r="X18" t="n">
        <v>27.9870713250327</v>
      </c>
      <c r="Y18" t="n">
        <v>27.5028659387865</v>
      </c>
      <c r="Z18" t="n">
        <v>22.395190835869</v>
      </c>
      <c r="AA18" t="n">
        <v>18.4960281456954</v>
      </c>
      <c r="AB18" t="n">
        <v>15.26175</v>
      </c>
      <c r="AC18" t="n">
        <v>12.46875</v>
      </c>
      <c r="AD18" t="n">
        <v>10.2916666666667</v>
      </c>
      <c r="AE18" t="n">
        <v>9.5</v>
      </c>
      <c r="AF18" t="n">
        <v>9.1</v>
      </c>
    </row>
    <row r="19">
      <c r="A19" t="s">
        <v>149</v>
      </c>
      <c r="B19" t="s">
        <v>308</v>
      </c>
      <c r="C19" t="s">
        <v>217</v>
      </c>
      <c r="D19" t="s">
        <v>309</v>
      </c>
      <c r="E19" t="s">
        <v>218</v>
      </c>
      <c r="F19" t="n">
        <v>4.85158095833774</v>
      </c>
      <c r="G19" t="n">
        <v>5.52076453879812</v>
      </c>
      <c r="H19" t="n">
        <v>5.98082825036462</v>
      </c>
      <c r="I19" t="n">
        <v>7.00194526871956</v>
      </c>
      <c r="J19" t="n">
        <v>8.26229541708908</v>
      </c>
      <c r="K19" t="n">
        <v>9.61677007562828</v>
      </c>
      <c r="L19" t="n">
        <v>11.4610821449269</v>
      </c>
      <c r="M19" t="n">
        <v>12.7488441836827</v>
      </c>
      <c r="N19" t="n">
        <v>13.8848798040108</v>
      </c>
      <c r="O19" t="n">
        <v>14.7300464007767</v>
      </c>
      <c r="P19" t="n">
        <v>16.0058771913952</v>
      </c>
      <c r="Q19" t="n">
        <v>17.3584865315131</v>
      </c>
      <c r="R19" t="n">
        <v>19.1052524717911</v>
      </c>
      <c r="S19" t="n">
        <v>20.4153269269997</v>
      </c>
      <c r="T19" t="n">
        <v>21.4360932733496</v>
      </c>
      <c r="U19" t="n">
        <v>22.6494570435392</v>
      </c>
      <c r="V19" t="n">
        <v>22.7528792218202</v>
      </c>
      <c r="W19" t="n">
        <v>21.6599461587634</v>
      </c>
      <c r="X19" t="n">
        <v>21.0745422085265</v>
      </c>
      <c r="Y19" t="n">
        <v>20.6842729083686</v>
      </c>
      <c r="Z19" t="n">
        <v>17.913174145525</v>
      </c>
      <c r="AA19" t="n">
        <v>16.3030011886239</v>
      </c>
      <c r="AB19" t="n">
        <v>14.7840880344042</v>
      </c>
      <c r="AC19" t="n">
        <v>13.385593220339</v>
      </c>
      <c r="AD19" t="n">
        <v>12.5923728813559</v>
      </c>
      <c r="AE19" t="n">
        <v>11.7</v>
      </c>
      <c r="AF19" t="n">
        <v>11.2</v>
      </c>
    </row>
    <row r="20">
      <c r="A20" t="s">
        <v>149</v>
      </c>
      <c r="B20" t="s">
        <v>310</v>
      </c>
      <c r="C20" t="s">
        <v>217</v>
      </c>
      <c r="D20" t="s">
        <v>311</v>
      </c>
      <c r="E20" t="s">
        <v>218</v>
      </c>
      <c r="F20" t="n">
        <v>3.58190006697338</v>
      </c>
      <c r="G20" t="n">
        <v>4.23315462460491</v>
      </c>
      <c r="H20" t="n">
        <v>4.68670690581258</v>
      </c>
      <c r="I20" t="n">
        <v>5.41900485984579</v>
      </c>
      <c r="J20" t="n">
        <v>6.39164675776683</v>
      </c>
      <c r="K20" t="n">
        <v>7.47958663142927</v>
      </c>
      <c r="L20" t="n">
        <v>8.92301563047702</v>
      </c>
      <c r="M20" t="n">
        <v>9.95756816734393</v>
      </c>
      <c r="N20" t="n">
        <v>10.8398843340706</v>
      </c>
      <c r="O20" t="n">
        <v>11.5706630532214</v>
      </c>
      <c r="P20" t="n">
        <v>12.5056661282292</v>
      </c>
      <c r="Q20" t="n">
        <v>13.4069753987322</v>
      </c>
      <c r="R20" t="n">
        <v>14.8239727985982</v>
      </c>
      <c r="S20" t="n">
        <v>15.9220448577537</v>
      </c>
      <c r="T20" t="n">
        <v>16.6411049481038</v>
      </c>
      <c r="U20" t="n">
        <v>17.5543363172071</v>
      </c>
      <c r="V20" t="n">
        <v>17.5543363172071</v>
      </c>
      <c r="W20" t="n">
        <v>16.6617429451457</v>
      </c>
      <c r="X20" t="n">
        <v>16.1773899525543</v>
      </c>
      <c r="Y20" t="n">
        <v>15.7899075584811</v>
      </c>
      <c r="Z20" t="n">
        <v>17.3590909183302</v>
      </c>
      <c r="AA20" t="n">
        <v>20.6513322993928</v>
      </c>
      <c r="AB20" t="n">
        <v>27.4007921240724</v>
      </c>
      <c r="AC20" t="n">
        <v>32.1834758402741</v>
      </c>
      <c r="AD20" t="n">
        <v>33.8669191919192</v>
      </c>
      <c r="AE20" t="n">
        <v>39.1</v>
      </c>
      <c r="AF20" t="n">
        <v>44.5</v>
      </c>
    </row>
    <row r="21">
      <c r="A21" t="s">
        <v>149</v>
      </c>
      <c r="B21" t="s">
        <v>312</v>
      </c>
      <c r="C21" t="s">
        <v>217</v>
      </c>
      <c r="D21" t="s">
        <v>313</v>
      </c>
      <c r="E21" t="s">
        <v>218</v>
      </c>
      <c r="F21" t="n">
        <v>5.63166212681096</v>
      </c>
      <c r="G21" t="n">
        <v>6.59708991997855</v>
      </c>
      <c r="H21" t="n">
        <v>7.34675922906702</v>
      </c>
      <c r="I21" t="n">
        <v>8.49919204931283</v>
      </c>
      <c r="J21" t="n">
        <v>10.0071132193522</v>
      </c>
      <c r="K21" t="n">
        <v>11.7651195957249</v>
      </c>
      <c r="L21" t="n">
        <v>14.1181435148699</v>
      </c>
      <c r="M21" t="n">
        <v>15.8019587964598</v>
      </c>
      <c r="N21" t="n">
        <v>17.1925311705483</v>
      </c>
      <c r="O21" t="n">
        <v>18.4118596223602</v>
      </c>
      <c r="P21" t="n">
        <v>19.8191355170629</v>
      </c>
      <c r="Q21" t="n">
        <v>21.2830489359369</v>
      </c>
      <c r="R21" t="n">
        <v>23.4659257498792</v>
      </c>
      <c r="S21" t="n">
        <v>25.2203874881879</v>
      </c>
      <c r="T21" t="n">
        <v>26.3481283921312</v>
      </c>
      <c r="U21" t="n">
        <v>27.7668737670921</v>
      </c>
      <c r="V21" t="n">
        <v>27.7668737670921</v>
      </c>
      <c r="W21" t="n">
        <v>26.3834708036071</v>
      </c>
      <c r="X21" t="n">
        <v>25.6103288020362</v>
      </c>
      <c r="Y21" t="n">
        <v>25.030472300858</v>
      </c>
      <c r="Z21" t="n">
        <v>26.2037756899608</v>
      </c>
      <c r="AA21" t="n">
        <v>29.890238429613</v>
      </c>
      <c r="AB21" t="n">
        <v>36.5325136361937</v>
      </c>
      <c r="AC21" t="n">
        <v>40.6138026255232</v>
      </c>
      <c r="AD21" t="n">
        <v>43.882718446602</v>
      </c>
      <c r="AE21" t="n">
        <v>50.9</v>
      </c>
      <c r="AF21" t="n">
        <v>58.1</v>
      </c>
    </row>
    <row r="22">
      <c r="A22" t="s">
        <v>149</v>
      </c>
      <c r="B22" t="s">
        <v>314</v>
      </c>
      <c r="C22" t="s">
        <v>217</v>
      </c>
      <c r="D22" t="s">
        <v>315</v>
      </c>
      <c r="E22" t="s">
        <v>218</v>
      </c>
      <c r="F22" t="n">
        <v>2.04386695076927</v>
      </c>
      <c r="G22" t="n">
        <v>2.35830802011839</v>
      </c>
      <c r="H22" t="n">
        <v>2.65309652263319</v>
      </c>
      <c r="I22" t="n">
        <v>3.07200649989106</v>
      </c>
      <c r="J22" t="n">
        <v>3.60626849987212</v>
      </c>
      <c r="K22" t="n">
        <v>4.27409599984843</v>
      </c>
      <c r="L22" t="n">
        <v>5.18072242405871</v>
      </c>
      <c r="M22" t="n">
        <v>5.82831272706604</v>
      </c>
      <c r="N22" t="n">
        <v>6.33512252941961</v>
      </c>
      <c r="O22" t="n">
        <v>6.82243964706728</v>
      </c>
      <c r="P22" t="n">
        <v>7.29295272617537</v>
      </c>
      <c r="Q22" t="n">
        <v>7.85394908972732</v>
      </c>
      <c r="R22" t="n">
        <v>8.61752747345081</v>
      </c>
      <c r="S22" t="n">
        <v>9.27202323092808</v>
      </c>
      <c r="T22" t="n">
        <v>9.67958469162822</v>
      </c>
      <c r="U22" t="n">
        <v>10.1837297276505</v>
      </c>
      <c r="V22" t="n">
        <v>10.1837297276505</v>
      </c>
      <c r="W22" t="n">
        <v>9.69412733689809</v>
      </c>
      <c r="X22" t="n">
        <v>9.40618296055458</v>
      </c>
      <c r="Y22" t="n">
        <v>9.21422004299225</v>
      </c>
      <c r="Z22" t="n">
        <v>8.82625288328731</v>
      </c>
      <c r="AA22" t="n">
        <v>9.22293840613168</v>
      </c>
      <c r="AB22" t="n">
        <v>9.12268907563025</v>
      </c>
      <c r="AC22" t="n">
        <v>8.42857142857143</v>
      </c>
      <c r="AD22" t="n">
        <v>10.0151260504202</v>
      </c>
      <c r="AE22" t="n">
        <v>11.8</v>
      </c>
      <c r="AF22" t="n">
        <v>13.6</v>
      </c>
    </row>
    <row r="23">
      <c r="A23" t="s">
        <v>149</v>
      </c>
      <c r="B23" t="s">
        <v>316</v>
      </c>
      <c r="C23" t="s">
        <v>217</v>
      </c>
      <c r="D23" t="s">
        <v>317</v>
      </c>
      <c r="E23" t="s">
        <v>218</v>
      </c>
      <c r="F23" t="n">
        <v>4.01968559814881</v>
      </c>
      <c r="G23" t="n">
        <v>4.68963319784027</v>
      </c>
      <c r="H23" t="n">
        <v>5.31491762421898</v>
      </c>
      <c r="I23" t="n">
        <v>6.64364703027372</v>
      </c>
      <c r="J23" t="n">
        <v>8.33989733587552</v>
      </c>
      <c r="K23" t="n">
        <v>9.43365436353133</v>
      </c>
      <c r="L23" t="n">
        <v>10.3637329627527</v>
      </c>
      <c r="M23" t="n">
        <v>11.1410129349592</v>
      </c>
      <c r="N23" t="n">
        <v>12.1538322926827</v>
      </c>
      <c r="O23" t="n">
        <v>13.2476771990242</v>
      </c>
      <c r="P23" t="n">
        <v>14.6545101759117</v>
      </c>
      <c r="Q23" t="n">
        <v>16.0177204248337</v>
      </c>
      <c r="R23" t="n">
        <v>18.5410599438144</v>
      </c>
      <c r="S23" t="n">
        <v>20.4061369795827</v>
      </c>
      <c r="T23" t="n">
        <v>21.841744606287</v>
      </c>
      <c r="U23" t="n">
        <v>23.3585324261681</v>
      </c>
      <c r="V23" t="n">
        <v>23.5643344739757</v>
      </c>
      <c r="W23" t="n">
        <v>22.5783790566545</v>
      </c>
      <c r="X23" t="n">
        <v>22.0959350597175</v>
      </c>
      <c r="Y23" t="n">
        <v>21.8051990720896</v>
      </c>
      <c r="Z23" t="n">
        <v>19.4478802534853</v>
      </c>
      <c r="AA23" t="n">
        <v>18.3451653937516</v>
      </c>
      <c r="AB23" t="n">
        <v>22.4778674879484</v>
      </c>
      <c r="AC23" t="n">
        <v>27.0733426188179</v>
      </c>
      <c r="AD23" t="n">
        <v>35.304432132964</v>
      </c>
      <c r="AE23" t="n">
        <v>35.7</v>
      </c>
      <c r="AF23" t="n">
        <v>36.9</v>
      </c>
    </row>
    <row r="24">
      <c r="A24" t="s">
        <v>149</v>
      </c>
      <c r="B24" t="s">
        <v>318</v>
      </c>
      <c r="C24" t="s">
        <v>217</v>
      </c>
      <c r="D24" t="s">
        <v>319</v>
      </c>
      <c r="E24" t="s">
        <v>218</v>
      </c>
      <c r="F24" t="n">
        <v>23.5362299743268</v>
      </c>
      <c r="G24" t="n">
        <v>27.4589349700479</v>
      </c>
      <c r="H24" t="n">
        <v>30.5099277444977</v>
      </c>
      <c r="I24" t="n">
        <v>35.7154130468764</v>
      </c>
      <c r="J24" t="n">
        <v>42.8584956562517</v>
      </c>
      <c r="K24" t="n">
        <v>49.8448335061736</v>
      </c>
      <c r="L24" t="n">
        <v>58.1523057572025</v>
      </c>
      <c r="M24" t="n">
        <v>64.2870544964239</v>
      </c>
      <c r="N24" t="n">
        <v>70.2905148385024</v>
      </c>
      <c r="O24" t="n">
        <v>75.5954593546158</v>
      </c>
      <c r="P24" t="n">
        <v>82.0982945679161</v>
      </c>
      <c r="Q24" t="n">
        <v>88.9398191152424</v>
      </c>
      <c r="R24" t="n">
        <v>99.3777440969823</v>
      </c>
      <c r="S24" t="n">
        <v>107.214762251399</v>
      </c>
      <c r="T24" t="n">
        <v>112.804157439861</v>
      </c>
      <c r="U24" t="n">
        <v>119.53423628979</v>
      </c>
      <c r="V24" t="n">
        <v>120.149335275844</v>
      </c>
      <c r="W24" t="n">
        <v>114.737203056211</v>
      </c>
      <c r="X24" t="n">
        <v>111.936379075883</v>
      </c>
      <c r="Y24" t="n">
        <v>109.999763520937</v>
      </c>
      <c r="Z24" t="n">
        <v>141.400231252159</v>
      </c>
      <c r="AA24" t="n">
        <v>188.933077351049</v>
      </c>
      <c r="AB24" t="n">
        <v>214.298626361419</v>
      </c>
      <c r="AC24" t="n">
        <v>223.360510654583</v>
      </c>
      <c r="AD24" t="n">
        <v>239.795725534308</v>
      </c>
      <c r="AE24" t="n">
        <v>263.4</v>
      </c>
      <c r="AF24" t="n">
        <v>289.7</v>
      </c>
    </row>
    <row r="25">
      <c r="A25" t="s">
        <v>149</v>
      </c>
      <c r="B25" t="s">
        <v>320</v>
      </c>
      <c r="C25" t="s">
        <v>217</v>
      </c>
      <c r="D25" t="s">
        <v>321</v>
      </c>
      <c r="E25" t="s">
        <v>218</v>
      </c>
      <c r="F25" t="e">
        <v>#NUM!</v>
      </c>
      <c r="G25" t="e">
        <v>#NUM!</v>
      </c>
      <c r="H25" t="e">
        <v>#NUM!</v>
      </c>
      <c r="I25" t="e">
        <v>#NUM!</v>
      </c>
      <c r="J25" t="e">
        <v>#NUM!</v>
      </c>
      <c r="K25" t="e">
        <v>#NUM!</v>
      </c>
      <c r="L25" t="e">
        <v>#NUM!</v>
      </c>
      <c r="M25" t="e">
        <v>#NUM!</v>
      </c>
      <c r="N25" t="e">
        <v>#NUM!</v>
      </c>
      <c r="O25" t="e">
        <v>#NUM!</v>
      </c>
      <c r="P25" t="e">
        <v>#NUM!</v>
      </c>
      <c r="Q25" t="e">
        <v>#NUM!</v>
      </c>
      <c r="R25" t="e">
        <v>#NUM!</v>
      </c>
      <c r="S25" t="e">
        <v>#NUM!</v>
      </c>
      <c r="T25" t="e">
        <v>#NUM!</v>
      </c>
      <c r="U25" t="e">
        <v>#NUM!</v>
      </c>
      <c r="V25" t="e">
        <v>#NUM!</v>
      </c>
      <c r="W25" t="e">
        <v>#NUM!</v>
      </c>
      <c r="X25" t="e">
        <v>#NUM!</v>
      </c>
      <c r="Y25" t="e">
        <v>#NUM!</v>
      </c>
      <c r="Z25" t="e">
        <v>#NUM!</v>
      </c>
      <c r="AA25" t="e">
        <v>#NUM!</v>
      </c>
      <c r="AB25" t="e">
        <v>#NUM!</v>
      </c>
      <c r="AC25" t="e">
        <v>#NUM!</v>
      </c>
      <c r="AD25" t="e">
        <v>#NUM!</v>
      </c>
      <c r="AE25" t="n">
        <v>0</v>
      </c>
      <c r="AF25" t="e">
        <v>#NUM!</v>
      </c>
    </row>
    <row r="26">
      <c r="A26" t="s">
        <v>149</v>
      </c>
      <c r="B26" t="s">
        <v>322</v>
      </c>
      <c r="C26" t="s">
        <v>217</v>
      </c>
      <c r="D26" t="s">
        <v>323</v>
      </c>
      <c r="E26" t="s">
        <v>218</v>
      </c>
      <c r="F26" t="n">
        <v>23.5396754897164</v>
      </c>
      <c r="G26" t="n">
        <v>27.4629547380025</v>
      </c>
      <c r="H26" t="n">
        <v>30.5143941533361</v>
      </c>
      <c r="I26" t="n">
        <v>35.7206414970333</v>
      </c>
      <c r="J26" t="n">
        <v>42.8647697964399</v>
      </c>
      <c r="K26" t="n">
        <v>49.852130390217</v>
      </c>
      <c r="L26" t="n">
        <v>58.1608187885865</v>
      </c>
      <c r="M26" t="n">
        <v>64.296465605844</v>
      </c>
      <c r="N26" t="n">
        <v>70.3008048063897</v>
      </c>
      <c r="O26" t="n">
        <v>75.6065259238531</v>
      </c>
      <c r="P26" t="n">
        <v>82.1103131000985</v>
      </c>
      <c r="Q26" t="n">
        <v>88.9528391917734</v>
      </c>
      <c r="R26" t="n">
        <v>99.3922922020549</v>
      </c>
      <c r="S26" t="n">
        <v>107.230457633104</v>
      </c>
      <c r="T26" t="n">
        <v>112.820671064214</v>
      </c>
      <c r="U26" t="n">
        <v>119.551735143735</v>
      </c>
      <c r="V26" t="n">
        <v>120.166924175349</v>
      </c>
      <c r="W26" t="n">
        <v>114.753999662946</v>
      </c>
      <c r="X26" t="n">
        <v>111.95276566444</v>
      </c>
      <c r="Y26" t="n">
        <v>110.015866604502</v>
      </c>
      <c r="Z26" t="n">
        <v>141.420931112477</v>
      </c>
      <c r="AA26" t="n">
        <v>188.960735638988</v>
      </c>
      <c r="AB26" t="n">
        <v>214.32999796239</v>
      </c>
      <c r="AC26" t="n">
        <v>223.293613118809</v>
      </c>
      <c r="AD26" t="n">
        <v>237.453695901953</v>
      </c>
      <c r="AE26" t="n">
        <v>257.9</v>
      </c>
      <c r="AF26" t="n">
        <v>281.3</v>
      </c>
    </row>
    <row r="27">
      <c r="A27" t="s">
        <v>149</v>
      </c>
      <c r="B27" t="s">
        <v>324</v>
      </c>
      <c r="C27" t="s">
        <v>217</v>
      </c>
      <c r="D27" t="s">
        <v>325</v>
      </c>
      <c r="E27" t="s">
        <v>218</v>
      </c>
      <c r="F27" t="e">
        <v>#NUM!</v>
      </c>
      <c r="G27" t="e">
        <v>#NUM!</v>
      </c>
      <c r="H27" t="e">
        <v>#NUM!</v>
      </c>
      <c r="I27" t="e">
        <v>#NUM!</v>
      </c>
      <c r="J27" t="e">
        <v>#NUM!</v>
      </c>
      <c r="K27" t="e">
        <v>#NUM!</v>
      </c>
      <c r="L27" t="e">
        <v>#NUM!</v>
      </c>
      <c r="M27" t="e">
        <v>#NUM!</v>
      </c>
      <c r="N27" t="e">
        <v>#NUM!</v>
      </c>
      <c r="O27" t="e">
        <v>#NUM!</v>
      </c>
      <c r="P27" t="e">
        <v>#NUM!</v>
      </c>
      <c r="Q27" t="e">
        <v>#NUM!</v>
      </c>
      <c r="R27" t="e">
        <v>#NUM!</v>
      </c>
      <c r="S27" t="e">
        <v>#NUM!</v>
      </c>
      <c r="T27" t="e">
        <v>#NUM!</v>
      </c>
      <c r="U27" t="e">
        <v>#NUM!</v>
      </c>
      <c r="V27" t="e">
        <v>#NUM!</v>
      </c>
      <c r="W27" t="e">
        <v>#NUM!</v>
      </c>
      <c r="X27" t="e">
        <v>#NUM!</v>
      </c>
      <c r="Y27" t="e">
        <v>#NUM!</v>
      </c>
      <c r="Z27" t="e">
        <v>#NUM!</v>
      </c>
      <c r="AA27" t="e">
        <v>#NUM!</v>
      </c>
      <c r="AB27" t="n">
        <v>0</v>
      </c>
      <c r="AC27" t="n">
        <v>0.0982142857142857</v>
      </c>
      <c r="AD27" t="n">
        <v>2.35714285714286</v>
      </c>
      <c r="AE27" t="n">
        <v>5.5</v>
      </c>
      <c r="AF27" t="n">
        <v>8.4</v>
      </c>
    </row>
    <row r="28">
      <c r="A28" t="s">
        <v>149</v>
      </c>
      <c r="B28" t="s">
        <v>326</v>
      </c>
      <c r="C28" t="s">
        <v>217</v>
      </c>
      <c r="D28" t="s">
        <v>327</v>
      </c>
      <c r="E28" t="s">
        <v>218</v>
      </c>
      <c r="F28" t="n">
        <v>0.100729689702716</v>
      </c>
      <c r="G28" t="n">
        <v>0.100729689702716</v>
      </c>
      <c r="H28" t="n">
        <v>0.201459379405433</v>
      </c>
      <c r="I28" t="n">
        <v>0.201459379405433</v>
      </c>
      <c r="J28" t="n">
        <v>0.201459379405433</v>
      </c>
      <c r="K28" t="n">
        <v>0.302189069108149</v>
      </c>
      <c r="L28" t="n">
        <v>0.302189069108149</v>
      </c>
      <c r="M28" t="n">
        <v>0.402918758810865</v>
      </c>
      <c r="N28" t="n">
        <v>0.402918758810865</v>
      </c>
      <c r="O28" t="n">
        <v>0.503648448513581</v>
      </c>
      <c r="P28" t="n">
        <v>0.503648448513581</v>
      </c>
      <c r="Q28" t="n">
        <v>0.604378138216298</v>
      </c>
      <c r="R28" t="n">
        <v>0.604378138216298</v>
      </c>
      <c r="S28" t="n">
        <v>0.705107827919014</v>
      </c>
      <c r="T28" t="n">
        <v>0.80583751762173</v>
      </c>
      <c r="U28" t="n">
        <v>0.80583751762173</v>
      </c>
      <c r="V28" t="n">
        <v>0.80583751762173</v>
      </c>
      <c r="W28" t="n">
        <v>0.80583751762173</v>
      </c>
      <c r="X28" t="n">
        <v>0.80583751762173</v>
      </c>
      <c r="Y28" t="n">
        <v>0.80583751762173</v>
      </c>
      <c r="Z28" t="n">
        <v>1.61167503524346</v>
      </c>
      <c r="AA28" t="n">
        <v>2.61897193227062</v>
      </c>
      <c r="AB28" t="n">
        <v>19.0379113538134</v>
      </c>
      <c r="AC28" t="n">
        <v>36.3813489222088</v>
      </c>
      <c r="AD28" t="n">
        <v>54.1765739385066</v>
      </c>
      <c r="AE28" t="n">
        <v>67.4</v>
      </c>
      <c r="AF28" t="n">
        <v>79.8</v>
      </c>
    </row>
    <row r="29">
      <c r="A29" t="s">
        <v>149</v>
      </c>
      <c r="B29" t="s">
        <v>328</v>
      </c>
      <c r="C29" t="s">
        <v>217</v>
      </c>
      <c r="D29" t="s">
        <v>329</v>
      </c>
      <c r="E29" t="s">
        <v>218</v>
      </c>
      <c r="F29" t="e">
        <v>#NUM!</v>
      </c>
      <c r="G29" t="e">
        <v>#NUM!</v>
      </c>
      <c r="H29" t="n">
        <v>0</v>
      </c>
      <c r="I29" t="n">
        <v>0.0866074701208523</v>
      </c>
      <c r="J29" t="n">
        <v>0.0866074701208523</v>
      </c>
      <c r="K29" t="n">
        <v>0.0866074701208523</v>
      </c>
      <c r="L29" t="n">
        <v>0.0866074701208523</v>
      </c>
      <c r="M29" t="n">
        <v>0.0866074701208523</v>
      </c>
      <c r="N29" t="n">
        <v>0.0866074701208523</v>
      </c>
      <c r="O29" t="n">
        <v>0.0866074701208523</v>
      </c>
      <c r="P29" t="n">
        <v>0.0866074701208523</v>
      </c>
      <c r="Q29" t="n">
        <v>0.0866074701208523</v>
      </c>
      <c r="R29" t="n">
        <v>0.0866074701208523</v>
      </c>
      <c r="S29" t="n">
        <v>0.173214940241705</v>
      </c>
      <c r="T29" t="n">
        <v>0.173214940241705</v>
      </c>
      <c r="U29" t="n">
        <v>0.173214940241705</v>
      </c>
      <c r="V29" t="n">
        <v>0.173214940241705</v>
      </c>
      <c r="W29" t="n">
        <v>0.173214940241705</v>
      </c>
      <c r="X29" t="n">
        <v>0.173214940241705</v>
      </c>
      <c r="Y29" t="n">
        <v>0.173214940241705</v>
      </c>
      <c r="Z29" t="n">
        <v>0.346429880483409</v>
      </c>
      <c r="AA29" t="n">
        <v>0.606252290845966</v>
      </c>
      <c r="AB29" t="n">
        <v>9.4979525565868</v>
      </c>
      <c r="AC29" t="n">
        <v>21.0954525204191</v>
      </c>
      <c r="AD29" t="n">
        <v>30.7023017902813</v>
      </c>
      <c r="AE29" t="n">
        <v>38.6</v>
      </c>
      <c r="AF29" t="n">
        <v>45.8</v>
      </c>
    </row>
    <row r="30">
      <c r="A30" t="s">
        <v>149</v>
      </c>
      <c r="B30" t="s">
        <v>330</v>
      </c>
      <c r="C30" t="s">
        <v>217</v>
      </c>
      <c r="D30" t="s">
        <v>331</v>
      </c>
      <c r="E30" t="s">
        <v>218</v>
      </c>
      <c r="F30" t="e">
        <v>#NUM!</v>
      </c>
      <c r="G30" t="e">
        <v>#NUM!</v>
      </c>
      <c r="H30" t="e">
        <v>#NUM!</v>
      </c>
      <c r="I30" t="e">
        <v>#NUM!</v>
      </c>
      <c r="J30" t="e">
        <v>#NUM!</v>
      </c>
      <c r="K30" t="e">
        <v>#NUM!</v>
      </c>
      <c r="L30" t="e">
        <v>#NUM!</v>
      </c>
      <c r="M30" t="e">
        <v>#NUM!</v>
      </c>
      <c r="N30" t="e">
        <v>#NUM!</v>
      </c>
      <c r="O30" t="e">
        <v>#NUM!</v>
      </c>
      <c r="P30" t="e">
        <v>#NUM!</v>
      </c>
      <c r="Q30" t="e">
        <v>#NUM!</v>
      </c>
      <c r="R30" t="e">
        <v>#NUM!</v>
      </c>
      <c r="S30" t="e">
        <v>#NUM!</v>
      </c>
      <c r="T30" t="e">
        <v>#NUM!</v>
      </c>
      <c r="U30" t="e">
        <v>#NUM!</v>
      </c>
      <c r="V30" t="e">
        <v>#NUM!</v>
      </c>
      <c r="W30" t="e">
        <v>#NUM!</v>
      </c>
      <c r="X30" t="e">
        <v>#NUM!</v>
      </c>
      <c r="Y30" t="e">
        <v>#NUM!</v>
      </c>
      <c r="Z30" t="e">
        <v>#NUM!</v>
      </c>
      <c r="AA30" t="e">
        <v>#NUM!</v>
      </c>
      <c r="AB30" t="e">
        <v>#NUM!</v>
      </c>
      <c r="AC30" t="e">
        <v>#NUM!</v>
      </c>
      <c r="AD30" t="e">
        <v>#NUM!</v>
      </c>
      <c r="AE30" t="n">
        <v>0</v>
      </c>
      <c r="AF30" t="e">
        <v>#NUM!</v>
      </c>
    </row>
    <row r="31">
      <c r="A31" t="s">
        <v>149</v>
      </c>
      <c r="B31" t="s">
        <v>332</v>
      </c>
      <c r="C31" t="s">
        <v>217</v>
      </c>
      <c r="D31" t="s">
        <v>333</v>
      </c>
      <c r="E31" t="s">
        <v>218</v>
      </c>
      <c r="F31" t="e">
        <v>#NUM!</v>
      </c>
      <c r="G31" t="e">
        <v>#NUM!</v>
      </c>
      <c r="H31" t="e">
        <v>#NUM!</v>
      </c>
      <c r="I31" t="e">
        <v>#NUM!</v>
      </c>
      <c r="J31" t="e">
        <v>#NUM!</v>
      </c>
      <c r="K31" t="n">
        <v>0</v>
      </c>
      <c r="L31" t="n">
        <v>0.0833333333333333</v>
      </c>
      <c r="M31" t="n">
        <v>0.0833333333333333</v>
      </c>
      <c r="N31" t="n">
        <v>0.0833333333333333</v>
      </c>
      <c r="O31" t="n">
        <v>0.0833333333333333</v>
      </c>
      <c r="P31" t="n">
        <v>0.0833333333333333</v>
      </c>
      <c r="Q31" t="n">
        <v>0.0833333333333333</v>
      </c>
      <c r="R31" t="n">
        <v>0.0833333333333333</v>
      </c>
      <c r="S31" t="n">
        <v>0.0833333333333333</v>
      </c>
      <c r="T31" t="n">
        <v>0.0833333333333333</v>
      </c>
      <c r="U31" t="n">
        <v>0.0833333333333333</v>
      </c>
      <c r="V31" t="n">
        <v>0.0833333333333333</v>
      </c>
      <c r="W31" t="n">
        <v>0.0833333333333333</v>
      </c>
      <c r="X31" t="n">
        <v>0.0833333333333333</v>
      </c>
      <c r="Y31" t="n">
        <v>0.0833333333333333</v>
      </c>
      <c r="Z31" t="n">
        <v>0.25</v>
      </c>
      <c r="AA31" t="n">
        <v>0.5</v>
      </c>
      <c r="AB31" t="n">
        <v>0.4</v>
      </c>
      <c r="AC31" t="n">
        <v>0.4</v>
      </c>
      <c r="AD31" t="n">
        <v>0.5</v>
      </c>
      <c r="AE31" t="n">
        <v>0.6</v>
      </c>
      <c r="AF31" t="n">
        <v>0.7</v>
      </c>
    </row>
    <row r="32">
      <c r="A32" t="s">
        <v>149</v>
      </c>
      <c r="B32" t="s">
        <v>334</v>
      </c>
      <c r="C32" t="s">
        <v>217</v>
      </c>
      <c r="D32" t="s">
        <v>335</v>
      </c>
      <c r="E32" t="s">
        <v>218</v>
      </c>
      <c r="F32" t="n">
        <v>0.125909881193857</v>
      </c>
      <c r="G32" t="n">
        <v>0.125909881193857</v>
      </c>
      <c r="H32" t="n">
        <v>0.125909881193857</v>
      </c>
      <c r="I32" t="n">
        <v>0.125909881193857</v>
      </c>
      <c r="J32" t="n">
        <v>0.125909881193857</v>
      </c>
      <c r="K32" t="n">
        <v>0.251819762387714</v>
      </c>
      <c r="L32" t="n">
        <v>0.251819762387714</v>
      </c>
      <c r="M32" t="n">
        <v>0.251819762387714</v>
      </c>
      <c r="N32" t="n">
        <v>0.37772964358157</v>
      </c>
      <c r="O32" t="n">
        <v>0.37772964358157</v>
      </c>
      <c r="P32" t="n">
        <v>0.37772964358157</v>
      </c>
      <c r="Q32" t="n">
        <v>0.503639524775427</v>
      </c>
      <c r="R32" t="n">
        <v>0.503639524775427</v>
      </c>
      <c r="S32" t="n">
        <v>0.503639524775427</v>
      </c>
      <c r="T32" t="n">
        <v>0.503639524775427</v>
      </c>
      <c r="U32" t="n">
        <v>0.503639524775427</v>
      </c>
      <c r="V32" t="n">
        <v>0.503639524775427</v>
      </c>
      <c r="W32" t="n">
        <v>0.503639524775427</v>
      </c>
      <c r="X32" t="n">
        <v>0.503639524775427</v>
      </c>
      <c r="Y32" t="n">
        <v>0.503639524775427</v>
      </c>
      <c r="Z32" t="n">
        <v>0.805823239640684</v>
      </c>
      <c r="AA32" t="n">
        <v>1.20873485946103</v>
      </c>
      <c r="AB32" t="n">
        <v>8.56187192118227</v>
      </c>
      <c r="AC32" t="n">
        <v>13.9379310344828</v>
      </c>
      <c r="AD32" t="n">
        <v>21.351724137931</v>
      </c>
      <c r="AE32" t="n">
        <v>25.8</v>
      </c>
      <c r="AF32" t="n">
        <v>30.2</v>
      </c>
    </row>
    <row r="33">
      <c r="A33" t="s">
        <v>149</v>
      </c>
      <c r="B33" t="s">
        <v>336</v>
      </c>
      <c r="C33" t="s">
        <v>217</v>
      </c>
      <c r="D33" t="s">
        <v>337</v>
      </c>
      <c r="E33" t="s">
        <v>218</v>
      </c>
      <c r="F33" t="e">
        <v>#NUM!</v>
      </c>
      <c r="G33" t="e">
        <v>#NUM!</v>
      </c>
      <c r="H33" t="e">
        <v>#NUM!</v>
      </c>
      <c r="I33" t="e">
        <v>#NUM!</v>
      </c>
      <c r="J33" t="e">
        <v>#NUM!</v>
      </c>
      <c r="K33" t="e">
        <v>#NUM!</v>
      </c>
      <c r="L33" t="e">
        <v>#NUM!</v>
      </c>
      <c r="M33" t="e">
        <v>#NUM!</v>
      </c>
      <c r="N33" t="e">
        <v>#NUM!</v>
      </c>
      <c r="O33" t="e">
        <v>#NUM!</v>
      </c>
      <c r="P33" t="e">
        <v>#NUM!</v>
      </c>
      <c r="Q33" t="e">
        <v>#NUM!</v>
      </c>
      <c r="R33" t="e">
        <v>#NUM!</v>
      </c>
      <c r="S33" t="e">
        <v>#NUM!</v>
      </c>
      <c r="T33" t="e">
        <v>#NUM!</v>
      </c>
      <c r="U33" t="e">
        <v>#NUM!</v>
      </c>
      <c r="V33" t="e">
        <v>#NUM!</v>
      </c>
      <c r="W33" t="e">
        <v>#NUM!</v>
      </c>
      <c r="X33" t="e">
        <v>#NUM!</v>
      </c>
      <c r="Y33" t="n">
        <v>0</v>
      </c>
      <c r="Z33" t="n">
        <v>0.096</v>
      </c>
      <c r="AA33" t="n">
        <v>0.192</v>
      </c>
      <c r="AB33" t="n">
        <v>0.576</v>
      </c>
      <c r="AC33" t="n">
        <v>0.96</v>
      </c>
      <c r="AD33" t="n">
        <v>1.632</v>
      </c>
      <c r="AE33" t="n">
        <v>2.4</v>
      </c>
      <c r="AF33" t="n">
        <v>3.1</v>
      </c>
    </row>
    <row r="34">
      <c r="A34" t="s">
        <v>149</v>
      </c>
      <c r="B34" t="s">
        <v>338</v>
      </c>
      <c r="C34" t="s">
        <v>217</v>
      </c>
      <c r="D34" t="s">
        <v>339</v>
      </c>
      <c r="E34" t="s">
        <v>218</v>
      </c>
      <c r="F34" t="e">
        <v>#NUM!</v>
      </c>
      <c r="G34" t="e">
        <v>#NUM!</v>
      </c>
      <c r="H34" t="n">
        <v>0</v>
      </c>
      <c r="I34" t="n">
        <v>0.1</v>
      </c>
      <c r="J34" t="n">
        <v>0.1</v>
      </c>
      <c r="K34" t="n">
        <v>0.1</v>
      </c>
      <c r="L34" t="n">
        <v>0.1</v>
      </c>
      <c r="M34" t="n">
        <v>0.1</v>
      </c>
      <c r="N34" t="n">
        <v>0.1</v>
      </c>
      <c r="O34" t="n">
        <v>0.1</v>
      </c>
      <c r="P34" t="n">
        <v>0.2</v>
      </c>
      <c r="Q34" t="n">
        <v>0.2</v>
      </c>
      <c r="R34" t="n">
        <v>0.2</v>
      </c>
      <c r="S34" t="n">
        <v>0.2</v>
      </c>
      <c r="T34" t="n">
        <v>0.2</v>
      </c>
      <c r="U34" t="n">
        <v>0.2</v>
      </c>
      <c r="V34" t="n">
        <v>0.2</v>
      </c>
      <c r="W34" t="n">
        <v>0.2</v>
      </c>
      <c r="X34" t="n">
        <v>0.2</v>
      </c>
      <c r="Y34" t="n">
        <v>0.2</v>
      </c>
      <c r="Z34" t="n">
        <v>0.5</v>
      </c>
      <c r="AA34" t="n">
        <v>0.9</v>
      </c>
      <c r="AB34" t="n">
        <v>0.7</v>
      </c>
      <c r="AC34" t="n">
        <v>0.7</v>
      </c>
      <c r="AD34" t="n">
        <v>0.7</v>
      </c>
      <c r="AE34" t="n">
        <v>0.8</v>
      </c>
      <c r="AF34" t="n">
        <v>0.9</v>
      </c>
    </row>
    <row r="35">
      <c r="A35" t="s">
        <v>149</v>
      </c>
      <c r="B35" t="s">
        <v>340</v>
      </c>
      <c r="C35" t="s">
        <v>217</v>
      </c>
      <c r="D35" t="s">
        <v>341</v>
      </c>
      <c r="E35" t="s">
        <v>218</v>
      </c>
      <c r="F35" t="n">
        <v>57.2355943006166</v>
      </c>
      <c r="G35" t="n">
        <v>66.8838801970063</v>
      </c>
      <c r="H35" t="n">
        <v>74.2303933536569</v>
      </c>
      <c r="I35" t="n">
        <v>86.7231797106324</v>
      </c>
      <c r="J35" t="n">
        <v>103.708770641218</v>
      </c>
      <c r="K35" t="n">
        <v>120.679296746145</v>
      </c>
      <c r="L35" t="n">
        <v>141.24815207073</v>
      </c>
      <c r="M35" t="n">
        <v>156.359015120908</v>
      </c>
      <c r="N35" t="n">
        <v>170.915713157847</v>
      </c>
      <c r="O35" t="n">
        <v>183.625451034315</v>
      </c>
      <c r="P35" t="n">
        <v>199.471302138799</v>
      </c>
      <c r="Q35" t="n">
        <v>215.672017033321</v>
      </c>
      <c r="R35" t="n">
        <v>240.519525817352</v>
      </c>
      <c r="S35" t="n">
        <v>259.180523510078</v>
      </c>
      <c r="T35" t="n">
        <v>272.424811268061</v>
      </c>
      <c r="U35" t="n">
        <v>288.230685388196</v>
      </c>
      <c r="V35" t="n">
        <v>289.462879269442</v>
      </c>
      <c r="W35" t="n">
        <v>276.453311661827</v>
      </c>
      <c r="X35" t="n">
        <v>269.679866853872</v>
      </c>
      <c r="Y35" t="n">
        <v>264.829509536356</v>
      </c>
      <c r="Z35" t="n">
        <v>258.638689832909</v>
      </c>
      <c r="AA35" t="n">
        <v>273.229589645739</v>
      </c>
      <c r="AB35" t="n">
        <v>314.637171262405</v>
      </c>
      <c r="AC35" t="n">
        <v>324.799613146118</v>
      </c>
      <c r="AD35" t="n">
        <v>369.148965992647</v>
      </c>
      <c r="AE35" t="n">
        <v>429.9</v>
      </c>
      <c r="AF35" t="n">
        <v>492.5</v>
      </c>
    </row>
    <row r="36">
      <c r="A36" t="s">
        <v>149</v>
      </c>
      <c r="B36" t="s">
        <v>342</v>
      </c>
      <c r="C36" t="s">
        <v>217</v>
      </c>
      <c r="D36" t="s">
        <v>343</v>
      </c>
      <c r="E36" t="s">
        <v>218</v>
      </c>
      <c r="F36" t="n">
        <v>0.132954486278186</v>
      </c>
      <c r="G36" t="n">
        <v>0.132954486278186</v>
      </c>
      <c r="H36" t="n">
        <v>0.132954486278186</v>
      </c>
      <c r="I36" t="n">
        <v>0.132954486278186</v>
      </c>
      <c r="J36" t="n">
        <v>0.132954486278186</v>
      </c>
      <c r="K36" t="n">
        <v>0.132954486278186</v>
      </c>
      <c r="L36" t="n">
        <v>0.265908972556371</v>
      </c>
      <c r="M36" t="n">
        <v>0.265908972556371</v>
      </c>
      <c r="N36" t="n">
        <v>0.265908972556371</v>
      </c>
      <c r="O36" t="n">
        <v>0.265908972556371</v>
      </c>
      <c r="P36" t="n">
        <v>0.398863458834557</v>
      </c>
      <c r="Q36" t="n">
        <v>0.398863458834557</v>
      </c>
      <c r="R36" t="n">
        <v>0.398863458834557</v>
      </c>
      <c r="S36" t="n">
        <v>0.398863458834557</v>
      </c>
      <c r="T36" t="n">
        <v>0.398863458834557</v>
      </c>
      <c r="U36" t="n">
        <v>0.398863458834557</v>
      </c>
      <c r="V36" t="n">
        <v>0.398863458834557</v>
      </c>
      <c r="W36" t="n">
        <v>0.398863458834557</v>
      </c>
      <c r="X36" t="n">
        <v>0.398863458834557</v>
      </c>
      <c r="Y36" t="n">
        <v>0.398863458834557</v>
      </c>
      <c r="Z36" t="n">
        <v>2.19374902359006</v>
      </c>
      <c r="AA36" t="n">
        <v>4.38749804718013</v>
      </c>
      <c r="AB36" t="n">
        <v>5.50988126855179</v>
      </c>
      <c r="AC36" t="n">
        <v>7.41329479768786</v>
      </c>
      <c r="AD36" t="n">
        <v>20.6583815028902</v>
      </c>
      <c r="AE36" t="n">
        <v>34.2</v>
      </c>
      <c r="AF36" t="n">
        <v>46.8</v>
      </c>
    </row>
    <row r="37">
      <c r="A37" t="s">
        <v>149</v>
      </c>
      <c r="B37" t="s">
        <v>344</v>
      </c>
      <c r="C37" t="s">
        <v>217</v>
      </c>
      <c r="D37" t="s">
        <v>345</v>
      </c>
      <c r="E37" t="s">
        <v>218</v>
      </c>
      <c r="F37" t="n">
        <v>20.114960364462</v>
      </c>
      <c r="G37" t="n">
        <v>23.8762944163533</v>
      </c>
      <c r="H37" t="n">
        <v>26.9373578030653</v>
      </c>
      <c r="I37" t="n">
        <v>32.6160440426304</v>
      </c>
      <c r="J37" t="n">
        <v>40.4936479003843</v>
      </c>
      <c r="K37" t="n">
        <v>46.4327162591073</v>
      </c>
      <c r="L37" t="n">
        <v>51.9107333458559</v>
      </c>
      <c r="M37" t="n">
        <v>56.5250207543765</v>
      </c>
      <c r="N37" t="n">
        <v>61.6750782008863</v>
      </c>
      <c r="O37" t="n">
        <v>67.1276882579392</v>
      </c>
      <c r="P37" t="n">
        <v>73.5374501575688</v>
      </c>
      <c r="Q37" t="n">
        <v>80.0591200492186</v>
      </c>
      <c r="R37" t="n">
        <v>91.7139851448191</v>
      </c>
      <c r="S37" t="n">
        <v>100.547317840099</v>
      </c>
      <c r="T37" t="n">
        <v>106.965231744786</v>
      </c>
      <c r="U37" t="n">
        <v>114.217111863077</v>
      </c>
      <c r="V37" t="n">
        <v>115.346957394096</v>
      </c>
      <c r="W37" t="n">
        <v>110.516187383574</v>
      </c>
      <c r="X37" t="n">
        <v>108.193605512116</v>
      </c>
      <c r="Y37" t="n">
        <v>106.544016907895</v>
      </c>
      <c r="Z37" t="n">
        <v>90.6213870747964</v>
      </c>
      <c r="AA37" t="n">
        <v>80.1304877993239</v>
      </c>
      <c r="AB37" t="n">
        <v>92.0091279504799</v>
      </c>
      <c r="AC37" t="n">
        <v>98.3820545617686</v>
      </c>
      <c r="AD37" t="n">
        <v>101.846211412535</v>
      </c>
      <c r="AE37" t="n">
        <v>105.6</v>
      </c>
      <c r="AF37" t="n">
        <v>111.1</v>
      </c>
    </row>
    <row r="38">
      <c r="A38" t="s">
        <v>149</v>
      </c>
      <c r="B38" t="s">
        <v>346</v>
      </c>
      <c r="C38" t="s">
        <v>217</v>
      </c>
      <c r="D38" t="s">
        <v>347</v>
      </c>
      <c r="E38" t="s">
        <v>218</v>
      </c>
      <c r="F38" t="n">
        <v>36.9759973205835</v>
      </c>
      <c r="G38" t="n">
        <v>42.8659791946587</v>
      </c>
      <c r="H38" t="n">
        <v>47.1525771141246</v>
      </c>
      <c r="I38" t="n">
        <v>53.9715651890903</v>
      </c>
      <c r="J38" t="n">
        <v>63.0818549652539</v>
      </c>
      <c r="K38" t="n">
        <v>74.1110918674945</v>
      </c>
      <c r="L38" t="n">
        <v>89.06332970041</v>
      </c>
      <c r="M38" t="n">
        <v>99.556423142125</v>
      </c>
      <c r="N38" t="n">
        <v>108.960367393585</v>
      </c>
      <c r="O38" t="n">
        <v>116.216329706144</v>
      </c>
      <c r="P38" t="n">
        <v>125.532267959141</v>
      </c>
      <c r="Q38" t="n">
        <v>135.205901511548</v>
      </c>
      <c r="R38" t="n">
        <v>148.388749281812</v>
      </c>
      <c r="S38" t="n">
        <v>158.208592984285</v>
      </c>
      <c r="T38" t="n">
        <v>165.034076390561</v>
      </c>
      <c r="U38" t="n">
        <v>173.587671813242</v>
      </c>
      <c r="V38" t="n">
        <v>173.690325670021</v>
      </c>
      <c r="W38" t="n">
        <v>165.513186117774</v>
      </c>
      <c r="X38" t="n">
        <v>161.063386841668</v>
      </c>
      <c r="Y38" t="n">
        <v>157.863452003754</v>
      </c>
      <c r="Z38" t="n">
        <v>165.820477275879</v>
      </c>
      <c r="AA38" t="n">
        <v>188.70950035977</v>
      </c>
      <c r="AB38" t="n">
        <v>217.121715576778</v>
      </c>
      <c r="AC38" t="n">
        <v>219.014929250921</v>
      </c>
      <c r="AD38" t="n">
        <v>246.639325842697</v>
      </c>
      <c r="AE38" t="n">
        <v>290.1</v>
      </c>
      <c r="AF38" t="n">
        <v>334.6</v>
      </c>
    </row>
    <row r="39">
      <c r="A39" t="s">
        <v>149</v>
      </c>
      <c r="B39" t="s">
        <v>348</v>
      </c>
      <c r="C39" t="s">
        <v>217</v>
      </c>
      <c r="D39" t="s">
        <v>349</v>
      </c>
      <c r="E39" t="s">
        <v>218</v>
      </c>
      <c r="F39" t="n">
        <v>153.186601046103</v>
      </c>
      <c r="G39" t="n">
        <v>135.492319855751</v>
      </c>
      <c r="H39" t="n">
        <v>120.947946537902</v>
      </c>
      <c r="I39" t="n">
        <v>112.069697754735</v>
      </c>
      <c r="J39" t="n">
        <v>107.642252905165</v>
      </c>
      <c r="K39" t="n">
        <v>108.856263276276</v>
      </c>
      <c r="L39" t="n">
        <v>114.853135265148</v>
      </c>
      <c r="M39" t="n">
        <v>119.852323072448</v>
      </c>
      <c r="N39" t="n">
        <v>123.74281732925</v>
      </c>
      <c r="O39" t="n">
        <v>127.254110580276</v>
      </c>
      <c r="P39" t="n">
        <v>132.614631721936</v>
      </c>
      <c r="Q39" t="n">
        <v>137.676258886896</v>
      </c>
      <c r="R39" t="n">
        <v>144.647208703954</v>
      </c>
      <c r="S39" t="n">
        <v>149.992392132682</v>
      </c>
      <c r="T39" t="n">
        <v>156.102061873321</v>
      </c>
      <c r="U39" t="n">
        <v>161.436303832886</v>
      </c>
      <c r="V39" t="n">
        <v>161.436303832886</v>
      </c>
      <c r="W39" t="n">
        <v>157.988914794356</v>
      </c>
      <c r="X39" t="n">
        <v>157.408784140276</v>
      </c>
      <c r="Y39" t="n">
        <v>157.311857549057</v>
      </c>
      <c r="Z39" t="n">
        <v>204.151905021529</v>
      </c>
      <c r="AA39" t="n">
        <v>273.567547873761</v>
      </c>
      <c r="AB39" t="n">
        <v>309.210872109061</v>
      </c>
      <c r="AC39" t="n">
        <v>345.770276124534</v>
      </c>
      <c r="AD39" t="n">
        <v>368.148306595365</v>
      </c>
      <c r="AE39" t="n">
        <v>387.8</v>
      </c>
      <c r="AF39" t="n">
        <v>404</v>
      </c>
    </row>
    <row r="40">
      <c r="A40" t="s">
        <v>149</v>
      </c>
      <c r="B40" t="s">
        <v>350</v>
      </c>
      <c r="C40" t="s">
        <v>217</v>
      </c>
      <c r="D40" t="s">
        <v>351</v>
      </c>
      <c r="E40" t="s">
        <v>218</v>
      </c>
      <c r="F40" t="e">
        <v>#NUM!</v>
      </c>
      <c r="G40" t="e">
        <v>#NUM!</v>
      </c>
      <c r="H40" t="e">
        <v>#NUM!</v>
      </c>
      <c r="I40" t="e">
        <v>#NUM!</v>
      </c>
      <c r="J40" t="e">
        <v>#NUM!</v>
      </c>
      <c r="K40" t="e">
        <v>#NUM!</v>
      </c>
      <c r="L40" t="e">
        <v>#NUM!</v>
      </c>
      <c r="M40" t="e">
        <v>#NUM!</v>
      </c>
      <c r="N40" t="e">
        <v>#NUM!</v>
      </c>
      <c r="O40" t="e">
        <v>#NUM!</v>
      </c>
      <c r="P40" t="e">
        <v>#NUM!</v>
      </c>
      <c r="Q40" t="e">
        <v>#NUM!</v>
      </c>
      <c r="R40" t="e">
        <v>#NUM!</v>
      </c>
      <c r="S40" t="e">
        <v>#NUM!</v>
      </c>
      <c r="T40" t="e">
        <v>#NUM!</v>
      </c>
      <c r="U40" t="e">
        <v>#NUM!</v>
      </c>
      <c r="V40" t="e">
        <v>#NUM!</v>
      </c>
      <c r="W40" t="e">
        <v>#NUM!</v>
      </c>
      <c r="X40" t="e">
        <v>#NUM!</v>
      </c>
      <c r="Y40" t="e">
        <v>#NUM!</v>
      </c>
      <c r="Z40" t="n">
        <v>0</v>
      </c>
      <c r="AA40" t="n">
        <v>0.1</v>
      </c>
      <c r="AB40" t="n">
        <v>0.1</v>
      </c>
      <c r="AC40" t="n">
        <v>0.1</v>
      </c>
      <c r="AD40" t="n">
        <v>0.2</v>
      </c>
      <c r="AE40" t="n">
        <v>0.1</v>
      </c>
      <c r="AF40" t="n">
        <v>0.1</v>
      </c>
    </row>
    <row r="41">
      <c r="A41" t="s">
        <v>149</v>
      </c>
      <c r="B41" t="s">
        <v>352</v>
      </c>
      <c r="C41" t="s">
        <v>217</v>
      </c>
      <c r="D41" t="s">
        <v>353</v>
      </c>
      <c r="E41" t="s">
        <v>218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149</v>
      </c>
      <c r="B42" t="s">
        <v>354</v>
      </c>
      <c r="C42" t="s">
        <v>217</v>
      </c>
      <c r="D42" t="s">
        <v>355</v>
      </c>
      <c r="E42" t="s">
        <v>218</v>
      </c>
      <c r="F42" t="n">
        <v>363.632029485766</v>
      </c>
      <c r="G42" t="n">
        <v>399.503837799902</v>
      </c>
      <c r="H42" t="n">
        <v>436.670542465054</v>
      </c>
      <c r="I42" t="n">
        <v>485.932210982742</v>
      </c>
      <c r="J42" t="n">
        <v>546.984524016958</v>
      </c>
      <c r="K42" t="n">
        <v>604.795896474035</v>
      </c>
      <c r="L42" t="n">
        <v>665.600995215343</v>
      </c>
      <c r="M42" t="n">
        <v>722.711045978337</v>
      </c>
      <c r="N42" t="n">
        <v>777.744896660816</v>
      </c>
      <c r="O42" t="n">
        <v>819.589047530765</v>
      </c>
      <c r="P42" t="n">
        <v>870.704204778386</v>
      </c>
      <c r="Q42" t="n">
        <v>919.73895462124</v>
      </c>
      <c r="R42" t="n">
        <v>980.219419054272</v>
      </c>
      <c r="S42" t="n">
        <v>1059.1303020268</v>
      </c>
      <c r="T42" t="n">
        <v>1092.84888719279</v>
      </c>
      <c r="U42" t="n">
        <v>1104.52741975054</v>
      </c>
      <c r="V42" t="n">
        <v>1105.04086685902</v>
      </c>
      <c r="W42" t="n">
        <v>1087.20491207914</v>
      </c>
      <c r="X42" t="n">
        <v>1093.1046985427</v>
      </c>
      <c r="Y42" t="n">
        <v>1101.92553099525</v>
      </c>
      <c r="Z42" t="n">
        <v>1118.12887406754</v>
      </c>
      <c r="AA42" t="n">
        <v>1119.42739786269</v>
      </c>
      <c r="AB42" t="n">
        <v>1134.43231710356</v>
      </c>
      <c r="AC42" t="n">
        <v>1128.2566384961</v>
      </c>
      <c r="AD42" t="n">
        <v>1158.65105653912</v>
      </c>
      <c r="AE42" t="n">
        <v>1210.5</v>
      </c>
      <c r="AF42" t="n">
        <v>1274.1</v>
      </c>
    </row>
    <row r="43">
      <c r="A43" t="s">
        <v>149</v>
      </c>
      <c r="B43" t="s">
        <v>356</v>
      </c>
      <c r="C43" t="s">
        <v>217</v>
      </c>
      <c r="D43" t="s">
        <v>357</v>
      </c>
      <c r="E43" t="s">
        <v>218</v>
      </c>
      <c r="F43" t="n">
        <v>364.310058712662</v>
      </c>
      <c r="G43" t="n">
        <v>400.3803615555</v>
      </c>
      <c r="H43" t="n">
        <v>437.585878900811</v>
      </c>
      <c r="I43" t="n">
        <v>486.885185297412</v>
      </c>
      <c r="J43" t="n">
        <v>548.12599650887</v>
      </c>
      <c r="K43" t="n">
        <v>605.972503889511</v>
      </c>
      <c r="L43" t="n">
        <v>666.93448407444</v>
      </c>
      <c r="M43" t="n">
        <v>724.071014980549</v>
      </c>
      <c r="N43" t="n">
        <v>779.122482867016</v>
      </c>
      <c r="O43" t="n">
        <v>820.975670116199</v>
      </c>
      <c r="P43" t="n">
        <v>872.213867967423</v>
      </c>
      <c r="Q43" t="n">
        <v>921.370104787356</v>
      </c>
      <c r="R43" t="n">
        <v>982.075468918721</v>
      </c>
      <c r="S43" t="n">
        <v>1061.10432737122</v>
      </c>
      <c r="T43" t="n">
        <v>1094.92925648186</v>
      </c>
      <c r="U43" t="n">
        <v>1106.70918503435</v>
      </c>
      <c r="V43" t="n">
        <v>1107.32539282112</v>
      </c>
      <c r="W43" t="n">
        <v>1089.38741137978</v>
      </c>
      <c r="X43" t="n">
        <v>1095.19128677338</v>
      </c>
      <c r="Y43" t="n">
        <v>1104.01331094762</v>
      </c>
      <c r="Z43" t="n">
        <v>1119.82561795435</v>
      </c>
      <c r="AA43" t="n">
        <v>1120.82457033432</v>
      </c>
      <c r="AB43" t="n">
        <v>1137.13992484903</v>
      </c>
      <c r="AC43" t="n">
        <v>1130.76437029885</v>
      </c>
      <c r="AD43" t="n">
        <v>1160.86527822974</v>
      </c>
      <c r="AE43" t="n">
        <v>1214</v>
      </c>
      <c r="AF43" t="n">
        <v>1278.9</v>
      </c>
    </row>
    <row r="44">
      <c r="A44" t="s">
        <v>149</v>
      </c>
      <c r="B44" t="s">
        <v>358</v>
      </c>
      <c r="C44" t="s">
        <v>217</v>
      </c>
      <c r="D44" t="s">
        <v>359</v>
      </c>
      <c r="E44" t="s">
        <v>218</v>
      </c>
      <c r="F44" t="n">
        <v>775.747955746587</v>
      </c>
      <c r="G44" t="n">
        <v>836.012943653436</v>
      </c>
      <c r="H44" t="n">
        <v>891.237220443718</v>
      </c>
      <c r="I44" t="n">
        <v>987.406583106105</v>
      </c>
      <c r="J44" t="n">
        <v>1119.03317055891</v>
      </c>
      <c r="K44" t="n">
        <v>1253.23630576381</v>
      </c>
      <c r="L44" t="n">
        <v>1411.43704462127</v>
      </c>
      <c r="M44" t="n">
        <v>1540.48271727235</v>
      </c>
      <c r="N44" t="n">
        <v>1663.82161017683</v>
      </c>
      <c r="O44" t="n">
        <v>1765.24908463286</v>
      </c>
      <c r="P44" t="n">
        <v>1891.67090644183</v>
      </c>
      <c r="Q44" t="n">
        <v>2017.60239807372</v>
      </c>
      <c r="R44" t="n">
        <v>2194.72266042486</v>
      </c>
      <c r="S44" t="n">
        <v>2361.61757446314</v>
      </c>
      <c r="T44" t="n">
        <v>2459.76377819578</v>
      </c>
      <c r="U44" t="n">
        <v>2546.19307772007</v>
      </c>
      <c r="V44" t="n">
        <v>2552.14596382567</v>
      </c>
      <c r="W44" t="n">
        <v>2473.64415636285</v>
      </c>
      <c r="X44" t="n">
        <v>2449.18613027407</v>
      </c>
      <c r="Y44" t="n">
        <v>2437.07391844133</v>
      </c>
      <c r="Z44" t="n">
        <v>2477.61982274025</v>
      </c>
      <c r="AA44" t="n">
        <v>2613.04599492808</v>
      </c>
      <c r="AB44" t="n">
        <v>2807.86159176039</v>
      </c>
      <c r="AC44" t="n">
        <v>2889.62849726301</v>
      </c>
      <c r="AD44" t="n">
        <v>3091.67480637277</v>
      </c>
      <c r="AE44" t="n">
        <v>3353.8</v>
      </c>
      <c r="AF44" t="n">
        <v>3637.7</v>
      </c>
    </row>
    <row r="45">
      <c r="A45" t="s">
        <v>149</v>
      </c>
      <c r="B45" t="s">
        <v>360</v>
      </c>
      <c r="C45" t="s">
        <v>217</v>
      </c>
      <c r="D45" t="s">
        <v>361</v>
      </c>
      <c r="E45" t="s">
        <v>218</v>
      </c>
      <c r="F45" t="n">
        <v>773.9897390204</v>
      </c>
      <c r="G45" t="n">
        <v>834.06889177431</v>
      </c>
      <c r="H45" t="n">
        <v>889.12294403664</v>
      </c>
      <c r="I45" t="n">
        <v>985.122660797212</v>
      </c>
      <c r="J45" t="n">
        <v>1116.44473122308</v>
      </c>
      <c r="K45" t="n">
        <v>1250.22409867868</v>
      </c>
      <c r="L45" t="n">
        <v>1407.88539030628</v>
      </c>
      <c r="M45" t="n">
        <v>1536.53831058795</v>
      </c>
      <c r="N45" t="n">
        <v>1659.49647052651</v>
      </c>
      <c r="O45" t="n">
        <v>1760.67643452933</v>
      </c>
      <c r="P45" t="n">
        <v>1886.74668765959</v>
      </c>
      <c r="Q45" t="n">
        <v>2012.33491542407</v>
      </c>
      <c r="R45" t="n">
        <v>2189.0160474376</v>
      </c>
      <c r="S45" t="n">
        <v>2355.58110147573</v>
      </c>
      <c r="T45" t="n">
        <v>2453.52245167755</v>
      </c>
      <c r="U45" t="n">
        <v>2539.64979302002</v>
      </c>
      <c r="V45" t="n">
        <v>2545.60273870362</v>
      </c>
      <c r="W45" t="n">
        <v>2467.39772517951</v>
      </c>
      <c r="X45" t="n">
        <v>2443.13362750595</v>
      </c>
      <c r="Y45" t="n">
        <v>2431.11853391466</v>
      </c>
      <c r="Z45" t="n">
        <v>2471.8596981682</v>
      </c>
      <c r="AA45" t="n">
        <v>2607.1823069928</v>
      </c>
      <c r="AB45" t="n">
        <v>2801.19065984943</v>
      </c>
      <c r="AC45" t="n">
        <v>2882.95762037479</v>
      </c>
      <c r="AD45" t="n">
        <v>3081.73449438202</v>
      </c>
      <c r="AE45" t="n">
        <v>3340.2</v>
      </c>
      <c r="AF45" t="n">
        <v>3620.6</v>
      </c>
    </row>
    <row r="46">
      <c r="A46" t="s">
        <v>149</v>
      </c>
      <c r="B46" t="s">
        <v>362</v>
      </c>
      <c r="C46" t="s">
        <v>217</v>
      </c>
      <c r="D46" t="s">
        <v>363</v>
      </c>
      <c r="E46" t="s">
        <v>218</v>
      </c>
      <c r="F46" t="n">
        <v>0.645487020719219</v>
      </c>
      <c r="G46" t="n">
        <v>0.968230531078828</v>
      </c>
      <c r="H46" t="n">
        <v>0.968230531078828</v>
      </c>
      <c r="I46" t="n">
        <v>0.968230531078828</v>
      </c>
      <c r="J46" t="n">
        <v>1.21028816384853</v>
      </c>
      <c r="K46" t="n">
        <v>1.21028816384853</v>
      </c>
      <c r="L46" t="n">
        <v>1.38318647296975</v>
      </c>
      <c r="M46" t="n">
        <v>1.38318647296975</v>
      </c>
      <c r="N46" t="n">
        <v>1.38318647296975</v>
      </c>
      <c r="O46" t="n">
        <v>1.38318647296975</v>
      </c>
      <c r="P46" t="n">
        <v>1.50893069778519</v>
      </c>
      <c r="Q46" t="n">
        <v>1.63467492260062</v>
      </c>
      <c r="R46" t="n">
        <v>1.86819991154356</v>
      </c>
      <c r="S46" t="n">
        <v>1.98496240601504</v>
      </c>
      <c r="T46" t="n">
        <v>2.0952380952381</v>
      </c>
      <c r="U46" t="n">
        <v>2.2</v>
      </c>
      <c r="V46" t="n">
        <v>2.31</v>
      </c>
      <c r="W46" t="n">
        <v>2.2</v>
      </c>
      <c r="X46" t="n">
        <v>2.0952380952381</v>
      </c>
      <c r="Y46" t="n">
        <v>2.0952380952381</v>
      </c>
      <c r="Z46" t="n">
        <v>1.67619047619048</v>
      </c>
      <c r="AA46" t="n">
        <v>1.36190476190476</v>
      </c>
      <c r="AB46" t="n">
        <v>2.72380952380952</v>
      </c>
      <c r="AC46" t="n">
        <v>2.51428571428571</v>
      </c>
      <c r="AD46" t="n">
        <v>2.2</v>
      </c>
      <c r="AE46" t="n">
        <v>3.5</v>
      </c>
      <c r="AF46" t="n">
        <v>4.8</v>
      </c>
    </row>
    <row r="47">
      <c r="A47" t="s">
        <v>149</v>
      </c>
      <c r="B47" t="s">
        <v>364</v>
      </c>
      <c r="C47" t="s">
        <v>217</v>
      </c>
      <c r="D47" t="s">
        <v>365</v>
      </c>
      <c r="E47" t="s">
        <v>218</v>
      </c>
      <c r="F47" t="n">
        <v>182.112013808846</v>
      </c>
      <c r="G47" t="n">
        <v>198.123638468771</v>
      </c>
      <c r="H47" t="n">
        <v>216.697729575218</v>
      </c>
      <c r="I47" t="n">
        <v>239.930709185533</v>
      </c>
      <c r="J47" t="n">
        <v>268.013508101567</v>
      </c>
      <c r="K47" t="n">
        <v>291.556133875252</v>
      </c>
      <c r="L47" t="n">
        <v>312.381572009199</v>
      </c>
      <c r="M47" t="n">
        <v>336.27478006656</v>
      </c>
      <c r="N47" t="n">
        <v>360.656867542862</v>
      </c>
      <c r="O47" t="n">
        <v>379.041891575169</v>
      </c>
      <c r="P47" t="n">
        <v>401.453404266848</v>
      </c>
      <c r="Q47" t="n">
        <v>422.436450009778</v>
      </c>
      <c r="R47" t="n">
        <v>451.911262157137</v>
      </c>
      <c r="S47" t="n">
        <v>509.975665089842</v>
      </c>
      <c r="T47" t="n">
        <v>535.635450922105</v>
      </c>
      <c r="U47" t="n">
        <v>539.116186306857</v>
      </c>
      <c r="V47" t="n">
        <v>538.088906988437</v>
      </c>
      <c r="W47" t="n">
        <v>534.934694674162</v>
      </c>
      <c r="X47" t="n">
        <v>542.578001036842</v>
      </c>
      <c r="Y47" t="n">
        <v>551.692070389498</v>
      </c>
      <c r="Z47" t="n">
        <v>621.7341726309</v>
      </c>
      <c r="AA47" t="n">
        <v>658.001166792078</v>
      </c>
      <c r="AB47" t="n">
        <v>665.353697815471</v>
      </c>
      <c r="AC47" t="n">
        <v>694.940469525486</v>
      </c>
      <c r="AD47" t="n">
        <v>697.415681341719</v>
      </c>
      <c r="AE47" t="n">
        <v>706.6</v>
      </c>
      <c r="AF47" t="n">
        <v>724.7</v>
      </c>
    </row>
    <row r="48">
      <c r="A48" t="s">
        <v>149</v>
      </c>
      <c r="B48" t="s">
        <v>366</v>
      </c>
      <c r="C48" t="s">
        <v>217</v>
      </c>
      <c r="D48" t="s">
        <v>367</v>
      </c>
      <c r="E48" t="s">
        <v>218</v>
      </c>
      <c r="F48" t="n">
        <v>1122.07192084745</v>
      </c>
      <c r="G48" t="n">
        <v>1222.11679490903</v>
      </c>
      <c r="H48" t="n">
        <v>1336.29907852031</v>
      </c>
      <c r="I48" t="n">
        <v>1481.77915838093</v>
      </c>
      <c r="J48" t="n">
        <v>1658.38495498365</v>
      </c>
      <c r="K48" t="n">
        <v>1807.14195094568</v>
      </c>
      <c r="L48" t="n">
        <v>1940.99469145151</v>
      </c>
      <c r="M48" t="n">
        <v>2091.01956259274</v>
      </c>
      <c r="N48" t="n">
        <v>2243.01410453412</v>
      </c>
      <c r="O48" t="n">
        <v>2358.99046063319</v>
      </c>
      <c r="P48" t="n">
        <v>2499.81877500061</v>
      </c>
      <c r="Q48" t="n">
        <v>2630.01182393882</v>
      </c>
      <c r="R48" t="n">
        <v>2797.70444023528</v>
      </c>
      <c r="S48" t="n">
        <v>3073.57587230924</v>
      </c>
      <c r="T48" t="n">
        <v>3182.36602061791</v>
      </c>
      <c r="U48" t="n">
        <v>3186.68647459721</v>
      </c>
      <c r="V48" t="n">
        <v>3192.74618072418</v>
      </c>
      <c r="W48" t="n">
        <v>3174.70918041323</v>
      </c>
      <c r="X48" t="n">
        <v>3226.46495978127</v>
      </c>
      <c r="Y48" t="n">
        <v>3286.38128374367</v>
      </c>
      <c r="Z48" t="n">
        <v>3436.74886825733</v>
      </c>
      <c r="AA48" t="n">
        <v>3462.92106345218</v>
      </c>
      <c r="AB48" t="n">
        <v>3526.57177634485</v>
      </c>
      <c r="AC48" t="n">
        <v>3624.59021059967</v>
      </c>
      <c r="AD48" t="n">
        <v>3789.13729964684</v>
      </c>
      <c r="AE48" t="n">
        <v>3998.8</v>
      </c>
      <c r="AF48" t="n">
        <v>4235</v>
      </c>
    </row>
    <row r="49">
      <c r="A49" t="s">
        <v>149</v>
      </c>
      <c r="B49" t="s">
        <v>368</v>
      </c>
      <c r="C49" t="s">
        <v>217</v>
      </c>
      <c r="D49" t="s">
        <v>369</v>
      </c>
      <c r="E49" t="s">
        <v>218</v>
      </c>
      <c r="F49" t="n">
        <v>886.319927524901</v>
      </c>
      <c r="G49" t="n">
        <v>965.256772511413</v>
      </c>
      <c r="H49" t="n">
        <v>1055.49627429904</v>
      </c>
      <c r="I49" t="n">
        <v>1170.88441167939</v>
      </c>
      <c r="J49" t="n">
        <v>1311.09768183684</v>
      </c>
      <c r="K49" t="n">
        <v>1428.74474486938</v>
      </c>
      <c r="L49" t="n">
        <v>1534.47159557875</v>
      </c>
      <c r="M49" t="n">
        <v>1653.03974456957</v>
      </c>
      <c r="N49" t="n">
        <v>1773.25397942527</v>
      </c>
      <c r="O49" t="n">
        <v>1865.16375398459</v>
      </c>
      <c r="P49" t="n">
        <v>1976.94084392935</v>
      </c>
      <c r="Q49" t="n">
        <v>2079.9662642536</v>
      </c>
      <c r="R49" t="n">
        <v>2208.99697036678</v>
      </c>
      <c r="S49" t="n">
        <v>2414.62720368716</v>
      </c>
      <c r="T49" t="n">
        <v>2492.56441354415</v>
      </c>
      <c r="U49" t="n">
        <v>2492.06100755523</v>
      </c>
      <c r="V49" t="n">
        <v>2498.73607927778</v>
      </c>
      <c r="W49" t="n">
        <v>2485.23472479697</v>
      </c>
      <c r="X49" t="n">
        <v>2527.70000753813</v>
      </c>
      <c r="Y49" t="n">
        <v>2576.65638184996</v>
      </c>
      <c r="Z49" t="n">
        <v>2607.00349352825</v>
      </c>
      <c r="AA49" t="n">
        <v>2568.44633239173</v>
      </c>
      <c r="AB49" t="n">
        <v>2487.47425650878</v>
      </c>
      <c r="AC49" t="n">
        <v>2454.80069292963</v>
      </c>
      <c r="AD49" t="n">
        <v>2499.1562108143</v>
      </c>
      <c r="AE49" t="n">
        <v>2599</v>
      </c>
      <c r="AF49" t="n">
        <v>2721.4</v>
      </c>
    </row>
    <row r="50">
      <c r="A50" t="s">
        <v>149</v>
      </c>
      <c r="B50" t="s">
        <v>370</v>
      </c>
      <c r="C50" t="s">
        <v>217</v>
      </c>
      <c r="D50" t="s">
        <v>371</v>
      </c>
      <c r="E50" t="s">
        <v>218</v>
      </c>
      <c r="F50" t="n">
        <v>53.6239162435305</v>
      </c>
      <c r="G50" t="n">
        <v>58.5435415869736</v>
      </c>
      <c r="H50" t="n">
        <v>63.9074786433717</v>
      </c>
      <c r="I50" t="n">
        <v>70.7495093865118</v>
      </c>
      <c r="J50" t="n">
        <v>79.0566924847323</v>
      </c>
      <c r="K50" t="n">
        <v>86.6115982511914</v>
      </c>
      <c r="L50" t="n">
        <v>94.1770691827714</v>
      </c>
      <c r="M50" t="n">
        <v>101.875467208611</v>
      </c>
      <c r="N50" t="n">
        <v>109.412493142664</v>
      </c>
      <c r="O50" t="n">
        <v>114.992287693176</v>
      </c>
      <c r="P50" t="n">
        <v>121.646663732274</v>
      </c>
      <c r="Q50" t="n">
        <v>127.96011430596</v>
      </c>
      <c r="R50" t="n">
        <v>137.022136052884</v>
      </c>
      <c r="S50" t="n">
        <v>149.160569494121</v>
      </c>
      <c r="T50" t="n">
        <v>154.261820160814</v>
      </c>
      <c r="U50" t="n">
        <v>155.471716789527</v>
      </c>
      <c r="V50" t="n">
        <v>155.883017627594</v>
      </c>
      <c r="W50" t="n">
        <v>154.40311556151</v>
      </c>
      <c r="X50" t="n">
        <v>156.145595862517</v>
      </c>
      <c r="Y50" t="n">
        <v>157.988307863379</v>
      </c>
      <c r="Z50" t="n">
        <v>208.096539834973</v>
      </c>
      <c r="AA50" t="n">
        <v>236.468799706856</v>
      </c>
      <c r="AB50" t="n">
        <v>373.737527986433</v>
      </c>
      <c r="AC50" t="n">
        <v>474.9415067802</v>
      </c>
      <c r="AD50" t="n">
        <v>592.563043168543</v>
      </c>
      <c r="AE50" t="n">
        <v>693.2</v>
      </c>
      <c r="AF50" t="n">
        <v>789</v>
      </c>
    </row>
    <row r="51">
      <c r="A51" t="s">
        <v>149</v>
      </c>
      <c r="B51" t="s">
        <v>372</v>
      </c>
      <c r="C51" t="s">
        <v>217</v>
      </c>
      <c r="D51" t="s">
        <v>373</v>
      </c>
      <c r="E51" t="s">
        <v>218</v>
      </c>
      <c r="F51" t="n">
        <v>53.6241231003246</v>
      </c>
      <c r="G51" t="n">
        <v>58.5437674214553</v>
      </c>
      <c r="H51" t="n">
        <v>63.9077251694943</v>
      </c>
      <c r="I51" t="n">
        <v>70.7497823060917</v>
      </c>
      <c r="J51" t="n">
        <v>79.0569974496641</v>
      </c>
      <c r="K51" t="n">
        <v>86.6119323595296</v>
      </c>
      <c r="L51" t="n">
        <v>94.1774324752716</v>
      </c>
      <c r="M51" t="n">
        <v>101.875860198046</v>
      </c>
      <c r="N51" t="n">
        <v>109.412915206533</v>
      </c>
      <c r="O51" t="n">
        <v>114.992731281367</v>
      </c>
      <c r="P51" t="n">
        <v>121.647132990035</v>
      </c>
      <c r="Q51" t="n">
        <v>127.960607918155</v>
      </c>
      <c r="R51" t="n">
        <v>137.022664622257</v>
      </c>
      <c r="S51" t="n">
        <v>149.161144888075</v>
      </c>
      <c r="T51" t="n">
        <v>154.262415233085</v>
      </c>
      <c r="U51" t="n">
        <v>155.47231652903</v>
      </c>
      <c r="V51" t="n">
        <v>155.88361895371</v>
      </c>
      <c r="W51" t="n">
        <v>154.403711178833</v>
      </c>
      <c r="X51" t="n">
        <v>156.146198201541</v>
      </c>
      <c r="Y51" t="n">
        <v>157.988917310752</v>
      </c>
      <c r="Z51" t="n">
        <v>207.999090762974</v>
      </c>
      <c r="AA51" t="n">
        <v>236.171878272656</v>
      </c>
      <c r="AB51" t="n">
        <v>372.839357511886</v>
      </c>
      <c r="AC51" t="n">
        <v>474.042880683694</v>
      </c>
      <c r="AD51" t="n">
        <v>591.662542808219</v>
      </c>
      <c r="AE51" t="n">
        <v>692.1</v>
      </c>
      <c r="AF51" t="n">
        <v>787.7</v>
      </c>
    </row>
    <row r="52">
      <c r="A52" t="s">
        <v>149</v>
      </c>
      <c r="B52" t="s">
        <v>374</v>
      </c>
      <c r="C52" t="s">
        <v>217</v>
      </c>
      <c r="D52" t="s">
        <v>375</v>
      </c>
      <c r="E52" t="s">
        <v>218</v>
      </c>
      <c r="F52" t="e">
        <v>#NUM!</v>
      </c>
      <c r="G52" t="e">
        <v>#NUM!</v>
      </c>
      <c r="H52" t="e">
        <v>#NUM!</v>
      </c>
      <c r="I52" t="e">
        <v>#NUM!</v>
      </c>
      <c r="J52" t="e">
        <v>#NUM!</v>
      </c>
      <c r="K52" t="e">
        <v>#NUM!</v>
      </c>
      <c r="L52" t="e">
        <v>#NUM!</v>
      </c>
      <c r="M52" t="e">
        <v>#NUM!</v>
      </c>
      <c r="N52" t="e">
        <v>#NUM!</v>
      </c>
      <c r="O52" t="e">
        <v>#NUM!</v>
      </c>
      <c r="P52" t="e">
        <v>#NUM!</v>
      </c>
      <c r="Q52" t="e">
        <v>#NUM!</v>
      </c>
      <c r="R52" t="e">
        <v>#NUM!</v>
      </c>
      <c r="S52" t="e">
        <v>#NUM!</v>
      </c>
      <c r="T52" t="e">
        <v>#NUM!</v>
      </c>
      <c r="U52" t="e">
        <v>#NUM!</v>
      </c>
      <c r="V52" t="e">
        <v>#NUM!</v>
      </c>
      <c r="W52" t="e">
        <v>#NUM!</v>
      </c>
      <c r="X52" t="e">
        <v>#NUM!</v>
      </c>
      <c r="Y52" t="n">
        <v>0</v>
      </c>
      <c r="Z52" t="n">
        <v>0.1</v>
      </c>
      <c r="AA52" t="n">
        <v>0.3</v>
      </c>
      <c r="AB52" t="n">
        <v>0.9</v>
      </c>
      <c r="AC52" t="n">
        <v>0.9</v>
      </c>
      <c r="AD52" t="n">
        <v>0.9</v>
      </c>
      <c r="AE52" t="n">
        <v>1.1</v>
      </c>
      <c r="AF52" t="n">
        <v>1.3</v>
      </c>
    </row>
    <row r="53">
      <c r="A53" t="s">
        <v>149</v>
      </c>
      <c r="B53" t="s">
        <v>376</v>
      </c>
      <c r="C53" t="s">
        <v>217</v>
      </c>
      <c r="D53" t="s">
        <v>377</v>
      </c>
      <c r="E53" t="s">
        <v>218</v>
      </c>
      <c r="F53" t="n">
        <v>9.81587821442238</v>
      </c>
      <c r="G53" t="n">
        <v>10.9804739347776</v>
      </c>
      <c r="H53" t="n">
        <v>11.9216574149014</v>
      </c>
      <c r="I53" t="n">
        <v>13.2462860165571</v>
      </c>
      <c r="J53" t="n">
        <v>14.9195010923327</v>
      </c>
      <c r="K53" t="n">
        <v>16.9539785140144</v>
      </c>
      <c r="L53" t="n">
        <v>19.5622829007859</v>
      </c>
      <c r="M53" t="n">
        <v>21.480153773412</v>
      </c>
      <c r="N53" t="n">
        <v>23.103653767914</v>
      </c>
      <c r="O53" t="n">
        <v>24.4273005983674</v>
      </c>
      <c r="P53" t="n">
        <v>25.9394668258854</v>
      </c>
      <c r="Q53" t="n">
        <v>27.5115557244239</v>
      </c>
      <c r="R53" t="n">
        <v>29.4688996099561</v>
      </c>
      <c r="S53" t="n">
        <v>30.8825368606182</v>
      </c>
      <c r="T53" t="n">
        <v>31.6952351990555</v>
      </c>
      <c r="U53" t="n">
        <v>32.6982489711775</v>
      </c>
      <c r="V53" t="n">
        <v>32.4938849151076</v>
      </c>
      <c r="W53" t="n">
        <v>31.2176900392877</v>
      </c>
      <c r="X53" t="n">
        <v>30.6395846681898</v>
      </c>
      <c r="Y53" t="n">
        <v>29.8663459383932</v>
      </c>
      <c r="Z53" t="n">
        <v>24.4806114249125</v>
      </c>
      <c r="AA53" t="n">
        <v>20.9975976042948</v>
      </c>
      <c r="AB53" t="n">
        <v>17.983588378798</v>
      </c>
      <c r="AC53" t="n">
        <v>16.5925925925926</v>
      </c>
      <c r="AD53" t="n">
        <v>16.1975308641975</v>
      </c>
      <c r="AE53" t="n">
        <v>16</v>
      </c>
      <c r="AF53" t="n">
        <v>15.9</v>
      </c>
    </row>
    <row r="54">
      <c r="A54" t="s">
        <v>149</v>
      </c>
      <c r="B54" t="s">
        <v>378</v>
      </c>
      <c r="C54" t="s">
        <v>217</v>
      </c>
      <c r="D54" t="s">
        <v>379</v>
      </c>
      <c r="E54" t="s">
        <v>218</v>
      </c>
      <c r="F54" t="n">
        <v>9.92225312540557</v>
      </c>
      <c r="G54" t="n">
        <v>11.0798493233695</v>
      </c>
      <c r="H54" t="n">
        <v>12.0161746183022</v>
      </c>
      <c r="I54" t="n">
        <v>13.3350230520183</v>
      </c>
      <c r="J54" t="n">
        <v>15.0019009335206</v>
      </c>
      <c r="K54" t="n">
        <v>17.0291848434558</v>
      </c>
      <c r="L54" t="n">
        <v>19.7590541695059</v>
      </c>
      <c r="M54" t="n">
        <v>21.6712207020388</v>
      </c>
      <c r="N54" t="n">
        <v>23.290334892421</v>
      </c>
      <c r="O54" t="n">
        <v>24.6109208914758</v>
      </c>
      <c r="P54" t="n">
        <v>26.2361703843091</v>
      </c>
      <c r="Q54" t="n">
        <v>27.8058557919173</v>
      </c>
      <c r="R54" t="n">
        <v>30.5212713965967</v>
      </c>
      <c r="S54" t="n">
        <v>32.6936038803403</v>
      </c>
      <c r="T54" t="n">
        <v>34.0094455225831</v>
      </c>
      <c r="U54" t="n">
        <v>35.4098344558659</v>
      </c>
      <c r="V54" t="n">
        <v>35.5118800883036</v>
      </c>
      <c r="W54" t="n">
        <v>34.3346906931112</v>
      </c>
      <c r="X54" t="n">
        <v>33.9499882763816</v>
      </c>
      <c r="Y54" t="n">
        <v>33.3712952943979</v>
      </c>
      <c r="Z54" t="n">
        <v>41.8853794310917</v>
      </c>
      <c r="AA54" t="n">
        <v>50.6405181245266</v>
      </c>
      <c r="AB54" t="n">
        <v>53.755311898059</v>
      </c>
      <c r="AC54" t="n">
        <v>47.296725440806</v>
      </c>
      <c r="AD54" t="n">
        <v>43.6433249370277</v>
      </c>
      <c r="AE54" t="n">
        <v>39.2</v>
      </c>
      <c r="AF54" t="n">
        <v>35.7</v>
      </c>
    </row>
    <row r="55">
      <c r="A55" t="s">
        <v>149</v>
      </c>
      <c r="B55" t="s">
        <v>380</v>
      </c>
      <c r="C55" t="s">
        <v>217</v>
      </c>
      <c r="D55" t="s">
        <v>381</v>
      </c>
      <c r="E55" t="s">
        <v>218</v>
      </c>
      <c r="F55" t="n">
        <v>0.109273265857462</v>
      </c>
      <c r="G55" t="n">
        <v>0.109273265857462</v>
      </c>
      <c r="H55" t="n">
        <v>0.109273265857462</v>
      </c>
      <c r="I55" t="n">
        <v>0.109273265857462</v>
      </c>
      <c r="J55" t="n">
        <v>0.109273265857462</v>
      </c>
      <c r="K55" t="n">
        <v>0.109273265857462</v>
      </c>
      <c r="L55" t="n">
        <v>0.218546531714923</v>
      </c>
      <c r="M55" t="n">
        <v>0.218546531714923</v>
      </c>
      <c r="N55" t="n">
        <v>0.218546531714923</v>
      </c>
      <c r="O55" t="n">
        <v>0.218546531714923</v>
      </c>
      <c r="P55" t="n">
        <v>0.327819797572385</v>
      </c>
      <c r="Q55" t="n">
        <v>0.327819797572385</v>
      </c>
      <c r="R55" t="n">
        <v>1.09273265857462</v>
      </c>
      <c r="S55" t="n">
        <v>1.85764551957685</v>
      </c>
      <c r="T55" t="n">
        <v>2.34649960367602</v>
      </c>
      <c r="U55" t="n">
        <v>2.73758287095535</v>
      </c>
      <c r="V55" t="n">
        <v>3.04175874550595</v>
      </c>
      <c r="W55" t="n">
        <v>3.13987999536098</v>
      </c>
      <c r="X55" t="n">
        <v>3.33017575265558</v>
      </c>
      <c r="Y55" t="n">
        <v>3.52047150995019</v>
      </c>
      <c r="Z55" t="n">
        <v>17.4067757991982</v>
      </c>
      <c r="AA55" t="n">
        <v>29.6412525037774</v>
      </c>
      <c r="AB55" t="n">
        <v>35.7704606486263</v>
      </c>
      <c r="AC55" t="n">
        <v>30.7029787234043</v>
      </c>
      <c r="AD55" t="n">
        <v>27.4451063829787</v>
      </c>
      <c r="AE55" t="n">
        <v>23.2</v>
      </c>
      <c r="AF55" t="n">
        <v>19.8</v>
      </c>
    </row>
    <row r="56">
      <c r="A56" t="s">
        <v>149</v>
      </c>
      <c r="B56" t="s">
        <v>382</v>
      </c>
      <c r="C56" t="s">
        <v>217</v>
      </c>
      <c r="D56" t="s">
        <v>383</v>
      </c>
      <c r="E56" t="s">
        <v>218</v>
      </c>
      <c r="F56" t="e">
        <v>#NUM!</v>
      </c>
      <c r="G56" t="e">
        <v>#NUM!</v>
      </c>
      <c r="H56" t="e">
        <v>#NUM!</v>
      </c>
      <c r="I56" t="e">
        <v>#NUM!</v>
      </c>
      <c r="J56" t="e">
        <v>#NUM!</v>
      </c>
      <c r="K56" t="e">
        <v>#NUM!</v>
      </c>
      <c r="L56" t="e">
        <v>#NUM!</v>
      </c>
      <c r="M56" t="e">
        <v>#NUM!</v>
      </c>
      <c r="N56" t="e">
        <v>#NUM!</v>
      </c>
      <c r="O56" t="e">
        <v>#NUM!</v>
      </c>
      <c r="P56" t="e">
        <v>#NUM!</v>
      </c>
      <c r="Q56" t="e">
        <v>#NUM!</v>
      </c>
      <c r="R56" t="e">
        <v>#NUM!</v>
      </c>
      <c r="S56" t="e">
        <v>#NUM!</v>
      </c>
      <c r="T56" t="e">
        <v>#NUM!</v>
      </c>
      <c r="U56" t="e">
        <v>#NUM!</v>
      </c>
      <c r="V56" t="e">
        <v>#NUM!</v>
      </c>
      <c r="W56" t="e">
        <v>#NUM!</v>
      </c>
      <c r="X56" t="e">
        <v>#NUM!</v>
      </c>
      <c r="Y56" t="e">
        <v>#NUM!</v>
      </c>
      <c r="Z56" t="e">
        <v>#NUM!</v>
      </c>
      <c r="AA56" t="e">
        <v>#NUM!</v>
      </c>
      <c r="AB56" t="e">
        <v>#NUM!</v>
      </c>
      <c r="AC56" t="e">
        <v>#NUM!</v>
      </c>
      <c r="AD56" t="e">
        <v>#NUM!</v>
      </c>
      <c r="AE56" t="n">
        <v>0</v>
      </c>
      <c r="AF56" t="e">
        <v>#NUM!</v>
      </c>
    </row>
    <row r="57">
      <c r="A57" t="s">
        <v>149</v>
      </c>
      <c r="B57" t="s">
        <v>384</v>
      </c>
      <c r="C57" t="s">
        <v>217</v>
      </c>
      <c r="D57" t="s">
        <v>385</v>
      </c>
      <c r="E57" t="s">
        <v>218</v>
      </c>
      <c r="F57" t="n">
        <v>1897.84993377777</v>
      </c>
      <c r="G57" t="n">
        <v>2057.99431277866</v>
      </c>
      <c r="H57" t="n">
        <v>2227.43126102451</v>
      </c>
      <c r="I57" t="n">
        <v>2469.07010970876</v>
      </c>
      <c r="J57" t="n">
        <v>2777.28997029712</v>
      </c>
      <c r="K57" t="n">
        <v>3060.20072956848</v>
      </c>
      <c r="L57" t="n">
        <v>3352.43494288511</v>
      </c>
      <c r="M57" t="n">
        <v>3631.61269066562</v>
      </c>
      <c r="N57" t="n">
        <v>3907.06685096434</v>
      </c>
      <c r="O57" t="n">
        <v>4124.34754789114</v>
      </c>
      <c r="P57" t="n">
        <v>4391.58238308692</v>
      </c>
      <c r="Q57" t="n">
        <v>4647.80295337087</v>
      </c>
      <c r="R57" t="n">
        <v>4992.46757400275</v>
      </c>
      <c r="S57" t="n">
        <v>5435.39961977626</v>
      </c>
      <c r="T57" t="n">
        <v>5642.3287534844</v>
      </c>
      <c r="U57" t="n">
        <v>5732.91567805478</v>
      </c>
      <c r="V57" t="n">
        <v>5744.92877260716</v>
      </c>
      <c r="W57" t="n">
        <v>5648.26853547608</v>
      </c>
      <c r="X57" t="n">
        <v>5675.63755122055</v>
      </c>
      <c r="Y57" t="n">
        <v>5723.42239500686</v>
      </c>
      <c r="Z57" t="n">
        <v>5914.41917900056</v>
      </c>
      <c r="AA57" t="n">
        <v>6076.03116001187</v>
      </c>
      <c r="AB57" t="n">
        <v>6334.52354450201</v>
      </c>
      <c r="AC57" t="n">
        <v>6514.41142300648</v>
      </c>
      <c r="AD57" t="n">
        <v>6881.01474969442</v>
      </c>
      <c r="AE57" t="n">
        <v>7352.7</v>
      </c>
      <c r="AF57" t="n">
        <v>7872.9</v>
      </c>
    </row>
    <row r="58">
      <c r="A58" t="s">
        <v>149</v>
      </c>
      <c r="B58" t="s">
        <v>386</v>
      </c>
      <c r="C58" t="s">
        <v>217</v>
      </c>
      <c r="D58" t="s">
        <v>387</v>
      </c>
      <c r="E58" t="s">
        <v>218</v>
      </c>
      <c r="F58" t="n">
        <v>1897.84993377777</v>
      </c>
      <c r="G58" t="n">
        <v>2057.99431277866</v>
      </c>
      <c r="H58" t="n">
        <v>2227.43126102451</v>
      </c>
      <c r="I58" t="n">
        <v>2469.07010970876</v>
      </c>
      <c r="J58" t="n">
        <v>2777.28997029712</v>
      </c>
      <c r="K58" t="n">
        <v>3060.20072956848</v>
      </c>
      <c r="L58" t="n">
        <v>3352.43494288511</v>
      </c>
      <c r="M58" t="n">
        <v>3631.61269066562</v>
      </c>
      <c r="N58" t="n">
        <v>3907.06685096434</v>
      </c>
      <c r="O58" t="n">
        <v>4124.34754789114</v>
      </c>
      <c r="P58" t="n">
        <v>4391.58238308692</v>
      </c>
      <c r="Q58" t="n">
        <v>4647.80295337087</v>
      </c>
      <c r="R58" t="n">
        <v>4992.46757400275</v>
      </c>
      <c r="S58" t="n">
        <v>5435.39961977626</v>
      </c>
      <c r="T58" t="n">
        <v>5642.3287534844</v>
      </c>
      <c r="U58" t="n">
        <v>5732.91567805478</v>
      </c>
      <c r="V58" t="n">
        <v>5744.92877260716</v>
      </c>
      <c r="W58" t="n">
        <v>5648.26853547608</v>
      </c>
      <c r="X58" t="n">
        <v>5675.63755122055</v>
      </c>
      <c r="Y58" t="n">
        <v>5723.42239500686</v>
      </c>
      <c r="Z58" t="n">
        <v>5914.41917900056</v>
      </c>
      <c r="AA58" t="n">
        <v>6076.03116001187</v>
      </c>
      <c r="AB58" t="n">
        <v>6334.52354450201</v>
      </c>
      <c r="AC58" t="n">
        <v>6514.41142300648</v>
      </c>
      <c r="AD58" t="n">
        <v>6881.01474969442</v>
      </c>
      <c r="AE58" t="n">
        <v>7352.7</v>
      </c>
      <c r="AF58" t="n">
        <v>7872.9</v>
      </c>
    </row>
    <row r="59">
      <c r="A59" t="s">
        <v>149</v>
      </c>
      <c r="B59" t="s">
        <v>388</v>
      </c>
      <c r="C59" t="s">
        <v>217</v>
      </c>
      <c r="D59" t="s">
        <v>389</v>
      </c>
      <c r="E59" t="s">
        <v>218</v>
      </c>
      <c r="F59" t="e">
        <v>#NUM!</v>
      </c>
      <c r="G59" t="e">
        <v>#NUM!</v>
      </c>
      <c r="H59" t="e">
        <v>#NUM!</v>
      </c>
      <c r="I59" t="e">
        <v>#NUM!</v>
      </c>
      <c r="J59" t="e">
        <v>#NUM!</v>
      </c>
      <c r="K59" t="e">
        <v>#NUM!</v>
      </c>
      <c r="L59" t="e">
        <v>#NUM!</v>
      </c>
      <c r="M59" t="e">
        <v>#NUM!</v>
      </c>
      <c r="N59" t="e">
        <v>#NUM!</v>
      </c>
      <c r="O59" t="e">
        <v>#NUM!</v>
      </c>
      <c r="P59" t="e">
        <v>#NUM!</v>
      </c>
      <c r="Q59" t="e">
        <v>#NUM!</v>
      </c>
      <c r="R59" t="e">
        <v>#NUM!</v>
      </c>
      <c r="S59" t="e">
        <v>#NUM!</v>
      </c>
      <c r="T59" t="e">
        <v>#NUM!</v>
      </c>
      <c r="U59" t="e">
        <v>#NUM!</v>
      </c>
      <c r="V59" t="e">
        <v>#NUM!</v>
      </c>
      <c r="W59" t="e">
        <v>#NUM!</v>
      </c>
      <c r="X59" t="e">
        <v>#NUM!</v>
      </c>
      <c r="Y59" t="e">
        <v>#NUM!</v>
      </c>
      <c r="Z59" t="e">
        <v>#NUM!</v>
      </c>
      <c r="AA59" t="e">
        <v>#NUM!</v>
      </c>
      <c r="AB59" t="e">
        <v>#NUM!</v>
      </c>
      <c r="AC59" t="e">
        <v>#NUM!</v>
      </c>
      <c r="AD59" t="e">
        <v>#NUM!</v>
      </c>
      <c r="AE59" t="n">
        <v>0</v>
      </c>
      <c r="AF59" t="e">
        <v>#NUM!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150</v>
      </c>
      <c r="B2" t="s">
        <v>197</v>
      </c>
      <c r="C2" t="s">
        <v>217</v>
      </c>
      <c r="D2" t="s">
        <v>199</v>
      </c>
      <c r="E2" t="s">
        <v>218</v>
      </c>
      <c r="F2" t="n">
        <v>547.026</v>
      </c>
      <c r="G2" t="n">
        <v>658.904</v>
      </c>
      <c r="H2" t="n">
        <v>779.971</v>
      </c>
      <c r="I2" t="n">
        <v>807.284</v>
      </c>
      <c r="J2" t="n">
        <v>832.507</v>
      </c>
      <c r="K2" t="n">
        <v>763.414</v>
      </c>
      <c r="L2" t="n">
        <v>712.143</v>
      </c>
      <c r="M2" t="n">
        <v>637.094</v>
      </c>
      <c r="N2" t="n">
        <v>583.961</v>
      </c>
      <c r="O2" t="n">
        <v>546.879</v>
      </c>
      <c r="P2" t="n">
        <v>512.504</v>
      </c>
      <c r="Q2" t="n">
        <v>485.935</v>
      </c>
      <c r="R2" t="n">
        <v>462.274</v>
      </c>
      <c r="S2" t="n">
        <v>441.092</v>
      </c>
      <c r="T2" t="n">
        <v>408.6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150</v>
      </c>
      <c r="B3" t="s">
        <v>276</v>
      </c>
      <c r="C3" t="s">
        <v>217</v>
      </c>
      <c r="D3" t="s">
        <v>277</v>
      </c>
      <c r="E3" t="s">
        <v>218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150</v>
      </c>
      <c r="B4" t="s">
        <v>278</v>
      </c>
      <c r="C4" t="s">
        <v>217</v>
      </c>
      <c r="D4" t="s">
        <v>279</v>
      </c>
      <c r="E4" t="s">
        <v>218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150</v>
      </c>
      <c r="B5" t="s">
        <v>280</v>
      </c>
      <c r="C5" t="s">
        <v>217</v>
      </c>
      <c r="D5" t="s">
        <v>281</v>
      </c>
      <c r="E5" t="s">
        <v>218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150</v>
      </c>
      <c r="B6" t="s">
        <v>282</v>
      </c>
      <c r="C6" t="s">
        <v>217</v>
      </c>
      <c r="D6" t="s">
        <v>283</v>
      </c>
      <c r="E6" t="s">
        <v>218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150</v>
      </c>
      <c r="B7" t="s">
        <v>284</v>
      </c>
      <c r="C7" t="s">
        <v>217</v>
      </c>
      <c r="D7" t="s">
        <v>285</v>
      </c>
      <c r="E7" t="s">
        <v>218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150</v>
      </c>
      <c r="B8" t="s">
        <v>286</v>
      </c>
      <c r="C8" t="s">
        <v>217</v>
      </c>
      <c r="D8" t="s">
        <v>287</v>
      </c>
      <c r="E8" t="s">
        <v>218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150</v>
      </c>
      <c r="B9" t="s">
        <v>288</v>
      </c>
      <c r="C9" t="s">
        <v>217</v>
      </c>
      <c r="D9" t="s">
        <v>289</v>
      </c>
      <c r="E9" t="s">
        <v>218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150</v>
      </c>
      <c r="B10" t="s">
        <v>290</v>
      </c>
      <c r="C10" t="s">
        <v>217</v>
      </c>
      <c r="D10" t="s">
        <v>291</v>
      </c>
      <c r="E10" t="s">
        <v>218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150</v>
      </c>
      <c r="B11" t="s">
        <v>292</v>
      </c>
      <c r="C11" t="s">
        <v>217</v>
      </c>
      <c r="D11" t="s">
        <v>293</v>
      </c>
      <c r="E11" t="s">
        <v>218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150</v>
      </c>
      <c r="B12" t="s">
        <v>294</v>
      </c>
      <c r="C12" t="s">
        <v>217</v>
      </c>
      <c r="D12" t="s">
        <v>295</v>
      </c>
      <c r="E12" t="s">
        <v>218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150</v>
      </c>
      <c r="B13" t="s">
        <v>296</v>
      </c>
      <c r="C13" t="s">
        <v>217</v>
      </c>
      <c r="D13" t="s">
        <v>297</v>
      </c>
      <c r="E13" t="s">
        <v>218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150</v>
      </c>
      <c r="B14" t="s">
        <v>298</v>
      </c>
      <c r="C14" t="s">
        <v>217</v>
      </c>
      <c r="D14" t="s">
        <v>299</v>
      </c>
      <c r="E14" t="s">
        <v>218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150</v>
      </c>
      <c r="B15" t="s">
        <v>300</v>
      </c>
      <c r="C15" t="s">
        <v>217</v>
      </c>
      <c r="D15" t="s">
        <v>301</v>
      </c>
      <c r="E15" t="s">
        <v>218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150</v>
      </c>
      <c r="B16" t="s">
        <v>302</v>
      </c>
      <c r="C16" t="s">
        <v>217</v>
      </c>
      <c r="D16" t="s">
        <v>303</v>
      </c>
      <c r="E16" t="s">
        <v>218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150</v>
      </c>
      <c r="B17" t="s">
        <v>304</v>
      </c>
      <c r="C17" t="s">
        <v>217</v>
      </c>
      <c r="D17" t="s">
        <v>305</v>
      </c>
      <c r="E17" t="s">
        <v>218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150</v>
      </c>
      <c r="B18" t="s">
        <v>306</v>
      </c>
      <c r="C18" t="s">
        <v>217</v>
      </c>
      <c r="D18" t="s">
        <v>307</v>
      </c>
      <c r="E18" t="s">
        <v>218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150</v>
      </c>
      <c r="B19" t="s">
        <v>308</v>
      </c>
      <c r="C19" t="s">
        <v>217</v>
      </c>
      <c r="D19" t="s">
        <v>309</v>
      </c>
      <c r="E19" t="s">
        <v>218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150</v>
      </c>
      <c r="B20" t="s">
        <v>310</v>
      </c>
      <c r="C20" t="s">
        <v>217</v>
      </c>
      <c r="D20" t="s">
        <v>311</v>
      </c>
      <c r="E20" t="s">
        <v>218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150</v>
      </c>
      <c r="B21" t="s">
        <v>312</v>
      </c>
      <c r="C21" t="s">
        <v>217</v>
      </c>
      <c r="D21" t="s">
        <v>313</v>
      </c>
      <c r="E21" t="s">
        <v>218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150</v>
      </c>
      <c r="B22" t="s">
        <v>314</v>
      </c>
      <c r="C22" t="s">
        <v>217</v>
      </c>
      <c r="D22" t="s">
        <v>315</v>
      </c>
      <c r="E22" t="s">
        <v>218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150</v>
      </c>
      <c r="B23" t="s">
        <v>316</v>
      </c>
      <c r="C23" t="s">
        <v>217</v>
      </c>
      <c r="D23" t="s">
        <v>317</v>
      </c>
      <c r="E23" t="s">
        <v>218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150</v>
      </c>
      <c r="B24" t="s">
        <v>318</v>
      </c>
      <c r="C24" t="s">
        <v>217</v>
      </c>
      <c r="D24" t="s">
        <v>319</v>
      </c>
      <c r="E24" t="s">
        <v>218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150</v>
      </c>
      <c r="B25" t="s">
        <v>320</v>
      </c>
      <c r="C25" t="s">
        <v>217</v>
      </c>
      <c r="D25" t="s">
        <v>321</v>
      </c>
      <c r="E25" t="s">
        <v>218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150</v>
      </c>
      <c r="B26" t="s">
        <v>322</v>
      </c>
      <c r="C26" t="s">
        <v>217</v>
      </c>
      <c r="D26" t="s">
        <v>323</v>
      </c>
      <c r="E26" t="s">
        <v>218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150</v>
      </c>
      <c r="B27" t="s">
        <v>324</v>
      </c>
      <c r="C27" t="s">
        <v>217</v>
      </c>
      <c r="D27" t="s">
        <v>325</v>
      </c>
      <c r="E27" t="s">
        <v>218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150</v>
      </c>
      <c r="B28" t="s">
        <v>326</v>
      </c>
      <c r="C28" t="s">
        <v>217</v>
      </c>
      <c r="D28" t="s">
        <v>327</v>
      </c>
      <c r="E28" t="s">
        <v>218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150</v>
      </c>
      <c r="B29" t="s">
        <v>328</v>
      </c>
      <c r="C29" t="s">
        <v>217</v>
      </c>
      <c r="D29" t="s">
        <v>329</v>
      </c>
      <c r="E29" t="s">
        <v>218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150</v>
      </c>
      <c r="B30" t="s">
        <v>330</v>
      </c>
      <c r="C30" t="s">
        <v>217</v>
      </c>
      <c r="D30" t="s">
        <v>331</v>
      </c>
      <c r="E30" t="s">
        <v>218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150</v>
      </c>
      <c r="B31" t="s">
        <v>332</v>
      </c>
      <c r="C31" t="s">
        <v>217</v>
      </c>
      <c r="D31" t="s">
        <v>333</v>
      </c>
      <c r="E31" t="s">
        <v>218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150</v>
      </c>
      <c r="B32" t="s">
        <v>334</v>
      </c>
      <c r="C32" t="s">
        <v>217</v>
      </c>
      <c r="D32" t="s">
        <v>335</v>
      </c>
      <c r="E32" t="s">
        <v>218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150</v>
      </c>
      <c r="B33" t="s">
        <v>336</v>
      </c>
      <c r="C33" t="s">
        <v>217</v>
      </c>
      <c r="D33" t="s">
        <v>337</v>
      </c>
      <c r="E33" t="s">
        <v>218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150</v>
      </c>
      <c r="B34" t="s">
        <v>338</v>
      </c>
      <c r="C34" t="s">
        <v>217</v>
      </c>
      <c r="D34" t="s">
        <v>339</v>
      </c>
      <c r="E34" t="s">
        <v>218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150</v>
      </c>
      <c r="B35" t="s">
        <v>340</v>
      </c>
      <c r="C35" t="s">
        <v>217</v>
      </c>
      <c r="D35" t="s">
        <v>341</v>
      </c>
      <c r="E35" t="s">
        <v>218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s">
        <v>150</v>
      </c>
      <c r="B36" t="s">
        <v>342</v>
      </c>
      <c r="C36" t="s">
        <v>217</v>
      </c>
      <c r="D36" t="s">
        <v>343</v>
      </c>
      <c r="E36" t="s">
        <v>218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150</v>
      </c>
      <c r="B37" t="s">
        <v>344</v>
      </c>
      <c r="C37" t="s">
        <v>217</v>
      </c>
      <c r="D37" t="s">
        <v>345</v>
      </c>
      <c r="E37" t="s">
        <v>218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150</v>
      </c>
      <c r="B38" t="s">
        <v>346</v>
      </c>
      <c r="C38" t="s">
        <v>217</v>
      </c>
      <c r="D38" t="s">
        <v>347</v>
      </c>
      <c r="E38" t="s">
        <v>218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150</v>
      </c>
      <c r="B39" t="s">
        <v>348</v>
      </c>
      <c r="C39" t="s">
        <v>217</v>
      </c>
      <c r="D39" t="s">
        <v>349</v>
      </c>
      <c r="E39" t="s">
        <v>218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150</v>
      </c>
      <c r="B40" t="s">
        <v>350</v>
      </c>
      <c r="C40" t="s">
        <v>217</v>
      </c>
      <c r="D40" t="s">
        <v>351</v>
      </c>
      <c r="E40" t="s">
        <v>218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s">
        <v>150</v>
      </c>
      <c r="B41" t="s">
        <v>352</v>
      </c>
      <c r="C41" t="s">
        <v>217</v>
      </c>
      <c r="D41" t="s">
        <v>353</v>
      </c>
      <c r="E41" t="s">
        <v>218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150</v>
      </c>
      <c r="B42" t="s">
        <v>354</v>
      </c>
      <c r="C42" t="s">
        <v>217</v>
      </c>
      <c r="D42" t="s">
        <v>355</v>
      </c>
      <c r="E42" t="s">
        <v>218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150</v>
      </c>
      <c r="B43" t="s">
        <v>356</v>
      </c>
      <c r="C43" t="s">
        <v>217</v>
      </c>
      <c r="D43" t="s">
        <v>357</v>
      </c>
      <c r="E43" t="s">
        <v>218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150</v>
      </c>
      <c r="B44" t="s">
        <v>358</v>
      </c>
      <c r="C44" t="s">
        <v>217</v>
      </c>
      <c r="D44" t="s">
        <v>359</v>
      </c>
      <c r="E44" t="s">
        <v>218</v>
      </c>
      <c r="F44" t="n">
        <v>542.064</v>
      </c>
      <c r="G44" t="n">
        <v>556.947</v>
      </c>
      <c r="H44" t="n">
        <v>578.803</v>
      </c>
      <c r="I44" t="n">
        <v>565.954</v>
      </c>
      <c r="J44" t="n">
        <v>555.889</v>
      </c>
      <c r="K44" t="n">
        <v>510.86</v>
      </c>
      <c r="L44" t="n">
        <v>484.6</v>
      </c>
      <c r="M44" t="n">
        <v>526.351</v>
      </c>
      <c r="N44" t="n">
        <v>486.221</v>
      </c>
      <c r="O44" t="n">
        <v>456.753</v>
      </c>
      <c r="P44" t="n">
        <v>430.768</v>
      </c>
      <c r="Q44" t="n">
        <v>424.828</v>
      </c>
      <c r="R44" t="n">
        <v>413.155</v>
      </c>
      <c r="S44" t="n">
        <v>401.915</v>
      </c>
      <c r="T44" t="n">
        <v>383.345</v>
      </c>
      <c r="U44" t="n">
        <v>351.631</v>
      </c>
      <c r="V44" t="n">
        <v>322.068</v>
      </c>
      <c r="W44" t="n">
        <v>298.237</v>
      </c>
      <c r="X44" t="n">
        <v>271.162</v>
      </c>
      <c r="Y44" t="n">
        <v>273.073</v>
      </c>
      <c r="Z44" t="n">
        <v>256.924</v>
      </c>
      <c r="AA44" t="n">
        <v>247.397</v>
      </c>
      <c r="AB44" t="n">
        <v>242.122</v>
      </c>
      <c r="AC44" t="n">
        <v>238.894</v>
      </c>
      <c r="AD44" t="n">
        <v>234.819</v>
      </c>
      <c r="AE44" t="n">
        <v>228</v>
      </c>
      <c r="AF44" t="n">
        <v>219.1</v>
      </c>
    </row>
    <row r="45">
      <c r="A45" t="s">
        <v>150</v>
      </c>
      <c r="B45" t="s">
        <v>360</v>
      </c>
      <c r="C45" t="s">
        <v>217</v>
      </c>
      <c r="D45" t="s">
        <v>361</v>
      </c>
      <c r="E45" t="s">
        <v>218</v>
      </c>
      <c r="F45" t="n">
        <v>516.514</v>
      </c>
      <c r="G45" t="n">
        <v>478.472</v>
      </c>
      <c r="H45" t="n">
        <v>443.689</v>
      </c>
      <c r="I45" t="n">
        <v>407.639</v>
      </c>
      <c r="J45" t="n">
        <v>374.75</v>
      </c>
      <c r="K45" t="n">
        <v>345.54</v>
      </c>
      <c r="L45" t="n">
        <v>336.09</v>
      </c>
      <c r="M45" t="n">
        <v>459.927</v>
      </c>
      <c r="N45" t="n">
        <v>428.048</v>
      </c>
      <c r="O45" t="n">
        <v>403.303</v>
      </c>
      <c r="P45" t="n">
        <v>382.682</v>
      </c>
      <c r="Q45" t="n">
        <v>391.302</v>
      </c>
      <c r="R45" t="n">
        <v>387.876</v>
      </c>
      <c r="S45" t="n">
        <v>383.469</v>
      </c>
      <c r="T45" t="n">
        <v>374.375</v>
      </c>
      <c r="U45" t="n">
        <v>351.631</v>
      </c>
      <c r="V45" t="n">
        <v>322.068</v>
      </c>
      <c r="W45" t="n">
        <v>298.237</v>
      </c>
      <c r="X45" t="n">
        <v>271.162</v>
      </c>
      <c r="Y45" t="n">
        <v>273.073</v>
      </c>
      <c r="Z45" t="n">
        <v>256.924</v>
      </c>
      <c r="AA45" t="n">
        <v>247.397</v>
      </c>
      <c r="AB45" t="n">
        <v>242.122</v>
      </c>
      <c r="AC45" t="n">
        <v>238.894</v>
      </c>
      <c r="AD45" t="n">
        <v>234.819</v>
      </c>
      <c r="AE45" t="n">
        <v>228</v>
      </c>
      <c r="AF45" t="n">
        <v>219.1</v>
      </c>
    </row>
    <row r="46">
      <c r="A46" t="s">
        <v>150</v>
      </c>
      <c r="B46" t="s">
        <v>362</v>
      </c>
      <c r="C46" t="s">
        <v>217</v>
      </c>
      <c r="D46" t="s">
        <v>363</v>
      </c>
      <c r="E46" t="s">
        <v>218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150</v>
      </c>
      <c r="B47" t="s">
        <v>364</v>
      </c>
      <c r="C47" t="s">
        <v>217</v>
      </c>
      <c r="D47" t="s">
        <v>365</v>
      </c>
      <c r="E47" t="s">
        <v>218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s">
        <v>150</v>
      </c>
      <c r="B48" t="s">
        <v>366</v>
      </c>
      <c r="C48" t="s">
        <v>217</v>
      </c>
      <c r="D48" t="s">
        <v>367</v>
      </c>
      <c r="E48" t="s">
        <v>218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s">
        <v>150</v>
      </c>
      <c r="B49" t="s">
        <v>368</v>
      </c>
      <c r="C49" t="s">
        <v>217</v>
      </c>
      <c r="D49" t="s">
        <v>369</v>
      </c>
      <c r="E49" t="s">
        <v>218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150</v>
      </c>
      <c r="B50" t="s">
        <v>370</v>
      </c>
      <c r="C50" t="s">
        <v>217</v>
      </c>
      <c r="D50" t="s">
        <v>371</v>
      </c>
      <c r="E50" t="s">
        <v>218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150</v>
      </c>
      <c r="B51" t="s">
        <v>372</v>
      </c>
      <c r="C51" t="s">
        <v>217</v>
      </c>
      <c r="D51" t="s">
        <v>373</v>
      </c>
      <c r="E51" t="s">
        <v>218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150</v>
      </c>
      <c r="B52" t="s">
        <v>374</v>
      </c>
      <c r="C52" t="s">
        <v>217</v>
      </c>
      <c r="D52" t="s">
        <v>375</v>
      </c>
      <c r="E52" t="s">
        <v>218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150</v>
      </c>
      <c r="B53" t="s">
        <v>376</v>
      </c>
      <c r="C53" t="s">
        <v>217</v>
      </c>
      <c r="D53" t="s">
        <v>377</v>
      </c>
      <c r="E53" t="s">
        <v>218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150</v>
      </c>
      <c r="B54" t="s">
        <v>378</v>
      </c>
      <c r="C54" t="s">
        <v>217</v>
      </c>
      <c r="D54" t="s">
        <v>379</v>
      </c>
      <c r="E54" t="s">
        <v>218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s">
        <v>150</v>
      </c>
      <c r="B55" t="s">
        <v>380</v>
      </c>
      <c r="C55" t="s">
        <v>217</v>
      </c>
      <c r="D55" t="s">
        <v>381</v>
      </c>
      <c r="E55" t="s">
        <v>218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150</v>
      </c>
      <c r="B56" t="s">
        <v>382</v>
      </c>
      <c r="C56" t="s">
        <v>217</v>
      </c>
      <c r="D56" t="s">
        <v>383</v>
      </c>
      <c r="E56" t="s">
        <v>218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150</v>
      </c>
      <c r="B57" t="s">
        <v>384</v>
      </c>
      <c r="C57" t="s">
        <v>217</v>
      </c>
      <c r="D57" t="s">
        <v>385</v>
      </c>
      <c r="E57" t="s">
        <v>218</v>
      </c>
      <c r="F57" t="n">
        <v>322.729</v>
      </c>
      <c r="G57" t="n">
        <v>354.472</v>
      </c>
      <c r="H57" t="n">
        <v>391.376</v>
      </c>
      <c r="I57" t="n">
        <v>398.305</v>
      </c>
      <c r="J57" t="n">
        <v>402.069</v>
      </c>
      <c r="K57" t="n">
        <v>369.855</v>
      </c>
      <c r="L57" t="n">
        <v>351.093</v>
      </c>
      <c r="M57" t="n">
        <v>338.478</v>
      </c>
      <c r="N57" t="n">
        <v>335.676</v>
      </c>
      <c r="O57" t="n">
        <v>333.731</v>
      </c>
      <c r="P57" t="n">
        <v>339.567</v>
      </c>
      <c r="Q57" t="n">
        <v>357.419</v>
      </c>
      <c r="R57" t="n">
        <v>394.92</v>
      </c>
      <c r="S57" t="n">
        <v>394.751</v>
      </c>
      <c r="T57" t="n">
        <v>389.182</v>
      </c>
      <c r="U57" t="n">
        <v>351.237</v>
      </c>
      <c r="V57" t="n">
        <v>321.907</v>
      </c>
      <c r="W57" t="n">
        <v>298.088</v>
      </c>
      <c r="X57" t="n">
        <v>271.027</v>
      </c>
      <c r="Y57" t="n">
        <v>273.043</v>
      </c>
      <c r="Z57" t="n">
        <v>256.902</v>
      </c>
      <c r="AA57" t="n">
        <v>247.276</v>
      </c>
      <c r="AB57" t="n">
        <v>242.112</v>
      </c>
      <c r="AC57" t="n">
        <v>238.777</v>
      </c>
      <c r="AD57" t="n">
        <v>234.812</v>
      </c>
      <c r="AE57" t="n">
        <v>228</v>
      </c>
      <c r="AF57" t="n">
        <v>219.1</v>
      </c>
    </row>
    <row r="58">
      <c r="A58" t="s">
        <v>150</v>
      </c>
      <c r="B58" t="s">
        <v>386</v>
      </c>
      <c r="C58" t="s">
        <v>217</v>
      </c>
      <c r="D58" t="s">
        <v>387</v>
      </c>
      <c r="E58" t="s">
        <v>218</v>
      </c>
      <c r="F58" t="n">
        <v>322.729</v>
      </c>
      <c r="G58" t="n">
        <v>354.472</v>
      </c>
      <c r="H58" t="n">
        <v>391.376</v>
      </c>
      <c r="I58" t="n">
        <v>398.305</v>
      </c>
      <c r="J58" t="n">
        <v>402.069</v>
      </c>
      <c r="K58" t="n">
        <v>369.855</v>
      </c>
      <c r="L58" t="n">
        <v>351.093</v>
      </c>
      <c r="M58" t="n">
        <v>338.478</v>
      </c>
      <c r="N58" t="n">
        <v>335.676</v>
      </c>
      <c r="O58" t="n">
        <v>333.731</v>
      </c>
      <c r="P58" t="n">
        <v>339.567</v>
      </c>
      <c r="Q58" t="n">
        <v>357.419</v>
      </c>
      <c r="R58" t="n">
        <v>394.92</v>
      </c>
      <c r="S58" t="n">
        <v>394.751</v>
      </c>
      <c r="T58" t="n">
        <v>389.182</v>
      </c>
      <c r="U58" t="n">
        <v>351.237</v>
      </c>
      <c r="V58" t="n">
        <v>321.907</v>
      </c>
      <c r="W58" t="n">
        <v>298.088</v>
      </c>
      <c r="X58" t="n">
        <v>271.027</v>
      </c>
      <c r="Y58" t="n">
        <v>273.043</v>
      </c>
      <c r="Z58" t="n">
        <v>256.902</v>
      </c>
      <c r="AA58" t="n">
        <v>247.276</v>
      </c>
      <c r="AB58" t="n">
        <v>242.112</v>
      </c>
      <c r="AC58" t="n">
        <v>238.777</v>
      </c>
      <c r="AD58" t="n">
        <v>234.812</v>
      </c>
      <c r="AE58" t="n">
        <v>228</v>
      </c>
      <c r="AF58" t="n">
        <v>219.1</v>
      </c>
    </row>
    <row r="59">
      <c r="A59" t="s">
        <v>150</v>
      </c>
      <c r="B59" t="s">
        <v>388</v>
      </c>
      <c r="C59" t="s">
        <v>217</v>
      </c>
      <c r="D59" t="s">
        <v>389</v>
      </c>
      <c r="E59" t="s">
        <v>218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151</v>
      </c>
      <c r="B2" t="s">
        <v>197</v>
      </c>
      <c r="C2" t="s">
        <v>217</v>
      </c>
      <c r="D2" t="s">
        <v>199</v>
      </c>
      <c r="E2" t="s">
        <v>218</v>
      </c>
      <c r="F2" t="n">
        <v>13146.5578364375</v>
      </c>
      <c r="G2" t="n">
        <v>13160.9990639437</v>
      </c>
      <c r="H2" t="n">
        <v>13372.0989464855</v>
      </c>
      <c r="I2" t="n">
        <v>13553.6613113627</v>
      </c>
      <c r="J2" t="n">
        <v>13849.4621875463</v>
      </c>
      <c r="K2" t="n">
        <v>14112.4737918542</v>
      </c>
      <c r="L2" t="n">
        <v>14438.7510410809</v>
      </c>
      <c r="M2" t="n">
        <v>14468.2450423226</v>
      </c>
      <c r="N2" t="n">
        <v>14695.5121545957</v>
      </c>
      <c r="O2" t="n">
        <v>14981.1849962398</v>
      </c>
      <c r="P2" t="n">
        <v>15281.9049068334</v>
      </c>
      <c r="Q2" t="n">
        <v>15392.3245805591</v>
      </c>
      <c r="R2" t="n">
        <v>16052.8818263471</v>
      </c>
      <c r="S2" t="n">
        <v>16895.5515643802</v>
      </c>
      <c r="T2" t="n">
        <v>17165.8774728799</v>
      </c>
      <c r="U2" t="n">
        <v>16969.2458403224</v>
      </c>
      <c r="V2" t="n">
        <v>16449.3376596672</v>
      </c>
      <c r="W2" t="n">
        <v>16031.6223478419</v>
      </c>
      <c r="X2" t="n">
        <v>15706.2956540917</v>
      </c>
      <c r="Y2" t="n">
        <v>15402.7074032126</v>
      </c>
      <c r="Z2" t="n">
        <v>15213.5603159511</v>
      </c>
      <c r="AA2" t="n">
        <v>15146.2414741972</v>
      </c>
      <c r="AB2" t="n">
        <v>15060.0302815154</v>
      </c>
      <c r="AC2" t="n">
        <v>14975.5768210449</v>
      </c>
      <c r="AD2" t="n">
        <v>14931.2961091839</v>
      </c>
      <c r="AE2" t="n">
        <v>14939.6</v>
      </c>
      <c r="AF2" t="n">
        <v>15125.5</v>
      </c>
    </row>
    <row r="3">
      <c r="A3" t="s">
        <v>151</v>
      </c>
      <c r="B3" t="s">
        <v>276</v>
      </c>
      <c r="C3" t="s">
        <v>217</v>
      </c>
      <c r="D3" t="s">
        <v>277</v>
      </c>
      <c r="E3" t="s">
        <v>218</v>
      </c>
      <c r="F3" t="n">
        <v>2654.58173306053</v>
      </c>
      <c r="G3" t="n">
        <v>2602.02106837926</v>
      </c>
      <c r="H3" t="n">
        <v>2563.57869454168</v>
      </c>
      <c r="I3" t="n">
        <v>2541.20764522163</v>
      </c>
      <c r="J3" t="n">
        <v>2534.97614045159</v>
      </c>
      <c r="K3" t="n">
        <v>2527.79865867569</v>
      </c>
      <c r="L3" t="n">
        <v>2488.68915964478</v>
      </c>
      <c r="M3" t="n">
        <v>2418.98089304938</v>
      </c>
      <c r="N3" t="n">
        <v>2369.13084935217</v>
      </c>
      <c r="O3" t="n">
        <v>2327.95414930136</v>
      </c>
      <c r="P3" t="n">
        <v>2302.2940841623</v>
      </c>
      <c r="Q3" t="n">
        <v>2289.88461034552</v>
      </c>
      <c r="R3" t="n">
        <v>2326.86093773238</v>
      </c>
      <c r="S3" t="n">
        <v>2362.07838934329</v>
      </c>
      <c r="T3" t="n">
        <v>2394.71294115764</v>
      </c>
      <c r="U3" t="n">
        <v>2420.63604601055</v>
      </c>
      <c r="V3" t="n">
        <v>2461.90407081943</v>
      </c>
      <c r="W3" t="n">
        <v>2468.28781305493</v>
      </c>
      <c r="X3" t="n">
        <v>2450.24803624161</v>
      </c>
      <c r="Y3" t="n">
        <v>2424.73341330001</v>
      </c>
      <c r="Z3" t="n">
        <v>2446.1272695757</v>
      </c>
      <c r="AA3" t="n">
        <v>2630.37998826202</v>
      </c>
      <c r="AB3" t="n">
        <v>2760.20989953006</v>
      </c>
      <c r="AC3" t="n">
        <v>2778.21909852656</v>
      </c>
      <c r="AD3" t="n">
        <v>2815.10252394654</v>
      </c>
      <c r="AE3" t="n">
        <v>2745.8</v>
      </c>
      <c r="AF3" t="n">
        <v>2693</v>
      </c>
    </row>
    <row r="4">
      <c r="A4" t="s">
        <v>151</v>
      </c>
      <c r="B4" t="s">
        <v>278</v>
      </c>
      <c r="C4" t="s">
        <v>217</v>
      </c>
      <c r="D4" t="s">
        <v>279</v>
      </c>
      <c r="E4" t="s">
        <v>218</v>
      </c>
      <c r="F4" t="n">
        <v>13273.5224296446</v>
      </c>
      <c r="G4" t="n">
        <v>13703.1838115518</v>
      </c>
      <c r="H4" t="n">
        <v>14346.6523076812</v>
      </c>
      <c r="I4" t="n">
        <v>15149.4540196274</v>
      </c>
      <c r="J4" t="n">
        <v>16241.8786817891</v>
      </c>
      <c r="K4" t="n">
        <v>17453.9377930484</v>
      </c>
      <c r="L4" t="n">
        <v>18321.5595914823</v>
      </c>
      <c r="M4" t="n">
        <v>18298.7365542147</v>
      </c>
      <c r="N4" t="n">
        <v>18311.0677931883</v>
      </c>
      <c r="O4" t="n">
        <v>18682.0566907006</v>
      </c>
      <c r="P4" t="n">
        <v>18659.3324305479</v>
      </c>
      <c r="Q4" t="n">
        <v>19109.3747832364</v>
      </c>
      <c r="R4" t="n">
        <v>19535.7432383262</v>
      </c>
      <c r="S4" t="n">
        <v>20341.8741791708</v>
      </c>
      <c r="T4" t="n">
        <v>21000.15248181</v>
      </c>
      <c r="U4" t="n">
        <v>21517.7025970744</v>
      </c>
      <c r="V4" t="n">
        <v>20885.9849118362</v>
      </c>
      <c r="W4" t="n">
        <v>21575.5162422075</v>
      </c>
      <c r="X4" t="n">
        <v>20361.4818543995</v>
      </c>
      <c r="Y4" t="n">
        <v>19902.1355053124</v>
      </c>
      <c r="Z4" t="n">
        <v>19339.1022411926</v>
      </c>
      <c r="AA4" t="n">
        <v>18787.9021773145</v>
      </c>
      <c r="AB4" t="n">
        <v>18319.721873865</v>
      </c>
      <c r="AC4" t="n">
        <v>18169.7910063043</v>
      </c>
      <c r="AD4" t="n">
        <v>17937.3920607704</v>
      </c>
      <c r="AE4" t="n">
        <v>17995.9</v>
      </c>
      <c r="AF4" t="n">
        <v>18296.4</v>
      </c>
    </row>
    <row r="5">
      <c r="A5" t="s">
        <v>151</v>
      </c>
      <c r="B5" t="s">
        <v>280</v>
      </c>
      <c r="C5" t="s">
        <v>217</v>
      </c>
      <c r="D5" t="s">
        <v>281</v>
      </c>
      <c r="E5" t="s">
        <v>218</v>
      </c>
      <c r="F5" t="n">
        <v>3039.3596781867</v>
      </c>
      <c r="G5" t="n">
        <v>3084.87075405584</v>
      </c>
      <c r="H5" t="n">
        <v>3160.36517160512</v>
      </c>
      <c r="I5" t="n">
        <v>3302.65928349513</v>
      </c>
      <c r="J5" t="n">
        <v>3507.41118026307</v>
      </c>
      <c r="K5" t="n">
        <v>3730.03313834509</v>
      </c>
      <c r="L5" t="n">
        <v>3919.33933145658</v>
      </c>
      <c r="M5" t="n">
        <v>3965.2357055698</v>
      </c>
      <c r="N5" t="n">
        <v>4064.00719410156</v>
      </c>
      <c r="O5" t="n">
        <v>4292.36345950657</v>
      </c>
      <c r="P5" t="n">
        <v>4291.85743971788</v>
      </c>
      <c r="Q5" t="n">
        <v>4352.19207114707</v>
      </c>
      <c r="R5" t="n">
        <v>4593.79101743486</v>
      </c>
      <c r="S5" t="n">
        <v>4878.08175929535</v>
      </c>
      <c r="T5" t="n">
        <v>4988.23980903527</v>
      </c>
      <c r="U5" t="n">
        <v>5058.73473745362</v>
      </c>
      <c r="V5" t="n">
        <v>4869.60785120021</v>
      </c>
      <c r="W5" t="n">
        <v>4668.74906883588</v>
      </c>
      <c r="X5" t="n">
        <v>4512.26123520737</v>
      </c>
      <c r="Y5" t="n">
        <v>4529.9805635848</v>
      </c>
      <c r="Z5" t="n">
        <v>4579.7191953197</v>
      </c>
      <c r="AA5" t="n">
        <v>4572.61978563721</v>
      </c>
      <c r="AB5" t="n">
        <v>4557.00084988037</v>
      </c>
      <c r="AC5" t="n">
        <v>4725.21633952888</v>
      </c>
      <c r="AD5" t="n">
        <v>4699.96441465217</v>
      </c>
      <c r="AE5" t="n">
        <v>4749.5</v>
      </c>
      <c r="AF5" t="n">
        <v>4865.9</v>
      </c>
    </row>
    <row r="6">
      <c r="A6" t="s">
        <v>151</v>
      </c>
      <c r="B6" t="s">
        <v>282</v>
      </c>
      <c r="C6" t="s">
        <v>217</v>
      </c>
      <c r="D6" t="s">
        <v>283</v>
      </c>
      <c r="E6" t="s">
        <v>218</v>
      </c>
      <c r="F6" t="n">
        <v>2789.01242303023</v>
      </c>
      <c r="G6" t="n">
        <v>2727.52035945973</v>
      </c>
      <c r="H6" t="n">
        <v>2685.51008094171</v>
      </c>
      <c r="I6" t="n">
        <v>2682.37293854628</v>
      </c>
      <c r="J6" t="n">
        <v>2711.86655855171</v>
      </c>
      <c r="K6" t="n">
        <v>2766.35385154978</v>
      </c>
      <c r="L6" t="n">
        <v>2809.20852220533</v>
      </c>
      <c r="M6" t="n">
        <v>2701.47311490534</v>
      </c>
      <c r="N6" t="n">
        <v>2608.79735380237</v>
      </c>
      <c r="O6" t="n">
        <v>2560.93865975211</v>
      </c>
      <c r="P6" t="n">
        <v>2453.18541822656</v>
      </c>
      <c r="Q6" t="n">
        <v>2273.50384561101</v>
      </c>
      <c r="R6" t="n">
        <v>2208.3496464387</v>
      </c>
      <c r="S6" t="n">
        <v>2100.25250129404</v>
      </c>
      <c r="T6" t="n">
        <v>2024.13341335828</v>
      </c>
      <c r="U6" t="n">
        <v>1868.81647111653</v>
      </c>
      <c r="V6" t="n">
        <v>1779.06501705298</v>
      </c>
      <c r="W6" t="n">
        <v>1645.65171091494</v>
      </c>
      <c r="X6" t="n">
        <v>1545.99592719606</v>
      </c>
      <c r="Y6" t="n">
        <v>1472.54557940227</v>
      </c>
      <c r="Z6" t="n">
        <v>1399.32346281063</v>
      </c>
      <c r="AA6" t="n">
        <v>1357.92747217556</v>
      </c>
      <c r="AB6" t="n">
        <v>1318.59343174898</v>
      </c>
      <c r="AC6" t="n">
        <v>1242.95863163193</v>
      </c>
      <c r="AD6" t="n">
        <v>1176.09851065727</v>
      </c>
      <c r="AE6" t="n">
        <v>1123.4</v>
      </c>
      <c r="AF6" t="n">
        <v>1077.9</v>
      </c>
    </row>
    <row r="7">
      <c r="A7" t="s">
        <v>151</v>
      </c>
      <c r="B7" t="s">
        <v>284</v>
      </c>
      <c r="C7" t="s">
        <v>217</v>
      </c>
      <c r="D7" t="s">
        <v>285</v>
      </c>
      <c r="E7" t="s">
        <v>218</v>
      </c>
      <c r="F7" t="n">
        <v>761.745726836451</v>
      </c>
      <c r="G7" t="n">
        <v>845.53902446316</v>
      </c>
      <c r="H7" t="n">
        <v>936.192053149616</v>
      </c>
      <c r="I7" t="n">
        <v>1061.58728868495</v>
      </c>
      <c r="J7" t="n">
        <v>1217.56756606767</v>
      </c>
      <c r="K7" t="n">
        <v>1377.66602024007</v>
      </c>
      <c r="L7" t="n">
        <v>1412.88100902563</v>
      </c>
      <c r="M7" t="n">
        <v>1447.03395271722</v>
      </c>
      <c r="N7" t="n">
        <v>1404.4588969103</v>
      </c>
      <c r="O7" t="n">
        <v>1455.29161822288</v>
      </c>
      <c r="P7" t="n">
        <v>1363.48988106384</v>
      </c>
      <c r="Q7" t="n">
        <v>1488.10719822213</v>
      </c>
      <c r="R7" t="n">
        <v>1602.14814420484</v>
      </c>
      <c r="S7" t="n">
        <v>1602.24380626265</v>
      </c>
      <c r="T7" t="n">
        <v>1557.11280456149</v>
      </c>
      <c r="U7" t="n">
        <v>1531.18889992212</v>
      </c>
      <c r="V7" t="n">
        <v>1451.74727398501</v>
      </c>
      <c r="W7" t="n">
        <v>1355.8891548641</v>
      </c>
      <c r="X7" t="n">
        <v>1273.64878443404</v>
      </c>
      <c r="Y7" t="n">
        <v>1259.03056929919</v>
      </c>
      <c r="Z7" t="n">
        <v>1223.49221529705</v>
      </c>
      <c r="AA7" t="n">
        <v>1221.18865267821</v>
      </c>
      <c r="AB7" t="n">
        <v>1219.07010978632</v>
      </c>
      <c r="AC7" t="n">
        <v>1185.3635658132</v>
      </c>
      <c r="AD7" t="n">
        <v>1134.64532090355</v>
      </c>
      <c r="AE7" t="n">
        <v>1118.8</v>
      </c>
      <c r="AF7" t="n">
        <v>1117.9</v>
      </c>
    </row>
    <row r="8">
      <c r="A8" t="s">
        <v>151</v>
      </c>
      <c r="B8" t="s">
        <v>286</v>
      </c>
      <c r="C8" t="s">
        <v>217</v>
      </c>
      <c r="D8" t="s">
        <v>287</v>
      </c>
      <c r="E8" t="s">
        <v>218</v>
      </c>
      <c r="F8" t="n">
        <v>557.082732383547</v>
      </c>
      <c r="G8" t="n">
        <v>579.370307243455</v>
      </c>
      <c r="H8" t="n">
        <v>604.770460933397</v>
      </c>
      <c r="I8" t="n">
        <v>635.67683464223</v>
      </c>
      <c r="J8" t="n">
        <v>658.778584367089</v>
      </c>
      <c r="K8" t="n">
        <v>733.081074595494</v>
      </c>
      <c r="L8" t="n">
        <v>702.581015159084</v>
      </c>
      <c r="M8" t="n">
        <v>676.412647777312</v>
      </c>
      <c r="N8" t="n">
        <v>663.802743698152</v>
      </c>
      <c r="O8" t="n">
        <v>631.615238688025</v>
      </c>
      <c r="P8" t="n">
        <v>889.987704676856</v>
      </c>
      <c r="Q8" t="n">
        <v>831.804075977698</v>
      </c>
      <c r="R8" t="n">
        <v>792.206167769259</v>
      </c>
      <c r="S8" t="n">
        <v>1075.18875552365</v>
      </c>
      <c r="T8" t="n">
        <v>1387.02882393839</v>
      </c>
      <c r="U8" t="n">
        <v>1910.99831689255</v>
      </c>
      <c r="V8" t="n">
        <v>2081.85636686529</v>
      </c>
      <c r="W8" t="n">
        <v>3848.38578557862</v>
      </c>
      <c r="X8" t="n">
        <v>3620.73395055414</v>
      </c>
      <c r="Y8" t="n">
        <v>3462.04283905419</v>
      </c>
      <c r="Z8" t="n">
        <v>3349.76471141625</v>
      </c>
      <c r="AA8" t="n">
        <v>3157.86317545715</v>
      </c>
      <c r="AB8" t="n">
        <v>3010.61159963784</v>
      </c>
      <c r="AC8" t="n">
        <v>2873.52719422646</v>
      </c>
      <c r="AD8" t="n">
        <v>2838.19406213551</v>
      </c>
      <c r="AE8" t="n">
        <v>2839.8</v>
      </c>
      <c r="AF8" t="n">
        <v>2883</v>
      </c>
    </row>
    <row r="9">
      <c r="A9" t="s">
        <v>151</v>
      </c>
      <c r="B9" t="s">
        <v>288</v>
      </c>
      <c r="C9" t="s">
        <v>217</v>
      </c>
      <c r="D9" t="s">
        <v>289</v>
      </c>
      <c r="E9" t="s">
        <v>218</v>
      </c>
      <c r="F9" t="n">
        <v>504.552981597545</v>
      </c>
      <c r="G9" t="n">
        <v>548.790390136092</v>
      </c>
      <c r="H9" t="n">
        <v>597.477552556874</v>
      </c>
      <c r="I9" t="n">
        <v>661.409255144038</v>
      </c>
      <c r="J9" t="n">
        <v>738.050228365901</v>
      </c>
      <c r="K9" t="n">
        <v>814.139082032295</v>
      </c>
      <c r="L9" t="n">
        <v>944.866041865411</v>
      </c>
      <c r="M9" t="n">
        <v>933.770855840688</v>
      </c>
      <c r="N9" t="n">
        <v>925.294872277837</v>
      </c>
      <c r="O9" t="n">
        <v>975.594269683642</v>
      </c>
      <c r="P9" t="n">
        <v>980.789804866176</v>
      </c>
      <c r="Q9" t="n">
        <v>972.407892860072</v>
      </c>
      <c r="R9" t="n">
        <v>1007.15833029914</v>
      </c>
      <c r="S9" t="n">
        <v>1044.05237873737</v>
      </c>
      <c r="T9" t="n">
        <v>1090.44838139118</v>
      </c>
      <c r="U9" t="n">
        <v>1030.96245677134</v>
      </c>
      <c r="V9" t="n">
        <v>994.771449046012</v>
      </c>
      <c r="W9" t="n">
        <v>953.250048808539</v>
      </c>
      <c r="X9" t="n">
        <v>939.277328223398</v>
      </c>
      <c r="Y9" t="n">
        <v>911.393446567607</v>
      </c>
      <c r="Z9" t="n">
        <v>818.771357691918</v>
      </c>
      <c r="AA9" t="n">
        <v>797.017286274875</v>
      </c>
      <c r="AB9" t="n">
        <v>784.014221910456</v>
      </c>
      <c r="AC9" t="n">
        <v>776.888644624788</v>
      </c>
      <c r="AD9" t="n">
        <v>787.899822425165</v>
      </c>
      <c r="AE9" t="n">
        <v>787.7</v>
      </c>
      <c r="AF9" t="n">
        <v>796.2</v>
      </c>
    </row>
    <row r="10">
      <c r="A10" t="s">
        <v>151</v>
      </c>
      <c r="B10" t="s">
        <v>290</v>
      </c>
      <c r="C10" t="s">
        <v>217</v>
      </c>
      <c r="D10" t="s">
        <v>291</v>
      </c>
      <c r="E10" t="s">
        <v>218</v>
      </c>
      <c r="F10" t="n">
        <v>718.477524773853</v>
      </c>
      <c r="G10" t="n">
        <v>784.556874960367</v>
      </c>
      <c r="H10" t="n">
        <v>855.418437962614</v>
      </c>
      <c r="I10" t="n">
        <v>950.898500246966</v>
      </c>
      <c r="J10" t="n">
        <v>1066.9097381926</v>
      </c>
      <c r="K10" t="n">
        <v>1180.3960957307</v>
      </c>
      <c r="L10" t="n">
        <v>1368.57840909741</v>
      </c>
      <c r="M10" t="n">
        <v>1362.55810896941</v>
      </c>
      <c r="N10" t="n">
        <v>1360.52140028635</v>
      </c>
      <c r="O10" t="n">
        <v>1437.45846916922</v>
      </c>
      <c r="P10" t="n">
        <v>1450.99876342268</v>
      </c>
      <c r="Q10" t="n">
        <v>1467.93123753765</v>
      </c>
      <c r="R10" t="n">
        <v>1555.8686277109</v>
      </c>
      <c r="S10" t="n">
        <v>1667.70819394849</v>
      </c>
      <c r="T10" t="n">
        <v>1900.51365156062</v>
      </c>
      <c r="U10" t="n">
        <v>1811.4679529403</v>
      </c>
      <c r="V10" t="n">
        <v>1750.40177255238</v>
      </c>
      <c r="W10" t="n">
        <v>1663.54235954939</v>
      </c>
      <c r="X10" t="n">
        <v>1651.4011325427</v>
      </c>
      <c r="Y10" t="n">
        <v>1623.4063230306</v>
      </c>
      <c r="Z10" t="n">
        <v>1509.64433351412</v>
      </c>
      <c r="AA10" t="n">
        <v>1485.38700540171</v>
      </c>
      <c r="AB10" t="n">
        <v>1469.46278591105</v>
      </c>
      <c r="AC10" t="n">
        <v>1530.73218417716</v>
      </c>
      <c r="AD10" t="n">
        <v>1594.82934448926</v>
      </c>
      <c r="AE10" t="n">
        <v>1657.9</v>
      </c>
      <c r="AF10" t="n">
        <v>1742.8</v>
      </c>
    </row>
    <row r="11">
      <c r="A11" t="s">
        <v>151</v>
      </c>
      <c r="B11" t="s">
        <v>292</v>
      </c>
      <c r="C11" t="s">
        <v>217</v>
      </c>
      <c r="D11" t="s">
        <v>293</v>
      </c>
      <c r="E11" t="s">
        <v>218</v>
      </c>
      <c r="F11" t="n">
        <v>217.490716821422</v>
      </c>
      <c r="G11" t="n">
        <v>239.615234870457</v>
      </c>
      <c r="H11" t="n">
        <v>262.118449477913</v>
      </c>
      <c r="I11" t="n">
        <v>294.069410430833</v>
      </c>
      <c r="J11" t="n">
        <v>333.904425934893</v>
      </c>
      <c r="K11" t="n">
        <v>371.773382900004</v>
      </c>
      <c r="L11" t="n">
        <v>430.133795913519</v>
      </c>
      <c r="M11" t="n">
        <v>434.988579163107</v>
      </c>
      <c r="N11" t="n">
        <v>441.220809899053</v>
      </c>
      <c r="O11" t="n">
        <v>468.130828799769</v>
      </c>
      <c r="P11" t="n">
        <v>476.374002089504</v>
      </c>
      <c r="Q11" t="n">
        <v>500.77758136674</v>
      </c>
      <c r="R11" t="n">
        <v>553.308048829815</v>
      </c>
      <c r="S11" t="n">
        <v>627.405860423149</v>
      </c>
      <c r="T11" t="n">
        <v>810.63138903122</v>
      </c>
      <c r="U11" t="n">
        <v>780.699260740976</v>
      </c>
      <c r="V11" t="n">
        <v>755.852555296832</v>
      </c>
      <c r="W11" t="n">
        <v>710.431071940277</v>
      </c>
      <c r="X11" t="n">
        <v>712.279379535356</v>
      </c>
      <c r="Y11" t="n">
        <v>712.181753523907</v>
      </c>
      <c r="Z11" t="n">
        <v>691.028818721115</v>
      </c>
      <c r="AA11" t="n">
        <v>688.531605586101</v>
      </c>
      <c r="AB11" t="n">
        <v>685.608546508075</v>
      </c>
      <c r="AC11" t="n">
        <v>753.948948250037</v>
      </c>
      <c r="AD11" t="n">
        <v>806.996104937564</v>
      </c>
      <c r="AE11" t="n">
        <v>870.2</v>
      </c>
      <c r="AF11" t="n">
        <v>946.6</v>
      </c>
    </row>
    <row r="12">
      <c r="A12" t="s">
        <v>151</v>
      </c>
      <c r="B12" t="s">
        <v>294</v>
      </c>
      <c r="C12" t="s">
        <v>217</v>
      </c>
      <c r="D12" t="s">
        <v>295</v>
      </c>
      <c r="E12" t="s">
        <v>218</v>
      </c>
      <c r="F12" t="n">
        <v>1294.98063783069</v>
      </c>
      <c r="G12" t="n">
        <v>1488.72966402921</v>
      </c>
      <c r="H12" t="n">
        <v>1800.69439761765</v>
      </c>
      <c r="I12" t="n">
        <v>2015.30863280876</v>
      </c>
      <c r="J12" t="n">
        <v>2302.18490756859</v>
      </c>
      <c r="K12" t="n">
        <v>2566.75522632956</v>
      </c>
      <c r="L12" t="n">
        <v>2569.99553338182</v>
      </c>
      <c r="M12" t="n">
        <v>2500.12037420531</v>
      </c>
      <c r="N12" t="n">
        <v>2503.91114763206</v>
      </c>
      <c r="O12" t="n">
        <v>2467.95000495468</v>
      </c>
      <c r="P12" t="n">
        <v>2387.34612166453</v>
      </c>
      <c r="Q12" t="n">
        <v>2373.81713318081</v>
      </c>
      <c r="R12" t="n">
        <v>2475.94158047927</v>
      </c>
      <c r="S12" t="n">
        <v>2522.63529549483</v>
      </c>
      <c r="T12" t="n">
        <v>2610.03023168316</v>
      </c>
      <c r="U12" t="n">
        <v>2557.92696282648</v>
      </c>
      <c r="V12" t="n">
        <v>2474.68196060462</v>
      </c>
      <c r="W12" t="n">
        <v>2309.20289278645</v>
      </c>
      <c r="X12" t="n">
        <v>2192.35425386031</v>
      </c>
      <c r="Y12" t="n">
        <v>2134.41822434719</v>
      </c>
      <c r="Z12" t="n">
        <v>2059.10682867616</v>
      </c>
      <c r="AA12" t="n">
        <v>1979.84112398521</v>
      </c>
      <c r="AB12" t="n">
        <v>1910.11492632641</v>
      </c>
      <c r="AC12" t="n">
        <v>1865.25624288997</v>
      </c>
      <c r="AD12" t="n">
        <v>1836.7912900162</v>
      </c>
      <c r="AE12" t="n">
        <v>1793.7</v>
      </c>
      <c r="AF12" t="n">
        <v>1773.9</v>
      </c>
    </row>
    <row r="13">
      <c r="A13" t="s">
        <v>151</v>
      </c>
      <c r="B13" t="s">
        <v>296</v>
      </c>
      <c r="C13" t="s">
        <v>217</v>
      </c>
      <c r="D13" t="s">
        <v>297</v>
      </c>
      <c r="E13" t="s">
        <v>218</v>
      </c>
      <c r="F13" t="n">
        <v>2154.83691282977</v>
      </c>
      <c r="G13" t="n">
        <v>2257.96810992754</v>
      </c>
      <c r="H13" t="n">
        <v>2375.87928364696</v>
      </c>
      <c r="I13" t="n">
        <v>2555.79792548783</v>
      </c>
      <c r="J13" t="n">
        <v>2789.88225649934</v>
      </c>
      <c r="K13" t="n">
        <v>3044.48093111906</v>
      </c>
      <c r="L13" t="n">
        <v>3274.46921564065</v>
      </c>
      <c r="M13" t="n">
        <v>3331.32439512922</v>
      </c>
      <c r="N13" t="n">
        <v>3395.53757319395</v>
      </c>
      <c r="O13" t="n">
        <v>3507.1886632801</v>
      </c>
      <c r="P13" t="n">
        <v>3441.88721171074</v>
      </c>
      <c r="Q13" t="n">
        <v>3787.60390503814</v>
      </c>
      <c r="R13" t="n">
        <v>3803.68269607097</v>
      </c>
      <c r="S13" t="n">
        <v>3880.14009797135</v>
      </c>
      <c r="T13" t="n">
        <v>3859.05803180056</v>
      </c>
      <c r="U13" t="n">
        <v>4005.7780549591</v>
      </c>
      <c r="V13" t="n">
        <v>3832.96606433171</v>
      </c>
      <c r="W13" t="n">
        <v>3647.37517356571</v>
      </c>
      <c r="X13" t="n">
        <v>3281.12634001496</v>
      </c>
      <c r="Y13" t="n">
        <v>3153.06799185251</v>
      </c>
      <c r="Z13" t="n">
        <v>3052.11650577181</v>
      </c>
      <c r="AA13" t="n">
        <v>2930.37252827632</v>
      </c>
      <c r="AB13" t="n">
        <v>2825.68031054661</v>
      </c>
      <c r="AC13" t="n">
        <v>2803.94198568718</v>
      </c>
      <c r="AD13" t="n">
        <v>2733.98875436222</v>
      </c>
      <c r="AE13" t="n">
        <v>2812.2</v>
      </c>
      <c r="AF13" t="n">
        <v>2936.1</v>
      </c>
    </row>
    <row r="14">
      <c r="A14" t="s">
        <v>151</v>
      </c>
      <c r="B14" t="s">
        <v>298</v>
      </c>
      <c r="C14" t="s">
        <v>217</v>
      </c>
      <c r="D14" t="s">
        <v>299</v>
      </c>
      <c r="E14" t="s">
        <v>218</v>
      </c>
      <c r="F14" t="n">
        <v>120.881099419608</v>
      </c>
      <c r="G14" t="n">
        <v>130.709868854993</v>
      </c>
      <c r="H14" t="n">
        <v>139.753448342193</v>
      </c>
      <c r="I14" t="n">
        <v>152.322034042935</v>
      </c>
      <c r="J14" t="n">
        <v>166.430008252411</v>
      </c>
      <c r="K14" t="n">
        <v>186.880231488655</v>
      </c>
      <c r="L14" t="n">
        <v>361.069106000152</v>
      </c>
      <c r="M14" t="n">
        <v>353.303065578583</v>
      </c>
      <c r="N14" t="n">
        <v>362.589772386107</v>
      </c>
      <c r="O14" t="n">
        <v>368.322814556983</v>
      </c>
      <c r="P14" t="n">
        <v>370.820257020755</v>
      </c>
      <c r="Q14" t="n">
        <v>370.423869787168</v>
      </c>
      <c r="R14" t="n">
        <v>356.941741330794</v>
      </c>
      <c r="S14" t="n">
        <v>347.662005933801</v>
      </c>
      <c r="T14" t="n">
        <v>332.338557396403</v>
      </c>
      <c r="U14" t="n">
        <v>351.201016059442</v>
      </c>
      <c r="V14" t="n">
        <v>341.530406457355</v>
      </c>
      <c r="W14" t="n">
        <v>297.528354090253</v>
      </c>
      <c r="X14" t="n">
        <v>288.358627767471</v>
      </c>
      <c r="Y14" t="n">
        <v>294.72307965368</v>
      </c>
      <c r="Z14" t="n">
        <v>274.308501843103</v>
      </c>
      <c r="AA14" t="n">
        <v>262.595328589218</v>
      </c>
      <c r="AB14" t="n">
        <v>256.032969358807</v>
      </c>
      <c r="AC14" t="n">
        <v>240.470181025233</v>
      </c>
      <c r="AD14" t="n">
        <v>233.479768786127</v>
      </c>
      <c r="AE14" t="n">
        <v>224.4</v>
      </c>
      <c r="AF14" t="n">
        <v>218.4</v>
      </c>
    </row>
    <row r="15">
      <c r="A15" t="s">
        <v>151</v>
      </c>
      <c r="B15" t="s">
        <v>300</v>
      </c>
      <c r="C15" t="s">
        <v>217</v>
      </c>
      <c r="D15" t="s">
        <v>301</v>
      </c>
      <c r="E15" t="s">
        <v>218</v>
      </c>
      <c r="F15" t="n">
        <v>594.007149313236</v>
      </c>
      <c r="G15" t="n">
        <v>613.716021988758</v>
      </c>
      <c r="H15" t="n">
        <v>636.423514802342</v>
      </c>
      <c r="I15" t="n">
        <v>673.201461944096</v>
      </c>
      <c r="J15" t="n">
        <v>720.966922102022</v>
      </c>
      <c r="K15" t="n">
        <v>776.631860076478</v>
      </c>
      <c r="L15" t="n">
        <v>949.480792629318</v>
      </c>
      <c r="M15" t="n">
        <v>991.04768039843</v>
      </c>
      <c r="N15" t="n">
        <v>991.87883475876</v>
      </c>
      <c r="O15" t="n">
        <v>997.100866406607</v>
      </c>
      <c r="P15" t="n">
        <v>984.92377461251</v>
      </c>
      <c r="Q15" t="n">
        <v>1016.04684043591</v>
      </c>
      <c r="R15" t="n">
        <v>990.75994673309</v>
      </c>
      <c r="S15" t="n">
        <v>990.855285450058</v>
      </c>
      <c r="T15" t="n">
        <v>962.220519113756</v>
      </c>
      <c r="U15" t="n">
        <v>960.2801858219</v>
      </c>
      <c r="V15" t="n">
        <v>926.38908316609</v>
      </c>
      <c r="W15" t="n">
        <v>834.265213362098</v>
      </c>
      <c r="X15" t="n">
        <v>788.327210344605</v>
      </c>
      <c r="Y15" t="n">
        <v>826.242552187341</v>
      </c>
      <c r="Z15" t="n">
        <v>781.29511540527</v>
      </c>
      <c r="AA15" t="n">
        <v>751.037904264192</v>
      </c>
      <c r="AB15" t="n">
        <v>729.156160812886</v>
      </c>
      <c r="AC15" t="n">
        <v>719.116836004778</v>
      </c>
      <c r="AD15" t="n">
        <v>745.702670386608</v>
      </c>
      <c r="AE15" t="n">
        <v>752.4</v>
      </c>
      <c r="AF15" t="n">
        <v>768.9</v>
      </c>
    </row>
    <row r="16">
      <c r="A16" t="s">
        <v>151</v>
      </c>
      <c r="B16" t="s">
        <v>302</v>
      </c>
      <c r="C16" t="s">
        <v>217</v>
      </c>
      <c r="D16" t="s">
        <v>303</v>
      </c>
      <c r="E16" t="s">
        <v>218</v>
      </c>
      <c r="F16" t="n">
        <v>476.617555794624</v>
      </c>
      <c r="G16" t="n">
        <v>486.403820813715</v>
      </c>
      <c r="H16" t="n">
        <v>500.066849488257</v>
      </c>
      <c r="I16" t="n">
        <v>524.311791080356</v>
      </c>
      <c r="J16" t="n">
        <v>558.11640244815</v>
      </c>
      <c r="K16" t="n">
        <v>593.302739598236</v>
      </c>
      <c r="L16" t="n">
        <v>588.159761221048</v>
      </c>
      <c r="M16" t="n">
        <v>638.297970374317</v>
      </c>
      <c r="N16" t="n">
        <v>629.58006161324</v>
      </c>
      <c r="O16" t="n">
        <v>628.958969806321</v>
      </c>
      <c r="P16" t="n">
        <v>614.103284740037</v>
      </c>
      <c r="Q16" t="n">
        <v>646.010066561668</v>
      </c>
      <c r="R16" t="n">
        <v>634.31446365267</v>
      </c>
      <c r="S16" t="n">
        <v>643.948644449339</v>
      </c>
      <c r="T16" t="n">
        <v>630.825964649789</v>
      </c>
      <c r="U16" t="n">
        <v>609.121943524663</v>
      </c>
      <c r="V16" t="n">
        <v>584.979331104371</v>
      </c>
      <c r="W16" t="n">
        <v>536.71466737734</v>
      </c>
      <c r="X16" t="n">
        <v>499.997183814883</v>
      </c>
      <c r="Y16" t="n">
        <v>531.496131424454</v>
      </c>
      <c r="Z16" t="n">
        <v>506.942785093343</v>
      </c>
      <c r="AA16" t="n">
        <v>488.396097833831</v>
      </c>
      <c r="AB16" t="n">
        <v>473.080189669865</v>
      </c>
      <c r="AC16" t="n">
        <v>478.600964215132</v>
      </c>
      <c r="AD16" t="n">
        <v>512.194012883668</v>
      </c>
      <c r="AE16" t="n">
        <v>528</v>
      </c>
      <c r="AF16" t="n">
        <v>550.5</v>
      </c>
    </row>
    <row r="17">
      <c r="A17" t="s">
        <v>151</v>
      </c>
      <c r="B17" t="s">
        <v>304</v>
      </c>
      <c r="C17" t="s">
        <v>217</v>
      </c>
      <c r="D17" t="s">
        <v>305</v>
      </c>
      <c r="E17" t="s">
        <v>218</v>
      </c>
      <c r="F17" t="n">
        <v>500.497210189443</v>
      </c>
      <c r="G17" t="n">
        <v>482.891105319728</v>
      </c>
      <c r="H17" t="n">
        <v>468.384188623864</v>
      </c>
      <c r="I17" t="n">
        <v>458.704329391131</v>
      </c>
      <c r="J17" t="n">
        <v>453.765850131287</v>
      </c>
      <c r="K17" t="n">
        <v>452.063802681432</v>
      </c>
      <c r="L17" t="n">
        <v>447.560737591554</v>
      </c>
      <c r="M17" t="n">
        <v>440.264134820941</v>
      </c>
      <c r="N17" t="n">
        <v>430.656852941546</v>
      </c>
      <c r="O17" t="n">
        <v>427.377999909396</v>
      </c>
      <c r="P17" t="n">
        <v>426.165580051497</v>
      </c>
      <c r="Q17" t="n">
        <v>505.731278740714</v>
      </c>
      <c r="R17" t="n">
        <v>523.246615130972</v>
      </c>
      <c r="S17" t="n">
        <v>553.149116842982</v>
      </c>
      <c r="T17" t="n">
        <v>586.178422210949</v>
      </c>
      <c r="U17" t="n">
        <v>574.742593961396</v>
      </c>
      <c r="V17" t="n">
        <v>566.576236673361</v>
      </c>
      <c r="W17" t="n">
        <v>548.087457882002</v>
      </c>
      <c r="X17" t="n">
        <v>532.507015671544</v>
      </c>
      <c r="Y17" t="n">
        <v>507.520221938535</v>
      </c>
      <c r="Z17" t="n">
        <v>488.911800061205</v>
      </c>
      <c r="AA17" t="n">
        <v>470.91443666664</v>
      </c>
      <c r="AB17" t="n">
        <v>454.336480180616</v>
      </c>
      <c r="AC17" t="n">
        <v>437.486915352725</v>
      </c>
      <c r="AD17" t="n">
        <v>420.00342364532</v>
      </c>
      <c r="AE17" t="n">
        <v>406.1</v>
      </c>
      <c r="AF17" t="n">
        <v>395.8</v>
      </c>
    </row>
    <row r="18">
      <c r="A18" t="s">
        <v>151</v>
      </c>
      <c r="B18" t="s">
        <v>306</v>
      </c>
      <c r="C18" t="s">
        <v>217</v>
      </c>
      <c r="D18" t="s">
        <v>307</v>
      </c>
      <c r="E18" t="s">
        <v>218</v>
      </c>
      <c r="F18" t="n">
        <v>245.071783182909</v>
      </c>
      <c r="G18" t="n">
        <v>238.875124312146</v>
      </c>
      <c r="H18" t="n">
        <v>235.441365936792</v>
      </c>
      <c r="I18" t="n">
        <v>237.446070093302</v>
      </c>
      <c r="J18" t="n">
        <v>243.803394593792</v>
      </c>
      <c r="K18" t="n">
        <v>253.832943430473</v>
      </c>
      <c r="L18" t="n">
        <v>279.350540918193</v>
      </c>
      <c r="M18" t="n">
        <v>285.231604937523</v>
      </c>
      <c r="N18" t="n">
        <v>283.634786995256</v>
      </c>
      <c r="O18" t="n">
        <v>295.744151382766</v>
      </c>
      <c r="P18" t="n">
        <v>309.542935414854</v>
      </c>
      <c r="Q18" t="n">
        <v>324.668772422831</v>
      </c>
      <c r="R18" t="n">
        <v>332.341060416684</v>
      </c>
      <c r="S18" t="n">
        <v>341.666724285323</v>
      </c>
      <c r="T18" t="n">
        <v>342.729726798007</v>
      </c>
      <c r="U18" t="n">
        <v>354.080155007618</v>
      </c>
      <c r="V18" t="n">
        <v>330.487756415117</v>
      </c>
      <c r="W18" t="n">
        <v>339.562265227224</v>
      </c>
      <c r="X18" t="n">
        <v>312.4129095375</v>
      </c>
      <c r="Y18" t="n">
        <v>293.81107537513</v>
      </c>
      <c r="Z18" t="n">
        <v>270.623287301679</v>
      </c>
      <c r="AA18" t="n">
        <v>254.321884555865</v>
      </c>
      <c r="AB18" t="n">
        <v>239.100876007337</v>
      </c>
      <c r="AC18" t="n">
        <v>223.221120475954</v>
      </c>
      <c r="AD18" t="n">
        <v>206.804858701041</v>
      </c>
      <c r="AE18" t="n">
        <v>201.9</v>
      </c>
      <c r="AF18" t="n">
        <v>198.7</v>
      </c>
    </row>
    <row r="19">
      <c r="A19" t="s">
        <v>151</v>
      </c>
      <c r="B19" t="s">
        <v>308</v>
      </c>
      <c r="C19" t="s">
        <v>217</v>
      </c>
      <c r="D19" t="s">
        <v>309</v>
      </c>
      <c r="E19" t="s">
        <v>218</v>
      </c>
      <c r="F19" t="n">
        <v>676.479346083949</v>
      </c>
      <c r="G19" t="n">
        <v>653.964343123757</v>
      </c>
      <c r="H19" t="n">
        <v>638.367855739219</v>
      </c>
      <c r="I19" t="n">
        <v>632.670219139725</v>
      </c>
      <c r="J19" t="n">
        <v>636.977103159004</v>
      </c>
      <c r="K19" t="n">
        <v>644.979052656613</v>
      </c>
      <c r="L19" t="n">
        <v>683.699012232216</v>
      </c>
      <c r="M19" t="n">
        <v>700.088701798699</v>
      </c>
      <c r="N19" t="n">
        <v>711.736589632445</v>
      </c>
      <c r="O19" t="n">
        <v>730.951187729949</v>
      </c>
      <c r="P19" t="n">
        <v>733.413629408059</v>
      </c>
      <c r="Q19" t="n">
        <v>787.700425459085</v>
      </c>
      <c r="R19" t="n">
        <v>775.379379998173</v>
      </c>
      <c r="S19" t="n">
        <v>810.335384791067</v>
      </c>
      <c r="T19" t="n">
        <v>818.012904135788</v>
      </c>
      <c r="U19" t="n">
        <v>830.298342402243</v>
      </c>
      <c r="V19" t="n">
        <v>777.858447092627</v>
      </c>
      <c r="W19" t="n">
        <v>717.915448288946</v>
      </c>
      <c r="X19" t="n">
        <v>653.076308349511</v>
      </c>
      <c r="Y19" t="n">
        <v>641.383922811634</v>
      </c>
      <c r="Z19" t="n">
        <v>626.765485824474</v>
      </c>
      <c r="AA19" t="n">
        <v>607.340733966653</v>
      </c>
      <c r="AB19" t="n">
        <v>587.236075282974</v>
      </c>
      <c r="AC19" t="n">
        <v>563.281574174828</v>
      </c>
      <c r="AD19" t="n">
        <v>550.6</v>
      </c>
      <c r="AE19" t="n">
        <v>540.2</v>
      </c>
      <c r="AF19" t="n">
        <v>535.5</v>
      </c>
    </row>
    <row r="20">
      <c r="A20" t="s">
        <v>151</v>
      </c>
      <c r="B20" t="s">
        <v>310</v>
      </c>
      <c r="C20" t="s">
        <v>217</v>
      </c>
      <c r="D20" t="s">
        <v>311</v>
      </c>
      <c r="E20" t="s">
        <v>218</v>
      </c>
      <c r="F20" t="n">
        <v>9609.88255241396</v>
      </c>
      <c r="G20" t="n">
        <v>10058.2359285447</v>
      </c>
      <c r="H20" t="n">
        <v>10567.6734735037</v>
      </c>
      <c r="I20" t="n">
        <v>11140.164988987</v>
      </c>
      <c r="J20" t="n">
        <v>11769.5059981729</v>
      </c>
      <c r="K20" t="n">
        <v>12322.6859746005</v>
      </c>
      <c r="L20" t="n">
        <v>12657.6805063593</v>
      </c>
      <c r="M20" t="n">
        <v>12822.1411451913</v>
      </c>
      <c r="N20" t="n">
        <v>12922.2104001146</v>
      </c>
      <c r="O20" t="n">
        <v>13047.1815548</v>
      </c>
      <c r="P20" t="n">
        <v>13163.2724149691</v>
      </c>
      <c r="Q20" t="n">
        <v>13236.87456327</v>
      </c>
      <c r="R20" t="n">
        <v>13297.9474226446</v>
      </c>
      <c r="S20" t="n">
        <v>13535.3089553896</v>
      </c>
      <c r="T20" t="n">
        <v>13828.7987117292</v>
      </c>
      <c r="U20" t="n">
        <v>14011.9282082261</v>
      </c>
      <c r="V20" t="n">
        <v>13544.5875408679</v>
      </c>
      <c r="W20" t="n">
        <v>13579.1790731111</v>
      </c>
      <c r="X20" t="n">
        <v>13355.940625244</v>
      </c>
      <c r="Y20" t="n">
        <v>13401.6700033205</v>
      </c>
      <c r="Z20" t="n">
        <v>13526.0225939453</v>
      </c>
      <c r="AA20" t="n">
        <v>13735.5761263606</v>
      </c>
      <c r="AB20" t="n">
        <v>13806.4068623192</v>
      </c>
      <c r="AC20" t="n">
        <v>13696.8456919652</v>
      </c>
      <c r="AD20" t="n">
        <v>13617.7681618844</v>
      </c>
      <c r="AE20" t="n">
        <v>14064</v>
      </c>
      <c r="AF20" t="n">
        <v>14622.5</v>
      </c>
    </row>
    <row r="21">
      <c r="A21" t="s">
        <v>151</v>
      </c>
      <c r="B21" t="s">
        <v>312</v>
      </c>
      <c r="C21" t="s">
        <v>217</v>
      </c>
      <c r="D21" t="s">
        <v>313</v>
      </c>
      <c r="E21" t="s">
        <v>218</v>
      </c>
      <c r="F21" t="n">
        <v>16011.2476210113</v>
      </c>
      <c r="G21" t="n">
        <v>16254.1299452132</v>
      </c>
      <c r="H21" t="n">
        <v>16576.3665867233</v>
      </c>
      <c r="I21" t="n">
        <v>16969.7004179643</v>
      </c>
      <c r="J21" t="n">
        <v>17432.9483093388</v>
      </c>
      <c r="K21" t="n">
        <v>17824.8801827325</v>
      </c>
      <c r="L21" t="n">
        <v>18068.0733430571</v>
      </c>
      <c r="M21" t="n">
        <v>18059.3412898909</v>
      </c>
      <c r="N21" t="n">
        <v>18047.8857301463</v>
      </c>
      <c r="O21" t="n">
        <v>18044.1995186024</v>
      </c>
      <c r="P21" t="n">
        <v>18114.6255113517</v>
      </c>
      <c r="Q21" t="n">
        <v>18229.5224425934</v>
      </c>
      <c r="R21" t="n">
        <v>18306.6223754096</v>
      </c>
      <c r="S21" t="n">
        <v>18544.7476888704</v>
      </c>
      <c r="T21" t="n">
        <v>18881.1007437364</v>
      </c>
      <c r="U21" t="n">
        <v>19224.1963077423</v>
      </c>
      <c r="V21" t="n">
        <v>18746.427681501</v>
      </c>
      <c r="W21" t="n">
        <v>18818.2978041683</v>
      </c>
      <c r="X21" t="n">
        <v>18621.6298514891</v>
      </c>
      <c r="Y21" t="n">
        <v>18873.6105046524</v>
      </c>
      <c r="Z21" t="n">
        <v>19111.6482820502</v>
      </c>
      <c r="AA21" t="n">
        <v>19331.6543058741</v>
      </c>
      <c r="AB21" t="n">
        <v>19383.5245857453</v>
      </c>
      <c r="AC21" t="n">
        <v>19267.4866973163</v>
      </c>
      <c r="AD21" t="n">
        <v>19144.1003722338</v>
      </c>
      <c r="AE21" t="n">
        <v>19547.9</v>
      </c>
      <c r="AF21" t="n">
        <v>20090</v>
      </c>
    </row>
    <row r="22">
      <c r="A22" t="s">
        <v>151</v>
      </c>
      <c r="B22" t="s">
        <v>314</v>
      </c>
      <c r="C22" t="s">
        <v>217</v>
      </c>
      <c r="D22" t="s">
        <v>315</v>
      </c>
      <c r="E22" t="s">
        <v>218</v>
      </c>
      <c r="F22" t="n">
        <v>6447.5624521126</v>
      </c>
      <c r="G22" t="n">
        <v>6235.75100702651</v>
      </c>
      <c r="H22" t="n">
        <v>6041.16313565856</v>
      </c>
      <c r="I22" t="n">
        <v>5854.5383608306</v>
      </c>
      <c r="J22" t="n">
        <v>5680.67348753523</v>
      </c>
      <c r="K22" t="n">
        <v>5513.4593444035</v>
      </c>
      <c r="L22" t="n">
        <v>5418.29093663988</v>
      </c>
      <c r="M22" t="n">
        <v>5241.58116193882</v>
      </c>
      <c r="N22" t="n">
        <v>5127.91927282585</v>
      </c>
      <c r="O22" t="n">
        <v>4996.83256478717</v>
      </c>
      <c r="P22" t="n">
        <v>4949.88825884709</v>
      </c>
      <c r="Q22" t="n">
        <v>4991.37153331943</v>
      </c>
      <c r="R22" t="n">
        <v>5007.28441713366</v>
      </c>
      <c r="S22" t="n">
        <v>5006.65730835582</v>
      </c>
      <c r="T22" t="n">
        <v>5048.41665956122</v>
      </c>
      <c r="U22" t="n">
        <v>5209.75076214178</v>
      </c>
      <c r="V22" t="n">
        <v>5200.40902964139</v>
      </c>
      <c r="W22" t="n">
        <v>5237.79831004059</v>
      </c>
      <c r="X22" t="n">
        <v>5264.88512826986</v>
      </c>
      <c r="Y22" t="n">
        <v>5471.82192068581</v>
      </c>
      <c r="Z22" t="n">
        <v>5585.59655623951</v>
      </c>
      <c r="AA22" t="n">
        <v>5596.01249549257</v>
      </c>
      <c r="AB22" t="n">
        <v>5577.06527234509</v>
      </c>
      <c r="AC22" t="n">
        <v>5570.57171660579</v>
      </c>
      <c r="AD22" t="n">
        <v>5526.26600768908</v>
      </c>
      <c r="AE22" t="n">
        <v>5483.9</v>
      </c>
      <c r="AF22" t="n">
        <v>5467.5</v>
      </c>
    </row>
    <row r="23">
      <c r="A23" t="s">
        <v>151</v>
      </c>
      <c r="B23" t="s">
        <v>316</v>
      </c>
      <c r="C23" t="s">
        <v>217</v>
      </c>
      <c r="D23" t="s">
        <v>317</v>
      </c>
      <c r="E23" t="s">
        <v>218</v>
      </c>
      <c r="F23" t="n">
        <v>4397.01005915822</v>
      </c>
      <c r="G23" t="n">
        <v>4330.30347825657</v>
      </c>
      <c r="H23" t="n">
        <v>4315.30696910625</v>
      </c>
      <c r="I23" t="n">
        <v>4334.16603100178</v>
      </c>
      <c r="J23" t="n">
        <v>4415.54622471294</v>
      </c>
      <c r="K23" t="n">
        <v>4490.74457406259</v>
      </c>
      <c r="L23" t="n">
        <v>5051.47780733142</v>
      </c>
      <c r="M23" t="n">
        <v>5176.93149985397</v>
      </c>
      <c r="N23" t="n">
        <v>5641.41931519462</v>
      </c>
      <c r="O23" t="n">
        <v>5882.96070638566</v>
      </c>
      <c r="P23" t="n">
        <v>6019.8126140594</v>
      </c>
      <c r="Q23" t="n">
        <v>6260.81820584169</v>
      </c>
      <c r="R23" t="n">
        <v>6851.40605637686</v>
      </c>
      <c r="S23" t="n">
        <v>7386.70402854445</v>
      </c>
      <c r="T23" t="n">
        <v>7190.47589344153</v>
      </c>
      <c r="U23" t="n">
        <v>6596.77685507462</v>
      </c>
      <c r="V23" t="n">
        <v>5942.45046870881</v>
      </c>
      <c r="W23" t="n">
        <v>5720.90906091555</v>
      </c>
      <c r="X23" t="n">
        <v>5918.70016232915</v>
      </c>
      <c r="Y23" t="n">
        <v>5607.50969480474</v>
      </c>
      <c r="Z23" t="n">
        <v>5306.86721026162</v>
      </c>
      <c r="AA23" t="n">
        <v>5040.11887694321</v>
      </c>
      <c r="AB23" t="n">
        <v>4792.50307290294</v>
      </c>
      <c r="AC23" t="n">
        <v>4513.96375451259</v>
      </c>
      <c r="AD23" t="n">
        <v>4281.38609150199</v>
      </c>
      <c r="AE23" t="n">
        <v>4095.8</v>
      </c>
      <c r="AF23" t="n">
        <v>3941.7</v>
      </c>
    </row>
    <row r="24">
      <c r="A24" t="s">
        <v>151</v>
      </c>
      <c r="B24" t="s">
        <v>318</v>
      </c>
      <c r="C24" t="s">
        <v>217</v>
      </c>
      <c r="D24" t="s">
        <v>319</v>
      </c>
      <c r="E24" t="s">
        <v>218</v>
      </c>
      <c r="F24" t="n">
        <v>11818.5106357895</v>
      </c>
      <c r="G24" t="n">
        <v>11731.3365034122</v>
      </c>
      <c r="H24" t="n">
        <v>11805.1812551349</v>
      </c>
      <c r="I24" t="n">
        <v>11965.4076775223</v>
      </c>
      <c r="J24" t="n">
        <v>12226.8335024774</v>
      </c>
      <c r="K24" t="n">
        <v>12533.4857821533</v>
      </c>
      <c r="L24" t="n">
        <v>12904.1860612826</v>
      </c>
      <c r="M24" t="n">
        <v>13898.7962998231</v>
      </c>
      <c r="N24" t="n">
        <v>14345.5126079345</v>
      </c>
      <c r="O24" t="n">
        <v>14898.3088598795</v>
      </c>
      <c r="P24" t="n">
        <v>16099.0450510289</v>
      </c>
      <c r="Q24" t="n">
        <v>17329.4091819216</v>
      </c>
      <c r="R24" t="n">
        <v>18533.2264748648</v>
      </c>
      <c r="S24" t="n">
        <v>19340.7242050033</v>
      </c>
      <c r="T24" t="n">
        <v>19461.0188403578</v>
      </c>
      <c r="U24" t="n">
        <v>19373.0400433944</v>
      </c>
      <c r="V24" t="n">
        <v>19239.8359319231</v>
      </c>
      <c r="W24" t="n">
        <v>18743.8058257228</v>
      </c>
      <c r="X24" t="n">
        <v>18210.2466106665</v>
      </c>
      <c r="Y24" t="n">
        <v>18175.0316124908</v>
      </c>
      <c r="Z24" t="n">
        <v>17937.591391259</v>
      </c>
      <c r="AA24" t="n">
        <v>17856.5828500381</v>
      </c>
      <c r="AB24" t="n">
        <v>17718.1931304328</v>
      </c>
      <c r="AC24" t="n">
        <v>17509.588278092</v>
      </c>
      <c r="AD24" t="n">
        <v>17371.3260514567</v>
      </c>
      <c r="AE24" t="n">
        <v>17273.5</v>
      </c>
      <c r="AF24" t="n">
        <v>17358</v>
      </c>
    </row>
    <row r="25">
      <c r="A25" t="s">
        <v>151</v>
      </c>
      <c r="B25" t="s">
        <v>320</v>
      </c>
      <c r="C25" t="s">
        <v>217</v>
      </c>
      <c r="D25" t="s">
        <v>321</v>
      </c>
      <c r="E25" t="s">
        <v>218</v>
      </c>
      <c r="F25" t="n">
        <v>424.499869329396</v>
      </c>
      <c r="G25" t="n">
        <v>452.320650981903</v>
      </c>
      <c r="H25" t="n">
        <v>498.860873691387</v>
      </c>
      <c r="I25" t="n">
        <v>536.519978862207</v>
      </c>
      <c r="J25" t="n">
        <v>583.746797258033</v>
      </c>
      <c r="K25" t="n">
        <v>630.583624435292</v>
      </c>
      <c r="L25" t="n">
        <v>989.587480202354</v>
      </c>
      <c r="M25" t="n">
        <v>1088.22838530614</v>
      </c>
      <c r="N25" t="n">
        <v>1152.07140337528</v>
      </c>
      <c r="O25" t="n">
        <v>1244.32097889577</v>
      </c>
      <c r="P25" t="n">
        <v>1460.49092025739</v>
      </c>
      <c r="Q25" t="n">
        <v>1643.56021704174</v>
      </c>
      <c r="R25" t="n">
        <v>1872.03627110519</v>
      </c>
      <c r="S25" t="n">
        <v>2022.51302477869</v>
      </c>
      <c r="T25" t="n">
        <v>2110.31881565898</v>
      </c>
      <c r="U25" t="n">
        <v>2006.4608189274</v>
      </c>
      <c r="V25" t="n">
        <v>1926.94920090037</v>
      </c>
      <c r="W25" t="n">
        <v>1811.26225020079</v>
      </c>
      <c r="X25" t="n">
        <v>1739.14286239535</v>
      </c>
      <c r="Y25" t="n">
        <v>1722.95721650379</v>
      </c>
      <c r="Z25" t="n">
        <v>1664.0944820202</v>
      </c>
      <c r="AA25" t="n">
        <v>1721.90940123648</v>
      </c>
      <c r="AB25" t="n">
        <v>1764.46781488406</v>
      </c>
      <c r="AC25" t="n">
        <v>1799.23022513585</v>
      </c>
      <c r="AD25" t="n">
        <v>1754.39675096492</v>
      </c>
      <c r="AE25" t="n">
        <v>1735.6</v>
      </c>
      <c r="AF25" t="n">
        <v>1739.1</v>
      </c>
    </row>
    <row r="26">
      <c r="A26" t="s">
        <v>151</v>
      </c>
      <c r="B26" t="s">
        <v>322</v>
      </c>
      <c r="C26" t="s">
        <v>217</v>
      </c>
      <c r="D26" t="s">
        <v>323</v>
      </c>
      <c r="E26" t="s">
        <v>218</v>
      </c>
      <c r="F26" t="n">
        <v>3514.95555700802</v>
      </c>
      <c r="G26" t="n">
        <v>3549.39003641568</v>
      </c>
      <c r="H26" t="n">
        <v>3643.33203590716</v>
      </c>
      <c r="I26" t="n">
        <v>3767.17756458438</v>
      </c>
      <c r="J26" t="n">
        <v>3930.24061811091</v>
      </c>
      <c r="K26" t="n">
        <v>4099.96461819395</v>
      </c>
      <c r="L26" t="n">
        <v>4311.80024129974</v>
      </c>
      <c r="M26" t="n">
        <v>4933.38057944732</v>
      </c>
      <c r="N26" t="n">
        <v>5238.00686914164</v>
      </c>
      <c r="O26" t="n">
        <v>5761.1218620112</v>
      </c>
      <c r="P26" t="n">
        <v>6328.26720668169</v>
      </c>
      <c r="Q26" t="n">
        <v>7189.56276060839</v>
      </c>
      <c r="R26" t="n">
        <v>7936.51796884452</v>
      </c>
      <c r="S26" t="n">
        <v>8543.0659317773</v>
      </c>
      <c r="T26" t="n">
        <v>8752.68144985864</v>
      </c>
      <c r="U26" t="n">
        <v>8920.8239803063</v>
      </c>
      <c r="V26" t="n">
        <v>8800.06643965074</v>
      </c>
      <c r="W26" t="n">
        <v>8613.57909675705</v>
      </c>
      <c r="X26" t="n">
        <v>8306.89339776044</v>
      </c>
      <c r="Y26" t="n">
        <v>8277.46174315494</v>
      </c>
      <c r="Z26" t="n">
        <v>8243.89879640114</v>
      </c>
      <c r="AA26" t="n">
        <v>8094.5474104083</v>
      </c>
      <c r="AB26" t="n">
        <v>7934.94424129508</v>
      </c>
      <c r="AC26" t="n">
        <v>7791.81978158148</v>
      </c>
      <c r="AD26" t="n">
        <v>7688.49323705257</v>
      </c>
      <c r="AE26" t="n">
        <v>7728.7</v>
      </c>
      <c r="AF26" t="n">
        <v>7859.7</v>
      </c>
    </row>
    <row r="27">
      <c r="A27" t="s">
        <v>151</v>
      </c>
      <c r="B27" t="s">
        <v>324</v>
      </c>
      <c r="C27" t="s">
        <v>217</v>
      </c>
      <c r="D27" t="s">
        <v>325</v>
      </c>
      <c r="E27" t="s">
        <v>218</v>
      </c>
      <c r="F27" t="n">
        <v>7770.01871007169</v>
      </c>
      <c r="G27" t="n">
        <v>7622.61396609281</v>
      </c>
      <c r="H27" t="n">
        <v>7557.00576850331</v>
      </c>
      <c r="I27" t="n">
        <v>7556.53439103245</v>
      </c>
      <c r="J27" t="n">
        <v>7608.05214387622</v>
      </c>
      <c r="K27" t="n">
        <v>7698.39769513533</v>
      </c>
      <c r="L27" t="n">
        <v>7513.5720831932</v>
      </c>
      <c r="M27" t="n">
        <v>7788.89828897157</v>
      </c>
      <c r="N27" t="n">
        <v>7870.36363002948</v>
      </c>
      <c r="O27" t="n">
        <v>7816.89017947652</v>
      </c>
      <c r="P27" t="n">
        <v>8243.03263261054</v>
      </c>
      <c r="Q27" t="n">
        <v>8445.83551459103</v>
      </c>
      <c r="R27" t="n">
        <v>8695.79934103153</v>
      </c>
      <c r="S27" t="n">
        <v>8764.96945792879</v>
      </c>
      <c r="T27" t="n">
        <v>8603.99785054006</v>
      </c>
      <c r="U27" t="n">
        <v>8449.31488752645</v>
      </c>
      <c r="V27" t="n">
        <v>8514.24498939444</v>
      </c>
      <c r="W27" t="n">
        <v>8320.01716381194</v>
      </c>
      <c r="X27" t="n">
        <v>8164.29316057667</v>
      </c>
      <c r="Y27" t="n">
        <v>8174.42243910573</v>
      </c>
      <c r="Z27" t="n">
        <v>8029.53714556285</v>
      </c>
      <c r="AA27" t="n">
        <v>8040.12954948556</v>
      </c>
      <c r="AB27" t="n">
        <v>8018.8016179069</v>
      </c>
      <c r="AC27" t="n">
        <v>7918.57285572266</v>
      </c>
      <c r="AD27" t="n">
        <v>7928.45497591473</v>
      </c>
      <c r="AE27" t="n">
        <v>7809.2</v>
      </c>
      <c r="AF27" t="n">
        <v>7759.2</v>
      </c>
    </row>
    <row r="28">
      <c r="A28" t="s">
        <v>151</v>
      </c>
      <c r="B28" t="s">
        <v>326</v>
      </c>
      <c r="C28" t="s">
        <v>217</v>
      </c>
      <c r="D28" t="s">
        <v>327</v>
      </c>
      <c r="E28" t="s">
        <v>218</v>
      </c>
      <c r="F28" t="n">
        <v>7425.41780622673</v>
      </c>
      <c r="G28" t="n">
        <v>8896.53469334862</v>
      </c>
      <c r="H28" t="n">
        <v>10218.9632367777</v>
      </c>
      <c r="I28" t="n">
        <v>12825.7392848893</v>
      </c>
      <c r="J28" t="n">
        <v>14677.1587957115</v>
      </c>
      <c r="K28" t="n">
        <v>16848.0164498026</v>
      </c>
      <c r="L28" t="n">
        <v>20846.3687351131</v>
      </c>
      <c r="M28" t="n">
        <v>24502.5853449797</v>
      </c>
      <c r="N28" t="n">
        <v>28750.4378335093</v>
      </c>
      <c r="O28" t="n">
        <v>31431.9093608838</v>
      </c>
      <c r="P28" t="n">
        <v>33280.5053016947</v>
      </c>
      <c r="Q28" t="n">
        <v>37907.0280838494</v>
      </c>
      <c r="R28" t="n">
        <v>42919.9652567278</v>
      </c>
      <c r="S28" t="n">
        <v>46919.9365138422</v>
      </c>
      <c r="T28" t="n">
        <v>49090.5708295257</v>
      </c>
      <c r="U28" t="n">
        <v>51030.8877396468</v>
      </c>
      <c r="V28" t="n">
        <v>48065.5526137983</v>
      </c>
      <c r="W28" t="n">
        <v>45099.4200360706</v>
      </c>
      <c r="X28" t="n">
        <v>42340.6184856984</v>
      </c>
      <c r="Y28" t="n">
        <v>39922.9513357286</v>
      </c>
      <c r="Z28" t="n">
        <v>38047.4426826992</v>
      </c>
      <c r="AA28" t="n">
        <v>36420.580684383</v>
      </c>
      <c r="AB28" t="n">
        <v>35088.8524516846</v>
      </c>
      <c r="AC28" t="n">
        <v>33800.6062514372</v>
      </c>
      <c r="AD28" t="n">
        <v>32512.6821655432</v>
      </c>
      <c r="AE28" t="n">
        <v>30778.8</v>
      </c>
      <c r="AF28" t="n">
        <v>29276.4</v>
      </c>
    </row>
    <row r="29">
      <c r="A29" t="s">
        <v>151</v>
      </c>
      <c r="B29" t="s">
        <v>328</v>
      </c>
      <c r="C29" t="s">
        <v>217</v>
      </c>
      <c r="D29" t="s">
        <v>329</v>
      </c>
      <c r="E29" t="s">
        <v>218</v>
      </c>
      <c r="F29" t="n">
        <v>4913.63660495363</v>
      </c>
      <c r="G29" t="n">
        <v>5334.39214794926</v>
      </c>
      <c r="H29" t="n">
        <v>5995.88672876655</v>
      </c>
      <c r="I29" t="n">
        <v>6561.87151546359</v>
      </c>
      <c r="J29" t="n">
        <v>7228.63530535206</v>
      </c>
      <c r="K29" t="n">
        <v>7831.63438474054</v>
      </c>
      <c r="L29" t="n">
        <v>10422.1150055812</v>
      </c>
      <c r="M29" t="n">
        <v>11214.3726278789</v>
      </c>
      <c r="N29" t="n">
        <v>12643.1595134444</v>
      </c>
      <c r="O29" t="n">
        <v>14452.5658028698</v>
      </c>
      <c r="P29" t="n">
        <v>15873.4017650567</v>
      </c>
      <c r="Q29" t="n">
        <v>17685.3734526074</v>
      </c>
      <c r="R29" t="n">
        <v>18273.132836115</v>
      </c>
      <c r="S29" t="n">
        <v>19005.0028550927</v>
      </c>
      <c r="T29" t="n">
        <v>19342.5426825872</v>
      </c>
      <c r="U29" t="n">
        <v>19100.0194281266</v>
      </c>
      <c r="V29" t="n">
        <v>18279.0546515405</v>
      </c>
      <c r="W29" t="n">
        <v>17556.9567565407</v>
      </c>
      <c r="X29" t="n">
        <v>16822.4006328891</v>
      </c>
      <c r="Y29" t="n">
        <v>16048.7675396073</v>
      </c>
      <c r="Z29" t="n">
        <v>15482.0049562757</v>
      </c>
      <c r="AA29" t="n">
        <v>15112.1566762445</v>
      </c>
      <c r="AB29" t="n">
        <v>14959.2669148612</v>
      </c>
      <c r="AC29" t="n">
        <v>14639.7838243967</v>
      </c>
      <c r="AD29" t="n">
        <v>14238.2424091001</v>
      </c>
      <c r="AE29" t="n">
        <v>13804.3</v>
      </c>
      <c r="AF29" t="n">
        <v>13530.1</v>
      </c>
    </row>
    <row r="30">
      <c r="A30" t="s">
        <v>151</v>
      </c>
      <c r="B30" t="s">
        <v>330</v>
      </c>
      <c r="C30" t="s">
        <v>217</v>
      </c>
      <c r="D30" t="s">
        <v>331</v>
      </c>
      <c r="E30" t="s">
        <v>218</v>
      </c>
      <c r="F30" t="n">
        <v>1676.18921509312</v>
      </c>
      <c r="G30" t="n">
        <v>2635.48077340773</v>
      </c>
      <c r="H30" t="n">
        <v>3233.76300298426</v>
      </c>
      <c r="I30" t="n">
        <v>5113.98984594486</v>
      </c>
      <c r="J30" t="n">
        <v>6204.29188144489</v>
      </c>
      <c r="K30" t="n">
        <v>7667.65654173722</v>
      </c>
      <c r="L30" t="n">
        <v>8653.5734610563</v>
      </c>
      <c r="M30" t="n">
        <v>11052.1929493847</v>
      </c>
      <c r="N30" t="n">
        <v>13805.7163297845</v>
      </c>
      <c r="O30" t="n">
        <v>14560.8377387562</v>
      </c>
      <c r="P30" t="n">
        <v>14485.5300254423</v>
      </c>
      <c r="Q30" t="n">
        <v>17369.7560060792</v>
      </c>
      <c r="R30" t="n">
        <v>21878.0158389595</v>
      </c>
      <c r="S30" t="n">
        <v>25199.514013466</v>
      </c>
      <c r="T30" t="n">
        <v>26880.8654427006</v>
      </c>
      <c r="U30" t="n">
        <v>29075.370892672</v>
      </c>
      <c r="V30" t="n">
        <v>26949.428688302</v>
      </c>
      <c r="W30" t="n">
        <v>24816.3147621243</v>
      </c>
      <c r="X30" t="n">
        <v>22835.5879587452</v>
      </c>
      <c r="Y30" t="n">
        <v>21217.2250491391</v>
      </c>
      <c r="Z30" t="n">
        <v>19840.5971410575</v>
      </c>
      <c r="AA30" t="n">
        <v>18357.5700585088</v>
      </c>
      <c r="AB30" t="n">
        <v>16974.1695577134</v>
      </c>
      <c r="AC30" t="n">
        <v>15764.999112869</v>
      </c>
      <c r="AD30" t="n">
        <v>14900.0394491846</v>
      </c>
      <c r="AE30" t="n">
        <v>13806.9</v>
      </c>
      <c r="AF30" t="n">
        <v>12753.1</v>
      </c>
    </row>
    <row r="31">
      <c r="A31" t="s">
        <v>151</v>
      </c>
      <c r="B31" t="s">
        <v>332</v>
      </c>
      <c r="C31" t="s">
        <v>217</v>
      </c>
      <c r="D31" t="s">
        <v>333</v>
      </c>
      <c r="E31" t="s">
        <v>218</v>
      </c>
      <c r="F31" t="n">
        <v>466.417748279212</v>
      </c>
      <c r="G31" t="n">
        <v>441.473105838447</v>
      </c>
      <c r="H31" t="n">
        <v>425.189728450029</v>
      </c>
      <c r="I31" t="n">
        <v>410.867789334897</v>
      </c>
      <c r="J31" t="n">
        <v>399.195408956065</v>
      </c>
      <c r="K31" t="n">
        <v>392.262300089528</v>
      </c>
      <c r="L31" t="n">
        <v>633.807775251609</v>
      </c>
      <c r="M31" t="n">
        <v>1004.34935850919</v>
      </c>
      <c r="N31" t="n">
        <v>933.12458328424</v>
      </c>
      <c r="O31" t="n">
        <v>854.455482356269</v>
      </c>
      <c r="P31" t="n">
        <v>1338.85554420596</v>
      </c>
      <c r="Q31" t="n">
        <v>1243.12390425755</v>
      </c>
      <c r="R31" t="n">
        <v>1175.87548792342</v>
      </c>
      <c r="S31" t="n">
        <v>1106.31960864426</v>
      </c>
      <c r="T31" t="n">
        <v>1049.82310423941</v>
      </c>
      <c r="U31" t="n">
        <v>993.055721868584</v>
      </c>
      <c r="V31" t="n">
        <v>915.32295534161</v>
      </c>
      <c r="W31" t="n">
        <v>856.202777440611</v>
      </c>
      <c r="X31" t="n">
        <v>800.352566990392</v>
      </c>
      <c r="Y31" t="n">
        <v>749.270503467118</v>
      </c>
      <c r="Z31" t="n">
        <v>719.279487357989</v>
      </c>
      <c r="AA31" t="n">
        <v>691.693195102963</v>
      </c>
      <c r="AB31" t="n">
        <v>664.398861894411</v>
      </c>
      <c r="AC31" t="n">
        <v>649.020189296855</v>
      </c>
      <c r="AD31" t="n">
        <v>603.448555634807</v>
      </c>
      <c r="AE31" t="n">
        <v>558.9</v>
      </c>
      <c r="AF31" t="n">
        <v>519.1</v>
      </c>
    </row>
    <row r="32">
      <c r="A32" t="s">
        <v>151</v>
      </c>
      <c r="B32" t="s">
        <v>334</v>
      </c>
      <c r="C32" t="s">
        <v>217</v>
      </c>
      <c r="D32" t="s">
        <v>335</v>
      </c>
      <c r="E32" t="s">
        <v>218</v>
      </c>
      <c r="F32" t="n">
        <v>437.706433881985</v>
      </c>
      <c r="G32" t="n">
        <v>435.951287786839</v>
      </c>
      <c r="H32" t="n">
        <v>441.096773626754</v>
      </c>
      <c r="I32" t="n">
        <v>451.812185389622</v>
      </c>
      <c r="J32" t="n">
        <v>468.287636387327</v>
      </c>
      <c r="K32" t="n">
        <v>482.287266772598</v>
      </c>
      <c r="L32" t="n">
        <v>544.455782728963</v>
      </c>
      <c r="M32" t="n">
        <v>551.979252191586</v>
      </c>
      <c r="N32" t="n">
        <v>635.385648299575</v>
      </c>
      <c r="O32" t="n">
        <v>836.571972806321</v>
      </c>
      <c r="P32" t="n">
        <v>898.452558117903</v>
      </c>
      <c r="Q32" t="n">
        <v>954.101588312173</v>
      </c>
      <c r="R32" t="n">
        <v>981.888085049138</v>
      </c>
      <c r="S32" t="n">
        <v>1075.65955962763</v>
      </c>
      <c r="T32" t="n">
        <v>1325.69616474146</v>
      </c>
      <c r="U32" t="n">
        <v>1418.43015385796</v>
      </c>
      <c r="V32" t="n">
        <v>1457.08660068155</v>
      </c>
      <c r="W32" t="n">
        <v>1384.86586941126</v>
      </c>
      <c r="X32" t="n">
        <v>1384.96170124777</v>
      </c>
      <c r="Y32" t="n">
        <v>1409.65354577172</v>
      </c>
      <c r="Z32" t="n">
        <v>1498.02135618031</v>
      </c>
      <c r="AA32" t="n">
        <v>1750.04177260159</v>
      </c>
      <c r="AB32" t="n">
        <v>1985.13252965053</v>
      </c>
      <c r="AC32" t="n">
        <v>2249.54258958225</v>
      </c>
      <c r="AD32" t="n">
        <v>2288.84682813228</v>
      </c>
      <c r="AE32" t="n">
        <v>2146.2</v>
      </c>
      <c r="AF32" t="n">
        <v>2028</v>
      </c>
    </row>
    <row r="33">
      <c r="A33" t="s">
        <v>151</v>
      </c>
      <c r="B33" t="s">
        <v>336</v>
      </c>
      <c r="C33" t="s">
        <v>217</v>
      </c>
      <c r="D33" t="s">
        <v>337</v>
      </c>
      <c r="E33" t="s">
        <v>218</v>
      </c>
      <c r="F33" t="n">
        <v>125.190511754045</v>
      </c>
      <c r="G33" t="n">
        <v>203.353834366219</v>
      </c>
      <c r="H33" t="n">
        <v>282.374813846666</v>
      </c>
      <c r="I33" t="n">
        <v>364.956127330125</v>
      </c>
      <c r="J33" t="n">
        <v>447.112665524864</v>
      </c>
      <c r="K33" t="n">
        <v>534.95174147507</v>
      </c>
      <c r="L33" t="n">
        <v>707.908404205664</v>
      </c>
      <c r="M33" t="n">
        <v>743.339053754988</v>
      </c>
      <c r="N33" t="n">
        <v>774.937506163924</v>
      </c>
      <c r="O33" t="n">
        <v>792.811949496238</v>
      </c>
      <c r="P33" t="n">
        <v>772.445284752581</v>
      </c>
      <c r="Q33" t="n">
        <v>736.8586277404</v>
      </c>
      <c r="R33" t="n">
        <v>747.065655226566</v>
      </c>
      <c r="S33" t="n">
        <v>734.292311080521</v>
      </c>
      <c r="T33" t="n">
        <v>725.129713146338</v>
      </c>
      <c r="U33" t="n">
        <v>697.689565233316</v>
      </c>
      <c r="V33" t="n">
        <v>658.420992941849</v>
      </c>
      <c r="W33" t="n">
        <v>623.796336529802</v>
      </c>
      <c r="X33" t="n">
        <v>591.21341466328</v>
      </c>
      <c r="Y33" t="n">
        <v>565.987810687445</v>
      </c>
      <c r="Z33" t="n">
        <v>553.200927925184</v>
      </c>
      <c r="AA33" t="n">
        <v>533.80591407908</v>
      </c>
      <c r="AB33" t="n">
        <v>515.632948055437</v>
      </c>
      <c r="AC33" t="n">
        <v>495.835522475647</v>
      </c>
      <c r="AD33" t="n">
        <v>480.792089907067</v>
      </c>
      <c r="AE33" t="n">
        <v>462.5</v>
      </c>
      <c r="AF33" t="n">
        <v>446.1</v>
      </c>
    </row>
    <row r="34">
      <c r="A34" t="s">
        <v>151</v>
      </c>
      <c r="B34" t="s">
        <v>338</v>
      </c>
      <c r="C34" t="s">
        <v>217</v>
      </c>
      <c r="D34" t="s">
        <v>339</v>
      </c>
      <c r="E34" t="s">
        <v>218</v>
      </c>
      <c r="F34" t="n">
        <v>11971.28904369</v>
      </c>
      <c r="G34" t="n">
        <v>11784.8741221449</v>
      </c>
      <c r="H34" t="n">
        <v>11665.0712631794</v>
      </c>
      <c r="I34" t="n">
        <v>11582.4612012825</v>
      </c>
      <c r="J34" t="n">
        <v>11545.0272088361</v>
      </c>
      <c r="K34" t="n">
        <v>11548.7383548113</v>
      </c>
      <c r="L34" t="n">
        <v>11508.0433038097</v>
      </c>
      <c r="M34" t="n">
        <v>11220.3231126629</v>
      </c>
      <c r="N34" t="n">
        <v>11247.084393996</v>
      </c>
      <c r="O34" t="n">
        <v>11398.7484135034</v>
      </c>
      <c r="P34" t="n">
        <v>11413.0794025323</v>
      </c>
      <c r="Q34" t="n">
        <v>11580.6885569365</v>
      </c>
      <c r="R34" t="n">
        <v>11906.1772069719</v>
      </c>
      <c r="S34" t="n">
        <v>12608.9791976151</v>
      </c>
      <c r="T34" t="n">
        <v>12774.4981249503</v>
      </c>
      <c r="U34" t="n">
        <v>12417.9128966054</v>
      </c>
      <c r="V34" t="n">
        <v>12110.5676417423</v>
      </c>
      <c r="W34" t="n">
        <v>11661.7765136718</v>
      </c>
      <c r="X34" t="n">
        <v>11286.8659140724</v>
      </c>
      <c r="Y34" t="n">
        <v>11362.7022596193</v>
      </c>
      <c r="Z34" t="n">
        <v>11505.5939697742</v>
      </c>
      <c r="AA34" t="n">
        <v>11486.2187911258</v>
      </c>
      <c r="AB34" t="n">
        <v>11430.3340421943</v>
      </c>
      <c r="AC34" t="n">
        <v>11182.4142384911</v>
      </c>
      <c r="AD34" t="n">
        <v>11142.5889775778</v>
      </c>
      <c r="AE34" t="n">
        <v>11015.2</v>
      </c>
      <c r="AF34" t="n">
        <v>10977.3</v>
      </c>
    </row>
    <row r="35">
      <c r="A35" t="s">
        <v>151</v>
      </c>
      <c r="B35" t="s">
        <v>340</v>
      </c>
      <c r="C35" t="s">
        <v>217</v>
      </c>
      <c r="D35" t="s">
        <v>341</v>
      </c>
      <c r="E35" t="s">
        <v>218</v>
      </c>
      <c r="F35" t="n">
        <v>10939.2024172609</v>
      </c>
      <c r="G35" t="n">
        <v>11670.5792446193</v>
      </c>
      <c r="H35" t="n">
        <v>12415.5625298749</v>
      </c>
      <c r="I35" t="n">
        <v>13241.5437017305</v>
      </c>
      <c r="J35" t="n">
        <v>14082.3546831623</v>
      </c>
      <c r="K35" t="n">
        <v>15037.3673044981</v>
      </c>
      <c r="L35" t="n">
        <v>16873.5370225503</v>
      </c>
      <c r="M35" t="n">
        <v>17502.5458962326</v>
      </c>
      <c r="N35" t="n">
        <v>18017.9297599095</v>
      </c>
      <c r="O35" t="n">
        <v>18397.636647562</v>
      </c>
      <c r="P35" t="n">
        <v>18863.1812541461</v>
      </c>
      <c r="Q35" t="n">
        <v>18984.2174671007</v>
      </c>
      <c r="R35" t="n">
        <v>19042.1226599239</v>
      </c>
      <c r="S35" t="n">
        <v>19119.1363354481</v>
      </c>
      <c r="T35" t="n">
        <v>19094.4635468913</v>
      </c>
      <c r="U35" t="n">
        <v>19347.2913973369</v>
      </c>
      <c r="V35" t="n">
        <v>18780.7208365545</v>
      </c>
      <c r="W35" t="n">
        <v>18095.4352469121</v>
      </c>
      <c r="X35" t="n">
        <v>17280.7402365195</v>
      </c>
      <c r="Y35" t="n">
        <v>16791.3849949033</v>
      </c>
      <c r="Z35" t="n">
        <v>16377.2059280148</v>
      </c>
      <c r="AA35" t="n">
        <v>16136.7845359993</v>
      </c>
      <c r="AB35" t="n">
        <v>15914.2694159698</v>
      </c>
      <c r="AC35" t="n">
        <v>15629.2845716794</v>
      </c>
      <c r="AD35" t="n">
        <v>15271.5576752246</v>
      </c>
      <c r="AE35" t="n">
        <v>15059.1</v>
      </c>
      <c r="AF35" t="n">
        <v>14953.2</v>
      </c>
    </row>
    <row r="36">
      <c r="A36" t="s">
        <v>151</v>
      </c>
      <c r="B36" t="s">
        <v>342</v>
      </c>
      <c r="C36" t="s">
        <v>217</v>
      </c>
      <c r="D36" t="s">
        <v>343</v>
      </c>
      <c r="E36" t="s">
        <v>218</v>
      </c>
      <c r="F36" t="n">
        <v>1028.08862423652</v>
      </c>
      <c r="G36" t="n">
        <v>1190.41150611444</v>
      </c>
      <c r="H36" t="n">
        <v>1348.87658412008</v>
      </c>
      <c r="I36" t="n">
        <v>1514.39893960102</v>
      </c>
      <c r="J36" t="n">
        <v>1687.93682303427</v>
      </c>
      <c r="K36" t="n">
        <v>1888.96875770594</v>
      </c>
      <c r="L36" t="n">
        <v>2119.69318334081</v>
      </c>
      <c r="M36" t="n">
        <v>2456.72124675053</v>
      </c>
      <c r="N36" t="n">
        <v>2768.93021331339</v>
      </c>
      <c r="O36" t="n">
        <v>3060.88402434483</v>
      </c>
      <c r="P36" t="n">
        <v>3118.57053081357</v>
      </c>
      <c r="Q36" t="n">
        <v>3362.15392171198</v>
      </c>
      <c r="R36" t="n">
        <v>3569.52122753958</v>
      </c>
      <c r="S36" t="n">
        <v>3854.4482766304</v>
      </c>
      <c r="T36" t="n">
        <v>4068.63569286658</v>
      </c>
      <c r="U36" t="n">
        <v>3959.93841159645</v>
      </c>
      <c r="V36" t="n">
        <v>3764.84221330085</v>
      </c>
      <c r="W36" t="n">
        <v>3579.6295500731</v>
      </c>
      <c r="X36" t="n">
        <v>3350.22405179279</v>
      </c>
      <c r="Y36" t="n">
        <v>3199.08685355374</v>
      </c>
      <c r="Z36" t="n">
        <v>3045.18733249278</v>
      </c>
      <c r="AA36" t="n">
        <v>2892.26676837047</v>
      </c>
      <c r="AB36" t="n">
        <v>2761.98448150694</v>
      </c>
      <c r="AC36" t="n">
        <v>2646.99409587511</v>
      </c>
      <c r="AD36" t="n">
        <v>2563.81292322178</v>
      </c>
      <c r="AE36" t="n">
        <v>2561.1</v>
      </c>
      <c r="AF36" t="n">
        <v>2580.1</v>
      </c>
    </row>
    <row r="37">
      <c r="A37" t="s">
        <v>151</v>
      </c>
      <c r="B37" t="s">
        <v>344</v>
      </c>
      <c r="C37" t="s">
        <v>217</v>
      </c>
      <c r="D37" t="s">
        <v>345</v>
      </c>
      <c r="E37" t="s">
        <v>218</v>
      </c>
      <c r="F37" t="n">
        <v>9832.40364079317</v>
      </c>
      <c r="G37" t="n">
        <v>10348.3701208914</v>
      </c>
      <c r="H37" t="n">
        <v>10887.8568379167</v>
      </c>
      <c r="I37" t="n">
        <v>11497.2857503147</v>
      </c>
      <c r="J37" t="n">
        <v>12116.7218195034</v>
      </c>
      <c r="K37" t="n">
        <v>12797.9506293961</v>
      </c>
      <c r="L37" t="n">
        <v>14349.593018733</v>
      </c>
      <c r="M37" t="n">
        <v>14518.6287261479</v>
      </c>
      <c r="N37" t="n">
        <v>14667.9570380611</v>
      </c>
      <c r="O37" t="n">
        <v>14696.8817063583</v>
      </c>
      <c r="P37" t="n">
        <v>15170.2614656775</v>
      </c>
      <c r="Q37" t="n">
        <v>15062.6729615558</v>
      </c>
      <c r="R37" t="n">
        <v>14900.6219494665</v>
      </c>
      <c r="S37" t="n">
        <v>14746.2159519175</v>
      </c>
      <c r="T37" t="n">
        <v>14498.3489742748</v>
      </c>
      <c r="U37" t="n">
        <v>14602.5049176617</v>
      </c>
      <c r="V37" t="n">
        <v>14230.537882335</v>
      </c>
      <c r="W37" t="n">
        <v>13773.2412812947</v>
      </c>
      <c r="X37" t="n">
        <v>13231.0125315618</v>
      </c>
      <c r="Y37" t="n">
        <v>12886.4042175076</v>
      </c>
      <c r="Z37" t="n">
        <v>12604.150083202</v>
      </c>
      <c r="AA37" t="n">
        <v>12437.456050635</v>
      </c>
      <c r="AB37" t="n">
        <v>12275.0557348051</v>
      </c>
      <c r="AC37" t="n">
        <v>12128.1482829442</v>
      </c>
      <c r="AD37" t="n">
        <v>11837.8211848247</v>
      </c>
      <c r="AE37" t="n">
        <v>11577.5</v>
      </c>
      <c r="AF37" t="n">
        <v>11392.2</v>
      </c>
    </row>
    <row r="38">
      <c r="A38" t="s">
        <v>151</v>
      </c>
      <c r="B38" t="s">
        <v>346</v>
      </c>
      <c r="C38" t="s">
        <v>217</v>
      </c>
      <c r="D38" t="s">
        <v>347</v>
      </c>
      <c r="E38" t="s">
        <v>218</v>
      </c>
      <c r="F38" t="n">
        <v>114.281879968822</v>
      </c>
      <c r="G38" t="n">
        <v>157.212638731191</v>
      </c>
      <c r="H38" t="n">
        <v>196.444381406691</v>
      </c>
      <c r="I38" t="n">
        <v>239.997449269584</v>
      </c>
      <c r="J38" t="n">
        <v>281.931069526577</v>
      </c>
      <c r="K38" t="n">
        <v>345.484290712354</v>
      </c>
      <c r="L38" t="n">
        <v>396.529425641479</v>
      </c>
      <c r="M38" t="n">
        <v>505.048925062612</v>
      </c>
      <c r="N38" t="n">
        <v>561.05661381026</v>
      </c>
      <c r="O38" t="n">
        <v>622.219008620477</v>
      </c>
      <c r="P38" t="n">
        <v>566.286481632478</v>
      </c>
      <c r="Q38" t="n">
        <v>565.96102963154</v>
      </c>
      <c r="R38" t="n">
        <v>590.085268297556</v>
      </c>
      <c r="S38" t="n">
        <v>558.824044990483</v>
      </c>
      <c r="T38" t="n">
        <v>578.399456303072</v>
      </c>
      <c r="U38" t="n">
        <v>796.985995263844</v>
      </c>
      <c r="V38" t="n">
        <v>794.54693909031</v>
      </c>
      <c r="W38" t="n">
        <v>749.033586089403</v>
      </c>
      <c r="X38" t="n">
        <v>702.833858077965</v>
      </c>
      <c r="Y38" t="n">
        <v>708.073094457895</v>
      </c>
      <c r="Z38" t="n">
        <v>729.190546990624</v>
      </c>
      <c r="AA38" t="n">
        <v>808.188676927936</v>
      </c>
      <c r="AB38" t="n">
        <v>878.012326275235</v>
      </c>
      <c r="AC38" t="n">
        <v>854.317391029593</v>
      </c>
      <c r="AD38" t="n">
        <v>869.854056103109</v>
      </c>
      <c r="AE38" t="n">
        <v>920.5</v>
      </c>
      <c r="AF38" t="n">
        <v>980.9</v>
      </c>
    </row>
    <row r="39">
      <c r="A39" t="s">
        <v>151</v>
      </c>
      <c r="B39" t="s">
        <v>348</v>
      </c>
      <c r="C39" t="s">
        <v>217</v>
      </c>
      <c r="D39" t="s">
        <v>349</v>
      </c>
      <c r="E39" t="s">
        <v>218</v>
      </c>
      <c r="F39" t="n">
        <v>2099.54270639453</v>
      </c>
      <c r="G39" t="n">
        <v>2266.16834004098</v>
      </c>
      <c r="H39" t="n">
        <v>2432.11006978487</v>
      </c>
      <c r="I39" t="n">
        <v>2632.30315518094</v>
      </c>
      <c r="J39" t="n">
        <v>2823.38349922195</v>
      </c>
      <c r="K39" t="n">
        <v>3160.38014118515</v>
      </c>
      <c r="L39" t="n">
        <v>3300.77070021291</v>
      </c>
      <c r="M39" t="n">
        <v>3321.33884238547</v>
      </c>
      <c r="N39" t="n">
        <v>3162.19111452766</v>
      </c>
      <c r="O39" t="n">
        <v>3098.54423327533</v>
      </c>
      <c r="P39" t="n">
        <v>3109.85402716982</v>
      </c>
      <c r="Q39" t="n">
        <v>3245.94127562833</v>
      </c>
      <c r="R39" t="n">
        <v>3416.16955405408</v>
      </c>
      <c r="S39" t="n">
        <v>3591.30229701508</v>
      </c>
      <c r="T39" t="n">
        <v>3620.20720361861</v>
      </c>
      <c r="U39" t="n">
        <v>3529.49489354613</v>
      </c>
      <c r="V39" t="n">
        <v>3569.35524296766</v>
      </c>
      <c r="W39" t="n">
        <v>3516.55579468099</v>
      </c>
      <c r="X39" t="n">
        <v>3750.99910198298</v>
      </c>
      <c r="Y39" t="n">
        <v>3872.19547164888</v>
      </c>
      <c r="Z39" t="n">
        <v>3962.92124636926</v>
      </c>
      <c r="AA39" t="n">
        <v>4104.52826195531</v>
      </c>
      <c r="AB39" t="n">
        <v>4148.70381206206</v>
      </c>
      <c r="AC39" t="n">
        <v>4445.84651444614</v>
      </c>
      <c r="AD39" t="n">
        <v>4704.68857447193</v>
      </c>
      <c r="AE39" t="n">
        <v>4970.3</v>
      </c>
      <c r="AF39" t="n">
        <v>5259.9</v>
      </c>
    </row>
    <row r="40">
      <c r="A40" t="s">
        <v>151</v>
      </c>
      <c r="B40" t="s">
        <v>350</v>
      </c>
      <c r="C40" t="s">
        <v>217</v>
      </c>
      <c r="D40" t="s">
        <v>351</v>
      </c>
      <c r="E40" t="s">
        <v>218</v>
      </c>
      <c r="F40" t="n">
        <v>214313.425965292</v>
      </c>
      <c r="G40" t="n">
        <v>219037.611987717</v>
      </c>
      <c r="H40" t="n">
        <v>222790.066659468</v>
      </c>
      <c r="I40" t="n">
        <v>228825.975897567</v>
      </c>
      <c r="J40" t="n">
        <v>235153.085064662</v>
      </c>
      <c r="K40" t="n">
        <v>241403.026754926</v>
      </c>
      <c r="L40" t="n">
        <v>246644.165237167</v>
      </c>
      <c r="M40" t="n">
        <v>252061.6164077</v>
      </c>
      <c r="N40" t="n">
        <v>259791.876342678</v>
      </c>
      <c r="O40" t="n">
        <v>269836.605153036</v>
      </c>
      <c r="P40" t="n">
        <v>278013.940035348</v>
      </c>
      <c r="Q40" t="n">
        <v>288600.328876474</v>
      </c>
      <c r="R40" t="n">
        <v>301668.217010354</v>
      </c>
      <c r="S40" t="n">
        <v>308787.107611348</v>
      </c>
      <c r="T40" t="n">
        <v>312399.771844394</v>
      </c>
      <c r="U40" t="n">
        <v>312554.917691582</v>
      </c>
      <c r="V40" t="n">
        <v>311977.239887766</v>
      </c>
      <c r="W40" t="n">
        <v>308219.980861525</v>
      </c>
      <c r="X40" t="n">
        <v>302355.384021501</v>
      </c>
      <c r="Y40" t="n">
        <v>294794.282102541</v>
      </c>
      <c r="Z40" t="n">
        <v>286867.767923585</v>
      </c>
      <c r="AA40" t="n">
        <v>279186.453120051</v>
      </c>
      <c r="AB40" t="n">
        <v>271649.637596013</v>
      </c>
      <c r="AC40" t="n">
        <v>264593.904007644</v>
      </c>
      <c r="AD40" t="n">
        <v>258055.217387248</v>
      </c>
      <c r="AE40" t="n">
        <v>252077.1</v>
      </c>
      <c r="AF40" t="n">
        <v>246806.6</v>
      </c>
    </row>
    <row r="41">
      <c r="A41" t="s">
        <v>151</v>
      </c>
      <c r="B41" t="s">
        <v>352</v>
      </c>
      <c r="C41" t="s">
        <v>217</v>
      </c>
      <c r="D41" t="s">
        <v>353</v>
      </c>
      <c r="E41" t="s">
        <v>218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151</v>
      </c>
      <c r="B42" t="s">
        <v>354</v>
      </c>
      <c r="C42" t="s">
        <v>217</v>
      </c>
      <c r="D42" t="s">
        <v>355</v>
      </c>
      <c r="E42" t="s">
        <v>218</v>
      </c>
      <c r="F42" t="n">
        <v>1427.280917834</v>
      </c>
      <c r="G42" t="n">
        <v>1660.77823220685</v>
      </c>
      <c r="H42" t="n">
        <v>1936.889265132</v>
      </c>
      <c r="I42" t="n">
        <v>2211.15241397868</v>
      </c>
      <c r="J42" t="n">
        <v>2497.47503495718</v>
      </c>
      <c r="K42" t="n">
        <v>2926.89274893583</v>
      </c>
      <c r="L42" t="n">
        <v>3231.16997724155</v>
      </c>
      <c r="M42" t="n">
        <v>3368.0715793258</v>
      </c>
      <c r="N42" t="n">
        <v>3821.06239841868</v>
      </c>
      <c r="O42" t="n">
        <v>4198.96966859196</v>
      </c>
      <c r="P42" t="n">
        <v>4236.65402846449</v>
      </c>
      <c r="Q42" t="n">
        <v>4351.25988248204</v>
      </c>
      <c r="R42" t="n">
        <v>4623.31877703803</v>
      </c>
      <c r="S42" t="n">
        <v>4792.94415809224</v>
      </c>
      <c r="T42" t="n">
        <v>4886.24464859901</v>
      </c>
      <c r="U42" t="n">
        <v>4761.73983253838</v>
      </c>
      <c r="V42" t="n">
        <v>4697.46666922127</v>
      </c>
      <c r="W42" t="n">
        <v>4540.1892983132</v>
      </c>
      <c r="X42" t="n">
        <v>4326.42457980764</v>
      </c>
      <c r="Y42" t="n">
        <v>4168.43471799551</v>
      </c>
      <c r="Z42" t="n">
        <v>4081.5636982285</v>
      </c>
      <c r="AA42" t="n">
        <v>3953.85942929421</v>
      </c>
      <c r="AB42" t="n">
        <v>3849.62569472005</v>
      </c>
      <c r="AC42" t="n">
        <v>3675.1197242919</v>
      </c>
      <c r="AD42" t="n">
        <v>3636.27594282156</v>
      </c>
      <c r="AE42" t="n">
        <v>3678.3</v>
      </c>
      <c r="AF42" t="n">
        <v>3763.9</v>
      </c>
    </row>
    <row r="43">
      <c r="A43" t="s">
        <v>151</v>
      </c>
      <c r="B43" t="s">
        <v>356</v>
      </c>
      <c r="C43" t="s">
        <v>217</v>
      </c>
      <c r="D43" t="s">
        <v>357</v>
      </c>
      <c r="E43" t="s">
        <v>218</v>
      </c>
      <c r="F43" t="n">
        <v>2121.10214311222</v>
      </c>
      <c r="G43" t="n">
        <v>2425.53203783061</v>
      </c>
      <c r="H43" t="n">
        <v>2791.96163161064</v>
      </c>
      <c r="I43" t="n">
        <v>3196.79606819418</v>
      </c>
      <c r="J43" t="n">
        <v>3585.96646866631</v>
      </c>
      <c r="K43" t="n">
        <v>4148.21404211906</v>
      </c>
      <c r="L43" t="n">
        <v>4634.53546553849</v>
      </c>
      <c r="M43" t="n">
        <v>4865.80114198599</v>
      </c>
      <c r="N43" t="n">
        <v>5520.1062411967</v>
      </c>
      <c r="O43" t="n">
        <v>6286.18280841435</v>
      </c>
      <c r="P43" t="n">
        <v>7066.50218919581</v>
      </c>
      <c r="Q43" t="n">
        <v>7846.19298741609</v>
      </c>
      <c r="R43" t="n">
        <v>9122.68731022062</v>
      </c>
      <c r="S43" t="n">
        <v>10752.6946622447</v>
      </c>
      <c r="T43" t="n">
        <v>11797.1277584215</v>
      </c>
      <c r="U43" t="n">
        <v>11741.8540973654</v>
      </c>
      <c r="V43" t="n">
        <v>11270.7111331369</v>
      </c>
      <c r="W43" t="n">
        <v>10412.8659021918</v>
      </c>
      <c r="X43" t="n">
        <v>9471.1489501787</v>
      </c>
      <c r="Y43" t="n">
        <v>8904.02012756525</v>
      </c>
      <c r="Z43" t="n">
        <v>8510.58553407097</v>
      </c>
      <c r="AA43" t="n">
        <v>8027.04646213577</v>
      </c>
      <c r="AB43" t="n">
        <v>7632.54308638298</v>
      </c>
      <c r="AC43" t="n">
        <v>7204.2428283747</v>
      </c>
      <c r="AD43" t="n">
        <v>7116.23044299841</v>
      </c>
      <c r="AE43" t="n">
        <v>7025.3</v>
      </c>
      <c r="AF43" t="n">
        <v>7052.3</v>
      </c>
    </row>
    <row r="44">
      <c r="A44" t="s">
        <v>151</v>
      </c>
      <c r="B44" t="s">
        <v>358</v>
      </c>
      <c r="C44" t="s">
        <v>217</v>
      </c>
      <c r="D44" t="s">
        <v>359</v>
      </c>
      <c r="E44" t="s">
        <v>218</v>
      </c>
      <c r="F44" t="n">
        <v>97455.6417259107</v>
      </c>
      <c r="G44" t="n">
        <v>101313.013539747</v>
      </c>
      <c r="H44" t="n">
        <v>105861.988621319</v>
      </c>
      <c r="I44" t="n">
        <v>112272.492504552</v>
      </c>
      <c r="J44" t="n">
        <v>118603.302652383</v>
      </c>
      <c r="K44" t="n">
        <v>125938.41993263</v>
      </c>
      <c r="L44" t="n">
        <v>134884.1673311</v>
      </c>
      <c r="M44" t="n">
        <v>140631.467249</v>
      </c>
      <c r="N44" t="n">
        <v>147464.484380179</v>
      </c>
      <c r="O44" t="n">
        <v>153105.392084775</v>
      </c>
      <c r="P44" t="n">
        <v>157927.963677277</v>
      </c>
      <c r="Q44" t="n">
        <v>165909.015089038</v>
      </c>
      <c r="R44" t="n">
        <v>175600.790821059</v>
      </c>
      <c r="S44" t="n">
        <v>185397.151301316</v>
      </c>
      <c r="T44" t="n">
        <v>190769.396522658</v>
      </c>
      <c r="U44" t="n">
        <v>192938.184310173</v>
      </c>
      <c r="V44" t="n">
        <v>185987.665162914</v>
      </c>
      <c r="W44" t="n">
        <v>180290.111695261</v>
      </c>
      <c r="X44" t="n">
        <v>173379.188120755</v>
      </c>
      <c r="Y44" t="n">
        <v>169098.968952438</v>
      </c>
      <c r="Z44" t="n">
        <v>165508.852493355</v>
      </c>
      <c r="AA44" t="n">
        <v>162546.785626787</v>
      </c>
      <c r="AB44" t="n">
        <v>159593.13258798</v>
      </c>
      <c r="AC44" t="n">
        <v>156560.188612886</v>
      </c>
      <c r="AD44" t="n">
        <v>154052.410193979</v>
      </c>
      <c r="AE44" t="n">
        <v>152022.6</v>
      </c>
      <c r="AF44" t="n">
        <v>151403.1</v>
      </c>
    </row>
    <row r="45">
      <c r="A45" t="s">
        <v>151</v>
      </c>
      <c r="B45" t="s">
        <v>360</v>
      </c>
      <c r="C45" t="s">
        <v>217</v>
      </c>
      <c r="D45" t="s">
        <v>361</v>
      </c>
      <c r="E45" t="s">
        <v>218</v>
      </c>
      <c r="F45" t="n">
        <v>84495.9607486577</v>
      </c>
      <c r="G45" t="n">
        <v>88317.3157598069</v>
      </c>
      <c r="H45" t="n">
        <v>92641.6081543765</v>
      </c>
      <c r="I45" t="n">
        <v>98844.3952680382</v>
      </c>
      <c r="J45" t="n">
        <v>104864.970714581</v>
      </c>
      <c r="K45" t="n">
        <v>111919.818699538</v>
      </c>
      <c r="L45" t="n">
        <v>120518.605989546</v>
      </c>
      <c r="M45" t="n">
        <v>126215.318390966</v>
      </c>
      <c r="N45" t="n">
        <v>132807.853374818</v>
      </c>
      <c r="O45" t="n">
        <v>138156.376789623</v>
      </c>
      <c r="P45" t="n">
        <v>142675.448110437</v>
      </c>
      <c r="Q45" t="n">
        <v>150531.624245694</v>
      </c>
      <c r="R45" t="n">
        <v>159559.540133306</v>
      </c>
      <c r="S45" t="n">
        <v>168512.900469818</v>
      </c>
      <c r="T45" t="n">
        <v>173610.467509766</v>
      </c>
      <c r="U45" t="n">
        <v>175967.38004777</v>
      </c>
      <c r="V45" t="n">
        <v>169535.287979581</v>
      </c>
      <c r="W45" t="n">
        <v>164254.177355423</v>
      </c>
      <c r="X45" t="n">
        <v>157670.265630211</v>
      </c>
      <c r="Y45" t="n">
        <v>153694.078777937</v>
      </c>
      <c r="Z45" t="n">
        <v>150293.791980947</v>
      </c>
      <c r="AA45" t="n">
        <v>147399.5469085</v>
      </c>
      <c r="AB45" t="n">
        <v>144532.318170321</v>
      </c>
      <c r="AC45" t="n">
        <v>141583.96526041</v>
      </c>
      <c r="AD45" t="n">
        <v>139120.85989448</v>
      </c>
      <c r="AE45" t="n">
        <v>137083</v>
      </c>
      <c r="AF45" t="n">
        <v>136277.6</v>
      </c>
    </row>
    <row r="46">
      <c r="A46" t="s">
        <v>151</v>
      </c>
      <c r="B46" t="s">
        <v>362</v>
      </c>
      <c r="C46" t="s">
        <v>217</v>
      </c>
      <c r="D46" t="s">
        <v>363</v>
      </c>
      <c r="E46" t="s">
        <v>218</v>
      </c>
      <c r="F46" t="n">
        <v>702.614103679702</v>
      </c>
      <c r="G46" t="n">
        <v>777.512053818147</v>
      </c>
      <c r="H46" t="n">
        <v>871.749188134788</v>
      </c>
      <c r="I46" t="n">
        <v>1004.4210701477</v>
      </c>
      <c r="J46" t="n">
        <v>1110.17227534606</v>
      </c>
      <c r="K46" t="n">
        <v>1247.91937481404</v>
      </c>
      <c r="L46" t="n">
        <v>1431.23646239983</v>
      </c>
      <c r="M46" t="n">
        <v>1526.0568814245</v>
      </c>
      <c r="N46" t="n">
        <v>1731.18373508219</v>
      </c>
      <c r="O46" t="n">
        <v>2117.30843955799</v>
      </c>
      <c r="P46" t="n">
        <v>2846.73390474643</v>
      </c>
      <c r="Q46" t="n">
        <v>3508.01345121121</v>
      </c>
      <c r="R46" t="n">
        <v>4512.00361498299</v>
      </c>
      <c r="S46" t="n">
        <v>5969.96694001817</v>
      </c>
      <c r="T46" t="n">
        <v>6924.24334113372</v>
      </c>
      <c r="U46" t="n">
        <v>6993.74569430417</v>
      </c>
      <c r="V46" t="n">
        <v>6585.63992559692</v>
      </c>
      <c r="W46" t="n">
        <v>5880.71948506761</v>
      </c>
      <c r="X46" t="n">
        <v>5147.57442719011</v>
      </c>
      <c r="Y46" t="n">
        <v>4736.64972847218</v>
      </c>
      <c r="Z46" t="n">
        <v>4429.27549955422</v>
      </c>
      <c r="AA46" t="n">
        <v>4073.75964259423</v>
      </c>
      <c r="AB46" t="n">
        <v>3783.65630203057</v>
      </c>
      <c r="AC46" t="n">
        <v>3529.59013300345</v>
      </c>
      <c r="AD46" t="n">
        <v>3480.39166442431</v>
      </c>
      <c r="AE46" t="n">
        <v>3347</v>
      </c>
      <c r="AF46" t="n">
        <v>3288.4</v>
      </c>
    </row>
    <row r="47">
      <c r="A47" t="s">
        <v>151</v>
      </c>
      <c r="B47" t="s">
        <v>364</v>
      </c>
      <c r="C47" t="s">
        <v>217</v>
      </c>
      <c r="D47" t="s">
        <v>365</v>
      </c>
      <c r="E47" t="s">
        <v>218</v>
      </c>
      <c r="F47" t="n">
        <v>59924.2158426871</v>
      </c>
      <c r="G47" t="n">
        <v>60801.9868490888</v>
      </c>
      <c r="H47" t="n">
        <v>61683.0671291231</v>
      </c>
      <c r="I47" t="n">
        <v>64015.9515893247</v>
      </c>
      <c r="J47" t="n">
        <v>66229.713224298</v>
      </c>
      <c r="K47" t="n">
        <v>67737.7593886212</v>
      </c>
      <c r="L47" t="n">
        <v>69870.64616525</v>
      </c>
      <c r="M47" t="n">
        <v>72520.283087871</v>
      </c>
      <c r="N47" t="n">
        <v>76619.0040823997</v>
      </c>
      <c r="O47" t="n">
        <v>79480.0318235857</v>
      </c>
      <c r="P47" t="n">
        <v>79563.359447533</v>
      </c>
      <c r="Q47" t="n">
        <v>81849.0324255364</v>
      </c>
      <c r="R47" t="n">
        <v>83913.3933964594</v>
      </c>
      <c r="S47" t="n">
        <v>87184.7203437177</v>
      </c>
      <c r="T47" t="n">
        <v>91629.5219634968</v>
      </c>
      <c r="U47" t="n">
        <v>91782.54968947</v>
      </c>
      <c r="V47" t="n">
        <v>89941.2667507394</v>
      </c>
      <c r="W47" t="n">
        <v>88022.6805047184</v>
      </c>
      <c r="X47" t="n">
        <v>87517.6338768198</v>
      </c>
      <c r="Y47" t="n">
        <v>87828.0266984475</v>
      </c>
      <c r="Z47" t="n">
        <v>88125.4665202316</v>
      </c>
      <c r="AA47" t="n">
        <v>88108.351916961</v>
      </c>
      <c r="AB47" t="n">
        <v>89739.787764511</v>
      </c>
      <c r="AC47" t="n">
        <v>89131.4724934068</v>
      </c>
      <c r="AD47" t="n">
        <v>87320.4642759575</v>
      </c>
      <c r="AE47" t="n">
        <v>86148.9</v>
      </c>
      <c r="AF47" t="n">
        <v>86133.9</v>
      </c>
    </row>
    <row r="48">
      <c r="A48" t="s">
        <v>151</v>
      </c>
      <c r="B48" t="s">
        <v>366</v>
      </c>
      <c r="C48" t="s">
        <v>217</v>
      </c>
      <c r="D48" t="s">
        <v>367</v>
      </c>
      <c r="E48" t="s">
        <v>218</v>
      </c>
      <c r="F48" t="n">
        <v>68196.3434914621</v>
      </c>
      <c r="G48" t="n">
        <v>69827.4308571559</v>
      </c>
      <c r="H48" t="n">
        <v>71562.6834272353</v>
      </c>
      <c r="I48" t="n">
        <v>74836.1972801797</v>
      </c>
      <c r="J48" t="n">
        <v>78123.6582796554</v>
      </c>
      <c r="K48" t="n">
        <v>80752.1896733103</v>
      </c>
      <c r="L48" t="n">
        <v>83813.2758827704</v>
      </c>
      <c r="M48" t="n">
        <v>87040.9346637339</v>
      </c>
      <c r="N48" t="n">
        <v>92163.8504669767</v>
      </c>
      <c r="O48" t="n">
        <v>95768.1710196358</v>
      </c>
      <c r="P48" t="n">
        <v>96460.9727183038</v>
      </c>
      <c r="Q48" t="n">
        <v>99306.9092959267</v>
      </c>
      <c r="R48" t="n">
        <v>101543.166499795</v>
      </c>
      <c r="S48" t="n">
        <v>105077.993052736</v>
      </c>
      <c r="T48" t="n">
        <v>109477.776521575</v>
      </c>
      <c r="U48" t="n">
        <v>109205.593657611</v>
      </c>
      <c r="V48" t="n">
        <v>106734.37914871</v>
      </c>
      <c r="W48" t="n">
        <v>104240.275466718</v>
      </c>
      <c r="X48" t="n">
        <v>103381.246808963</v>
      </c>
      <c r="Y48" t="n">
        <v>103290.112482526</v>
      </c>
      <c r="Z48" t="n">
        <v>103284.584762025</v>
      </c>
      <c r="AA48" t="n">
        <v>102837.34029815</v>
      </c>
      <c r="AB48" t="n">
        <v>104094.293303749</v>
      </c>
      <c r="AC48" t="n">
        <v>103229.93251524</v>
      </c>
      <c r="AD48" t="n">
        <v>101294.941896221</v>
      </c>
      <c r="AE48" t="n">
        <v>100059.6</v>
      </c>
      <c r="AF48" t="n">
        <v>100046.1</v>
      </c>
    </row>
    <row r="49">
      <c r="A49" t="s">
        <v>151</v>
      </c>
      <c r="B49" t="s">
        <v>368</v>
      </c>
      <c r="C49" t="s">
        <v>217</v>
      </c>
      <c r="D49" t="s">
        <v>369</v>
      </c>
      <c r="E49" t="s">
        <v>218</v>
      </c>
      <c r="F49" t="n">
        <v>6162.20459963793</v>
      </c>
      <c r="G49" t="n">
        <v>6720.18836659026</v>
      </c>
      <c r="H49" t="n">
        <v>7350.23380713934</v>
      </c>
      <c r="I49" t="n">
        <v>8025.40430118912</v>
      </c>
      <c r="J49" t="n">
        <v>8826.80611506845</v>
      </c>
      <c r="K49" t="n">
        <v>9604.46489001089</v>
      </c>
      <c r="L49" t="n">
        <v>10077.0123464971</v>
      </c>
      <c r="M49" t="n">
        <v>10278.7986486366</v>
      </c>
      <c r="N49" t="n">
        <v>10892.5508608886</v>
      </c>
      <c r="O49" t="n">
        <v>11311.0789486489</v>
      </c>
      <c r="P49" t="n">
        <v>11629.9083162928</v>
      </c>
      <c r="Q49" t="n">
        <v>12104.5865165673</v>
      </c>
      <c r="R49" t="n">
        <v>12221.1176179261</v>
      </c>
      <c r="S49" t="n">
        <v>12417.8562137171</v>
      </c>
      <c r="T49" t="n">
        <v>12304.0976168421</v>
      </c>
      <c r="U49" t="n">
        <v>12018.5148501779</v>
      </c>
      <c r="V49" t="n">
        <v>11615.6471692318</v>
      </c>
      <c r="W49" t="n">
        <v>11274.1759907218</v>
      </c>
      <c r="X49" t="n">
        <v>11115.069172677</v>
      </c>
      <c r="Y49" t="n">
        <v>10906.4237235957</v>
      </c>
      <c r="Z49" t="n">
        <v>10686.8929601059</v>
      </c>
      <c r="AA49" t="n">
        <v>10383.7964395018</v>
      </c>
      <c r="AB49" t="n">
        <v>9998.31513335425</v>
      </c>
      <c r="AC49" t="n">
        <v>9718.23769762754</v>
      </c>
      <c r="AD49" t="n">
        <v>9545.8787901128</v>
      </c>
      <c r="AE49" t="n">
        <v>9459.8</v>
      </c>
      <c r="AF49" t="n">
        <v>9398.3</v>
      </c>
    </row>
    <row r="50">
      <c r="A50" t="s">
        <v>151</v>
      </c>
      <c r="B50" t="s">
        <v>370</v>
      </c>
      <c r="C50" t="s">
        <v>217</v>
      </c>
      <c r="D50" t="s">
        <v>371</v>
      </c>
      <c r="E50" t="s">
        <v>218</v>
      </c>
      <c r="F50" t="n">
        <v>2156.81630405099</v>
      </c>
      <c r="G50" t="n">
        <v>2355.37379999117</v>
      </c>
      <c r="H50" t="n">
        <v>2578.48225143821</v>
      </c>
      <c r="I50" t="n">
        <v>2843.42206342224</v>
      </c>
      <c r="J50" t="n">
        <v>3109.00102631357</v>
      </c>
      <c r="K50" t="n">
        <v>3442.99580778262</v>
      </c>
      <c r="L50" t="n">
        <v>3895.69096841295</v>
      </c>
      <c r="M50" t="n">
        <v>4271.58822558655</v>
      </c>
      <c r="N50" t="n">
        <v>4685.40089756517</v>
      </c>
      <c r="O50" t="n">
        <v>5013.95989958958</v>
      </c>
      <c r="P50" t="n">
        <v>5313.9800823707</v>
      </c>
      <c r="Q50" t="n">
        <v>5398.02446393819</v>
      </c>
      <c r="R50" t="n">
        <v>5450.23143786542</v>
      </c>
      <c r="S50" t="n">
        <v>5510.72621401577</v>
      </c>
      <c r="T50" t="n">
        <v>5570.92956240708</v>
      </c>
      <c r="U50" t="n">
        <v>5423.49046568214</v>
      </c>
      <c r="V50" t="n">
        <v>5188.72882854827</v>
      </c>
      <c r="W50" t="n">
        <v>4950.85511002653</v>
      </c>
      <c r="X50" t="n">
        <v>4751.84466437</v>
      </c>
      <c r="Y50" t="n">
        <v>4554.56941101081</v>
      </c>
      <c r="Z50" t="n">
        <v>4470.54364718346</v>
      </c>
      <c r="AA50" t="n">
        <v>4343.7126755072</v>
      </c>
      <c r="AB50" t="n">
        <v>4355.52032128826</v>
      </c>
      <c r="AC50" t="n">
        <v>4380.22157078561</v>
      </c>
      <c r="AD50" t="n">
        <v>4428.83635017832</v>
      </c>
      <c r="AE50" t="n">
        <v>4451</v>
      </c>
      <c r="AF50" t="n">
        <v>4513.9</v>
      </c>
    </row>
    <row r="51">
      <c r="A51" t="s">
        <v>151</v>
      </c>
      <c r="B51" t="s">
        <v>372</v>
      </c>
      <c r="C51" t="s">
        <v>217</v>
      </c>
      <c r="D51" t="s">
        <v>373</v>
      </c>
      <c r="E51" t="s">
        <v>218</v>
      </c>
      <c r="F51" t="n">
        <v>1964.25368561686</v>
      </c>
      <c r="G51" t="n">
        <v>2127.52918089483</v>
      </c>
      <c r="H51" t="n">
        <v>2311.42545708735</v>
      </c>
      <c r="I51" t="n">
        <v>2532.49427262009</v>
      </c>
      <c r="J51" t="n">
        <v>2775.97784341291</v>
      </c>
      <c r="K51" t="n">
        <v>3088.2413381297</v>
      </c>
      <c r="L51" t="n">
        <v>3509.72109586581</v>
      </c>
      <c r="M51" t="n">
        <v>3859.60207911452</v>
      </c>
      <c r="N51" t="n">
        <v>4242.92460761812</v>
      </c>
      <c r="O51" t="n">
        <v>4544.38245834957</v>
      </c>
      <c r="P51" t="n">
        <v>4751.30722796079</v>
      </c>
      <c r="Q51" t="n">
        <v>4738.29186795837</v>
      </c>
      <c r="R51" t="n">
        <v>4744.78533400773</v>
      </c>
      <c r="S51" t="n">
        <v>4734.28633202147</v>
      </c>
      <c r="T51" t="n">
        <v>4778.18776912784</v>
      </c>
      <c r="U51" t="n">
        <v>4655.67730592594</v>
      </c>
      <c r="V51" t="n">
        <v>4441.74469062567</v>
      </c>
      <c r="W51" t="n">
        <v>4229.58346683794</v>
      </c>
      <c r="X51" t="n">
        <v>4045.06103509869</v>
      </c>
      <c r="Y51" t="n">
        <v>3875.09558764193</v>
      </c>
      <c r="Z51" t="n">
        <v>3808.91599187257</v>
      </c>
      <c r="AA51" t="n">
        <v>3699.28689535753</v>
      </c>
      <c r="AB51" t="n">
        <v>3736.61198765272</v>
      </c>
      <c r="AC51" t="n">
        <v>3783.10964806426</v>
      </c>
      <c r="AD51" t="n">
        <v>3857.57795239314</v>
      </c>
      <c r="AE51" t="n">
        <v>3899.8</v>
      </c>
      <c r="AF51" t="n">
        <v>3979.7</v>
      </c>
    </row>
    <row r="52">
      <c r="A52" t="s">
        <v>151</v>
      </c>
      <c r="B52" t="s">
        <v>374</v>
      </c>
      <c r="C52" t="s">
        <v>217</v>
      </c>
      <c r="D52" t="s">
        <v>375</v>
      </c>
      <c r="E52" t="s">
        <v>218</v>
      </c>
      <c r="F52" t="n">
        <v>180.62574093879</v>
      </c>
      <c r="G52" t="n">
        <v>217.153557975774</v>
      </c>
      <c r="H52" t="n">
        <v>257.665245613214</v>
      </c>
      <c r="I52" t="n">
        <v>302.691596614312</v>
      </c>
      <c r="J52" t="n">
        <v>323.1285755541</v>
      </c>
      <c r="K52" t="n">
        <v>342.071438341879</v>
      </c>
      <c r="L52" t="n">
        <v>369.736362025897</v>
      </c>
      <c r="M52" t="n">
        <v>392.823240703755</v>
      </c>
      <c r="N52" t="n">
        <v>420.358107331654</v>
      </c>
      <c r="O52" t="n">
        <v>445.457428931906</v>
      </c>
      <c r="P52" t="n">
        <v>544.349641860916</v>
      </c>
      <c r="Q52" t="n">
        <v>650.862500705434</v>
      </c>
      <c r="R52" t="n">
        <v>700.339542200942</v>
      </c>
      <c r="S52" t="n">
        <v>777.421926388155</v>
      </c>
      <c r="T52" t="n">
        <v>794.525003941419</v>
      </c>
      <c r="U52" t="n">
        <v>769.124984322239</v>
      </c>
      <c r="V52" t="n">
        <v>747.73479056022</v>
      </c>
      <c r="W52" t="n">
        <v>721.733969949477</v>
      </c>
      <c r="X52" t="n">
        <v>706.839251133905</v>
      </c>
      <c r="Y52" t="n">
        <v>679.48140886451</v>
      </c>
      <c r="Z52" t="n">
        <v>661.697498992913</v>
      </c>
      <c r="AA52" t="n">
        <v>644.48742951238</v>
      </c>
      <c r="AB52" t="n">
        <v>618.972091129263</v>
      </c>
      <c r="AC52" t="n">
        <v>597.155451538935</v>
      </c>
      <c r="AD52" t="n">
        <v>571.296354072193</v>
      </c>
      <c r="AE52" t="n">
        <v>551.2</v>
      </c>
      <c r="AF52" t="n">
        <v>534.2</v>
      </c>
    </row>
    <row r="53">
      <c r="A53" t="s">
        <v>151</v>
      </c>
      <c r="B53" t="s">
        <v>376</v>
      </c>
      <c r="C53" t="s">
        <v>217</v>
      </c>
      <c r="D53" t="s">
        <v>377</v>
      </c>
      <c r="E53" t="s">
        <v>218</v>
      </c>
      <c r="F53" t="n">
        <v>1924.69370421687</v>
      </c>
      <c r="G53" t="n">
        <v>2058.77897990199</v>
      </c>
      <c r="H53" t="n">
        <v>2219.4541201007</v>
      </c>
      <c r="I53" t="n">
        <v>2385.19696835818</v>
      </c>
      <c r="J53" t="n">
        <v>2601.90471304181</v>
      </c>
      <c r="K53" t="n">
        <v>2819.77904559663</v>
      </c>
      <c r="L53" t="n">
        <v>3146.17683288695</v>
      </c>
      <c r="M53" t="n">
        <v>3684.22367166502</v>
      </c>
      <c r="N53" t="n">
        <v>4245.39681370671</v>
      </c>
      <c r="O53" t="n">
        <v>4647.83136921191</v>
      </c>
      <c r="P53" t="n">
        <v>4757.08070784287</v>
      </c>
      <c r="Q53" t="n">
        <v>4863.11306893411</v>
      </c>
      <c r="R53" t="n">
        <v>4883.81838836885</v>
      </c>
      <c r="S53" t="n">
        <v>4996.89371690832</v>
      </c>
      <c r="T53" t="n">
        <v>4976.37317002858</v>
      </c>
      <c r="U53" t="n">
        <v>4878.49614500947</v>
      </c>
      <c r="V53" t="n">
        <v>4712.22592778011</v>
      </c>
      <c r="W53" t="n">
        <v>4549.75821858335</v>
      </c>
      <c r="X53" t="n">
        <v>4475.54075624721</v>
      </c>
      <c r="Y53" t="n">
        <v>4376.76426653023</v>
      </c>
      <c r="Z53" t="n">
        <v>4276.14001272951</v>
      </c>
      <c r="AA53" t="n">
        <v>4188.0223612266</v>
      </c>
      <c r="AB53" t="n">
        <v>4056.36012346076</v>
      </c>
      <c r="AC53" t="n">
        <v>3954.31206697533</v>
      </c>
      <c r="AD53" t="n">
        <v>3842.82582355777</v>
      </c>
      <c r="AE53" t="n">
        <v>3738.3</v>
      </c>
      <c r="AF53" t="n">
        <v>3664.8</v>
      </c>
    </row>
    <row r="54">
      <c r="A54" t="s">
        <v>151</v>
      </c>
      <c r="B54" t="s">
        <v>378</v>
      </c>
      <c r="C54" t="s">
        <v>217</v>
      </c>
      <c r="D54" t="s">
        <v>379</v>
      </c>
      <c r="E54" t="s">
        <v>218</v>
      </c>
      <c r="F54" t="n">
        <v>3203.81836493639</v>
      </c>
      <c r="G54" t="n">
        <v>3807.62516304215</v>
      </c>
      <c r="H54" t="n">
        <v>4452.84462535149</v>
      </c>
      <c r="I54" t="n">
        <v>5116.7454083281</v>
      </c>
      <c r="J54" t="n">
        <v>5851.42023040507</v>
      </c>
      <c r="K54" t="n">
        <v>6737.17963721623</v>
      </c>
      <c r="L54" t="n">
        <v>6840.54706803888</v>
      </c>
      <c r="M54" t="n">
        <v>7120.530085103</v>
      </c>
      <c r="N54" t="n">
        <v>7439.33676242249</v>
      </c>
      <c r="O54" t="n">
        <v>7707.60377897316</v>
      </c>
      <c r="P54" t="n">
        <v>7772.46640655674</v>
      </c>
      <c r="Q54" t="n">
        <v>7856.29359446295</v>
      </c>
      <c r="R54" t="n">
        <v>7924.34920321771</v>
      </c>
      <c r="S54" t="n">
        <v>8101.94205569716</v>
      </c>
      <c r="T54" t="n">
        <v>8830.66839373265</v>
      </c>
      <c r="U54" t="n">
        <v>9203.60118708068</v>
      </c>
      <c r="V54" t="n">
        <v>8806.7771130116</v>
      </c>
      <c r="W54" t="n">
        <v>8405.42646961336</v>
      </c>
      <c r="X54" t="n">
        <v>8138.37543730866</v>
      </c>
      <c r="Y54" t="n">
        <v>7931.31287452943</v>
      </c>
      <c r="Z54" t="n">
        <v>7779.99306233941</v>
      </c>
      <c r="AA54" t="n">
        <v>7585.99512593403</v>
      </c>
      <c r="AB54" t="n">
        <v>7342.60601577564</v>
      </c>
      <c r="AC54" t="n">
        <v>7076.86520637454</v>
      </c>
      <c r="AD54" t="n">
        <v>6819.62285140195</v>
      </c>
      <c r="AE54" t="n">
        <v>6575.4</v>
      </c>
      <c r="AF54" t="n">
        <v>6379.4</v>
      </c>
    </row>
    <row r="55">
      <c r="A55" t="s">
        <v>151</v>
      </c>
      <c r="B55" t="s">
        <v>380</v>
      </c>
      <c r="C55" t="s">
        <v>217</v>
      </c>
      <c r="D55" t="s">
        <v>381</v>
      </c>
      <c r="E55" t="s">
        <v>218</v>
      </c>
      <c r="F55" t="n">
        <v>1373.37523733169</v>
      </c>
      <c r="G55" t="n">
        <v>1767.96679666126</v>
      </c>
      <c r="H55" t="n">
        <v>2179.98220231291</v>
      </c>
      <c r="I55" t="n">
        <v>2604.24726679775</v>
      </c>
      <c r="J55" t="n">
        <v>3054.13510368097</v>
      </c>
      <c r="K55" t="n">
        <v>3623.42516365749</v>
      </c>
      <c r="L55" t="n">
        <v>3506.22981527281</v>
      </c>
      <c r="M55" t="n">
        <v>3399.37844172828</v>
      </c>
      <c r="N55" t="n">
        <v>3306.59866672072</v>
      </c>
      <c r="O55" t="n">
        <v>3270.98619700387</v>
      </c>
      <c r="P55" t="n">
        <v>3254.60449436473</v>
      </c>
      <c r="Q55" t="n">
        <v>3255.49672556472</v>
      </c>
      <c r="R55" t="n">
        <v>3297.1834140125</v>
      </c>
      <c r="S55" t="n">
        <v>3368.79704802529</v>
      </c>
      <c r="T55" t="n">
        <v>3966.98805424697</v>
      </c>
      <c r="U55" t="n">
        <v>4328.02142565322</v>
      </c>
      <c r="V55" t="n">
        <v>4096.32070612137</v>
      </c>
      <c r="W55" t="n">
        <v>3856.67448972413</v>
      </c>
      <c r="X55" t="n">
        <v>3662.91811583846</v>
      </c>
      <c r="Y55" t="n">
        <v>3554.46596843193</v>
      </c>
      <c r="Z55" t="n">
        <v>3503.86893773062</v>
      </c>
      <c r="AA55" t="n">
        <v>3397.97131531496</v>
      </c>
      <c r="AB55" t="n">
        <v>3286.2415131363</v>
      </c>
      <c r="AC55" t="n">
        <v>3122.55092044012</v>
      </c>
      <c r="AD55" t="n">
        <v>2976.77384680491</v>
      </c>
      <c r="AE55" t="n">
        <v>2837.1</v>
      </c>
      <c r="AF55" t="n">
        <v>2714.6</v>
      </c>
    </row>
    <row r="56">
      <c r="A56" t="s">
        <v>151</v>
      </c>
      <c r="B56" t="s">
        <v>382</v>
      </c>
      <c r="C56" t="s">
        <v>217</v>
      </c>
      <c r="D56" t="s">
        <v>383</v>
      </c>
      <c r="E56" t="s">
        <v>218</v>
      </c>
      <c r="F56" t="e">
        <v>#NUM!</v>
      </c>
      <c r="G56" t="e">
        <v>#NUM!</v>
      </c>
      <c r="H56" t="e">
        <v>#NUM!</v>
      </c>
      <c r="I56" t="e">
        <v>#NUM!</v>
      </c>
      <c r="J56" t="e">
        <v>#NUM!</v>
      </c>
      <c r="K56" t="e">
        <v>#NUM!</v>
      </c>
      <c r="L56" t="e">
        <v>#NUM!</v>
      </c>
      <c r="M56" t="e">
        <v>#NUM!</v>
      </c>
      <c r="N56" t="e">
        <v>#NUM!</v>
      </c>
      <c r="O56" t="e">
        <v>#NUM!</v>
      </c>
      <c r="P56" t="e">
        <v>#NUM!</v>
      </c>
      <c r="Q56" t="e">
        <v>#NUM!</v>
      </c>
      <c r="R56" t="e">
        <v>#NUM!</v>
      </c>
      <c r="S56" t="e">
        <v>#NUM!</v>
      </c>
      <c r="T56" t="e">
        <v>#NUM!</v>
      </c>
      <c r="U56" t="e">
        <v>#NUM!</v>
      </c>
      <c r="V56" t="e">
        <v>#NUM!</v>
      </c>
      <c r="W56" t="e">
        <v>#NUM!</v>
      </c>
      <c r="X56" t="e">
        <v>#NUM!</v>
      </c>
      <c r="Y56" t="e">
        <v>#NUM!</v>
      </c>
      <c r="Z56" t="e">
        <v>#NUM!</v>
      </c>
      <c r="AA56" t="e">
        <v>#NUM!</v>
      </c>
      <c r="AB56" t="e">
        <v>#NUM!</v>
      </c>
      <c r="AC56" t="e">
        <v>#NUM!</v>
      </c>
      <c r="AD56" t="e">
        <v>#NUM!</v>
      </c>
      <c r="AE56" t="n">
        <v>0</v>
      </c>
      <c r="AF56" t="e">
        <v>#NUM!</v>
      </c>
    </row>
    <row r="57">
      <c r="A57" t="s">
        <v>151</v>
      </c>
      <c r="B57" t="s">
        <v>384</v>
      </c>
      <c r="C57" t="s">
        <v>217</v>
      </c>
      <c r="D57" t="s">
        <v>385</v>
      </c>
      <c r="E57" t="s">
        <v>218</v>
      </c>
      <c r="F57" t="n">
        <v>379754.753191127</v>
      </c>
      <c r="G57" t="n">
        <v>390015.053230099</v>
      </c>
      <c r="H57" t="n">
        <v>400124.682990564</v>
      </c>
      <c r="I57" t="n">
        <v>415903.93703026</v>
      </c>
      <c r="J57" t="n">
        <v>431880.668064046</v>
      </c>
      <c r="K57" t="n">
        <v>448122.259369379</v>
      </c>
      <c r="L57" t="n">
        <v>465400.083173865</v>
      </c>
      <c r="M57" t="n">
        <v>479782.09709208</v>
      </c>
      <c r="N57" t="n">
        <v>499403.488864132</v>
      </c>
      <c r="O57" t="n">
        <v>518692.209288144</v>
      </c>
      <c r="P57" t="n">
        <v>532443.918456553</v>
      </c>
      <c r="Q57" t="n">
        <v>553845.837100695</v>
      </c>
      <c r="R57" t="n">
        <v>578851.994282458</v>
      </c>
      <c r="S57" t="n">
        <v>599101.240422553</v>
      </c>
      <c r="T57" t="n">
        <v>612296.640437681</v>
      </c>
      <c r="U57" t="n">
        <v>614310.508194695</v>
      </c>
      <c r="V57" t="n">
        <v>604596.186045313</v>
      </c>
      <c r="W57" t="n">
        <v>592764.935097828</v>
      </c>
      <c r="X57" t="n">
        <v>579217.979536121</v>
      </c>
      <c r="Y57" t="n">
        <v>567260.108883727</v>
      </c>
      <c r="Z57" t="n">
        <v>555704.316452506</v>
      </c>
      <c r="AA57" t="n">
        <v>544592.89384429</v>
      </c>
      <c r="AB57" t="n">
        <v>535345.261788486</v>
      </c>
      <c r="AC57" t="n">
        <v>524386.34407932</v>
      </c>
      <c r="AD57" t="n">
        <v>513402.318337605</v>
      </c>
      <c r="AE57" t="n">
        <v>504159.4</v>
      </c>
      <c r="AF57" t="n">
        <v>498255.8</v>
      </c>
    </row>
    <row r="58">
      <c r="A58" t="s">
        <v>151</v>
      </c>
      <c r="B58" t="s">
        <v>386</v>
      </c>
      <c r="C58" t="s">
        <v>217</v>
      </c>
      <c r="D58" t="s">
        <v>387</v>
      </c>
      <c r="E58" t="s">
        <v>218</v>
      </c>
      <c r="F58" t="n">
        <v>379754.753191127</v>
      </c>
      <c r="G58" t="n">
        <v>390015.053230099</v>
      </c>
      <c r="H58" t="n">
        <v>400124.682990564</v>
      </c>
      <c r="I58" t="n">
        <v>415903.93703026</v>
      </c>
      <c r="J58" t="n">
        <v>431880.668064046</v>
      </c>
      <c r="K58" t="n">
        <v>448122.259369379</v>
      </c>
      <c r="L58" t="n">
        <v>465400.083173865</v>
      </c>
      <c r="M58" t="n">
        <v>479782.09709208</v>
      </c>
      <c r="N58" t="n">
        <v>499403.488864132</v>
      </c>
      <c r="O58" t="n">
        <v>518692.209288144</v>
      </c>
      <c r="P58" t="n">
        <v>532443.918456553</v>
      </c>
      <c r="Q58" t="n">
        <v>553845.837100695</v>
      </c>
      <c r="R58" t="n">
        <v>578851.994282458</v>
      </c>
      <c r="S58" t="n">
        <v>599101.240422553</v>
      </c>
      <c r="T58" t="n">
        <v>612296.640437681</v>
      </c>
      <c r="U58" t="n">
        <v>614310.508194695</v>
      </c>
      <c r="V58" t="n">
        <v>604596.186045313</v>
      </c>
      <c r="W58" t="n">
        <v>592764.935097828</v>
      </c>
      <c r="X58" t="n">
        <v>579217.979536121</v>
      </c>
      <c r="Y58" t="n">
        <v>567260.108883727</v>
      </c>
      <c r="Z58" t="n">
        <v>555704.316452506</v>
      </c>
      <c r="AA58" t="n">
        <v>544592.89384429</v>
      </c>
      <c r="AB58" t="n">
        <v>535345.261788486</v>
      </c>
      <c r="AC58" t="n">
        <v>524386.34407932</v>
      </c>
      <c r="AD58" t="n">
        <v>513402.318337605</v>
      </c>
      <c r="AE58" t="n">
        <v>504159.4</v>
      </c>
      <c r="AF58" t="n">
        <v>498255.8</v>
      </c>
    </row>
    <row r="59">
      <c r="A59" t="s">
        <v>151</v>
      </c>
      <c r="B59" t="s">
        <v>388</v>
      </c>
      <c r="C59" t="s">
        <v>217</v>
      </c>
      <c r="D59" t="s">
        <v>389</v>
      </c>
      <c r="E59" t="s">
        <v>218</v>
      </c>
      <c r="F59" t="e">
        <v>#NUM!</v>
      </c>
      <c r="G59" t="e">
        <v>#NUM!</v>
      </c>
      <c r="H59" t="e">
        <v>#NUM!</v>
      </c>
      <c r="I59" t="e">
        <v>#NUM!</v>
      </c>
      <c r="J59" t="e">
        <v>#NUM!</v>
      </c>
      <c r="K59" t="e">
        <v>#NUM!</v>
      </c>
      <c r="L59" t="e">
        <v>#NUM!</v>
      </c>
      <c r="M59" t="e">
        <v>#NUM!</v>
      </c>
      <c r="N59" t="e">
        <v>#NUM!</v>
      </c>
      <c r="O59" t="e">
        <v>#NUM!</v>
      </c>
      <c r="P59" t="e">
        <v>#NUM!</v>
      </c>
      <c r="Q59" t="e">
        <v>#NUM!</v>
      </c>
      <c r="R59" t="e">
        <v>#NUM!</v>
      </c>
      <c r="S59" t="e">
        <v>#NUM!</v>
      </c>
      <c r="T59" t="e">
        <v>#NUM!</v>
      </c>
      <c r="U59" t="e">
        <v>#NUM!</v>
      </c>
      <c r="V59" t="e">
        <v>#NUM!</v>
      </c>
      <c r="W59" t="e">
        <v>#NUM!</v>
      </c>
      <c r="X59" t="e">
        <v>#NUM!</v>
      </c>
      <c r="Y59" t="e">
        <v>#NUM!</v>
      </c>
      <c r="Z59" t="e">
        <v>#NUM!</v>
      </c>
      <c r="AA59" t="e">
        <v>#NUM!</v>
      </c>
      <c r="AB59" t="e">
        <v>#NUM!</v>
      </c>
      <c r="AC59" t="e">
        <v>#NUM!</v>
      </c>
      <c r="AD59" t="e">
        <v>#NUM!</v>
      </c>
      <c r="AE59" t="n">
        <v>0</v>
      </c>
      <c r="AF59" t="e">
        <v>#NUM!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legend</dc:creator>
  <cp:lastModifiedBy>legend</cp:lastModifiedBy>
  <dcterms:created xsi:type="dcterms:W3CDTF">2025-01-07T18:47:01Z</dcterms:created>
</coreProperties>
</file>
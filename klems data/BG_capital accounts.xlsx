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egend" sheetId="1" state="visible" r:id="rId1"/>
    <sheet name="I_IT" sheetId="772" state="visible" r:id="rId2"/>
    <sheet name="I_CT" sheetId="773" state="visible" r:id="rId3"/>
    <sheet name="I_Soft_DB" sheetId="774" state="visible" r:id="rId4"/>
    <sheet name="I_TraEq" sheetId="775" state="visible" r:id="rId5"/>
    <sheet name="I_OMach" sheetId="776" state="visible" r:id="rId6"/>
    <sheet name="I_OCon" sheetId="777" state="visible" r:id="rId7"/>
    <sheet name="I_Rstruc" sheetId="778" state="visible" r:id="rId8"/>
    <sheet name="I_Cult" sheetId="779" state="visible" r:id="rId9"/>
    <sheet name="I_RD" sheetId="780" state="visible" r:id="rId10"/>
    <sheet name="I_OIPP" sheetId="781" state="visible" r:id="rId11"/>
    <sheet name="I_GFCF" sheetId="782" state="visible" r:id="rId12"/>
    <sheet name="Ipyp_IT" sheetId="783" state="visible" r:id="rId13"/>
    <sheet name="Ipyp_CT" sheetId="784" state="visible" r:id="rId14"/>
    <sheet name="Ipyp_Soft_DB" sheetId="785" state="visible" r:id="rId15"/>
    <sheet name="Ipyp_TraEq" sheetId="786" state="visible" r:id="rId16"/>
    <sheet name="Ipyp_OMach" sheetId="787" state="visible" r:id="rId17"/>
    <sheet name="Ipyp_OCon" sheetId="788" state="visible" r:id="rId18"/>
    <sheet name="Ipyp_Rstruc" sheetId="789" state="visible" r:id="rId19"/>
    <sheet name="Ipyp_Cult" sheetId="790" state="visible" r:id="rId20"/>
    <sheet name="Ipyp_RD" sheetId="791" state="visible" r:id="rId21"/>
    <sheet name="Ipyp_OIPP" sheetId="792" state="visible" r:id="rId22"/>
    <sheet name="Ipyp_GFCF" sheetId="793" state="visible" r:id="rId23"/>
    <sheet name="Ip_IT" sheetId="794" state="visible" r:id="rId24"/>
    <sheet name="Ip_CT" sheetId="795" state="visible" r:id="rId25"/>
    <sheet name="Ip_Soft_DB" sheetId="796" state="visible" r:id="rId26"/>
    <sheet name="Ip_TraEq" sheetId="797" state="visible" r:id="rId27"/>
    <sheet name="Ip_OMach" sheetId="798" state="visible" r:id="rId28"/>
    <sheet name="Ip_OCon" sheetId="799" state="visible" r:id="rId29"/>
    <sheet name="Ip_Rstruc" sheetId="800" state="visible" r:id="rId30"/>
    <sheet name="Ip_Cult" sheetId="801" state="visible" r:id="rId31"/>
    <sheet name="Ip_RD" sheetId="802" state="visible" r:id="rId32"/>
    <sheet name="Ip_OIPP" sheetId="803" state="visible" r:id="rId33"/>
    <sheet name="Ip_GFCF" sheetId="804" state="visible" r:id="rId34"/>
    <sheet name="K_IT" sheetId="805" state="visible" r:id="rId35"/>
    <sheet name="K_CT" sheetId="806" state="visible" r:id="rId36"/>
    <sheet name="K_Soft_DB" sheetId="807" state="visible" r:id="rId37"/>
    <sheet name="K_TraEq" sheetId="808" state="visible" r:id="rId38"/>
    <sheet name="K_OMach" sheetId="809" state="visible" r:id="rId39"/>
    <sheet name="K_OCon" sheetId="810" state="visible" r:id="rId40"/>
    <sheet name="K_Rstruc" sheetId="811" state="visible" r:id="rId41"/>
    <sheet name="K_Cult" sheetId="812" state="visible" r:id="rId42"/>
    <sheet name="K_RD" sheetId="813" state="visible" r:id="rId43"/>
    <sheet name="K_OIPP" sheetId="814" state="visible" r:id="rId44"/>
    <sheet name="K_GFCF" sheetId="815" state="visible" r:id="rId45"/>
    <sheet name="Kpyp_IT" sheetId="816" state="visible" r:id="rId46"/>
    <sheet name="Kpyp_CT" sheetId="817" state="visible" r:id="rId47"/>
    <sheet name="Kpyp_Soft_DB" sheetId="818" state="visible" r:id="rId48"/>
    <sheet name="Kpyp_TraEq" sheetId="819" state="visible" r:id="rId49"/>
    <sheet name="Kpyp_OMach" sheetId="820" state="visible" r:id="rId50"/>
    <sheet name="Kpyp_OCon" sheetId="821" state="visible" r:id="rId51"/>
    <sheet name="Kpyp_Rstruc" sheetId="822" state="visible" r:id="rId52"/>
    <sheet name="Kpyp_Cult" sheetId="823" state="visible" r:id="rId53"/>
    <sheet name="Kpyp_RD" sheetId="824" state="visible" r:id="rId54"/>
    <sheet name="Kpyp_OIPP" sheetId="825" state="visible" r:id="rId55"/>
    <sheet name="Kpyp_GFCF" sheetId="826" state="visible" r:id="rId56"/>
    <sheet name="Iq_IT" sheetId="827" state="visible" r:id="rId57"/>
    <sheet name="Iq_CT" sheetId="828" state="visible" r:id="rId58"/>
    <sheet name="Iq_Soft_DB" sheetId="829" state="visible" r:id="rId59"/>
    <sheet name="Iq_TraEq" sheetId="830" state="visible" r:id="rId60"/>
    <sheet name="Iq_OMach" sheetId="831" state="visible" r:id="rId61"/>
    <sheet name="Iq_OCon" sheetId="832" state="visible" r:id="rId62"/>
    <sheet name="Iq_Rstruc" sheetId="833" state="visible" r:id="rId63"/>
    <sheet name="Iq_Cult" sheetId="834" state="visible" r:id="rId64"/>
    <sheet name="Iq_RD" sheetId="835" state="visible" r:id="rId65"/>
    <sheet name="Iq_OIPP" sheetId="836" state="visible" r:id="rId66"/>
    <sheet name="Iq_GFCF" sheetId="837" state="visible" r:id="rId67"/>
    <sheet name="Kq_IT" sheetId="838" state="visible" r:id="rId68"/>
    <sheet name="Kq_CT" sheetId="839" state="visible" r:id="rId69"/>
    <sheet name="Kq_Soft_DB" sheetId="840" state="visible" r:id="rId70"/>
    <sheet name="Kq_TraEq" sheetId="841" state="visible" r:id="rId71"/>
    <sheet name="Kq_OMach" sheetId="842" state="visible" r:id="rId72"/>
    <sheet name="Kq_OCon" sheetId="843" state="visible" r:id="rId73"/>
    <sheet name="Kq_Rstruc" sheetId="844" state="visible" r:id="rId74"/>
    <sheet name="Kq_Cult" sheetId="845" state="visible" r:id="rId75"/>
    <sheet name="Kq_RD" sheetId="846" state="visible" r:id="rId76"/>
    <sheet name="Kq_OIPP" sheetId="847" state="visible" r:id="rId77"/>
    <sheet name="Kq_GFCF" sheetId="848" state="visible" r:id="rId78"/>
  </sheets>
</workbook>
</file>

<file path=xl/sharedStrings.xml><?xml version="1.0" encoding="utf-8"?>
<sst xmlns="http://schemas.openxmlformats.org/spreadsheetml/2006/main" count="390" uniqueCount="390">
  <si>
    <t xml:space="preserve">Variable</t>
  </si>
  <si>
    <t xml:space="preserve">Description</t>
  </si>
  <si>
    <t xml:space="preserve">GFCF, current prices, millions of national currency</t>
  </si>
  <si>
    <t xml:space="preserve">I_IT</t>
  </si>
  <si>
    <t xml:space="preserve">Computing equipment</t>
  </si>
  <si>
    <t xml:space="preserve">I_CT</t>
  </si>
  <si>
    <t xml:space="preserve">Communications equipment</t>
  </si>
  <si>
    <t xml:space="preserve">I_Soft_DB</t>
  </si>
  <si>
    <t xml:space="preserve">Computer software and databases</t>
  </si>
  <si>
    <t xml:space="preserve">I_TraEq</t>
  </si>
  <si>
    <t xml:space="preserve">Transport equipment</t>
  </si>
  <si>
    <t xml:space="preserve">I_OMach</t>
  </si>
  <si>
    <t xml:space="preserve">Other Machinery and Equipment</t>
  </si>
  <si>
    <t xml:space="preserve">I_OCon</t>
  </si>
  <si>
    <t xml:space="preserve">Total non-residential investment</t>
  </si>
  <si>
    <t xml:space="preserve">I_Rstruc</t>
  </si>
  <si>
    <t xml:space="preserve">Residential structures</t>
  </si>
  <si>
    <t xml:space="preserve">I_Cult</t>
  </si>
  <si>
    <t xml:space="preserve">Cultivated assets</t>
  </si>
  <si>
    <t xml:space="preserve">I_RD</t>
  </si>
  <si>
    <t xml:space="preserve">Research and development</t>
  </si>
  <si>
    <t xml:space="preserve">I_OIPP</t>
  </si>
  <si>
    <t xml:space="preserve">Other IPP assets</t>
  </si>
  <si>
    <t xml:space="preserve">I_GFCF</t>
  </si>
  <si>
    <t xml:space="preserve">All assets</t>
  </si>
  <si>
    <t xml:space="preserve">GFCF, previous year prices, millions of national currency</t>
  </si>
  <si>
    <t xml:space="preserve">Ipyp_IT</t>
  </si>
  <si>
    <t xml:space="preserve">Computing equipment previous year prices</t>
  </si>
  <si>
    <t xml:space="preserve">Ipyp_CT</t>
  </si>
  <si>
    <t xml:space="preserve">Communications equipment previous year prices</t>
  </si>
  <si>
    <t xml:space="preserve">Ipyp_Soft_DB</t>
  </si>
  <si>
    <t xml:space="preserve">Computer software and databases previous year prices</t>
  </si>
  <si>
    <t xml:space="preserve">Ipyp_TraEq</t>
  </si>
  <si>
    <t xml:space="preserve">Transport equipment previous year prices</t>
  </si>
  <si>
    <t xml:space="preserve">Ipyp_OMach</t>
  </si>
  <si>
    <t xml:space="preserve">Other machinery and equipment previous year prices</t>
  </si>
  <si>
    <t xml:space="preserve">Ipyp_OCon</t>
  </si>
  <si>
    <t xml:space="preserve">Total non-residential investment previous year prices</t>
  </si>
  <si>
    <t xml:space="preserve">Ipyp_Rstruc</t>
  </si>
  <si>
    <t xml:space="preserve">Residential structures previous year prices</t>
  </si>
  <si>
    <t xml:space="preserve">Ipyp_Cult</t>
  </si>
  <si>
    <t xml:space="preserve">Cultivated assets previous year prices</t>
  </si>
  <si>
    <t xml:space="preserve">Ipyp_RD</t>
  </si>
  <si>
    <t xml:space="preserve">Research and development previous year prices</t>
  </si>
  <si>
    <t xml:space="preserve">Ipyp_OIPP</t>
  </si>
  <si>
    <t xml:space="preserve">Other IPP assets previous year prices</t>
  </si>
  <si>
    <t xml:space="preserve">Ipyp_GFCF</t>
  </si>
  <si>
    <t xml:space="preserve">All assets previous year prices</t>
  </si>
  <si>
    <t xml:space="preserve">GFCF, chained linked volumes (2020), millions of national currency</t>
  </si>
  <si>
    <t xml:space="preserve">Iq_IT</t>
  </si>
  <si>
    <t xml:space="preserve">Computing equipment, chained linked volumes (2020)</t>
  </si>
  <si>
    <t xml:space="preserve">Iq_CT</t>
  </si>
  <si>
    <t xml:space="preserve">Communications equipment, chained linked volumes (2020)</t>
  </si>
  <si>
    <t xml:space="preserve">Iq_Soft_DB</t>
  </si>
  <si>
    <t xml:space="preserve">Computer software and databases, chained linked volumes (2020)</t>
  </si>
  <si>
    <t xml:space="preserve">Iq_TraEq</t>
  </si>
  <si>
    <t xml:space="preserve">Transport equipment, chained linked volumes (2020)</t>
  </si>
  <si>
    <t xml:space="preserve">Iq_OMach</t>
  </si>
  <si>
    <t xml:space="preserve">Other Machinery and Equipment, chained linked volumes (2020)</t>
  </si>
  <si>
    <t xml:space="preserve">Iq_OCon</t>
  </si>
  <si>
    <t xml:space="preserve">Total non-residential investment, chained linked volumes (2020)</t>
  </si>
  <si>
    <t xml:space="preserve">Iq_Rstruc</t>
  </si>
  <si>
    <t xml:space="preserve">Residential structures, chained linked volumes (2020)</t>
  </si>
  <si>
    <t xml:space="preserve">Iq_Cult</t>
  </si>
  <si>
    <t xml:space="preserve">Cultivated assets, chained linked volumes (2020)</t>
  </si>
  <si>
    <t xml:space="preserve">Iq_RD</t>
  </si>
  <si>
    <t xml:space="preserve">Research and development, chained linked volumes (2020)</t>
  </si>
  <si>
    <t xml:space="preserve">Iq_OIPP</t>
  </si>
  <si>
    <t xml:space="preserve">Other IPP assets, chained linked volumes (2020)</t>
  </si>
  <si>
    <t xml:space="preserve">Iq_GFCF</t>
  </si>
  <si>
    <t xml:space="preserve">All assets, chained linked volumes (2020)</t>
  </si>
  <si>
    <t xml:space="preserve">GFCF, price indexes (2020)</t>
  </si>
  <si>
    <t xml:space="preserve">Ip_IT</t>
  </si>
  <si>
    <t xml:space="preserve">Computing equipment price index (2020)</t>
  </si>
  <si>
    <t xml:space="preserve">Ip_CT</t>
  </si>
  <si>
    <t xml:space="preserve">Communications equipment price index (2020)</t>
  </si>
  <si>
    <t xml:space="preserve">Ip_Soft_DB</t>
  </si>
  <si>
    <t xml:space="preserve">Computer software and databases price index (2020)</t>
  </si>
  <si>
    <t xml:space="preserve">Ip_TraEq</t>
  </si>
  <si>
    <t xml:space="preserve">Transport equipment price index (2020)</t>
  </si>
  <si>
    <t xml:space="preserve">Ip_OMach</t>
  </si>
  <si>
    <t xml:space="preserve">Other machinery and equipment price index (2020)</t>
  </si>
  <si>
    <t xml:space="preserve">Ip_OCon</t>
  </si>
  <si>
    <t xml:space="preserve">Total non-residential investment price index (2020)</t>
  </si>
  <si>
    <t xml:space="preserve">Ip_Rstruc</t>
  </si>
  <si>
    <t xml:space="preserve">Residential structures price index (2020)</t>
  </si>
  <si>
    <t xml:space="preserve">Ip_Cult</t>
  </si>
  <si>
    <t xml:space="preserve">Cultivated assets price index (2020)</t>
  </si>
  <si>
    <t xml:space="preserve">Ip_RD</t>
  </si>
  <si>
    <t xml:space="preserve">Research and development price index (2020)</t>
  </si>
  <si>
    <t xml:space="preserve">Ip_OIPP</t>
  </si>
  <si>
    <t xml:space="preserve">Other IPP assets price index (2020)</t>
  </si>
  <si>
    <t xml:space="preserve">Ip_GFCF</t>
  </si>
  <si>
    <t xml:space="preserve">All assets price index (2020)</t>
  </si>
  <si>
    <t xml:space="preserve">Capital stock net, current replacement stock, millions of national currency</t>
  </si>
  <si>
    <t xml:space="preserve">K_IT</t>
  </si>
  <si>
    <t xml:space="preserve">Computing equipment capital stock</t>
  </si>
  <si>
    <t xml:space="preserve">K_CT</t>
  </si>
  <si>
    <t xml:space="preserve">Communications equipment capital stock</t>
  </si>
  <si>
    <t xml:space="preserve">K_Soft_DB</t>
  </si>
  <si>
    <t xml:space="preserve">Computer software and databases capital stock</t>
  </si>
  <si>
    <t xml:space="preserve">K_TraEq</t>
  </si>
  <si>
    <t xml:space="preserve">Transport equipment capital stock</t>
  </si>
  <si>
    <t xml:space="preserve">K_OMach</t>
  </si>
  <si>
    <t xml:space="preserve">Other machinery and equipment capital stock</t>
  </si>
  <si>
    <t xml:space="preserve">K_OCon</t>
  </si>
  <si>
    <t xml:space="preserve">Total non-residential investment capital stock</t>
  </si>
  <si>
    <t xml:space="preserve">K_Rstruc</t>
  </si>
  <si>
    <t xml:space="preserve">Residential structures capital stock</t>
  </si>
  <si>
    <t xml:space="preserve">K_Cult</t>
  </si>
  <si>
    <t xml:space="preserve">Cultivated assets capital stock</t>
  </si>
  <si>
    <t xml:space="preserve">K_RD</t>
  </si>
  <si>
    <t xml:space="preserve">Research and development capital stock</t>
  </si>
  <si>
    <t xml:space="preserve">K_OIPP</t>
  </si>
  <si>
    <t xml:space="preserve">Other IPP assets capital stock</t>
  </si>
  <si>
    <t xml:space="preserve">K_GFCF</t>
  </si>
  <si>
    <t xml:space="preserve">All assets capital stock</t>
  </si>
  <si>
    <t xml:space="preserve">Capital stock net, previous year replacement stock, millions of national currency</t>
  </si>
  <si>
    <t xml:space="preserve">Kpyp_IT</t>
  </si>
  <si>
    <t xml:space="preserve">Computing equipment capital stock prev. year replac. cost</t>
  </si>
  <si>
    <t xml:space="preserve">Kpyp_CT</t>
  </si>
  <si>
    <t xml:space="preserve">Communications equipment capital stock prev. year replac. cost</t>
  </si>
  <si>
    <t xml:space="preserve">Kpyp_Soft_DB</t>
  </si>
  <si>
    <t xml:space="preserve">Computer software and databases capital stock prev. year replac. cost</t>
  </si>
  <si>
    <t xml:space="preserve">Kpyp_TraEq</t>
  </si>
  <si>
    <t xml:space="preserve">Transport equipment capital stock prev. year replac. cost</t>
  </si>
  <si>
    <t xml:space="preserve">Kpyp_OMach</t>
  </si>
  <si>
    <t xml:space="preserve">Other machinery and equipment capital stock prev. year replac. cost</t>
  </si>
  <si>
    <t xml:space="preserve">Kpyp_OCon</t>
  </si>
  <si>
    <t xml:space="preserve">Total non-residential investment capital stock prev. year replac. cost</t>
  </si>
  <si>
    <t xml:space="preserve">Kpyp_Rstruc</t>
  </si>
  <si>
    <t xml:space="preserve">Residential structures capital stock prev. year replac. cost</t>
  </si>
  <si>
    <t xml:space="preserve">Kpyp_Cult</t>
  </si>
  <si>
    <t xml:space="preserve">Cultivated assets capital stock prev. year replac. cost</t>
  </si>
  <si>
    <t xml:space="preserve">Kpyp_RD</t>
  </si>
  <si>
    <t xml:space="preserve">Research and development capital stock prev. year replac. cost</t>
  </si>
  <si>
    <t xml:space="preserve">Kpyp_OIPP</t>
  </si>
  <si>
    <t xml:space="preserve">Other IPP assets capital stock prev. year replac. cost</t>
  </si>
  <si>
    <t xml:space="preserve">Kpyp_GFCF</t>
  </si>
  <si>
    <t xml:space="preserve">All assets capital stock prev. year replac. cost</t>
  </si>
  <si>
    <t xml:space="preserve">Capital stock net, chained linked volumes (2020), millions of national currency</t>
  </si>
  <si>
    <t xml:space="preserve">Kq_IT</t>
  </si>
  <si>
    <t xml:space="preserve">Kq_CT</t>
  </si>
  <si>
    <t xml:space="preserve">Kq_Soft_DB</t>
  </si>
  <si>
    <t xml:space="preserve">Kq_TraEq</t>
  </si>
  <si>
    <t xml:space="preserve">Kq_OMach</t>
  </si>
  <si>
    <t xml:space="preserve">Kq_OCon</t>
  </si>
  <si>
    <t xml:space="preserve">Kq_Rstruc</t>
  </si>
  <si>
    <t xml:space="preserve">Kq_Cult</t>
  </si>
  <si>
    <t xml:space="preserve">Kq_RD</t>
  </si>
  <si>
    <t xml:space="preserve">Kq_OIPP</t>
  </si>
  <si>
    <t xml:space="preserve">Kq_GFCF</t>
  </si>
  <si>
    <t xml:space="preserve">Capital Accounts</t>
  </si>
  <si>
    <t xml:space="preserve">Source: Euklems &amp; INTANProd database, 2024 release</t>
  </si>
  <si>
    <t xml:space="preserve">When using this database please quote: Bontadini F., Corrado C., Haskel J., Iommi M., Jona-Lasinio C. (2023), EUKLEMS &amp; INTANProd: industry productivity accounts with intangibles - Sources of growth and productivity trends: methods and main measurement challenges</t>
  </si>
  <si>
    <t xml:space="preserve"/>
  </si>
  <si>
    <t xml:space="preserve">Notes</t>
  </si>
  <si>
    <t xml:space="preserve">Numbers displayed are in accordance with the industry classification (NACE Rev. 2/ISIC Rev. 4) and the European System of Capital Accounts (ESA 2010).</t>
  </si>
  <si>
    <t xml:space="preserve">Extracted from Eurostat:		08/04/2024</t>
  </si>
  <si>
    <t xml:space="preserve">For more information and updates, see: https://euklems-intanprod-llee.luiss.it/</t>
  </si>
  <si>
    <t xml:space="preserve">Acknowledgements and disclaimer</t>
  </si>
  <si>
    <t xml:space="preserve">This update of the EUKLEMS &amp; INTANProd database 2024 has been funded by the WIPO:</t>
  </si>
  <si>
    <t xml:space="preserve">Procurement procedure ECFIN/2020/OP/0001 – Provision of Industry level growth and productivity data with special focus on intangible assets – 2020/S 114-275561</t>
  </si>
  <si>
    <t xml:space="preserve">Any errors or omissions are entirely the responsibility of the Luiss Lab of European Economics - LLEE</t>
  </si>
  <si>
    <t xml:space="preserve">For comments and suggestions please send an email to euklems-intanprod@luiss.it</t>
  </si>
  <si>
    <t xml:space="preserve">var</t>
  </si>
  <si>
    <t xml:space="preserve">nace_r2_code</t>
  </si>
  <si>
    <t xml:space="preserve">geo_code</t>
  </si>
  <si>
    <t xml:space="preserve">nace_r2_name</t>
  </si>
  <si>
    <t xml:space="preserve">geo_name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</si>
  <si>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</si>
  <si>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</si>
  <si>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</si>
  <si>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</si>
  <si>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</si>
  <si>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</si>
  <si>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</si>
  <si>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</si>
  <si>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</si>
  <si>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</si>
  <si>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</si>
  <si>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</si>
  <si>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</si>
  <si>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</si>
  <si>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</si>
  <si>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</si>
  <si>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</si>
  <si>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</si>
  <si>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</si>
  <si>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</si>
  <si>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</si>
  <si>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</si>
  <si>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</si>
  <si>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</si>
  <si>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</si>
  <si>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</si>
  <si>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</si>
  <si>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A</t>
  </si>
  <si>
    <t xml:space="preserve">AT</t>
  </si>
  <si>
    <t xml:space="preserve">Agriculture, forestry and fishing</t>
  </si>
  <si>
    <t xml:space="preserve">Austria</t>
  </si>
  <si>
    <t xml:space="preserve">BE</t>
  </si>
  <si>
    <t xml:space="preserve">Belgium</t>
  </si>
  <si>
    <t xml:space="preserve">BG</t>
  </si>
  <si>
    <t xml:space="preserve">Bulgaria</t>
  </si>
  <si>
    <t xml:space="preserve">CY</t>
  </si>
  <si>
    <t xml:space="preserve">Cyprus</t>
  </si>
  <si>
    <t xml:space="preserve">CZ</t>
  </si>
  <si>
    <t xml:space="preserve">Czechia</t>
  </si>
  <si>
    <t xml:space="preserve">DE</t>
  </si>
  <si>
    <t xml:space="preserve">Germany</t>
  </si>
  <si>
    <t xml:space="preserve">DK</t>
  </si>
  <si>
    <t xml:space="preserve">Denmark</t>
  </si>
  <si>
    <t xml:space="preserve">EA19</t>
  </si>
  <si>
    <t xml:space="preserve">Euro area - 19 countries  (from 2020)</t>
  </si>
  <si>
    <t xml:space="preserve">EE</t>
  </si>
  <si>
    <t xml:space="preserve">Estonia</t>
  </si>
  <si>
    <t xml:space="preserve">EL</t>
  </si>
  <si>
    <t xml:space="preserve">Greece</t>
  </si>
  <si>
    <t xml:space="preserve">ES</t>
  </si>
  <si>
    <t xml:space="preserve">Spain</t>
  </si>
  <si>
    <t xml:space="preserve">EU11</t>
  </si>
  <si>
    <t xml:space="preserve">EU12 without UK</t>
  </si>
  <si>
    <t xml:space="preserve">EU12</t>
  </si>
  <si>
    <t xml:space="preserve">AT, BE, CZ, DE, DK, ES, FI, FR, IT, NL, SE and UK</t>
  </si>
  <si>
    <t xml:space="preserve">EU15</t>
  </si>
  <si>
    <t xml:space="preserve">European Union - 15 countries (1995-2004)</t>
  </si>
  <si>
    <t xml:space="preserve">EU19</t>
  </si>
  <si>
    <t xml:space="preserve">EU20 without the UK</t>
  </si>
  <si>
    <t xml:space="preserve">EU20</t>
  </si>
  <si>
    <t xml:space="preserve">AT, BE, CZ, DE, DK, EE, ES, FI, FR, HU, IT, LT, LU, LV, NL, RO, SE, SI, SK and UK</t>
  </si>
  <si>
    <t xml:space="preserve">EU27</t>
  </si>
  <si>
    <t xml:space="preserve">European Union - 27 countries (from 2020)</t>
  </si>
  <si>
    <t xml:space="preserve">EU27_2020</t>
  </si>
  <si>
    <t xml:space="preserve">EU28</t>
  </si>
  <si>
    <t xml:space="preserve">European Union - 28 countries (2013-2020)</t>
  </si>
  <si>
    <t xml:space="preserve">FI</t>
  </si>
  <si>
    <t xml:space="preserve">Finland</t>
  </si>
  <si>
    <t xml:space="preserve">FR</t>
  </si>
  <si>
    <t xml:space="preserve">France</t>
  </si>
  <si>
    <t xml:space="preserve">HR</t>
  </si>
  <si>
    <t xml:space="preserve">Croatia</t>
  </si>
  <si>
    <t xml:space="preserve">HU</t>
  </si>
  <si>
    <t xml:space="preserve">Hungary</t>
  </si>
  <si>
    <t xml:space="preserve">IE</t>
  </si>
  <si>
    <t xml:space="preserve">Ireland</t>
  </si>
  <si>
    <t xml:space="preserve">IT</t>
  </si>
  <si>
    <t xml:space="preserve">Italy</t>
  </si>
  <si>
    <t xml:space="preserve">JP</t>
  </si>
  <si>
    <t xml:space="preserve">Japan</t>
  </si>
  <si>
    <t xml:space="preserve">LT</t>
  </si>
  <si>
    <t xml:space="preserve">Lithuania</t>
  </si>
  <si>
    <t xml:space="preserve">LU</t>
  </si>
  <si>
    <t xml:space="preserve">Luxembourg</t>
  </si>
  <si>
    <t xml:space="preserve">LV</t>
  </si>
  <si>
    <t xml:space="preserve">Latvia</t>
  </si>
  <si>
    <t xml:space="preserve">MT</t>
  </si>
  <si>
    <t xml:space="preserve">Malta</t>
  </si>
  <si>
    <t xml:space="preserve">NL</t>
  </si>
  <si>
    <t xml:space="preserve">Netherlands</t>
  </si>
  <si>
    <t xml:space="preserve">PL</t>
  </si>
  <si>
    <t xml:space="preserve">Poland</t>
  </si>
  <si>
    <t xml:space="preserve">PT</t>
  </si>
  <si>
    <t xml:space="preserve">Portugal</t>
  </si>
  <si>
    <t xml:space="preserve">RO</t>
  </si>
  <si>
    <t xml:space="preserve">Romania</t>
  </si>
  <si>
    <t xml:space="preserve">SE</t>
  </si>
  <si>
    <t xml:space="preserve">Sweden</t>
  </si>
  <si>
    <t xml:space="preserve">SI</t>
  </si>
  <si>
    <t xml:space="preserve">Slovenia</t>
  </si>
  <si>
    <t xml:space="preserve">SK</t>
  </si>
  <si>
    <t xml:space="preserve">Slovakia</t>
  </si>
  <si>
    <t xml:space="preserve">UK</t>
  </si>
  <si>
    <t xml:space="preserve">United Kingdom</t>
  </si>
  <si>
    <t xml:space="preserve">US</t>
  </si>
  <si>
    <t xml:space="preserve">United States</t>
  </si>
  <si>
    <t xml:space="preserve">B</t>
  </si>
  <si>
    <t xml:space="preserve">Mining and quarrying</t>
  </si>
  <si>
    <t xml:space="preserve">C</t>
  </si>
  <si>
    <t xml:space="preserve">Manufacturing</t>
  </si>
  <si>
    <t xml:space="preserve">C10-C12</t>
  </si>
  <si>
    <t xml:space="preserve">Manufacture of food products; beverages and tobacco products</t>
  </si>
  <si>
    <t xml:space="preserve">C13-C15</t>
  </si>
  <si>
    <t xml:space="preserve">Manufacture of textiles, wearing apparel, leather and related products</t>
  </si>
  <si>
    <t xml:space="preserve">C16-C18</t>
  </si>
  <si>
    <t xml:space="preserve">Manufacture of wood, paper, printing and reproduction</t>
  </si>
  <si>
    <t xml:space="preserve">C19</t>
  </si>
  <si>
    <t xml:space="preserve">Manufacture of coke and refined petroleum products</t>
  </si>
  <si>
    <t xml:space="preserve">C20</t>
  </si>
  <si>
    <t xml:space="preserve">Manufacture of chemicals and chemical products</t>
  </si>
  <si>
    <t xml:space="preserve">C20-C21</t>
  </si>
  <si>
    <t xml:space="preserve">Chemicals; basic pharmaceutical products</t>
  </si>
  <si>
    <t xml:space="preserve">C21</t>
  </si>
  <si>
    <t xml:space="preserve">Manufacture of basic pharmaceutical products and pharmaceutical preparations</t>
  </si>
  <si>
    <t xml:space="preserve">C22-C23</t>
  </si>
  <si>
    <t xml:space="preserve">Manufacture of rubber and plastic products and other non-metallic mineral products</t>
  </si>
  <si>
    <t xml:space="preserve">C24-C25</t>
  </si>
  <si>
    <t xml:space="preserve">Manufacture of basic metals and fabricated metal products, except machinery and equipment</t>
  </si>
  <si>
    <t xml:space="preserve">C26</t>
  </si>
  <si>
    <t xml:space="preserve">Manufacture of computer, electronic and optical products</t>
  </si>
  <si>
    <t xml:space="preserve">C26-C27</t>
  </si>
  <si>
    <t xml:space="preserve">Computer, electronic, optical products; electrical equipment</t>
  </si>
  <si>
    <t xml:space="preserve">C27</t>
  </si>
  <si>
    <t xml:space="preserve">Manufacture of electrical equipment</t>
  </si>
  <si>
    <t xml:space="preserve">C28</t>
  </si>
  <si>
    <t xml:space="preserve">Manufacture of machinery and equipment n.e.c.</t>
  </si>
  <si>
    <t xml:space="preserve">C29-C30</t>
  </si>
  <si>
    <t xml:space="preserve">Manufacture of motor vehicles, trailers, semi-trailers and of other transport equipment</t>
  </si>
  <si>
    <t xml:space="preserve">C31-C33</t>
  </si>
  <si>
    <t xml:space="preserve">Manufacture of furniture; jewellery, musical instruments, toys; repair and installation of machinery and equipment</t>
  </si>
  <si>
    <t xml:space="preserve">D</t>
  </si>
  <si>
    <t xml:space="preserve">Electricity, gas, steam and air conditioning supply</t>
  </si>
  <si>
    <t xml:space="preserve">D-E</t>
  </si>
  <si>
    <t xml:space="preserve">Electricity, gas, steam; water supply, sewerage, waste management</t>
  </si>
  <si>
    <t xml:space="preserve">E</t>
  </si>
  <si>
    <t xml:space="preserve">Water supply; sewerage, waste management and remediation activities</t>
  </si>
  <si>
    <t xml:space="preserve">F</t>
  </si>
  <si>
    <t xml:space="preserve">Construction</t>
  </si>
  <si>
    <t xml:space="preserve">G</t>
  </si>
  <si>
    <t xml:space="preserve">Wholesale and retail trade; repair of motor vehicles and motorcycles</t>
  </si>
  <si>
    <t xml:space="preserve">G45</t>
  </si>
  <si>
    <t xml:space="preserve">Wholesale and retail trade and repair of motor vehicles and motorcycles</t>
  </si>
  <si>
    <t xml:space="preserve">G46</t>
  </si>
  <si>
    <t xml:space="preserve">Wholesale trade, except of motor vehicles and motorcycles</t>
  </si>
  <si>
    <t xml:space="preserve">G47</t>
  </si>
  <si>
    <t xml:space="preserve">Retail trade, except of motor vehicles and motorcycles</t>
  </si>
  <si>
    <t xml:space="preserve">H</t>
  </si>
  <si>
    <t xml:space="preserve">Transportation and storage</t>
  </si>
  <si>
    <t xml:space="preserve">H49</t>
  </si>
  <si>
    <t xml:space="preserve">Land transport and transport via pipelines</t>
  </si>
  <si>
    <t xml:space="preserve">H50</t>
  </si>
  <si>
    <t xml:space="preserve">Water transport</t>
  </si>
  <si>
    <t xml:space="preserve">H51</t>
  </si>
  <si>
    <t xml:space="preserve">Air transport</t>
  </si>
  <si>
    <t xml:space="preserve">H52</t>
  </si>
  <si>
    <t xml:space="preserve">Warehousing and support activities for transportation</t>
  </si>
  <si>
    <t xml:space="preserve">H53</t>
  </si>
  <si>
    <t xml:space="preserve">Postal and courier activities</t>
  </si>
  <si>
    <t xml:space="preserve">I</t>
  </si>
  <si>
    <t xml:space="preserve">Accommodation and food service activities</t>
  </si>
  <si>
    <t xml:space="preserve">J</t>
  </si>
  <si>
    <t xml:space="preserve">Information and communication</t>
  </si>
  <si>
    <t xml:space="preserve">J58-J60</t>
  </si>
  <si>
    <t xml:space="preserve">Publishing, motion picture, video, television programme production; sound recording, programming and broadcasting activities</t>
  </si>
  <si>
    <t xml:space="preserve">J61</t>
  </si>
  <si>
    <t xml:space="preserve">Telecommunications</t>
  </si>
  <si>
    <t xml:space="preserve">J62-J63</t>
  </si>
  <si>
    <t xml:space="preserve">Computer programming, consultancy, and information service activities</t>
  </si>
  <si>
    <t xml:space="preserve">K</t>
  </si>
  <si>
    <t xml:space="preserve">Financial and insurance activities</t>
  </si>
  <si>
    <t xml:space="preserve">L</t>
  </si>
  <si>
    <t xml:space="preserve">Real estate activities</t>
  </si>
  <si>
    <t xml:space="preserve">L68A</t>
  </si>
  <si>
    <t xml:space="preserve">Imputed rents of owner-occupied dwellings</t>
  </si>
  <si>
    <t xml:space="preserve">M</t>
  </si>
  <si>
    <t xml:space="preserve">Professional, scientific and technical activities</t>
  </si>
  <si>
    <t xml:space="preserve">M-N</t>
  </si>
  <si>
    <t xml:space="preserve">Professional, scientific and technical activities; administrative and support service activities</t>
  </si>
  <si>
    <t xml:space="preserve">MARKT</t>
  </si>
  <si>
    <t xml:space="preserve">Market economy (all industries excluding L, O, P, Q, T and U)</t>
  </si>
  <si>
    <t xml:space="preserve">MARKTxAG</t>
  </si>
  <si>
    <t xml:space="preserve">Non-agricultural market economy (Market economy less industry A)</t>
  </si>
  <si>
    <t xml:space="preserve">N</t>
  </si>
  <si>
    <t xml:space="preserve">Administrative and support service activities</t>
  </si>
  <si>
    <t xml:space="preserve">O</t>
  </si>
  <si>
    <t xml:space="preserve">Public administration and defence; compulsory social security</t>
  </si>
  <si>
    <t xml:space="preserve">O-Q</t>
  </si>
  <si>
    <t xml:space="preserve">Public administration, defence, education, human health and social work activities</t>
  </si>
  <si>
    <t xml:space="preserve">P</t>
  </si>
  <si>
    <t xml:space="preserve">Education</t>
  </si>
  <si>
    <t xml:space="preserve">Q</t>
  </si>
  <si>
    <t xml:space="preserve">Human health and social work activities</t>
  </si>
  <si>
    <t xml:space="preserve">Q86</t>
  </si>
  <si>
    <t xml:space="preserve">Human health activities</t>
  </si>
  <si>
    <t xml:space="preserve">Q87-Q88</t>
  </si>
  <si>
    <t xml:space="preserve">Residential care activities and social work activities without accommodation</t>
  </si>
  <si>
    <t xml:space="preserve">R</t>
  </si>
  <si>
    <t xml:space="preserve">Arts, entertainment and recreation</t>
  </si>
  <si>
    <t xml:space="preserve">R-S</t>
  </si>
  <si>
    <t xml:space="preserve">Arts, entertainment, recreation; other services and service activities, etc.</t>
  </si>
  <si>
    <t xml:space="preserve">S</t>
  </si>
  <si>
    <t xml:space="preserve">Other service activities</t>
  </si>
  <si>
    <t xml:space="preserve">T</t>
  </si>
  <si>
    <t xml:space="preserve">Activities of households as employers; undifferentiated goods- and services-producing activities of households for own use</t>
  </si>
  <si>
    <t xml:space="preserve">TOT</t>
  </si>
  <si>
    <t xml:space="preserve">Total - all NACE activities</t>
  </si>
  <si>
    <t xml:space="preserve">TOT_IND</t>
  </si>
  <si>
    <t xml:space="preserve">Total industries (A-S)</t>
  </si>
  <si>
    <t xml:space="preserve">U</t>
  </si>
  <si>
    <t xml:space="preserve">Activities of extraterritorial organisations and bodies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</si>
</sst>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rgb="FF000000"/>
      <name val="Calibri"/>
      <family val="2"/>
      <scheme val="minor"/>
    </font>
    <font>
      <sz val="14"/>
      <color rgb="FFFFFFFF"/>
      <name val="Calibri"/>
      <b/>
    </font>
    <font>
      <sz val="14"/>
      <color rgb="FF000000"/>
      <name val="Calibri"/>
      <b/>
    </font>
    <font>
      <sz val="8"/>
      <color rgb="FF000000"/>
      <name val="Calibri"/>
    </font>
    <font>
      <sz val="11"/>
      <color theme="10"/>
      <name val="Calibri"/>
      <u val="single"/>
    </font>
  </fonts>
  <fills count="4">
    <fill>
      <patternFill patternType="none"/>
    </fill>
    <fill>
      <patternFill patternType="gray125"/>
    </fill>
    <fill>
      <patternFill patternType="solid">
        <fgColor rgb="FF093170"/>
      </patternFill>
    </fill>
    <fill>
      <patternFill patternType="solid">
        <fgColor rgb="FFD8DE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theme" Target="theme/theme1.xml"/><Relationship Id="rId80" Type="http://schemas.openxmlformats.org/officeDocument/2006/relationships/styles" Target="styles.xml"/><Relationship Id="rId8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203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 t="s">
        <v>152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t="s">
        <v>153</v>
      </c>
    </row>
    <row r="4">
      <c r="A4" s="2" t="s">
        <v>154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t="s">
        <v>155</v>
      </c>
    </row>
    <row r="6">
      <c r="A6" s="1" t="s">
        <v>0</v>
      </c>
      <c r="B6" s="1" t="s">
        <v>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>
      <c r="A7" s="2" t="s">
        <v>2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4" t="str">
        <f>=HYPERLINK("#'I_IT'!A1", "I_IT")</f>
      </c>
      <c r="B8" t="s">
        <v>4</v>
      </c>
    </row>
    <row r="9">
      <c r="A9" s="4" t="str">
        <f>=HYPERLINK("#'I_CT'!A1", "I_CT")</f>
      </c>
      <c r="B9" t="s">
        <v>6</v>
      </c>
    </row>
    <row r="10">
      <c r="A10" s="4" t="str">
        <f>=HYPERLINK("#'I_Soft_DB'!A1", "I_Soft_DB")</f>
      </c>
      <c r="B10" t="s">
        <v>8</v>
      </c>
    </row>
    <row r="11">
      <c r="A11" s="4" t="str">
        <f>=HYPERLINK("#'I_TraEq'!A1", "I_TraEq")</f>
      </c>
      <c r="B11" t="s">
        <v>10</v>
      </c>
    </row>
    <row r="12">
      <c r="A12" s="4" t="str">
        <f>=HYPERLINK("#'I_OMach'!A1", "I_OMach")</f>
      </c>
      <c r="B12" t="s">
        <v>12</v>
      </c>
    </row>
    <row r="13">
      <c r="A13" s="4" t="str">
        <f>=HYPERLINK("#'I_OCon'!A1", "I_OCon")</f>
      </c>
      <c r="B13" t="s">
        <v>14</v>
      </c>
    </row>
    <row r="14">
      <c r="A14" s="4" t="str">
        <f>=HYPERLINK("#'I_Rstruc'!A1", "I_Rstruc")</f>
      </c>
      <c r="B14" t="s">
        <v>16</v>
      </c>
    </row>
    <row r="15">
      <c r="A15" s="4" t="str">
        <f>=HYPERLINK("#'I_Cult'!A1", "I_Cult")</f>
      </c>
      <c r="B15" t="s">
        <v>18</v>
      </c>
    </row>
    <row r="16">
      <c r="A16" s="4" t="str">
        <f>=HYPERLINK("#'I_RD'!A1", "I_RD")</f>
      </c>
      <c r="B16" t="s">
        <v>20</v>
      </c>
    </row>
    <row r="17">
      <c r="A17" s="4" t="str">
        <f>=HYPERLINK("#'I_OIPP'!A1", "I_OIPP")</f>
      </c>
      <c r="B17" t="s">
        <v>22</v>
      </c>
    </row>
    <row r="18">
      <c r="A18" s="4" t="str">
        <f>=HYPERLINK("#'I_GFCF'!A1", "I_GFCF")</f>
      </c>
      <c r="B18" t="s">
        <v>24</v>
      </c>
    </row>
    <row r="19">
      <c r="A19" s="2" t="s">
        <v>25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4" t="str">
        <f>=HYPERLINK("#'Ipyp_IT'!A1", "Ipyp_IT")</f>
      </c>
      <c r="B20" t="s">
        <v>27</v>
      </c>
    </row>
    <row r="21">
      <c r="A21" s="4" t="str">
        <f>=HYPERLINK("#'Ipyp_CT'!A1", "Ipyp_CT")</f>
      </c>
      <c r="B21" t="s">
        <v>29</v>
      </c>
    </row>
    <row r="22">
      <c r="A22" s="4" t="str">
        <f>=HYPERLINK("#'Ipyp_Soft_DB'!A1", "Ipyp_Soft_DB")</f>
      </c>
      <c r="B22" t="s">
        <v>31</v>
      </c>
    </row>
    <row r="23">
      <c r="A23" s="4" t="str">
        <f>=HYPERLINK("#'Ipyp_TraEq'!A1", "Ipyp_TraEq")</f>
      </c>
      <c r="B23" t="s">
        <v>33</v>
      </c>
    </row>
    <row r="24">
      <c r="A24" s="4" t="str">
        <f>=HYPERLINK("#'Ipyp_OMach'!A1", "Ipyp_OMach")</f>
      </c>
      <c r="B24" t="s">
        <v>35</v>
      </c>
    </row>
    <row r="25">
      <c r="A25" s="4" t="str">
        <f>=HYPERLINK("#'Ipyp_OCon'!A1", "Ipyp_OCon")</f>
      </c>
      <c r="B25" t="s">
        <v>37</v>
      </c>
    </row>
    <row r="26">
      <c r="A26" s="4" t="str">
        <f>=HYPERLINK("#'Ipyp_Rstruc'!A1", "Ipyp_Rstruc")</f>
      </c>
      <c r="B26" t="s">
        <v>39</v>
      </c>
    </row>
    <row r="27">
      <c r="A27" s="4" t="str">
        <f>=HYPERLINK("#'Ipyp_Cult'!A1", "Ipyp_Cult")</f>
      </c>
      <c r="B27" t="s">
        <v>41</v>
      </c>
    </row>
    <row r="28">
      <c r="A28" s="4" t="str">
        <f>=HYPERLINK("#'Ipyp_RD'!A1", "Ipyp_RD")</f>
      </c>
      <c r="B28" t="s">
        <v>43</v>
      </c>
    </row>
    <row r="29">
      <c r="A29" s="4" t="str">
        <f>=HYPERLINK("#'Ipyp_OIPP'!A1", "Ipyp_OIPP")</f>
      </c>
      <c r="B29" t="s">
        <v>45</v>
      </c>
    </row>
    <row r="30">
      <c r="A30" s="4" t="str">
        <f>=HYPERLINK("#'Ipyp_GFCF'!A1", "Ipyp_GFCF")</f>
      </c>
      <c r="B30" t="s">
        <v>47</v>
      </c>
    </row>
    <row r="31">
      <c r="A31" s="2" t="s">
        <v>48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4" t="str">
        <f>=HYPERLINK("#'Iq_IT'!A1", "Iq_IT")</f>
      </c>
      <c r="B32" t="s">
        <v>50</v>
      </c>
    </row>
    <row r="33">
      <c r="A33" s="4" t="str">
        <f>=HYPERLINK("#'Iq_CT'!A1", "Iq_CT")</f>
      </c>
      <c r="B33" t="s">
        <v>52</v>
      </c>
    </row>
    <row r="34">
      <c r="A34" s="4" t="str">
        <f>=HYPERLINK("#'Iq_Soft_DB'!A1", "Iq_Soft_DB")</f>
      </c>
      <c r="B34" t="s">
        <v>54</v>
      </c>
    </row>
    <row r="35">
      <c r="A35" s="4" t="str">
        <f>=HYPERLINK("#'Iq_TraEq'!A1", "Iq_TraEq")</f>
      </c>
      <c r="B35" t="s">
        <v>56</v>
      </c>
    </row>
    <row r="36">
      <c r="A36" s="4" t="str">
        <f>=HYPERLINK("#'Iq_OMach'!A1", "Iq_OMach")</f>
      </c>
      <c r="B36" t="s">
        <v>58</v>
      </c>
    </row>
    <row r="37">
      <c r="A37" s="4" t="str">
        <f>=HYPERLINK("#'Iq_OCon'!A1", "Iq_OCon")</f>
      </c>
      <c r="B37" t="s">
        <v>60</v>
      </c>
    </row>
    <row r="38">
      <c r="A38" s="4" t="str">
        <f>=HYPERLINK("#'Iq_Rstruc'!A1", "Iq_Rstruc")</f>
      </c>
      <c r="B38" t="s">
        <v>62</v>
      </c>
    </row>
    <row r="39">
      <c r="A39" s="4" t="str">
        <f>=HYPERLINK("#'Iq_Cult'!A1", "Iq_Cult")</f>
      </c>
      <c r="B39" t="s">
        <v>64</v>
      </c>
    </row>
    <row r="40">
      <c r="A40" s="4" t="str">
        <f>=HYPERLINK("#'Iq_RD'!A1", "Iq_RD")</f>
      </c>
      <c r="B40" t="s">
        <v>66</v>
      </c>
    </row>
    <row r="41">
      <c r="A41" s="4" t="str">
        <f>=HYPERLINK("#'Iq_OIPP'!A1", "Iq_OIPP")</f>
      </c>
      <c r="B41" t="s">
        <v>68</v>
      </c>
    </row>
    <row r="42">
      <c r="A42" s="4" t="str">
        <f>=HYPERLINK("#'Iq_GFCF'!A1", "Iq_GFCF")</f>
      </c>
      <c r="B42" t="s">
        <v>70</v>
      </c>
    </row>
    <row r="43">
      <c r="A43" s="2" t="s">
        <v>71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4" t="str">
        <f>=HYPERLINK("#'Ip_IT'!A1", "Ip_IT")</f>
      </c>
      <c r="B44" t="s">
        <v>73</v>
      </c>
    </row>
    <row r="45">
      <c r="A45" s="4" t="str">
        <f>=HYPERLINK("#'Ip_CT'!A1", "Ip_CT")</f>
      </c>
      <c r="B45" t="s">
        <v>75</v>
      </c>
    </row>
    <row r="46">
      <c r="A46" s="4" t="str">
        <f>=HYPERLINK("#'Ip_Soft_DB'!A1", "Ip_Soft_DB")</f>
      </c>
      <c r="B46" t="s">
        <v>77</v>
      </c>
    </row>
    <row r="47">
      <c r="A47" s="4" t="str">
        <f>=HYPERLINK("#'Ip_TraEq'!A1", "Ip_TraEq")</f>
      </c>
      <c r="B47" t="s">
        <v>79</v>
      </c>
    </row>
    <row r="48">
      <c r="A48" s="4" t="str">
        <f>=HYPERLINK("#'Ip_OMach'!A1", "Ip_OMach")</f>
      </c>
      <c r="B48" t="s">
        <v>81</v>
      </c>
    </row>
    <row r="49">
      <c r="A49" s="4" t="str">
        <f>=HYPERLINK("#'Ip_OCon'!A1", "Ip_OCon")</f>
      </c>
      <c r="B49" t="s">
        <v>83</v>
      </c>
    </row>
    <row r="50">
      <c r="A50" s="4" t="str">
        <f>=HYPERLINK("#'Ip_Rstruc'!A1", "Ip_Rstruc")</f>
      </c>
      <c r="B50" t="s">
        <v>85</v>
      </c>
    </row>
    <row r="51">
      <c r="A51" s="4" t="str">
        <f>=HYPERLINK("#'Ip_Cult'!A1", "Ip_Cult")</f>
      </c>
      <c r="B51" t="s">
        <v>87</v>
      </c>
    </row>
    <row r="52">
      <c r="A52" s="4" t="str">
        <f>=HYPERLINK("#'Ip_RD'!A1", "Ip_RD")</f>
      </c>
      <c r="B52" t="s">
        <v>89</v>
      </c>
    </row>
    <row r="53">
      <c r="A53" s="4" t="str">
        <f>=HYPERLINK("#'Ip_OIPP'!A1", "Ip_OIPP")</f>
      </c>
      <c r="B53" t="s">
        <v>91</v>
      </c>
    </row>
    <row r="54">
      <c r="A54" s="4" t="str">
        <f>=HYPERLINK("#'Ip_GFCF'!A1", "Ip_GFCF")</f>
      </c>
      <c r="B54" t="s">
        <v>93</v>
      </c>
    </row>
    <row r="55">
      <c r="A55" s="2" t="s">
        <v>94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4" t="str">
        <f>=HYPERLINK("#'K_IT'!A1", "K_IT")</f>
      </c>
      <c r="B56" t="s">
        <v>96</v>
      </c>
    </row>
    <row r="57">
      <c r="A57" s="4" t="str">
        <f>=HYPERLINK("#'K_CT'!A1", "K_CT")</f>
      </c>
      <c r="B57" t="s">
        <v>98</v>
      </c>
    </row>
    <row r="58">
      <c r="A58" s="4" t="str">
        <f>=HYPERLINK("#'K_Soft_DB'!A1", "K_Soft_DB")</f>
      </c>
      <c r="B58" t="s">
        <v>100</v>
      </c>
    </row>
    <row r="59">
      <c r="A59" s="4" t="str">
        <f>=HYPERLINK("#'K_TraEq'!A1", "K_TraEq")</f>
      </c>
      <c r="B59" t="s">
        <v>102</v>
      </c>
    </row>
    <row r="60">
      <c r="A60" s="4" t="str">
        <f>=HYPERLINK("#'K_OMach'!A1", "K_OMach")</f>
      </c>
      <c r="B60" t="s">
        <v>104</v>
      </c>
    </row>
    <row r="61">
      <c r="A61" s="4" t="str">
        <f>=HYPERLINK("#'K_OCon'!A1", "K_OCon")</f>
      </c>
      <c r="B61" t="s">
        <v>106</v>
      </c>
    </row>
    <row r="62">
      <c r="A62" s="4" t="str">
        <f>=HYPERLINK("#'K_Rstruc'!A1", "K_Rstruc")</f>
      </c>
      <c r="B62" t="s">
        <v>108</v>
      </c>
    </row>
    <row r="63">
      <c r="A63" s="4" t="str">
        <f>=HYPERLINK("#'K_Cult'!A1", "K_Cult")</f>
      </c>
      <c r="B63" t="s">
        <v>110</v>
      </c>
    </row>
    <row r="64">
      <c r="A64" s="4" t="str">
        <f>=HYPERLINK("#'K_RD'!A1", "K_RD")</f>
      </c>
      <c r="B64" t="s">
        <v>112</v>
      </c>
    </row>
    <row r="65">
      <c r="A65" s="4" t="str">
        <f>=HYPERLINK("#'K_OIPP'!A1", "K_OIPP")</f>
      </c>
      <c r="B65" t="s">
        <v>114</v>
      </c>
    </row>
    <row r="66">
      <c r="A66" s="4" t="str">
        <f>=HYPERLINK("#'K_GFCF'!A1", "K_GFCF")</f>
      </c>
      <c r="B66" t="s">
        <v>116</v>
      </c>
    </row>
    <row r="67">
      <c r="A67" s="2" t="s">
        <v>117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4" t="str">
        <f>=HYPERLINK("#'Kpyp_IT'!A1", "Kpyp_IT")</f>
      </c>
      <c r="B68" t="s">
        <v>119</v>
      </c>
    </row>
    <row r="69">
      <c r="A69" s="4" t="str">
        <f>=HYPERLINK("#'Kpyp_CT'!A1", "Kpyp_CT")</f>
      </c>
      <c r="B69" t="s">
        <v>121</v>
      </c>
    </row>
    <row r="70">
      <c r="A70" s="4" t="str">
        <f>=HYPERLINK("#'Kpyp_Soft_DB'!A1", "Kpyp_Soft_DB")</f>
      </c>
      <c r="B70" t="s">
        <v>123</v>
      </c>
    </row>
    <row r="71">
      <c r="A71" s="4" t="str">
        <f>=HYPERLINK("#'Kpyp_TraEq'!A1", "Kpyp_TraEq")</f>
      </c>
      <c r="B71" t="s">
        <v>125</v>
      </c>
    </row>
    <row r="72">
      <c r="A72" s="4" t="str">
        <f>=HYPERLINK("#'Kpyp_OMach'!A1", "Kpyp_OMach")</f>
      </c>
      <c r="B72" t="s">
        <v>127</v>
      </c>
    </row>
    <row r="73">
      <c r="A73" s="4" t="str">
        <f>=HYPERLINK("#'Kpyp_OCon'!A1", "Kpyp_OCon")</f>
      </c>
      <c r="B73" t="s">
        <v>129</v>
      </c>
    </row>
    <row r="74">
      <c r="A74" s="4" t="str">
        <f>=HYPERLINK("#'Kpyp_Rstruc'!A1", "Kpyp_Rstruc")</f>
      </c>
      <c r="B74" t="s">
        <v>131</v>
      </c>
    </row>
    <row r="75">
      <c r="A75" s="4" t="str">
        <f>=HYPERLINK("#'Kpyp_Cult'!A1", "Kpyp_Cult")</f>
      </c>
      <c r="B75" t="s">
        <v>133</v>
      </c>
    </row>
    <row r="76">
      <c r="A76" s="4" t="str">
        <f>=HYPERLINK("#'Kpyp_RD'!A1", "Kpyp_RD")</f>
      </c>
      <c r="B76" t="s">
        <v>135</v>
      </c>
    </row>
    <row r="77">
      <c r="A77" s="4" t="str">
        <f>=HYPERLINK("#'Kpyp_OIPP'!A1", "Kpyp_OIPP")</f>
      </c>
      <c r="B77" t="s">
        <v>137</v>
      </c>
    </row>
    <row r="78">
      <c r="A78" s="4" t="str">
        <f>=HYPERLINK("#'Kpyp_GFCF'!A1", "Kpyp_GFCF")</f>
      </c>
      <c r="B78" t="s">
        <v>139</v>
      </c>
    </row>
    <row r="79">
      <c r="A79" s="2" t="s">
        <v>140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4" t="str">
        <f>=HYPERLINK("#'Kq_IT'!A1", "Kq_IT")</f>
      </c>
      <c r="B80" t="s">
        <v>50</v>
      </c>
    </row>
    <row r="81">
      <c r="A81" s="4" t="str">
        <f>=HYPERLINK("#'Kq_CT'!A1", "Kq_CT")</f>
      </c>
      <c r="B81" t="s">
        <v>52</v>
      </c>
    </row>
    <row r="82">
      <c r="A82" s="4" t="str">
        <f>=HYPERLINK("#'Kq_Soft_DB'!A1", "Kq_Soft_DB")</f>
      </c>
      <c r="B82" t="s">
        <v>54</v>
      </c>
    </row>
    <row r="83">
      <c r="A83" s="4" t="str">
        <f>=HYPERLINK("#'Kq_TraEq'!A1", "Kq_TraEq")</f>
      </c>
      <c r="B83" t="s">
        <v>56</v>
      </c>
    </row>
    <row r="84">
      <c r="A84" s="4" t="str">
        <f>=HYPERLINK("#'Kq_OMach'!A1", "Kq_OMach")</f>
      </c>
      <c r="B84" t="s">
        <v>58</v>
      </c>
    </row>
    <row r="85">
      <c r="A85" s="4" t="str">
        <f>=HYPERLINK("#'Kq_OCon'!A1", "Kq_OCon")</f>
      </c>
      <c r="B85" t="s">
        <v>60</v>
      </c>
    </row>
    <row r="86">
      <c r="A86" s="4" t="str">
        <f>=HYPERLINK("#'Kq_Rstruc'!A1", "Kq_Rstruc")</f>
      </c>
      <c r="B86" t="s">
        <v>62</v>
      </c>
    </row>
    <row r="87">
      <c r="A87" s="4" t="str">
        <f>=HYPERLINK("#'Kq_Cult'!A1", "Kq_Cult")</f>
      </c>
      <c r="B87" t="s">
        <v>64</v>
      </c>
    </row>
    <row r="88">
      <c r="A88" s="4" t="str">
        <f>=HYPERLINK("#'Kq_RD'!A1", "Kq_RD")</f>
      </c>
      <c r="B88" t="s">
        <v>66</v>
      </c>
    </row>
    <row r="89">
      <c r="A89" s="4" t="str">
        <f>=HYPERLINK("#'Kq_OIPP'!A1", "Kq_OIPP")</f>
      </c>
      <c r="B89" t="s">
        <v>68</v>
      </c>
    </row>
    <row r="90">
      <c r="A90" s="4" t="str">
        <f>=HYPERLINK("#'Kq_GFCF'!A1", "Kq_GFCF")</f>
      </c>
      <c r="B90" t="s">
        <v>70</v>
      </c>
    </row>
    <row r="91">
      <c r="A91" t="s">
        <v>155</v>
      </c>
    </row>
    <row r="92">
      <c r="A92" t="s">
        <v>155</v>
      </c>
    </row>
    <row r="93">
      <c r="A93" s="1" t="s">
        <v>156</v>
      </c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>
      <c r="A94" s="3" t="s">
        <v>157</v>
      </c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>
      <c r="A95" s="3" t="s">
        <v>158</v>
      </c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>
      <c r="A96" s="3" t="s">
        <v>155</v>
      </c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>
      <c r="A97" s="1" t="s">
        <v>159</v>
      </c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>
      <c r="A98" t="s">
        <v>155</v>
      </c>
    </row>
    <row r="99">
      <c r="A99" s="1" t="s">
        <v>160</v>
      </c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>
      <c r="A100" s="3" t="s">
        <v>161</v>
      </c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>
      <c r="A101" s="3" t="s">
        <v>162</v>
      </c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>
      <c r="A102" s="3" t="s">
        <v>163</v>
      </c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>
      <c r="A103" s="3" t="s">
        <v>164</v>
      </c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3</v>
      </c>
      <c r="B2" t="s">
        <v>197</v>
      </c>
      <c r="C2" t="s">
        <v>203</v>
      </c>
      <c r="D2" t="s">
        <v>199</v>
      </c>
      <c r="E2" t="s">
        <v>204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/>
      <c r="AE2"/>
      <c r="AF2"/>
    </row>
    <row r="3">
      <c r="A3" t="s">
        <v>3</v>
      </c>
      <c r="B3" t="s">
        <v>276</v>
      </c>
      <c r="C3" t="s">
        <v>203</v>
      </c>
      <c r="D3" t="s">
        <v>277</v>
      </c>
      <c r="E3" t="s">
        <v>204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/>
      <c r="AE3"/>
      <c r="AF3"/>
    </row>
    <row r="4">
      <c r="A4" t="s">
        <v>3</v>
      </c>
      <c r="B4" t="s">
        <v>278</v>
      </c>
      <c r="C4" t="s">
        <v>203</v>
      </c>
      <c r="D4" t="s">
        <v>279</v>
      </c>
      <c r="E4" t="s">
        <v>204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/>
      <c r="AE4"/>
      <c r="AF4"/>
    </row>
    <row r="5">
      <c r="A5" t="s">
        <v>3</v>
      </c>
      <c r="B5" t="s">
        <v>280</v>
      </c>
      <c r="C5" t="s">
        <v>203</v>
      </c>
      <c r="D5" t="s">
        <v>281</v>
      </c>
      <c r="E5" t="s">
        <v>204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/>
      <c r="AE5"/>
      <c r="AF5"/>
    </row>
    <row r="6">
      <c r="A6" t="s">
        <v>3</v>
      </c>
      <c r="B6" t="s">
        <v>282</v>
      </c>
      <c r="C6" t="s">
        <v>203</v>
      </c>
      <c r="D6" t="s">
        <v>283</v>
      </c>
      <c r="E6" t="s">
        <v>204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/>
      <c r="AE6"/>
      <c r="AF6"/>
    </row>
    <row r="7">
      <c r="A7" t="s">
        <v>3</v>
      </c>
      <c r="B7" t="s">
        <v>284</v>
      </c>
      <c r="C7" t="s">
        <v>203</v>
      </c>
      <c r="D7" t="s">
        <v>285</v>
      </c>
      <c r="E7" t="s">
        <v>204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/>
      <c r="AE7"/>
      <c r="AF7"/>
    </row>
    <row r="8">
      <c r="A8" t="s">
        <v>3</v>
      </c>
      <c r="B8" t="s">
        <v>286</v>
      </c>
      <c r="C8" t="s">
        <v>203</v>
      </c>
      <c r="D8" t="s">
        <v>287</v>
      </c>
      <c r="E8" t="s">
        <v>204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/>
      <c r="AE8"/>
      <c r="AF8"/>
    </row>
    <row r="9">
      <c r="A9" t="s">
        <v>3</v>
      </c>
      <c r="B9" t="s">
        <v>288</v>
      </c>
      <c r="C9" t="s">
        <v>203</v>
      </c>
      <c r="D9" t="s">
        <v>289</v>
      </c>
      <c r="E9" t="s">
        <v>204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/>
      <c r="AE9"/>
      <c r="AF9"/>
    </row>
    <row r="10">
      <c r="A10" t="s">
        <v>3</v>
      </c>
      <c r="B10" t="s">
        <v>290</v>
      </c>
      <c r="C10" t="s">
        <v>203</v>
      </c>
      <c r="D10" t="s">
        <v>291</v>
      </c>
      <c r="E10" t="s">
        <v>204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/>
      <c r="AE10"/>
      <c r="AF10"/>
    </row>
    <row r="11">
      <c r="A11" t="s">
        <v>3</v>
      </c>
      <c r="B11" t="s">
        <v>292</v>
      </c>
      <c r="C11" t="s">
        <v>203</v>
      </c>
      <c r="D11" t="s">
        <v>293</v>
      </c>
      <c r="E11" t="s">
        <v>204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/>
      <c r="AE11"/>
      <c r="AF11"/>
    </row>
    <row r="12">
      <c r="A12" t="s">
        <v>3</v>
      </c>
      <c r="B12" t="s">
        <v>294</v>
      </c>
      <c r="C12" t="s">
        <v>203</v>
      </c>
      <c r="D12" t="s">
        <v>295</v>
      </c>
      <c r="E12" t="s">
        <v>204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/>
      <c r="AE12"/>
      <c r="AF12"/>
    </row>
    <row r="13">
      <c r="A13" t="s">
        <v>3</v>
      </c>
      <c r="B13" t="s">
        <v>296</v>
      </c>
      <c r="C13" t="s">
        <v>203</v>
      </c>
      <c r="D13" t="s">
        <v>297</v>
      </c>
      <c r="E13" t="s">
        <v>204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/>
      <c r="AE13"/>
      <c r="AF13"/>
    </row>
    <row r="14">
      <c r="A14" t="s">
        <v>3</v>
      </c>
      <c r="B14" t="s">
        <v>298</v>
      </c>
      <c r="C14" t="s">
        <v>203</v>
      </c>
      <c r="D14" t="s">
        <v>299</v>
      </c>
      <c r="E14" t="s">
        <v>204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/>
      <c r="AE14"/>
      <c r="AF14"/>
    </row>
    <row r="15">
      <c r="A15" t="s">
        <v>3</v>
      </c>
      <c r="B15" t="s">
        <v>300</v>
      </c>
      <c r="C15" t="s">
        <v>203</v>
      </c>
      <c r="D15" t="s">
        <v>301</v>
      </c>
      <c r="E15" t="s">
        <v>204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/>
      <c r="AE15"/>
      <c r="AF15"/>
    </row>
    <row r="16">
      <c r="A16" t="s">
        <v>3</v>
      </c>
      <c r="B16" t="s">
        <v>302</v>
      </c>
      <c r="C16" t="s">
        <v>203</v>
      </c>
      <c r="D16" t="s">
        <v>303</v>
      </c>
      <c r="E16" t="s">
        <v>204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/>
      <c r="AE16"/>
      <c r="AF16"/>
    </row>
    <row r="17">
      <c r="A17" t="s">
        <v>3</v>
      </c>
      <c r="B17" t="s">
        <v>304</v>
      </c>
      <c r="C17" t="s">
        <v>203</v>
      </c>
      <c r="D17" t="s">
        <v>305</v>
      </c>
      <c r="E17" t="s">
        <v>204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/>
      <c r="AE17"/>
      <c r="AF17"/>
    </row>
    <row r="18">
      <c r="A18" t="s">
        <v>3</v>
      </c>
      <c r="B18" t="s">
        <v>306</v>
      </c>
      <c r="C18" t="s">
        <v>203</v>
      </c>
      <c r="D18" t="s">
        <v>307</v>
      </c>
      <c r="E18" t="s">
        <v>204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/>
      <c r="AE18"/>
      <c r="AF18"/>
    </row>
    <row r="19">
      <c r="A19" t="s">
        <v>3</v>
      </c>
      <c r="B19" t="s">
        <v>308</v>
      </c>
      <c r="C19" t="s">
        <v>203</v>
      </c>
      <c r="D19" t="s">
        <v>309</v>
      </c>
      <c r="E19" t="s">
        <v>204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/>
      <c r="AE19"/>
      <c r="AF19"/>
    </row>
    <row r="20">
      <c r="A20" t="s">
        <v>3</v>
      </c>
      <c r="B20" t="s">
        <v>310</v>
      </c>
      <c r="C20" t="s">
        <v>203</v>
      </c>
      <c r="D20" t="s">
        <v>311</v>
      </c>
      <c r="E20" t="s">
        <v>204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/>
      <c r="AE20"/>
      <c r="AF20"/>
    </row>
    <row r="21">
      <c r="A21" t="s">
        <v>3</v>
      </c>
      <c r="B21" t="s">
        <v>312</v>
      </c>
      <c r="C21" t="s">
        <v>203</v>
      </c>
      <c r="D21" t="s">
        <v>313</v>
      </c>
      <c r="E21" t="s">
        <v>204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/>
      <c r="AE21"/>
      <c r="AF21"/>
    </row>
    <row r="22">
      <c r="A22" t="s">
        <v>3</v>
      </c>
      <c r="B22" t="s">
        <v>314</v>
      </c>
      <c r="C22" t="s">
        <v>203</v>
      </c>
      <c r="D22" t="s">
        <v>315</v>
      </c>
      <c r="E22" t="s">
        <v>204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/>
      <c r="AE22"/>
      <c r="AF22"/>
    </row>
    <row r="23">
      <c r="A23" t="s">
        <v>3</v>
      </c>
      <c r="B23" t="s">
        <v>316</v>
      </c>
      <c r="C23" t="s">
        <v>203</v>
      </c>
      <c r="D23" t="s">
        <v>317</v>
      </c>
      <c r="E23" t="s">
        <v>204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/>
      <c r="AE23"/>
      <c r="AF23"/>
    </row>
    <row r="24">
      <c r="A24" t="s">
        <v>3</v>
      </c>
      <c r="B24" t="s">
        <v>318</v>
      </c>
      <c r="C24" t="s">
        <v>203</v>
      </c>
      <c r="D24" t="s">
        <v>319</v>
      </c>
      <c r="E24" t="s">
        <v>204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/>
      <c r="AE24"/>
      <c r="AF24"/>
    </row>
    <row r="25">
      <c r="A25" t="s">
        <v>3</v>
      </c>
      <c r="B25" t="s">
        <v>320</v>
      </c>
      <c r="C25" t="s">
        <v>203</v>
      </c>
      <c r="D25" t="s">
        <v>321</v>
      </c>
      <c r="E25" t="s">
        <v>204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/>
      <c r="AE25"/>
      <c r="AF25"/>
    </row>
    <row r="26">
      <c r="A26" t="s">
        <v>3</v>
      </c>
      <c r="B26" t="s">
        <v>322</v>
      </c>
      <c r="C26" t="s">
        <v>203</v>
      </c>
      <c r="D26" t="s">
        <v>323</v>
      </c>
      <c r="E26" t="s">
        <v>204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/>
      <c r="AE26"/>
      <c r="AF26"/>
    </row>
    <row r="27">
      <c r="A27" t="s">
        <v>3</v>
      </c>
      <c r="B27" t="s">
        <v>324</v>
      </c>
      <c r="C27" t="s">
        <v>203</v>
      </c>
      <c r="D27" t="s">
        <v>325</v>
      </c>
      <c r="E27" t="s">
        <v>204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/>
      <c r="AE27"/>
      <c r="AF27"/>
    </row>
    <row r="28">
      <c r="A28" t="s">
        <v>3</v>
      </c>
      <c r="B28" t="s">
        <v>326</v>
      </c>
      <c r="C28" t="s">
        <v>203</v>
      </c>
      <c r="D28" t="s">
        <v>327</v>
      </c>
      <c r="E28" t="s">
        <v>204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/>
      <c r="AE28"/>
      <c r="AF28"/>
    </row>
    <row r="29">
      <c r="A29" t="s">
        <v>3</v>
      </c>
      <c r="B29" t="s">
        <v>328</v>
      </c>
      <c r="C29" t="s">
        <v>203</v>
      </c>
      <c r="D29" t="s">
        <v>329</v>
      </c>
      <c r="E29" t="s">
        <v>204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/>
      <c r="AE29"/>
      <c r="AF29"/>
    </row>
    <row r="30">
      <c r="A30" t="s">
        <v>3</v>
      </c>
      <c r="B30" t="s">
        <v>330</v>
      </c>
      <c r="C30" t="s">
        <v>203</v>
      </c>
      <c r="D30" t="s">
        <v>331</v>
      </c>
      <c r="E30" t="s">
        <v>204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/>
      <c r="AE30"/>
      <c r="AF30"/>
    </row>
    <row r="31">
      <c r="A31" t="s">
        <v>3</v>
      </c>
      <c r="B31" t="s">
        <v>332</v>
      </c>
      <c r="C31" t="s">
        <v>203</v>
      </c>
      <c r="D31" t="s">
        <v>333</v>
      </c>
      <c r="E31" t="s">
        <v>204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/>
      <c r="AE31"/>
      <c r="AF31"/>
    </row>
    <row r="32">
      <c r="A32" t="s">
        <v>3</v>
      </c>
      <c r="B32" t="s">
        <v>334</v>
      </c>
      <c r="C32" t="s">
        <v>203</v>
      </c>
      <c r="D32" t="s">
        <v>335</v>
      </c>
      <c r="E32" t="s">
        <v>204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/>
      <c r="AE32"/>
      <c r="AF32"/>
    </row>
    <row r="33">
      <c r="A33" t="s">
        <v>3</v>
      </c>
      <c r="B33" t="s">
        <v>336</v>
      </c>
      <c r="C33" t="s">
        <v>203</v>
      </c>
      <c r="D33" t="s">
        <v>337</v>
      </c>
      <c r="E33" t="s">
        <v>204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/>
      <c r="AE33"/>
      <c r="AF33"/>
    </row>
    <row r="34">
      <c r="A34" t="s">
        <v>3</v>
      </c>
      <c r="B34" t="s">
        <v>338</v>
      </c>
      <c r="C34" t="s">
        <v>203</v>
      </c>
      <c r="D34" t="s">
        <v>339</v>
      </c>
      <c r="E34" t="s">
        <v>204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/>
      <c r="AE34"/>
      <c r="AF34"/>
    </row>
    <row r="35">
      <c r="A35" t="s">
        <v>3</v>
      </c>
      <c r="B35" t="s">
        <v>340</v>
      </c>
      <c r="C35" t="s">
        <v>203</v>
      </c>
      <c r="D35" t="s">
        <v>341</v>
      </c>
      <c r="E35" t="s">
        <v>204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/>
      <c r="AE35"/>
      <c r="AF35"/>
    </row>
    <row r="36">
      <c r="A36" t="s">
        <v>3</v>
      </c>
      <c r="B36" t="s">
        <v>342</v>
      </c>
      <c r="C36" t="s">
        <v>203</v>
      </c>
      <c r="D36" t="s">
        <v>343</v>
      </c>
      <c r="E36" t="s">
        <v>204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/>
      <c r="AE36"/>
      <c r="AF36"/>
    </row>
    <row r="37">
      <c r="A37" t="s">
        <v>3</v>
      </c>
      <c r="B37" t="s">
        <v>344</v>
      </c>
      <c r="C37" t="s">
        <v>203</v>
      </c>
      <c r="D37" t="s">
        <v>345</v>
      </c>
      <c r="E37" t="s">
        <v>204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/>
      <c r="AE37"/>
      <c r="AF37"/>
    </row>
    <row r="38">
      <c r="A38" t="s">
        <v>3</v>
      </c>
      <c r="B38" t="s">
        <v>346</v>
      </c>
      <c r="C38" t="s">
        <v>203</v>
      </c>
      <c r="D38" t="s">
        <v>347</v>
      </c>
      <c r="E38" t="s">
        <v>204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/>
      <c r="AE38"/>
      <c r="AF38"/>
    </row>
    <row r="39">
      <c r="A39" t="s">
        <v>3</v>
      </c>
      <c r="B39" t="s">
        <v>348</v>
      </c>
      <c r="C39" t="s">
        <v>203</v>
      </c>
      <c r="D39" t="s">
        <v>349</v>
      </c>
      <c r="E39" t="s">
        <v>204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/>
      <c r="AE39"/>
      <c r="AF39"/>
    </row>
    <row r="40">
      <c r="A40" t="s">
        <v>3</v>
      </c>
      <c r="B40" t="s">
        <v>350</v>
      </c>
      <c r="C40" t="s">
        <v>203</v>
      </c>
      <c r="D40" t="s">
        <v>351</v>
      </c>
      <c r="E40" t="s">
        <v>204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/>
      <c r="AE40"/>
      <c r="AF40"/>
    </row>
    <row r="41">
      <c r="A41" t="s">
        <v>3</v>
      </c>
      <c r="B41" t="s">
        <v>352</v>
      </c>
      <c r="C41" t="s">
        <v>203</v>
      </c>
      <c r="D41" t="s">
        <v>353</v>
      </c>
      <c r="E41" t="s">
        <v>204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/>
      <c r="AE41"/>
      <c r="AF41"/>
    </row>
    <row r="42">
      <c r="A42" t="s">
        <v>3</v>
      </c>
      <c r="B42" t="s">
        <v>354</v>
      </c>
      <c r="C42" t="s">
        <v>203</v>
      </c>
      <c r="D42" t="s">
        <v>355</v>
      </c>
      <c r="E42" t="s">
        <v>204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/>
      <c r="AE42"/>
      <c r="AF42"/>
    </row>
    <row r="43">
      <c r="A43" t="s">
        <v>3</v>
      </c>
      <c r="B43" t="s">
        <v>356</v>
      </c>
      <c r="C43" t="s">
        <v>203</v>
      </c>
      <c r="D43" t="s">
        <v>357</v>
      </c>
      <c r="E43" t="s">
        <v>204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/>
      <c r="AE43"/>
      <c r="AF43"/>
    </row>
    <row r="44">
      <c r="A44" t="s">
        <v>3</v>
      </c>
      <c r="B44" t="s">
        <v>358</v>
      </c>
      <c r="C44" t="s">
        <v>203</v>
      </c>
      <c r="D44" t="s">
        <v>359</v>
      </c>
      <c r="E44" t="s">
        <v>204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/>
      <c r="AE44"/>
      <c r="AF44"/>
    </row>
    <row r="45">
      <c r="A45" t="s">
        <v>3</v>
      </c>
      <c r="B45" t="s">
        <v>360</v>
      </c>
      <c r="C45" t="s">
        <v>203</v>
      </c>
      <c r="D45" t="s">
        <v>361</v>
      </c>
      <c r="E45" t="s">
        <v>204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/>
      <c r="AE45"/>
      <c r="AF45"/>
    </row>
    <row r="46">
      <c r="A46" t="s">
        <v>3</v>
      </c>
      <c r="B46" t="s">
        <v>362</v>
      </c>
      <c r="C46" t="s">
        <v>203</v>
      </c>
      <c r="D46" t="s">
        <v>363</v>
      </c>
      <c r="E46" t="s">
        <v>204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/>
      <c r="AE46"/>
      <c r="AF46"/>
    </row>
    <row r="47">
      <c r="A47" t="s">
        <v>3</v>
      </c>
      <c r="B47" t="s">
        <v>364</v>
      </c>
      <c r="C47" t="s">
        <v>203</v>
      </c>
      <c r="D47" t="s">
        <v>365</v>
      </c>
      <c r="E47" t="s">
        <v>204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/>
      <c r="AE47"/>
      <c r="AF47"/>
    </row>
    <row r="48">
      <c r="A48" t="s">
        <v>3</v>
      </c>
      <c r="B48" t="s">
        <v>366</v>
      </c>
      <c r="C48" t="s">
        <v>203</v>
      </c>
      <c r="D48" t="s">
        <v>367</v>
      </c>
      <c r="E48" t="s">
        <v>204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/>
      <c r="AE48"/>
      <c r="AF48"/>
    </row>
    <row r="49">
      <c r="A49" t="s">
        <v>3</v>
      </c>
      <c r="B49" t="s">
        <v>368</v>
      </c>
      <c r="C49" t="s">
        <v>203</v>
      </c>
      <c r="D49" t="s">
        <v>369</v>
      </c>
      <c r="E49" t="s">
        <v>204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/>
      <c r="AE49"/>
      <c r="AF49"/>
    </row>
    <row r="50">
      <c r="A50" t="s">
        <v>3</v>
      </c>
      <c r="B50" t="s">
        <v>370</v>
      </c>
      <c r="C50" t="s">
        <v>203</v>
      </c>
      <c r="D50" t="s">
        <v>371</v>
      </c>
      <c r="E50" t="s">
        <v>204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/>
      <c r="AE50"/>
      <c r="AF50"/>
    </row>
    <row r="51">
      <c r="A51" t="s">
        <v>3</v>
      </c>
      <c r="B51" t="s">
        <v>372</v>
      </c>
      <c r="C51" t="s">
        <v>203</v>
      </c>
      <c r="D51" t="s">
        <v>373</v>
      </c>
      <c r="E51" t="s">
        <v>204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/>
      <c r="AE51"/>
      <c r="AF51"/>
    </row>
    <row r="52">
      <c r="A52" t="s">
        <v>3</v>
      </c>
      <c r="B52" t="s">
        <v>374</v>
      </c>
      <c r="C52" t="s">
        <v>203</v>
      </c>
      <c r="D52" t="s">
        <v>375</v>
      </c>
      <c r="E52" t="s">
        <v>204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/>
      <c r="AE52"/>
      <c r="AF52"/>
    </row>
    <row r="53">
      <c r="A53" t="s">
        <v>3</v>
      </c>
      <c r="B53" t="s">
        <v>376</v>
      </c>
      <c r="C53" t="s">
        <v>203</v>
      </c>
      <c r="D53" t="s">
        <v>377</v>
      </c>
      <c r="E53" t="s">
        <v>204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/>
      <c r="AE53"/>
      <c r="AF53"/>
    </row>
    <row r="54">
      <c r="A54" t="s">
        <v>3</v>
      </c>
      <c r="B54" t="s">
        <v>378</v>
      </c>
      <c r="C54" t="s">
        <v>203</v>
      </c>
      <c r="D54" t="s">
        <v>379</v>
      </c>
      <c r="E54" t="s">
        <v>204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/>
      <c r="AE54"/>
      <c r="AF54"/>
    </row>
    <row r="55">
      <c r="A55" t="s">
        <v>3</v>
      </c>
      <c r="B55" t="s">
        <v>380</v>
      </c>
      <c r="C55" t="s">
        <v>203</v>
      </c>
      <c r="D55" t="s">
        <v>381</v>
      </c>
      <c r="E55" t="s">
        <v>204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/>
      <c r="AE55"/>
      <c r="AF55"/>
    </row>
    <row r="56">
      <c r="A56" t="s">
        <v>3</v>
      </c>
      <c r="B56" t="s">
        <v>382</v>
      </c>
      <c r="C56" t="s">
        <v>203</v>
      </c>
      <c r="D56" t="s">
        <v>383</v>
      </c>
      <c r="E56" t="s">
        <v>204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/>
      <c r="AE56"/>
      <c r="AF56"/>
    </row>
    <row r="57">
      <c r="A57" t="s">
        <v>3</v>
      </c>
      <c r="B57" t="s">
        <v>384</v>
      </c>
      <c r="C57" t="s">
        <v>203</v>
      </c>
      <c r="D57" t="s">
        <v>385</v>
      </c>
      <c r="E57" t="s">
        <v>204</v>
      </c>
      <c r="F57" t="n">
        <v>4.2</v>
      </c>
      <c r="G57" t="n">
        <v>1.9</v>
      </c>
      <c r="H57" t="n">
        <v>36</v>
      </c>
      <c r="I57" t="n">
        <v>75.4</v>
      </c>
      <c r="J57" t="n">
        <v>167.7</v>
      </c>
      <c r="K57" t="n">
        <v>250.7</v>
      </c>
      <c r="L57" t="n">
        <v>318.3</v>
      </c>
      <c r="M57" t="n">
        <v>341.3</v>
      </c>
      <c r="N57" t="n">
        <v>292.1</v>
      </c>
      <c r="O57" t="n">
        <v>240.1</v>
      </c>
      <c r="P57" t="n">
        <v>232.8</v>
      </c>
      <c r="Q57" t="n">
        <v>158.4</v>
      </c>
      <c r="R57" t="n">
        <v>247.2</v>
      </c>
      <c r="S57" t="n">
        <v>366.2</v>
      </c>
      <c r="T57" t="n">
        <v>268.3</v>
      </c>
      <c r="U57" t="n">
        <v>327.9</v>
      </c>
      <c r="V57" t="n">
        <v>455.2</v>
      </c>
      <c r="W57" t="n">
        <v>421.3</v>
      </c>
      <c r="X57" t="n">
        <v>413.2</v>
      </c>
      <c r="Y57" t="n">
        <v>318.8</v>
      </c>
      <c r="Z57" t="n">
        <v>95.1</v>
      </c>
      <c r="AA57" t="n">
        <v>104.6</v>
      </c>
      <c r="AB57" t="n">
        <v>94.4</v>
      </c>
      <c r="AC57" t="n">
        <v>46.8</v>
      </c>
      <c r="AD57" t="n">
        <v>57.7</v>
      </c>
      <c r="AE57" t="n">
        <v>70.6</v>
      </c>
      <c r="AF57" t="n">
        <v>48.4</v>
      </c>
    </row>
    <row r="58">
      <c r="A58" t="s">
        <v>3</v>
      </c>
      <c r="B58" t="s">
        <v>386</v>
      </c>
      <c r="C58" t="s">
        <v>203</v>
      </c>
      <c r="D58" t="s">
        <v>387</v>
      </c>
      <c r="E58" t="s">
        <v>204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/>
      <c r="AE58"/>
      <c r="AF58"/>
    </row>
    <row r="59">
      <c r="A59" t="s">
        <v>3</v>
      </c>
      <c r="B59" t="s">
        <v>388</v>
      </c>
      <c r="C59" t="s">
        <v>203</v>
      </c>
      <c r="D59" t="s">
        <v>389</v>
      </c>
      <c r="E59" t="s">
        <v>204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5</v>
      </c>
      <c r="B2" t="s">
        <v>197</v>
      </c>
      <c r="C2" t="s">
        <v>203</v>
      </c>
      <c r="D2" t="s">
        <v>199</v>
      </c>
      <c r="E2" t="s">
        <v>204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/>
      <c r="AE2"/>
      <c r="AF2"/>
    </row>
    <row r="3">
      <c r="A3" t="s">
        <v>5</v>
      </c>
      <c r="B3" t="s">
        <v>276</v>
      </c>
      <c r="C3" t="s">
        <v>203</v>
      </c>
      <c r="D3" t="s">
        <v>277</v>
      </c>
      <c r="E3" t="s">
        <v>204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/>
      <c r="AE3"/>
      <c r="AF3"/>
    </row>
    <row r="4">
      <c r="A4" t="s">
        <v>5</v>
      </c>
      <c r="B4" t="s">
        <v>278</v>
      </c>
      <c r="C4" t="s">
        <v>203</v>
      </c>
      <c r="D4" t="s">
        <v>279</v>
      </c>
      <c r="E4" t="s">
        <v>204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/>
      <c r="AE4"/>
      <c r="AF4"/>
    </row>
    <row r="5">
      <c r="A5" t="s">
        <v>5</v>
      </c>
      <c r="B5" t="s">
        <v>280</v>
      </c>
      <c r="C5" t="s">
        <v>203</v>
      </c>
      <c r="D5" t="s">
        <v>281</v>
      </c>
      <c r="E5" t="s">
        <v>204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/>
      <c r="AE5"/>
      <c r="AF5"/>
    </row>
    <row r="6">
      <c r="A6" t="s">
        <v>5</v>
      </c>
      <c r="B6" t="s">
        <v>282</v>
      </c>
      <c r="C6" t="s">
        <v>203</v>
      </c>
      <c r="D6" t="s">
        <v>283</v>
      </c>
      <c r="E6" t="s">
        <v>204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/>
      <c r="AE6"/>
      <c r="AF6"/>
    </row>
    <row r="7">
      <c r="A7" t="s">
        <v>5</v>
      </c>
      <c r="B7" t="s">
        <v>284</v>
      </c>
      <c r="C7" t="s">
        <v>203</v>
      </c>
      <c r="D7" t="s">
        <v>285</v>
      </c>
      <c r="E7" t="s">
        <v>204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/>
      <c r="AE7"/>
      <c r="AF7"/>
    </row>
    <row r="8">
      <c r="A8" t="s">
        <v>5</v>
      </c>
      <c r="B8" t="s">
        <v>286</v>
      </c>
      <c r="C8" t="s">
        <v>203</v>
      </c>
      <c r="D8" t="s">
        <v>287</v>
      </c>
      <c r="E8" t="s">
        <v>204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/>
      <c r="AE8"/>
      <c r="AF8"/>
    </row>
    <row r="9">
      <c r="A9" t="s">
        <v>5</v>
      </c>
      <c r="B9" t="s">
        <v>288</v>
      </c>
      <c r="C9" t="s">
        <v>203</v>
      </c>
      <c r="D9" t="s">
        <v>289</v>
      </c>
      <c r="E9" t="s">
        <v>204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/>
      <c r="AE9"/>
      <c r="AF9"/>
    </row>
    <row r="10">
      <c r="A10" t="s">
        <v>5</v>
      </c>
      <c r="B10" t="s">
        <v>290</v>
      </c>
      <c r="C10" t="s">
        <v>203</v>
      </c>
      <c r="D10" t="s">
        <v>291</v>
      </c>
      <c r="E10" t="s">
        <v>204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/>
      <c r="AE10"/>
      <c r="AF10"/>
    </row>
    <row r="11">
      <c r="A11" t="s">
        <v>5</v>
      </c>
      <c r="B11" t="s">
        <v>292</v>
      </c>
      <c r="C11" t="s">
        <v>203</v>
      </c>
      <c r="D11" t="s">
        <v>293</v>
      </c>
      <c r="E11" t="s">
        <v>204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/>
      <c r="AE11"/>
      <c r="AF11"/>
    </row>
    <row r="12">
      <c r="A12" t="s">
        <v>5</v>
      </c>
      <c r="B12" t="s">
        <v>294</v>
      </c>
      <c r="C12" t="s">
        <v>203</v>
      </c>
      <c r="D12" t="s">
        <v>295</v>
      </c>
      <c r="E12" t="s">
        <v>204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/>
      <c r="AE12"/>
      <c r="AF12"/>
    </row>
    <row r="13">
      <c r="A13" t="s">
        <v>5</v>
      </c>
      <c r="B13" t="s">
        <v>296</v>
      </c>
      <c r="C13" t="s">
        <v>203</v>
      </c>
      <c r="D13" t="s">
        <v>297</v>
      </c>
      <c r="E13" t="s">
        <v>204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/>
      <c r="AE13"/>
      <c r="AF13"/>
    </row>
    <row r="14">
      <c r="A14" t="s">
        <v>5</v>
      </c>
      <c r="B14" t="s">
        <v>298</v>
      </c>
      <c r="C14" t="s">
        <v>203</v>
      </c>
      <c r="D14" t="s">
        <v>299</v>
      </c>
      <c r="E14" t="s">
        <v>204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/>
      <c r="AE14"/>
      <c r="AF14"/>
    </row>
    <row r="15">
      <c r="A15" t="s">
        <v>5</v>
      </c>
      <c r="B15" t="s">
        <v>300</v>
      </c>
      <c r="C15" t="s">
        <v>203</v>
      </c>
      <c r="D15" t="s">
        <v>301</v>
      </c>
      <c r="E15" t="s">
        <v>204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/>
      <c r="AE15"/>
      <c r="AF15"/>
    </row>
    <row r="16">
      <c r="A16" t="s">
        <v>5</v>
      </c>
      <c r="B16" t="s">
        <v>302</v>
      </c>
      <c r="C16" t="s">
        <v>203</v>
      </c>
      <c r="D16" t="s">
        <v>303</v>
      </c>
      <c r="E16" t="s">
        <v>204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/>
      <c r="AE16"/>
      <c r="AF16"/>
    </row>
    <row r="17">
      <c r="A17" t="s">
        <v>5</v>
      </c>
      <c r="B17" t="s">
        <v>304</v>
      </c>
      <c r="C17" t="s">
        <v>203</v>
      </c>
      <c r="D17" t="s">
        <v>305</v>
      </c>
      <c r="E17" t="s">
        <v>204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/>
      <c r="AE17"/>
      <c r="AF17"/>
    </row>
    <row r="18">
      <c r="A18" t="s">
        <v>5</v>
      </c>
      <c r="B18" t="s">
        <v>306</v>
      </c>
      <c r="C18" t="s">
        <v>203</v>
      </c>
      <c r="D18" t="s">
        <v>307</v>
      </c>
      <c r="E18" t="s">
        <v>204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/>
      <c r="AE18"/>
      <c r="AF18"/>
    </row>
    <row r="19">
      <c r="A19" t="s">
        <v>5</v>
      </c>
      <c r="B19" t="s">
        <v>308</v>
      </c>
      <c r="C19" t="s">
        <v>203</v>
      </c>
      <c r="D19" t="s">
        <v>309</v>
      </c>
      <c r="E19" t="s">
        <v>204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/>
      <c r="AE19"/>
      <c r="AF19"/>
    </row>
    <row r="20">
      <c r="A20" t="s">
        <v>5</v>
      </c>
      <c r="B20" t="s">
        <v>310</v>
      </c>
      <c r="C20" t="s">
        <v>203</v>
      </c>
      <c r="D20" t="s">
        <v>311</v>
      </c>
      <c r="E20" t="s">
        <v>204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/>
      <c r="AE20"/>
      <c r="AF20"/>
    </row>
    <row r="21">
      <c r="A21" t="s">
        <v>5</v>
      </c>
      <c r="B21" t="s">
        <v>312</v>
      </c>
      <c r="C21" t="s">
        <v>203</v>
      </c>
      <c r="D21" t="s">
        <v>313</v>
      </c>
      <c r="E21" t="s">
        <v>204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/>
      <c r="AE21"/>
      <c r="AF21"/>
    </row>
    <row r="22">
      <c r="A22" t="s">
        <v>5</v>
      </c>
      <c r="B22" t="s">
        <v>314</v>
      </c>
      <c r="C22" t="s">
        <v>203</v>
      </c>
      <c r="D22" t="s">
        <v>315</v>
      </c>
      <c r="E22" t="s">
        <v>204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/>
      <c r="AE22"/>
      <c r="AF22"/>
    </row>
    <row r="23">
      <c r="A23" t="s">
        <v>5</v>
      </c>
      <c r="B23" t="s">
        <v>316</v>
      </c>
      <c r="C23" t="s">
        <v>203</v>
      </c>
      <c r="D23" t="s">
        <v>317</v>
      </c>
      <c r="E23" t="s">
        <v>204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/>
      <c r="AE23"/>
      <c r="AF23"/>
    </row>
    <row r="24">
      <c r="A24" t="s">
        <v>5</v>
      </c>
      <c r="B24" t="s">
        <v>318</v>
      </c>
      <c r="C24" t="s">
        <v>203</v>
      </c>
      <c r="D24" t="s">
        <v>319</v>
      </c>
      <c r="E24" t="s">
        <v>204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/>
      <c r="AE24"/>
      <c r="AF24"/>
    </row>
    <row r="25">
      <c r="A25" t="s">
        <v>5</v>
      </c>
      <c r="B25" t="s">
        <v>320</v>
      </c>
      <c r="C25" t="s">
        <v>203</v>
      </c>
      <c r="D25" t="s">
        <v>321</v>
      </c>
      <c r="E25" t="s">
        <v>204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/>
      <c r="AE25"/>
      <c r="AF25"/>
    </row>
    <row r="26">
      <c r="A26" t="s">
        <v>5</v>
      </c>
      <c r="B26" t="s">
        <v>322</v>
      </c>
      <c r="C26" t="s">
        <v>203</v>
      </c>
      <c r="D26" t="s">
        <v>323</v>
      </c>
      <c r="E26" t="s">
        <v>204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/>
      <c r="AE26"/>
      <c r="AF26"/>
    </row>
    <row r="27">
      <c r="A27" t="s">
        <v>5</v>
      </c>
      <c r="B27" t="s">
        <v>324</v>
      </c>
      <c r="C27" t="s">
        <v>203</v>
      </c>
      <c r="D27" t="s">
        <v>325</v>
      </c>
      <c r="E27" t="s">
        <v>204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/>
      <c r="AE27"/>
      <c r="AF27"/>
    </row>
    <row r="28">
      <c r="A28" t="s">
        <v>5</v>
      </c>
      <c r="B28" t="s">
        <v>326</v>
      </c>
      <c r="C28" t="s">
        <v>203</v>
      </c>
      <c r="D28" t="s">
        <v>327</v>
      </c>
      <c r="E28" t="s">
        <v>204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/>
      <c r="AE28"/>
      <c r="AF28"/>
    </row>
    <row r="29">
      <c r="A29" t="s">
        <v>5</v>
      </c>
      <c r="B29" t="s">
        <v>328</v>
      </c>
      <c r="C29" t="s">
        <v>203</v>
      </c>
      <c r="D29" t="s">
        <v>329</v>
      </c>
      <c r="E29" t="s">
        <v>204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/>
      <c r="AE29"/>
      <c r="AF29"/>
    </row>
    <row r="30">
      <c r="A30" t="s">
        <v>5</v>
      </c>
      <c r="B30" t="s">
        <v>330</v>
      </c>
      <c r="C30" t="s">
        <v>203</v>
      </c>
      <c r="D30" t="s">
        <v>331</v>
      </c>
      <c r="E30" t="s">
        <v>204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/>
      <c r="AE30"/>
      <c r="AF30"/>
    </row>
    <row r="31">
      <c r="A31" t="s">
        <v>5</v>
      </c>
      <c r="B31" t="s">
        <v>332</v>
      </c>
      <c r="C31" t="s">
        <v>203</v>
      </c>
      <c r="D31" t="s">
        <v>333</v>
      </c>
      <c r="E31" t="s">
        <v>204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/>
      <c r="AE31"/>
      <c r="AF31"/>
    </row>
    <row r="32">
      <c r="A32" t="s">
        <v>5</v>
      </c>
      <c r="B32" t="s">
        <v>334</v>
      </c>
      <c r="C32" t="s">
        <v>203</v>
      </c>
      <c r="D32" t="s">
        <v>335</v>
      </c>
      <c r="E32" t="s">
        <v>204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/>
      <c r="AE32"/>
      <c r="AF32"/>
    </row>
    <row r="33">
      <c r="A33" t="s">
        <v>5</v>
      </c>
      <c r="B33" t="s">
        <v>336</v>
      </c>
      <c r="C33" t="s">
        <v>203</v>
      </c>
      <c r="D33" t="s">
        <v>337</v>
      </c>
      <c r="E33" t="s">
        <v>204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/>
      <c r="AE33"/>
      <c r="AF33"/>
    </row>
    <row r="34">
      <c r="A34" t="s">
        <v>5</v>
      </c>
      <c r="B34" t="s">
        <v>338</v>
      </c>
      <c r="C34" t="s">
        <v>203</v>
      </c>
      <c r="D34" t="s">
        <v>339</v>
      </c>
      <c r="E34" t="s">
        <v>204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/>
      <c r="AE34"/>
      <c r="AF34"/>
    </row>
    <row r="35">
      <c r="A35" t="s">
        <v>5</v>
      </c>
      <c r="B35" t="s">
        <v>340</v>
      </c>
      <c r="C35" t="s">
        <v>203</v>
      </c>
      <c r="D35" t="s">
        <v>341</v>
      </c>
      <c r="E35" t="s">
        <v>204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/>
      <c r="AE35"/>
      <c r="AF35"/>
    </row>
    <row r="36">
      <c r="A36" t="s">
        <v>5</v>
      </c>
      <c r="B36" t="s">
        <v>342</v>
      </c>
      <c r="C36" t="s">
        <v>203</v>
      </c>
      <c r="D36" t="s">
        <v>343</v>
      </c>
      <c r="E36" t="s">
        <v>204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/>
      <c r="AE36"/>
      <c r="AF36"/>
    </row>
    <row r="37">
      <c r="A37" t="s">
        <v>5</v>
      </c>
      <c r="B37" t="s">
        <v>344</v>
      </c>
      <c r="C37" t="s">
        <v>203</v>
      </c>
      <c r="D37" t="s">
        <v>345</v>
      </c>
      <c r="E37" t="s">
        <v>204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/>
      <c r="AE37"/>
      <c r="AF37"/>
    </row>
    <row r="38">
      <c r="A38" t="s">
        <v>5</v>
      </c>
      <c r="B38" t="s">
        <v>346</v>
      </c>
      <c r="C38" t="s">
        <v>203</v>
      </c>
      <c r="D38" t="s">
        <v>347</v>
      </c>
      <c r="E38" t="s">
        <v>204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/>
      <c r="AE38"/>
      <c r="AF38"/>
    </row>
    <row r="39">
      <c r="A39" t="s">
        <v>5</v>
      </c>
      <c r="B39" t="s">
        <v>348</v>
      </c>
      <c r="C39" t="s">
        <v>203</v>
      </c>
      <c r="D39" t="s">
        <v>349</v>
      </c>
      <c r="E39" t="s">
        <v>204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/>
      <c r="AE39"/>
      <c r="AF39"/>
    </row>
    <row r="40">
      <c r="A40" t="s">
        <v>5</v>
      </c>
      <c r="B40" t="s">
        <v>350</v>
      </c>
      <c r="C40" t="s">
        <v>203</v>
      </c>
      <c r="D40" t="s">
        <v>351</v>
      </c>
      <c r="E40" t="s">
        <v>204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/>
      <c r="AE40"/>
      <c r="AF40"/>
    </row>
    <row r="41">
      <c r="A41" t="s">
        <v>5</v>
      </c>
      <c r="B41" t="s">
        <v>352</v>
      </c>
      <c r="C41" t="s">
        <v>203</v>
      </c>
      <c r="D41" t="s">
        <v>353</v>
      </c>
      <c r="E41" t="s">
        <v>204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/>
      <c r="AE41"/>
      <c r="AF41"/>
    </row>
    <row r="42">
      <c r="A42" t="s">
        <v>5</v>
      </c>
      <c r="B42" t="s">
        <v>354</v>
      </c>
      <c r="C42" t="s">
        <v>203</v>
      </c>
      <c r="D42" t="s">
        <v>355</v>
      </c>
      <c r="E42" t="s">
        <v>204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/>
      <c r="AE42"/>
      <c r="AF42"/>
    </row>
    <row r="43">
      <c r="A43" t="s">
        <v>5</v>
      </c>
      <c r="B43" t="s">
        <v>356</v>
      </c>
      <c r="C43" t="s">
        <v>203</v>
      </c>
      <c r="D43" t="s">
        <v>357</v>
      </c>
      <c r="E43" t="s">
        <v>204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/>
      <c r="AE43"/>
      <c r="AF43"/>
    </row>
    <row r="44">
      <c r="A44" t="s">
        <v>5</v>
      </c>
      <c r="B44" t="s">
        <v>358</v>
      </c>
      <c r="C44" t="s">
        <v>203</v>
      </c>
      <c r="D44" t="s">
        <v>359</v>
      </c>
      <c r="E44" t="s">
        <v>204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/>
      <c r="AE44"/>
      <c r="AF44"/>
    </row>
    <row r="45">
      <c r="A45" t="s">
        <v>5</v>
      </c>
      <c r="B45" t="s">
        <v>360</v>
      </c>
      <c r="C45" t="s">
        <v>203</v>
      </c>
      <c r="D45" t="s">
        <v>361</v>
      </c>
      <c r="E45" t="s">
        <v>204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/>
      <c r="AE45"/>
      <c r="AF45"/>
    </row>
    <row r="46">
      <c r="A46" t="s">
        <v>5</v>
      </c>
      <c r="B46" t="s">
        <v>362</v>
      </c>
      <c r="C46" t="s">
        <v>203</v>
      </c>
      <c r="D46" t="s">
        <v>363</v>
      </c>
      <c r="E46" t="s">
        <v>204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/>
      <c r="AE46"/>
      <c r="AF46"/>
    </row>
    <row r="47">
      <c r="A47" t="s">
        <v>5</v>
      </c>
      <c r="B47" t="s">
        <v>364</v>
      </c>
      <c r="C47" t="s">
        <v>203</v>
      </c>
      <c r="D47" t="s">
        <v>365</v>
      </c>
      <c r="E47" t="s">
        <v>204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/>
      <c r="AE47"/>
      <c r="AF47"/>
    </row>
    <row r="48">
      <c r="A48" t="s">
        <v>5</v>
      </c>
      <c r="B48" t="s">
        <v>366</v>
      </c>
      <c r="C48" t="s">
        <v>203</v>
      </c>
      <c r="D48" t="s">
        <v>367</v>
      </c>
      <c r="E48" t="s">
        <v>204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/>
      <c r="AE48"/>
      <c r="AF48"/>
    </row>
    <row r="49">
      <c r="A49" t="s">
        <v>5</v>
      </c>
      <c r="B49" t="s">
        <v>368</v>
      </c>
      <c r="C49" t="s">
        <v>203</v>
      </c>
      <c r="D49" t="s">
        <v>369</v>
      </c>
      <c r="E49" t="s">
        <v>204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/>
      <c r="AE49"/>
      <c r="AF49"/>
    </row>
    <row r="50">
      <c r="A50" t="s">
        <v>5</v>
      </c>
      <c r="B50" t="s">
        <v>370</v>
      </c>
      <c r="C50" t="s">
        <v>203</v>
      </c>
      <c r="D50" t="s">
        <v>371</v>
      </c>
      <c r="E50" t="s">
        <v>204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/>
      <c r="AE50"/>
      <c r="AF50"/>
    </row>
    <row r="51">
      <c r="A51" t="s">
        <v>5</v>
      </c>
      <c r="B51" t="s">
        <v>372</v>
      </c>
      <c r="C51" t="s">
        <v>203</v>
      </c>
      <c r="D51" t="s">
        <v>373</v>
      </c>
      <c r="E51" t="s">
        <v>204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/>
      <c r="AE51"/>
      <c r="AF51"/>
    </row>
    <row r="52">
      <c r="A52" t="s">
        <v>5</v>
      </c>
      <c r="B52" t="s">
        <v>374</v>
      </c>
      <c r="C52" t="s">
        <v>203</v>
      </c>
      <c r="D52" t="s">
        <v>375</v>
      </c>
      <c r="E52" t="s">
        <v>204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/>
      <c r="AE52"/>
      <c r="AF52"/>
    </row>
    <row r="53">
      <c r="A53" t="s">
        <v>5</v>
      </c>
      <c r="B53" t="s">
        <v>376</v>
      </c>
      <c r="C53" t="s">
        <v>203</v>
      </c>
      <c r="D53" t="s">
        <v>377</v>
      </c>
      <c r="E53" t="s">
        <v>204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/>
      <c r="AE53"/>
      <c r="AF53"/>
    </row>
    <row r="54">
      <c r="A54" t="s">
        <v>5</v>
      </c>
      <c r="B54" t="s">
        <v>378</v>
      </c>
      <c r="C54" t="s">
        <v>203</v>
      </c>
      <c r="D54" t="s">
        <v>379</v>
      </c>
      <c r="E54" t="s">
        <v>204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/>
      <c r="AE54"/>
      <c r="AF54"/>
    </row>
    <row r="55">
      <c r="A55" t="s">
        <v>5</v>
      </c>
      <c r="B55" t="s">
        <v>380</v>
      </c>
      <c r="C55" t="s">
        <v>203</v>
      </c>
      <c r="D55" t="s">
        <v>381</v>
      </c>
      <c r="E55" t="s">
        <v>204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/>
      <c r="AE55"/>
      <c r="AF55"/>
    </row>
    <row r="56">
      <c r="A56" t="s">
        <v>5</v>
      </c>
      <c r="B56" t="s">
        <v>382</v>
      </c>
      <c r="C56" t="s">
        <v>203</v>
      </c>
      <c r="D56" t="s">
        <v>383</v>
      </c>
      <c r="E56" t="s">
        <v>204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/>
      <c r="AE56"/>
      <c r="AF56"/>
    </row>
    <row r="57">
      <c r="A57" t="s">
        <v>5</v>
      </c>
      <c r="B57" t="s">
        <v>384</v>
      </c>
      <c r="C57" t="s">
        <v>203</v>
      </c>
      <c r="D57" t="s">
        <v>385</v>
      </c>
      <c r="E57" t="s">
        <v>204</v>
      </c>
      <c r="F57" t="n">
        <v>11.3</v>
      </c>
      <c r="G57" t="n">
        <v>5.2</v>
      </c>
      <c r="H57" t="n">
        <v>97.5</v>
      </c>
      <c r="I57" t="n">
        <v>204.4</v>
      </c>
      <c r="J57" t="n">
        <v>133.8</v>
      </c>
      <c r="K57" t="n">
        <v>195.4</v>
      </c>
      <c r="L57" t="n">
        <v>362</v>
      </c>
      <c r="M57" t="n">
        <v>229.3</v>
      </c>
      <c r="N57" t="n">
        <v>120.5</v>
      </c>
      <c r="O57" t="n">
        <v>172.3</v>
      </c>
      <c r="P57" t="n">
        <v>289</v>
      </c>
      <c r="Q57" t="n">
        <v>610.6</v>
      </c>
      <c r="R57" t="n">
        <v>952.7</v>
      </c>
      <c r="S57" t="n">
        <v>1467.8</v>
      </c>
      <c r="T57" t="n">
        <v>320.7</v>
      </c>
      <c r="U57" t="n">
        <v>501.3</v>
      </c>
      <c r="V57" t="n">
        <v>795.2</v>
      </c>
      <c r="W57" t="n">
        <v>187.2</v>
      </c>
      <c r="X57" t="n">
        <v>183.6</v>
      </c>
      <c r="Y57" t="n">
        <v>189</v>
      </c>
      <c r="Z57" t="n">
        <v>67.1</v>
      </c>
      <c r="AA57" t="n">
        <v>108.3</v>
      </c>
      <c r="AB57" t="n">
        <v>95.8</v>
      </c>
      <c r="AC57" t="n">
        <v>45.6</v>
      </c>
      <c r="AD57" t="n">
        <v>465.8</v>
      </c>
      <c r="AE57" t="n">
        <v>49.4</v>
      </c>
      <c r="AF57" t="n">
        <v>60.5</v>
      </c>
    </row>
    <row r="58">
      <c r="A58" t="s">
        <v>5</v>
      </c>
      <c r="B58" t="s">
        <v>386</v>
      </c>
      <c r="C58" t="s">
        <v>203</v>
      </c>
      <c r="D58" t="s">
        <v>387</v>
      </c>
      <c r="E58" t="s">
        <v>204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/>
      <c r="AE58"/>
      <c r="AF58"/>
    </row>
    <row r="59">
      <c r="A59" t="s">
        <v>5</v>
      </c>
      <c r="B59" t="s">
        <v>388</v>
      </c>
      <c r="C59" t="s">
        <v>203</v>
      </c>
      <c r="D59" t="s">
        <v>389</v>
      </c>
      <c r="E59" t="s">
        <v>204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7</v>
      </c>
      <c r="B2" t="s">
        <v>197</v>
      </c>
      <c r="C2" t="s">
        <v>203</v>
      </c>
      <c r="D2" t="s">
        <v>199</v>
      </c>
      <c r="E2" t="s">
        <v>204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/>
      <c r="AE2"/>
      <c r="AF2"/>
    </row>
    <row r="3">
      <c r="A3" t="s">
        <v>7</v>
      </c>
      <c r="B3" t="s">
        <v>276</v>
      </c>
      <c r="C3" t="s">
        <v>203</v>
      </c>
      <c r="D3" t="s">
        <v>277</v>
      </c>
      <c r="E3" t="s">
        <v>204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/>
      <c r="AE3"/>
      <c r="AF3"/>
    </row>
    <row r="4">
      <c r="A4" t="s">
        <v>7</v>
      </c>
      <c r="B4" t="s">
        <v>278</v>
      </c>
      <c r="C4" t="s">
        <v>203</v>
      </c>
      <c r="D4" t="s">
        <v>279</v>
      </c>
      <c r="E4" t="s">
        <v>204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/>
      <c r="AE4"/>
      <c r="AF4"/>
    </row>
    <row r="5">
      <c r="A5" t="s">
        <v>7</v>
      </c>
      <c r="B5" t="s">
        <v>280</v>
      </c>
      <c r="C5" t="s">
        <v>203</v>
      </c>
      <c r="D5" t="s">
        <v>281</v>
      </c>
      <c r="E5" t="s">
        <v>204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/>
      <c r="AE5"/>
      <c r="AF5"/>
    </row>
    <row r="6">
      <c r="A6" t="s">
        <v>7</v>
      </c>
      <c r="B6" t="s">
        <v>282</v>
      </c>
      <c r="C6" t="s">
        <v>203</v>
      </c>
      <c r="D6" t="s">
        <v>283</v>
      </c>
      <c r="E6" t="s">
        <v>204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/>
      <c r="AE6"/>
      <c r="AF6"/>
    </row>
    <row r="7">
      <c r="A7" t="s">
        <v>7</v>
      </c>
      <c r="B7" t="s">
        <v>284</v>
      </c>
      <c r="C7" t="s">
        <v>203</v>
      </c>
      <c r="D7" t="s">
        <v>285</v>
      </c>
      <c r="E7" t="s">
        <v>204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/>
      <c r="AE7"/>
      <c r="AF7"/>
    </row>
    <row r="8">
      <c r="A8" t="s">
        <v>7</v>
      </c>
      <c r="B8" t="s">
        <v>286</v>
      </c>
      <c r="C8" t="s">
        <v>203</v>
      </c>
      <c r="D8" t="s">
        <v>287</v>
      </c>
      <c r="E8" t="s">
        <v>204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/>
      <c r="AE8"/>
      <c r="AF8"/>
    </row>
    <row r="9">
      <c r="A9" t="s">
        <v>7</v>
      </c>
      <c r="B9" t="s">
        <v>288</v>
      </c>
      <c r="C9" t="s">
        <v>203</v>
      </c>
      <c r="D9" t="s">
        <v>289</v>
      </c>
      <c r="E9" t="s">
        <v>204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/>
      <c r="AE9"/>
      <c r="AF9"/>
    </row>
    <row r="10">
      <c r="A10" t="s">
        <v>7</v>
      </c>
      <c r="B10" t="s">
        <v>290</v>
      </c>
      <c r="C10" t="s">
        <v>203</v>
      </c>
      <c r="D10" t="s">
        <v>291</v>
      </c>
      <c r="E10" t="s">
        <v>204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/>
      <c r="AE10"/>
      <c r="AF10"/>
    </row>
    <row r="11">
      <c r="A11" t="s">
        <v>7</v>
      </c>
      <c r="B11" t="s">
        <v>292</v>
      </c>
      <c r="C11" t="s">
        <v>203</v>
      </c>
      <c r="D11" t="s">
        <v>293</v>
      </c>
      <c r="E11" t="s">
        <v>204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/>
      <c r="AE11"/>
      <c r="AF11"/>
    </row>
    <row r="12">
      <c r="A12" t="s">
        <v>7</v>
      </c>
      <c r="B12" t="s">
        <v>294</v>
      </c>
      <c r="C12" t="s">
        <v>203</v>
      </c>
      <c r="D12" t="s">
        <v>295</v>
      </c>
      <c r="E12" t="s">
        <v>204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/>
      <c r="AE12"/>
      <c r="AF12"/>
    </row>
    <row r="13">
      <c r="A13" t="s">
        <v>7</v>
      </c>
      <c r="B13" t="s">
        <v>296</v>
      </c>
      <c r="C13" t="s">
        <v>203</v>
      </c>
      <c r="D13" t="s">
        <v>297</v>
      </c>
      <c r="E13" t="s">
        <v>204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/>
      <c r="AE13"/>
      <c r="AF13"/>
    </row>
    <row r="14">
      <c r="A14" t="s">
        <v>7</v>
      </c>
      <c r="B14" t="s">
        <v>298</v>
      </c>
      <c r="C14" t="s">
        <v>203</v>
      </c>
      <c r="D14" t="s">
        <v>299</v>
      </c>
      <c r="E14" t="s">
        <v>204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/>
      <c r="AE14"/>
      <c r="AF14"/>
    </row>
    <row r="15">
      <c r="A15" t="s">
        <v>7</v>
      </c>
      <c r="B15" t="s">
        <v>300</v>
      </c>
      <c r="C15" t="s">
        <v>203</v>
      </c>
      <c r="D15" t="s">
        <v>301</v>
      </c>
      <c r="E15" t="s">
        <v>204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/>
      <c r="AE15"/>
      <c r="AF15"/>
    </row>
    <row r="16">
      <c r="A16" t="s">
        <v>7</v>
      </c>
      <c r="B16" t="s">
        <v>302</v>
      </c>
      <c r="C16" t="s">
        <v>203</v>
      </c>
      <c r="D16" t="s">
        <v>303</v>
      </c>
      <c r="E16" t="s">
        <v>204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/>
      <c r="AE16"/>
      <c r="AF16"/>
    </row>
    <row r="17">
      <c r="A17" t="s">
        <v>7</v>
      </c>
      <c r="B17" t="s">
        <v>304</v>
      </c>
      <c r="C17" t="s">
        <v>203</v>
      </c>
      <c r="D17" t="s">
        <v>305</v>
      </c>
      <c r="E17" t="s">
        <v>204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/>
      <c r="AE17"/>
      <c r="AF17"/>
    </row>
    <row r="18">
      <c r="A18" t="s">
        <v>7</v>
      </c>
      <c r="B18" t="s">
        <v>306</v>
      </c>
      <c r="C18" t="s">
        <v>203</v>
      </c>
      <c r="D18" t="s">
        <v>307</v>
      </c>
      <c r="E18" t="s">
        <v>204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/>
      <c r="AE18"/>
      <c r="AF18"/>
    </row>
    <row r="19">
      <c r="A19" t="s">
        <v>7</v>
      </c>
      <c r="B19" t="s">
        <v>308</v>
      </c>
      <c r="C19" t="s">
        <v>203</v>
      </c>
      <c r="D19" t="s">
        <v>309</v>
      </c>
      <c r="E19" t="s">
        <v>204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/>
      <c r="AE19"/>
      <c r="AF19"/>
    </row>
    <row r="20">
      <c r="A20" t="s">
        <v>7</v>
      </c>
      <c r="B20" t="s">
        <v>310</v>
      </c>
      <c r="C20" t="s">
        <v>203</v>
      </c>
      <c r="D20" t="s">
        <v>311</v>
      </c>
      <c r="E20" t="s">
        <v>204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/>
      <c r="AE20"/>
      <c r="AF20"/>
    </row>
    <row r="21">
      <c r="A21" t="s">
        <v>7</v>
      </c>
      <c r="B21" t="s">
        <v>312</v>
      </c>
      <c r="C21" t="s">
        <v>203</v>
      </c>
      <c r="D21" t="s">
        <v>313</v>
      </c>
      <c r="E21" t="s">
        <v>204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/>
      <c r="AE21"/>
      <c r="AF21"/>
    </row>
    <row r="22">
      <c r="A22" t="s">
        <v>7</v>
      </c>
      <c r="B22" t="s">
        <v>314</v>
      </c>
      <c r="C22" t="s">
        <v>203</v>
      </c>
      <c r="D22" t="s">
        <v>315</v>
      </c>
      <c r="E22" t="s">
        <v>204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/>
      <c r="AE22"/>
      <c r="AF22"/>
    </row>
    <row r="23">
      <c r="A23" t="s">
        <v>7</v>
      </c>
      <c r="B23" t="s">
        <v>316</v>
      </c>
      <c r="C23" t="s">
        <v>203</v>
      </c>
      <c r="D23" t="s">
        <v>317</v>
      </c>
      <c r="E23" t="s">
        <v>204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/>
      <c r="AE23"/>
      <c r="AF23"/>
    </row>
    <row r="24">
      <c r="A24" t="s">
        <v>7</v>
      </c>
      <c r="B24" t="s">
        <v>318</v>
      </c>
      <c r="C24" t="s">
        <v>203</v>
      </c>
      <c r="D24" t="s">
        <v>319</v>
      </c>
      <c r="E24" t="s">
        <v>204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/>
      <c r="AE24"/>
      <c r="AF24"/>
    </row>
    <row r="25">
      <c r="A25" t="s">
        <v>7</v>
      </c>
      <c r="B25" t="s">
        <v>320</v>
      </c>
      <c r="C25" t="s">
        <v>203</v>
      </c>
      <c r="D25" t="s">
        <v>321</v>
      </c>
      <c r="E25" t="s">
        <v>204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/>
      <c r="AE25"/>
      <c r="AF25"/>
    </row>
    <row r="26">
      <c r="A26" t="s">
        <v>7</v>
      </c>
      <c r="B26" t="s">
        <v>322</v>
      </c>
      <c r="C26" t="s">
        <v>203</v>
      </c>
      <c r="D26" t="s">
        <v>323</v>
      </c>
      <c r="E26" t="s">
        <v>204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/>
      <c r="AE26"/>
      <c r="AF26"/>
    </row>
    <row r="27">
      <c r="A27" t="s">
        <v>7</v>
      </c>
      <c r="B27" t="s">
        <v>324</v>
      </c>
      <c r="C27" t="s">
        <v>203</v>
      </c>
      <c r="D27" t="s">
        <v>325</v>
      </c>
      <c r="E27" t="s">
        <v>204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/>
      <c r="AE27"/>
      <c r="AF27"/>
    </row>
    <row r="28">
      <c r="A28" t="s">
        <v>7</v>
      </c>
      <c r="B28" t="s">
        <v>326</v>
      </c>
      <c r="C28" t="s">
        <v>203</v>
      </c>
      <c r="D28" t="s">
        <v>327</v>
      </c>
      <c r="E28" t="s">
        <v>204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/>
      <c r="AE28"/>
      <c r="AF28"/>
    </row>
    <row r="29">
      <c r="A29" t="s">
        <v>7</v>
      </c>
      <c r="B29" t="s">
        <v>328</v>
      </c>
      <c r="C29" t="s">
        <v>203</v>
      </c>
      <c r="D29" t="s">
        <v>329</v>
      </c>
      <c r="E29" t="s">
        <v>204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/>
      <c r="AE29"/>
      <c r="AF29"/>
    </row>
    <row r="30">
      <c r="A30" t="s">
        <v>7</v>
      </c>
      <c r="B30" t="s">
        <v>330</v>
      </c>
      <c r="C30" t="s">
        <v>203</v>
      </c>
      <c r="D30" t="s">
        <v>331</v>
      </c>
      <c r="E30" t="s">
        <v>204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/>
      <c r="AE30"/>
      <c r="AF30"/>
    </row>
    <row r="31">
      <c r="A31" t="s">
        <v>7</v>
      </c>
      <c r="B31" t="s">
        <v>332</v>
      </c>
      <c r="C31" t="s">
        <v>203</v>
      </c>
      <c r="D31" t="s">
        <v>333</v>
      </c>
      <c r="E31" t="s">
        <v>204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/>
      <c r="AE31"/>
      <c r="AF31"/>
    </row>
    <row r="32">
      <c r="A32" t="s">
        <v>7</v>
      </c>
      <c r="B32" t="s">
        <v>334</v>
      </c>
      <c r="C32" t="s">
        <v>203</v>
      </c>
      <c r="D32" t="s">
        <v>335</v>
      </c>
      <c r="E32" t="s">
        <v>204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/>
      <c r="AE32"/>
      <c r="AF32"/>
    </row>
    <row r="33">
      <c r="A33" t="s">
        <v>7</v>
      </c>
      <c r="B33" t="s">
        <v>336</v>
      </c>
      <c r="C33" t="s">
        <v>203</v>
      </c>
      <c r="D33" t="s">
        <v>337</v>
      </c>
      <c r="E33" t="s">
        <v>204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/>
      <c r="AE33"/>
      <c r="AF33"/>
    </row>
    <row r="34">
      <c r="A34" t="s">
        <v>7</v>
      </c>
      <c r="B34" t="s">
        <v>338</v>
      </c>
      <c r="C34" t="s">
        <v>203</v>
      </c>
      <c r="D34" t="s">
        <v>339</v>
      </c>
      <c r="E34" t="s">
        <v>204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/>
      <c r="AE34"/>
      <c r="AF34"/>
    </row>
    <row r="35">
      <c r="A35" t="s">
        <v>7</v>
      </c>
      <c r="B35" t="s">
        <v>340</v>
      </c>
      <c r="C35" t="s">
        <v>203</v>
      </c>
      <c r="D35" t="s">
        <v>341</v>
      </c>
      <c r="E35" t="s">
        <v>204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/>
      <c r="AE35"/>
      <c r="AF35"/>
    </row>
    <row r="36">
      <c r="A36" t="s">
        <v>7</v>
      </c>
      <c r="B36" t="s">
        <v>342</v>
      </c>
      <c r="C36" t="s">
        <v>203</v>
      </c>
      <c r="D36" t="s">
        <v>343</v>
      </c>
      <c r="E36" t="s">
        <v>204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/>
      <c r="AE36"/>
      <c r="AF36"/>
    </row>
    <row r="37">
      <c r="A37" t="s">
        <v>7</v>
      </c>
      <c r="B37" t="s">
        <v>344</v>
      </c>
      <c r="C37" t="s">
        <v>203</v>
      </c>
      <c r="D37" t="s">
        <v>345</v>
      </c>
      <c r="E37" t="s">
        <v>204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/>
      <c r="AE37"/>
      <c r="AF37"/>
    </row>
    <row r="38">
      <c r="A38" t="s">
        <v>7</v>
      </c>
      <c r="B38" t="s">
        <v>346</v>
      </c>
      <c r="C38" t="s">
        <v>203</v>
      </c>
      <c r="D38" t="s">
        <v>347</v>
      </c>
      <c r="E38" t="s">
        <v>204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/>
      <c r="AE38"/>
      <c r="AF38"/>
    </row>
    <row r="39">
      <c r="A39" t="s">
        <v>7</v>
      </c>
      <c r="B39" t="s">
        <v>348</v>
      </c>
      <c r="C39" t="s">
        <v>203</v>
      </c>
      <c r="D39" t="s">
        <v>349</v>
      </c>
      <c r="E39" t="s">
        <v>204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/>
      <c r="AE39"/>
      <c r="AF39"/>
    </row>
    <row r="40">
      <c r="A40" t="s">
        <v>7</v>
      </c>
      <c r="B40" t="s">
        <v>350</v>
      </c>
      <c r="C40" t="s">
        <v>203</v>
      </c>
      <c r="D40" t="s">
        <v>351</v>
      </c>
      <c r="E40" t="s">
        <v>204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/>
      <c r="AE40"/>
      <c r="AF40"/>
    </row>
    <row r="41">
      <c r="A41" t="s">
        <v>7</v>
      </c>
      <c r="B41" t="s">
        <v>352</v>
      </c>
      <c r="C41" t="s">
        <v>203</v>
      </c>
      <c r="D41" t="s">
        <v>353</v>
      </c>
      <c r="E41" t="s">
        <v>204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/>
      <c r="AE41"/>
      <c r="AF41"/>
    </row>
    <row r="42">
      <c r="A42" t="s">
        <v>7</v>
      </c>
      <c r="B42" t="s">
        <v>354</v>
      </c>
      <c r="C42" t="s">
        <v>203</v>
      </c>
      <c r="D42" t="s">
        <v>355</v>
      </c>
      <c r="E42" t="s">
        <v>204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/>
      <c r="AE42"/>
      <c r="AF42"/>
    </row>
    <row r="43">
      <c r="A43" t="s">
        <v>7</v>
      </c>
      <c r="B43" t="s">
        <v>356</v>
      </c>
      <c r="C43" t="s">
        <v>203</v>
      </c>
      <c r="D43" t="s">
        <v>357</v>
      </c>
      <c r="E43" t="s">
        <v>204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/>
      <c r="AE43"/>
      <c r="AF43"/>
    </row>
    <row r="44">
      <c r="A44" t="s">
        <v>7</v>
      </c>
      <c r="B44" t="s">
        <v>358</v>
      </c>
      <c r="C44" t="s">
        <v>203</v>
      </c>
      <c r="D44" t="s">
        <v>359</v>
      </c>
      <c r="E44" t="s">
        <v>204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/>
      <c r="AE44"/>
      <c r="AF44"/>
    </row>
    <row r="45">
      <c r="A45" t="s">
        <v>7</v>
      </c>
      <c r="B45" t="s">
        <v>360</v>
      </c>
      <c r="C45" t="s">
        <v>203</v>
      </c>
      <c r="D45" t="s">
        <v>361</v>
      </c>
      <c r="E45" t="s">
        <v>204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/>
      <c r="AE45"/>
      <c r="AF45"/>
    </row>
    <row r="46">
      <c r="A46" t="s">
        <v>7</v>
      </c>
      <c r="B46" t="s">
        <v>362</v>
      </c>
      <c r="C46" t="s">
        <v>203</v>
      </c>
      <c r="D46" t="s">
        <v>363</v>
      </c>
      <c r="E46" t="s">
        <v>204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/>
      <c r="AE46"/>
      <c r="AF46"/>
    </row>
    <row r="47">
      <c r="A47" t="s">
        <v>7</v>
      </c>
      <c r="B47" t="s">
        <v>364</v>
      </c>
      <c r="C47" t="s">
        <v>203</v>
      </c>
      <c r="D47" t="s">
        <v>365</v>
      </c>
      <c r="E47" t="s">
        <v>204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/>
      <c r="AE47"/>
      <c r="AF47"/>
    </row>
    <row r="48">
      <c r="A48" t="s">
        <v>7</v>
      </c>
      <c r="B48" t="s">
        <v>366</v>
      </c>
      <c r="C48" t="s">
        <v>203</v>
      </c>
      <c r="D48" t="s">
        <v>367</v>
      </c>
      <c r="E48" t="s">
        <v>204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/>
      <c r="AE48"/>
      <c r="AF48"/>
    </row>
    <row r="49">
      <c r="A49" t="s">
        <v>7</v>
      </c>
      <c r="B49" t="s">
        <v>368</v>
      </c>
      <c r="C49" t="s">
        <v>203</v>
      </c>
      <c r="D49" t="s">
        <v>369</v>
      </c>
      <c r="E49" t="s">
        <v>204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/>
      <c r="AE49"/>
      <c r="AF49"/>
    </row>
    <row r="50">
      <c r="A50" t="s">
        <v>7</v>
      </c>
      <c r="B50" t="s">
        <v>370</v>
      </c>
      <c r="C50" t="s">
        <v>203</v>
      </c>
      <c r="D50" t="s">
        <v>371</v>
      </c>
      <c r="E50" t="s">
        <v>204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/>
      <c r="AE50"/>
      <c r="AF50"/>
    </row>
    <row r="51">
      <c r="A51" t="s">
        <v>7</v>
      </c>
      <c r="B51" t="s">
        <v>372</v>
      </c>
      <c r="C51" t="s">
        <v>203</v>
      </c>
      <c r="D51" t="s">
        <v>373</v>
      </c>
      <c r="E51" t="s">
        <v>204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/>
      <c r="AE51"/>
      <c r="AF51"/>
    </row>
    <row r="52">
      <c r="A52" t="s">
        <v>7</v>
      </c>
      <c r="B52" t="s">
        <v>374</v>
      </c>
      <c r="C52" t="s">
        <v>203</v>
      </c>
      <c r="D52" t="s">
        <v>375</v>
      </c>
      <c r="E52" t="s">
        <v>204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/>
      <c r="AE52"/>
      <c r="AF52"/>
    </row>
    <row r="53">
      <c r="A53" t="s">
        <v>7</v>
      </c>
      <c r="B53" t="s">
        <v>376</v>
      </c>
      <c r="C53" t="s">
        <v>203</v>
      </c>
      <c r="D53" t="s">
        <v>377</v>
      </c>
      <c r="E53" t="s">
        <v>204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/>
      <c r="AE53"/>
      <c r="AF53"/>
    </row>
    <row r="54">
      <c r="A54" t="s">
        <v>7</v>
      </c>
      <c r="B54" t="s">
        <v>378</v>
      </c>
      <c r="C54" t="s">
        <v>203</v>
      </c>
      <c r="D54" t="s">
        <v>379</v>
      </c>
      <c r="E54" t="s">
        <v>204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/>
      <c r="AE54"/>
      <c r="AF54"/>
    </row>
    <row r="55">
      <c r="A55" t="s">
        <v>7</v>
      </c>
      <c r="B55" t="s">
        <v>380</v>
      </c>
      <c r="C55" t="s">
        <v>203</v>
      </c>
      <c r="D55" t="s">
        <v>381</v>
      </c>
      <c r="E55" t="s">
        <v>204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/>
      <c r="AE55"/>
      <c r="AF55"/>
    </row>
    <row r="56">
      <c r="A56" t="s">
        <v>7</v>
      </c>
      <c r="B56" t="s">
        <v>382</v>
      </c>
      <c r="C56" t="s">
        <v>203</v>
      </c>
      <c r="D56" t="s">
        <v>383</v>
      </c>
      <c r="E56" t="s">
        <v>204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/>
      <c r="AE56"/>
      <c r="AF56"/>
    </row>
    <row r="57">
      <c r="A57" t="s">
        <v>7</v>
      </c>
      <c r="B57" t="s">
        <v>384</v>
      </c>
      <c r="C57" t="s">
        <v>203</v>
      </c>
      <c r="D57" t="s">
        <v>385</v>
      </c>
      <c r="E57" t="s">
        <v>204</v>
      </c>
      <c r="F57" t="n">
        <v>11.4</v>
      </c>
      <c r="G57" t="n">
        <v>-5.9</v>
      </c>
      <c r="H57" t="n">
        <v>63.6</v>
      </c>
      <c r="I57" t="n">
        <v>205.9</v>
      </c>
      <c r="J57" t="n">
        <v>98.5</v>
      </c>
      <c r="K57" t="n">
        <v>189.5</v>
      </c>
      <c r="L57" t="n">
        <v>144</v>
      </c>
      <c r="M57" t="n">
        <v>142</v>
      </c>
      <c r="N57" t="n">
        <v>151.1</v>
      </c>
      <c r="O57" t="n">
        <v>224.1</v>
      </c>
      <c r="P57" t="n">
        <v>391.9</v>
      </c>
      <c r="Q57" t="n">
        <v>445.5</v>
      </c>
      <c r="R57" t="n">
        <v>462.6</v>
      </c>
      <c r="S57" t="n">
        <v>297.9</v>
      </c>
      <c r="T57" t="n">
        <v>474.9</v>
      </c>
      <c r="U57" t="n">
        <v>441.3</v>
      </c>
      <c r="V57" t="n">
        <v>521.6</v>
      </c>
      <c r="W57" t="n">
        <v>430.7</v>
      </c>
      <c r="X57" t="n">
        <v>456.6</v>
      </c>
      <c r="Y57" t="n">
        <v>471.9</v>
      </c>
      <c r="Z57" t="n">
        <v>525.5</v>
      </c>
      <c r="AA57" t="n">
        <v>634</v>
      </c>
      <c r="AB57" t="n">
        <v>805.4</v>
      </c>
      <c r="AC57" t="n">
        <v>762.8</v>
      </c>
      <c r="AD57" t="n">
        <v>1220.8</v>
      </c>
      <c r="AE57" t="n">
        <v>1466.1</v>
      </c>
      <c r="AF57" t="n">
        <v>1467.7</v>
      </c>
    </row>
    <row r="58">
      <c r="A58" t="s">
        <v>7</v>
      </c>
      <c r="B58" t="s">
        <v>386</v>
      </c>
      <c r="C58" t="s">
        <v>203</v>
      </c>
      <c r="D58" t="s">
        <v>387</v>
      </c>
      <c r="E58" t="s">
        <v>204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/>
      <c r="AE58"/>
      <c r="AF58"/>
    </row>
    <row r="59">
      <c r="A59" t="s">
        <v>7</v>
      </c>
      <c r="B59" t="s">
        <v>388</v>
      </c>
      <c r="C59" t="s">
        <v>203</v>
      </c>
      <c r="D59" t="s">
        <v>389</v>
      </c>
      <c r="E59" t="s">
        <v>204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9</v>
      </c>
      <c r="B2" t="s">
        <v>197</v>
      </c>
      <c r="C2" t="s">
        <v>203</v>
      </c>
      <c r="D2" t="s">
        <v>199</v>
      </c>
      <c r="E2" t="s">
        <v>204</v>
      </c>
      <c r="F2" t="n">
        <v>0.4</v>
      </c>
      <c r="G2" t="n">
        <v>0.2</v>
      </c>
      <c r="H2" t="n">
        <v>3.8</v>
      </c>
      <c r="I2" t="n">
        <v>8</v>
      </c>
      <c r="J2" t="n">
        <v>4</v>
      </c>
      <c r="K2" t="n">
        <v>19</v>
      </c>
      <c r="L2" t="n">
        <v>63</v>
      </c>
      <c r="M2" t="n">
        <v>46</v>
      </c>
      <c r="N2" t="n">
        <v>39</v>
      </c>
      <c r="O2" t="n">
        <v>61</v>
      </c>
      <c r="P2" t="n">
        <v>94</v>
      </c>
      <c r="Q2" t="n">
        <v>67</v>
      </c>
      <c r="R2" t="n">
        <v>49</v>
      </c>
      <c r="S2" t="n">
        <v>199</v>
      </c>
      <c r="T2" t="n">
        <v>29</v>
      </c>
      <c r="U2" t="n">
        <v>30.1</v>
      </c>
      <c r="V2" t="n">
        <v>54.2</v>
      </c>
      <c r="W2" t="n">
        <v>89.9</v>
      </c>
      <c r="X2" t="n">
        <v>88.2</v>
      </c>
      <c r="Y2" t="n">
        <v>95.7</v>
      </c>
      <c r="Z2" t="n">
        <v>125.8</v>
      </c>
      <c r="AA2" t="n">
        <v>70.2</v>
      </c>
      <c r="AB2" t="n">
        <v>83</v>
      </c>
      <c r="AC2" t="n">
        <v>111.4</v>
      </c>
      <c r="AD2" t="n">
        <v>93</v>
      </c>
      <c r="AE2" t="n">
        <v>67.2</v>
      </c>
      <c r="AF2" t="n">
        <v>105.1</v>
      </c>
    </row>
    <row r="3">
      <c r="A3" t="s">
        <v>9</v>
      </c>
      <c r="B3" t="s">
        <v>276</v>
      </c>
      <c r="C3" t="s">
        <v>203</v>
      </c>
      <c r="D3" t="s">
        <v>277</v>
      </c>
      <c r="E3" t="s">
        <v>204</v>
      </c>
      <c r="F3" t="n">
        <v>0.2</v>
      </c>
      <c r="G3" t="n">
        <v>0.1</v>
      </c>
      <c r="H3" t="n">
        <v>1.9</v>
      </c>
      <c r="I3" t="n">
        <v>4</v>
      </c>
      <c r="J3" t="n">
        <v>1</v>
      </c>
      <c r="K3" t="n">
        <v>18</v>
      </c>
      <c r="L3" t="n">
        <v>2</v>
      </c>
      <c r="M3" t="n">
        <v>27</v>
      </c>
      <c r="N3" t="n">
        <v>27</v>
      </c>
      <c r="O3" t="n">
        <v>28</v>
      </c>
      <c r="P3" t="n">
        <v>106</v>
      </c>
      <c r="Q3" t="n">
        <v>88</v>
      </c>
      <c r="R3" t="n">
        <v>71</v>
      </c>
      <c r="S3" t="n">
        <v>99</v>
      </c>
      <c r="T3" t="n">
        <v>26</v>
      </c>
      <c r="U3" t="n">
        <v>7.9</v>
      </c>
      <c r="V3" t="n">
        <v>4.4</v>
      </c>
      <c r="W3" t="n">
        <v>6.9</v>
      </c>
      <c r="X3" t="n">
        <v>6.8</v>
      </c>
      <c r="Y3" t="n">
        <v>6.9</v>
      </c>
      <c r="Z3" t="n">
        <v>4.2</v>
      </c>
      <c r="AA3" t="n">
        <v>15.7</v>
      </c>
      <c r="AB3" t="n">
        <v>11.5</v>
      </c>
      <c r="AC3" t="n">
        <v>55.3</v>
      </c>
      <c r="AD3" t="n">
        <v>0</v>
      </c>
      <c r="AE3" t="n">
        <v>35.8</v>
      </c>
      <c r="AF3" t="n">
        <v>-1</v>
      </c>
    </row>
    <row r="4">
      <c r="A4" t="s">
        <v>9</v>
      </c>
      <c r="B4" t="s">
        <v>278</v>
      </c>
      <c r="C4" t="s">
        <v>203</v>
      </c>
      <c r="D4" t="s">
        <v>279</v>
      </c>
      <c r="E4" t="s">
        <v>204</v>
      </c>
      <c r="F4" t="n">
        <v>4.1</v>
      </c>
      <c r="G4" t="n">
        <v>1.9</v>
      </c>
      <c r="H4" t="n">
        <v>35.8</v>
      </c>
      <c r="I4" t="n">
        <v>75</v>
      </c>
      <c r="J4" t="n">
        <v>30</v>
      </c>
      <c r="K4" t="n">
        <v>98</v>
      </c>
      <c r="L4" t="n">
        <v>167</v>
      </c>
      <c r="M4" t="n">
        <v>442</v>
      </c>
      <c r="N4" t="n">
        <v>489.7</v>
      </c>
      <c r="O4" t="n">
        <v>350</v>
      </c>
      <c r="P4" t="n">
        <v>741.9</v>
      </c>
      <c r="Q4" t="n">
        <v>603</v>
      </c>
      <c r="R4" t="n">
        <v>659.3</v>
      </c>
      <c r="S4" t="n">
        <v>611</v>
      </c>
      <c r="T4" t="n">
        <v>159</v>
      </c>
      <c r="U4" t="n">
        <v>57.1</v>
      </c>
      <c r="V4" t="n">
        <v>57.8</v>
      </c>
      <c r="W4" t="n">
        <v>98.8</v>
      </c>
      <c r="X4" t="n">
        <v>96.8</v>
      </c>
      <c r="Y4" t="n">
        <v>82.1</v>
      </c>
      <c r="Z4" t="n">
        <v>108.2</v>
      </c>
      <c r="AA4" t="n">
        <v>47.8</v>
      </c>
      <c r="AB4" t="n">
        <v>88.4</v>
      </c>
      <c r="AC4" t="n">
        <v>111.6</v>
      </c>
      <c r="AD4" t="n">
        <v>101.5</v>
      </c>
      <c r="AE4" t="n">
        <v>73.9</v>
      </c>
      <c r="AF4" t="n">
        <v>113.2</v>
      </c>
    </row>
    <row r="5">
      <c r="A5" t="s">
        <v>9</v>
      </c>
      <c r="B5" t="s">
        <v>280</v>
      </c>
      <c r="C5" t="s">
        <v>203</v>
      </c>
      <c r="D5" t="s">
        <v>281</v>
      </c>
      <c r="E5" t="s">
        <v>204</v>
      </c>
      <c r="F5" t="n">
        <v>0.9</v>
      </c>
      <c r="G5" t="n">
        <v>0.4</v>
      </c>
      <c r="H5" t="n">
        <v>8.1</v>
      </c>
      <c r="I5" t="n">
        <v>17</v>
      </c>
      <c r="J5" t="n">
        <v>13</v>
      </c>
      <c r="K5" t="n">
        <v>6</v>
      </c>
      <c r="L5" t="n">
        <v>33</v>
      </c>
      <c r="M5" t="n">
        <v>85</v>
      </c>
      <c r="N5" t="n">
        <v>121</v>
      </c>
      <c r="O5" t="n">
        <v>96</v>
      </c>
      <c r="P5" t="n">
        <v>171.9</v>
      </c>
      <c r="Q5" t="n">
        <v>94</v>
      </c>
      <c r="R5" t="n">
        <v>139.6</v>
      </c>
      <c r="S5" t="n">
        <v>128</v>
      </c>
      <c r="T5" t="n">
        <v>36</v>
      </c>
      <c r="U5" t="n">
        <v>18</v>
      </c>
      <c r="V5" t="n">
        <v>18.6</v>
      </c>
      <c r="W5" t="n">
        <v>21</v>
      </c>
      <c r="X5" t="n">
        <v>20.6</v>
      </c>
      <c r="Y5" t="n">
        <v>28.1</v>
      </c>
      <c r="Z5" t="n">
        <v>34.2</v>
      </c>
      <c r="AA5" t="n">
        <v>9</v>
      </c>
      <c r="AB5" t="n">
        <v>24.8</v>
      </c>
      <c r="AC5" t="n">
        <v>26.6</v>
      </c>
      <c r="AD5" t="n">
        <v>21.3</v>
      </c>
      <c r="AE5" t="n">
        <v>15</v>
      </c>
      <c r="AF5" t="n">
        <v>17.1</v>
      </c>
    </row>
    <row r="6">
      <c r="A6" t="s">
        <v>9</v>
      </c>
      <c r="B6" t="s">
        <v>282</v>
      </c>
      <c r="C6" t="s">
        <v>203</v>
      </c>
      <c r="D6" t="s">
        <v>283</v>
      </c>
      <c r="E6" t="s">
        <v>204</v>
      </c>
      <c r="F6" t="n">
        <v>0.4</v>
      </c>
      <c r="G6" t="n">
        <v>0.2</v>
      </c>
      <c r="H6" t="n">
        <v>3.3</v>
      </c>
      <c r="I6" t="n">
        <v>7</v>
      </c>
      <c r="J6" t="n">
        <v>4</v>
      </c>
      <c r="K6" t="n">
        <v>21</v>
      </c>
      <c r="L6" t="n">
        <v>19</v>
      </c>
      <c r="M6" t="n">
        <v>60</v>
      </c>
      <c r="N6" t="n">
        <v>63</v>
      </c>
      <c r="O6" t="n">
        <v>40</v>
      </c>
      <c r="P6" t="n">
        <v>64</v>
      </c>
      <c r="Q6" t="n">
        <v>77</v>
      </c>
      <c r="R6" t="n">
        <v>35</v>
      </c>
      <c r="S6" t="n">
        <v>34</v>
      </c>
      <c r="T6" t="n">
        <v>11</v>
      </c>
      <c r="U6" t="n">
        <v>4.2</v>
      </c>
      <c r="V6" t="n">
        <v>4.8</v>
      </c>
      <c r="W6" t="n">
        <v>6.6</v>
      </c>
      <c r="X6" t="n">
        <v>6.5</v>
      </c>
      <c r="Y6" t="n">
        <v>9.1</v>
      </c>
      <c r="Z6" t="n">
        <v>6.9</v>
      </c>
      <c r="AA6" t="n">
        <v>3.6</v>
      </c>
      <c r="AB6" t="n">
        <v>5.5</v>
      </c>
      <c r="AC6" t="n">
        <v>8.5</v>
      </c>
      <c r="AD6" t="n">
        <v>5.8</v>
      </c>
      <c r="AE6" t="n">
        <v>2.7</v>
      </c>
      <c r="AF6" t="n">
        <v>2.6</v>
      </c>
    </row>
    <row r="7">
      <c r="A7" t="s">
        <v>9</v>
      </c>
      <c r="B7" t="s">
        <v>284</v>
      </c>
      <c r="C7" t="s">
        <v>203</v>
      </c>
      <c r="D7" t="s">
        <v>285</v>
      </c>
      <c r="E7" t="s">
        <v>204</v>
      </c>
      <c r="F7" t="n">
        <v>0.2</v>
      </c>
      <c r="G7" t="n">
        <v>0.1</v>
      </c>
      <c r="H7" t="n">
        <v>1.4</v>
      </c>
      <c r="I7" t="n">
        <v>3</v>
      </c>
      <c r="J7" t="n">
        <v>2</v>
      </c>
      <c r="K7" t="n">
        <v>6</v>
      </c>
      <c r="L7" t="n">
        <v>27</v>
      </c>
      <c r="M7" t="n">
        <v>52</v>
      </c>
      <c r="N7" t="n">
        <v>36.7</v>
      </c>
      <c r="O7" t="n">
        <v>29</v>
      </c>
      <c r="P7" t="n">
        <v>50</v>
      </c>
      <c r="Q7" t="n">
        <v>48</v>
      </c>
      <c r="R7" t="n">
        <v>86.7</v>
      </c>
      <c r="S7" t="n">
        <v>45</v>
      </c>
      <c r="T7" t="n">
        <v>10</v>
      </c>
      <c r="U7" t="n">
        <v>4.5</v>
      </c>
      <c r="V7" t="n">
        <v>4.9</v>
      </c>
      <c r="W7" t="n">
        <v>7.4</v>
      </c>
      <c r="X7" t="n">
        <v>7.2</v>
      </c>
      <c r="Y7" t="n">
        <v>7.6</v>
      </c>
      <c r="Z7" t="n">
        <v>9.4</v>
      </c>
      <c r="AA7" t="n">
        <v>5.5</v>
      </c>
      <c r="AB7" t="n">
        <v>9.4</v>
      </c>
      <c r="AC7" t="n">
        <v>9.1</v>
      </c>
      <c r="AD7" t="n">
        <v>12.2</v>
      </c>
      <c r="AE7" t="n">
        <v>7</v>
      </c>
      <c r="AF7" t="n">
        <v>14.2</v>
      </c>
    </row>
    <row r="8">
      <c r="A8" t="s">
        <v>9</v>
      </c>
      <c r="B8" t="s">
        <v>286</v>
      </c>
      <c r="C8" t="s">
        <v>203</v>
      </c>
      <c r="D8" t="s">
        <v>287</v>
      </c>
      <c r="E8" t="s">
        <v>204</v>
      </c>
      <c r="F8" t="n">
        <v>0.3</v>
      </c>
      <c r="G8" t="n">
        <v>0.2</v>
      </c>
      <c r="H8" t="n">
        <v>2.9</v>
      </c>
      <c r="I8" t="n">
        <v>6</v>
      </c>
      <c r="J8" t="n">
        <v>0</v>
      </c>
      <c r="K8" t="n">
        <v>0</v>
      </c>
      <c r="L8" t="n">
        <v>0</v>
      </c>
      <c r="M8" t="n">
        <v>21</v>
      </c>
      <c r="N8" t="n">
        <v>30</v>
      </c>
      <c r="O8" t="n">
        <v>10</v>
      </c>
      <c r="P8" t="n">
        <v>20</v>
      </c>
      <c r="Q8" t="n">
        <v>22</v>
      </c>
      <c r="R8" t="n">
        <v>16</v>
      </c>
      <c r="S8" t="n">
        <v>28</v>
      </c>
      <c r="T8" t="n">
        <v>14</v>
      </c>
      <c r="U8" t="n">
        <v>0.9</v>
      </c>
      <c r="V8" t="n">
        <v>0.3</v>
      </c>
      <c r="W8" t="n">
        <v>0.6</v>
      </c>
      <c r="X8" t="n">
        <v>0.6</v>
      </c>
      <c r="Y8" t="n">
        <v>-1.4</v>
      </c>
      <c r="Z8" t="n">
        <v>-0.1</v>
      </c>
      <c r="AA8" t="n">
        <v>-4.2</v>
      </c>
      <c r="AB8" t="n">
        <v>1.7</v>
      </c>
      <c r="AC8" t="n">
        <v>1.2</v>
      </c>
      <c r="AD8" t="n">
        <v>-0.2</v>
      </c>
      <c r="AE8" t="n">
        <v>-2.6</v>
      </c>
      <c r="AF8" t="n">
        <v>0.6</v>
      </c>
    </row>
    <row r="9">
      <c r="A9" t="s">
        <v>9</v>
      </c>
      <c r="B9" t="s">
        <v>288</v>
      </c>
      <c r="C9" t="s">
        <v>203</v>
      </c>
      <c r="D9" t="s">
        <v>289</v>
      </c>
      <c r="E9" t="s">
        <v>204</v>
      </c>
      <c r="F9" t="n">
        <v>0.4</v>
      </c>
      <c r="G9" t="n">
        <v>0.2</v>
      </c>
      <c r="H9" t="n">
        <v>3.8</v>
      </c>
      <c r="I9" t="n">
        <v>8</v>
      </c>
      <c r="J9" t="n">
        <v>1</v>
      </c>
      <c r="K9" t="n">
        <v>2</v>
      </c>
      <c r="L9" t="n">
        <v>2</v>
      </c>
      <c r="M9" t="n">
        <v>29</v>
      </c>
      <c r="N9" t="n">
        <v>16</v>
      </c>
      <c r="O9" t="n">
        <v>16</v>
      </c>
      <c r="P9" t="n">
        <v>30</v>
      </c>
      <c r="Q9" t="n">
        <v>35</v>
      </c>
      <c r="R9" t="n">
        <v>36</v>
      </c>
      <c r="S9" t="n">
        <v>39</v>
      </c>
      <c r="T9" t="n">
        <v>10</v>
      </c>
      <c r="U9" t="n">
        <v>3.2</v>
      </c>
      <c r="V9" t="n">
        <v>4.1</v>
      </c>
      <c r="W9" t="n">
        <v>19.9</v>
      </c>
      <c r="X9" t="n">
        <v>19.5</v>
      </c>
      <c r="Y9" t="n">
        <v>3.7</v>
      </c>
      <c r="Z9" t="n">
        <v>7.1</v>
      </c>
      <c r="AA9" t="n">
        <v>5.6</v>
      </c>
      <c r="AB9" t="n">
        <v>2.9</v>
      </c>
      <c r="AC9" t="n">
        <v>0.9</v>
      </c>
      <c r="AD9" t="n">
        <v>6.8</v>
      </c>
      <c r="AE9" t="n">
        <v>10.8</v>
      </c>
      <c r="AF9" t="n">
        <v>9.4</v>
      </c>
    </row>
    <row r="10">
      <c r="A10" t="s">
        <v>9</v>
      </c>
      <c r="B10" t="s">
        <v>290</v>
      </c>
      <c r="C10" t="s">
        <v>203</v>
      </c>
      <c r="D10" t="s">
        <v>291</v>
      </c>
      <c r="E10" t="s">
        <v>204</v>
      </c>
      <c r="F10" t="n">
        <v>0.5</v>
      </c>
      <c r="G10" t="n">
        <v>0.2</v>
      </c>
      <c r="H10" t="n">
        <v>4.3</v>
      </c>
      <c r="I10" t="n">
        <v>9</v>
      </c>
      <c r="J10" t="n">
        <v>1</v>
      </c>
      <c r="K10" t="n">
        <v>2</v>
      </c>
      <c r="L10" t="n">
        <v>2</v>
      </c>
      <c r="M10" t="n">
        <v>46</v>
      </c>
      <c r="N10" t="n">
        <v>26</v>
      </c>
      <c r="O10" t="n">
        <v>22</v>
      </c>
      <c r="P10" t="n">
        <v>52</v>
      </c>
      <c r="Q10" t="n">
        <v>50</v>
      </c>
      <c r="R10" t="n">
        <v>47</v>
      </c>
      <c r="S10" t="n">
        <v>68</v>
      </c>
      <c r="T10" t="n">
        <v>12</v>
      </c>
      <c r="U10" t="n">
        <v>4.2</v>
      </c>
      <c r="V10" t="n">
        <v>5.5</v>
      </c>
      <c r="W10" t="n">
        <v>23.4</v>
      </c>
      <c r="X10" t="n">
        <v>22.9</v>
      </c>
      <c r="Y10" t="n">
        <v>2.9</v>
      </c>
      <c r="Z10" t="n">
        <v>7.5</v>
      </c>
      <c r="AA10" t="n">
        <v>4.6</v>
      </c>
      <c r="AB10" t="n">
        <v>2.8</v>
      </c>
      <c r="AC10" t="n">
        <v>-0.7</v>
      </c>
      <c r="AD10" t="n">
        <v>8.1</v>
      </c>
      <c r="AE10" t="n">
        <v>10.4</v>
      </c>
      <c r="AF10" t="n">
        <v>10.6</v>
      </c>
    </row>
    <row r="11">
      <c r="A11" t="s">
        <v>9</v>
      </c>
      <c r="B11" t="s">
        <v>292</v>
      </c>
      <c r="C11" t="s">
        <v>203</v>
      </c>
      <c r="D11" t="s">
        <v>293</v>
      </c>
      <c r="E11" t="s">
        <v>204</v>
      </c>
      <c r="F11" t="n">
        <v>0.1</v>
      </c>
      <c r="G11" t="n">
        <v>0</v>
      </c>
      <c r="H11" t="n">
        <v>0.5</v>
      </c>
      <c r="I11" t="n">
        <v>1</v>
      </c>
      <c r="J11" t="n">
        <v>0</v>
      </c>
      <c r="K11" t="n">
        <v>0</v>
      </c>
      <c r="L11" t="n">
        <v>0</v>
      </c>
      <c r="M11" t="n">
        <v>17</v>
      </c>
      <c r="N11" t="n">
        <v>10</v>
      </c>
      <c r="O11" t="n">
        <v>6</v>
      </c>
      <c r="P11" t="n">
        <v>22</v>
      </c>
      <c r="Q11" t="n">
        <v>15</v>
      </c>
      <c r="R11" t="n">
        <v>11</v>
      </c>
      <c r="S11" t="n">
        <v>29</v>
      </c>
      <c r="T11" t="n">
        <v>2</v>
      </c>
      <c r="U11" t="n">
        <v>1</v>
      </c>
      <c r="V11" t="n">
        <v>1.4</v>
      </c>
      <c r="W11" t="n">
        <v>3.5</v>
      </c>
      <c r="X11" t="n">
        <v>3.4</v>
      </c>
      <c r="Y11" t="n">
        <v>-0.8</v>
      </c>
      <c r="Z11" t="n">
        <v>0.4</v>
      </c>
      <c r="AA11" t="n">
        <v>-1</v>
      </c>
      <c r="AB11" t="n">
        <v>-0.1</v>
      </c>
      <c r="AC11" t="n">
        <v>-1.6</v>
      </c>
      <c r="AD11" t="n">
        <v>1.3</v>
      </c>
      <c r="AE11" t="n">
        <v>-0.4</v>
      </c>
      <c r="AF11" t="n">
        <v>1.2</v>
      </c>
    </row>
    <row r="12">
      <c r="A12" t="s">
        <v>9</v>
      </c>
      <c r="B12" t="s">
        <v>294</v>
      </c>
      <c r="C12" t="s">
        <v>203</v>
      </c>
      <c r="D12" t="s">
        <v>295</v>
      </c>
      <c r="E12" t="s">
        <v>204</v>
      </c>
      <c r="F12" t="n">
        <v>0.6</v>
      </c>
      <c r="G12" t="n">
        <v>0.3</v>
      </c>
      <c r="H12" t="n">
        <v>4.8</v>
      </c>
      <c r="I12" t="n">
        <v>10</v>
      </c>
      <c r="J12" t="n">
        <v>5</v>
      </c>
      <c r="K12" t="n">
        <v>7</v>
      </c>
      <c r="L12" t="n">
        <v>13</v>
      </c>
      <c r="M12" t="n">
        <v>42</v>
      </c>
      <c r="N12" t="n">
        <v>63</v>
      </c>
      <c r="O12" t="n">
        <v>56</v>
      </c>
      <c r="P12" t="n">
        <v>194</v>
      </c>
      <c r="Q12" t="n">
        <v>130</v>
      </c>
      <c r="R12" t="n">
        <v>123</v>
      </c>
      <c r="S12" t="n">
        <v>92</v>
      </c>
      <c r="T12" t="n">
        <v>33</v>
      </c>
      <c r="U12" t="n">
        <v>7.6</v>
      </c>
      <c r="V12" t="n">
        <v>5.7</v>
      </c>
      <c r="W12" t="n">
        <v>14.2</v>
      </c>
      <c r="X12" t="n">
        <v>13.9</v>
      </c>
      <c r="Y12" t="n">
        <v>12.4</v>
      </c>
      <c r="Z12" t="n">
        <v>22.3</v>
      </c>
      <c r="AA12" t="n">
        <v>8.3</v>
      </c>
      <c r="AB12" t="n">
        <v>10.9</v>
      </c>
      <c r="AC12" t="n">
        <v>31.9</v>
      </c>
      <c r="AD12" t="n">
        <v>16.4</v>
      </c>
      <c r="AE12" t="n">
        <v>12.8</v>
      </c>
      <c r="AF12" t="n">
        <v>32.7</v>
      </c>
    </row>
    <row r="13">
      <c r="A13" t="s">
        <v>9</v>
      </c>
      <c r="B13" t="s">
        <v>296</v>
      </c>
      <c r="C13" t="s">
        <v>203</v>
      </c>
      <c r="D13" t="s">
        <v>297</v>
      </c>
      <c r="E13" t="s">
        <v>204</v>
      </c>
      <c r="F13" t="n">
        <v>0.7</v>
      </c>
      <c r="G13" t="n">
        <v>0.3</v>
      </c>
      <c r="H13" t="n">
        <v>5.7</v>
      </c>
      <c r="I13" t="n">
        <v>12</v>
      </c>
      <c r="J13" t="n">
        <v>2</v>
      </c>
      <c r="K13" t="n">
        <v>17</v>
      </c>
      <c r="L13" t="n">
        <v>16</v>
      </c>
      <c r="M13" t="n">
        <v>90</v>
      </c>
      <c r="N13" t="n">
        <v>96</v>
      </c>
      <c r="O13" t="n">
        <v>53</v>
      </c>
      <c r="P13" t="n">
        <v>88</v>
      </c>
      <c r="Q13" t="n">
        <v>73</v>
      </c>
      <c r="R13" t="n">
        <v>125</v>
      </c>
      <c r="S13" t="n">
        <v>88</v>
      </c>
      <c r="T13" t="n">
        <v>18</v>
      </c>
      <c r="U13" t="n">
        <v>6.5</v>
      </c>
      <c r="V13" t="n">
        <v>6.4</v>
      </c>
      <c r="W13" t="n">
        <v>9.4</v>
      </c>
      <c r="X13" t="n">
        <v>9.2</v>
      </c>
      <c r="Y13" t="n">
        <v>7.6</v>
      </c>
      <c r="Z13" t="n">
        <v>10.8</v>
      </c>
      <c r="AA13" t="n">
        <v>4.4</v>
      </c>
      <c r="AB13" t="n">
        <v>17.1</v>
      </c>
      <c r="AC13" t="n">
        <v>15.6</v>
      </c>
      <c r="AD13" t="n">
        <v>10.4</v>
      </c>
      <c r="AE13" t="n">
        <v>14.2</v>
      </c>
      <c r="AF13" t="n">
        <v>17.6</v>
      </c>
    </row>
    <row r="14">
      <c r="A14" t="s">
        <v>9</v>
      </c>
      <c r="B14" t="s">
        <v>298</v>
      </c>
      <c r="C14" t="s">
        <v>203</v>
      </c>
      <c r="D14" t="s">
        <v>299</v>
      </c>
      <c r="E14" t="s">
        <v>204</v>
      </c>
      <c r="F14" t="n">
        <v>0.1</v>
      </c>
      <c r="G14" t="n">
        <v>0.1</v>
      </c>
      <c r="H14" t="n">
        <v>1</v>
      </c>
      <c r="I14" t="n">
        <v>2</v>
      </c>
      <c r="J14" t="n">
        <v>1</v>
      </c>
      <c r="K14" t="n">
        <v>4</v>
      </c>
      <c r="L14" t="n">
        <v>8</v>
      </c>
      <c r="M14" t="n">
        <v>10</v>
      </c>
      <c r="N14" t="n">
        <v>15</v>
      </c>
      <c r="O14" t="n">
        <v>9</v>
      </c>
      <c r="P14" t="n">
        <v>11</v>
      </c>
      <c r="Q14" t="n">
        <v>13</v>
      </c>
      <c r="R14" t="n">
        <v>6</v>
      </c>
      <c r="S14" t="n">
        <v>12</v>
      </c>
      <c r="T14" t="n">
        <v>1</v>
      </c>
      <c r="U14" t="n">
        <v>0.7</v>
      </c>
      <c r="V14" t="n">
        <v>0.5</v>
      </c>
      <c r="W14" t="n">
        <v>1.5</v>
      </c>
      <c r="X14" t="n">
        <v>1.5</v>
      </c>
      <c r="Y14" t="n">
        <v>1.5</v>
      </c>
      <c r="Z14" t="n">
        <v>1.1</v>
      </c>
      <c r="AA14" t="n">
        <v>-0.2</v>
      </c>
      <c r="AB14" t="n">
        <v>1.8</v>
      </c>
      <c r="AC14" t="n">
        <v>1.2</v>
      </c>
      <c r="AD14" t="n">
        <v>0.6</v>
      </c>
      <c r="AE14" t="n">
        <v>0.9</v>
      </c>
      <c r="AF14" t="n">
        <v>1.1</v>
      </c>
    </row>
    <row r="15">
      <c r="A15" t="s">
        <v>9</v>
      </c>
      <c r="B15" t="s">
        <v>300</v>
      </c>
      <c r="C15" t="s">
        <v>203</v>
      </c>
      <c r="D15" t="s">
        <v>301</v>
      </c>
      <c r="E15" t="s">
        <v>204</v>
      </c>
      <c r="F15" t="n">
        <v>0.2</v>
      </c>
      <c r="G15" t="n">
        <v>0.1</v>
      </c>
      <c r="H15" t="n">
        <v>1.5</v>
      </c>
      <c r="I15" t="n">
        <v>3</v>
      </c>
      <c r="J15" t="n">
        <v>1</v>
      </c>
      <c r="K15" t="n">
        <v>5</v>
      </c>
      <c r="L15" t="n">
        <v>11</v>
      </c>
      <c r="M15" t="n">
        <v>15</v>
      </c>
      <c r="N15" t="n">
        <v>22</v>
      </c>
      <c r="O15" t="n">
        <v>14</v>
      </c>
      <c r="P15" t="n">
        <v>27</v>
      </c>
      <c r="Q15" t="n">
        <v>26</v>
      </c>
      <c r="R15" t="n">
        <v>22</v>
      </c>
      <c r="S15" t="n">
        <v>42</v>
      </c>
      <c r="T15" t="n">
        <v>5</v>
      </c>
      <c r="U15" t="n">
        <v>2.4</v>
      </c>
      <c r="V15" t="n">
        <v>2.1</v>
      </c>
      <c r="W15" t="n">
        <v>4.1</v>
      </c>
      <c r="X15" t="n">
        <v>4.1</v>
      </c>
      <c r="Y15" t="n">
        <v>2.8</v>
      </c>
      <c r="Z15" t="n">
        <v>3.1</v>
      </c>
      <c r="AA15" t="n">
        <v>2.1</v>
      </c>
      <c r="AB15" t="n">
        <v>2.4</v>
      </c>
      <c r="AC15" t="n">
        <v>1.8</v>
      </c>
      <c r="AD15" t="n">
        <v>2.8</v>
      </c>
      <c r="AE15" t="n">
        <v>2.5</v>
      </c>
      <c r="AF15" t="n">
        <v>3.9</v>
      </c>
    </row>
    <row r="16">
      <c r="A16" t="s">
        <v>9</v>
      </c>
      <c r="B16" t="s">
        <v>302</v>
      </c>
      <c r="C16" t="s">
        <v>203</v>
      </c>
      <c r="D16" t="s">
        <v>303</v>
      </c>
      <c r="E16" t="s">
        <v>204</v>
      </c>
      <c r="F16" t="n">
        <v>0.1</v>
      </c>
      <c r="G16" t="n">
        <v>0</v>
      </c>
      <c r="H16" t="n">
        <v>0.5</v>
      </c>
      <c r="I16" t="n">
        <v>1</v>
      </c>
      <c r="J16" t="n">
        <v>0</v>
      </c>
      <c r="K16" t="n">
        <v>1</v>
      </c>
      <c r="L16" t="n">
        <v>3</v>
      </c>
      <c r="M16" t="n">
        <v>5</v>
      </c>
      <c r="N16" t="n">
        <v>7</v>
      </c>
      <c r="O16" t="n">
        <v>5</v>
      </c>
      <c r="P16" t="n">
        <v>16</v>
      </c>
      <c r="Q16" t="n">
        <v>13</v>
      </c>
      <c r="R16" t="n">
        <v>16</v>
      </c>
      <c r="S16" t="n">
        <v>30</v>
      </c>
      <c r="T16" t="n">
        <v>4</v>
      </c>
      <c r="U16" t="n">
        <v>1.7</v>
      </c>
      <c r="V16" t="n">
        <v>1.6</v>
      </c>
      <c r="W16" t="n">
        <v>2.6</v>
      </c>
      <c r="X16" t="n">
        <v>2.6</v>
      </c>
      <c r="Y16" t="n">
        <v>1.3</v>
      </c>
      <c r="Z16" t="n">
        <v>2</v>
      </c>
      <c r="AA16" t="n">
        <v>2.3</v>
      </c>
      <c r="AB16" t="n">
        <v>0.6</v>
      </c>
      <c r="AC16" t="n">
        <v>0.6</v>
      </c>
      <c r="AD16" t="n">
        <v>2.2</v>
      </c>
      <c r="AE16" t="n">
        <v>1.6</v>
      </c>
      <c r="AF16" t="n">
        <v>2.8</v>
      </c>
    </row>
    <row r="17">
      <c r="A17" t="s">
        <v>9</v>
      </c>
      <c r="B17" t="s">
        <v>304</v>
      </c>
      <c r="C17" t="s">
        <v>203</v>
      </c>
      <c r="D17" t="s">
        <v>305</v>
      </c>
      <c r="E17" t="s">
        <v>204</v>
      </c>
      <c r="F17" t="n">
        <v>0.3</v>
      </c>
      <c r="G17" t="n">
        <v>0.1</v>
      </c>
      <c r="H17" t="n">
        <v>2.4</v>
      </c>
      <c r="I17" t="n">
        <v>5</v>
      </c>
      <c r="J17" t="n">
        <v>1</v>
      </c>
      <c r="K17" t="n">
        <v>7</v>
      </c>
      <c r="L17" t="n">
        <v>31</v>
      </c>
      <c r="M17" t="n">
        <v>23</v>
      </c>
      <c r="N17" t="n">
        <v>21</v>
      </c>
      <c r="O17" t="n">
        <v>15</v>
      </c>
      <c r="P17" t="n">
        <v>34</v>
      </c>
      <c r="Q17" t="n">
        <v>34</v>
      </c>
      <c r="R17" t="n">
        <v>36</v>
      </c>
      <c r="S17" t="n">
        <v>25</v>
      </c>
      <c r="T17" t="n">
        <v>6</v>
      </c>
      <c r="U17" t="n">
        <v>2.7</v>
      </c>
      <c r="V17" t="n">
        <v>2.8</v>
      </c>
      <c r="W17" t="n">
        <v>3.6</v>
      </c>
      <c r="X17" t="n">
        <v>3.5</v>
      </c>
      <c r="Y17" t="n">
        <v>2.9</v>
      </c>
      <c r="Z17" t="n">
        <v>3.3</v>
      </c>
      <c r="AA17" t="n">
        <v>1.3</v>
      </c>
      <c r="AB17" t="n">
        <v>4.1</v>
      </c>
      <c r="AC17" t="n">
        <v>4.1</v>
      </c>
      <c r="AD17" t="n">
        <v>9.4</v>
      </c>
      <c r="AE17" t="n">
        <v>2.1</v>
      </c>
      <c r="AF17" t="n">
        <v>3.1</v>
      </c>
    </row>
    <row r="18">
      <c r="A18" t="s">
        <v>9</v>
      </c>
      <c r="B18" t="s">
        <v>306</v>
      </c>
      <c r="C18" t="s">
        <v>203</v>
      </c>
      <c r="D18" t="s">
        <v>307</v>
      </c>
      <c r="E18" t="s">
        <v>204</v>
      </c>
      <c r="F18" t="n">
        <v>0.2</v>
      </c>
      <c r="G18" t="n">
        <v>0.1</v>
      </c>
      <c r="H18" t="n">
        <v>1.4</v>
      </c>
      <c r="I18" t="n">
        <v>3</v>
      </c>
      <c r="J18" t="n">
        <v>1</v>
      </c>
      <c r="K18" t="n">
        <v>11</v>
      </c>
      <c r="L18" t="n">
        <v>2</v>
      </c>
      <c r="M18" t="n">
        <v>4</v>
      </c>
      <c r="N18" t="n">
        <v>4</v>
      </c>
      <c r="O18" t="n">
        <v>7</v>
      </c>
      <c r="P18" t="n">
        <v>8</v>
      </c>
      <c r="Q18" t="n">
        <v>19</v>
      </c>
      <c r="R18" t="n">
        <v>6</v>
      </c>
      <c r="S18" t="n">
        <v>33</v>
      </c>
      <c r="T18" t="n">
        <v>4</v>
      </c>
      <c r="U18" t="n">
        <v>1.4</v>
      </c>
      <c r="V18" t="n">
        <v>2.1</v>
      </c>
      <c r="W18" t="n">
        <v>2.6</v>
      </c>
      <c r="X18" t="n">
        <v>2.5</v>
      </c>
      <c r="Y18" t="n">
        <v>2.5</v>
      </c>
      <c r="Z18" t="n">
        <v>1.6</v>
      </c>
      <c r="AA18" t="n">
        <v>-1.5</v>
      </c>
      <c r="AB18" t="n">
        <v>0.4</v>
      </c>
      <c r="AC18" t="n">
        <v>2</v>
      </c>
      <c r="AD18" t="n">
        <v>3.2</v>
      </c>
      <c r="AE18" t="n">
        <v>2.1</v>
      </c>
      <c r="AF18" t="n">
        <v>0.5</v>
      </c>
    </row>
    <row r="19">
      <c r="A19" t="s">
        <v>9</v>
      </c>
      <c r="B19" t="s">
        <v>308</v>
      </c>
      <c r="C19" t="s">
        <v>203</v>
      </c>
      <c r="D19" t="s">
        <v>309</v>
      </c>
      <c r="E19" t="s">
        <v>204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16</v>
      </c>
      <c r="L19" t="n">
        <v>13</v>
      </c>
      <c r="M19" t="n">
        <v>4</v>
      </c>
      <c r="N19" t="n">
        <v>7</v>
      </c>
      <c r="O19" t="n">
        <v>8</v>
      </c>
      <c r="P19" t="n">
        <v>33</v>
      </c>
      <c r="Q19" t="n">
        <v>30</v>
      </c>
      <c r="R19" t="n">
        <v>23</v>
      </c>
      <c r="S19" t="n">
        <v>28</v>
      </c>
      <c r="T19" t="n">
        <v>10</v>
      </c>
      <c r="U19" t="n">
        <v>4.7</v>
      </c>
      <c r="V19" t="n">
        <v>4.6</v>
      </c>
      <c r="W19" t="n">
        <v>5.9</v>
      </c>
      <c r="X19" t="n">
        <v>5.8</v>
      </c>
      <c r="Y19" t="n">
        <v>7.6</v>
      </c>
      <c r="Z19" t="n">
        <v>9.2</v>
      </c>
      <c r="AA19" t="n">
        <v>14.7</v>
      </c>
      <c r="AB19" t="n">
        <v>9.3</v>
      </c>
      <c r="AC19" t="n">
        <v>11.5</v>
      </c>
      <c r="AD19" t="n">
        <v>12.1</v>
      </c>
      <c r="AE19" t="n">
        <v>7.7</v>
      </c>
      <c r="AF19" t="n">
        <v>10.3</v>
      </c>
    </row>
    <row r="20">
      <c r="A20" t="s">
        <v>9</v>
      </c>
      <c r="B20" t="s">
        <v>310</v>
      </c>
      <c r="C20" t="s">
        <v>203</v>
      </c>
      <c r="D20" t="s">
        <v>311</v>
      </c>
      <c r="E20" t="s">
        <v>204</v>
      </c>
      <c r="F20" t="n">
        <v>0.5</v>
      </c>
      <c r="G20" t="n">
        <v>0.2</v>
      </c>
      <c r="H20" t="n">
        <v>4.3</v>
      </c>
      <c r="I20" t="n">
        <v>9</v>
      </c>
      <c r="J20" t="n">
        <v>1</v>
      </c>
      <c r="K20" t="n">
        <v>0</v>
      </c>
      <c r="L20" t="n">
        <v>1</v>
      </c>
      <c r="M20" t="n">
        <v>94</v>
      </c>
      <c r="N20" t="n">
        <v>331</v>
      </c>
      <c r="O20" t="n">
        <v>175.9</v>
      </c>
      <c r="P20" t="n">
        <v>303.1</v>
      </c>
      <c r="Q20" t="n">
        <v>72.4</v>
      </c>
      <c r="R20" t="n">
        <v>286</v>
      </c>
      <c r="S20" t="n">
        <v>370.2</v>
      </c>
      <c r="T20" t="n">
        <v>103</v>
      </c>
      <c r="U20" t="n">
        <v>8.2</v>
      </c>
      <c r="V20" t="n">
        <v>4.3</v>
      </c>
      <c r="W20" t="n">
        <v>10.3</v>
      </c>
      <c r="X20" t="n">
        <v>10.1</v>
      </c>
      <c r="Y20" t="n">
        <v>10.5</v>
      </c>
      <c r="Z20" t="n">
        <v>-12.1</v>
      </c>
      <c r="AA20" t="n">
        <v>21.2</v>
      </c>
      <c r="AB20" t="n">
        <v>18.3</v>
      </c>
      <c r="AC20" t="n">
        <v>25.6</v>
      </c>
      <c r="AD20" t="n">
        <v>9.2</v>
      </c>
      <c r="AE20" t="n">
        <v>12.5</v>
      </c>
      <c r="AF20" t="n">
        <v>18.6</v>
      </c>
    </row>
    <row r="21">
      <c r="A21" t="s">
        <v>9</v>
      </c>
      <c r="B21" t="s">
        <v>312</v>
      </c>
      <c r="C21" t="s">
        <v>203</v>
      </c>
      <c r="D21" t="s">
        <v>313</v>
      </c>
      <c r="E21" t="s">
        <v>204</v>
      </c>
      <c r="F21" t="n">
        <v>0.6</v>
      </c>
      <c r="G21" t="n">
        <v>0.2</v>
      </c>
      <c r="H21" t="n">
        <v>4.8</v>
      </c>
      <c r="I21" t="n">
        <v>10</v>
      </c>
      <c r="J21" t="n">
        <v>4</v>
      </c>
      <c r="K21" t="n">
        <v>1</v>
      </c>
      <c r="L21" t="n">
        <v>4</v>
      </c>
      <c r="M21" t="n">
        <v>107</v>
      </c>
      <c r="N21" t="n">
        <v>341</v>
      </c>
      <c r="O21" t="n">
        <v>185.1</v>
      </c>
      <c r="P21" t="n">
        <v>335.1</v>
      </c>
      <c r="Q21" t="n">
        <v>89.4</v>
      </c>
      <c r="R21" t="n">
        <v>300</v>
      </c>
      <c r="S21" t="n">
        <v>385.2</v>
      </c>
      <c r="T21" t="n">
        <v>109</v>
      </c>
      <c r="U21" t="n">
        <v>19.2</v>
      </c>
      <c r="V21" t="n">
        <v>12.8</v>
      </c>
      <c r="W21" t="n">
        <v>17.2</v>
      </c>
      <c r="X21" t="n">
        <v>16.8</v>
      </c>
      <c r="Y21" t="n">
        <v>31.6</v>
      </c>
      <c r="Z21" t="n">
        <v>18.6</v>
      </c>
      <c r="AA21" t="n">
        <v>29.5</v>
      </c>
      <c r="AB21" t="n">
        <v>47.8</v>
      </c>
      <c r="AC21" t="n">
        <v>36.4</v>
      </c>
      <c r="AD21" t="n">
        <v>21.3</v>
      </c>
      <c r="AE21" t="n">
        <v>32.3</v>
      </c>
      <c r="AF21" t="n">
        <v>36</v>
      </c>
    </row>
    <row r="22">
      <c r="A22" t="s">
        <v>9</v>
      </c>
      <c r="B22" t="s">
        <v>314</v>
      </c>
      <c r="C22" t="s">
        <v>203</v>
      </c>
      <c r="D22" t="s">
        <v>315</v>
      </c>
      <c r="E22" t="s">
        <v>204</v>
      </c>
      <c r="F22" t="n">
        <v>0.1</v>
      </c>
      <c r="G22" t="n">
        <v>0</v>
      </c>
      <c r="H22" t="n">
        <v>0.5</v>
      </c>
      <c r="I22" t="n">
        <v>1</v>
      </c>
      <c r="J22" t="n">
        <v>3</v>
      </c>
      <c r="K22" t="n">
        <v>1</v>
      </c>
      <c r="L22" t="n">
        <v>3</v>
      </c>
      <c r="M22" t="n">
        <v>13</v>
      </c>
      <c r="N22" t="n">
        <v>10</v>
      </c>
      <c r="O22" t="n">
        <v>9.2</v>
      </c>
      <c r="P22" t="n">
        <v>32</v>
      </c>
      <c r="Q22" t="n">
        <v>17</v>
      </c>
      <c r="R22" t="n">
        <v>14</v>
      </c>
      <c r="S22" t="n">
        <v>15</v>
      </c>
      <c r="T22" t="n">
        <v>6</v>
      </c>
      <c r="U22" t="n">
        <v>11</v>
      </c>
      <c r="V22" t="n">
        <v>8.5</v>
      </c>
      <c r="W22" t="n">
        <v>6.9</v>
      </c>
      <c r="X22" t="n">
        <v>6.7</v>
      </c>
      <c r="Y22" t="n">
        <v>21.1</v>
      </c>
      <c r="Z22" t="n">
        <v>30.7</v>
      </c>
      <c r="AA22" t="n">
        <v>8.3</v>
      </c>
      <c r="AB22" t="n">
        <v>29.5</v>
      </c>
      <c r="AC22" t="n">
        <v>10.8</v>
      </c>
      <c r="AD22" t="n">
        <v>12.1</v>
      </c>
      <c r="AE22" t="n">
        <v>19.8</v>
      </c>
      <c r="AF22" t="n">
        <v>17.4</v>
      </c>
    </row>
    <row r="23">
      <c r="A23" t="s">
        <v>9</v>
      </c>
      <c r="B23" t="s">
        <v>316</v>
      </c>
      <c r="C23" t="s">
        <v>203</v>
      </c>
      <c r="D23" t="s">
        <v>317</v>
      </c>
      <c r="E23" t="s">
        <v>204</v>
      </c>
      <c r="F23" t="n">
        <v>0.3</v>
      </c>
      <c r="G23" t="n">
        <v>0.2</v>
      </c>
      <c r="H23" t="n">
        <v>2.9</v>
      </c>
      <c r="I23" t="n">
        <v>6</v>
      </c>
      <c r="J23" t="n">
        <v>11</v>
      </c>
      <c r="K23" t="n">
        <v>65</v>
      </c>
      <c r="L23" t="n">
        <v>67</v>
      </c>
      <c r="M23" t="n">
        <v>30</v>
      </c>
      <c r="N23" t="n">
        <v>51</v>
      </c>
      <c r="O23" t="n">
        <v>61</v>
      </c>
      <c r="P23" t="n">
        <v>172</v>
      </c>
      <c r="Q23" t="n">
        <v>201</v>
      </c>
      <c r="R23" t="n">
        <v>261</v>
      </c>
      <c r="S23" t="n">
        <v>79</v>
      </c>
      <c r="T23" t="n">
        <v>37.2</v>
      </c>
      <c r="U23" t="n">
        <v>39.6</v>
      </c>
      <c r="V23" t="n">
        <v>45.3</v>
      </c>
      <c r="W23" t="n">
        <v>56.6</v>
      </c>
      <c r="X23" t="n">
        <v>55.5</v>
      </c>
      <c r="Y23" t="n">
        <v>63.1</v>
      </c>
      <c r="Z23" t="n">
        <v>118.7</v>
      </c>
      <c r="AA23" t="n">
        <v>34.7</v>
      </c>
      <c r="AB23" t="n">
        <v>1.2</v>
      </c>
      <c r="AC23" t="n">
        <v>86.3</v>
      </c>
      <c r="AD23" t="n">
        <v>130.9</v>
      </c>
      <c r="AE23" t="n">
        <v>54.9</v>
      </c>
      <c r="AF23" t="n">
        <v>182.8</v>
      </c>
    </row>
    <row r="24">
      <c r="A24" t="s">
        <v>9</v>
      </c>
      <c r="B24" t="s">
        <v>318</v>
      </c>
      <c r="C24" t="s">
        <v>203</v>
      </c>
      <c r="D24" t="s">
        <v>319</v>
      </c>
      <c r="E24" t="s">
        <v>204</v>
      </c>
      <c r="F24" t="n">
        <v>1.1</v>
      </c>
      <c r="G24" t="n">
        <v>0.5</v>
      </c>
      <c r="H24" t="n">
        <v>9.4</v>
      </c>
      <c r="I24" t="n">
        <v>19.7</v>
      </c>
      <c r="J24" t="n">
        <v>50</v>
      </c>
      <c r="K24" t="n">
        <v>117</v>
      </c>
      <c r="L24" t="n">
        <v>354.8</v>
      </c>
      <c r="M24" t="n">
        <v>161.5</v>
      </c>
      <c r="N24" t="n">
        <v>239</v>
      </c>
      <c r="O24" t="n">
        <v>158</v>
      </c>
      <c r="P24" t="n">
        <v>321</v>
      </c>
      <c r="Q24" t="n">
        <v>292</v>
      </c>
      <c r="R24" t="n">
        <v>456</v>
      </c>
      <c r="S24" t="n">
        <v>139</v>
      </c>
      <c r="T24" t="n">
        <v>74</v>
      </c>
      <c r="U24" t="n">
        <v>121.9</v>
      </c>
      <c r="V24" t="n">
        <v>146.1</v>
      </c>
      <c r="W24" t="n">
        <v>165.9</v>
      </c>
      <c r="X24" t="n">
        <v>162.7</v>
      </c>
      <c r="Y24" t="n">
        <v>118.4</v>
      </c>
      <c r="Z24" t="n">
        <v>161.8</v>
      </c>
      <c r="AA24" t="n">
        <v>161.1</v>
      </c>
      <c r="AB24" t="n">
        <v>-23.7</v>
      </c>
      <c r="AC24" t="n">
        <v>178.4</v>
      </c>
      <c r="AD24" t="n">
        <v>171.3</v>
      </c>
      <c r="AE24" t="n">
        <v>163.9</v>
      </c>
      <c r="AF24" t="n">
        <v>165.5</v>
      </c>
    </row>
    <row r="25">
      <c r="A25" t="s">
        <v>9</v>
      </c>
      <c r="B25" t="s">
        <v>320</v>
      </c>
      <c r="C25" t="s">
        <v>203</v>
      </c>
      <c r="D25" t="s">
        <v>321</v>
      </c>
      <c r="E25" t="s">
        <v>204</v>
      </c>
      <c r="F25" t="n">
        <v>0.1</v>
      </c>
      <c r="G25" t="n">
        <v>0.1</v>
      </c>
      <c r="H25" t="n">
        <v>1</v>
      </c>
      <c r="I25" t="n">
        <v>2</v>
      </c>
      <c r="J25" t="n">
        <v>7</v>
      </c>
      <c r="K25" t="n">
        <v>11</v>
      </c>
      <c r="L25" t="n">
        <v>25</v>
      </c>
      <c r="M25" t="n">
        <v>16</v>
      </c>
      <c r="N25" t="n">
        <v>19</v>
      </c>
      <c r="O25" t="n">
        <v>19</v>
      </c>
      <c r="P25" t="n">
        <v>42</v>
      </c>
      <c r="Q25" t="n">
        <v>34</v>
      </c>
      <c r="R25" t="n">
        <v>32</v>
      </c>
      <c r="S25" t="n">
        <v>15</v>
      </c>
      <c r="T25" t="n">
        <v>9</v>
      </c>
      <c r="U25" t="n">
        <v>12.3</v>
      </c>
      <c r="V25" t="n">
        <v>24.6</v>
      </c>
      <c r="W25" t="n">
        <v>26</v>
      </c>
      <c r="X25" t="n">
        <v>25.5</v>
      </c>
      <c r="Y25" t="n">
        <v>19.5</v>
      </c>
      <c r="Z25" t="n">
        <v>68.7</v>
      </c>
      <c r="AA25" t="n">
        <v>50.3</v>
      </c>
      <c r="AB25" t="n">
        <v>14.9</v>
      </c>
      <c r="AC25" t="n">
        <v>-6.6</v>
      </c>
      <c r="AD25" t="n">
        <v>11.7</v>
      </c>
      <c r="AE25" t="n">
        <v>4.7</v>
      </c>
      <c r="AF25" t="n">
        <v>48.3</v>
      </c>
    </row>
    <row r="26">
      <c r="A26" t="s">
        <v>9</v>
      </c>
      <c r="B26" t="s">
        <v>322</v>
      </c>
      <c r="C26" t="s">
        <v>203</v>
      </c>
      <c r="D26" t="s">
        <v>323</v>
      </c>
      <c r="E26" t="s">
        <v>204</v>
      </c>
      <c r="F26" t="n">
        <v>0.8</v>
      </c>
      <c r="G26" t="n">
        <v>0.3</v>
      </c>
      <c r="H26" t="n">
        <v>6.5</v>
      </c>
      <c r="I26" t="n">
        <v>13.7</v>
      </c>
      <c r="J26" t="n">
        <v>31</v>
      </c>
      <c r="K26" t="n">
        <v>56</v>
      </c>
      <c r="L26" t="n">
        <v>248.8</v>
      </c>
      <c r="M26" t="n">
        <v>89.5</v>
      </c>
      <c r="N26" t="n">
        <v>160</v>
      </c>
      <c r="O26" t="n">
        <v>96</v>
      </c>
      <c r="P26" t="n">
        <v>198</v>
      </c>
      <c r="Q26" t="n">
        <v>182</v>
      </c>
      <c r="R26" t="n">
        <v>268</v>
      </c>
      <c r="S26" t="n">
        <v>76</v>
      </c>
      <c r="T26" t="n">
        <v>38</v>
      </c>
      <c r="U26" t="n">
        <v>74.5</v>
      </c>
      <c r="V26" t="n">
        <v>81.6</v>
      </c>
      <c r="W26" t="n">
        <v>110</v>
      </c>
      <c r="X26" t="n">
        <v>107.9</v>
      </c>
      <c r="Y26" t="n">
        <v>70.9</v>
      </c>
      <c r="Z26" t="n">
        <v>68.5</v>
      </c>
      <c r="AA26" t="n">
        <v>95.7</v>
      </c>
      <c r="AB26" t="n">
        <v>-61.4</v>
      </c>
      <c r="AC26" t="n">
        <v>148.2</v>
      </c>
      <c r="AD26" t="n">
        <v>128.8</v>
      </c>
      <c r="AE26" t="n">
        <v>115.4</v>
      </c>
      <c r="AF26" t="n">
        <v>130.6</v>
      </c>
    </row>
    <row r="27">
      <c r="A27" t="s">
        <v>9</v>
      </c>
      <c r="B27" t="s">
        <v>324</v>
      </c>
      <c r="C27" t="s">
        <v>203</v>
      </c>
      <c r="D27" t="s">
        <v>325</v>
      </c>
      <c r="E27" t="s">
        <v>204</v>
      </c>
      <c r="F27" t="n">
        <v>0.2</v>
      </c>
      <c r="G27" t="n">
        <v>0.1</v>
      </c>
      <c r="H27" t="n">
        <v>1.9</v>
      </c>
      <c r="I27" t="n">
        <v>4</v>
      </c>
      <c r="J27" t="n">
        <v>12</v>
      </c>
      <c r="K27" t="n">
        <v>50</v>
      </c>
      <c r="L27" t="n">
        <v>81</v>
      </c>
      <c r="M27" t="n">
        <v>56</v>
      </c>
      <c r="N27" t="n">
        <v>60</v>
      </c>
      <c r="O27" t="n">
        <v>43</v>
      </c>
      <c r="P27" t="n">
        <v>81</v>
      </c>
      <c r="Q27" t="n">
        <v>76</v>
      </c>
      <c r="R27" t="n">
        <v>156</v>
      </c>
      <c r="S27" t="n">
        <v>48</v>
      </c>
      <c r="T27" t="n">
        <v>27</v>
      </c>
      <c r="U27" t="n">
        <v>35.1</v>
      </c>
      <c r="V27" t="n">
        <v>39.9</v>
      </c>
      <c r="W27" t="n">
        <v>29.9</v>
      </c>
      <c r="X27" t="n">
        <v>29.3</v>
      </c>
      <c r="Y27" t="n">
        <v>28</v>
      </c>
      <c r="Z27" t="n">
        <v>24.6</v>
      </c>
      <c r="AA27" t="n">
        <v>15.1</v>
      </c>
      <c r="AB27" t="n">
        <v>22.8</v>
      </c>
      <c r="AC27" t="n">
        <v>36.8</v>
      </c>
      <c r="AD27" t="n">
        <v>30.8</v>
      </c>
      <c r="AE27" t="n">
        <v>43.8</v>
      </c>
      <c r="AF27" t="n">
        <v>-13.4</v>
      </c>
    </row>
    <row r="28">
      <c r="A28" t="s">
        <v>9</v>
      </c>
      <c r="B28" t="s">
        <v>326</v>
      </c>
      <c r="C28" t="s">
        <v>203</v>
      </c>
      <c r="D28" t="s">
        <v>327</v>
      </c>
      <c r="E28" t="s">
        <v>204</v>
      </c>
      <c r="F28" t="n">
        <v>1.4</v>
      </c>
      <c r="G28" t="n">
        <v>0.7</v>
      </c>
      <c r="H28" t="n">
        <v>12.4</v>
      </c>
      <c r="I28" t="n">
        <v>26</v>
      </c>
      <c r="J28" t="n">
        <v>149</v>
      </c>
      <c r="K28" t="n">
        <v>14</v>
      </c>
      <c r="L28" t="n">
        <v>24</v>
      </c>
      <c r="M28" t="n">
        <v>105</v>
      </c>
      <c r="N28" t="n">
        <v>84</v>
      </c>
      <c r="O28" t="n">
        <v>109</v>
      </c>
      <c r="P28" t="n">
        <v>262</v>
      </c>
      <c r="Q28" t="n">
        <v>265</v>
      </c>
      <c r="R28" t="n">
        <v>320</v>
      </c>
      <c r="S28" t="n">
        <v>30</v>
      </c>
      <c r="T28" t="n">
        <v>52</v>
      </c>
      <c r="U28" t="n">
        <v>185.9</v>
      </c>
      <c r="V28" t="n">
        <v>206.2</v>
      </c>
      <c r="W28" t="n">
        <v>235.9</v>
      </c>
      <c r="X28" t="n">
        <v>231.4</v>
      </c>
      <c r="Y28" t="n">
        <v>502.8</v>
      </c>
      <c r="Z28" t="n">
        <v>463</v>
      </c>
      <c r="AA28" t="n">
        <v>664.1</v>
      </c>
      <c r="AB28" t="n">
        <v>470.3</v>
      </c>
      <c r="AC28" t="n">
        <v>464</v>
      </c>
      <c r="AD28" t="n">
        <v>501.7</v>
      </c>
      <c r="AE28" t="n">
        <v>584</v>
      </c>
      <c r="AF28" t="n">
        <v>429.3</v>
      </c>
    </row>
    <row r="29">
      <c r="A29" t="s">
        <v>9</v>
      </c>
      <c r="B29" t="s">
        <v>328</v>
      </c>
      <c r="C29" t="s">
        <v>203</v>
      </c>
      <c r="D29" t="s">
        <v>329</v>
      </c>
      <c r="E29" t="s">
        <v>204</v>
      </c>
      <c r="F29" t="n">
        <v>0.8</v>
      </c>
      <c r="G29" t="n">
        <v>0.4</v>
      </c>
      <c r="H29" t="n">
        <v>6.7</v>
      </c>
      <c r="I29" t="n">
        <v>14</v>
      </c>
      <c r="J29" t="n">
        <v>120</v>
      </c>
      <c r="K29" t="n">
        <v>10</v>
      </c>
      <c r="L29" t="n">
        <v>18</v>
      </c>
      <c r="M29" t="n">
        <v>68</v>
      </c>
      <c r="N29" t="n">
        <v>40</v>
      </c>
      <c r="O29" t="n">
        <v>72</v>
      </c>
      <c r="P29" t="n">
        <v>199</v>
      </c>
      <c r="Q29" t="n">
        <v>183</v>
      </c>
      <c r="R29" t="n">
        <v>257</v>
      </c>
      <c r="S29" t="n">
        <v>14</v>
      </c>
      <c r="T29" t="n">
        <v>35</v>
      </c>
      <c r="U29" t="n">
        <v>161.5</v>
      </c>
      <c r="V29" t="n">
        <v>178.4</v>
      </c>
      <c r="W29" t="n">
        <v>189</v>
      </c>
      <c r="X29" t="n">
        <v>185.4</v>
      </c>
      <c r="Y29" t="n">
        <v>506.5</v>
      </c>
      <c r="Z29" t="n">
        <v>456.3</v>
      </c>
      <c r="AA29" t="n">
        <v>621.6</v>
      </c>
      <c r="AB29" t="n">
        <v>470.8</v>
      </c>
      <c r="AC29" t="n">
        <v>414.2</v>
      </c>
      <c r="AD29" t="n">
        <v>414.1</v>
      </c>
      <c r="AE29" t="n">
        <v>494.2</v>
      </c>
      <c r="AF29" t="n">
        <v>385.2</v>
      </c>
    </row>
    <row r="30">
      <c r="A30" t="s">
        <v>9</v>
      </c>
      <c r="B30" t="s">
        <v>330</v>
      </c>
      <c r="C30" t="s">
        <v>203</v>
      </c>
      <c r="D30" t="s">
        <v>331</v>
      </c>
      <c r="E30" t="s">
        <v>204</v>
      </c>
      <c r="F30" t="n">
        <v>0.4</v>
      </c>
      <c r="G30" t="n">
        <v>0.2</v>
      </c>
      <c r="H30" t="n">
        <v>3.3</v>
      </c>
      <c r="I30" t="n">
        <v>7</v>
      </c>
      <c r="J30" t="n">
        <v>4</v>
      </c>
      <c r="K30" t="n">
        <v>0</v>
      </c>
      <c r="L30" t="n">
        <v>1</v>
      </c>
      <c r="M30" t="n">
        <v>4</v>
      </c>
      <c r="N30" t="n">
        <v>14</v>
      </c>
      <c r="O30" t="n">
        <v>11</v>
      </c>
      <c r="P30" t="n">
        <v>25</v>
      </c>
      <c r="Q30" t="n">
        <v>30</v>
      </c>
      <c r="R30" t="n">
        <v>24</v>
      </c>
      <c r="S30" t="n">
        <v>1</v>
      </c>
      <c r="T30" t="n">
        <v>4</v>
      </c>
      <c r="U30" t="n">
        <v>2.8</v>
      </c>
      <c r="V30" t="n">
        <v>5.8</v>
      </c>
      <c r="W30" t="n">
        <v>4.7</v>
      </c>
      <c r="X30" t="n">
        <v>4.6</v>
      </c>
      <c r="Y30" t="n">
        <v>-1</v>
      </c>
      <c r="Z30" t="n">
        <v>3.2</v>
      </c>
      <c r="AA30" t="n">
        <v>9.2</v>
      </c>
      <c r="AB30" t="n">
        <v>16.7</v>
      </c>
      <c r="AC30" t="n">
        <v>12.6</v>
      </c>
      <c r="AD30" t="n">
        <v>8.7</v>
      </c>
      <c r="AE30" t="n">
        <v>-9.8</v>
      </c>
      <c r="AF30" t="n">
        <v>8.3</v>
      </c>
    </row>
    <row r="31">
      <c r="A31" t="s">
        <v>9</v>
      </c>
      <c r="B31" t="s">
        <v>332</v>
      </c>
      <c r="C31" t="s">
        <v>203</v>
      </c>
      <c r="D31" t="s">
        <v>333</v>
      </c>
      <c r="E31" t="s">
        <v>204</v>
      </c>
      <c r="F31" t="n">
        <v>0.1</v>
      </c>
      <c r="G31" t="n">
        <v>0</v>
      </c>
      <c r="H31" t="n">
        <v>0.5</v>
      </c>
      <c r="I31" t="n">
        <v>1</v>
      </c>
      <c r="J31" t="n">
        <v>4</v>
      </c>
      <c r="K31" t="n">
        <v>0</v>
      </c>
      <c r="L31" t="n">
        <v>0</v>
      </c>
      <c r="M31" t="n">
        <v>3</v>
      </c>
      <c r="N31" t="n">
        <v>10</v>
      </c>
      <c r="O31" t="n">
        <v>11</v>
      </c>
      <c r="P31" t="n">
        <v>13</v>
      </c>
      <c r="Q31" t="n">
        <v>22</v>
      </c>
      <c r="R31" t="n">
        <v>21</v>
      </c>
      <c r="S31" t="n">
        <v>6</v>
      </c>
      <c r="T31" t="n">
        <v>8</v>
      </c>
      <c r="U31" t="n">
        <v>7.4</v>
      </c>
      <c r="V31" t="n">
        <v>8.2</v>
      </c>
      <c r="W31" t="n">
        <v>5.4</v>
      </c>
      <c r="X31" t="n">
        <v>5.3</v>
      </c>
      <c r="Y31" t="n">
        <v>-43.6</v>
      </c>
      <c r="Z31" t="n">
        <v>-26.4</v>
      </c>
      <c r="AA31" t="n">
        <v>-1.5</v>
      </c>
      <c r="AB31" t="n">
        <v>-36.1</v>
      </c>
      <c r="AC31" t="n">
        <v>13.3</v>
      </c>
      <c r="AD31" t="n">
        <v>31.2</v>
      </c>
      <c r="AE31" t="n">
        <v>81.1</v>
      </c>
      <c r="AF31" t="n">
        <v>4.5</v>
      </c>
    </row>
    <row r="32">
      <c r="A32" t="s">
        <v>9</v>
      </c>
      <c r="B32" t="s">
        <v>334</v>
      </c>
      <c r="C32" t="s">
        <v>203</v>
      </c>
      <c r="D32" t="s">
        <v>335</v>
      </c>
      <c r="E32" t="s">
        <v>204</v>
      </c>
      <c r="F32" t="n">
        <v>0.2</v>
      </c>
      <c r="G32" t="n">
        <v>0.1</v>
      </c>
      <c r="H32" t="n">
        <v>1.9</v>
      </c>
      <c r="I32" t="n">
        <v>4</v>
      </c>
      <c r="J32" t="n">
        <v>21</v>
      </c>
      <c r="K32" t="n">
        <v>4</v>
      </c>
      <c r="L32" t="n">
        <v>5</v>
      </c>
      <c r="M32" t="n">
        <v>29</v>
      </c>
      <c r="N32" t="n">
        <v>18</v>
      </c>
      <c r="O32" t="n">
        <v>14</v>
      </c>
      <c r="P32" t="n">
        <v>22</v>
      </c>
      <c r="Q32" t="n">
        <v>25</v>
      </c>
      <c r="R32" t="n">
        <v>15</v>
      </c>
      <c r="S32" t="n">
        <v>8</v>
      </c>
      <c r="T32" t="n">
        <v>4</v>
      </c>
      <c r="U32" t="n">
        <v>11.5</v>
      </c>
      <c r="V32" t="n">
        <v>11</v>
      </c>
      <c r="W32" t="n">
        <v>30.9</v>
      </c>
      <c r="X32" t="n">
        <v>30.3</v>
      </c>
      <c r="Y32" t="n">
        <v>33.4</v>
      </c>
      <c r="Z32" t="n">
        <v>24.3</v>
      </c>
      <c r="AA32" t="n">
        <v>29.4</v>
      </c>
      <c r="AB32" t="n">
        <v>15.8</v>
      </c>
      <c r="AC32" t="n">
        <v>22.2</v>
      </c>
      <c r="AD32" t="n">
        <v>28.3</v>
      </c>
      <c r="AE32" t="n">
        <v>19.5</v>
      </c>
      <c r="AF32" t="n">
        <v>16.4</v>
      </c>
    </row>
    <row r="33">
      <c r="A33" t="s">
        <v>9</v>
      </c>
      <c r="B33" t="s">
        <v>336</v>
      </c>
      <c r="C33" t="s">
        <v>203</v>
      </c>
      <c r="D33" t="s">
        <v>337</v>
      </c>
      <c r="E33" t="s">
        <v>204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</v>
      </c>
      <c r="N33" t="n">
        <v>2</v>
      </c>
      <c r="O33" t="n">
        <v>1</v>
      </c>
      <c r="P33" t="n">
        <v>3</v>
      </c>
      <c r="Q33" t="n">
        <v>5</v>
      </c>
      <c r="R33" t="n">
        <v>3</v>
      </c>
      <c r="S33" t="n">
        <v>1</v>
      </c>
      <c r="T33" t="n">
        <v>1</v>
      </c>
      <c r="U33" t="n">
        <v>2.7</v>
      </c>
      <c r="V33" t="n">
        <v>2.8</v>
      </c>
      <c r="W33" t="n">
        <v>5.9</v>
      </c>
      <c r="X33" t="n">
        <v>5.8</v>
      </c>
      <c r="Y33" t="n">
        <v>7.5</v>
      </c>
      <c r="Z33" t="n">
        <v>5.6</v>
      </c>
      <c r="AA33" t="n">
        <v>5.4</v>
      </c>
      <c r="AB33" t="n">
        <v>3.1</v>
      </c>
      <c r="AC33" t="n">
        <v>1.7</v>
      </c>
      <c r="AD33" t="n">
        <v>19.4</v>
      </c>
      <c r="AE33" t="n">
        <v>-1</v>
      </c>
      <c r="AF33" t="n">
        <v>14.9</v>
      </c>
    </row>
    <row r="34">
      <c r="A34" t="s">
        <v>9</v>
      </c>
      <c r="B34" t="s">
        <v>338</v>
      </c>
      <c r="C34" t="s">
        <v>203</v>
      </c>
      <c r="D34" t="s">
        <v>339</v>
      </c>
      <c r="E34" t="s">
        <v>204</v>
      </c>
      <c r="F34" t="n">
        <v>0.1</v>
      </c>
      <c r="G34" t="n">
        <v>0.1</v>
      </c>
      <c r="H34" t="n">
        <v>1</v>
      </c>
      <c r="I34" t="n">
        <v>2</v>
      </c>
      <c r="J34" t="n">
        <v>2</v>
      </c>
      <c r="K34" t="n">
        <v>6</v>
      </c>
      <c r="L34" t="n">
        <v>36</v>
      </c>
      <c r="M34" t="n">
        <v>20</v>
      </c>
      <c r="N34" t="n">
        <v>23</v>
      </c>
      <c r="O34" t="n">
        <v>22</v>
      </c>
      <c r="P34" t="n">
        <v>39</v>
      </c>
      <c r="Q34" t="n">
        <v>32</v>
      </c>
      <c r="R34" t="n">
        <v>126</v>
      </c>
      <c r="S34" t="n">
        <v>28</v>
      </c>
      <c r="T34" t="n">
        <v>10</v>
      </c>
      <c r="U34" t="n">
        <v>7.6</v>
      </c>
      <c r="V34" t="n">
        <v>7.7</v>
      </c>
      <c r="W34" t="n">
        <v>10.5</v>
      </c>
      <c r="X34" t="n">
        <v>10.3</v>
      </c>
      <c r="Y34" t="n">
        <v>12.9</v>
      </c>
      <c r="Z34" t="n">
        <v>13.2</v>
      </c>
      <c r="AA34" t="n">
        <v>9.4</v>
      </c>
      <c r="AB34" t="n">
        <v>11.1</v>
      </c>
      <c r="AC34" t="n">
        <v>14.1</v>
      </c>
      <c r="AD34" t="n">
        <v>7.3</v>
      </c>
      <c r="AE34" t="n">
        <v>3.6</v>
      </c>
      <c r="AF34" t="n">
        <v>10.9</v>
      </c>
    </row>
    <row r="35">
      <c r="A35" t="s">
        <v>9</v>
      </c>
      <c r="B35" t="s">
        <v>340</v>
      </c>
      <c r="C35" t="s">
        <v>203</v>
      </c>
      <c r="D35" t="s">
        <v>341</v>
      </c>
      <c r="E35" t="s">
        <v>204</v>
      </c>
      <c r="F35" t="n">
        <v>0.7</v>
      </c>
      <c r="G35" t="n">
        <v>0.3</v>
      </c>
      <c r="H35" t="n">
        <v>5.7</v>
      </c>
      <c r="I35" t="n">
        <v>12</v>
      </c>
      <c r="J35" t="n">
        <v>3</v>
      </c>
      <c r="K35" t="n">
        <v>9</v>
      </c>
      <c r="L35" t="n">
        <v>29</v>
      </c>
      <c r="M35" t="n">
        <v>212</v>
      </c>
      <c r="N35" t="n">
        <v>147</v>
      </c>
      <c r="O35" t="n">
        <v>162</v>
      </c>
      <c r="P35" t="n">
        <v>319</v>
      </c>
      <c r="Q35" t="n">
        <v>221</v>
      </c>
      <c r="R35" t="n">
        <v>204</v>
      </c>
      <c r="S35" t="n">
        <v>138</v>
      </c>
      <c r="T35" t="n">
        <v>42</v>
      </c>
      <c r="U35" t="n">
        <v>7.8</v>
      </c>
      <c r="V35" t="n">
        <v>9</v>
      </c>
      <c r="W35" t="n">
        <v>14.7</v>
      </c>
      <c r="X35" t="n">
        <v>14.3</v>
      </c>
      <c r="Y35" t="n">
        <v>6.1</v>
      </c>
      <c r="Z35" t="n">
        <v>11.3</v>
      </c>
      <c r="AA35" t="n">
        <v>0.8</v>
      </c>
      <c r="AB35" t="n">
        <v>37.6</v>
      </c>
      <c r="AC35" t="n">
        <v>12.1</v>
      </c>
      <c r="AD35" t="n">
        <v>14.8</v>
      </c>
      <c r="AE35" t="n">
        <v>10.6</v>
      </c>
      <c r="AF35" t="n">
        <v>11.6</v>
      </c>
    </row>
    <row r="36">
      <c r="A36" t="s">
        <v>9</v>
      </c>
      <c r="B36" t="s">
        <v>342</v>
      </c>
      <c r="C36" t="s">
        <v>203</v>
      </c>
      <c r="D36" t="s">
        <v>343</v>
      </c>
      <c r="E36" t="s">
        <v>204</v>
      </c>
      <c r="F36" t="n">
        <v>0.7</v>
      </c>
      <c r="G36" t="n">
        <v>0.3</v>
      </c>
      <c r="H36" t="n">
        <v>5.7</v>
      </c>
      <c r="I36" t="n">
        <v>12</v>
      </c>
      <c r="J36" t="n">
        <v>3</v>
      </c>
      <c r="K36" t="n">
        <v>9</v>
      </c>
      <c r="L36" t="n">
        <v>24</v>
      </c>
      <c r="M36" t="n">
        <v>208</v>
      </c>
      <c r="N36" t="n">
        <v>113</v>
      </c>
      <c r="O36" t="n">
        <v>158</v>
      </c>
      <c r="P36" t="n">
        <v>23</v>
      </c>
      <c r="Q36" t="n">
        <v>18</v>
      </c>
      <c r="R36" t="n">
        <v>18</v>
      </c>
      <c r="S36" t="n">
        <v>13</v>
      </c>
      <c r="T36" t="n">
        <v>4</v>
      </c>
      <c r="U36" t="n">
        <v>2.2</v>
      </c>
      <c r="V36" t="n">
        <v>2.2</v>
      </c>
      <c r="W36" t="n">
        <v>3.4</v>
      </c>
      <c r="X36" t="n">
        <v>3.3</v>
      </c>
      <c r="Y36" t="n">
        <v>-0.5</v>
      </c>
      <c r="Z36" t="n">
        <v>4</v>
      </c>
      <c r="AA36" t="n">
        <v>0.4</v>
      </c>
      <c r="AB36" t="n">
        <v>1.7</v>
      </c>
      <c r="AC36" t="n">
        <v>1.1</v>
      </c>
      <c r="AD36" t="n">
        <v>2.9</v>
      </c>
      <c r="AE36" t="n">
        <v>2.3</v>
      </c>
      <c r="AF36" t="n">
        <v>3.4</v>
      </c>
    </row>
    <row r="37">
      <c r="A37" t="s">
        <v>9</v>
      </c>
      <c r="B37" t="s">
        <v>344</v>
      </c>
      <c r="C37" t="s">
        <v>203</v>
      </c>
      <c r="D37" t="s">
        <v>345</v>
      </c>
      <c r="E37" t="s">
        <v>204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2</v>
      </c>
      <c r="N37" t="n">
        <v>4</v>
      </c>
      <c r="O37" t="n">
        <v>0</v>
      </c>
      <c r="P37" t="n">
        <v>281</v>
      </c>
      <c r="Q37" t="n">
        <v>191</v>
      </c>
      <c r="R37" t="n">
        <v>178</v>
      </c>
      <c r="S37" t="n">
        <v>100</v>
      </c>
      <c r="T37" t="n">
        <v>33</v>
      </c>
      <c r="U37" t="n">
        <v>2.4</v>
      </c>
      <c r="V37" t="n">
        <v>1.5</v>
      </c>
      <c r="W37" t="n">
        <v>3.3</v>
      </c>
      <c r="X37" t="n">
        <v>3.2</v>
      </c>
      <c r="Y37" t="n">
        <v>-1.5</v>
      </c>
      <c r="Z37" t="n">
        <v>-2.7</v>
      </c>
      <c r="AA37" t="n">
        <v>-3.2</v>
      </c>
      <c r="AB37" t="n">
        <v>0</v>
      </c>
      <c r="AC37" t="n">
        <v>2.4</v>
      </c>
      <c r="AD37" t="n">
        <v>1.4</v>
      </c>
      <c r="AE37" t="n">
        <v>0.3</v>
      </c>
      <c r="AF37" t="n">
        <v>-2.9</v>
      </c>
    </row>
    <row r="38">
      <c r="A38" t="s">
        <v>9</v>
      </c>
      <c r="B38" t="s">
        <v>346</v>
      </c>
      <c r="C38" t="s">
        <v>203</v>
      </c>
      <c r="D38" t="s">
        <v>347</v>
      </c>
      <c r="E38" t="s">
        <v>204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</v>
      </c>
      <c r="M38" t="n">
        <v>2</v>
      </c>
      <c r="N38" t="n">
        <v>30</v>
      </c>
      <c r="O38" t="n">
        <v>4</v>
      </c>
      <c r="P38" t="n">
        <v>15</v>
      </c>
      <c r="Q38" t="n">
        <v>12</v>
      </c>
      <c r="R38" t="n">
        <v>8</v>
      </c>
      <c r="S38" t="n">
        <v>25</v>
      </c>
      <c r="T38" t="n">
        <v>5</v>
      </c>
      <c r="U38" t="n">
        <v>3.2</v>
      </c>
      <c r="V38" t="n">
        <v>5.4</v>
      </c>
      <c r="W38" t="n">
        <v>8</v>
      </c>
      <c r="X38" t="n">
        <v>7.8</v>
      </c>
      <c r="Y38" t="n">
        <v>8.1</v>
      </c>
      <c r="Z38" t="n">
        <v>10</v>
      </c>
      <c r="AA38" t="n">
        <v>3.7</v>
      </c>
      <c r="AB38" t="n">
        <v>35.9</v>
      </c>
      <c r="AC38" t="n">
        <v>8.6</v>
      </c>
      <c r="AD38" t="n">
        <v>10.5</v>
      </c>
      <c r="AE38" t="n">
        <v>8</v>
      </c>
      <c r="AF38" t="n">
        <v>11.1</v>
      </c>
    </row>
    <row r="39">
      <c r="A39" t="s">
        <v>9</v>
      </c>
      <c r="B39" t="s">
        <v>348</v>
      </c>
      <c r="C39" t="s">
        <v>203</v>
      </c>
      <c r="D39" t="s">
        <v>349</v>
      </c>
      <c r="E39" t="s">
        <v>204</v>
      </c>
      <c r="F39" t="n">
        <v>0.4</v>
      </c>
      <c r="G39" t="n">
        <v>0.2</v>
      </c>
      <c r="H39" t="n">
        <v>3.8</v>
      </c>
      <c r="I39" t="n">
        <v>8</v>
      </c>
      <c r="J39" t="n">
        <v>5</v>
      </c>
      <c r="K39" t="n">
        <v>3</v>
      </c>
      <c r="L39" t="n">
        <v>5</v>
      </c>
      <c r="M39" t="n">
        <v>34</v>
      </c>
      <c r="N39" t="n">
        <v>14</v>
      </c>
      <c r="O39" t="n">
        <v>34</v>
      </c>
      <c r="P39" t="n">
        <v>8.1</v>
      </c>
      <c r="Q39" t="n">
        <v>65</v>
      </c>
      <c r="R39" t="n">
        <v>54</v>
      </c>
      <c r="S39" t="n">
        <v>49</v>
      </c>
      <c r="T39" t="n">
        <v>11.9</v>
      </c>
      <c r="U39" t="n">
        <v>15.1</v>
      </c>
      <c r="V39" t="n">
        <v>24</v>
      </c>
      <c r="W39" t="n">
        <v>39.8</v>
      </c>
      <c r="X39" t="n">
        <v>39.1</v>
      </c>
      <c r="Y39" t="n">
        <v>-18.8</v>
      </c>
      <c r="Z39" t="n">
        <v>-4.1</v>
      </c>
      <c r="AA39" t="n">
        <v>21.4</v>
      </c>
      <c r="AB39" t="n">
        <v>50.2</v>
      </c>
      <c r="AC39" t="n">
        <v>40.4</v>
      </c>
      <c r="AD39" t="n">
        <v>53.9</v>
      </c>
      <c r="AE39" t="n">
        <v>40.7</v>
      </c>
      <c r="AF39" t="n">
        <v>39.7</v>
      </c>
    </row>
    <row r="40">
      <c r="A40" t="s">
        <v>9</v>
      </c>
      <c r="B40" t="s">
        <v>350</v>
      </c>
      <c r="C40" t="s">
        <v>203</v>
      </c>
      <c r="D40" t="s">
        <v>351</v>
      </c>
      <c r="E40" t="s">
        <v>204</v>
      </c>
      <c r="F40" t="n">
        <v>0.1</v>
      </c>
      <c r="G40" t="n">
        <v>0</v>
      </c>
      <c r="H40" t="n">
        <v>0.5</v>
      </c>
      <c r="I40" t="n">
        <v>1</v>
      </c>
      <c r="J40" t="n">
        <v>0</v>
      </c>
      <c r="K40" t="n">
        <v>3</v>
      </c>
      <c r="L40" t="n">
        <v>30</v>
      </c>
      <c r="M40" t="n">
        <v>11</v>
      </c>
      <c r="N40" t="n">
        <v>2</v>
      </c>
      <c r="O40" t="n">
        <v>10</v>
      </c>
      <c r="P40" t="n">
        <v>27</v>
      </c>
      <c r="Q40" t="n">
        <v>33</v>
      </c>
      <c r="R40" t="n">
        <v>38</v>
      </c>
      <c r="S40" t="n">
        <v>33</v>
      </c>
      <c r="T40" t="n">
        <v>14</v>
      </c>
      <c r="U40" t="n">
        <v>9.6</v>
      </c>
      <c r="V40" t="n">
        <v>15.3</v>
      </c>
      <c r="W40" t="n">
        <v>28.7</v>
      </c>
      <c r="X40" t="n">
        <v>28.2</v>
      </c>
      <c r="Y40" t="n">
        <v>2.8</v>
      </c>
      <c r="Z40" t="n">
        <v>1.8</v>
      </c>
      <c r="AA40" t="n">
        <v>-11</v>
      </c>
      <c r="AB40" t="n">
        <v>-81.9</v>
      </c>
      <c r="AC40" t="n">
        <v>3.7</v>
      </c>
      <c r="AD40" t="n">
        <v>6.5</v>
      </c>
      <c r="AE40" t="n">
        <v>-9.1</v>
      </c>
      <c r="AF40" t="n">
        <v>10.2</v>
      </c>
    </row>
    <row r="41">
      <c r="A41" t="s">
        <v>9</v>
      </c>
      <c r="B41" t="s">
        <v>352</v>
      </c>
      <c r="C41" t="s">
        <v>203</v>
      </c>
      <c r="D41" t="s">
        <v>353</v>
      </c>
      <c r="E41" t="s">
        <v>204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9</v>
      </c>
      <c r="B42" t="s">
        <v>354</v>
      </c>
      <c r="C42" t="s">
        <v>203</v>
      </c>
      <c r="D42" t="s">
        <v>355</v>
      </c>
      <c r="E42" t="s">
        <v>204</v>
      </c>
      <c r="F42" t="n">
        <v>0.9</v>
      </c>
      <c r="G42" t="n">
        <v>0.4</v>
      </c>
      <c r="H42" t="n">
        <v>7.6</v>
      </c>
      <c r="I42" t="n">
        <v>16</v>
      </c>
      <c r="J42" t="n">
        <v>5</v>
      </c>
      <c r="K42" t="n">
        <v>39</v>
      </c>
      <c r="L42" t="n">
        <v>53</v>
      </c>
      <c r="M42" t="n">
        <v>15</v>
      </c>
      <c r="N42" t="n">
        <v>29</v>
      </c>
      <c r="O42" t="n">
        <v>15</v>
      </c>
      <c r="P42" t="n">
        <v>40</v>
      </c>
      <c r="Q42" t="n">
        <v>39</v>
      </c>
      <c r="R42" t="n">
        <v>35</v>
      </c>
      <c r="S42" t="n">
        <v>35</v>
      </c>
      <c r="T42" t="n">
        <v>61</v>
      </c>
      <c r="U42" t="n">
        <v>24.4</v>
      </c>
      <c r="V42" t="n">
        <v>23.8</v>
      </c>
      <c r="W42" t="n">
        <v>36.2</v>
      </c>
      <c r="X42" t="n">
        <v>35.5</v>
      </c>
      <c r="Y42" t="n">
        <v>24.8</v>
      </c>
      <c r="Z42" t="n">
        <v>19.1</v>
      </c>
      <c r="AA42" t="n">
        <v>1.3</v>
      </c>
      <c r="AB42" t="n">
        <v>64.9</v>
      </c>
      <c r="AC42" t="n">
        <v>-33.8</v>
      </c>
      <c r="AD42" t="n">
        <v>7.1</v>
      </c>
      <c r="AE42" t="n">
        <v>32.1</v>
      </c>
      <c r="AF42" t="n">
        <v>43.8</v>
      </c>
    </row>
    <row r="43">
      <c r="A43" t="s">
        <v>9</v>
      </c>
      <c r="B43" t="s">
        <v>356</v>
      </c>
      <c r="C43" t="s">
        <v>203</v>
      </c>
      <c r="D43" t="s">
        <v>357</v>
      </c>
      <c r="E43" t="s">
        <v>204</v>
      </c>
      <c r="F43" t="n">
        <v>1</v>
      </c>
      <c r="G43" t="n">
        <v>0.5</v>
      </c>
      <c r="H43" t="n">
        <v>8.6</v>
      </c>
      <c r="I43" t="n">
        <v>18</v>
      </c>
      <c r="J43" t="n">
        <v>11</v>
      </c>
      <c r="K43" t="n">
        <v>42</v>
      </c>
      <c r="L43" t="n">
        <v>63</v>
      </c>
      <c r="M43" t="n">
        <v>30</v>
      </c>
      <c r="N43" t="n">
        <v>79.6</v>
      </c>
      <c r="O43" t="n">
        <v>46</v>
      </c>
      <c r="P43" t="n">
        <v>104</v>
      </c>
      <c r="Q43" t="n">
        <v>91</v>
      </c>
      <c r="R43" t="n">
        <v>103.3</v>
      </c>
      <c r="S43" t="n">
        <v>59</v>
      </c>
      <c r="T43" t="n">
        <v>74</v>
      </c>
      <c r="U43" t="n">
        <v>46.6</v>
      </c>
      <c r="V43" t="n">
        <v>72.8</v>
      </c>
      <c r="W43" t="n">
        <v>92.7</v>
      </c>
      <c r="X43" t="n">
        <v>90.9</v>
      </c>
      <c r="Y43" t="n">
        <v>183.4</v>
      </c>
      <c r="Z43" t="n">
        <v>176.5</v>
      </c>
      <c r="AA43" t="n">
        <v>203.7</v>
      </c>
      <c r="AB43" t="n">
        <v>369.8</v>
      </c>
      <c r="AC43" t="n">
        <v>148.8</v>
      </c>
      <c r="AD43" t="n">
        <v>288.1</v>
      </c>
      <c r="AE43" t="n">
        <v>148.6</v>
      </c>
      <c r="AF43" t="n">
        <v>248.1</v>
      </c>
    </row>
    <row r="44">
      <c r="A44" t="s">
        <v>9</v>
      </c>
      <c r="B44" t="s">
        <v>358</v>
      </c>
      <c r="C44" t="s">
        <v>203</v>
      </c>
      <c r="D44" t="s">
        <v>359</v>
      </c>
      <c r="E44" t="s">
        <v>204</v>
      </c>
      <c r="F44" t="n">
        <v>10.3</v>
      </c>
      <c r="G44" t="n">
        <v>4.9</v>
      </c>
      <c r="H44" t="n">
        <v>90.1</v>
      </c>
      <c r="I44" t="n">
        <v>188.7</v>
      </c>
      <c r="J44" t="n">
        <v>270</v>
      </c>
      <c r="K44" t="n">
        <v>394</v>
      </c>
      <c r="L44" t="n">
        <v>834.8</v>
      </c>
      <c r="M44" t="n">
        <v>1226.5</v>
      </c>
      <c r="N44" t="n">
        <v>1539.3</v>
      </c>
      <c r="O44" t="n">
        <v>1221.1</v>
      </c>
      <c r="P44" t="n">
        <v>2511.1</v>
      </c>
      <c r="Q44" t="n">
        <v>2025.4</v>
      </c>
      <c r="R44" t="n">
        <v>2615.6</v>
      </c>
      <c r="S44" t="n">
        <v>1837.2</v>
      </c>
      <c r="T44" t="n">
        <v>628.1</v>
      </c>
      <c r="U44" t="n">
        <v>543.6</v>
      </c>
      <c r="V44" t="n">
        <v>644.5</v>
      </c>
      <c r="W44" t="n">
        <v>835.1</v>
      </c>
      <c r="X44" t="n">
        <v>818.9</v>
      </c>
      <c r="Y44" t="n">
        <v>1089.3</v>
      </c>
      <c r="Z44" t="n">
        <v>1205.9</v>
      </c>
      <c r="AA44" t="n">
        <v>1263.9</v>
      </c>
      <c r="AB44" t="n">
        <v>1158.3</v>
      </c>
      <c r="AC44" t="n">
        <v>1283.9</v>
      </c>
      <c r="AD44" t="n">
        <v>1396.7</v>
      </c>
      <c r="AE44" t="n">
        <v>1227.1</v>
      </c>
      <c r="AF44" t="n">
        <v>1354.2</v>
      </c>
    </row>
    <row r="45">
      <c r="A45" t="s">
        <v>9</v>
      </c>
      <c r="B45" t="s">
        <v>360</v>
      </c>
      <c r="C45" t="s">
        <v>203</v>
      </c>
      <c r="D45" t="s">
        <v>361</v>
      </c>
      <c r="E45" t="s">
        <v>204</v>
      </c>
      <c r="F45" t="n">
        <v>9.9</v>
      </c>
      <c r="G45" t="n">
        <v>4.7</v>
      </c>
      <c r="H45" t="n">
        <v>86.3</v>
      </c>
      <c r="I45" t="n">
        <v>180.7</v>
      </c>
      <c r="J45" t="n">
        <v>266</v>
      </c>
      <c r="K45" t="n">
        <v>375</v>
      </c>
      <c r="L45" t="n">
        <v>771.8</v>
      </c>
      <c r="M45" t="n">
        <v>1180.5</v>
      </c>
      <c r="N45" t="n">
        <v>1500.3</v>
      </c>
      <c r="O45" t="n">
        <v>1160.1</v>
      </c>
      <c r="P45" t="n">
        <v>2417.1</v>
      </c>
      <c r="Q45" t="n">
        <v>1958.4</v>
      </c>
      <c r="R45" t="n">
        <v>2566.6</v>
      </c>
      <c r="S45" t="n">
        <v>1638.2</v>
      </c>
      <c r="T45" t="n">
        <v>599.1</v>
      </c>
      <c r="U45" t="n">
        <v>513.5</v>
      </c>
      <c r="V45" t="n">
        <v>590.3</v>
      </c>
      <c r="W45" t="n">
        <v>745.2</v>
      </c>
      <c r="X45" t="n">
        <v>730.7</v>
      </c>
      <c r="Y45" t="n">
        <v>993.6</v>
      </c>
      <c r="Z45" t="n">
        <v>1080.1</v>
      </c>
      <c r="AA45" t="n">
        <v>1193.7</v>
      </c>
      <c r="AB45" t="n">
        <v>1075.3</v>
      </c>
      <c r="AC45" t="n">
        <v>1172.5</v>
      </c>
      <c r="AD45" t="n">
        <v>1303.7</v>
      </c>
      <c r="AE45" t="n">
        <v>1159.9</v>
      </c>
      <c r="AF45" t="n">
        <v>1249.1</v>
      </c>
    </row>
    <row r="46">
      <c r="A46" t="s">
        <v>9</v>
      </c>
      <c r="B46" t="s">
        <v>362</v>
      </c>
      <c r="C46" t="s">
        <v>203</v>
      </c>
      <c r="D46" t="s">
        <v>363</v>
      </c>
      <c r="E46" t="s">
        <v>204</v>
      </c>
      <c r="F46" t="n">
        <v>0.1</v>
      </c>
      <c r="G46" t="n">
        <v>0.1</v>
      </c>
      <c r="H46" t="n">
        <v>1</v>
      </c>
      <c r="I46" t="n">
        <v>2</v>
      </c>
      <c r="J46" t="n">
        <v>6</v>
      </c>
      <c r="K46" t="n">
        <v>3</v>
      </c>
      <c r="L46" t="n">
        <v>10</v>
      </c>
      <c r="M46" t="n">
        <v>15</v>
      </c>
      <c r="N46" t="n">
        <v>50.6</v>
      </c>
      <c r="O46" t="n">
        <v>31</v>
      </c>
      <c r="P46" t="n">
        <v>64</v>
      </c>
      <c r="Q46" t="n">
        <v>52</v>
      </c>
      <c r="R46" t="n">
        <v>68.3</v>
      </c>
      <c r="S46" t="n">
        <v>24</v>
      </c>
      <c r="T46" t="n">
        <v>13</v>
      </c>
      <c r="U46" t="n">
        <v>22.2</v>
      </c>
      <c r="V46" t="n">
        <v>49</v>
      </c>
      <c r="W46" t="n">
        <v>56.5</v>
      </c>
      <c r="X46" t="n">
        <v>55.4</v>
      </c>
      <c r="Y46" t="n">
        <v>158.6</v>
      </c>
      <c r="Z46" t="n">
        <v>157.4</v>
      </c>
      <c r="AA46" t="n">
        <v>202.4</v>
      </c>
      <c r="AB46" t="n">
        <v>304.9</v>
      </c>
      <c r="AC46" t="n">
        <v>182.6</v>
      </c>
      <c r="AD46" t="n">
        <v>281</v>
      </c>
      <c r="AE46" t="n">
        <v>116.5</v>
      </c>
      <c r="AF46" t="n">
        <v>204.3</v>
      </c>
    </row>
    <row r="47">
      <c r="A47" t="s">
        <v>9</v>
      </c>
      <c r="B47" t="s">
        <v>364</v>
      </c>
      <c r="C47" t="s">
        <v>203</v>
      </c>
      <c r="D47" t="s">
        <v>365</v>
      </c>
      <c r="E47" t="s">
        <v>204</v>
      </c>
      <c r="F47" t="n">
        <v>1.3</v>
      </c>
      <c r="G47" t="n">
        <v>0.6</v>
      </c>
      <c r="H47" t="n">
        <v>11.5</v>
      </c>
      <c r="I47" t="n">
        <v>24</v>
      </c>
      <c r="J47" t="n">
        <v>1.4</v>
      </c>
      <c r="K47" t="n">
        <v>14.7</v>
      </c>
      <c r="L47" t="n">
        <v>4</v>
      </c>
      <c r="M47" t="n">
        <v>15</v>
      </c>
      <c r="N47" t="n">
        <v>157.4</v>
      </c>
      <c r="O47" t="n">
        <v>41</v>
      </c>
      <c r="P47" t="n">
        <v>146.8</v>
      </c>
      <c r="Q47" t="n">
        <v>302</v>
      </c>
      <c r="R47" t="n">
        <v>615</v>
      </c>
      <c r="S47" t="n">
        <v>286</v>
      </c>
      <c r="T47" t="n">
        <v>59.4</v>
      </c>
      <c r="U47" t="n">
        <v>36.4</v>
      </c>
      <c r="V47" t="n">
        <v>15.2</v>
      </c>
      <c r="W47" t="n">
        <v>40.8</v>
      </c>
      <c r="X47" t="n">
        <v>40</v>
      </c>
      <c r="Y47" t="n">
        <v>381.4</v>
      </c>
      <c r="Z47" t="n">
        <v>34.9</v>
      </c>
      <c r="AA47" t="n">
        <v>69.1</v>
      </c>
      <c r="AB47" t="n">
        <v>58.3</v>
      </c>
      <c r="AC47" t="n">
        <v>110.3</v>
      </c>
      <c r="AD47" t="n">
        <v>173.2</v>
      </c>
      <c r="AE47" t="n">
        <v>92.8</v>
      </c>
      <c r="AF47" t="n">
        <v>124.9</v>
      </c>
    </row>
    <row r="48">
      <c r="A48" t="s">
        <v>9</v>
      </c>
      <c r="B48" t="s">
        <v>366</v>
      </c>
      <c r="C48" t="s">
        <v>203</v>
      </c>
      <c r="D48" t="s">
        <v>367</v>
      </c>
      <c r="E48" t="s">
        <v>204</v>
      </c>
      <c r="F48" t="n">
        <v>1.4</v>
      </c>
      <c r="G48" t="n">
        <v>0.7</v>
      </c>
      <c r="H48" t="n">
        <v>12.4</v>
      </c>
      <c r="I48" t="n">
        <v>26</v>
      </c>
      <c r="J48" t="n">
        <v>1.4</v>
      </c>
      <c r="K48" t="n">
        <v>31.7</v>
      </c>
      <c r="L48" t="n">
        <v>28</v>
      </c>
      <c r="M48" t="n">
        <v>52</v>
      </c>
      <c r="N48" t="n">
        <v>189.4</v>
      </c>
      <c r="O48" t="n">
        <v>69</v>
      </c>
      <c r="P48" t="n">
        <v>195.8</v>
      </c>
      <c r="Q48" t="n">
        <v>332</v>
      </c>
      <c r="R48" t="n">
        <v>680</v>
      </c>
      <c r="S48" t="n">
        <v>342</v>
      </c>
      <c r="T48" t="n">
        <v>77.4</v>
      </c>
      <c r="U48" t="n">
        <v>102.3</v>
      </c>
      <c r="V48" t="n">
        <v>44.4</v>
      </c>
      <c r="W48" t="n">
        <v>50.2</v>
      </c>
      <c r="X48" t="n">
        <v>49.2</v>
      </c>
      <c r="Y48" t="n">
        <v>386</v>
      </c>
      <c r="Z48" t="n">
        <v>49</v>
      </c>
      <c r="AA48" t="n">
        <v>82.7</v>
      </c>
      <c r="AB48" t="n">
        <v>71.4</v>
      </c>
      <c r="AC48" t="n">
        <v>152.2</v>
      </c>
      <c r="AD48" t="n">
        <v>185.9</v>
      </c>
      <c r="AE48" t="n">
        <v>112.2</v>
      </c>
      <c r="AF48" t="n">
        <v>143.1</v>
      </c>
    </row>
    <row r="49">
      <c r="A49" t="s">
        <v>9</v>
      </c>
      <c r="B49" t="s">
        <v>368</v>
      </c>
      <c r="C49" t="s">
        <v>203</v>
      </c>
      <c r="D49" t="s">
        <v>369</v>
      </c>
      <c r="E49" t="s">
        <v>204</v>
      </c>
      <c r="F49" t="n">
        <v>0.1</v>
      </c>
      <c r="G49" t="n">
        <v>0</v>
      </c>
      <c r="H49" t="n">
        <v>0.5</v>
      </c>
      <c r="I49" t="n">
        <v>1</v>
      </c>
      <c r="J49" t="n">
        <v>0</v>
      </c>
      <c r="K49" t="n">
        <v>13</v>
      </c>
      <c r="L49" t="n">
        <v>5</v>
      </c>
      <c r="M49" t="n">
        <v>4</v>
      </c>
      <c r="N49" t="n">
        <v>30</v>
      </c>
      <c r="O49" t="n">
        <v>9</v>
      </c>
      <c r="P49" t="n">
        <v>7</v>
      </c>
      <c r="Q49" t="n">
        <v>5</v>
      </c>
      <c r="R49" t="n">
        <v>31</v>
      </c>
      <c r="S49" t="n">
        <v>7</v>
      </c>
      <c r="T49" t="n">
        <v>3</v>
      </c>
      <c r="U49" t="n">
        <v>46.3</v>
      </c>
      <c r="V49" t="n">
        <v>13.2</v>
      </c>
      <c r="W49" t="n">
        <v>1.7</v>
      </c>
      <c r="X49" t="n">
        <v>1.7</v>
      </c>
      <c r="Y49" t="n">
        <v>-4.2</v>
      </c>
      <c r="Z49" t="n">
        <v>2.6</v>
      </c>
      <c r="AA49" t="n">
        <v>2.9</v>
      </c>
      <c r="AB49" t="n">
        <v>2.4</v>
      </c>
      <c r="AC49" t="n">
        <v>32</v>
      </c>
      <c r="AD49" t="n">
        <v>2.3</v>
      </c>
      <c r="AE49" t="n">
        <v>2.4</v>
      </c>
      <c r="AF49" t="n">
        <v>3.9</v>
      </c>
    </row>
    <row r="50">
      <c r="A50" t="s">
        <v>9</v>
      </c>
      <c r="B50" t="s">
        <v>370</v>
      </c>
      <c r="C50" t="s">
        <v>203</v>
      </c>
      <c r="D50" t="s">
        <v>371</v>
      </c>
      <c r="E50" t="s">
        <v>204</v>
      </c>
      <c r="F50" t="n">
        <v>0.1</v>
      </c>
      <c r="G50" t="n">
        <v>0</v>
      </c>
      <c r="H50" t="n">
        <v>0.5</v>
      </c>
      <c r="I50" t="n">
        <v>1</v>
      </c>
      <c r="J50" t="n">
        <v>0</v>
      </c>
      <c r="K50" t="n">
        <v>4</v>
      </c>
      <c r="L50" t="n">
        <v>19</v>
      </c>
      <c r="M50" t="n">
        <v>33</v>
      </c>
      <c r="N50" t="n">
        <v>2</v>
      </c>
      <c r="O50" t="n">
        <v>19</v>
      </c>
      <c r="P50" t="n">
        <v>42</v>
      </c>
      <c r="Q50" t="n">
        <v>25</v>
      </c>
      <c r="R50" t="n">
        <v>34</v>
      </c>
      <c r="S50" t="n">
        <v>49</v>
      </c>
      <c r="T50" t="n">
        <v>15</v>
      </c>
      <c r="U50" t="n">
        <v>19.7</v>
      </c>
      <c r="V50" t="n">
        <v>16</v>
      </c>
      <c r="W50" t="n">
        <v>7.7</v>
      </c>
      <c r="X50" t="n">
        <v>7.6</v>
      </c>
      <c r="Y50" t="n">
        <v>8.7</v>
      </c>
      <c r="Z50" t="n">
        <v>11.5</v>
      </c>
      <c r="AA50" t="n">
        <v>10.7</v>
      </c>
      <c r="AB50" t="n">
        <v>10.7</v>
      </c>
      <c r="AC50" t="n">
        <v>9.9</v>
      </c>
      <c r="AD50" t="n">
        <v>10.5</v>
      </c>
      <c r="AE50" t="n">
        <v>17.1</v>
      </c>
      <c r="AF50" t="n">
        <v>14.3</v>
      </c>
    </row>
    <row r="51">
      <c r="A51" t="s">
        <v>9</v>
      </c>
      <c r="B51" t="s">
        <v>372</v>
      </c>
      <c r="C51" t="s">
        <v>203</v>
      </c>
      <c r="D51" t="s">
        <v>373</v>
      </c>
      <c r="E51" t="s">
        <v>204</v>
      </c>
      <c r="F51" t="n">
        <v>0.1</v>
      </c>
      <c r="G51" t="n">
        <v>0</v>
      </c>
      <c r="H51" t="n">
        <v>0.5</v>
      </c>
      <c r="I51" t="n">
        <v>1</v>
      </c>
      <c r="J51" t="n">
        <v>0</v>
      </c>
      <c r="K51" t="n">
        <v>4</v>
      </c>
      <c r="L51" t="n">
        <v>19</v>
      </c>
      <c r="M51" t="n">
        <v>33</v>
      </c>
      <c r="N51" t="n">
        <v>0</v>
      </c>
      <c r="O51" t="n">
        <v>19</v>
      </c>
      <c r="P51" t="n">
        <v>41</v>
      </c>
      <c r="Q51" t="n">
        <v>24</v>
      </c>
      <c r="R51" t="n">
        <v>33</v>
      </c>
      <c r="S51" t="n">
        <v>48</v>
      </c>
      <c r="T51" t="n">
        <v>15</v>
      </c>
      <c r="U51" t="n">
        <v>19.5</v>
      </c>
      <c r="V51" t="n">
        <v>15.8</v>
      </c>
      <c r="W51" t="n">
        <v>7.4</v>
      </c>
      <c r="X51" t="n">
        <v>7.3</v>
      </c>
      <c r="Y51" t="n">
        <v>8.5</v>
      </c>
      <c r="Z51" t="n">
        <v>10.2</v>
      </c>
      <c r="AA51" t="n">
        <v>7.9</v>
      </c>
      <c r="AB51" t="n">
        <v>10.5</v>
      </c>
      <c r="AC51" t="n">
        <v>9.7</v>
      </c>
      <c r="AD51" t="n">
        <v>10</v>
      </c>
      <c r="AE51" t="n">
        <v>16.9</v>
      </c>
      <c r="AF51" t="n">
        <v>13.6</v>
      </c>
    </row>
    <row r="52">
      <c r="A52" t="s">
        <v>9</v>
      </c>
      <c r="B52" t="s">
        <v>374</v>
      </c>
      <c r="C52" t="s">
        <v>203</v>
      </c>
      <c r="D52" t="s">
        <v>375</v>
      </c>
      <c r="E52" t="s">
        <v>204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2</v>
      </c>
      <c r="O52" t="n">
        <v>0</v>
      </c>
      <c r="P52" t="n">
        <v>1</v>
      </c>
      <c r="Q52" t="n">
        <v>1</v>
      </c>
      <c r="R52" t="n">
        <v>1</v>
      </c>
      <c r="S52" t="n">
        <v>1</v>
      </c>
      <c r="T52" t="n">
        <v>0</v>
      </c>
      <c r="U52" t="n">
        <v>0.2</v>
      </c>
      <c r="V52" t="n">
        <v>0.2</v>
      </c>
      <c r="W52" t="n">
        <v>0.3</v>
      </c>
      <c r="X52" t="n">
        <v>0.3</v>
      </c>
      <c r="Y52" t="n">
        <v>0.2</v>
      </c>
      <c r="Z52" t="n">
        <v>1.3</v>
      </c>
      <c r="AA52" t="n">
        <v>2.8</v>
      </c>
      <c r="AB52" t="n">
        <v>0.2</v>
      </c>
      <c r="AC52" t="n">
        <v>0.2</v>
      </c>
      <c r="AD52" t="n">
        <v>0.5</v>
      </c>
      <c r="AE52" t="n">
        <v>0.2</v>
      </c>
      <c r="AF52" t="n">
        <v>0.7</v>
      </c>
    </row>
    <row r="53">
      <c r="A53" t="s">
        <v>9</v>
      </c>
      <c r="B53" t="s">
        <v>376</v>
      </c>
      <c r="C53" t="s">
        <v>203</v>
      </c>
      <c r="D53" t="s">
        <v>377</v>
      </c>
      <c r="E53" t="s">
        <v>204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2</v>
      </c>
      <c r="L53" t="n">
        <v>8</v>
      </c>
      <c r="M53" t="n">
        <v>11</v>
      </c>
      <c r="N53" t="n">
        <v>5</v>
      </c>
      <c r="O53" t="n">
        <v>4</v>
      </c>
      <c r="P53" t="n">
        <v>6</v>
      </c>
      <c r="Q53" t="n">
        <v>9</v>
      </c>
      <c r="R53" t="n">
        <v>9</v>
      </c>
      <c r="S53" t="n">
        <v>17</v>
      </c>
      <c r="T53" t="n">
        <v>3</v>
      </c>
      <c r="U53" t="n">
        <v>3.6</v>
      </c>
      <c r="V53" t="n">
        <v>4.2</v>
      </c>
      <c r="W53" t="n">
        <v>3.1</v>
      </c>
      <c r="X53" t="n">
        <v>3</v>
      </c>
      <c r="Y53" t="n">
        <v>1.4</v>
      </c>
      <c r="Z53" t="n">
        <v>3.5</v>
      </c>
      <c r="AA53" t="n">
        <v>2.7</v>
      </c>
      <c r="AB53" t="n">
        <v>4.3</v>
      </c>
      <c r="AC53" t="n">
        <v>17.9</v>
      </c>
      <c r="AD53" t="n">
        <v>3.4</v>
      </c>
      <c r="AE53" t="n">
        <v>3.8</v>
      </c>
      <c r="AF53" t="n">
        <v>3.9</v>
      </c>
    </row>
    <row r="54">
      <c r="A54" t="s">
        <v>9</v>
      </c>
      <c r="B54" t="s">
        <v>378</v>
      </c>
      <c r="C54" t="s">
        <v>203</v>
      </c>
      <c r="D54" t="s">
        <v>379</v>
      </c>
      <c r="E54" t="s">
        <v>204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2</v>
      </c>
      <c r="L54" t="n">
        <v>20</v>
      </c>
      <c r="M54" t="n">
        <v>12</v>
      </c>
      <c r="N54" t="n">
        <v>5</v>
      </c>
      <c r="O54" t="n">
        <v>5</v>
      </c>
      <c r="P54" t="n">
        <v>9</v>
      </c>
      <c r="Q54" t="n">
        <v>11</v>
      </c>
      <c r="R54" t="n">
        <v>12</v>
      </c>
      <c r="S54" t="n">
        <v>21</v>
      </c>
      <c r="T54" t="n">
        <v>4</v>
      </c>
      <c r="U54" t="n">
        <v>4.8</v>
      </c>
      <c r="V54" t="n">
        <v>4.2</v>
      </c>
      <c r="W54" t="n">
        <v>6.2</v>
      </c>
      <c r="X54" t="n">
        <v>6.1</v>
      </c>
      <c r="Y54" t="n">
        <v>5.1</v>
      </c>
      <c r="Z54" t="n">
        <v>8.7</v>
      </c>
      <c r="AA54" t="n">
        <v>5.5</v>
      </c>
      <c r="AB54" t="n">
        <v>11.1</v>
      </c>
      <c r="AC54" t="n">
        <v>25.1</v>
      </c>
      <c r="AD54" t="n">
        <v>12.9</v>
      </c>
      <c r="AE54" t="n">
        <v>11.6</v>
      </c>
      <c r="AF54" t="n">
        <v>13</v>
      </c>
    </row>
    <row r="55">
      <c r="A55" t="s">
        <v>9</v>
      </c>
      <c r="B55" t="s">
        <v>380</v>
      </c>
      <c r="C55" t="s">
        <v>203</v>
      </c>
      <c r="D55" t="s">
        <v>381</v>
      </c>
      <c r="E55" t="s">
        <v>204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12</v>
      </c>
      <c r="M55" t="n">
        <v>1</v>
      </c>
      <c r="N55" t="n">
        <v>0</v>
      </c>
      <c r="O55" t="n">
        <v>1</v>
      </c>
      <c r="P55" t="n">
        <v>3</v>
      </c>
      <c r="Q55" t="n">
        <v>2</v>
      </c>
      <c r="R55" t="n">
        <v>3</v>
      </c>
      <c r="S55" t="n">
        <v>4</v>
      </c>
      <c r="T55" t="n">
        <v>1</v>
      </c>
      <c r="U55" t="n">
        <v>1.2</v>
      </c>
      <c r="V55" t="n">
        <v>0</v>
      </c>
      <c r="W55" t="n">
        <v>3.1</v>
      </c>
      <c r="X55" t="n">
        <v>3.1</v>
      </c>
      <c r="Y55" t="n">
        <v>3.7</v>
      </c>
      <c r="Z55" t="n">
        <v>5.2</v>
      </c>
      <c r="AA55" t="n">
        <v>2.8</v>
      </c>
      <c r="AB55" t="n">
        <v>6.8</v>
      </c>
      <c r="AC55" t="n">
        <v>7.2</v>
      </c>
      <c r="AD55" t="n">
        <v>9.5</v>
      </c>
      <c r="AE55" t="n">
        <v>7.8</v>
      </c>
      <c r="AF55" t="n">
        <v>9.1</v>
      </c>
    </row>
    <row r="56">
      <c r="A56" t="s">
        <v>9</v>
      </c>
      <c r="B56" t="s">
        <v>382</v>
      </c>
      <c r="C56" t="s">
        <v>203</v>
      </c>
      <c r="D56" t="s">
        <v>383</v>
      </c>
      <c r="E56" t="s">
        <v>204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9</v>
      </c>
      <c r="B57" t="s">
        <v>384</v>
      </c>
      <c r="C57" t="s">
        <v>203</v>
      </c>
      <c r="D57" t="s">
        <v>385</v>
      </c>
      <c r="E57" t="s">
        <v>204</v>
      </c>
      <c r="F57" t="n">
        <v>11.9</v>
      </c>
      <c r="G57" t="n">
        <v>5.4</v>
      </c>
      <c r="H57" t="n">
        <v>103.1</v>
      </c>
      <c r="I57" t="n">
        <v>215.7</v>
      </c>
      <c r="J57" t="n">
        <v>271.4</v>
      </c>
      <c r="K57" t="n">
        <v>428.7</v>
      </c>
      <c r="L57" t="n">
        <v>892.8</v>
      </c>
      <c r="M57" t="n">
        <v>1289.5</v>
      </c>
      <c r="N57" t="n">
        <v>1730.7</v>
      </c>
      <c r="O57" t="n">
        <v>1300.1</v>
      </c>
      <c r="P57" t="n">
        <v>2733.9</v>
      </c>
      <c r="Q57" t="n">
        <v>2390.4</v>
      </c>
      <c r="R57" t="n">
        <v>3333.6</v>
      </c>
      <c r="S57" t="n">
        <v>2212.2</v>
      </c>
      <c r="T57" t="n">
        <v>719.5</v>
      </c>
      <c r="U57" t="n">
        <v>655.6</v>
      </c>
      <c r="V57" t="n">
        <v>704.2</v>
      </c>
      <c r="W57" t="n">
        <v>914</v>
      </c>
      <c r="X57" t="n">
        <v>896.4</v>
      </c>
      <c r="Y57" t="n">
        <v>1478</v>
      </c>
      <c r="Z57" t="n">
        <v>1256.7</v>
      </c>
      <c r="AA57" t="n">
        <v>1335.6</v>
      </c>
      <c r="AB57" t="n">
        <v>1147.8</v>
      </c>
      <c r="AC57" t="n">
        <v>1439.8</v>
      </c>
      <c r="AD57" t="n">
        <v>1589.2</v>
      </c>
      <c r="AE57" t="n">
        <v>1330.3</v>
      </c>
      <c r="AF57" t="n">
        <v>1507.5</v>
      </c>
    </row>
    <row r="58">
      <c r="A58" t="s">
        <v>9</v>
      </c>
      <c r="B58" t="s">
        <v>386</v>
      </c>
      <c r="C58" t="s">
        <v>203</v>
      </c>
      <c r="D58" t="s">
        <v>387</v>
      </c>
      <c r="E58" t="s">
        <v>204</v>
      </c>
      <c r="F58" t="n">
        <v>11.9</v>
      </c>
      <c r="G58" t="n">
        <v>5.5</v>
      </c>
      <c r="H58" t="n">
        <v>103.1</v>
      </c>
      <c r="I58" t="n">
        <v>215.7</v>
      </c>
      <c r="J58" t="n">
        <v>271.4</v>
      </c>
      <c r="K58" t="n">
        <v>428.7</v>
      </c>
      <c r="L58" t="n">
        <v>892.8</v>
      </c>
      <c r="M58" t="n">
        <v>1289.5</v>
      </c>
      <c r="N58" t="n">
        <v>1730.7</v>
      </c>
      <c r="O58" t="n">
        <v>1300.1</v>
      </c>
      <c r="P58" t="n">
        <v>2733.9</v>
      </c>
      <c r="Q58" t="n">
        <v>2390.4</v>
      </c>
      <c r="R58" t="n">
        <v>3333.6</v>
      </c>
      <c r="S58" t="n">
        <v>2212.2</v>
      </c>
      <c r="T58" t="n">
        <v>719.5</v>
      </c>
      <c r="U58" t="n">
        <v>655.6</v>
      </c>
      <c r="V58" t="n">
        <v>704.2</v>
      </c>
      <c r="W58" t="n">
        <v>914</v>
      </c>
      <c r="X58" t="n">
        <v>896.4</v>
      </c>
      <c r="Y58" t="n">
        <v>1478</v>
      </c>
      <c r="Z58" t="n">
        <v>1256.7</v>
      </c>
      <c r="AA58" t="n">
        <v>1335.6</v>
      </c>
      <c r="AB58" t="n">
        <v>1147.8</v>
      </c>
      <c r="AC58" t="n">
        <v>1439.8</v>
      </c>
      <c r="AD58" t="n">
        <v>1589.2</v>
      </c>
      <c r="AE58" t="n">
        <v>1330.3</v>
      </c>
      <c r="AF58" t="n">
        <v>1507.5</v>
      </c>
    </row>
    <row r="59">
      <c r="A59" t="s">
        <v>9</v>
      </c>
      <c r="B59" t="s">
        <v>388</v>
      </c>
      <c r="C59" t="s">
        <v>203</v>
      </c>
      <c r="D59" t="s">
        <v>389</v>
      </c>
      <c r="E59" t="s">
        <v>204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11</v>
      </c>
      <c r="B2" t="s">
        <v>197</v>
      </c>
      <c r="C2" t="s">
        <v>203</v>
      </c>
      <c r="D2" t="s">
        <v>199</v>
      </c>
      <c r="E2" t="s">
        <v>204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/>
      <c r="AE2"/>
      <c r="AF2"/>
    </row>
    <row r="3">
      <c r="A3" t="s">
        <v>11</v>
      </c>
      <c r="B3" t="s">
        <v>276</v>
      </c>
      <c r="C3" t="s">
        <v>203</v>
      </c>
      <c r="D3" t="s">
        <v>277</v>
      </c>
      <c r="E3" t="s">
        <v>204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/>
      <c r="AE3"/>
      <c r="AF3"/>
    </row>
    <row r="4">
      <c r="A4" t="s">
        <v>11</v>
      </c>
      <c r="B4" t="s">
        <v>278</v>
      </c>
      <c r="C4" t="s">
        <v>203</v>
      </c>
      <c r="D4" t="s">
        <v>279</v>
      </c>
      <c r="E4" t="s">
        <v>204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/>
      <c r="AE4"/>
      <c r="AF4"/>
    </row>
    <row r="5">
      <c r="A5" t="s">
        <v>11</v>
      </c>
      <c r="B5" t="s">
        <v>280</v>
      </c>
      <c r="C5" t="s">
        <v>203</v>
      </c>
      <c r="D5" t="s">
        <v>281</v>
      </c>
      <c r="E5" t="s">
        <v>204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/>
      <c r="AE5"/>
      <c r="AF5"/>
    </row>
    <row r="6">
      <c r="A6" t="s">
        <v>11</v>
      </c>
      <c r="B6" t="s">
        <v>282</v>
      </c>
      <c r="C6" t="s">
        <v>203</v>
      </c>
      <c r="D6" t="s">
        <v>283</v>
      </c>
      <c r="E6" t="s">
        <v>204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/>
      <c r="AE6"/>
      <c r="AF6"/>
    </row>
    <row r="7">
      <c r="A7" t="s">
        <v>11</v>
      </c>
      <c r="B7" t="s">
        <v>284</v>
      </c>
      <c r="C7" t="s">
        <v>203</v>
      </c>
      <c r="D7" t="s">
        <v>285</v>
      </c>
      <c r="E7" t="s">
        <v>204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/>
      <c r="AE7"/>
      <c r="AF7"/>
    </row>
    <row r="8">
      <c r="A8" t="s">
        <v>11</v>
      </c>
      <c r="B8" t="s">
        <v>286</v>
      </c>
      <c r="C8" t="s">
        <v>203</v>
      </c>
      <c r="D8" t="s">
        <v>287</v>
      </c>
      <c r="E8" t="s">
        <v>204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/>
      <c r="AE8"/>
      <c r="AF8"/>
    </row>
    <row r="9">
      <c r="A9" t="s">
        <v>11</v>
      </c>
      <c r="B9" t="s">
        <v>288</v>
      </c>
      <c r="C9" t="s">
        <v>203</v>
      </c>
      <c r="D9" t="s">
        <v>289</v>
      </c>
      <c r="E9" t="s">
        <v>204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/>
      <c r="AE9"/>
      <c r="AF9"/>
    </row>
    <row r="10">
      <c r="A10" t="s">
        <v>11</v>
      </c>
      <c r="B10" t="s">
        <v>290</v>
      </c>
      <c r="C10" t="s">
        <v>203</v>
      </c>
      <c r="D10" t="s">
        <v>291</v>
      </c>
      <c r="E10" t="s">
        <v>204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/>
      <c r="AE10"/>
      <c r="AF10"/>
    </row>
    <row r="11">
      <c r="A11" t="s">
        <v>11</v>
      </c>
      <c r="B11" t="s">
        <v>292</v>
      </c>
      <c r="C11" t="s">
        <v>203</v>
      </c>
      <c r="D11" t="s">
        <v>293</v>
      </c>
      <c r="E11" t="s">
        <v>204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/>
      <c r="AE11"/>
      <c r="AF11"/>
    </row>
    <row r="12">
      <c r="A12" t="s">
        <v>11</v>
      </c>
      <c r="B12" t="s">
        <v>294</v>
      </c>
      <c r="C12" t="s">
        <v>203</v>
      </c>
      <c r="D12" t="s">
        <v>295</v>
      </c>
      <c r="E12" t="s">
        <v>204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/>
      <c r="AE12"/>
      <c r="AF12"/>
    </row>
    <row r="13">
      <c r="A13" t="s">
        <v>11</v>
      </c>
      <c r="B13" t="s">
        <v>296</v>
      </c>
      <c r="C13" t="s">
        <v>203</v>
      </c>
      <c r="D13" t="s">
        <v>297</v>
      </c>
      <c r="E13" t="s">
        <v>204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/>
      <c r="AE13"/>
      <c r="AF13"/>
    </row>
    <row r="14">
      <c r="A14" t="s">
        <v>11</v>
      </c>
      <c r="B14" t="s">
        <v>298</v>
      </c>
      <c r="C14" t="s">
        <v>203</v>
      </c>
      <c r="D14" t="s">
        <v>299</v>
      </c>
      <c r="E14" t="s">
        <v>204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/>
      <c r="AE14"/>
      <c r="AF14"/>
    </row>
    <row r="15">
      <c r="A15" t="s">
        <v>11</v>
      </c>
      <c r="B15" t="s">
        <v>300</v>
      </c>
      <c r="C15" t="s">
        <v>203</v>
      </c>
      <c r="D15" t="s">
        <v>301</v>
      </c>
      <c r="E15" t="s">
        <v>204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/>
      <c r="AE15"/>
      <c r="AF15"/>
    </row>
    <row r="16">
      <c r="A16" t="s">
        <v>11</v>
      </c>
      <c r="B16" t="s">
        <v>302</v>
      </c>
      <c r="C16" t="s">
        <v>203</v>
      </c>
      <c r="D16" t="s">
        <v>303</v>
      </c>
      <c r="E16" t="s">
        <v>204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/>
      <c r="AE16"/>
      <c r="AF16"/>
    </row>
    <row r="17">
      <c r="A17" t="s">
        <v>11</v>
      </c>
      <c r="B17" t="s">
        <v>304</v>
      </c>
      <c r="C17" t="s">
        <v>203</v>
      </c>
      <c r="D17" t="s">
        <v>305</v>
      </c>
      <c r="E17" t="s">
        <v>204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/>
      <c r="AE17"/>
      <c r="AF17"/>
    </row>
    <row r="18">
      <c r="A18" t="s">
        <v>11</v>
      </c>
      <c r="B18" t="s">
        <v>306</v>
      </c>
      <c r="C18" t="s">
        <v>203</v>
      </c>
      <c r="D18" t="s">
        <v>307</v>
      </c>
      <c r="E18" t="s">
        <v>204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/>
      <c r="AE18"/>
      <c r="AF18"/>
    </row>
    <row r="19">
      <c r="A19" t="s">
        <v>11</v>
      </c>
      <c r="B19" t="s">
        <v>308</v>
      </c>
      <c r="C19" t="s">
        <v>203</v>
      </c>
      <c r="D19" t="s">
        <v>309</v>
      </c>
      <c r="E19" t="s">
        <v>204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/>
      <c r="AE19"/>
      <c r="AF19"/>
    </row>
    <row r="20">
      <c r="A20" t="s">
        <v>11</v>
      </c>
      <c r="B20" t="s">
        <v>310</v>
      </c>
      <c r="C20" t="s">
        <v>203</v>
      </c>
      <c r="D20" t="s">
        <v>311</v>
      </c>
      <c r="E20" t="s">
        <v>204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/>
      <c r="AE20"/>
      <c r="AF20"/>
    </row>
    <row r="21">
      <c r="A21" t="s">
        <v>11</v>
      </c>
      <c r="B21" t="s">
        <v>312</v>
      </c>
      <c r="C21" t="s">
        <v>203</v>
      </c>
      <c r="D21" t="s">
        <v>313</v>
      </c>
      <c r="E21" t="s">
        <v>204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/>
      <c r="AE21"/>
      <c r="AF21"/>
    </row>
    <row r="22">
      <c r="A22" t="s">
        <v>11</v>
      </c>
      <c r="B22" t="s">
        <v>314</v>
      </c>
      <c r="C22" t="s">
        <v>203</v>
      </c>
      <c r="D22" t="s">
        <v>315</v>
      </c>
      <c r="E22" t="s">
        <v>204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/>
      <c r="AE22"/>
      <c r="AF22"/>
    </row>
    <row r="23">
      <c r="A23" t="s">
        <v>11</v>
      </c>
      <c r="B23" t="s">
        <v>316</v>
      </c>
      <c r="C23" t="s">
        <v>203</v>
      </c>
      <c r="D23" t="s">
        <v>317</v>
      </c>
      <c r="E23" t="s">
        <v>204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/>
      <c r="AE23"/>
      <c r="AF23"/>
    </row>
    <row r="24">
      <c r="A24" t="s">
        <v>11</v>
      </c>
      <c r="B24" t="s">
        <v>318</v>
      </c>
      <c r="C24" t="s">
        <v>203</v>
      </c>
      <c r="D24" t="s">
        <v>319</v>
      </c>
      <c r="E24" t="s">
        <v>204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/>
      <c r="AE24"/>
      <c r="AF24"/>
    </row>
    <row r="25">
      <c r="A25" t="s">
        <v>11</v>
      </c>
      <c r="B25" t="s">
        <v>320</v>
      </c>
      <c r="C25" t="s">
        <v>203</v>
      </c>
      <c r="D25" t="s">
        <v>321</v>
      </c>
      <c r="E25" t="s">
        <v>204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/>
      <c r="AE25"/>
      <c r="AF25"/>
    </row>
    <row r="26">
      <c r="A26" t="s">
        <v>11</v>
      </c>
      <c r="B26" t="s">
        <v>322</v>
      </c>
      <c r="C26" t="s">
        <v>203</v>
      </c>
      <c r="D26" t="s">
        <v>323</v>
      </c>
      <c r="E26" t="s">
        <v>204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/>
      <c r="AE26"/>
      <c r="AF26"/>
    </row>
    <row r="27">
      <c r="A27" t="s">
        <v>11</v>
      </c>
      <c r="B27" t="s">
        <v>324</v>
      </c>
      <c r="C27" t="s">
        <v>203</v>
      </c>
      <c r="D27" t="s">
        <v>325</v>
      </c>
      <c r="E27" t="s">
        <v>204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/>
      <c r="AE27"/>
      <c r="AF27"/>
    </row>
    <row r="28">
      <c r="A28" t="s">
        <v>11</v>
      </c>
      <c r="B28" t="s">
        <v>326</v>
      </c>
      <c r="C28" t="s">
        <v>203</v>
      </c>
      <c r="D28" t="s">
        <v>327</v>
      </c>
      <c r="E28" t="s">
        <v>204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/>
      <c r="AE28"/>
      <c r="AF28"/>
    </row>
    <row r="29">
      <c r="A29" t="s">
        <v>11</v>
      </c>
      <c r="B29" t="s">
        <v>328</v>
      </c>
      <c r="C29" t="s">
        <v>203</v>
      </c>
      <c r="D29" t="s">
        <v>329</v>
      </c>
      <c r="E29" t="s">
        <v>204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/>
      <c r="AE29"/>
      <c r="AF29"/>
    </row>
    <row r="30">
      <c r="A30" t="s">
        <v>11</v>
      </c>
      <c r="B30" t="s">
        <v>330</v>
      </c>
      <c r="C30" t="s">
        <v>203</v>
      </c>
      <c r="D30" t="s">
        <v>331</v>
      </c>
      <c r="E30" t="s">
        <v>204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/>
      <c r="AE30"/>
      <c r="AF30"/>
    </row>
    <row r="31">
      <c r="A31" t="s">
        <v>11</v>
      </c>
      <c r="B31" t="s">
        <v>332</v>
      </c>
      <c r="C31" t="s">
        <v>203</v>
      </c>
      <c r="D31" t="s">
        <v>333</v>
      </c>
      <c r="E31" t="s">
        <v>204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/>
      <c r="AE31"/>
      <c r="AF31"/>
    </row>
    <row r="32">
      <c r="A32" t="s">
        <v>11</v>
      </c>
      <c r="B32" t="s">
        <v>334</v>
      </c>
      <c r="C32" t="s">
        <v>203</v>
      </c>
      <c r="D32" t="s">
        <v>335</v>
      </c>
      <c r="E32" t="s">
        <v>204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/>
      <c r="AE32"/>
      <c r="AF32"/>
    </row>
    <row r="33">
      <c r="A33" t="s">
        <v>11</v>
      </c>
      <c r="B33" t="s">
        <v>336</v>
      </c>
      <c r="C33" t="s">
        <v>203</v>
      </c>
      <c r="D33" t="s">
        <v>337</v>
      </c>
      <c r="E33" t="s">
        <v>204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/>
      <c r="AE33"/>
      <c r="AF33"/>
    </row>
    <row r="34">
      <c r="A34" t="s">
        <v>11</v>
      </c>
      <c r="B34" t="s">
        <v>338</v>
      </c>
      <c r="C34" t="s">
        <v>203</v>
      </c>
      <c r="D34" t="s">
        <v>339</v>
      </c>
      <c r="E34" t="s">
        <v>204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/>
      <c r="AE34"/>
      <c r="AF34"/>
    </row>
    <row r="35">
      <c r="A35" t="s">
        <v>11</v>
      </c>
      <c r="B35" t="s">
        <v>340</v>
      </c>
      <c r="C35" t="s">
        <v>203</v>
      </c>
      <c r="D35" t="s">
        <v>341</v>
      </c>
      <c r="E35" t="s">
        <v>204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/>
      <c r="AE35"/>
      <c r="AF35"/>
    </row>
    <row r="36">
      <c r="A36" t="s">
        <v>11</v>
      </c>
      <c r="B36" t="s">
        <v>342</v>
      </c>
      <c r="C36" t="s">
        <v>203</v>
      </c>
      <c r="D36" t="s">
        <v>343</v>
      </c>
      <c r="E36" t="s">
        <v>204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/>
      <c r="AE36"/>
      <c r="AF36"/>
    </row>
    <row r="37">
      <c r="A37" t="s">
        <v>11</v>
      </c>
      <c r="B37" t="s">
        <v>344</v>
      </c>
      <c r="C37" t="s">
        <v>203</v>
      </c>
      <c r="D37" t="s">
        <v>345</v>
      </c>
      <c r="E37" t="s">
        <v>204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/>
      <c r="AE37"/>
      <c r="AF37"/>
    </row>
    <row r="38">
      <c r="A38" t="s">
        <v>11</v>
      </c>
      <c r="B38" t="s">
        <v>346</v>
      </c>
      <c r="C38" t="s">
        <v>203</v>
      </c>
      <c r="D38" t="s">
        <v>347</v>
      </c>
      <c r="E38" t="s">
        <v>204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/>
      <c r="AE38"/>
      <c r="AF38"/>
    </row>
    <row r="39">
      <c r="A39" t="s">
        <v>11</v>
      </c>
      <c r="B39" t="s">
        <v>348</v>
      </c>
      <c r="C39" t="s">
        <v>203</v>
      </c>
      <c r="D39" t="s">
        <v>349</v>
      </c>
      <c r="E39" t="s">
        <v>204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/>
      <c r="AE39"/>
      <c r="AF39"/>
    </row>
    <row r="40">
      <c r="A40" t="s">
        <v>11</v>
      </c>
      <c r="B40" t="s">
        <v>350</v>
      </c>
      <c r="C40" t="s">
        <v>203</v>
      </c>
      <c r="D40" t="s">
        <v>351</v>
      </c>
      <c r="E40" t="s">
        <v>204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/>
      <c r="AE40"/>
      <c r="AF40"/>
    </row>
    <row r="41">
      <c r="A41" t="s">
        <v>11</v>
      </c>
      <c r="B41" t="s">
        <v>352</v>
      </c>
      <c r="C41" t="s">
        <v>203</v>
      </c>
      <c r="D41" t="s">
        <v>353</v>
      </c>
      <c r="E41" t="s">
        <v>204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/>
      <c r="AE41"/>
      <c r="AF41"/>
    </row>
    <row r="42">
      <c r="A42" t="s">
        <v>11</v>
      </c>
      <c r="B42" t="s">
        <v>354</v>
      </c>
      <c r="C42" t="s">
        <v>203</v>
      </c>
      <c r="D42" t="s">
        <v>355</v>
      </c>
      <c r="E42" t="s">
        <v>204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/>
      <c r="AE42"/>
      <c r="AF42"/>
    </row>
    <row r="43">
      <c r="A43" t="s">
        <v>11</v>
      </c>
      <c r="B43" t="s">
        <v>356</v>
      </c>
      <c r="C43" t="s">
        <v>203</v>
      </c>
      <c r="D43" t="s">
        <v>357</v>
      </c>
      <c r="E43" t="s">
        <v>204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/>
      <c r="AE43"/>
      <c r="AF43"/>
    </row>
    <row r="44">
      <c r="A44" t="s">
        <v>11</v>
      </c>
      <c r="B44" t="s">
        <v>358</v>
      </c>
      <c r="C44" t="s">
        <v>203</v>
      </c>
      <c r="D44" t="s">
        <v>359</v>
      </c>
      <c r="E44" t="s">
        <v>204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/>
      <c r="AE44"/>
      <c r="AF44"/>
    </row>
    <row r="45">
      <c r="A45" t="s">
        <v>11</v>
      </c>
      <c r="B45" t="s">
        <v>360</v>
      </c>
      <c r="C45" t="s">
        <v>203</v>
      </c>
      <c r="D45" t="s">
        <v>361</v>
      </c>
      <c r="E45" t="s">
        <v>204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/>
      <c r="AE45"/>
      <c r="AF45"/>
    </row>
    <row r="46">
      <c r="A46" t="s">
        <v>11</v>
      </c>
      <c r="B46" t="s">
        <v>362</v>
      </c>
      <c r="C46" t="s">
        <v>203</v>
      </c>
      <c r="D46" t="s">
        <v>363</v>
      </c>
      <c r="E46" t="s">
        <v>204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/>
      <c r="AE46"/>
      <c r="AF46"/>
    </row>
    <row r="47">
      <c r="A47" t="s">
        <v>11</v>
      </c>
      <c r="B47" t="s">
        <v>364</v>
      </c>
      <c r="C47" t="s">
        <v>203</v>
      </c>
      <c r="D47" t="s">
        <v>365</v>
      </c>
      <c r="E47" t="s">
        <v>204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/>
      <c r="AE47"/>
      <c r="AF47"/>
    </row>
    <row r="48">
      <c r="A48" t="s">
        <v>11</v>
      </c>
      <c r="B48" t="s">
        <v>366</v>
      </c>
      <c r="C48" t="s">
        <v>203</v>
      </c>
      <c r="D48" t="s">
        <v>367</v>
      </c>
      <c r="E48" t="s">
        <v>204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/>
      <c r="AE48"/>
      <c r="AF48"/>
    </row>
    <row r="49">
      <c r="A49" t="s">
        <v>11</v>
      </c>
      <c r="B49" t="s">
        <v>368</v>
      </c>
      <c r="C49" t="s">
        <v>203</v>
      </c>
      <c r="D49" t="s">
        <v>369</v>
      </c>
      <c r="E49" t="s">
        <v>204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/>
      <c r="AE49"/>
      <c r="AF49"/>
    </row>
    <row r="50">
      <c r="A50" t="s">
        <v>11</v>
      </c>
      <c r="B50" t="s">
        <v>370</v>
      </c>
      <c r="C50" t="s">
        <v>203</v>
      </c>
      <c r="D50" t="s">
        <v>371</v>
      </c>
      <c r="E50" t="s">
        <v>204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/>
      <c r="AE50"/>
      <c r="AF50"/>
    </row>
    <row r="51">
      <c r="A51" t="s">
        <v>11</v>
      </c>
      <c r="B51" t="s">
        <v>372</v>
      </c>
      <c r="C51" t="s">
        <v>203</v>
      </c>
      <c r="D51" t="s">
        <v>373</v>
      </c>
      <c r="E51" t="s">
        <v>204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/>
      <c r="AE51"/>
      <c r="AF51"/>
    </row>
    <row r="52">
      <c r="A52" t="s">
        <v>11</v>
      </c>
      <c r="B52" t="s">
        <v>374</v>
      </c>
      <c r="C52" t="s">
        <v>203</v>
      </c>
      <c r="D52" t="s">
        <v>375</v>
      </c>
      <c r="E52" t="s">
        <v>204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/>
      <c r="AE52"/>
      <c r="AF52"/>
    </row>
    <row r="53">
      <c r="A53" t="s">
        <v>11</v>
      </c>
      <c r="B53" t="s">
        <v>376</v>
      </c>
      <c r="C53" t="s">
        <v>203</v>
      </c>
      <c r="D53" t="s">
        <v>377</v>
      </c>
      <c r="E53" t="s">
        <v>204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/>
      <c r="AE53"/>
      <c r="AF53"/>
    </row>
    <row r="54">
      <c r="A54" t="s">
        <v>11</v>
      </c>
      <c r="B54" t="s">
        <v>378</v>
      </c>
      <c r="C54" t="s">
        <v>203</v>
      </c>
      <c r="D54" t="s">
        <v>379</v>
      </c>
      <c r="E54" t="s">
        <v>204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/>
      <c r="AE54"/>
      <c r="AF54"/>
    </row>
    <row r="55">
      <c r="A55" t="s">
        <v>11</v>
      </c>
      <c r="B55" t="s">
        <v>380</v>
      </c>
      <c r="C55" t="s">
        <v>203</v>
      </c>
      <c r="D55" t="s">
        <v>381</v>
      </c>
      <c r="E55" t="s">
        <v>204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/>
      <c r="AE55"/>
      <c r="AF55"/>
    </row>
    <row r="56">
      <c r="A56" t="s">
        <v>11</v>
      </c>
      <c r="B56" t="s">
        <v>382</v>
      </c>
      <c r="C56" t="s">
        <v>203</v>
      </c>
      <c r="D56" t="s">
        <v>383</v>
      </c>
      <c r="E56" t="s">
        <v>204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/>
      <c r="AE56"/>
      <c r="AF56"/>
    </row>
    <row r="57">
      <c r="A57" t="s">
        <v>11</v>
      </c>
      <c r="B57" t="s">
        <v>384</v>
      </c>
      <c r="C57" t="s">
        <v>203</v>
      </c>
      <c r="D57" t="s">
        <v>385</v>
      </c>
      <c r="E57" t="s">
        <v>204</v>
      </c>
      <c r="F57" t="n">
        <v>68.8</v>
      </c>
      <c r="G57" t="n">
        <v>31.5</v>
      </c>
      <c r="H57" t="n">
        <v>596.4</v>
      </c>
      <c r="I57" t="n">
        <v>1249.8</v>
      </c>
      <c r="J57" t="n">
        <v>1366.7</v>
      </c>
      <c r="K57" t="n">
        <v>1276.9</v>
      </c>
      <c r="L57" t="n">
        <v>1485.6</v>
      </c>
      <c r="M57" t="n">
        <v>1685.3</v>
      </c>
      <c r="N57" t="n">
        <v>1765.1</v>
      </c>
      <c r="O57" t="n">
        <v>2163.7</v>
      </c>
      <c r="P57" t="n">
        <v>2845.1</v>
      </c>
      <c r="Q57" t="n">
        <v>3411.9</v>
      </c>
      <c r="R57" t="n">
        <v>4203.4</v>
      </c>
      <c r="S57" t="n">
        <v>5882.8</v>
      </c>
      <c r="T57" t="n">
        <v>4529.5</v>
      </c>
      <c r="U57" t="n">
        <v>3612.5</v>
      </c>
      <c r="V57" t="n">
        <v>5066.2</v>
      </c>
      <c r="W57" t="n">
        <v>5147.6</v>
      </c>
      <c r="X57" t="n">
        <v>5094.7</v>
      </c>
      <c r="Y57" t="n">
        <v>5441</v>
      </c>
      <c r="Z57" t="n">
        <v>6782.3</v>
      </c>
      <c r="AA57" t="n">
        <v>5476.4</v>
      </c>
      <c r="AB57" t="n">
        <v>6226.5</v>
      </c>
      <c r="AC57" t="n">
        <v>6955.5</v>
      </c>
      <c r="AD57" t="n">
        <v>7891.4</v>
      </c>
      <c r="AE57" t="n">
        <v>8988.2</v>
      </c>
      <c r="AF57" t="n">
        <v>9096.9</v>
      </c>
    </row>
    <row r="58">
      <c r="A58" t="s">
        <v>11</v>
      </c>
      <c r="B58" t="s">
        <v>386</v>
      </c>
      <c r="C58" t="s">
        <v>203</v>
      </c>
      <c r="D58" t="s">
        <v>387</v>
      </c>
      <c r="E58" t="s">
        <v>204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/>
      <c r="AE58"/>
      <c r="AF58"/>
    </row>
    <row r="59">
      <c r="A59" t="s">
        <v>11</v>
      </c>
      <c r="B59" t="s">
        <v>388</v>
      </c>
      <c r="C59" t="s">
        <v>203</v>
      </c>
      <c r="D59" t="s">
        <v>389</v>
      </c>
      <c r="E59" t="s">
        <v>204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13</v>
      </c>
      <c r="B2" t="s">
        <v>197</v>
      </c>
      <c r="C2" t="s">
        <v>203</v>
      </c>
      <c r="D2" t="s">
        <v>199</v>
      </c>
      <c r="E2" t="s">
        <v>204</v>
      </c>
      <c r="F2" t="n">
        <v>0.8</v>
      </c>
      <c r="G2" t="n">
        <v>0.4</v>
      </c>
      <c r="H2" t="n">
        <v>7.1</v>
      </c>
      <c r="I2" t="n">
        <v>14.9</v>
      </c>
      <c r="J2" t="n">
        <v>18.3</v>
      </c>
      <c r="K2" t="n">
        <v>43.8</v>
      </c>
      <c r="L2" t="n">
        <v>58.3</v>
      </c>
      <c r="M2" t="n">
        <v>46.4</v>
      </c>
      <c r="N2" t="n">
        <v>35</v>
      </c>
      <c r="O2" t="n">
        <v>63.2</v>
      </c>
      <c r="P2" t="n">
        <v>74.7</v>
      </c>
      <c r="Q2" t="n">
        <v>65.7</v>
      </c>
      <c r="R2" t="n">
        <v>68</v>
      </c>
      <c r="S2" t="n">
        <v>199.6</v>
      </c>
      <c r="T2" t="n">
        <v>139.6</v>
      </c>
      <c r="U2" t="n">
        <v>149.3</v>
      </c>
      <c r="V2" t="n">
        <v>137.1</v>
      </c>
      <c r="W2" t="n">
        <v>286.4</v>
      </c>
      <c r="X2" t="n">
        <v>280.9</v>
      </c>
      <c r="Y2" t="n">
        <v>423.4</v>
      </c>
      <c r="Z2" t="n">
        <v>263.8</v>
      </c>
      <c r="AA2" t="n">
        <v>203.5</v>
      </c>
      <c r="AB2" t="n">
        <v>349</v>
      </c>
      <c r="AC2" t="n">
        <v>350.4</v>
      </c>
      <c r="AD2" t="n">
        <v>214.9</v>
      </c>
      <c r="AE2" t="n">
        <v>215.6</v>
      </c>
      <c r="AF2" t="n">
        <v>199.1</v>
      </c>
    </row>
    <row r="3">
      <c r="A3" t="s">
        <v>13</v>
      </c>
      <c r="B3" t="s">
        <v>276</v>
      </c>
      <c r="C3" t="s">
        <v>203</v>
      </c>
      <c r="D3" t="s">
        <v>277</v>
      </c>
      <c r="E3" t="s">
        <v>204</v>
      </c>
      <c r="F3" t="n">
        <v>4.8</v>
      </c>
      <c r="G3" t="n">
        <v>2.2</v>
      </c>
      <c r="H3" t="n">
        <v>41.7</v>
      </c>
      <c r="I3" t="n">
        <v>87.4</v>
      </c>
      <c r="J3" t="n">
        <v>34.8</v>
      </c>
      <c r="K3" t="n">
        <v>99.5</v>
      </c>
      <c r="L3" t="n">
        <v>2.5</v>
      </c>
      <c r="M3" t="n">
        <v>24.4</v>
      </c>
      <c r="N3" t="n">
        <v>35.8</v>
      </c>
      <c r="O3" t="n">
        <v>56.8</v>
      </c>
      <c r="P3" t="n">
        <v>47.7</v>
      </c>
      <c r="Q3" t="n">
        <v>54.7</v>
      </c>
      <c r="R3" t="n">
        <v>51.7</v>
      </c>
      <c r="S3" t="n">
        <v>112.7</v>
      </c>
      <c r="T3" t="n">
        <v>85.8</v>
      </c>
      <c r="U3" t="n">
        <v>93</v>
      </c>
      <c r="V3" t="n">
        <v>82</v>
      </c>
      <c r="W3" t="n">
        <v>145.8</v>
      </c>
      <c r="X3" t="n">
        <v>143</v>
      </c>
      <c r="Y3" t="n">
        <v>269.9</v>
      </c>
      <c r="Z3" t="n">
        <v>-3.9</v>
      </c>
      <c r="AA3" t="n">
        <v>68.6</v>
      </c>
      <c r="AB3" t="n">
        <v>37.4</v>
      </c>
      <c r="AC3" t="n">
        <v>50.4</v>
      </c>
      <c r="AD3" t="n">
        <v>87.1</v>
      </c>
      <c r="AE3" t="n">
        <v>91.2</v>
      </c>
      <c r="AF3" t="n">
        <v>25.9</v>
      </c>
    </row>
    <row r="4">
      <c r="A4" t="s">
        <v>13</v>
      </c>
      <c r="B4" t="s">
        <v>278</v>
      </c>
      <c r="C4" t="s">
        <v>203</v>
      </c>
      <c r="D4" t="s">
        <v>279</v>
      </c>
      <c r="E4" t="s">
        <v>204</v>
      </c>
      <c r="F4" t="n">
        <v>9.5</v>
      </c>
      <c r="G4" t="n">
        <v>4.4</v>
      </c>
      <c r="H4" t="n">
        <v>82.5</v>
      </c>
      <c r="I4" t="n">
        <v>173.2</v>
      </c>
      <c r="J4" t="n">
        <v>139.6</v>
      </c>
      <c r="K4" t="n">
        <v>307.7</v>
      </c>
      <c r="L4" t="n">
        <v>566.4</v>
      </c>
      <c r="M4" t="n">
        <v>311.4</v>
      </c>
      <c r="N4" t="n">
        <v>337.3</v>
      </c>
      <c r="O4" t="n">
        <v>479.8</v>
      </c>
      <c r="P4" t="n">
        <v>550.8</v>
      </c>
      <c r="Q4" t="n">
        <v>599.2</v>
      </c>
      <c r="R4" t="n">
        <v>642.3</v>
      </c>
      <c r="S4" t="n">
        <v>695.9</v>
      </c>
      <c r="T4" t="n">
        <v>1063.4</v>
      </c>
      <c r="U4" t="n">
        <v>652.1</v>
      </c>
      <c r="V4" t="n">
        <v>549</v>
      </c>
      <c r="W4" t="n">
        <v>920.7</v>
      </c>
      <c r="X4" t="n">
        <v>903</v>
      </c>
      <c r="Y4" t="n">
        <v>824.6</v>
      </c>
      <c r="Z4" t="n">
        <v>1522</v>
      </c>
      <c r="AA4" t="n">
        <v>1162.9</v>
      </c>
      <c r="AB4" t="n">
        <v>1250.2</v>
      </c>
      <c r="AC4" t="n">
        <v>996.9</v>
      </c>
      <c r="AD4" t="n">
        <v>764.1</v>
      </c>
      <c r="AE4" t="n">
        <v>696.2</v>
      </c>
      <c r="AF4" t="n">
        <v>735.1</v>
      </c>
    </row>
    <row r="5">
      <c r="A5" t="s">
        <v>13</v>
      </c>
      <c r="B5" t="s">
        <v>280</v>
      </c>
      <c r="C5" t="s">
        <v>203</v>
      </c>
      <c r="D5" t="s">
        <v>281</v>
      </c>
      <c r="E5" t="s">
        <v>204</v>
      </c>
      <c r="F5" t="n">
        <v>2.3</v>
      </c>
      <c r="G5" t="n">
        <v>1.1</v>
      </c>
      <c r="H5" t="n">
        <v>20</v>
      </c>
      <c r="I5" t="n">
        <v>42</v>
      </c>
      <c r="J5" t="n">
        <v>27.5</v>
      </c>
      <c r="K5" t="n">
        <v>18.7</v>
      </c>
      <c r="L5" t="n">
        <v>101.8</v>
      </c>
      <c r="M5" t="n">
        <v>68.4</v>
      </c>
      <c r="N5" t="n">
        <v>86.9</v>
      </c>
      <c r="O5" t="n">
        <v>131.2</v>
      </c>
      <c r="P5" t="n">
        <v>139</v>
      </c>
      <c r="Q5" t="n">
        <v>154.5</v>
      </c>
      <c r="R5" t="n">
        <v>169.9</v>
      </c>
      <c r="S5" t="n">
        <v>173.6</v>
      </c>
      <c r="T5" t="n">
        <v>159.6</v>
      </c>
      <c r="U5" t="n">
        <v>168.5</v>
      </c>
      <c r="V5" t="n">
        <v>130.7</v>
      </c>
      <c r="W5" t="n">
        <v>193.5</v>
      </c>
      <c r="X5" t="n">
        <v>189.8</v>
      </c>
      <c r="Y5" t="n">
        <v>284.1</v>
      </c>
      <c r="Z5" t="n">
        <v>155.7</v>
      </c>
      <c r="AA5" t="n">
        <v>150.3</v>
      </c>
      <c r="AB5" t="n">
        <v>203.1</v>
      </c>
      <c r="AC5" t="n">
        <v>211.9</v>
      </c>
      <c r="AD5" t="n">
        <v>190.2</v>
      </c>
      <c r="AE5" t="n">
        <v>145.4</v>
      </c>
      <c r="AF5" t="n">
        <v>84.7</v>
      </c>
    </row>
    <row r="6">
      <c r="A6" t="s">
        <v>13</v>
      </c>
      <c r="B6" t="s">
        <v>282</v>
      </c>
      <c r="C6" t="s">
        <v>203</v>
      </c>
      <c r="D6" t="s">
        <v>283</v>
      </c>
      <c r="E6" t="s">
        <v>204</v>
      </c>
      <c r="F6" t="n">
        <v>0.6</v>
      </c>
      <c r="G6" t="n">
        <v>0.3</v>
      </c>
      <c r="H6" t="n">
        <v>5.1</v>
      </c>
      <c r="I6" t="n">
        <v>10.6</v>
      </c>
      <c r="J6" t="n">
        <v>13</v>
      </c>
      <c r="K6" t="n">
        <v>39.6</v>
      </c>
      <c r="L6" t="n">
        <v>42.5</v>
      </c>
      <c r="M6" t="n">
        <v>40.7</v>
      </c>
      <c r="N6" t="n">
        <v>62.3</v>
      </c>
      <c r="O6" t="n">
        <v>55</v>
      </c>
      <c r="P6" t="n">
        <v>56.4</v>
      </c>
      <c r="Q6" t="n">
        <v>83.3</v>
      </c>
      <c r="R6" t="n">
        <v>50.3</v>
      </c>
      <c r="S6" t="n">
        <v>42.9</v>
      </c>
      <c r="T6" t="n">
        <v>43.9</v>
      </c>
      <c r="U6" t="n">
        <v>36.2</v>
      </c>
      <c r="V6" t="n">
        <v>38.5</v>
      </c>
      <c r="W6" t="n">
        <v>48.9</v>
      </c>
      <c r="X6" t="n">
        <v>48</v>
      </c>
      <c r="Y6" t="n">
        <v>33.4</v>
      </c>
      <c r="Z6" t="n">
        <v>32.6</v>
      </c>
      <c r="AA6" t="n">
        <v>104.3</v>
      </c>
      <c r="AB6" t="n">
        <v>76.5</v>
      </c>
      <c r="AC6" t="n">
        <v>26.5</v>
      </c>
      <c r="AD6" t="n">
        <v>45.6</v>
      </c>
      <c r="AE6" t="n">
        <v>33.5</v>
      </c>
      <c r="AF6" t="n">
        <v>13.5</v>
      </c>
    </row>
    <row r="7">
      <c r="A7" t="s">
        <v>13</v>
      </c>
      <c r="B7" t="s">
        <v>284</v>
      </c>
      <c r="C7" t="s">
        <v>203</v>
      </c>
      <c r="D7" t="s">
        <v>285</v>
      </c>
      <c r="E7" t="s">
        <v>204</v>
      </c>
      <c r="F7" t="n">
        <v>0.4</v>
      </c>
      <c r="G7" t="n">
        <v>0.2</v>
      </c>
      <c r="H7" t="n">
        <v>3.5</v>
      </c>
      <c r="I7" t="n">
        <v>7.3</v>
      </c>
      <c r="J7" t="n">
        <v>10.6</v>
      </c>
      <c r="K7" t="n">
        <v>26.2</v>
      </c>
      <c r="L7" t="n">
        <v>38.5</v>
      </c>
      <c r="M7" t="n">
        <v>14.8</v>
      </c>
      <c r="N7" t="n">
        <v>14.9</v>
      </c>
      <c r="O7" t="n">
        <v>26.6</v>
      </c>
      <c r="P7" t="n">
        <v>20.5</v>
      </c>
      <c r="Q7" t="n">
        <v>18.9</v>
      </c>
      <c r="R7" t="n">
        <v>29.5</v>
      </c>
      <c r="S7" t="n">
        <v>23.3</v>
      </c>
      <c r="T7" t="n">
        <v>41.9</v>
      </c>
      <c r="U7" t="n">
        <v>32.8</v>
      </c>
      <c r="V7" t="n">
        <v>21.4</v>
      </c>
      <c r="W7" t="n">
        <v>62.4</v>
      </c>
      <c r="X7" t="n">
        <v>61.2</v>
      </c>
      <c r="Y7" t="n">
        <v>46.5</v>
      </c>
      <c r="Z7" t="n">
        <v>40.3</v>
      </c>
      <c r="AA7" t="n">
        <v>28.8</v>
      </c>
      <c r="AB7" t="n">
        <v>175.7</v>
      </c>
      <c r="AC7" t="n">
        <v>193.1</v>
      </c>
      <c r="AD7" t="n">
        <v>46.3</v>
      </c>
      <c r="AE7" t="n">
        <v>73.3</v>
      </c>
      <c r="AF7" t="n">
        <v>76.3</v>
      </c>
    </row>
    <row r="8">
      <c r="A8" t="s">
        <v>13</v>
      </c>
      <c r="B8" t="s">
        <v>286</v>
      </c>
      <c r="C8" t="s">
        <v>203</v>
      </c>
      <c r="D8" t="s">
        <v>287</v>
      </c>
      <c r="E8" t="s">
        <v>204</v>
      </c>
      <c r="F8" t="n">
        <v>1.1</v>
      </c>
      <c r="G8" t="n">
        <v>0.5</v>
      </c>
      <c r="H8" t="n">
        <v>9.1</v>
      </c>
      <c r="I8" t="n">
        <v>19.1</v>
      </c>
      <c r="J8" t="n">
        <v>9</v>
      </c>
      <c r="K8" t="n">
        <v>4.1</v>
      </c>
      <c r="L8" t="n">
        <v>0.3</v>
      </c>
      <c r="M8" t="n">
        <v>13.3</v>
      </c>
      <c r="N8" t="n">
        <v>37.2</v>
      </c>
      <c r="O8" t="n">
        <v>32</v>
      </c>
      <c r="P8" t="n">
        <v>52.9</v>
      </c>
      <c r="Q8" t="n">
        <v>37.7</v>
      </c>
      <c r="R8" t="n">
        <v>45.3</v>
      </c>
      <c r="S8" t="n">
        <v>69.8</v>
      </c>
      <c r="T8" t="n">
        <v>349.1</v>
      </c>
      <c r="U8" t="n">
        <v>52.8</v>
      </c>
      <c r="V8" t="n">
        <v>43.7</v>
      </c>
      <c r="W8" t="n">
        <v>93.9</v>
      </c>
      <c r="X8" t="n">
        <v>92.1</v>
      </c>
      <c r="Y8" t="n">
        <v>-22.6</v>
      </c>
      <c r="Z8" t="n">
        <v>791.7</v>
      </c>
      <c r="AA8" t="n">
        <v>306.7</v>
      </c>
      <c r="AB8" t="n">
        <v>91.2</v>
      </c>
      <c r="AC8" t="n">
        <v>38.9</v>
      </c>
      <c r="AD8" t="n">
        <v>4</v>
      </c>
      <c r="AE8" t="n">
        <v>41.6</v>
      </c>
      <c r="AF8" t="n">
        <v>9.6</v>
      </c>
    </row>
    <row r="9">
      <c r="A9" t="s">
        <v>13</v>
      </c>
      <c r="B9" t="s">
        <v>288</v>
      </c>
      <c r="C9" t="s">
        <v>203</v>
      </c>
      <c r="D9" t="s">
        <v>289</v>
      </c>
      <c r="E9" t="s">
        <v>204</v>
      </c>
      <c r="F9" t="n">
        <v>1.1</v>
      </c>
      <c r="G9" t="n">
        <v>0.5</v>
      </c>
      <c r="H9" t="n">
        <v>9.5</v>
      </c>
      <c r="I9" t="n">
        <v>19.9</v>
      </c>
      <c r="J9" t="n">
        <v>14</v>
      </c>
      <c r="K9" t="n">
        <v>11.4</v>
      </c>
      <c r="L9" t="n">
        <v>3.9</v>
      </c>
      <c r="M9" t="n">
        <v>20.7</v>
      </c>
      <c r="N9" t="n">
        <v>11.8</v>
      </c>
      <c r="O9" t="n">
        <v>11.3</v>
      </c>
      <c r="P9" t="n">
        <v>14</v>
      </c>
      <c r="Q9" t="n">
        <v>12.8</v>
      </c>
      <c r="R9" t="n">
        <v>23</v>
      </c>
      <c r="S9" t="n">
        <v>28.6</v>
      </c>
      <c r="T9" t="n">
        <v>57.9</v>
      </c>
      <c r="U9" t="n">
        <v>32.9</v>
      </c>
      <c r="V9" t="n">
        <v>23.4</v>
      </c>
      <c r="W9" t="n">
        <v>62.8</v>
      </c>
      <c r="X9" t="n">
        <v>61.6</v>
      </c>
      <c r="Y9" t="n">
        <v>141.5</v>
      </c>
      <c r="Z9" t="n">
        <v>34.9</v>
      </c>
      <c r="AA9" t="n">
        <v>57</v>
      </c>
      <c r="AB9" t="n">
        <v>121.2</v>
      </c>
      <c r="AC9" t="n">
        <v>37</v>
      </c>
      <c r="AD9" t="n">
        <v>32.7</v>
      </c>
      <c r="AE9" t="n">
        <v>45.6</v>
      </c>
      <c r="AF9" t="n">
        <v>47.7</v>
      </c>
    </row>
    <row r="10">
      <c r="A10" t="s">
        <v>13</v>
      </c>
      <c r="B10" t="s">
        <v>290</v>
      </c>
      <c r="C10" t="s">
        <v>203</v>
      </c>
      <c r="D10" t="s">
        <v>291</v>
      </c>
      <c r="E10" t="s">
        <v>204</v>
      </c>
      <c r="F10" t="n">
        <v>1.1</v>
      </c>
      <c r="G10" t="n">
        <v>0.5</v>
      </c>
      <c r="H10" t="n">
        <v>9.8</v>
      </c>
      <c r="I10" t="n">
        <v>20.6</v>
      </c>
      <c r="J10" t="n">
        <v>16.6</v>
      </c>
      <c r="K10" t="n">
        <v>12.1</v>
      </c>
      <c r="L10" t="n">
        <v>4.2</v>
      </c>
      <c r="M10" t="n">
        <v>40.4</v>
      </c>
      <c r="N10" t="n">
        <v>31</v>
      </c>
      <c r="O10" t="n">
        <v>32.5</v>
      </c>
      <c r="P10" t="n">
        <v>34</v>
      </c>
      <c r="Q10" t="n">
        <v>25.6</v>
      </c>
      <c r="R10" t="n">
        <v>43.1</v>
      </c>
      <c r="S10" t="n">
        <v>84</v>
      </c>
      <c r="T10" t="n">
        <v>61.9</v>
      </c>
      <c r="U10" t="n">
        <v>60.4</v>
      </c>
      <c r="V10" t="n">
        <v>70.7</v>
      </c>
      <c r="W10" t="n">
        <v>116.3</v>
      </c>
      <c r="X10" t="n">
        <v>114</v>
      </c>
      <c r="Y10" t="n">
        <v>163.3</v>
      </c>
      <c r="Z10" t="n">
        <v>49.2</v>
      </c>
      <c r="AA10" t="n">
        <v>89.2</v>
      </c>
      <c r="AB10" t="n">
        <v>196</v>
      </c>
      <c r="AC10" t="n">
        <v>116.9</v>
      </c>
      <c r="AD10" t="n">
        <v>100.2</v>
      </c>
      <c r="AE10" t="n">
        <v>88.6</v>
      </c>
      <c r="AF10" t="n">
        <v>113.7</v>
      </c>
    </row>
    <row r="11">
      <c r="A11" t="s">
        <v>13</v>
      </c>
      <c r="B11" t="s">
        <v>292</v>
      </c>
      <c r="C11" t="s">
        <v>203</v>
      </c>
      <c r="D11" t="s">
        <v>293</v>
      </c>
      <c r="E11" t="s">
        <v>204</v>
      </c>
      <c r="F11" t="n">
        <v>0</v>
      </c>
      <c r="G11" t="n">
        <v>0</v>
      </c>
      <c r="H11" t="n">
        <v>0.3</v>
      </c>
      <c r="I11" t="n">
        <v>0.7</v>
      </c>
      <c r="J11" t="n">
        <v>2.6</v>
      </c>
      <c r="K11" t="n">
        <v>0.7</v>
      </c>
      <c r="L11" t="n">
        <v>0.3</v>
      </c>
      <c r="M11" t="n">
        <v>19.7</v>
      </c>
      <c r="N11" t="n">
        <v>19.2</v>
      </c>
      <c r="O11" t="n">
        <v>21.2</v>
      </c>
      <c r="P11" t="n">
        <v>20</v>
      </c>
      <c r="Q11" t="n">
        <v>12.8</v>
      </c>
      <c r="R11" t="n">
        <v>20.1</v>
      </c>
      <c r="S11" t="n">
        <v>55.4</v>
      </c>
      <c r="T11" t="n">
        <v>4</v>
      </c>
      <c r="U11" t="n">
        <v>27.5</v>
      </c>
      <c r="V11" t="n">
        <v>47.3</v>
      </c>
      <c r="W11" t="n">
        <v>53.5</v>
      </c>
      <c r="X11" t="n">
        <v>52.4</v>
      </c>
      <c r="Y11" t="n">
        <v>21.8</v>
      </c>
      <c r="Z11" t="n">
        <v>14.3</v>
      </c>
      <c r="AA11" t="n">
        <v>32.2</v>
      </c>
      <c r="AB11" t="n">
        <v>74.8</v>
      </c>
      <c r="AC11" t="n">
        <v>79.9</v>
      </c>
      <c r="AD11" t="n">
        <v>67.5</v>
      </c>
      <c r="AE11" t="n">
        <v>43</v>
      </c>
      <c r="AF11" t="n">
        <v>66</v>
      </c>
    </row>
    <row r="12">
      <c r="A12" t="s">
        <v>13</v>
      </c>
      <c r="B12" t="s">
        <v>294</v>
      </c>
      <c r="C12" t="s">
        <v>203</v>
      </c>
      <c r="D12" t="s">
        <v>295</v>
      </c>
      <c r="E12" t="s">
        <v>204</v>
      </c>
      <c r="F12" t="n">
        <v>2.1</v>
      </c>
      <c r="G12" t="n">
        <v>1</v>
      </c>
      <c r="H12" t="n">
        <v>18.5</v>
      </c>
      <c r="I12" t="n">
        <v>38.7</v>
      </c>
      <c r="J12" t="n">
        <v>17.4</v>
      </c>
      <c r="K12" t="n">
        <v>44.3</v>
      </c>
      <c r="L12" t="n">
        <v>201.9</v>
      </c>
      <c r="M12" t="n">
        <v>23</v>
      </c>
      <c r="N12" t="n">
        <v>21.1</v>
      </c>
      <c r="O12" t="n">
        <v>83.7</v>
      </c>
      <c r="P12" t="n">
        <v>130.2</v>
      </c>
      <c r="Q12" t="n">
        <v>88.8</v>
      </c>
      <c r="R12" t="n">
        <v>81.2</v>
      </c>
      <c r="S12" t="n">
        <v>128.8</v>
      </c>
      <c r="T12" t="n">
        <v>167.6</v>
      </c>
      <c r="U12" t="n">
        <v>76.5</v>
      </c>
      <c r="V12" t="n">
        <v>90.4</v>
      </c>
      <c r="W12" t="n">
        <v>152.9</v>
      </c>
      <c r="X12" t="n">
        <v>150</v>
      </c>
      <c r="Y12" t="n">
        <v>62.4</v>
      </c>
      <c r="Z12" t="n">
        <v>241.4</v>
      </c>
      <c r="AA12" t="n">
        <v>190.8</v>
      </c>
      <c r="AB12" t="n">
        <v>129.1</v>
      </c>
      <c r="AC12" t="n">
        <v>91.9</v>
      </c>
      <c r="AD12" t="n">
        <v>81.5</v>
      </c>
      <c r="AE12" t="n">
        <v>60.2</v>
      </c>
      <c r="AF12" t="n">
        <v>139.7</v>
      </c>
    </row>
    <row r="13">
      <c r="A13" t="s">
        <v>13</v>
      </c>
      <c r="B13" t="s">
        <v>296</v>
      </c>
      <c r="C13" t="s">
        <v>203</v>
      </c>
      <c r="D13" t="s">
        <v>297</v>
      </c>
      <c r="E13" t="s">
        <v>204</v>
      </c>
      <c r="F13" t="n">
        <v>1.1</v>
      </c>
      <c r="G13" t="n">
        <v>0.5</v>
      </c>
      <c r="H13" t="n">
        <v>9.4</v>
      </c>
      <c r="I13" t="n">
        <v>19.8</v>
      </c>
      <c r="J13" t="n">
        <v>21</v>
      </c>
      <c r="K13" t="n">
        <v>57.4</v>
      </c>
      <c r="L13" t="n">
        <v>18.6</v>
      </c>
      <c r="M13" t="n">
        <v>75</v>
      </c>
      <c r="N13" t="n">
        <v>51.3</v>
      </c>
      <c r="O13" t="n">
        <v>73.2</v>
      </c>
      <c r="P13" t="n">
        <v>56.2</v>
      </c>
      <c r="Q13" t="n">
        <v>78.5</v>
      </c>
      <c r="R13" t="n">
        <v>116.6</v>
      </c>
      <c r="S13" t="n">
        <v>59</v>
      </c>
      <c r="T13" t="n">
        <v>121.7</v>
      </c>
      <c r="U13" t="n">
        <v>98</v>
      </c>
      <c r="V13" t="n">
        <v>47.4</v>
      </c>
      <c r="W13" t="n">
        <v>108.6</v>
      </c>
      <c r="X13" t="n">
        <v>106.5</v>
      </c>
      <c r="Y13" t="n">
        <v>107.8</v>
      </c>
      <c r="Z13" t="n">
        <v>63.3</v>
      </c>
      <c r="AA13" t="n">
        <v>93.9</v>
      </c>
      <c r="AB13" t="n">
        <v>128.3</v>
      </c>
      <c r="AC13" t="n">
        <v>142.1</v>
      </c>
      <c r="AD13" t="n">
        <v>86.8</v>
      </c>
      <c r="AE13" t="n">
        <v>118.9</v>
      </c>
      <c r="AF13" t="n">
        <v>104.3</v>
      </c>
    </row>
    <row r="14">
      <c r="A14" t="s">
        <v>13</v>
      </c>
      <c r="B14" t="s">
        <v>298</v>
      </c>
      <c r="C14" t="s">
        <v>203</v>
      </c>
      <c r="D14" t="s">
        <v>299</v>
      </c>
      <c r="E14" t="s">
        <v>204</v>
      </c>
      <c r="F14" t="n">
        <v>0.1</v>
      </c>
      <c r="G14" t="n">
        <v>0.1</v>
      </c>
      <c r="H14" t="n">
        <v>1.2</v>
      </c>
      <c r="I14" t="n">
        <v>2.5</v>
      </c>
      <c r="J14" t="n">
        <v>4.1</v>
      </c>
      <c r="K14" t="n">
        <v>7.5</v>
      </c>
      <c r="L14" t="n">
        <v>23.2</v>
      </c>
      <c r="M14" t="n">
        <v>8.1</v>
      </c>
      <c r="N14" t="n">
        <v>5.6</v>
      </c>
      <c r="O14" t="n">
        <v>6.8</v>
      </c>
      <c r="P14" t="n">
        <v>4.9</v>
      </c>
      <c r="Q14" t="n">
        <v>10.9</v>
      </c>
      <c r="R14" t="n">
        <v>7.9</v>
      </c>
      <c r="S14" t="n">
        <v>16.1</v>
      </c>
      <c r="T14" t="n">
        <v>6</v>
      </c>
      <c r="U14" t="n">
        <v>8.8</v>
      </c>
      <c r="V14" t="n">
        <v>16</v>
      </c>
      <c r="W14" t="n">
        <v>18.7</v>
      </c>
      <c r="X14" t="n">
        <v>18.4</v>
      </c>
      <c r="Y14" t="n">
        <v>36.4</v>
      </c>
      <c r="Z14" t="n">
        <v>22.4</v>
      </c>
      <c r="AA14" t="n">
        <v>9.4</v>
      </c>
      <c r="AB14" t="n">
        <v>27.1</v>
      </c>
      <c r="AC14" t="n">
        <v>33.5</v>
      </c>
      <c r="AD14" t="n">
        <v>22.8</v>
      </c>
      <c r="AE14" t="n">
        <v>15.5</v>
      </c>
      <c r="AF14" t="n">
        <v>18.4</v>
      </c>
    </row>
    <row r="15">
      <c r="A15" t="s">
        <v>13</v>
      </c>
      <c r="B15" t="s">
        <v>300</v>
      </c>
      <c r="C15" t="s">
        <v>203</v>
      </c>
      <c r="D15" t="s">
        <v>301</v>
      </c>
      <c r="E15" t="s">
        <v>204</v>
      </c>
      <c r="F15" t="n">
        <v>0.2</v>
      </c>
      <c r="G15" t="n">
        <v>0.2</v>
      </c>
      <c r="H15" t="n">
        <v>2.3</v>
      </c>
      <c r="I15" t="n">
        <v>4.8</v>
      </c>
      <c r="J15" t="n">
        <v>9.2</v>
      </c>
      <c r="K15" t="n">
        <v>12.6</v>
      </c>
      <c r="L15" t="n">
        <v>24.8</v>
      </c>
      <c r="M15" t="n">
        <v>11.8</v>
      </c>
      <c r="N15" t="n">
        <v>9.3</v>
      </c>
      <c r="O15" t="n">
        <v>10.4</v>
      </c>
      <c r="P15" t="n">
        <v>15.7</v>
      </c>
      <c r="Q15" t="n">
        <v>32.2</v>
      </c>
      <c r="R15" t="n">
        <v>33.8</v>
      </c>
      <c r="S15" t="n">
        <v>35.8</v>
      </c>
      <c r="T15" t="n">
        <v>33.9</v>
      </c>
      <c r="U15" t="n">
        <v>33.1</v>
      </c>
      <c r="V15" t="n">
        <v>33.3</v>
      </c>
      <c r="W15" t="n">
        <v>48.9</v>
      </c>
      <c r="X15" t="n">
        <v>48</v>
      </c>
      <c r="Y15" t="n">
        <v>52.1</v>
      </c>
      <c r="Z15" t="n">
        <v>93</v>
      </c>
      <c r="AA15" t="n">
        <v>52.7</v>
      </c>
      <c r="AB15" t="n">
        <v>83.4</v>
      </c>
      <c r="AC15" t="n">
        <v>82.2</v>
      </c>
      <c r="AD15" t="n">
        <v>81.4</v>
      </c>
      <c r="AE15" t="n">
        <v>37.8</v>
      </c>
      <c r="AF15" t="n">
        <v>65.7</v>
      </c>
    </row>
    <row r="16">
      <c r="A16" t="s">
        <v>13</v>
      </c>
      <c r="B16" t="s">
        <v>302</v>
      </c>
      <c r="C16" t="s">
        <v>203</v>
      </c>
      <c r="D16" t="s">
        <v>303</v>
      </c>
      <c r="E16" t="s">
        <v>204</v>
      </c>
      <c r="F16" t="n">
        <v>0.1</v>
      </c>
      <c r="G16" t="n">
        <v>0.1</v>
      </c>
      <c r="H16" t="n">
        <v>1.1</v>
      </c>
      <c r="I16" t="n">
        <v>2.3</v>
      </c>
      <c r="J16" t="n">
        <v>5.1</v>
      </c>
      <c r="K16" t="n">
        <v>5.1</v>
      </c>
      <c r="L16" t="n">
        <v>1.6</v>
      </c>
      <c r="M16" t="n">
        <v>3.7</v>
      </c>
      <c r="N16" t="n">
        <v>3.7</v>
      </c>
      <c r="O16" t="n">
        <v>3.6</v>
      </c>
      <c r="P16" t="n">
        <v>10.8</v>
      </c>
      <c r="Q16" t="n">
        <v>21.3</v>
      </c>
      <c r="R16" t="n">
        <v>25.9</v>
      </c>
      <c r="S16" t="n">
        <v>19.7</v>
      </c>
      <c r="T16" t="n">
        <v>27.9</v>
      </c>
      <c r="U16" t="n">
        <v>24.3</v>
      </c>
      <c r="V16" t="n">
        <v>17.3</v>
      </c>
      <c r="W16" t="n">
        <v>30.2</v>
      </c>
      <c r="X16" t="n">
        <v>29.6</v>
      </c>
      <c r="Y16" t="n">
        <v>15.7</v>
      </c>
      <c r="Z16" t="n">
        <v>70.6</v>
      </c>
      <c r="AA16" t="n">
        <v>43.3</v>
      </c>
      <c r="AB16" t="n">
        <v>56.3</v>
      </c>
      <c r="AC16" t="n">
        <v>48.7</v>
      </c>
      <c r="AD16" t="n">
        <v>58.6</v>
      </c>
      <c r="AE16" t="n">
        <v>22.3</v>
      </c>
      <c r="AF16" t="n">
        <v>47.3</v>
      </c>
    </row>
    <row r="17">
      <c r="A17" t="s">
        <v>13</v>
      </c>
      <c r="B17" t="s">
        <v>304</v>
      </c>
      <c r="C17" t="s">
        <v>203</v>
      </c>
      <c r="D17" t="s">
        <v>305</v>
      </c>
      <c r="E17" t="s">
        <v>204</v>
      </c>
      <c r="F17" t="n">
        <v>0.3</v>
      </c>
      <c r="G17" t="n">
        <v>0.2</v>
      </c>
      <c r="H17" t="n">
        <v>2.8</v>
      </c>
      <c r="I17" t="n">
        <v>6</v>
      </c>
      <c r="J17" t="n">
        <v>10</v>
      </c>
      <c r="K17" t="n">
        <v>25.7</v>
      </c>
      <c r="L17" t="n">
        <v>100.7</v>
      </c>
      <c r="M17" t="n">
        <v>15.3</v>
      </c>
      <c r="N17" t="n">
        <v>11.8</v>
      </c>
      <c r="O17" t="n">
        <v>20.7</v>
      </c>
      <c r="P17" t="n">
        <v>12.4</v>
      </c>
      <c r="Q17" t="n">
        <v>30.4</v>
      </c>
      <c r="R17" t="n">
        <v>21.6</v>
      </c>
      <c r="S17" t="n">
        <v>16.1</v>
      </c>
      <c r="T17" t="n">
        <v>27.9</v>
      </c>
      <c r="U17" t="n">
        <v>31.2</v>
      </c>
      <c r="V17" t="n">
        <v>15.5</v>
      </c>
      <c r="W17" t="n">
        <v>23.4</v>
      </c>
      <c r="X17" t="n">
        <v>22.9</v>
      </c>
      <c r="Y17" t="n">
        <v>25.3</v>
      </c>
      <c r="Z17" t="n">
        <v>35.9</v>
      </c>
      <c r="AA17" t="n">
        <v>26.4</v>
      </c>
      <c r="AB17" t="n">
        <v>47.4</v>
      </c>
      <c r="AC17" t="n">
        <v>24.4</v>
      </c>
      <c r="AD17" t="n">
        <v>34</v>
      </c>
      <c r="AE17" t="n">
        <v>55.9</v>
      </c>
      <c r="AF17" t="n">
        <v>63.3</v>
      </c>
    </row>
    <row r="18">
      <c r="A18" t="s">
        <v>13</v>
      </c>
      <c r="B18" t="s">
        <v>306</v>
      </c>
      <c r="C18" t="s">
        <v>203</v>
      </c>
      <c r="D18" t="s">
        <v>307</v>
      </c>
      <c r="E18" t="s">
        <v>204</v>
      </c>
      <c r="F18" t="n">
        <v>0.1</v>
      </c>
      <c r="G18" t="n">
        <v>0.1</v>
      </c>
      <c r="H18" t="n">
        <v>1.1</v>
      </c>
      <c r="I18" t="n">
        <v>2.4</v>
      </c>
      <c r="J18" t="n">
        <v>3</v>
      </c>
      <c r="K18" t="n">
        <v>3.6</v>
      </c>
      <c r="L18" t="n">
        <v>7.6</v>
      </c>
      <c r="M18" t="n">
        <v>2.5</v>
      </c>
      <c r="N18" t="n">
        <v>5.6</v>
      </c>
      <c r="O18" t="n">
        <v>4.1</v>
      </c>
      <c r="P18" t="n">
        <v>7.6</v>
      </c>
      <c r="Q18" t="n">
        <v>20.1</v>
      </c>
      <c r="R18" t="n">
        <v>19.4</v>
      </c>
      <c r="S18" t="n">
        <v>21.5</v>
      </c>
      <c r="T18" t="n">
        <v>16</v>
      </c>
      <c r="U18" t="n">
        <v>14</v>
      </c>
      <c r="V18" t="n">
        <v>20</v>
      </c>
      <c r="W18" t="n">
        <v>26.5</v>
      </c>
      <c r="X18" t="n">
        <v>26</v>
      </c>
      <c r="Y18" t="n">
        <v>34.8</v>
      </c>
      <c r="Z18" t="n">
        <v>-1.7</v>
      </c>
      <c r="AA18" t="n">
        <v>30.4</v>
      </c>
      <c r="AB18" t="n">
        <v>59.2</v>
      </c>
      <c r="AC18" t="n">
        <v>35.6</v>
      </c>
      <c r="AD18" t="n">
        <v>73.5</v>
      </c>
      <c r="AE18" t="n">
        <v>28.3</v>
      </c>
      <c r="AF18" t="n">
        <v>10.6</v>
      </c>
    </row>
    <row r="19">
      <c r="A19" t="s">
        <v>13</v>
      </c>
      <c r="B19" t="s">
        <v>308</v>
      </c>
      <c r="C19" t="s">
        <v>203</v>
      </c>
      <c r="D19" t="s">
        <v>309</v>
      </c>
      <c r="E19" t="s">
        <v>204</v>
      </c>
      <c r="F19" t="n">
        <v>0.1</v>
      </c>
      <c r="G19" t="n">
        <v>0</v>
      </c>
      <c r="H19" t="n">
        <v>0.9</v>
      </c>
      <c r="I19" t="n">
        <v>1.9</v>
      </c>
      <c r="J19" t="n">
        <v>2.3</v>
      </c>
      <c r="K19" t="n">
        <v>63.4</v>
      </c>
      <c r="L19" t="n">
        <v>25.5</v>
      </c>
      <c r="M19" t="n">
        <v>6.2</v>
      </c>
      <c r="N19" t="n">
        <v>5.9</v>
      </c>
      <c r="O19" t="n">
        <v>10.4</v>
      </c>
      <c r="P19" t="n">
        <v>25.9</v>
      </c>
      <c r="Q19" t="n">
        <v>29.2</v>
      </c>
      <c r="R19" t="n">
        <v>31.6</v>
      </c>
      <c r="S19" t="n">
        <v>41.1</v>
      </c>
      <c r="T19" t="n">
        <v>39.9</v>
      </c>
      <c r="U19" t="n">
        <v>48.6</v>
      </c>
      <c r="V19" t="n">
        <v>37.4</v>
      </c>
      <c r="W19" t="n">
        <v>45.4</v>
      </c>
      <c r="X19" t="n">
        <v>44.5</v>
      </c>
      <c r="Y19" t="n">
        <v>37.5</v>
      </c>
      <c r="Z19" t="n">
        <v>20.6</v>
      </c>
      <c r="AA19" t="n">
        <v>89.4</v>
      </c>
      <c r="AB19" t="n">
        <v>60.3</v>
      </c>
      <c r="AC19" t="n">
        <v>33.4</v>
      </c>
      <c r="AD19" t="n">
        <v>20.6</v>
      </c>
      <c r="AE19" t="n">
        <v>12.7</v>
      </c>
      <c r="AF19" t="n">
        <v>53.7</v>
      </c>
    </row>
    <row r="20">
      <c r="A20" t="s">
        <v>13</v>
      </c>
      <c r="B20" t="s">
        <v>310</v>
      </c>
      <c r="C20" t="s">
        <v>203</v>
      </c>
      <c r="D20" t="s">
        <v>311</v>
      </c>
      <c r="E20" t="s">
        <v>204</v>
      </c>
      <c r="F20" t="n">
        <v>2.7</v>
      </c>
      <c r="G20" t="n">
        <v>1.2</v>
      </c>
      <c r="H20" t="n">
        <v>23.3</v>
      </c>
      <c r="I20" t="n">
        <v>48.8</v>
      </c>
      <c r="J20" t="n">
        <v>54.9</v>
      </c>
      <c r="K20" t="n">
        <v>2</v>
      </c>
      <c r="L20" t="n">
        <v>8.6</v>
      </c>
      <c r="M20" t="n">
        <v>145.6</v>
      </c>
      <c r="N20" t="n">
        <v>118</v>
      </c>
      <c r="O20" t="n">
        <v>240.9</v>
      </c>
      <c r="P20" t="n">
        <v>547.2</v>
      </c>
      <c r="Q20" t="n">
        <v>698.1</v>
      </c>
      <c r="R20" t="n">
        <v>663.9</v>
      </c>
      <c r="S20" t="n">
        <v>1165.6</v>
      </c>
      <c r="T20" t="n">
        <v>1669.1</v>
      </c>
      <c r="U20" t="n">
        <v>1338.5</v>
      </c>
      <c r="V20" t="n">
        <v>868.1</v>
      </c>
      <c r="W20" t="n">
        <v>1126.5</v>
      </c>
      <c r="X20" t="n">
        <v>1104.9</v>
      </c>
      <c r="Y20" t="n">
        <v>1008.2</v>
      </c>
      <c r="Z20" t="n">
        <v>390.8</v>
      </c>
      <c r="AA20" t="n">
        <v>1686.4</v>
      </c>
      <c r="AB20" t="n">
        <v>310.4</v>
      </c>
      <c r="AC20" t="n">
        <v>111.8</v>
      </c>
      <c r="AD20" t="n">
        <v>82.6</v>
      </c>
      <c r="AE20" t="n">
        <v>254.5</v>
      </c>
      <c r="AF20" t="n">
        <v>126.2</v>
      </c>
    </row>
    <row r="21">
      <c r="A21" t="s">
        <v>13</v>
      </c>
      <c r="B21" t="s">
        <v>312</v>
      </c>
      <c r="C21" t="s">
        <v>203</v>
      </c>
      <c r="D21" t="s">
        <v>313</v>
      </c>
      <c r="E21" t="s">
        <v>204</v>
      </c>
      <c r="F21" t="n">
        <v>2.9</v>
      </c>
      <c r="G21" t="n">
        <v>1.3</v>
      </c>
      <c r="H21" t="n">
        <v>25.3</v>
      </c>
      <c r="I21" t="n">
        <v>53</v>
      </c>
      <c r="J21" t="n">
        <v>66</v>
      </c>
      <c r="K21" t="n">
        <v>7.2</v>
      </c>
      <c r="L21" t="n">
        <v>11</v>
      </c>
      <c r="M21" t="n">
        <v>163.1</v>
      </c>
      <c r="N21" t="n">
        <v>134.6</v>
      </c>
      <c r="O21" t="n">
        <v>273.9</v>
      </c>
      <c r="P21" t="n">
        <v>580.7</v>
      </c>
      <c r="Q21" t="n">
        <v>721.8</v>
      </c>
      <c r="R21" t="n">
        <v>723.5</v>
      </c>
      <c r="S21" t="n">
        <v>1249.7</v>
      </c>
      <c r="T21" t="n">
        <v>1818.7</v>
      </c>
      <c r="U21" t="n">
        <v>1394.5</v>
      </c>
      <c r="V21" t="n">
        <v>922.8</v>
      </c>
      <c r="W21" t="n">
        <v>1158.7</v>
      </c>
      <c r="X21" t="n">
        <v>1136.5</v>
      </c>
      <c r="Y21" t="n">
        <v>1269.9</v>
      </c>
      <c r="Z21" t="n">
        <v>1634.5</v>
      </c>
      <c r="AA21" t="n">
        <v>1743.7</v>
      </c>
      <c r="AB21" t="n">
        <v>336</v>
      </c>
      <c r="AC21" t="n">
        <v>151.3</v>
      </c>
      <c r="AD21" t="n">
        <v>113.6</v>
      </c>
      <c r="AE21" t="n">
        <v>259.7</v>
      </c>
      <c r="AF21" t="n">
        <v>183.5</v>
      </c>
    </row>
    <row r="22">
      <c r="A22" t="s">
        <v>13</v>
      </c>
      <c r="B22" t="s">
        <v>314</v>
      </c>
      <c r="C22" t="s">
        <v>203</v>
      </c>
      <c r="D22" t="s">
        <v>315</v>
      </c>
      <c r="E22" t="s">
        <v>204</v>
      </c>
      <c r="F22" t="n">
        <v>0.2</v>
      </c>
      <c r="G22" t="n">
        <v>0.1</v>
      </c>
      <c r="H22" t="n">
        <v>2</v>
      </c>
      <c r="I22" t="n">
        <v>4.2</v>
      </c>
      <c r="J22" t="n">
        <v>11.1</v>
      </c>
      <c r="K22" t="n">
        <v>5.2</v>
      </c>
      <c r="L22" t="n">
        <v>2.4</v>
      </c>
      <c r="M22" t="n">
        <v>17.5</v>
      </c>
      <c r="N22" t="n">
        <v>16.6</v>
      </c>
      <c r="O22" t="n">
        <v>33</v>
      </c>
      <c r="P22" t="n">
        <v>33.5</v>
      </c>
      <c r="Q22" t="n">
        <v>23.7</v>
      </c>
      <c r="R22" t="n">
        <v>59.6</v>
      </c>
      <c r="S22" t="n">
        <v>84.1</v>
      </c>
      <c r="T22" t="n">
        <v>149.6</v>
      </c>
      <c r="U22" t="n">
        <v>56</v>
      </c>
      <c r="V22" t="n">
        <v>54.7</v>
      </c>
      <c r="W22" t="n">
        <v>32.2</v>
      </c>
      <c r="X22" t="n">
        <v>31.6</v>
      </c>
      <c r="Y22" t="n">
        <v>261.7</v>
      </c>
      <c r="Z22" t="n">
        <v>1243.7</v>
      </c>
      <c r="AA22" t="n">
        <v>57.3</v>
      </c>
      <c r="AB22" t="n">
        <v>25.6</v>
      </c>
      <c r="AC22" t="n">
        <v>39.5</v>
      </c>
      <c r="AD22" t="n">
        <v>31</v>
      </c>
      <c r="AE22" t="n">
        <v>5.2</v>
      </c>
      <c r="AF22" t="n">
        <v>57.3</v>
      </c>
    </row>
    <row r="23">
      <c r="A23" t="s">
        <v>13</v>
      </c>
      <c r="B23" t="s">
        <v>316</v>
      </c>
      <c r="C23" t="s">
        <v>203</v>
      </c>
      <c r="D23" t="s">
        <v>317</v>
      </c>
      <c r="E23" t="s">
        <v>204</v>
      </c>
      <c r="F23" t="n">
        <v>1.4</v>
      </c>
      <c r="G23" t="n">
        <v>0.7</v>
      </c>
      <c r="H23" t="n">
        <v>12.5</v>
      </c>
      <c r="I23" t="n">
        <v>26.1</v>
      </c>
      <c r="J23" t="n">
        <v>32.6</v>
      </c>
      <c r="K23" t="n">
        <v>83.9</v>
      </c>
      <c r="L23" t="n">
        <v>54.6</v>
      </c>
      <c r="M23" t="n">
        <v>69.3</v>
      </c>
      <c r="N23" t="n">
        <v>52.2</v>
      </c>
      <c r="O23" t="n">
        <v>79.8</v>
      </c>
      <c r="P23" t="n">
        <v>154.5</v>
      </c>
      <c r="Q23" t="n">
        <v>176.4</v>
      </c>
      <c r="R23" t="n">
        <v>324.6</v>
      </c>
      <c r="S23" t="n">
        <v>316.6</v>
      </c>
      <c r="T23" t="n">
        <v>664</v>
      </c>
      <c r="U23" t="n">
        <v>567.4</v>
      </c>
      <c r="V23" t="n">
        <v>207.3</v>
      </c>
      <c r="W23" t="n">
        <v>398.9</v>
      </c>
      <c r="X23" t="n">
        <v>391.3</v>
      </c>
      <c r="Y23" t="n">
        <v>437.5</v>
      </c>
      <c r="Z23" t="n">
        <v>708.5</v>
      </c>
      <c r="AA23" t="n">
        <v>327</v>
      </c>
      <c r="AB23" t="n">
        <v>331.8</v>
      </c>
      <c r="AC23" t="n">
        <v>254.6</v>
      </c>
      <c r="AD23" t="n">
        <v>291.7</v>
      </c>
      <c r="AE23" t="n">
        <v>248.8</v>
      </c>
      <c r="AF23" t="n">
        <v>286.2</v>
      </c>
    </row>
    <row r="24">
      <c r="A24" t="s">
        <v>13</v>
      </c>
      <c r="B24" t="s">
        <v>318</v>
      </c>
      <c r="C24" t="s">
        <v>203</v>
      </c>
      <c r="D24" t="s">
        <v>319</v>
      </c>
      <c r="E24" t="s">
        <v>204</v>
      </c>
      <c r="F24" t="n">
        <v>4.1</v>
      </c>
      <c r="G24" t="n">
        <v>1.9</v>
      </c>
      <c r="H24" t="n">
        <v>36</v>
      </c>
      <c r="I24" t="n">
        <v>75.3</v>
      </c>
      <c r="J24" t="n">
        <v>50.1</v>
      </c>
      <c r="K24" t="n">
        <v>150.2</v>
      </c>
      <c r="L24" t="n">
        <v>335.6</v>
      </c>
      <c r="M24" t="n">
        <v>258.5</v>
      </c>
      <c r="N24" t="n">
        <v>223</v>
      </c>
      <c r="O24" t="n">
        <v>332</v>
      </c>
      <c r="P24" t="n">
        <v>434.3</v>
      </c>
      <c r="Q24" t="n">
        <v>519.4</v>
      </c>
      <c r="R24" t="n">
        <v>505.3</v>
      </c>
      <c r="S24" t="n">
        <v>728</v>
      </c>
      <c r="T24" t="n">
        <v>704.3</v>
      </c>
      <c r="U24" t="n">
        <v>839.3</v>
      </c>
      <c r="V24" t="n">
        <v>518.8</v>
      </c>
      <c r="W24" t="n">
        <v>629.2</v>
      </c>
      <c r="X24" t="n">
        <v>617.1</v>
      </c>
      <c r="Y24" t="n">
        <v>614</v>
      </c>
      <c r="Z24" t="n">
        <v>353.5</v>
      </c>
      <c r="AA24" t="n">
        <v>753.7</v>
      </c>
      <c r="AB24" t="n">
        <v>747.9</v>
      </c>
      <c r="AC24" t="n">
        <v>998.2</v>
      </c>
      <c r="AD24" t="n">
        <v>648.4</v>
      </c>
      <c r="AE24" t="n">
        <v>473.6</v>
      </c>
      <c r="AF24" t="n">
        <v>671.2</v>
      </c>
    </row>
    <row r="25">
      <c r="A25" t="s">
        <v>13</v>
      </c>
      <c r="B25" t="s">
        <v>320</v>
      </c>
      <c r="C25" t="s">
        <v>203</v>
      </c>
      <c r="D25" t="s">
        <v>321</v>
      </c>
      <c r="E25" t="s">
        <v>204</v>
      </c>
      <c r="F25" t="n">
        <v>0.6</v>
      </c>
      <c r="G25" t="n">
        <v>0.3</v>
      </c>
      <c r="H25" t="n">
        <v>5.2</v>
      </c>
      <c r="I25" t="n">
        <v>10.9</v>
      </c>
      <c r="J25" t="n">
        <v>7.8</v>
      </c>
      <c r="K25" t="n">
        <v>24.2</v>
      </c>
      <c r="L25" t="n">
        <v>33.4</v>
      </c>
      <c r="M25" t="n">
        <v>16.8</v>
      </c>
      <c r="N25" t="n">
        <v>16.4</v>
      </c>
      <c r="O25" t="n">
        <v>29.6</v>
      </c>
      <c r="P25" t="n">
        <v>36.7</v>
      </c>
      <c r="Q25" t="n">
        <v>56.6</v>
      </c>
      <c r="R25" t="n">
        <v>46</v>
      </c>
      <c r="S25" t="n">
        <v>75.1</v>
      </c>
      <c r="T25" t="n">
        <v>85.8</v>
      </c>
      <c r="U25" t="n">
        <v>73.6</v>
      </c>
      <c r="V25" t="n">
        <v>63.5</v>
      </c>
      <c r="W25" t="n">
        <v>35.6</v>
      </c>
      <c r="X25" t="n">
        <v>34.9</v>
      </c>
      <c r="Y25" t="n">
        <v>14.6</v>
      </c>
      <c r="Z25" t="n">
        <v>45.5</v>
      </c>
      <c r="AA25" t="n">
        <v>41.1</v>
      </c>
      <c r="AB25" t="n">
        <v>97.7</v>
      </c>
      <c r="AC25" t="n">
        <v>52.6</v>
      </c>
      <c r="AD25" t="n">
        <v>47</v>
      </c>
      <c r="AE25" t="n">
        <v>29.2</v>
      </c>
      <c r="AF25" t="n">
        <v>34.9</v>
      </c>
    </row>
    <row r="26">
      <c r="A26" t="s">
        <v>13</v>
      </c>
      <c r="B26" t="s">
        <v>322</v>
      </c>
      <c r="C26" t="s">
        <v>203</v>
      </c>
      <c r="D26" t="s">
        <v>323</v>
      </c>
      <c r="E26" t="s">
        <v>204</v>
      </c>
      <c r="F26" t="n">
        <v>2.6</v>
      </c>
      <c r="G26" t="n">
        <v>1.2</v>
      </c>
      <c r="H26" t="n">
        <v>22.6</v>
      </c>
      <c r="I26" t="n">
        <v>47.3</v>
      </c>
      <c r="J26" t="n">
        <v>22.8</v>
      </c>
      <c r="K26" t="n">
        <v>10.6</v>
      </c>
      <c r="L26" t="n">
        <v>153.2</v>
      </c>
      <c r="M26" t="n">
        <v>157.5</v>
      </c>
      <c r="N26" t="n">
        <v>133.1</v>
      </c>
      <c r="O26" t="n">
        <v>194</v>
      </c>
      <c r="P26" t="n">
        <v>236.6</v>
      </c>
      <c r="Q26" t="n">
        <v>265.7</v>
      </c>
      <c r="R26" t="n">
        <v>279.8</v>
      </c>
      <c r="S26" t="n">
        <v>363.1</v>
      </c>
      <c r="T26" t="n">
        <v>395</v>
      </c>
      <c r="U26" t="n">
        <v>430.1</v>
      </c>
      <c r="V26" t="n">
        <v>260.7</v>
      </c>
      <c r="W26" t="n">
        <v>396.3</v>
      </c>
      <c r="X26" t="n">
        <v>388.7</v>
      </c>
      <c r="Y26" t="n">
        <v>464.7</v>
      </c>
      <c r="Z26" t="n">
        <v>135.3</v>
      </c>
      <c r="AA26" t="n">
        <v>419</v>
      </c>
      <c r="AB26" t="n">
        <v>320.9</v>
      </c>
      <c r="AC26" t="n">
        <v>295.4</v>
      </c>
      <c r="AD26" t="n">
        <v>235.3</v>
      </c>
      <c r="AE26" t="n">
        <v>223.9</v>
      </c>
      <c r="AF26" t="n">
        <v>328.5</v>
      </c>
    </row>
    <row r="27">
      <c r="A27" t="s">
        <v>13</v>
      </c>
      <c r="B27" t="s">
        <v>324</v>
      </c>
      <c r="C27" t="s">
        <v>203</v>
      </c>
      <c r="D27" t="s">
        <v>325</v>
      </c>
      <c r="E27" t="s">
        <v>204</v>
      </c>
      <c r="F27" t="n">
        <v>0.9</v>
      </c>
      <c r="G27" t="n">
        <v>0.4</v>
      </c>
      <c r="H27" t="n">
        <v>8.2</v>
      </c>
      <c r="I27" t="n">
        <v>17.1</v>
      </c>
      <c r="J27" t="n">
        <v>19.5</v>
      </c>
      <c r="K27" t="n">
        <v>115.4</v>
      </c>
      <c r="L27" t="n">
        <v>149</v>
      </c>
      <c r="M27" t="n">
        <v>84.2</v>
      </c>
      <c r="N27" t="n">
        <v>73.5</v>
      </c>
      <c r="O27" t="n">
        <v>108.4</v>
      </c>
      <c r="P27" t="n">
        <v>161</v>
      </c>
      <c r="Q27" t="n">
        <v>197.1</v>
      </c>
      <c r="R27" t="n">
        <v>179.5</v>
      </c>
      <c r="S27" t="n">
        <v>289.8</v>
      </c>
      <c r="T27" t="n">
        <v>223.5</v>
      </c>
      <c r="U27" t="n">
        <v>335.6</v>
      </c>
      <c r="V27" t="n">
        <v>194.6</v>
      </c>
      <c r="W27" t="n">
        <v>197.3</v>
      </c>
      <c r="X27" t="n">
        <v>193.5</v>
      </c>
      <c r="Y27" t="n">
        <v>134.7</v>
      </c>
      <c r="Z27" t="n">
        <v>172.7</v>
      </c>
      <c r="AA27" t="n">
        <v>293.6</v>
      </c>
      <c r="AB27" t="n">
        <v>329.3</v>
      </c>
      <c r="AC27" t="n">
        <v>650.2</v>
      </c>
      <c r="AD27" t="n">
        <v>366.1</v>
      </c>
      <c r="AE27" t="n">
        <v>220.5</v>
      </c>
      <c r="AF27" t="n">
        <v>307.8</v>
      </c>
    </row>
    <row r="28">
      <c r="A28" t="s">
        <v>13</v>
      </c>
      <c r="B28" t="s">
        <v>326</v>
      </c>
      <c r="C28" t="s">
        <v>203</v>
      </c>
      <c r="D28" t="s">
        <v>327</v>
      </c>
      <c r="E28" t="s">
        <v>204</v>
      </c>
      <c r="F28" t="n">
        <v>2.4</v>
      </c>
      <c r="G28" t="n">
        <v>1.1</v>
      </c>
      <c r="H28" t="n">
        <v>20.6</v>
      </c>
      <c r="I28" t="n">
        <v>43.3</v>
      </c>
      <c r="J28" t="n">
        <v>49.3</v>
      </c>
      <c r="K28" t="n">
        <v>67</v>
      </c>
      <c r="L28" t="n">
        <v>22.9</v>
      </c>
      <c r="M28" t="n">
        <v>166.9</v>
      </c>
      <c r="N28" t="n">
        <v>86.1</v>
      </c>
      <c r="O28" t="n">
        <v>178.1</v>
      </c>
      <c r="P28" t="n">
        <v>258.2</v>
      </c>
      <c r="Q28" t="n">
        <v>162.4</v>
      </c>
      <c r="R28" t="n">
        <v>137</v>
      </c>
      <c r="S28" t="n">
        <v>805</v>
      </c>
      <c r="T28" t="n">
        <v>319.2</v>
      </c>
      <c r="U28" t="n">
        <v>602.6</v>
      </c>
      <c r="V28" t="n">
        <v>432</v>
      </c>
      <c r="W28" t="n">
        <v>103.4</v>
      </c>
      <c r="X28" t="n">
        <v>101.3</v>
      </c>
      <c r="Y28" t="n">
        <v>35.8</v>
      </c>
      <c r="Z28" t="n">
        <v>935.6</v>
      </c>
      <c r="AA28" t="n">
        <v>473.2</v>
      </c>
      <c r="AB28" t="n">
        <v>184.8</v>
      </c>
      <c r="AC28" t="n">
        <v>205.4</v>
      </c>
      <c r="AD28" t="n">
        <v>69.8</v>
      </c>
      <c r="AE28" t="n">
        <v>267.4</v>
      </c>
      <c r="AF28" t="n">
        <v>270.6</v>
      </c>
    </row>
    <row r="29">
      <c r="A29" t="s">
        <v>13</v>
      </c>
      <c r="B29" t="s">
        <v>328</v>
      </c>
      <c r="C29" t="s">
        <v>203</v>
      </c>
      <c r="D29" t="s">
        <v>329</v>
      </c>
      <c r="E29" t="s">
        <v>204</v>
      </c>
      <c r="F29" t="n">
        <v>1</v>
      </c>
      <c r="G29" t="n">
        <v>0.4</v>
      </c>
      <c r="H29" t="n">
        <v>8.4</v>
      </c>
      <c r="I29" t="n">
        <v>17.6</v>
      </c>
      <c r="J29" t="n">
        <v>31.5</v>
      </c>
      <c r="K29" t="n">
        <v>63.6</v>
      </c>
      <c r="L29" t="n">
        <v>17.9</v>
      </c>
      <c r="M29" t="n">
        <v>29.9</v>
      </c>
      <c r="N29" t="n">
        <v>16.9</v>
      </c>
      <c r="O29" t="n">
        <v>36.9</v>
      </c>
      <c r="P29" t="n">
        <v>56.2</v>
      </c>
      <c r="Q29" t="n">
        <v>53.5</v>
      </c>
      <c r="R29" t="n">
        <v>44.9</v>
      </c>
      <c r="S29" t="n">
        <v>525.9</v>
      </c>
      <c r="T29" t="n">
        <v>113.7</v>
      </c>
      <c r="U29" t="n">
        <v>442.2</v>
      </c>
      <c r="V29" t="n">
        <v>294.3</v>
      </c>
      <c r="W29" t="n">
        <v>60.9</v>
      </c>
      <c r="X29" t="n">
        <v>59.7</v>
      </c>
      <c r="Y29" t="n">
        <v>32</v>
      </c>
      <c r="Z29" t="n">
        <v>434.3</v>
      </c>
      <c r="AA29" t="n">
        <v>337.1</v>
      </c>
      <c r="AB29" t="n">
        <v>42.8</v>
      </c>
      <c r="AC29" t="n">
        <v>37.4</v>
      </c>
      <c r="AD29" t="n">
        <v>49.9</v>
      </c>
      <c r="AE29" t="n">
        <v>102.9</v>
      </c>
      <c r="AF29" t="n">
        <v>51.1</v>
      </c>
    </row>
    <row r="30">
      <c r="A30" t="s">
        <v>13</v>
      </c>
      <c r="B30" t="s">
        <v>330</v>
      </c>
      <c r="C30" t="s">
        <v>203</v>
      </c>
      <c r="D30" t="s">
        <v>331</v>
      </c>
      <c r="E30" t="s">
        <v>204</v>
      </c>
      <c r="F30" t="n">
        <v>0</v>
      </c>
      <c r="G30" t="n">
        <v>0</v>
      </c>
      <c r="H30" t="n">
        <v>0.2</v>
      </c>
      <c r="I30" t="n">
        <v>0.5</v>
      </c>
      <c r="J30" t="n">
        <v>0</v>
      </c>
      <c r="K30" t="n">
        <v>0</v>
      </c>
      <c r="L30" t="n">
        <v>0.7</v>
      </c>
      <c r="M30" t="n">
        <v>0.2</v>
      </c>
      <c r="N30" t="n">
        <v>0.3</v>
      </c>
      <c r="O30" t="n">
        <v>0.9</v>
      </c>
      <c r="P30" t="n">
        <v>1.1</v>
      </c>
      <c r="Q30" t="n">
        <v>6.7</v>
      </c>
      <c r="R30" t="n">
        <v>1.4</v>
      </c>
      <c r="S30" t="n">
        <v>1.8</v>
      </c>
      <c r="T30" t="n">
        <v>0</v>
      </c>
      <c r="U30" t="n">
        <v>0.4</v>
      </c>
      <c r="V30" t="n">
        <v>1.3</v>
      </c>
      <c r="W30" t="n">
        <v>0.2</v>
      </c>
      <c r="X30" t="n">
        <v>0.2</v>
      </c>
      <c r="Y30" t="n">
        <v>1.1</v>
      </c>
      <c r="Z30" t="n">
        <v>0.2</v>
      </c>
      <c r="AA30" t="n">
        <v>-1.8</v>
      </c>
      <c r="AB30" t="n">
        <v>1.1</v>
      </c>
      <c r="AC30" t="n">
        <v>3.6</v>
      </c>
      <c r="AD30" t="n">
        <v>0</v>
      </c>
      <c r="AE30" t="n">
        <v>0</v>
      </c>
      <c r="AF30" t="n">
        <v>0.4</v>
      </c>
    </row>
    <row r="31">
      <c r="A31" t="s">
        <v>13</v>
      </c>
      <c r="B31" t="s">
        <v>332</v>
      </c>
      <c r="C31" t="s">
        <v>203</v>
      </c>
      <c r="D31" t="s">
        <v>333</v>
      </c>
      <c r="E31" t="s">
        <v>204</v>
      </c>
      <c r="F31" t="n">
        <v>0</v>
      </c>
      <c r="G31" t="n">
        <v>0</v>
      </c>
      <c r="H31" t="n">
        <v>0.1</v>
      </c>
      <c r="I31" t="n">
        <v>0.1</v>
      </c>
      <c r="J31" t="n">
        <v>0.1</v>
      </c>
      <c r="K31" t="n">
        <v>0.3</v>
      </c>
      <c r="L31" t="n">
        <v>0.3</v>
      </c>
      <c r="M31" t="n">
        <v>0.5</v>
      </c>
      <c r="N31" t="n">
        <v>0.3</v>
      </c>
      <c r="O31" t="n">
        <v>9</v>
      </c>
      <c r="P31" t="n">
        <v>3.2</v>
      </c>
      <c r="Q31" t="n">
        <v>1.2</v>
      </c>
      <c r="R31" t="n">
        <v>0</v>
      </c>
      <c r="S31" t="n">
        <v>1.8</v>
      </c>
      <c r="T31" t="n">
        <v>2</v>
      </c>
      <c r="U31" t="n">
        <v>2.5</v>
      </c>
      <c r="V31" t="n">
        <v>2.1</v>
      </c>
      <c r="W31" t="n">
        <v>5.1</v>
      </c>
      <c r="X31" t="n">
        <v>5</v>
      </c>
      <c r="Y31" t="n">
        <v>-47.3</v>
      </c>
      <c r="Z31" t="n">
        <v>127.8</v>
      </c>
      <c r="AA31" t="n">
        <v>2.8</v>
      </c>
      <c r="AB31" t="n">
        <v>0.4</v>
      </c>
      <c r="AC31" t="n">
        <v>4.1</v>
      </c>
      <c r="AD31" t="n">
        <v>0</v>
      </c>
      <c r="AE31" t="n">
        <v>0.5</v>
      </c>
      <c r="AF31" t="n">
        <v>33.5</v>
      </c>
    </row>
    <row r="32">
      <c r="A32" t="s">
        <v>13</v>
      </c>
      <c r="B32" t="s">
        <v>334</v>
      </c>
      <c r="C32" t="s">
        <v>203</v>
      </c>
      <c r="D32" t="s">
        <v>335</v>
      </c>
      <c r="E32" t="s">
        <v>204</v>
      </c>
      <c r="F32" t="n">
        <v>1.3</v>
      </c>
      <c r="G32" t="n">
        <v>0.6</v>
      </c>
      <c r="H32" t="n">
        <v>11.2</v>
      </c>
      <c r="I32" t="n">
        <v>23.6</v>
      </c>
      <c r="J32" t="n">
        <v>16.4</v>
      </c>
      <c r="K32" t="n">
        <v>3.1</v>
      </c>
      <c r="L32" t="n">
        <v>3.9</v>
      </c>
      <c r="M32" t="n">
        <v>135.3</v>
      </c>
      <c r="N32" t="n">
        <v>67.8</v>
      </c>
      <c r="O32" t="n">
        <v>130.4</v>
      </c>
      <c r="P32" t="n">
        <v>195</v>
      </c>
      <c r="Q32" t="n">
        <v>94.9</v>
      </c>
      <c r="R32" t="n">
        <v>77.8</v>
      </c>
      <c r="S32" t="n">
        <v>268.3</v>
      </c>
      <c r="T32" t="n">
        <v>195.5</v>
      </c>
      <c r="U32" t="n">
        <v>156.3</v>
      </c>
      <c r="V32" t="n">
        <v>129</v>
      </c>
      <c r="W32" t="n">
        <v>36.8</v>
      </c>
      <c r="X32" t="n">
        <v>36.1</v>
      </c>
      <c r="Y32" t="n">
        <v>50</v>
      </c>
      <c r="Z32" t="n">
        <v>363.6</v>
      </c>
      <c r="AA32" t="n">
        <v>124.6</v>
      </c>
      <c r="AB32" t="n">
        <v>137.5</v>
      </c>
      <c r="AC32" t="n">
        <v>131.4</v>
      </c>
      <c r="AD32" t="n">
        <v>13.3</v>
      </c>
      <c r="AE32" t="n">
        <v>151.5</v>
      </c>
      <c r="AF32" t="n">
        <v>184.2</v>
      </c>
    </row>
    <row r="33">
      <c r="A33" t="s">
        <v>13</v>
      </c>
      <c r="B33" t="s">
        <v>336</v>
      </c>
      <c r="C33" t="s">
        <v>203</v>
      </c>
      <c r="D33" t="s">
        <v>337</v>
      </c>
      <c r="E33" t="s">
        <v>204</v>
      </c>
      <c r="F33" t="n">
        <v>0.1</v>
      </c>
      <c r="G33" t="n">
        <v>0</v>
      </c>
      <c r="H33" t="n">
        <v>0.7</v>
      </c>
      <c r="I33" t="n">
        <v>1.5</v>
      </c>
      <c r="J33" t="n">
        <v>1.3</v>
      </c>
      <c r="K33" t="n">
        <v>0</v>
      </c>
      <c r="L33" t="n">
        <v>0.1</v>
      </c>
      <c r="M33" t="n">
        <v>1</v>
      </c>
      <c r="N33" t="n">
        <v>0.8</v>
      </c>
      <c r="O33" t="n">
        <v>0.9</v>
      </c>
      <c r="P33" t="n">
        <v>2.7</v>
      </c>
      <c r="Q33" t="n">
        <v>6.1</v>
      </c>
      <c r="R33" t="n">
        <v>12.9</v>
      </c>
      <c r="S33" t="n">
        <v>7.2</v>
      </c>
      <c r="T33" t="n">
        <v>8</v>
      </c>
      <c r="U33" t="n">
        <v>1.2</v>
      </c>
      <c r="V33" t="n">
        <v>5.3</v>
      </c>
      <c r="W33" t="n">
        <v>0.4</v>
      </c>
      <c r="X33" t="n">
        <v>0.3</v>
      </c>
      <c r="Y33" t="n">
        <v>0</v>
      </c>
      <c r="Z33" t="n">
        <v>9.7</v>
      </c>
      <c r="AA33" t="n">
        <v>10.5</v>
      </c>
      <c r="AB33" t="n">
        <v>3</v>
      </c>
      <c r="AC33" t="n">
        <v>28.9</v>
      </c>
      <c r="AD33" t="n">
        <v>6.6</v>
      </c>
      <c r="AE33" t="n">
        <v>12.5</v>
      </c>
      <c r="AF33" t="n">
        <v>1.4</v>
      </c>
    </row>
    <row r="34">
      <c r="A34" t="s">
        <v>13</v>
      </c>
      <c r="B34" t="s">
        <v>338</v>
      </c>
      <c r="C34" t="s">
        <v>203</v>
      </c>
      <c r="D34" t="s">
        <v>339</v>
      </c>
      <c r="E34" t="s">
        <v>204</v>
      </c>
      <c r="F34" t="n">
        <v>1.2</v>
      </c>
      <c r="G34" t="n">
        <v>0.5</v>
      </c>
      <c r="H34" t="n">
        <v>10.4</v>
      </c>
      <c r="I34" t="n">
        <v>21.8</v>
      </c>
      <c r="J34" t="n">
        <v>57</v>
      </c>
      <c r="K34" t="n">
        <v>39.3</v>
      </c>
      <c r="L34" t="n">
        <v>54</v>
      </c>
      <c r="M34" t="n">
        <v>199.2</v>
      </c>
      <c r="N34" t="n">
        <v>147.5</v>
      </c>
      <c r="O34" t="n">
        <v>246.9</v>
      </c>
      <c r="P34" t="n">
        <v>324.2</v>
      </c>
      <c r="Q34" t="n">
        <v>165.9</v>
      </c>
      <c r="R34" t="n">
        <v>164.3</v>
      </c>
      <c r="S34" t="n">
        <v>329.1</v>
      </c>
      <c r="T34" t="n">
        <v>287.6</v>
      </c>
      <c r="U34" t="n">
        <v>435.1</v>
      </c>
      <c r="V34" t="n">
        <v>251.5</v>
      </c>
      <c r="W34" t="n">
        <v>349.1</v>
      </c>
      <c r="X34" t="n">
        <v>342.4</v>
      </c>
      <c r="Y34" t="n">
        <v>139.9</v>
      </c>
      <c r="Z34" t="n">
        <v>288.9</v>
      </c>
      <c r="AA34" t="n">
        <v>242.3</v>
      </c>
      <c r="AB34" t="n">
        <v>475.1</v>
      </c>
      <c r="AC34" t="n">
        <v>436.1</v>
      </c>
      <c r="AD34" t="n">
        <v>345.7</v>
      </c>
      <c r="AE34" t="n">
        <v>271</v>
      </c>
      <c r="AF34" t="n">
        <v>146.5</v>
      </c>
    </row>
    <row r="35">
      <c r="A35" t="s">
        <v>13</v>
      </c>
      <c r="B35" t="s">
        <v>340</v>
      </c>
      <c r="C35" t="s">
        <v>203</v>
      </c>
      <c r="D35" t="s">
        <v>341</v>
      </c>
      <c r="E35" t="s">
        <v>204</v>
      </c>
      <c r="F35" t="n">
        <v>0.6</v>
      </c>
      <c r="G35" t="n">
        <v>0.3</v>
      </c>
      <c r="H35" t="n">
        <v>5</v>
      </c>
      <c r="I35" t="n">
        <v>10.4</v>
      </c>
      <c r="J35" t="n">
        <v>20.5</v>
      </c>
      <c r="K35" t="n">
        <v>26.4</v>
      </c>
      <c r="L35" t="n">
        <v>38.2</v>
      </c>
      <c r="M35" t="n">
        <v>61.2</v>
      </c>
      <c r="N35" t="n">
        <v>108.8</v>
      </c>
      <c r="O35" t="n">
        <v>106.8</v>
      </c>
      <c r="P35" t="n">
        <v>75.1</v>
      </c>
      <c r="Q35" t="n">
        <v>72.4</v>
      </c>
      <c r="R35" t="n">
        <v>102.8</v>
      </c>
      <c r="S35" t="n">
        <v>286.2</v>
      </c>
      <c r="T35" t="n">
        <v>99.8</v>
      </c>
      <c r="U35" t="n">
        <v>228.3</v>
      </c>
      <c r="V35" t="n">
        <v>157.1</v>
      </c>
      <c r="W35" t="n">
        <v>236.1</v>
      </c>
      <c r="X35" t="n">
        <v>231.6</v>
      </c>
      <c r="Y35" t="n">
        <v>149.1</v>
      </c>
      <c r="Z35" t="n">
        <v>53</v>
      </c>
      <c r="AA35" t="n">
        <v>-43.7</v>
      </c>
      <c r="AB35" t="n">
        <v>54.8</v>
      </c>
      <c r="AC35" t="n">
        <v>106.3</v>
      </c>
      <c r="AD35" t="n">
        <v>169.5</v>
      </c>
      <c r="AE35" t="n">
        <v>42.1</v>
      </c>
      <c r="AF35" t="n">
        <v>61.8</v>
      </c>
    </row>
    <row r="36">
      <c r="A36" t="s">
        <v>13</v>
      </c>
      <c r="B36" t="s">
        <v>342</v>
      </c>
      <c r="C36" t="s">
        <v>203</v>
      </c>
      <c r="D36" t="s">
        <v>343</v>
      </c>
      <c r="E36" t="s">
        <v>204</v>
      </c>
      <c r="F36" t="n">
        <v>0.6</v>
      </c>
      <c r="G36" t="n">
        <v>0.3</v>
      </c>
      <c r="H36" t="n">
        <v>5</v>
      </c>
      <c r="I36" t="n">
        <v>10.4</v>
      </c>
      <c r="J36" t="n">
        <v>20.1</v>
      </c>
      <c r="K36" t="n">
        <v>25.8</v>
      </c>
      <c r="L36" t="n">
        <v>28.4</v>
      </c>
      <c r="M36" t="n">
        <v>56.3</v>
      </c>
      <c r="N36" t="n">
        <v>90.7</v>
      </c>
      <c r="O36" t="n">
        <v>103.2</v>
      </c>
      <c r="P36" t="n">
        <v>20</v>
      </c>
      <c r="Q36" t="n">
        <v>12.8</v>
      </c>
      <c r="R36" t="n">
        <v>25.2</v>
      </c>
      <c r="S36" t="n">
        <v>16.1</v>
      </c>
      <c r="T36" t="n">
        <v>27.9</v>
      </c>
      <c r="U36" t="n">
        <v>58.8</v>
      </c>
      <c r="V36" t="n">
        <v>17.8</v>
      </c>
      <c r="W36" t="n">
        <v>15.1</v>
      </c>
      <c r="X36" t="n">
        <v>14.9</v>
      </c>
      <c r="Y36" t="n">
        <v>24.5</v>
      </c>
      <c r="Z36" t="n">
        <v>1.4</v>
      </c>
      <c r="AA36" t="n">
        <v>-8.4</v>
      </c>
      <c r="AB36" t="n">
        <v>3.4</v>
      </c>
      <c r="AC36" t="n">
        <v>7.6</v>
      </c>
      <c r="AD36" t="n">
        <v>10.3</v>
      </c>
      <c r="AE36" t="n">
        <v>6.9</v>
      </c>
      <c r="AF36" t="n">
        <v>9.3</v>
      </c>
    </row>
    <row r="37">
      <c r="A37" t="s">
        <v>13</v>
      </c>
      <c r="B37" t="s">
        <v>344</v>
      </c>
      <c r="C37" t="s">
        <v>203</v>
      </c>
      <c r="D37" t="s">
        <v>345</v>
      </c>
      <c r="E37" t="s">
        <v>204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1.3</v>
      </c>
      <c r="M37" t="n">
        <v>3.2</v>
      </c>
      <c r="N37" t="n">
        <v>2.3</v>
      </c>
      <c r="O37" t="n">
        <v>0</v>
      </c>
      <c r="P37" t="n">
        <v>51.3</v>
      </c>
      <c r="Q37" t="n">
        <v>57.2</v>
      </c>
      <c r="R37" t="n">
        <v>68.3</v>
      </c>
      <c r="S37" t="n">
        <v>259.4</v>
      </c>
      <c r="T37" t="n">
        <v>55.9</v>
      </c>
      <c r="U37" t="n">
        <v>150.7</v>
      </c>
      <c r="V37" t="n">
        <v>130.3</v>
      </c>
      <c r="W37" t="n">
        <v>212.4</v>
      </c>
      <c r="X37" t="n">
        <v>208.3</v>
      </c>
      <c r="Y37" t="n">
        <v>89.5</v>
      </c>
      <c r="Z37" t="n">
        <v>34.4</v>
      </c>
      <c r="AA37" t="n">
        <v>-83.1</v>
      </c>
      <c r="AB37" t="n">
        <v>25.4</v>
      </c>
      <c r="AC37" t="n">
        <v>49.6</v>
      </c>
      <c r="AD37" t="n">
        <v>50.8</v>
      </c>
      <c r="AE37" t="n">
        <v>16.7</v>
      </c>
      <c r="AF37" t="n">
        <v>25.5</v>
      </c>
    </row>
    <row r="38">
      <c r="A38" t="s">
        <v>13</v>
      </c>
      <c r="B38" t="s">
        <v>346</v>
      </c>
      <c r="C38" t="s">
        <v>203</v>
      </c>
      <c r="D38" t="s">
        <v>347</v>
      </c>
      <c r="E38" t="s">
        <v>204</v>
      </c>
      <c r="F38" t="n">
        <v>0</v>
      </c>
      <c r="G38" t="n">
        <v>0</v>
      </c>
      <c r="H38" t="n">
        <v>0</v>
      </c>
      <c r="I38" t="n">
        <v>0</v>
      </c>
      <c r="J38" t="n">
        <v>0.4</v>
      </c>
      <c r="K38" t="n">
        <v>0.6</v>
      </c>
      <c r="L38" t="n">
        <v>8.5</v>
      </c>
      <c r="M38" t="n">
        <v>1.7</v>
      </c>
      <c r="N38" t="n">
        <v>15.8</v>
      </c>
      <c r="O38" t="n">
        <v>3.6</v>
      </c>
      <c r="P38" t="n">
        <v>3.8</v>
      </c>
      <c r="Q38" t="n">
        <v>2.4</v>
      </c>
      <c r="R38" t="n">
        <v>9.3</v>
      </c>
      <c r="S38" t="n">
        <v>10.7</v>
      </c>
      <c r="T38" t="n">
        <v>16</v>
      </c>
      <c r="U38" t="n">
        <v>18.8</v>
      </c>
      <c r="V38" t="n">
        <v>9</v>
      </c>
      <c r="W38" t="n">
        <v>8.6</v>
      </c>
      <c r="X38" t="n">
        <v>8.4</v>
      </c>
      <c r="Y38" t="n">
        <v>35.1</v>
      </c>
      <c r="Z38" t="n">
        <v>17.2</v>
      </c>
      <c r="AA38" t="n">
        <v>47.8</v>
      </c>
      <c r="AB38" t="n">
        <v>26</v>
      </c>
      <c r="AC38" t="n">
        <v>49.1</v>
      </c>
      <c r="AD38" t="n">
        <v>108.4</v>
      </c>
      <c r="AE38" t="n">
        <v>18.5</v>
      </c>
      <c r="AF38" t="n">
        <v>27</v>
      </c>
    </row>
    <row r="39">
      <c r="A39" t="s">
        <v>13</v>
      </c>
      <c r="B39" t="s">
        <v>348</v>
      </c>
      <c r="C39" t="s">
        <v>203</v>
      </c>
      <c r="D39" t="s">
        <v>349</v>
      </c>
      <c r="E39" t="s">
        <v>204</v>
      </c>
      <c r="F39" t="n">
        <v>2</v>
      </c>
      <c r="G39" t="n">
        <v>0.9</v>
      </c>
      <c r="H39" t="n">
        <v>17.8</v>
      </c>
      <c r="I39" t="n">
        <v>37.2</v>
      </c>
      <c r="J39" t="n">
        <v>15.4</v>
      </c>
      <c r="K39" t="n">
        <v>172.9</v>
      </c>
      <c r="L39" t="n">
        <v>13.4</v>
      </c>
      <c r="M39" t="n">
        <v>15.5</v>
      </c>
      <c r="N39" t="n">
        <v>34.3</v>
      </c>
      <c r="O39" t="n">
        <v>20.3</v>
      </c>
      <c r="P39" t="n">
        <v>28.6</v>
      </c>
      <c r="Q39" t="n">
        <v>40.1</v>
      </c>
      <c r="R39" t="n">
        <v>48.1</v>
      </c>
      <c r="S39" t="n">
        <v>12.7</v>
      </c>
      <c r="T39" t="n">
        <v>123.7</v>
      </c>
      <c r="U39" t="n">
        <v>107.1</v>
      </c>
      <c r="V39" t="n">
        <v>128</v>
      </c>
      <c r="W39" t="n">
        <v>171</v>
      </c>
      <c r="X39" t="n">
        <v>167.7</v>
      </c>
      <c r="Y39" t="n">
        <v>130.4</v>
      </c>
      <c r="Z39" t="n">
        <v>-40.7</v>
      </c>
      <c r="AA39" t="n">
        <v>73.6</v>
      </c>
      <c r="AB39" t="n">
        <v>31.1</v>
      </c>
      <c r="AC39" t="n">
        <v>29.4</v>
      </c>
      <c r="AD39" t="n">
        <v>63.5</v>
      </c>
      <c r="AE39" t="n">
        <v>147.7</v>
      </c>
      <c r="AF39" t="n">
        <v>50.3</v>
      </c>
    </row>
    <row r="40">
      <c r="A40" t="s">
        <v>13</v>
      </c>
      <c r="B40" t="s">
        <v>350</v>
      </c>
      <c r="C40" t="s">
        <v>203</v>
      </c>
      <c r="D40" t="s">
        <v>351</v>
      </c>
      <c r="E40" t="s">
        <v>204</v>
      </c>
      <c r="F40" t="n">
        <v>1.3</v>
      </c>
      <c r="G40" t="n">
        <v>0.6</v>
      </c>
      <c r="H40" t="n">
        <v>11.5</v>
      </c>
      <c r="I40" t="n">
        <v>24</v>
      </c>
      <c r="J40" t="n">
        <v>11.3</v>
      </c>
      <c r="K40" t="n">
        <v>7.6</v>
      </c>
      <c r="L40" t="n">
        <v>11</v>
      </c>
      <c r="M40" t="n">
        <v>59</v>
      </c>
      <c r="N40" t="n">
        <v>14.9</v>
      </c>
      <c r="O40" t="n">
        <v>105.2</v>
      </c>
      <c r="P40" t="n">
        <v>192.3</v>
      </c>
      <c r="Q40" t="n">
        <v>252.5</v>
      </c>
      <c r="R40" t="n">
        <v>151.4</v>
      </c>
      <c r="S40" t="n">
        <v>1312.9</v>
      </c>
      <c r="T40" t="n">
        <v>1594.1</v>
      </c>
      <c r="U40" t="n">
        <v>891.4</v>
      </c>
      <c r="V40" t="n">
        <v>1010.5</v>
      </c>
      <c r="W40" t="n">
        <v>1150.7</v>
      </c>
      <c r="X40" t="n">
        <v>1128.6</v>
      </c>
      <c r="Y40" t="n">
        <v>482</v>
      </c>
      <c r="Z40" t="n">
        <v>68.5</v>
      </c>
      <c r="AA40" t="n">
        <v>459.3</v>
      </c>
      <c r="AB40" t="n">
        <v>811.1</v>
      </c>
      <c r="AC40" t="n">
        <v>1072.2</v>
      </c>
      <c r="AD40" t="n">
        <v>580.4</v>
      </c>
      <c r="AE40" t="n">
        <v>624.8</v>
      </c>
      <c r="AF40" t="n">
        <v>589.3</v>
      </c>
    </row>
    <row r="41">
      <c r="A41" t="s">
        <v>13</v>
      </c>
      <c r="B41" t="s">
        <v>352</v>
      </c>
      <c r="C41" t="s">
        <v>203</v>
      </c>
      <c r="D41" t="s">
        <v>353</v>
      </c>
      <c r="E41" t="s">
        <v>204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13</v>
      </c>
      <c r="B42" t="s">
        <v>354</v>
      </c>
      <c r="C42" t="s">
        <v>203</v>
      </c>
      <c r="D42" t="s">
        <v>355</v>
      </c>
      <c r="E42" t="s">
        <v>204</v>
      </c>
      <c r="F42" t="n">
        <v>2.1</v>
      </c>
      <c r="G42" t="n">
        <v>1</v>
      </c>
      <c r="H42" t="n">
        <v>18.3</v>
      </c>
      <c r="I42" t="n">
        <v>38.3</v>
      </c>
      <c r="J42" t="n">
        <v>40</v>
      </c>
      <c r="K42" t="n">
        <v>186.8</v>
      </c>
      <c r="L42" t="n">
        <v>68.1</v>
      </c>
      <c r="M42" t="n">
        <v>60.7</v>
      </c>
      <c r="N42" t="n">
        <v>22.3</v>
      </c>
      <c r="O42" t="n">
        <v>37.4</v>
      </c>
      <c r="P42" t="n">
        <v>53.5</v>
      </c>
      <c r="Q42" t="n">
        <v>43.8</v>
      </c>
      <c r="R42" t="n">
        <v>97.7</v>
      </c>
      <c r="S42" t="n">
        <v>207.5</v>
      </c>
      <c r="T42" t="n">
        <v>123.7</v>
      </c>
      <c r="U42" t="n">
        <v>171.8</v>
      </c>
      <c r="V42" t="n">
        <v>155.8</v>
      </c>
      <c r="W42" t="n">
        <v>149.3</v>
      </c>
      <c r="X42" t="n">
        <v>146.5</v>
      </c>
      <c r="Y42" t="n">
        <v>74.8</v>
      </c>
      <c r="Z42" t="n">
        <v>99</v>
      </c>
      <c r="AA42" t="n">
        <v>96.2</v>
      </c>
      <c r="AB42" t="n">
        <v>29.9</v>
      </c>
      <c r="AC42" t="n">
        <v>104.2</v>
      </c>
      <c r="AD42" t="n">
        <v>78.7</v>
      </c>
      <c r="AE42" t="n">
        <v>67.2</v>
      </c>
      <c r="AF42" t="n">
        <v>102.5</v>
      </c>
    </row>
    <row r="43">
      <c r="A43" t="s">
        <v>13</v>
      </c>
      <c r="B43" t="s">
        <v>356</v>
      </c>
      <c r="C43" t="s">
        <v>203</v>
      </c>
      <c r="D43" t="s">
        <v>357</v>
      </c>
      <c r="E43" t="s">
        <v>204</v>
      </c>
      <c r="F43" t="n">
        <v>3.2</v>
      </c>
      <c r="G43" t="n">
        <v>1.5</v>
      </c>
      <c r="H43" t="n">
        <v>27.6</v>
      </c>
      <c r="I43" t="n">
        <v>57.7</v>
      </c>
      <c r="J43" t="n">
        <v>189.7</v>
      </c>
      <c r="K43" t="n">
        <v>191.7</v>
      </c>
      <c r="L43" t="n">
        <v>74.9</v>
      </c>
      <c r="M43" t="n">
        <v>76.3</v>
      </c>
      <c r="N43" t="n">
        <v>76.6</v>
      </c>
      <c r="O43" t="n">
        <v>310.6</v>
      </c>
      <c r="P43" t="n">
        <v>80</v>
      </c>
      <c r="Q43" t="n">
        <v>315.1</v>
      </c>
      <c r="R43" t="n">
        <v>366.9</v>
      </c>
      <c r="S43" t="n">
        <v>313</v>
      </c>
      <c r="T43" t="n">
        <v>179.6</v>
      </c>
      <c r="U43" t="n">
        <v>265.5</v>
      </c>
      <c r="V43" t="n">
        <v>449.4</v>
      </c>
      <c r="W43" t="n">
        <v>258.2</v>
      </c>
      <c r="X43" t="n">
        <v>253.3</v>
      </c>
      <c r="Y43" t="n">
        <v>206.6</v>
      </c>
      <c r="Z43" t="n">
        <v>421.8</v>
      </c>
      <c r="AA43" t="n">
        <v>160.5</v>
      </c>
      <c r="AB43" t="n">
        <v>85.2</v>
      </c>
      <c r="AC43" t="n">
        <v>172.6</v>
      </c>
      <c r="AD43" t="n">
        <v>126.1</v>
      </c>
      <c r="AE43" t="n">
        <v>116.6</v>
      </c>
      <c r="AF43" t="n">
        <v>135.5</v>
      </c>
    </row>
    <row r="44">
      <c r="A44" t="s">
        <v>13</v>
      </c>
      <c r="B44" t="s">
        <v>358</v>
      </c>
      <c r="C44" t="s">
        <v>203</v>
      </c>
      <c r="D44" t="s">
        <v>359</v>
      </c>
      <c r="E44" t="s">
        <v>204</v>
      </c>
      <c r="F44" t="n">
        <v>33</v>
      </c>
      <c r="G44" t="n">
        <v>15.3</v>
      </c>
      <c r="H44" t="n">
        <v>287.8</v>
      </c>
      <c r="I44" t="n">
        <v>602.8</v>
      </c>
      <c r="J44" t="n">
        <v>680.7</v>
      </c>
      <c r="K44" t="n">
        <v>1195.7</v>
      </c>
      <c r="L44" t="n">
        <v>1241.9</v>
      </c>
      <c r="M44" t="n">
        <v>1408.8</v>
      </c>
      <c r="N44" t="n">
        <v>1280.9</v>
      </c>
      <c r="O44" t="n">
        <v>2194.9</v>
      </c>
      <c r="P44" t="n">
        <v>2636.9</v>
      </c>
      <c r="Q44" t="n">
        <v>2927.7</v>
      </c>
      <c r="R44" t="n">
        <v>3202.7</v>
      </c>
      <c r="S44" t="n">
        <v>5120</v>
      </c>
      <c r="T44" t="n">
        <v>5555.9</v>
      </c>
      <c r="U44" t="n">
        <v>5489</v>
      </c>
      <c r="V44" t="n">
        <v>3860.4</v>
      </c>
      <c r="W44" t="n">
        <v>4835.8</v>
      </c>
      <c r="X44" t="n">
        <v>4743</v>
      </c>
      <c r="Y44" t="n">
        <v>4587.2</v>
      </c>
      <c r="Z44" t="n">
        <v>6482.9</v>
      </c>
      <c r="AA44" t="n">
        <v>5289.3</v>
      </c>
      <c r="AB44" t="n">
        <v>3940.7</v>
      </c>
      <c r="AC44" t="n">
        <v>3820</v>
      </c>
      <c r="AD44" t="n">
        <v>2958.9</v>
      </c>
      <c r="AE44" t="n">
        <v>2878</v>
      </c>
      <c r="AF44" t="n">
        <v>2827.6</v>
      </c>
    </row>
    <row r="45">
      <c r="A45" t="s">
        <v>13</v>
      </c>
      <c r="B45" t="s">
        <v>360</v>
      </c>
      <c r="C45" t="s">
        <v>203</v>
      </c>
      <c r="D45" t="s">
        <v>361</v>
      </c>
      <c r="E45" t="s">
        <v>204</v>
      </c>
      <c r="F45" t="n">
        <v>32.2</v>
      </c>
      <c r="G45" t="n">
        <v>14.9</v>
      </c>
      <c r="H45" t="n">
        <v>280.7</v>
      </c>
      <c r="I45" t="n">
        <v>587.9</v>
      </c>
      <c r="J45" t="n">
        <v>662.4</v>
      </c>
      <c r="K45" t="n">
        <v>1151.9</v>
      </c>
      <c r="L45" t="n">
        <v>1183.6</v>
      </c>
      <c r="M45" t="n">
        <v>1362.4</v>
      </c>
      <c r="N45" t="n">
        <v>1245.9</v>
      </c>
      <c r="O45" t="n">
        <v>2131.7</v>
      </c>
      <c r="P45" t="n">
        <v>2562.2</v>
      </c>
      <c r="Q45" t="n">
        <v>2862</v>
      </c>
      <c r="R45" t="n">
        <v>3134.7</v>
      </c>
      <c r="S45" t="n">
        <v>4920.4</v>
      </c>
      <c r="T45" t="n">
        <v>5416.3</v>
      </c>
      <c r="U45" t="n">
        <v>5339.7</v>
      </c>
      <c r="V45" t="n">
        <v>3723.3</v>
      </c>
      <c r="W45" t="n">
        <v>4549.4</v>
      </c>
      <c r="X45" t="n">
        <v>4462.1</v>
      </c>
      <c r="Y45" t="n">
        <v>4163.8</v>
      </c>
      <c r="Z45" t="n">
        <v>6219.1</v>
      </c>
      <c r="AA45" t="n">
        <v>5085.8</v>
      </c>
      <c r="AB45" t="n">
        <v>3591.7</v>
      </c>
      <c r="AC45" t="n">
        <v>3469.6</v>
      </c>
      <c r="AD45" t="n">
        <v>2744</v>
      </c>
      <c r="AE45" t="n">
        <v>2662.4</v>
      </c>
      <c r="AF45" t="n">
        <v>2628.5</v>
      </c>
    </row>
    <row r="46">
      <c r="A46" t="s">
        <v>13</v>
      </c>
      <c r="B46" t="s">
        <v>362</v>
      </c>
      <c r="C46" t="s">
        <v>203</v>
      </c>
      <c r="D46" t="s">
        <v>363</v>
      </c>
      <c r="E46" t="s">
        <v>204</v>
      </c>
      <c r="F46" t="n">
        <v>1.1</v>
      </c>
      <c r="G46" t="n">
        <v>0.5</v>
      </c>
      <c r="H46" t="n">
        <v>9.3</v>
      </c>
      <c r="I46" t="n">
        <v>19.4</v>
      </c>
      <c r="J46" t="n">
        <v>149.7</v>
      </c>
      <c r="K46" t="n">
        <v>4.9</v>
      </c>
      <c r="L46" t="n">
        <v>6.8</v>
      </c>
      <c r="M46" t="n">
        <v>15.6</v>
      </c>
      <c r="N46" t="n">
        <v>54.3</v>
      </c>
      <c r="O46" t="n">
        <v>273.2</v>
      </c>
      <c r="P46" t="n">
        <v>26.5</v>
      </c>
      <c r="Q46" t="n">
        <v>271.3</v>
      </c>
      <c r="R46" t="n">
        <v>269.2</v>
      </c>
      <c r="S46" t="n">
        <v>105.5</v>
      </c>
      <c r="T46" t="n">
        <v>55.9</v>
      </c>
      <c r="U46" t="n">
        <v>93.7</v>
      </c>
      <c r="V46" t="n">
        <v>293.6</v>
      </c>
      <c r="W46" t="n">
        <v>108.9</v>
      </c>
      <c r="X46" t="n">
        <v>106.8</v>
      </c>
      <c r="Y46" t="n">
        <v>131.8</v>
      </c>
      <c r="Z46" t="n">
        <v>322.8</v>
      </c>
      <c r="AA46" t="n">
        <v>64.3</v>
      </c>
      <c r="AB46" t="n">
        <v>55.3</v>
      </c>
      <c r="AC46" t="n">
        <v>68.4</v>
      </c>
      <c r="AD46" t="n">
        <v>47.4</v>
      </c>
      <c r="AE46" t="n">
        <v>49.4</v>
      </c>
      <c r="AF46" t="n">
        <v>33</v>
      </c>
    </row>
    <row r="47">
      <c r="A47" t="s">
        <v>13</v>
      </c>
      <c r="B47" t="s">
        <v>364</v>
      </c>
      <c r="C47" t="s">
        <v>203</v>
      </c>
      <c r="D47" t="s">
        <v>365</v>
      </c>
      <c r="E47" t="s">
        <v>204</v>
      </c>
      <c r="F47" t="n">
        <v>31.4</v>
      </c>
      <c r="G47" t="n">
        <v>14.4</v>
      </c>
      <c r="H47" t="n">
        <v>272.2</v>
      </c>
      <c r="I47" t="n">
        <v>570.4</v>
      </c>
      <c r="J47" t="n">
        <v>607.9</v>
      </c>
      <c r="K47" t="n">
        <v>375.5</v>
      </c>
      <c r="L47" t="n">
        <v>426.5</v>
      </c>
      <c r="M47" t="n">
        <v>179.2</v>
      </c>
      <c r="N47" t="n">
        <v>515.4</v>
      </c>
      <c r="O47" t="n">
        <v>660.8</v>
      </c>
      <c r="P47" t="n">
        <v>586.7</v>
      </c>
      <c r="Q47" t="n">
        <v>786.1</v>
      </c>
      <c r="R47" t="n">
        <v>1151</v>
      </c>
      <c r="S47" t="n">
        <v>1969.9</v>
      </c>
      <c r="T47" t="n">
        <v>2496</v>
      </c>
      <c r="U47" t="n">
        <v>1901.9</v>
      </c>
      <c r="V47" t="n">
        <v>1825.4</v>
      </c>
      <c r="W47" t="n">
        <v>2146.6</v>
      </c>
      <c r="X47" t="n">
        <v>2105.3</v>
      </c>
      <c r="Y47" t="n">
        <v>2480.4</v>
      </c>
      <c r="Z47" t="n">
        <v>1046.8</v>
      </c>
      <c r="AA47" t="n">
        <v>297.6</v>
      </c>
      <c r="AB47" t="n">
        <v>1217.4</v>
      </c>
      <c r="AC47" t="n">
        <v>1492.4</v>
      </c>
      <c r="AD47" t="n">
        <v>2428.3</v>
      </c>
      <c r="AE47" t="n">
        <v>2504.7</v>
      </c>
      <c r="AF47" t="n">
        <v>1901.1</v>
      </c>
    </row>
    <row r="48">
      <c r="A48" t="s">
        <v>13</v>
      </c>
      <c r="B48" t="s">
        <v>366</v>
      </c>
      <c r="C48" t="s">
        <v>203</v>
      </c>
      <c r="D48" t="s">
        <v>367</v>
      </c>
      <c r="E48" t="s">
        <v>204</v>
      </c>
      <c r="F48" t="n">
        <v>33.8</v>
      </c>
      <c r="G48" t="n">
        <v>15.5</v>
      </c>
      <c r="H48" t="n">
        <v>292.9</v>
      </c>
      <c r="I48" t="n">
        <v>613.8</v>
      </c>
      <c r="J48" t="n">
        <v>613.8</v>
      </c>
      <c r="K48" t="n">
        <v>419.6</v>
      </c>
      <c r="L48" t="n">
        <v>481.9</v>
      </c>
      <c r="M48" t="n">
        <v>259.6</v>
      </c>
      <c r="N48" t="n">
        <v>677.9</v>
      </c>
      <c r="O48" t="n">
        <v>853.7</v>
      </c>
      <c r="P48" t="n">
        <v>953.5</v>
      </c>
      <c r="Q48" t="n">
        <v>1077.6</v>
      </c>
      <c r="R48" t="n">
        <v>1675.9</v>
      </c>
      <c r="S48" t="n">
        <v>2510.5</v>
      </c>
      <c r="T48" t="n">
        <v>2825.4</v>
      </c>
      <c r="U48" t="n">
        <v>2026.4</v>
      </c>
      <c r="V48" t="n">
        <v>1997</v>
      </c>
      <c r="W48" t="n">
        <v>2310.7</v>
      </c>
      <c r="X48" t="n">
        <v>2266.3</v>
      </c>
      <c r="Y48" t="n">
        <v>2580.6</v>
      </c>
      <c r="Z48" t="n">
        <v>1282.9</v>
      </c>
      <c r="AA48" t="n">
        <v>604.1</v>
      </c>
      <c r="AB48" t="n">
        <v>1305</v>
      </c>
      <c r="AC48" t="n">
        <v>1577.7</v>
      </c>
      <c r="AD48" t="n">
        <v>2511.8</v>
      </c>
      <c r="AE48" t="n">
        <v>2682.6</v>
      </c>
      <c r="AF48" t="n">
        <v>2045</v>
      </c>
    </row>
    <row r="49">
      <c r="A49" t="s">
        <v>13</v>
      </c>
      <c r="B49" t="s">
        <v>368</v>
      </c>
      <c r="C49" t="s">
        <v>203</v>
      </c>
      <c r="D49" t="s">
        <v>369</v>
      </c>
      <c r="E49" t="s">
        <v>204</v>
      </c>
      <c r="F49" t="n">
        <v>2</v>
      </c>
      <c r="G49" t="n">
        <v>0.9</v>
      </c>
      <c r="H49" t="n">
        <v>17.1</v>
      </c>
      <c r="I49" t="n">
        <v>35.7</v>
      </c>
      <c r="J49" t="n">
        <v>0.5</v>
      </c>
      <c r="K49" t="n">
        <v>29.1</v>
      </c>
      <c r="L49" t="n">
        <v>18.7</v>
      </c>
      <c r="M49" t="n">
        <v>11.6</v>
      </c>
      <c r="N49" t="n">
        <v>90.3</v>
      </c>
      <c r="O49" t="n">
        <v>118.1</v>
      </c>
      <c r="P49" t="n">
        <v>231.3</v>
      </c>
      <c r="Q49" t="n">
        <v>172.3</v>
      </c>
      <c r="R49" t="n">
        <v>395.4</v>
      </c>
      <c r="S49" t="n">
        <v>459.6</v>
      </c>
      <c r="T49" t="n">
        <v>265.6</v>
      </c>
      <c r="U49" t="n">
        <v>39.3</v>
      </c>
      <c r="V49" t="n">
        <v>118.6</v>
      </c>
      <c r="W49" t="n">
        <v>80.1</v>
      </c>
      <c r="X49" t="n">
        <v>78.6</v>
      </c>
      <c r="Y49" t="n">
        <v>21.2</v>
      </c>
      <c r="Z49" t="n">
        <v>135.3</v>
      </c>
      <c r="AA49" t="n">
        <v>78.9</v>
      </c>
      <c r="AB49" t="n">
        <v>23.3</v>
      </c>
      <c r="AC49" t="n">
        <v>44</v>
      </c>
      <c r="AD49" t="n">
        <v>28.7</v>
      </c>
      <c r="AE49" t="n">
        <v>29.9</v>
      </c>
      <c r="AF49" t="n">
        <v>46.6</v>
      </c>
    </row>
    <row r="50">
      <c r="A50" t="s">
        <v>13</v>
      </c>
      <c r="B50" t="s">
        <v>370</v>
      </c>
      <c r="C50" t="s">
        <v>203</v>
      </c>
      <c r="D50" t="s">
        <v>371</v>
      </c>
      <c r="E50" t="s">
        <v>204</v>
      </c>
      <c r="F50" t="n">
        <v>0.4</v>
      </c>
      <c r="G50" t="n">
        <v>0.2</v>
      </c>
      <c r="H50" t="n">
        <v>3.6</v>
      </c>
      <c r="I50" t="n">
        <v>7.6</v>
      </c>
      <c r="J50" t="n">
        <v>5.9</v>
      </c>
      <c r="K50" t="n">
        <v>15</v>
      </c>
      <c r="L50" t="n">
        <v>36.6</v>
      </c>
      <c r="M50" t="n">
        <v>68.8</v>
      </c>
      <c r="N50" t="n">
        <v>72.1</v>
      </c>
      <c r="O50" t="n">
        <v>74.8</v>
      </c>
      <c r="P50" t="n">
        <v>135.6</v>
      </c>
      <c r="Q50" t="n">
        <v>119.3</v>
      </c>
      <c r="R50" t="n">
        <v>129.7</v>
      </c>
      <c r="S50" t="n">
        <v>80.9</v>
      </c>
      <c r="T50" t="n">
        <v>63.8</v>
      </c>
      <c r="U50" t="n">
        <v>85.1</v>
      </c>
      <c r="V50" t="n">
        <v>53</v>
      </c>
      <c r="W50" t="n">
        <v>84.1</v>
      </c>
      <c r="X50" t="n">
        <v>82.4</v>
      </c>
      <c r="Y50" t="n">
        <v>79</v>
      </c>
      <c r="Z50" t="n">
        <v>100.9</v>
      </c>
      <c r="AA50" t="n">
        <v>227.6</v>
      </c>
      <c r="AB50" t="n">
        <v>64.2</v>
      </c>
      <c r="AC50" t="n">
        <v>41.3</v>
      </c>
      <c r="AD50" t="n">
        <v>54.9</v>
      </c>
      <c r="AE50" t="n">
        <v>148</v>
      </c>
      <c r="AF50" t="n">
        <v>97.4</v>
      </c>
    </row>
    <row r="51">
      <c r="A51" t="s">
        <v>13</v>
      </c>
      <c r="B51" t="s">
        <v>372</v>
      </c>
      <c r="C51" t="s">
        <v>203</v>
      </c>
      <c r="D51" t="s">
        <v>373</v>
      </c>
      <c r="E51" t="s">
        <v>204</v>
      </c>
      <c r="F51" t="n">
        <v>0.1</v>
      </c>
      <c r="G51" t="n">
        <v>0.1</v>
      </c>
      <c r="H51" t="n">
        <v>1</v>
      </c>
      <c r="I51" t="n">
        <v>2.1</v>
      </c>
      <c r="J51" t="n">
        <v>5.5</v>
      </c>
      <c r="K51" t="n">
        <v>14.9</v>
      </c>
      <c r="L51" t="n">
        <v>36.2</v>
      </c>
      <c r="M51" t="n">
        <v>64.9</v>
      </c>
      <c r="N51" t="n">
        <v>70.4</v>
      </c>
      <c r="O51" t="n">
        <v>74.3</v>
      </c>
      <c r="P51" t="n">
        <v>134.5</v>
      </c>
      <c r="Q51" t="n">
        <v>118.7</v>
      </c>
      <c r="R51" t="n">
        <v>127.5</v>
      </c>
      <c r="S51" t="n">
        <v>79.1</v>
      </c>
      <c r="T51" t="n">
        <v>61.8</v>
      </c>
      <c r="U51" t="n">
        <v>55</v>
      </c>
      <c r="V51" t="n">
        <v>51.2</v>
      </c>
      <c r="W51" t="n">
        <v>82.6</v>
      </c>
      <c r="X51" t="n">
        <v>81</v>
      </c>
      <c r="Y51" t="n">
        <v>76.3</v>
      </c>
      <c r="Z51" t="n">
        <v>79.3</v>
      </c>
      <c r="AA51" t="n">
        <v>222.7</v>
      </c>
      <c r="AB51" t="n">
        <v>62.9</v>
      </c>
      <c r="AC51" t="n">
        <v>40.4</v>
      </c>
      <c r="AD51" t="n">
        <v>49.1</v>
      </c>
      <c r="AE51" t="n">
        <v>139.1</v>
      </c>
      <c r="AF51" t="n">
        <v>95.9</v>
      </c>
    </row>
    <row r="52">
      <c r="A52" t="s">
        <v>13</v>
      </c>
      <c r="B52" t="s">
        <v>374</v>
      </c>
      <c r="C52" t="s">
        <v>203</v>
      </c>
      <c r="D52" t="s">
        <v>375</v>
      </c>
      <c r="E52" t="s">
        <v>204</v>
      </c>
      <c r="F52" t="n">
        <v>0.3</v>
      </c>
      <c r="G52" t="n">
        <v>0.1</v>
      </c>
      <c r="H52" t="n">
        <v>2.6</v>
      </c>
      <c r="I52" t="n">
        <v>5.5</v>
      </c>
      <c r="J52" t="n">
        <v>0.4</v>
      </c>
      <c r="K52" t="n">
        <v>0.1</v>
      </c>
      <c r="L52" t="n">
        <v>0.4</v>
      </c>
      <c r="M52" t="n">
        <v>3.9</v>
      </c>
      <c r="N52" t="n">
        <v>1.7</v>
      </c>
      <c r="O52" t="n">
        <v>0.5</v>
      </c>
      <c r="P52" t="n">
        <v>1.1</v>
      </c>
      <c r="Q52" t="n">
        <v>0.6</v>
      </c>
      <c r="R52" t="n">
        <v>2.2</v>
      </c>
      <c r="S52" t="n">
        <v>1.8</v>
      </c>
      <c r="T52" t="n">
        <v>2</v>
      </c>
      <c r="U52" t="n">
        <v>30.1</v>
      </c>
      <c r="V52" t="n">
        <v>1.8</v>
      </c>
      <c r="W52" t="n">
        <v>1.5</v>
      </c>
      <c r="X52" t="n">
        <v>1.4</v>
      </c>
      <c r="Y52" t="n">
        <v>2.7</v>
      </c>
      <c r="Z52" t="n">
        <v>21.6</v>
      </c>
      <c r="AA52" t="n">
        <v>4.9</v>
      </c>
      <c r="AB52" t="n">
        <v>1.3</v>
      </c>
      <c r="AC52" t="n">
        <v>0.9</v>
      </c>
      <c r="AD52" t="n">
        <v>5.8</v>
      </c>
      <c r="AE52" t="n">
        <v>8.9</v>
      </c>
      <c r="AF52" t="n">
        <v>1.5</v>
      </c>
    </row>
    <row r="53">
      <c r="A53" t="s">
        <v>13</v>
      </c>
      <c r="B53" t="s">
        <v>376</v>
      </c>
      <c r="C53" t="s">
        <v>203</v>
      </c>
      <c r="D53" t="s">
        <v>377</v>
      </c>
      <c r="E53" t="s">
        <v>204</v>
      </c>
      <c r="F53" t="n">
        <v>0.1</v>
      </c>
      <c r="G53" t="n">
        <v>0.1</v>
      </c>
      <c r="H53" t="n">
        <v>1.2</v>
      </c>
      <c r="I53" t="n">
        <v>2.4</v>
      </c>
      <c r="J53" t="n">
        <v>7</v>
      </c>
      <c r="K53" t="n">
        <v>3.4</v>
      </c>
      <c r="L53" t="n">
        <v>9.4</v>
      </c>
      <c r="M53" t="n">
        <v>10.7</v>
      </c>
      <c r="N53" t="n">
        <v>9.7</v>
      </c>
      <c r="O53" t="n">
        <v>45.8</v>
      </c>
      <c r="P53" t="n">
        <v>25.9</v>
      </c>
      <c r="Q53" t="n">
        <v>31</v>
      </c>
      <c r="R53" t="n">
        <v>63.2</v>
      </c>
      <c r="S53" t="n">
        <v>71.5</v>
      </c>
      <c r="T53" t="n">
        <v>70.2</v>
      </c>
      <c r="U53" t="n">
        <v>101.3</v>
      </c>
      <c r="V53" t="n">
        <v>15.3</v>
      </c>
      <c r="W53" t="n">
        <v>143.1</v>
      </c>
      <c r="X53" t="n">
        <v>140.4</v>
      </c>
      <c r="Y53" t="n">
        <v>49.7</v>
      </c>
      <c r="Z53" t="n">
        <v>310.2</v>
      </c>
      <c r="AA53" t="n">
        <v>100.4</v>
      </c>
      <c r="AB53" t="n">
        <v>37.1</v>
      </c>
      <c r="AC53" t="n">
        <v>35.7</v>
      </c>
      <c r="AD53" t="n">
        <v>36.6</v>
      </c>
      <c r="AE53" t="n">
        <v>26.8</v>
      </c>
      <c r="AF53" t="n">
        <v>18.6</v>
      </c>
    </row>
    <row r="54">
      <c r="A54" t="s">
        <v>13</v>
      </c>
      <c r="B54" t="s">
        <v>378</v>
      </c>
      <c r="C54" t="s">
        <v>203</v>
      </c>
      <c r="D54" t="s">
        <v>379</v>
      </c>
      <c r="E54" t="s">
        <v>204</v>
      </c>
      <c r="F54" t="n">
        <v>0.1</v>
      </c>
      <c r="G54" t="n">
        <v>0.1</v>
      </c>
      <c r="H54" t="n">
        <v>1.3</v>
      </c>
      <c r="I54" t="n">
        <v>2.5</v>
      </c>
      <c r="J54" t="n">
        <v>7.4</v>
      </c>
      <c r="K54" t="n">
        <v>6.1</v>
      </c>
      <c r="L54" t="n">
        <v>10.1</v>
      </c>
      <c r="M54" t="n">
        <v>16.6</v>
      </c>
      <c r="N54" t="n">
        <v>9.7</v>
      </c>
      <c r="O54" t="n">
        <v>46.7</v>
      </c>
      <c r="P54" t="n">
        <v>28.1</v>
      </c>
      <c r="Q54" t="n">
        <v>34.6</v>
      </c>
      <c r="R54" t="n">
        <v>68.2</v>
      </c>
      <c r="S54" t="n">
        <v>71.5</v>
      </c>
      <c r="T54" t="n">
        <v>70.2</v>
      </c>
      <c r="U54" t="n">
        <v>154.8</v>
      </c>
      <c r="V54" t="n">
        <v>25.4</v>
      </c>
      <c r="W54" t="n">
        <v>178.3</v>
      </c>
      <c r="X54" t="n">
        <v>174.9</v>
      </c>
      <c r="Y54" t="n">
        <v>86.1</v>
      </c>
      <c r="Z54" t="n">
        <v>345.9</v>
      </c>
      <c r="AA54" t="n">
        <v>124</v>
      </c>
      <c r="AB54" t="n">
        <v>57.4</v>
      </c>
      <c r="AC54" t="n">
        <v>68.4</v>
      </c>
      <c r="AD54" t="n">
        <v>64.5</v>
      </c>
      <c r="AE54" t="n">
        <v>48.1</v>
      </c>
      <c r="AF54" t="n">
        <v>61.9</v>
      </c>
    </row>
    <row r="55">
      <c r="A55" t="s">
        <v>13</v>
      </c>
      <c r="B55" t="s">
        <v>380</v>
      </c>
      <c r="C55" t="s">
        <v>203</v>
      </c>
      <c r="D55" t="s">
        <v>381</v>
      </c>
      <c r="E55" t="s">
        <v>204</v>
      </c>
      <c r="F55" t="n">
        <v>0</v>
      </c>
      <c r="G55" t="n">
        <v>0</v>
      </c>
      <c r="H55" t="n">
        <v>0.1</v>
      </c>
      <c r="I55" t="n">
        <v>0.1</v>
      </c>
      <c r="J55" t="n">
        <v>0.4</v>
      </c>
      <c r="K55" t="n">
        <v>2.7</v>
      </c>
      <c r="L55" t="n">
        <v>0.7</v>
      </c>
      <c r="M55" t="n">
        <v>5.9</v>
      </c>
      <c r="N55" t="n">
        <v>0</v>
      </c>
      <c r="O55" t="n">
        <v>0.9</v>
      </c>
      <c r="P55" t="n">
        <v>2.2</v>
      </c>
      <c r="Q55" t="n">
        <v>3.6</v>
      </c>
      <c r="R55" t="n">
        <v>5</v>
      </c>
      <c r="S55" t="n">
        <v>0</v>
      </c>
      <c r="T55" t="n">
        <v>0</v>
      </c>
      <c r="U55" t="n">
        <v>53.5</v>
      </c>
      <c r="V55" t="n">
        <v>10.1</v>
      </c>
      <c r="W55" t="n">
        <v>35.2</v>
      </c>
      <c r="X55" t="n">
        <v>34.5</v>
      </c>
      <c r="Y55" t="n">
        <v>36.4</v>
      </c>
      <c r="Z55" t="n">
        <v>35.7</v>
      </c>
      <c r="AA55" t="n">
        <v>23.6</v>
      </c>
      <c r="AB55" t="n">
        <v>20.3</v>
      </c>
      <c r="AC55" t="n">
        <v>32.7</v>
      </c>
      <c r="AD55" t="n">
        <v>27.9</v>
      </c>
      <c r="AE55" t="n">
        <v>21.3</v>
      </c>
      <c r="AF55" t="n">
        <v>43.3</v>
      </c>
    </row>
    <row r="56">
      <c r="A56" t="s">
        <v>13</v>
      </c>
      <c r="B56" t="s">
        <v>382</v>
      </c>
      <c r="C56" t="s">
        <v>203</v>
      </c>
      <c r="D56" t="s">
        <v>383</v>
      </c>
      <c r="E56" t="s">
        <v>204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13</v>
      </c>
      <c r="B57" t="s">
        <v>384</v>
      </c>
      <c r="C57" t="s">
        <v>203</v>
      </c>
      <c r="D57" t="s">
        <v>385</v>
      </c>
      <c r="E57" t="s">
        <v>204</v>
      </c>
      <c r="F57" t="n">
        <v>68.1</v>
      </c>
      <c r="G57" t="n">
        <v>31.4</v>
      </c>
      <c r="H57" t="n">
        <v>592.2</v>
      </c>
      <c r="I57" t="n">
        <v>1240.5</v>
      </c>
      <c r="J57" t="n">
        <v>1306.3</v>
      </c>
      <c r="K57" t="n">
        <v>1622.9</v>
      </c>
      <c r="L57" t="n">
        <v>1734.7</v>
      </c>
      <c r="M57" t="n">
        <v>1727.4</v>
      </c>
      <c r="N57" t="n">
        <v>1973.6</v>
      </c>
      <c r="O57" t="n">
        <v>3153.8</v>
      </c>
      <c r="P57" t="n">
        <v>3782.8</v>
      </c>
      <c r="Q57" t="n">
        <v>4257.9</v>
      </c>
      <c r="R57" t="n">
        <v>5030.2</v>
      </c>
      <c r="S57" t="n">
        <v>8943.3</v>
      </c>
      <c r="T57" t="n">
        <v>9975.4</v>
      </c>
      <c r="U57" t="n">
        <v>8406.7</v>
      </c>
      <c r="V57" t="n">
        <v>6867.9</v>
      </c>
      <c r="W57" t="n">
        <v>8297.3</v>
      </c>
      <c r="X57" t="n">
        <v>8137.9</v>
      </c>
      <c r="Y57" t="n">
        <v>7649.8</v>
      </c>
      <c r="Z57" t="n">
        <v>7834.4</v>
      </c>
      <c r="AA57" t="n">
        <v>6352.7</v>
      </c>
      <c r="AB57" t="n">
        <v>6056.7</v>
      </c>
      <c r="AC57" t="n">
        <v>6469.9</v>
      </c>
      <c r="AD57" t="n">
        <v>6051.2</v>
      </c>
      <c r="AE57" t="n">
        <v>6185.4</v>
      </c>
      <c r="AF57" t="n">
        <v>5462</v>
      </c>
    </row>
    <row r="58">
      <c r="A58" t="s">
        <v>13</v>
      </c>
      <c r="B58" t="s">
        <v>386</v>
      </c>
      <c r="C58" t="s">
        <v>203</v>
      </c>
      <c r="D58" t="s">
        <v>387</v>
      </c>
      <c r="E58" t="s">
        <v>204</v>
      </c>
      <c r="F58" t="n">
        <v>68.1</v>
      </c>
      <c r="G58" t="n">
        <v>31.4</v>
      </c>
      <c r="H58" t="n">
        <v>592.2</v>
      </c>
      <c r="I58" t="n">
        <v>1240.5</v>
      </c>
      <c r="J58" t="n">
        <v>1306.3</v>
      </c>
      <c r="K58" t="n">
        <v>1622.9</v>
      </c>
      <c r="L58" t="n">
        <v>1734.7</v>
      </c>
      <c r="M58" t="n">
        <v>1727.4</v>
      </c>
      <c r="N58" t="n">
        <v>1973.6</v>
      </c>
      <c r="O58" t="n">
        <v>3153.8</v>
      </c>
      <c r="P58" t="n">
        <v>3782.8</v>
      </c>
      <c r="Q58" t="n">
        <v>4257.9</v>
      </c>
      <c r="R58" t="n">
        <v>5030.2</v>
      </c>
      <c r="S58" t="n">
        <v>8943.3</v>
      </c>
      <c r="T58" t="n">
        <v>9975.4</v>
      </c>
      <c r="U58" t="n">
        <v>8406.7</v>
      </c>
      <c r="V58" t="n">
        <v>6867.9</v>
      </c>
      <c r="W58" t="n">
        <v>8297.3</v>
      </c>
      <c r="X58" t="n">
        <v>8137.9</v>
      </c>
      <c r="Y58" t="n">
        <v>7649.8</v>
      </c>
      <c r="Z58" t="n">
        <v>7834.4</v>
      </c>
      <c r="AA58" t="n">
        <v>6352.7</v>
      </c>
      <c r="AB58" t="n">
        <v>6056.7</v>
      </c>
      <c r="AC58" t="n">
        <v>6469.9</v>
      </c>
      <c r="AD58" t="n">
        <v>6051.2</v>
      </c>
      <c r="AE58" t="n">
        <v>6185.4</v>
      </c>
      <c r="AF58" t="n">
        <v>5462</v>
      </c>
    </row>
    <row r="59">
      <c r="A59" t="s">
        <v>13</v>
      </c>
      <c r="B59" t="s">
        <v>388</v>
      </c>
      <c r="C59" t="s">
        <v>203</v>
      </c>
      <c r="D59" t="s">
        <v>389</v>
      </c>
      <c r="E59" t="s">
        <v>204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15</v>
      </c>
      <c r="B2" t="s">
        <v>197</v>
      </c>
      <c r="C2" t="s">
        <v>203</v>
      </c>
      <c r="D2" t="s">
        <v>199</v>
      </c>
      <c r="E2" t="s">
        <v>204</v>
      </c>
      <c r="F2" t="n">
        <v>0.1</v>
      </c>
      <c r="G2" t="n">
        <v>0</v>
      </c>
      <c r="H2" t="n">
        <v>0.5</v>
      </c>
      <c r="I2" t="n">
        <v>1</v>
      </c>
      <c r="J2" t="n">
        <v>0</v>
      </c>
      <c r="K2" t="n">
        <v>12</v>
      </c>
      <c r="L2" t="n">
        <v>13</v>
      </c>
      <c r="M2" t="n">
        <v>3</v>
      </c>
      <c r="N2" t="n">
        <v>3</v>
      </c>
      <c r="O2" t="n">
        <v>10</v>
      </c>
      <c r="P2" t="n">
        <v>1</v>
      </c>
      <c r="Q2" t="n">
        <v>3</v>
      </c>
      <c r="R2" t="n">
        <v>8</v>
      </c>
      <c r="S2" t="n">
        <v>11</v>
      </c>
      <c r="T2" t="n">
        <v>3</v>
      </c>
      <c r="U2" t="n">
        <v>3</v>
      </c>
      <c r="V2" t="n">
        <v>3.6</v>
      </c>
      <c r="W2" t="n">
        <v>2.4</v>
      </c>
      <c r="X2" t="n">
        <v>2.4</v>
      </c>
      <c r="Y2" t="n">
        <v>4.4</v>
      </c>
      <c r="Z2" t="n">
        <v>9</v>
      </c>
      <c r="AA2" t="n">
        <v>0.9</v>
      </c>
      <c r="AB2" t="n">
        <v>3.7</v>
      </c>
      <c r="AC2" t="n">
        <v>4.9</v>
      </c>
      <c r="AD2" t="n">
        <v>3.9</v>
      </c>
      <c r="AE2" t="n">
        <v>9.1</v>
      </c>
      <c r="AF2" t="n">
        <v>4.5</v>
      </c>
    </row>
    <row r="3">
      <c r="A3" t="s">
        <v>15</v>
      </c>
      <c r="B3" t="s">
        <v>276</v>
      </c>
      <c r="C3" t="s">
        <v>203</v>
      </c>
      <c r="D3" t="s">
        <v>277</v>
      </c>
      <c r="E3" t="s">
        <v>204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2</v>
      </c>
      <c r="T3" t="n">
        <v>9</v>
      </c>
      <c r="U3" t="n">
        <v>6.2</v>
      </c>
      <c r="V3" t="n">
        <v>0.8</v>
      </c>
      <c r="W3" t="n">
        <v>1.4</v>
      </c>
      <c r="X3" t="n">
        <v>1.4</v>
      </c>
      <c r="Y3" t="n">
        <v>1.2</v>
      </c>
      <c r="Z3" t="n">
        <v>1</v>
      </c>
      <c r="AA3" t="n">
        <v>2.2</v>
      </c>
      <c r="AB3" t="n">
        <v>3.3</v>
      </c>
      <c r="AC3" t="n">
        <v>-1.2</v>
      </c>
      <c r="AD3" t="n">
        <v>0.2</v>
      </c>
      <c r="AE3" t="n">
        <v>0</v>
      </c>
      <c r="AF3" t="n">
        <v>0.5</v>
      </c>
    </row>
    <row r="4">
      <c r="A4" t="s">
        <v>15</v>
      </c>
      <c r="B4" t="s">
        <v>278</v>
      </c>
      <c r="C4" t="s">
        <v>203</v>
      </c>
      <c r="D4" t="s">
        <v>279</v>
      </c>
      <c r="E4" t="s">
        <v>204</v>
      </c>
      <c r="F4" t="n">
        <v>1.8</v>
      </c>
      <c r="G4" t="n">
        <v>0.8</v>
      </c>
      <c r="H4" t="n">
        <v>15.4</v>
      </c>
      <c r="I4" t="n">
        <v>32.3</v>
      </c>
      <c r="J4" t="n">
        <v>9</v>
      </c>
      <c r="K4" t="n">
        <v>17</v>
      </c>
      <c r="L4" t="n">
        <v>43</v>
      </c>
      <c r="M4" t="n">
        <v>16</v>
      </c>
      <c r="N4" t="n">
        <v>29.8</v>
      </c>
      <c r="O4" t="n">
        <v>7</v>
      </c>
      <c r="P4" t="n">
        <v>22</v>
      </c>
      <c r="Q4" t="n">
        <v>35</v>
      </c>
      <c r="R4" t="n">
        <v>42</v>
      </c>
      <c r="S4" t="n">
        <v>34</v>
      </c>
      <c r="T4" t="n">
        <v>35</v>
      </c>
      <c r="U4" t="n">
        <v>8</v>
      </c>
      <c r="V4" t="n">
        <v>10.9</v>
      </c>
      <c r="W4" t="n">
        <v>4.5</v>
      </c>
      <c r="X4" t="n">
        <v>4.4</v>
      </c>
      <c r="Y4" t="n">
        <v>3.4</v>
      </c>
      <c r="Z4" t="n">
        <v>6.3</v>
      </c>
      <c r="AA4" t="n">
        <v>5.5</v>
      </c>
      <c r="AB4" t="n">
        <v>10.3</v>
      </c>
      <c r="AC4" t="n">
        <v>26.4</v>
      </c>
      <c r="AD4" t="n">
        <v>25.6</v>
      </c>
      <c r="AE4" t="n">
        <v>32</v>
      </c>
      <c r="AF4" t="n">
        <v>38.9</v>
      </c>
    </row>
    <row r="5">
      <c r="A5" t="s">
        <v>15</v>
      </c>
      <c r="B5" t="s">
        <v>280</v>
      </c>
      <c r="C5" t="s">
        <v>203</v>
      </c>
      <c r="D5" t="s">
        <v>281</v>
      </c>
      <c r="E5" t="s">
        <v>204</v>
      </c>
      <c r="F5" t="n">
        <v>1.7</v>
      </c>
      <c r="G5" t="n">
        <v>0.8</v>
      </c>
      <c r="H5" t="n">
        <v>14.9</v>
      </c>
      <c r="I5" t="n">
        <v>31.3</v>
      </c>
      <c r="J5" t="n">
        <v>3</v>
      </c>
      <c r="K5" t="n">
        <v>0</v>
      </c>
      <c r="L5" t="n">
        <v>11</v>
      </c>
      <c r="M5" t="n">
        <v>1</v>
      </c>
      <c r="N5" t="n">
        <v>14</v>
      </c>
      <c r="O5" t="n">
        <v>1</v>
      </c>
      <c r="P5" t="n">
        <v>3</v>
      </c>
      <c r="Q5" t="n">
        <v>3</v>
      </c>
      <c r="R5" t="n">
        <v>13</v>
      </c>
      <c r="S5" t="n">
        <v>9</v>
      </c>
      <c r="T5" t="n">
        <v>5</v>
      </c>
      <c r="U5" t="n">
        <v>2</v>
      </c>
      <c r="V5" t="n">
        <v>3.3</v>
      </c>
      <c r="W5" t="n">
        <v>0.2</v>
      </c>
      <c r="X5" t="n">
        <v>0.2</v>
      </c>
      <c r="Y5" t="n">
        <v>0.6</v>
      </c>
      <c r="Z5" t="n">
        <v>1.4</v>
      </c>
      <c r="AA5" t="n">
        <v>-0.1</v>
      </c>
      <c r="AB5" t="n">
        <v>0.3</v>
      </c>
      <c r="AC5" t="n">
        <v>3.5</v>
      </c>
      <c r="AD5" t="n">
        <v>0.8</v>
      </c>
      <c r="AE5" t="n">
        <v>14.4</v>
      </c>
      <c r="AF5" t="n">
        <v>12.7</v>
      </c>
    </row>
    <row r="6">
      <c r="A6" t="s">
        <v>15</v>
      </c>
      <c r="B6" t="s">
        <v>282</v>
      </c>
      <c r="C6" t="s">
        <v>203</v>
      </c>
      <c r="D6" t="s">
        <v>283</v>
      </c>
      <c r="E6" t="s">
        <v>204</v>
      </c>
      <c r="F6" t="n">
        <v>0.1</v>
      </c>
      <c r="G6" t="n">
        <v>0</v>
      </c>
      <c r="H6" t="n">
        <v>0.5</v>
      </c>
      <c r="I6" t="n">
        <v>1</v>
      </c>
      <c r="J6" t="n">
        <v>0</v>
      </c>
      <c r="K6" t="n">
        <v>13</v>
      </c>
      <c r="L6" t="n">
        <v>8</v>
      </c>
      <c r="M6" t="n">
        <v>1</v>
      </c>
      <c r="N6" t="n">
        <v>0</v>
      </c>
      <c r="O6" t="n">
        <v>2</v>
      </c>
      <c r="P6" t="n">
        <v>5</v>
      </c>
      <c r="Q6" t="n">
        <v>9</v>
      </c>
      <c r="R6" t="n">
        <v>6</v>
      </c>
      <c r="S6" t="n">
        <v>1</v>
      </c>
      <c r="T6" t="n">
        <v>2</v>
      </c>
      <c r="U6" t="n">
        <v>1</v>
      </c>
      <c r="V6" t="n">
        <v>0.2</v>
      </c>
      <c r="W6" t="n">
        <v>0.7</v>
      </c>
      <c r="X6" t="n">
        <v>0.7</v>
      </c>
      <c r="Y6" t="n">
        <v>1.2</v>
      </c>
      <c r="Z6" t="n">
        <v>0.9</v>
      </c>
      <c r="AA6" t="n">
        <v>0.1</v>
      </c>
      <c r="AB6" t="n">
        <v>3.8</v>
      </c>
      <c r="AC6" t="n">
        <v>10</v>
      </c>
      <c r="AD6" t="n">
        <v>7</v>
      </c>
      <c r="AE6" t="n">
        <v>2.3</v>
      </c>
      <c r="AF6" t="n">
        <v>5.4</v>
      </c>
    </row>
    <row r="7">
      <c r="A7" t="s">
        <v>15</v>
      </c>
      <c r="B7" t="s">
        <v>284</v>
      </c>
      <c r="C7" t="s">
        <v>203</v>
      </c>
      <c r="D7" t="s">
        <v>285</v>
      </c>
      <c r="E7" t="s">
        <v>204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7</v>
      </c>
      <c r="M7" t="n">
        <v>1</v>
      </c>
      <c r="N7" t="n">
        <v>0</v>
      </c>
      <c r="O7" t="n">
        <v>0</v>
      </c>
      <c r="P7" t="n">
        <v>2</v>
      </c>
      <c r="Q7" t="n">
        <v>2</v>
      </c>
      <c r="R7" t="n">
        <v>3</v>
      </c>
      <c r="S7" t="n">
        <v>3</v>
      </c>
      <c r="T7" t="n">
        <v>0</v>
      </c>
      <c r="U7" t="n">
        <v>0</v>
      </c>
      <c r="V7" t="n">
        <v>0.7</v>
      </c>
      <c r="W7" t="n">
        <v>0.4</v>
      </c>
      <c r="X7" t="n">
        <v>0.4</v>
      </c>
      <c r="Y7" t="n">
        <v>1.2</v>
      </c>
      <c r="Z7" t="n">
        <v>0.4</v>
      </c>
      <c r="AA7" t="n">
        <v>2.5</v>
      </c>
      <c r="AB7" t="n">
        <v>-6.4</v>
      </c>
      <c r="AC7" t="n">
        <v>-11.5</v>
      </c>
      <c r="AD7" t="n">
        <v>0.5</v>
      </c>
      <c r="AE7" t="n">
        <v>1.7</v>
      </c>
      <c r="AF7" t="n">
        <v>1.3</v>
      </c>
    </row>
    <row r="8">
      <c r="A8" t="s">
        <v>15</v>
      </c>
      <c r="B8" t="s">
        <v>286</v>
      </c>
      <c r="C8" t="s">
        <v>203</v>
      </c>
      <c r="D8" t="s">
        <v>287</v>
      </c>
      <c r="E8" t="s">
        <v>204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0.9</v>
      </c>
      <c r="AD8" t="n">
        <v>0</v>
      </c>
      <c r="AE8" t="n">
        <v>0</v>
      </c>
      <c r="AF8" t="n">
        <v>-0.1</v>
      </c>
    </row>
    <row r="9">
      <c r="A9" t="s">
        <v>15</v>
      </c>
      <c r="B9" t="s">
        <v>288</v>
      </c>
      <c r="C9" t="s">
        <v>203</v>
      </c>
      <c r="D9" t="s">
        <v>289</v>
      </c>
      <c r="E9" t="s">
        <v>204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0.2</v>
      </c>
      <c r="W9" t="n">
        <v>0.4</v>
      </c>
      <c r="X9" t="n">
        <v>0.4</v>
      </c>
      <c r="Y9" t="n">
        <v>0.7</v>
      </c>
      <c r="Z9" t="n">
        <v>0.2</v>
      </c>
      <c r="AA9" t="n">
        <v>1</v>
      </c>
      <c r="AB9" t="n">
        <v>0.6</v>
      </c>
      <c r="AC9" t="n">
        <v>2</v>
      </c>
      <c r="AD9" t="n">
        <v>-0.2</v>
      </c>
      <c r="AE9" t="n">
        <v>-0.2</v>
      </c>
      <c r="AF9" t="n">
        <v>4.8</v>
      </c>
    </row>
    <row r="10">
      <c r="A10" t="s">
        <v>15</v>
      </c>
      <c r="B10" t="s">
        <v>290</v>
      </c>
      <c r="C10" t="s">
        <v>203</v>
      </c>
      <c r="D10" t="s">
        <v>291</v>
      </c>
      <c r="E10" t="s">
        <v>204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8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0.2</v>
      </c>
      <c r="W10" t="n">
        <v>0.4</v>
      </c>
      <c r="X10" t="n">
        <v>0.4</v>
      </c>
      <c r="Y10" t="n">
        <v>0.7</v>
      </c>
      <c r="Z10" t="n">
        <v>0.2</v>
      </c>
      <c r="AA10" t="n">
        <v>1</v>
      </c>
      <c r="AB10" t="n">
        <v>2.6</v>
      </c>
      <c r="AC10" t="n">
        <v>11.1</v>
      </c>
      <c r="AD10" t="n">
        <v>1.7</v>
      </c>
      <c r="AE10" t="n">
        <v>5.3</v>
      </c>
      <c r="AF10" t="n">
        <v>7.3</v>
      </c>
    </row>
    <row r="11">
      <c r="A11" t="s">
        <v>15</v>
      </c>
      <c r="B11" t="s">
        <v>292</v>
      </c>
      <c r="C11" t="s">
        <v>203</v>
      </c>
      <c r="D11" t="s">
        <v>293</v>
      </c>
      <c r="E11" t="s">
        <v>204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2</v>
      </c>
      <c r="AC11" t="n">
        <v>9.1</v>
      </c>
      <c r="AD11" t="n">
        <v>1.9</v>
      </c>
      <c r="AE11" t="n">
        <v>5.5</v>
      </c>
      <c r="AF11" t="n">
        <v>2.5</v>
      </c>
    </row>
    <row r="12">
      <c r="A12" t="s">
        <v>15</v>
      </c>
      <c r="B12" t="s">
        <v>294</v>
      </c>
      <c r="C12" t="s">
        <v>203</v>
      </c>
      <c r="D12" t="s">
        <v>295</v>
      </c>
      <c r="E12" t="s">
        <v>204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</v>
      </c>
      <c r="L12" t="n">
        <v>1</v>
      </c>
      <c r="M12" t="n">
        <v>3</v>
      </c>
      <c r="N12" t="n">
        <v>0</v>
      </c>
      <c r="O12" t="n">
        <v>2</v>
      </c>
      <c r="P12" t="n">
        <v>6</v>
      </c>
      <c r="Q12" t="n">
        <v>7</v>
      </c>
      <c r="R12" t="n">
        <v>4</v>
      </c>
      <c r="S12" t="n">
        <v>7</v>
      </c>
      <c r="T12" t="n">
        <v>7</v>
      </c>
      <c r="U12" t="n">
        <v>4</v>
      </c>
      <c r="V12" t="n">
        <v>2.2</v>
      </c>
      <c r="W12" t="n">
        <v>1.7</v>
      </c>
      <c r="X12" t="n">
        <v>1.7</v>
      </c>
      <c r="Y12" t="n">
        <v>-4.1</v>
      </c>
      <c r="Z12" t="n">
        <v>1.7</v>
      </c>
      <c r="AA12" t="n">
        <v>-0.2</v>
      </c>
      <c r="AB12" t="n">
        <v>0.1</v>
      </c>
      <c r="AC12" t="n">
        <v>1.1</v>
      </c>
      <c r="AD12" t="n">
        <v>0.9</v>
      </c>
      <c r="AE12" t="n">
        <v>1.4</v>
      </c>
      <c r="AF12" t="n">
        <v>0.3</v>
      </c>
    </row>
    <row r="13">
      <c r="A13" t="s">
        <v>15</v>
      </c>
      <c r="B13" t="s">
        <v>296</v>
      </c>
      <c r="C13" t="s">
        <v>203</v>
      </c>
      <c r="D13" t="s">
        <v>297</v>
      </c>
      <c r="E13" t="s">
        <v>204</v>
      </c>
      <c r="F13" t="n">
        <v>0</v>
      </c>
      <c r="G13" t="n">
        <v>0</v>
      </c>
      <c r="H13" t="n">
        <v>0</v>
      </c>
      <c r="I13" t="n">
        <v>0</v>
      </c>
      <c r="J13" t="n">
        <v>6</v>
      </c>
      <c r="K13" t="n">
        <v>0</v>
      </c>
      <c r="L13" t="n">
        <v>1</v>
      </c>
      <c r="M13" t="n">
        <v>4</v>
      </c>
      <c r="N13" t="n">
        <v>12.8</v>
      </c>
      <c r="O13" t="n">
        <v>1</v>
      </c>
      <c r="P13" t="n">
        <v>0</v>
      </c>
      <c r="Q13" t="n">
        <v>5</v>
      </c>
      <c r="R13" t="n">
        <v>6</v>
      </c>
      <c r="S13" t="n">
        <v>2</v>
      </c>
      <c r="T13" t="n">
        <v>2</v>
      </c>
      <c r="U13" t="n">
        <v>0</v>
      </c>
      <c r="V13" t="n">
        <v>0.8</v>
      </c>
      <c r="W13" t="n">
        <v>0.8</v>
      </c>
      <c r="X13" t="n">
        <v>0.8</v>
      </c>
      <c r="Y13" t="n">
        <v>2.5</v>
      </c>
      <c r="Z13" t="n">
        <v>-0.3</v>
      </c>
      <c r="AA13" t="n">
        <v>1.4</v>
      </c>
      <c r="AB13" t="n">
        <v>7.2</v>
      </c>
      <c r="AC13" t="n">
        <v>7.3</v>
      </c>
      <c r="AD13" t="n">
        <v>12.3</v>
      </c>
      <c r="AE13" t="n">
        <v>1.2</v>
      </c>
      <c r="AF13" t="n">
        <v>3.7</v>
      </c>
    </row>
    <row r="14">
      <c r="A14" t="s">
        <v>15</v>
      </c>
      <c r="B14" t="s">
        <v>298</v>
      </c>
      <c r="C14" t="s">
        <v>203</v>
      </c>
      <c r="D14" t="s">
        <v>299</v>
      </c>
      <c r="E14" t="s">
        <v>204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1</v>
      </c>
      <c r="S14" t="n">
        <v>1</v>
      </c>
      <c r="T14" t="n">
        <v>0</v>
      </c>
      <c r="U14" t="n">
        <v>0</v>
      </c>
      <c r="V14" t="n">
        <v>0.2</v>
      </c>
      <c r="W14" t="n">
        <v>0.1</v>
      </c>
      <c r="X14" t="n">
        <v>0.1</v>
      </c>
      <c r="Y14" t="n">
        <v>0</v>
      </c>
      <c r="Z14" t="n">
        <v>0.2</v>
      </c>
      <c r="AA14" t="n">
        <v>0.1</v>
      </c>
      <c r="AB14" t="n">
        <v>-2.8</v>
      </c>
      <c r="AC14" t="n">
        <v>0</v>
      </c>
      <c r="AD14" t="n">
        <v>-0.1</v>
      </c>
      <c r="AE14" t="n">
        <v>4.5</v>
      </c>
      <c r="AF14" t="n">
        <v>0</v>
      </c>
    </row>
    <row r="15">
      <c r="A15" t="s">
        <v>15</v>
      </c>
      <c r="B15" t="s">
        <v>300</v>
      </c>
      <c r="C15" t="s">
        <v>203</v>
      </c>
      <c r="D15" t="s">
        <v>301</v>
      </c>
      <c r="E15" t="s">
        <v>204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2</v>
      </c>
      <c r="S15" t="n">
        <v>8</v>
      </c>
      <c r="T15" t="n">
        <v>3</v>
      </c>
      <c r="U15" t="n">
        <v>0</v>
      </c>
      <c r="V15" t="n">
        <v>2.5</v>
      </c>
      <c r="W15" t="n">
        <v>0.1</v>
      </c>
      <c r="X15" t="n">
        <v>0.1</v>
      </c>
      <c r="Y15" t="n">
        <v>0.1</v>
      </c>
      <c r="Z15" t="n">
        <v>0.3</v>
      </c>
      <c r="AA15" t="n">
        <v>0.3</v>
      </c>
      <c r="AB15" t="n">
        <v>0.7</v>
      </c>
      <c r="AC15" t="n">
        <v>1.1</v>
      </c>
      <c r="AD15" t="n">
        <v>-0.2</v>
      </c>
      <c r="AE15" t="n">
        <v>6.7</v>
      </c>
      <c r="AF15" t="n">
        <v>0.1</v>
      </c>
    </row>
    <row r="16">
      <c r="A16" t="s">
        <v>15</v>
      </c>
      <c r="B16" t="s">
        <v>302</v>
      </c>
      <c r="C16" t="s">
        <v>203</v>
      </c>
      <c r="D16" t="s">
        <v>303</v>
      </c>
      <c r="E16" t="s">
        <v>204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1</v>
      </c>
      <c r="S16" t="n">
        <v>7</v>
      </c>
      <c r="T16" t="n">
        <v>3</v>
      </c>
      <c r="U16" t="n">
        <v>0</v>
      </c>
      <c r="V16" t="n">
        <v>2.3</v>
      </c>
      <c r="W16" t="n">
        <v>0</v>
      </c>
      <c r="X16" t="n">
        <v>0</v>
      </c>
      <c r="Y16" t="n">
        <v>0.1</v>
      </c>
      <c r="Z16" t="n">
        <v>0.1</v>
      </c>
      <c r="AA16" t="n">
        <v>0.2</v>
      </c>
      <c r="AB16" t="n">
        <v>3.5</v>
      </c>
      <c r="AC16" t="n">
        <v>1.1</v>
      </c>
      <c r="AD16" t="n">
        <v>-0.1</v>
      </c>
      <c r="AE16" t="n">
        <v>2.2</v>
      </c>
      <c r="AF16" t="n">
        <v>0.1</v>
      </c>
    </row>
    <row r="17">
      <c r="A17" t="s">
        <v>15</v>
      </c>
      <c r="B17" t="s">
        <v>304</v>
      </c>
      <c r="C17" t="s">
        <v>203</v>
      </c>
      <c r="D17" t="s">
        <v>305</v>
      </c>
      <c r="E17" t="s">
        <v>204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  <c r="L17" t="n">
        <v>2</v>
      </c>
      <c r="M17" t="n">
        <v>6</v>
      </c>
      <c r="N17" t="n">
        <v>1</v>
      </c>
      <c r="O17" t="n">
        <v>1</v>
      </c>
      <c r="P17" t="n">
        <v>3</v>
      </c>
      <c r="Q17" t="n">
        <v>3</v>
      </c>
      <c r="R17" t="n">
        <v>1</v>
      </c>
      <c r="S17" t="n">
        <v>2</v>
      </c>
      <c r="T17" t="n">
        <v>11</v>
      </c>
      <c r="U17" t="n">
        <v>0</v>
      </c>
      <c r="V17" t="n">
        <v>0.5</v>
      </c>
      <c r="W17" t="n">
        <v>0</v>
      </c>
      <c r="X17" t="n">
        <v>0</v>
      </c>
      <c r="Y17" t="n">
        <v>0.2</v>
      </c>
      <c r="Z17" t="n">
        <v>0.9</v>
      </c>
      <c r="AA17" t="n">
        <v>0.4</v>
      </c>
      <c r="AB17" t="n">
        <v>-0.1</v>
      </c>
      <c r="AC17" t="n">
        <v>1.8</v>
      </c>
      <c r="AD17" t="n">
        <v>-0.4</v>
      </c>
      <c r="AE17" t="n">
        <v>-1.3</v>
      </c>
      <c r="AF17" t="n">
        <v>0.7</v>
      </c>
    </row>
    <row r="18">
      <c r="A18" t="s">
        <v>15</v>
      </c>
      <c r="B18" t="s">
        <v>306</v>
      </c>
      <c r="C18" t="s">
        <v>203</v>
      </c>
      <c r="D18" t="s">
        <v>307</v>
      </c>
      <c r="E18" t="s">
        <v>204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1</v>
      </c>
      <c r="S18" t="n">
        <v>0</v>
      </c>
      <c r="T18" t="n">
        <v>0</v>
      </c>
      <c r="U18" t="n">
        <v>0</v>
      </c>
      <c r="V18" t="n">
        <v>0.1</v>
      </c>
      <c r="W18" t="n">
        <v>0</v>
      </c>
      <c r="X18" t="n">
        <v>0</v>
      </c>
      <c r="Y18" t="n">
        <v>0.1</v>
      </c>
      <c r="Z18" t="n">
        <v>-0.2</v>
      </c>
      <c r="AA18" t="n">
        <v>0</v>
      </c>
      <c r="AB18" t="n">
        <v>0</v>
      </c>
      <c r="AC18" t="n">
        <v>0</v>
      </c>
      <c r="AD18" t="n">
        <v>0</v>
      </c>
      <c r="AE18" t="n">
        <v>0.2</v>
      </c>
      <c r="AF18" t="n">
        <v>1.5</v>
      </c>
    </row>
    <row r="19">
      <c r="A19" t="s">
        <v>15</v>
      </c>
      <c r="B19" t="s">
        <v>308</v>
      </c>
      <c r="C19" t="s">
        <v>203</v>
      </c>
      <c r="D19" t="s">
        <v>309</v>
      </c>
      <c r="E19" t="s">
        <v>204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</v>
      </c>
      <c r="M19" t="n">
        <v>0</v>
      </c>
      <c r="N19" t="n">
        <v>2</v>
      </c>
      <c r="O19" t="n">
        <v>0</v>
      </c>
      <c r="P19" t="n">
        <v>3</v>
      </c>
      <c r="Q19" t="n">
        <v>3</v>
      </c>
      <c r="R19" t="n">
        <v>6</v>
      </c>
      <c r="S19" t="n">
        <v>1</v>
      </c>
      <c r="T19" t="n">
        <v>5</v>
      </c>
      <c r="U19" t="n">
        <v>0</v>
      </c>
      <c r="V19" t="n">
        <v>0.4</v>
      </c>
      <c r="W19" t="n">
        <v>0.2</v>
      </c>
      <c r="X19" t="n">
        <v>0.2</v>
      </c>
      <c r="Y19" t="n">
        <v>0.9</v>
      </c>
      <c r="Z19" t="n">
        <v>1.2</v>
      </c>
      <c r="AA19" t="n">
        <v>0</v>
      </c>
      <c r="AB19" t="n">
        <v>2.1</v>
      </c>
      <c r="AC19" t="n">
        <v>1.1</v>
      </c>
      <c r="AD19" t="n">
        <v>3</v>
      </c>
      <c r="AE19" t="n">
        <v>0.1</v>
      </c>
      <c r="AF19" t="n">
        <v>6</v>
      </c>
    </row>
    <row r="20">
      <c r="A20" t="s">
        <v>15</v>
      </c>
      <c r="B20" t="s">
        <v>310</v>
      </c>
      <c r="C20" t="s">
        <v>203</v>
      </c>
      <c r="D20" t="s">
        <v>311</v>
      </c>
      <c r="E20" t="s">
        <v>204</v>
      </c>
      <c r="F20" t="n">
        <v>0.2</v>
      </c>
      <c r="G20" t="n">
        <v>0.1</v>
      </c>
      <c r="H20" t="n">
        <v>1.4</v>
      </c>
      <c r="I20" t="n">
        <v>3</v>
      </c>
      <c r="J20" t="n">
        <v>6</v>
      </c>
      <c r="K20" t="n">
        <v>0</v>
      </c>
      <c r="L20" t="n">
        <v>0</v>
      </c>
      <c r="M20" t="n">
        <v>4</v>
      </c>
      <c r="N20" t="n">
        <v>5</v>
      </c>
      <c r="O20" t="n">
        <v>1</v>
      </c>
      <c r="P20" t="n">
        <v>1</v>
      </c>
      <c r="Q20" t="n">
        <v>1</v>
      </c>
      <c r="R20" t="n">
        <v>1</v>
      </c>
      <c r="S20" t="n">
        <v>37</v>
      </c>
      <c r="T20" t="n">
        <v>3</v>
      </c>
      <c r="U20" t="n">
        <v>0</v>
      </c>
      <c r="V20" t="n">
        <v>2.3</v>
      </c>
      <c r="W20" t="n">
        <v>1.4</v>
      </c>
      <c r="X20" t="n">
        <v>1.4</v>
      </c>
      <c r="Y20" t="n">
        <v>0.8</v>
      </c>
      <c r="Z20" t="n">
        <v>-0.1</v>
      </c>
      <c r="AA20" t="n">
        <v>1</v>
      </c>
      <c r="AB20" t="n">
        <v>0.8</v>
      </c>
      <c r="AC20" t="n">
        <v>19.4</v>
      </c>
      <c r="AD20" t="n">
        <v>2.2</v>
      </c>
      <c r="AE20" t="n">
        <v>0.9</v>
      </c>
      <c r="AF20" t="n">
        <v>-4.8</v>
      </c>
    </row>
    <row r="21">
      <c r="A21" t="s">
        <v>15</v>
      </c>
      <c r="B21" t="s">
        <v>312</v>
      </c>
      <c r="C21" t="s">
        <v>203</v>
      </c>
      <c r="D21" t="s">
        <v>313</v>
      </c>
      <c r="E21" t="s">
        <v>204</v>
      </c>
      <c r="F21" t="n">
        <v>0.2</v>
      </c>
      <c r="G21" t="n">
        <v>0.1</v>
      </c>
      <c r="H21" t="n">
        <v>1.4</v>
      </c>
      <c r="I21" t="n">
        <v>3</v>
      </c>
      <c r="J21" t="n">
        <v>6</v>
      </c>
      <c r="K21" t="n">
        <v>0</v>
      </c>
      <c r="L21" t="n">
        <v>0</v>
      </c>
      <c r="M21" t="n">
        <v>5.2</v>
      </c>
      <c r="N21" t="n">
        <v>27</v>
      </c>
      <c r="O21" t="n">
        <v>1</v>
      </c>
      <c r="P21" t="n">
        <v>1</v>
      </c>
      <c r="Q21" t="n">
        <v>1</v>
      </c>
      <c r="R21" t="n">
        <v>4</v>
      </c>
      <c r="S21" t="n">
        <v>37</v>
      </c>
      <c r="T21" t="n">
        <v>3</v>
      </c>
      <c r="U21" t="n">
        <v>0</v>
      </c>
      <c r="V21" t="n">
        <v>2.4</v>
      </c>
      <c r="W21" t="n">
        <v>1.4</v>
      </c>
      <c r="X21" t="n">
        <v>1.4</v>
      </c>
      <c r="Y21" t="n">
        <v>0.5</v>
      </c>
      <c r="Z21" t="n">
        <v>1</v>
      </c>
      <c r="AA21" t="n">
        <v>0.5</v>
      </c>
      <c r="AB21" t="n">
        <v>0.5</v>
      </c>
      <c r="AC21" t="n">
        <v>19.7</v>
      </c>
      <c r="AD21" t="n">
        <v>1.1</v>
      </c>
      <c r="AE21" t="n">
        <v>0.7</v>
      </c>
      <c r="AF21" t="n">
        <v>-4.4</v>
      </c>
    </row>
    <row r="22">
      <c r="A22" t="s">
        <v>15</v>
      </c>
      <c r="B22" t="s">
        <v>314</v>
      </c>
      <c r="C22" t="s">
        <v>203</v>
      </c>
      <c r="D22" t="s">
        <v>315</v>
      </c>
      <c r="E22" t="s">
        <v>204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1.2</v>
      </c>
      <c r="N22" t="n">
        <v>22</v>
      </c>
      <c r="O22" t="n">
        <v>0</v>
      </c>
      <c r="P22" t="n">
        <v>0</v>
      </c>
      <c r="Q22" t="n">
        <v>0</v>
      </c>
      <c r="R22" t="n">
        <v>3</v>
      </c>
      <c r="S22" t="n">
        <v>0</v>
      </c>
      <c r="T22" t="n">
        <v>0</v>
      </c>
      <c r="U22" t="n">
        <v>0</v>
      </c>
      <c r="V22" t="n">
        <v>0.1</v>
      </c>
      <c r="W22" t="n">
        <v>0</v>
      </c>
      <c r="X22" t="n">
        <v>0</v>
      </c>
      <c r="Y22" t="n">
        <v>-0.3</v>
      </c>
      <c r="Z22" t="n">
        <v>1.1</v>
      </c>
      <c r="AA22" t="n">
        <v>-0.5</v>
      </c>
      <c r="AB22" t="n">
        <v>-0.3</v>
      </c>
      <c r="AC22" t="n">
        <v>0.3</v>
      </c>
      <c r="AD22" t="n">
        <v>-1.1</v>
      </c>
      <c r="AE22" t="n">
        <v>-0.2</v>
      </c>
      <c r="AF22" t="n">
        <v>0.4</v>
      </c>
    </row>
    <row r="23">
      <c r="A23" t="s">
        <v>15</v>
      </c>
      <c r="B23" t="s">
        <v>316</v>
      </c>
      <c r="C23" t="s">
        <v>203</v>
      </c>
      <c r="D23" t="s">
        <v>317</v>
      </c>
      <c r="E23" t="s">
        <v>204</v>
      </c>
      <c r="F23" t="n">
        <v>7.5</v>
      </c>
      <c r="G23" t="n">
        <v>3.4</v>
      </c>
      <c r="H23" t="n">
        <v>64.9</v>
      </c>
      <c r="I23" t="n">
        <v>136.1</v>
      </c>
      <c r="J23" t="n">
        <v>251.9</v>
      </c>
      <c r="K23" t="n">
        <v>362.7</v>
      </c>
      <c r="L23" t="n">
        <v>348.6</v>
      </c>
      <c r="M23" t="n">
        <v>522.8</v>
      </c>
      <c r="N23" t="n">
        <v>404.9</v>
      </c>
      <c r="O23" t="n">
        <v>644.3</v>
      </c>
      <c r="P23" t="n">
        <v>1170</v>
      </c>
      <c r="Q23" t="n">
        <v>2065.2</v>
      </c>
      <c r="R23" t="n">
        <v>2099.1</v>
      </c>
      <c r="S23" t="n">
        <v>3071.3</v>
      </c>
      <c r="T23" t="n">
        <v>2764.9</v>
      </c>
      <c r="U23" t="n">
        <v>1543.2</v>
      </c>
      <c r="V23" t="n">
        <v>1358.8</v>
      </c>
      <c r="W23" t="n">
        <v>1262.8</v>
      </c>
      <c r="X23" t="n">
        <v>1269.9</v>
      </c>
      <c r="Y23" t="n">
        <v>1179.1</v>
      </c>
      <c r="Z23" t="n">
        <v>1069.5</v>
      </c>
      <c r="AA23" t="n">
        <v>2379.6</v>
      </c>
      <c r="AB23" t="n">
        <v>2042.1</v>
      </c>
      <c r="AC23" t="n">
        <v>2348.9</v>
      </c>
      <c r="AD23" t="n">
        <v>2813.7</v>
      </c>
      <c r="AE23" t="n">
        <v>2843.2</v>
      </c>
      <c r="AF23" t="n">
        <v>2921.8</v>
      </c>
    </row>
    <row r="24">
      <c r="A24" t="s">
        <v>15</v>
      </c>
      <c r="B24" t="s">
        <v>318</v>
      </c>
      <c r="C24" t="s">
        <v>203</v>
      </c>
      <c r="D24" t="s">
        <v>319</v>
      </c>
      <c r="E24" t="s">
        <v>204</v>
      </c>
      <c r="F24" t="n">
        <v>2.2</v>
      </c>
      <c r="G24" t="n">
        <v>1</v>
      </c>
      <c r="H24" t="n">
        <v>19.5</v>
      </c>
      <c r="I24" t="n">
        <v>40.7</v>
      </c>
      <c r="J24" t="n">
        <v>9</v>
      </c>
      <c r="K24" t="n">
        <v>7</v>
      </c>
      <c r="L24" t="n">
        <v>36</v>
      </c>
      <c r="M24" t="n">
        <v>23</v>
      </c>
      <c r="N24" t="n">
        <v>73</v>
      </c>
      <c r="O24" t="n">
        <v>47.2</v>
      </c>
      <c r="P24" t="n">
        <v>34</v>
      </c>
      <c r="Q24" t="n">
        <v>105</v>
      </c>
      <c r="R24" t="n">
        <v>134</v>
      </c>
      <c r="S24" t="n">
        <v>190</v>
      </c>
      <c r="T24" t="n">
        <v>62</v>
      </c>
      <c r="U24" t="n">
        <v>32</v>
      </c>
      <c r="V24" t="n">
        <v>47.5</v>
      </c>
      <c r="W24" t="n">
        <v>19.4</v>
      </c>
      <c r="X24" t="n">
        <v>19</v>
      </c>
      <c r="Y24" t="n">
        <v>25.8</v>
      </c>
      <c r="Z24" t="n">
        <v>6.1</v>
      </c>
      <c r="AA24" t="n">
        <v>11.7</v>
      </c>
      <c r="AB24" t="n">
        <v>68.5</v>
      </c>
      <c r="AC24" t="n">
        <v>32.2</v>
      </c>
      <c r="AD24" t="n">
        <v>66.9</v>
      </c>
      <c r="AE24" t="n">
        <v>59.9</v>
      </c>
      <c r="AF24" t="n">
        <v>77.6</v>
      </c>
    </row>
    <row r="25">
      <c r="A25" t="s">
        <v>15</v>
      </c>
      <c r="B25" t="s">
        <v>320</v>
      </c>
      <c r="C25" t="s">
        <v>203</v>
      </c>
      <c r="D25" t="s">
        <v>321</v>
      </c>
      <c r="E25" t="s">
        <v>204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</v>
      </c>
      <c r="M25" t="n">
        <v>1</v>
      </c>
      <c r="N25" t="n">
        <v>1</v>
      </c>
      <c r="O25" t="n">
        <v>2</v>
      </c>
      <c r="P25" t="n">
        <v>3</v>
      </c>
      <c r="Q25" t="n">
        <v>4</v>
      </c>
      <c r="R25" t="n">
        <v>4</v>
      </c>
      <c r="S25" t="n">
        <v>8</v>
      </c>
      <c r="T25" t="n">
        <v>6</v>
      </c>
      <c r="U25" t="n">
        <v>5</v>
      </c>
      <c r="V25" t="n">
        <v>2.7</v>
      </c>
      <c r="W25" t="n">
        <v>1.7</v>
      </c>
      <c r="X25" t="n">
        <v>1.7</v>
      </c>
      <c r="Y25" t="n">
        <v>0.5</v>
      </c>
      <c r="Z25" t="n">
        <v>0.9</v>
      </c>
      <c r="AA25" t="n">
        <v>-0.6</v>
      </c>
      <c r="AB25" t="n">
        <v>2.5</v>
      </c>
      <c r="AC25" t="n">
        <v>5.6</v>
      </c>
      <c r="AD25" t="n">
        <v>14.5</v>
      </c>
      <c r="AE25" t="n">
        <v>8</v>
      </c>
      <c r="AF25" t="n">
        <v>10.9</v>
      </c>
    </row>
    <row r="26">
      <c r="A26" t="s">
        <v>15</v>
      </c>
      <c r="B26" t="s">
        <v>322</v>
      </c>
      <c r="C26" t="s">
        <v>203</v>
      </c>
      <c r="D26" t="s">
        <v>323</v>
      </c>
      <c r="E26" t="s">
        <v>204</v>
      </c>
      <c r="F26" t="n">
        <v>0.3</v>
      </c>
      <c r="G26" t="n">
        <v>0.2</v>
      </c>
      <c r="H26" t="n">
        <v>2.9</v>
      </c>
      <c r="I26" t="n">
        <v>6</v>
      </c>
      <c r="J26" t="n">
        <v>8</v>
      </c>
      <c r="K26" t="n">
        <v>4</v>
      </c>
      <c r="L26" t="n">
        <v>18</v>
      </c>
      <c r="M26" t="n">
        <v>18</v>
      </c>
      <c r="N26" t="n">
        <v>38</v>
      </c>
      <c r="O26" t="n">
        <v>23</v>
      </c>
      <c r="P26" t="n">
        <v>30</v>
      </c>
      <c r="Q26" t="n">
        <v>69</v>
      </c>
      <c r="R26" t="n">
        <v>83</v>
      </c>
      <c r="S26" t="n">
        <v>112</v>
      </c>
      <c r="T26" t="n">
        <v>36</v>
      </c>
      <c r="U26" t="n">
        <v>17</v>
      </c>
      <c r="V26" t="n">
        <v>31.3</v>
      </c>
      <c r="W26" t="n">
        <v>11.7</v>
      </c>
      <c r="X26" t="n">
        <v>11.5</v>
      </c>
      <c r="Y26" t="n">
        <v>8.1</v>
      </c>
      <c r="Z26" t="n">
        <v>1</v>
      </c>
      <c r="AA26" t="n">
        <v>10.2</v>
      </c>
      <c r="AB26" t="n">
        <v>29.4</v>
      </c>
      <c r="AC26" t="n">
        <v>16.4</v>
      </c>
      <c r="AD26" t="n">
        <v>43.3</v>
      </c>
      <c r="AE26" t="n">
        <v>36.5</v>
      </c>
      <c r="AF26" t="n">
        <v>41.8</v>
      </c>
    </row>
    <row r="27">
      <c r="A27" t="s">
        <v>15</v>
      </c>
      <c r="B27" t="s">
        <v>324</v>
      </c>
      <c r="C27" t="s">
        <v>203</v>
      </c>
      <c r="D27" t="s">
        <v>325</v>
      </c>
      <c r="E27" t="s">
        <v>204</v>
      </c>
      <c r="F27" t="n">
        <v>1.9</v>
      </c>
      <c r="G27" t="n">
        <v>0.9</v>
      </c>
      <c r="H27" t="n">
        <v>16.6</v>
      </c>
      <c r="I27" t="n">
        <v>34.7</v>
      </c>
      <c r="J27" t="n">
        <v>1</v>
      </c>
      <c r="K27" t="n">
        <v>3</v>
      </c>
      <c r="L27" t="n">
        <v>11</v>
      </c>
      <c r="M27" t="n">
        <v>4</v>
      </c>
      <c r="N27" t="n">
        <v>34</v>
      </c>
      <c r="O27" t="n">
        <v>22.2</v>
      </c>
      <c r="P27" t="n">
        <v>1</v>
      </c>
      <c r="Q27" t="n">
        <v>32</v>
      </c>
      <c r="R27" t="n">
        <v>47</v>
      </c>
      <c r="S27" t="n">
        <v>70</v>
      </c>
      <c r="T27" t="n">
        <v>20</v>
      </c>
      <c r="U27" t="n">
        <v>10</v>
      </c>
      <c r="V27" t="n">
        <v>13.5</v>
      </c>
      <c r="W27" t="n">
        <v>6</v>
      </c>
      <c r="X27" t="n">
        <v>5.8</v>
      </c>
      <c r="Y27" t="n">
        <v>17.2</v>
      </c>
      <c r="Z27" t="n">
        <v>4.2</v>
      </c>
      <c r="AA27" t="n">
        <v>2.1</v>
      </c>
      <c r="AB27" t="n">
        <v>36.6</v>
      </c>
      <c r="AC27" t="n">
        <v>10.2</v>
      </c>
      <c r="AD27" t="n">
        <v>9.1</v>
      </c>
      <c r="AE27" t="n">
        <v>15.4</v>
      </c>
      <c r="AF27" t="n">
        <v>24.9</v>
      </c>
    </row>
    <row r="28">
      <c r="A28" t="s">
        <v>15</v>
      </c>
      <c r="B28" t="s">
        <v>326</v>
      </c>
      <c r="C28" t="s">
        <v>203</v>
      </c>
      <c r="D28" t="s">
        <v>327</v>
      </c>
      <c r="E28" t="s">
        <v>204</v>
      </c>
      <c r="F28" t="n">
        <v>0.2</v>
      </c>
      <c r="G28" t="n">
        <v>0.1</v>
      </c>
      <c r="H28" t="n">
        <v>1.4</v>
      </c>
      <c r="I28" t="n">
        <v>3</v>
      </c>
      <c r="J28" t="n">
        <v>0</v>
      </c>
      <c r="K28" t="n">
        <v>5</v>
      </c>
      <c r="L28" t="n">
        <v>14.6</v>
      </c>
      <c r="M28" t="n">
        <v>2</v>
      </c>
      <c r="N28" t="n">
        <v>2</v>
      </c>
      <c r="O28" t="n">
        <v>3</v>
      </c>
      <c r="P28" t="n">
        <v>3</v>
      </c>
      <c r="Q28" t="n">
        <v>9</v>
      </c>
      <c r="R28" t="n">
        <v>8</v>
      </c>
      <c r="S28" t="n">
        <v>8</v>
      </c>
      <c r="T28" t="n">
        <v>11</v>
      </c>
      <c r="U28" t="n">
        <v>13</v>
      </c>
      <c r="V28" t="n">
        <v>2.9</v>
      </c>
      <c r="W28" t="n">
        <v>1.1</v>
      </c>
      <c r="X28" t="n">
        <v>1.1</v>
      </c>
      <c r="Y28" t="n">
        <v>-0.9</v>
      </c>
      <c r="Z28" t="n">
        <v>3.6</v>
      </c>
      <c r="AA28" t="n">
        <v>5.6</v>
      </c>
      <c r="AB28" t="n">
        <v>23.3</v>
      </c>
      <c r="AC28" t="n">
        <v>12.7</v>
      </c>
      <c r="AD28" t="n">
        <v>13.7</v>
      </c>
      <c r="AE28" t="n">
        <v>17</v>
      </c>
      <c r="AF28" t="n">
        <v>1.4</v>
      </c>
    </row>
    <row r="29">
      <c r="A29" t="s">
        <v>15</v>
      </c>
      <c r="B29" t="s">
        <v>328</v>
      </c>
      <c r="C29" t="s">
        <v>203</v>
      </c>
      <c r="D29" t="s">
        <v>329</v>
      </c>
      <c r="E29" t="s">
        <v>204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</v>
      </c>
      <c r="L29" t="n">
        <v>2</v>
      </c>
      <c r="M29" t="n">
        <v>1</v>
      </c>
      <c r="N29" t="n">
        <v>1</v>
      </c>
      <c r="O29" t="n">
        <v>3</v>
      </c>
      <c r="P29" t="n">
        <v>2</v>
      </c>
      <c r="Q29" t="n">
        <v>5</v>
      </c>
      <c r="R29" t="n">
        <v>4</v>
      </c>
      <c r="S29" t="n">
        <v>6</v>
      </c>
      <c r="T29" t="n">
        <v>9</v>
      </c>
      <c r="U29" t="n">
        <v>4</v>
      </c>
      <c r="V29" t="n">
        <v>2.2</v>
      </c>
      <c r="W29" t="n">
        <v>0.8</v>
      </c>
      <c r="X29" t="n">
        <v>0.8</v>
      </c>
      <c r="Y29" t="n">
        <v>1.3</v>
      </c>
      <c r="Z29" t="n">
        <v>3.2</v>
      </c>
      <c r="AA29" t="n">
        <v>3</v>
      </c>
      <c r="AB29" t="n">
        <v>23.4</v>
      </c>
      <c r="AC29" t="n">
        <v>4.2</v>
      </c>
      <c r="AD29" t="n">
        <v>0.1</v>
      </c>
      <c r="AE29" t="n">
        <v>0.9</v>
      </c>
      <c r="AF29" t="n">
        <v>-11.8</v>
      </c>
    </row>
    <row r="30">
      <c r="A30" t="s">
        <v>15</v>
      </c>
      <c r="B30" t="s">
        <v>330</v>
      </c>
      <c r="C30" t="s">
        <v>203</v>
      </c>
      <c r="D30" t="s">
        <v>331</v>
      </c>
      <c r="E30" t="s">
        <v>204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-0.1</v>
      </c>
      <c r="AE30" t="n">
        <v>0</v>
      </c>
      <c r="AF30" t="n">
        <v>0</v>
      </c>
    </row>
    <row r="31">
      <c r="A31" t="s">
        <v>15</v>
      </c>
      <c r="B31" t="s">
        <v>332</v>
      </c>
      <c r="C31" t="s">
        <v>203</v>
      </c>
      <c r="D31" t="s">
        <v>333</v>
      </c>
      <c r="E31" t="s">
        <v>204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0.1</v>
      </c>
      <c r="X31" t="n">
        <v>0.1</v>
      </c>
      <c r="Y31" t="n">
        <v>0</v>
      </c>
      <c r="Z31" t="n">
        <v>-0.2</v>
      </c>
      <c r="AA31" t="n">
        <v>0.3</v>
      </c>
      <c r="AB31" t="n">
        <v>-0.3</v>
      </c>
      <c r="AC31" t="n">
        <v>0</v>
      </c>
      <c r="AD31" t="n">
        <v>11.4</v>
      </c>
      <c r="AE31" t="n">
        <v>12.8</v>
      </c>
      <c r="AF31" t="n">
        <v>0</v>
      </c>
    </row>
    <row r="32">
      <c r="A32" t="s">
        <v>15</v>
      </c>
      <c r="B32" t="s">
        <v>334</v>
      </c>
      <c r="C32" t="s">
        <v>203</v>
      </c>
      <c r="D32" t="s">
        <v>335</v>
      </c>
      <c r="E32" t="s">
        <v>204</v>
      </c>
      <c r="F32" t="n">
        <v>0.2</v>
      </c>
      <c r="G32" t="n">
        <v>0.1</v>
      </c>
      <c r="H32" t="n">
        <v>1.4</v>
      </c>
      <c r="I32" t="n">
        <v>3</v>
      </c>
      <c r="J32" t="n">
        <v>0</v>
      </c>
      <c r="K32" t="n">
        <v>1</v>
      </c>
      <c r="L32" t="n">
        <v>11.6</v>
      </c>
      <c r="M32" t="n">
        <v>1</v>
      </c>
      <c r="N32" t="n">
        <v>1</v>
      </c>
      <c r="O32" t="n">
        <v>0</v>
      </c>
      <c r="P32" t="n">
        <v>1</v>
      </c>
      <c r="Q32" t="n">
        <v>4</v>
      </c>
      <c r="R32" t="n">
        <v>3</v>
      </c>
      <c r="S32" t="n">
        <v>2</v>
      </c>
      <c r="T32" t="n">
        <v>2</v>
      </c>
      <c r="U32" t="n">
        <v>9</v>
      </c>
      <c r="V32" t="n">
        <v>0.7</v>
      </c>
      <c r="W32" t="n">
        <v>0.2</v>
      </c>
      <c r="X32" t="n">
        <v>0.2</v>
      </c>
      <c r="Y32" t="n">
        <v>-2.2</v>
      </c>
      <c r="Z32" t="n">
        <v>0.4</v>
      </c>
      <c r="AA32" t="n">
        <v>2.3</v>
      </c>
      <c r="AB32" t="n">
        <v>1.4</v>
      </c>
      <c r="AC32" t="n">
        <v>8.2</v>
      </c>
      <c r="AD32" t="n">
        <v>2.2</v>
      </c>
      <c r="AE32" t="n">
        <v>3.1</v>
      </c>
      <c r="AF32" t="n">
        <v>2.7</v>
      </c>
    </row>
    <row r="33">
      <c r="A33" t="s">
        <v>15</v>
      </c>
      <c r="B33" t="s">
        <v>336</v>
      </c>
      <c r="C33" t="s">
        <v>203</v>
      </c>
      <c r="D33" t="s">
        <v>337</v>
      </c>
      <c r="E33" t="s">
        <v>204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0.3</v>
      </c>
      <c r="AA33" t="n">
        <v>0.1</v>
      </c>
      <c r="AB33" t="n">
        <v>-1.2</v>
      </c>
      <c r="AC33" t="n">
        <v>0.3</v>
      </c>
      <c r="AD33" t="n">
        <v>0.1</v>
      </c>
      <c r="AE33" t="n">
        <v>0.2</v>
      </c>
      <c r="AF33" t="n">
        <v>10.4</v>
      </c>
    </row>
    <row r="34">
      <c r="A34" t="s">
        <v>15</v>
      </c>
      <c r="B34" t="s">
        <v>338</v>
      </c>
      <c r="C34" t="s">
        <v>203</v>
      </c>
      <c r="D34" t="s">
        <v>339</v>
      </c>
      <c r="E34" t="s">
        <v>204</v>
      </c>
      <c r="F34" t="n">
        <v>2</v>
      </c>
      <c r="G34" t="n">
        <v>0.9</v>
      </c>
      <c r="H34" t="n">
        <v>17.2</v>
      </c>
      <c r="I34" t="n">
        <v>36</v>
      </c>
      <c r="J34" t="n">
        <v>1</v>
      </c>
      <c r="K34" t="n">
        <v>0</v>
      </c>
      <c r="L34" t="n">
        <v>9</v>
      </c>
      <c r="M34" t="n">
        <v>4</v>
      </c>
      <c r="N34" t="n">
        <v>52</v>
      </c>
      <c r="O34" t="n">
        <v>6</v>
      </c>
      <c r="P34" t="n">
        <v>21</v>
      </c>
      <c r="Q34" t="n">
        <v>81</v>
      </c>
      <c r="R34" t="n">
        <v>66</v>
      </c>
      <c r="S34" t="n">
        <v>122</v>
      </c>
      <c r="T34" t="n">
        <v>47</v>
      </c>
      <c r="U34" t="n">
        <v>12</v>
      </c>
      <c r="V34" t="n">
        <v>24.3</v>
      </c>
      <c r="W34" t="n">
        <v>12.1</v>
      </c>
      <c r="X34" t="n">
        <v>11.9</v>
      </c>
      <c r="Y34" t="n">
        <v>10.3</v>
      </c>
      <c r="Z34" t="n">
        <v>28.6</v>
      </c>
      <c r="AA34" t="n">
        <v>35.9</v>
      </c>
      <c r="AB34" t="n">
        <v>20.5</v>
      </c>
      <c r="AC34" t="n">
        <v>23.8</v>
      </c>
      <c r="AD34" t="n">
        <v>24.6</v>
      </c>
      <c r="AE34" t="n">
        <v>10.1</v>
      </c>
      <c r="AF34" t="n">
        <v>72.3</v>
      </c>
    </row>
    <row r="35">
      <c r="A35" t="s">
        <v>15</v>
      </c>
      <c r="B35" t="s">
        <v>340</v>
      </c>
      <c r="C35" t="s">
        <v>203</v>
      </c>
      <c r="D35" t="s">
        <v>341</v>
      </c>
      <c r="E35" t="s">
        <v>204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</v>
      </c>
      <c r="M35" t="n">
        <v>2</v>
      </c>
      <c r="N35" t="n">
        <v>5</v>
      </c>
      <c r="O35" t="n">
        <v>0</v>
      </c>
      <c r="P35" t="n">
        <v>12</v>
      </c>
      <c r="Q35" t="n">
        <v>3</v>
      </c>
      <c r="R35" t="n">
        <v>12</v>
      </c>
      <c r="S35" t="n">
        <v>7</v>
      </c>
      <c r="T35" t="n">
        <v>7</v>
      </c>
      <c r="U35" t="n">
        <v>3</v>
      </c>
      <c r="V35" t="n">
        <v>2.6</v>
      </c>
      <c r="W35" t="n">
        <v>3.3</v>
      </c>
      <c r="X35" t="n">
        <v>3.2</v>
      </c>
      <c r="Y35" t="n">
        <v>4.3</v>
      </c>
      <c r="Z35" t="n">
        <v>7.7</v>
      </c>
      <c r="AA35" t="n">
        <v>3.7</v>
      </c>
      <c r="AB35" t="n">
        <v>3.3</v>
      </c>
      <c r="AC35" t="n">
        <v>4.9</v>
      </c>
      <c r="AD35" t="n">
        <v>11.1</v>
      </c>
      <c r="AE35" t="n">
        <v>11.1</v>
      </c>
      <c r="AF35" t="n">
        <v>62.6</v>
      </c>
    </row>
    <row r="36">
      <c r="A36" t="s">
        <v>15</v>
      </c>
      <c r="B36" t="s">
        <v>342</v>
      </c>
      <c r="C36" t="s">
        <v>203</v>
      </c>
      <c r="D36" t="s">
        <v>343</v>
      </c>
      <c r="E36" t="s">
        <v>204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</v>
      </c>
      <c r="M36" t="n">
        <v>2</v>
      </c>
      <c r="N36" t="n">
        <v>0</v>
      </c>
      <c r="O36" t="n">
        <v>0</v>
      </c>
      <c r="P36" t="n">
        <v>11</v>
      </c>
      <c r="Q36" t="n">
        <v>1</v>
      </c>
      <c r="R36" t="n">
        <v>3</v>
      </c>
      <c r="S36" t="n">
        <v>0</v>
      </c>
      <c r="T36" t="n">
        <v>1</v>
      </c>
      <c r="U36" t="n">
        <v>0</v>
      </c>
      <c r="V36" t="n">
        <v>0</v>
      </c>
      <c r="W36" t="n">
        <v>1.7</v>
      </c>
      <c r="X36" t="n">
        <v>1.7</v>
      </c>
      <c r="Y36" t="n">
        <v>0.1</v>
      </c>
      <c r="Z36" t="n">
        <v>0.5</v>
      </c>
      <c r="AA36" t="n">
        <v>0.8</v>
      </c>
      <c r="AB36" t="n">
        <v>0.2</v>
      </c>
      <c r="AC36" t="n">
        <v>1</v>
      </c>
      <c r="AD36" t="n">
        <v>6.8</v>
      </c>
      <c r="AE36" t="n">
        <v>1.2</v>
      </c>
      <c r="AF36" t="n">
        <v>4.8</v>
      </c>
    </row>
    <row r="37">
      <c r="A37" t="s">
        <v>15</v>
      </c>
      <c r="B37" t="s">
        <v>344</v>
      </c>
      <c r="C37" t="s">
        <v>203</v>
      </c>
      <c r="D37" t="s">
        <v>345</v>
      </c>
      <c r="E37" t="s">
        <v>204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3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0</v>
      </c>
      <c r="U37" t="n">
        <v>1</v>
      </c>
      <c r="V37" t="n">
        <v>0</v>
      </c>
      <c r="W37" t="n">
        <v>0.4</v>
      </c>
      <c r="X37" t="n">
        <v>0.4</v>
      </c>
      <c r="Y37" t="n">
        <v>1.5</v>
      </c>
      <c r="Z37" t="n">
        <v>-0.2</v>
      </c>
      <c r="AA37" t="n">
        <v>0.1</v>
      </c>
      <c r="AB37" t="n">
        <v>-0.3</v>
      </c>
      <c r="AC37" t="n">
        <v>1</v>
      </c>
      <c r="AD37" t="n">
        <v>-0.8</v>
      </c>
      <c r="AE37" t="n">
        <v>3.2</v>
      </c>
      <c r="AF37" t="n">
        <v>0</v>
      </c>
    </row>
    <row r="38">
      <c r="A38" t="s">
        <v>15</v>
      </c>
      <c r="B38" t="s">
        <v>346</v>
      </c>
      <c r="C38" t="s">
        <v>203</v>
      </c>
      <c r="D38" t="s">
        <v>347</v>
      </c>
      <c r="E38" t="s">
        <v>204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2</v>
      </c>
      <c r="O38" t="n">
        <v>0</v>
      </c>
      <c r="P38" t="n">
        <v>1</v>
      </c>
      <c r="Q38" t="n">
        <v>2</v>
      </c>
      <c r="R38" t="n">
        <v>8</v>
      </c>
      <c r="S38" t="n">
        <v>7</v>
      </c>
      <c r="T38" t="n">
        <v>6</v>
      </c>
      <c r="U38" t="n">
        <v>2</v>
      </c>
      <c r="V38" t="n">
        <v>2.5</v>
      </c>
      <c r="W38" t="n">
        <v>1.2</v>
      </c>
      <c r="X38" t="n">
        <v>1.2</v>
      </c>
      <c r="Y38" t="n">
        <v>2.6</v>
      </c>
      <c r="Z38" t="n">
        <v>7.4</v>
      </c>
      <c r="AA38" t="n">
        <v>2.8</v>
      </c>
      <c r="AB38" t="n">
        <v>3.4</v>
      </c>
      <c r="AC38" t="n">
        <v>2.9</v>
      </c>
      <c r="AD38" t="n">
        <v>5.1</v>
      </c>
      <c r="AE38" t="n">
        <v>6.7</v>
      </c>
      <c r="AF38" t="n">
        <v>57.8</v>
      </c>
    </row>
    <row r="39">
      <c r="A39" t="s">
        <v>15</v>
      </c>
      <c r="B39" t="s">
        <v>348</v>
      </c>
      <c r="C39" t="s">
        <v>203</v>
      </c>
      <c r="D39" t="s">
        <v>349</v>
      </c>
      <c r="E39" t="s">
        <v>204</v>
      </c>
      <c r="F39" t="n">
        <v>2.6</v>
      </c>
      <c r="G39" t="n">
        <v>1.2</v>
      </c>
      <c r="H39" t="n">
        <v>22.4</v>
      </c>
      <c r="I39" t="n">
        <v>47</v>
      </c>
      <c r="J39" t="n">
        <v>1</v>
      </c>
      <c r="K39" t="n">
        <v>0</v>
      </c>
      <c r="L39" t="n">
        <v>17</v>
      </c>
      <c r="M39" t="n">
        <v>7</v>
      </c>
      <c r="N39" t="n">
        <v>27</v>
      </c>
      <c r="O39" t="n">
        <v>8</v>
      </c>
      <c r="P39" t="n">
        <v>4</v>
      </c>
      <c r="Q39" t="n">
        <v>5</v>
      </c>
      <c r="R39" t="n">
        <v>5</v>
      </c>
      <c r="S39" t="n">
        <v>50</v>
      </c>
      <c r="T39" t="n">
        <v>0.5</v>
      </c>
      <c r="U39" t="n">
        <v>1</v>
      </c>
      <c r="V39" t="n">
        <v>8.6</v>
      </c>
      <c r="W39" t="n">
        <v>9.8</v>
      </c>
      <c r="X39" t="n">
        <v>9.6</v>
      </c>
      <c r="Y39" t="n">
        <v>20.5</v>
      </c>
      <c r="Z39" t="n">
        <v>14.3</v>
      </c>
      <c r="AA39" t="n">
        <v>25</v>
      </c>
      <c r="AB39" t="n">
        <v>37.9</v>
      </c>
      <c r="AC39" t="n">
        <v>27</v>
      </c>
      <c r="AD39" t="n">
        <v>-6.7</v>
      </c>
      <c r="AE39" t="n">
        <v>6.5</v>
      </c>
      <c r="AF39" t="n">
        <v>67.9</v>
      </c>
    </row>
    <row r="40">
      <c r="A40" t="s">
        <v>15</v>
      </c>
      <c r="B40" t="s">
        <v>350</v>
      </c>
      <c r="C40" t="s">
        <v>203</v>
      </c>
      <c r="D40" t="s">
        <v>351</v>
      </c>
      <c r="E40" t="s">
        <v>204</v>
      </c>
      <c r="F40" t="n">
        <v>0.3</v>
      </c>
      <c r="G40" t="n">
        <v>0.1</v>
      </c>
      <c r="H40" t="n">
        <v>2.5</v>
      </c>
      <c r="I40" t="n">
        <v>5.2</v>
      </c>
      <c r="J40" t="n">
        <v>36</v>
      </c>
      <c r="K40" t="n">
        <v>0</v>
      </c>
      <c r="L40" t="n">
        <v>1</v>
      </c>
      <c r="M40" t="n">
        <v>22</v>
      </c>
      <c r="N40" t="n">
        <v>5</v>
      </c>
      <c r="O40" t="n">
        <v>28</v>
      </c>
      <c r="P40" t="n">
        <v>53.4</v>
      </c>
      <c r="Q40" t="n">
        <v>555.5</v>
      </c>
      <c r="R40" t="n">
        <v>444.2</v>
      </c>
      <c r="S40" t="n">
        <v>492.2</v>
      </c>
      <c r="T40" t="n">
        <v>199</v>
      </c>
      <c r="U40" t="n">
        <v>79.8</v>
      </c>
      <c r="V40" t="n">
        <v>264.2</v>
      </c>
      <c r="W40" t="n">
        <v>41.1</v>
      </c>
      <c r="X40" t="n">
        <v>40.3</v>
      </c>
      <c r="Y40" t="n">
        <v>9.3</v>
      </c>
      <c r="Z40" t="n">
        <v>49.9</v>
      </c>
      <c r="AA40" t="n">
        <v>-1.1</v>
      </c>
      <c r="AB40" t="n">
        <v>500.8</v>
      </c>
      <c r="AC40" t="n">
        <v>343.9</v>
      </c>
      <c r="AD40" t="n">
        <v>340.7</v>
      </c>
      <c r="AE40" t="n">
        <v>361.2</v>
      </c>
      <c r="AF40" t="n">
        <v>456.8</v>
      </c>
    </row>
    <row r="41">
      <c r="A41" t="s">
        <v>15</v>
      </c>
      <c r="B41" t="s">
        <v>352</v>
      </c>
      <c r="C41" t="s">
        <v>203</v>
      </c>
      <c r="D41" t="s">
        <v>353</v>
      </c>
      <c r="E41" t="s">
        <v>204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15</v>
      </c>
      <c r="B42" t="s">
        <v>354</v>
      </c>
      <c r="C42" t="s">
        <v>203</v>
      </c>
      <c r="D42" t="s">
        <v>355</v>
      </c>
      <c r="E42" t="s">
        <v>204</v>
      </c>
      <c r="F42" t="n">
        <v>0.4</v>
      </c>
      <c r="G42" t="n">
        <v>0.2</v>
      </c>
      <c r="H42" t="n">
        <v>3.8</v>
      </c>
      <c r="I42" t="n">
        <v>8</v>
      </c>
      <c r="J42" t="n">
        <v>10</v>
      </c>
      <c r="K42" t="n">
        <v>14.2</v>
      </c>
      <c r="L42" t="n">
        <v>8</v>
      </c>
      <c r="M42" t="n">
        <v>39</v>
      </c>
      <c r="N42" t="n">
        <v>19</v>
      </c>
      <c r="O42" t="n">
        <v>13</v>
      </c>
      <c r="P42" t="n">
        <v>21</v>
      </c>
      <c r="Q42" t="n">
        <v>40</v>
      </c>
      <c r="R42" t="n">
        <v>90</v>
      </c>
      <c r="S42" t="n">
        <v>168</v>
      </c>
      <c r="T42" t="n">
        <v>60</v>
      </c>
      <c r="U42" t="n">
        <v>28</v>
      </c>
      <c r="V42" t="n">
        <v>35</v>
      </c>
      <c r="W42" t="n">
        <v>25.9</v>
      </c>
      <c r="X42" t="n">
        <v>25.4</v>
      </c>
      <c r="Y42" t="n">
        <v>9.3</v>
      </c>
      <c r="Z42" t="n">
        <v>23.3</v>
      </c>
      <c r="AA42" t="n">
        <v>16.4</v>
      </c>
      <c r="AB42" t="n">
        <v>107.6</v>
      </c>
      <c r="AC42" t="n">
        <v>59.6</v>
      </c>
      <c r="AD42" t="n">
        <v>17.3</v>
      </c>
      <c r="AE42" t="n">
        <v>28</v>
      </c>
      <c r="AF42" t="n">
        <v>51.2</v>
      </c>
    </row>
    <row r="43">
      <c r="A43" t="s">
        <v>15</v>
      </c>
      <c r="B43" t="s">
        <v>356</v>
      </c>
      <c r="C43" t="s">
        <v>203</v>
      </c>
      <c r="D43" t="s">
        <v>357</v>
      </c>
      <c r="E43" t="s">
        <v>204</v>
      </c>
      <c r="F43" t="n">
        <v>0.4</v>
      </c>
      <c r="G43" t="n">
        <v>0.2</v>
      </c>
      <c r="H43" t="n">
        <v>3.8</v>
      </c>
      <c r="I43" t="n">
        <v>8</v>
      </c>
      <c r="J43" t="n">
        <v>45</v>
      </c>
      <c r="K43" t="n">
        <v>14.2</v>
      </c>
      <c r="L43" t="n">
        <v>11</v>
      </c>
      <c r="M43" t="n">
        <v>40</v>
      </c>
      <c r="N43" t="n">
        <v>31.2</v>
      </c>
      <c r="O43" t="n">
        <v>15</v>
      </c>
      <c r="P43" t="n">
        <v>28</v>
      </c>
      <c r="Q43" t="n">
        <v>57</v>
      </c>
      <c r="R43" t="n">
        <v>131</v>
      </c>
      <c r="S43" t="n">
        <v>180</v>
      </c>
      <c r="T43" t="n">
        <v>80</v>
      </c>
      <c r="U43" t="n">
        <v>33</v>
      </c>
      <c r="V43" t="n">
        <v>39.4</v>
      </c>
      <c r="W43" t="n">
        <v>27.5</v>
      </c>
      <c r="X43" t="n">
        <v>26.9</v>
      </c>
      <c r="Y43" t="n">
        <v>12</v>
      </c>
      <c r="Z43" t="n">
        <v>31.8</v>
      </c>
      <c r="AA43" t="n">
        <v>21.4</v>
      </c>
      <c r="AB43" t="n">
        <v>168.2</v>
      </c>
      <c r="AC43" t="n">
        <v>86.8</v>
      </c>
      <c r="AD43" t="n">
        <v>13.8</v>
      </c>
      <c r="AE43" t="n">
        <v>55.9</v>
      </c>
      <c r="AF43" t="n">
        <v>68.4</v>
      </c>
    </row>
    <row r="44">
      <c r="A44" t="s">
        <v>15</v>
      </c>
      <c r="B44" t="s">
        <v>358</v>
      </c>
      <c r="C44" t="s">
        <v>203</v>
      </c>
      <c r="D44" t="s">
        <v>359</v>
      </c>
      <c r="E44" t="s">
        <v>204</v>
      </c>
      <c r="F44" t="n">
        <v>17</v>
      </c>
      <c r="G44" t="n">
        <v>7.7</v>
      </c>
      <c r="H44" t="n">
        <v>146.5</v>
      </c>
      <c r="I44" t="n">
        <v>307.1</v>
      </c>
      <c r="J44" t="n">
        <v>322.9</v>
      </c>
      <c r="K44" t="n">
        <v>425.1</v>
      </c>
      <c r="L44" t="n">
        <v>498.2</v>
      </c>
      <c r="M44" t="n">
        <v>625</v>
      </c>
      <c r="N44" t="n">
        <v>655.9</v>
      </c>
      <c r="O44" t="n">
        <v>742.5</v>
      </c>
      <c r="P44" t="n">
        <v>1298</v>
      </c>
      <c r="Q44" t="n">
        <v>2373.2</v>
      </c>
      <c r="R44" t="n">
        <v>2583.1</v>
      </c>
      <c r="S44" t="n">
        <v>3714.3</v>
      </c>
      <c r="T44" t="n">
        <v>3024.4</v>
      </c>
      <c r="U44" t="n">
        <v>1656.4</v>
      </c>
      <c r="V44" t="n">
        <v>1504.8</v>
      </c>
      <c r="W44" t="n">
        <v>1350</v>
      </c>
      <c r="X44" t="n">
        <v>1355.4</v>
      </c>
      <c r="Y44" t="n">
        <v>1264.9</v>
      </c>
      <c r="Z44" t="n">
        <v>1182.8</v>
      </c>
      <c r="AA44" t="n">
        <v>2494.8</v>
      </c>
      <c r="AB44" t="n">
        <v>2402.3</v>
      </c>
      <c r="AC44" t="n">
        <v>2604.8</v>
      </c>
      <c r="AD44" t="n">
        <v>2974.7</v>
      </c>
      <c r="AE44" t="n">
        <v>3053.2</v>
      </c>
      <c r="AF44" t="n">
        <v>3318.9</v>
      </c>
    </row>
    <row r="45">
      <c r="A45" t="s">
        <v>15</v>
      </c>
      <c r="B45" t="s">
        <v>360</v>
      </c>
      <c r="C45" t="s">
        <v>203</v>
      </c>
      <c r="D45" t="s">
        <v>361</v>
      </c>
      <c r="E45" t="s">
        <v>204</v>
      </c>
      <c r="F45" t="n">
        <v>16.9</v>
      </c>
      <c r="G45" t="n">
        <v>7.7</v>
      </c>
      <c r="H45" t="n">
        <v>146</v>
      </c>
      <c r="I45" t="n">
        <v>306.1</v>
      </c>
      <c r="J45" t="n">
        <v>322.9</v>
      </c>
      <c r="K45" t="n">
        <v>413.1</v>
      </c>
      <c r="L45" t="n">
        <v>485.2</v>
      </c>
      <c r="M45" t="n">
        <v>622</v>
      </c>
      <c r="N45" t="n">
        <v>652.9</v>
      </c>
      <c r="O45" t="n">
        <v>732.5</v>
      </c>
      <c r="P45" t="n">
        <v>1297</v>
      </c>
      <c r="Q45" t="n">
        <v>2370.2</v>
      </c>
      <c r="R45" t="n">
        <v>2575.1</v>
      </c>
      <c r="S45" t="n">
        <v>3703.3</v>
      </c>
      <c r="T45" t="n">
        <v>3021.4</v>
      </c>
      <c r="U45" t="n">
        <v>1653.4</v>
      </c>
      <c r="V45" t="n">
        <v>1501.2</v>
      </c>
      <c r="W45" t="n">
        <v>1347.6</v>
      </c>
      <c r="X45" t="n">
        <v>1353</v>
      </c>
      <c r="Y45" t="n">
        <v>1260.5</v>
      </c>
      <c r="Z45" t="n">
        <v>1173.8</v>
      </c>
      <c r="AA45" t="n">
        <v>2493.9</v>
      </c>
      <c r="AB45" t="n">
        <v>2398.6</v>
      </c>
      <c r="AC45" t="n">
        <v>2599.9</v>
      </c>
      <c r="AD45" t="n">
        <v>2970.8</v>
      </c>
      <c r="AE45" t="n">
        <v>3044.1</v>
      </c>
      <c r="AF45" t="n">
        <v>3314.4</v>
      </c>
    </row>
    <row r="46">
      <c r="A46" t="s">
        <v>15</v>
      </c>
      <c r="B46" t="s">
        <v>362</v>
      </c>
      <c r="C46" t="s">
        <v>203</v>
      </c>
      <c r="D46" t="s">
        <v>363</v>
      </c>
      <c r="E46" t="s">
        <v>204</v>
      </c>
      <c r="F46" t="n">
        <v>0</v>
      </c>
      <c r="G46" t="n">
        <v>0</v>
      </c>
      <c r="H46" t="n">
        <v>0</v>
      </c>
      <c r="I46" t="n">
        <v>0</v>
      </c>
      <c r="J46" t="n">
        <v>35</v>
      </c>
      <c r="K46" t="n">
        <v>0</v>
      </c>
      <c r="L46" t="n">
        <v>3</v>
      </c>
      <c r="M46" t="n">
        <v>1</v>
      </c>
      <c r="N46" t="n">
        <v>12.2</v>
      </c>
      <c r="O46" t="n">
        <v>2</v>
      </c>
      <c r="P46" t="n">
        <v>7</v>
      </c>
      <c r="Q46" t="n">
        <v>17</v>
      </c>
      <c r="R46" t="n">
        <v>41</v>
      </c>
      <c r="S46" t="n">
        <v>12</v>
      </c>
      <c r="T46" t="n">
        <v>20</v>
      </c>
      <c r="U46" t="n">
        <v>5</v>
      </c>
      <c r="V46" t="n">
        <v>4.4</v>
      </c>
      <c r="W46" t="n">
        <v>1.6</v>
      </c>
      <c r="X46" t="n">
        <v>1.5</v>
      </c>
      <c r="Y46" t="n">
        <v>2.7</v>
      </c>
      <c r="Z46" t="n">
        <v>8.5</v>
      </c>
      <c r="AA46" t="n">
        <v>5</v>
      </c>
      <c r="AB46" t="n">
        <v>60.6</v>
      </c>
      <c r="AC46" t="n">
        <v>27.2</v>
      </c>
      <c r="AD46" t="n">
        <v>-3.5</v>
      </c>
      <c r="AE46" t="n">
        <v>27.9</v>
      </c>
      <c r="AF46" t="n">
        <v>17.2</v>
      </c>
    </row>
    <row r="47">
      <c r="A47" t="s">
        <v>15</v>
      </c>
      <c r="B47" t="s">
        <v>364</v>
      </c>
      <c r="C47" t="s">
        <v>203</v>
      </c>
      <c r="D47" t="s">
        <v>365</v>
      </c>
      <c r="E47" t="s">
        <v>204</v>
      </c>
      <c r="F47" t="n">
        <v>0.2</v>
      </c>
      <c r="G47" t="n">
        <v>0.1</v>
      </c>
      <c r="H47" t="n">
        <v>1.9</v>
      </c>
      <c r="I47" t="n">
        <v>4</v>
      </c>
      <c r="J47" t="n">
        <v>12</v>
      </c>
      <c r="K47" t="n">
        <v>0</v>
      </c>
      <c r="L47" t="n">
        <v>40</v>
      </c>
      <c r="M47" t="n">
        <v>26.6</v>
      </c>
      <c r="N47" t="n">
        <v>81</v>
      </c>
      <c r="O47" t="n">
        <v>32</v>
      </c>
      <c r="P47" t="n">
        <v>31</v>
      </c>
      <c r="Q47" t="n">
        <v>31</v>
      </c>
      <c r="R47" t="n">
        <v>128</v>
      </c>
      <c r="S47" t="n">
        <v>42</v>
      </c>
      <c r="T47" t="n">
        <v>176.2</v>
      </c>
      <c r="U47" t="n">
        <v>263.6</v>
      </c>
      <c r="V47" t="n">
        <v>32.4</v>
      </c>
      <c r="W47" t="n">
        <v>7.4</v>
      </c>
      <c r="X47" t="n">
        <v>7.3</v>
      </c>
      <c r="Y47" t="n">
        <v>56.4</v>
      </c>
      <c r="Z47" t="n">
        <v>3</v>
      </c>
      <c r="AA47" t="n">
        <v>10.9</v>
      </c>
      <c r="AB47" t="n">
        <v>9.9</v>
      </c>
      <c r="AC47" t="n">
        <v>37.2</v>
      </c>
      <c r="AD47" t="n">
        <v>15.7</v>
      </c>
      <c r="AE47" t="n">
        <v>22.7</v>
      </c>
      <c r="AF47" t="n">
        <v>44.5</v>
      </c>
    </row>
    <row r="48">
      <c r="A48" t="s">
        <v>15</v>
      </c>
      <c r="B48" t="s">
        <v>366</v>
      </c>
      <c r="C48" t="s">
        <v>203</v>
      </c>
      <c r="D48" t="s">
        <v>367</v>
      </c>
      <c r="E48" t="s">
        <v>204</v>
      </c>
      <c r="F48" t="n">
        <v>0.6</v>
      </c>
      <c r="G48" t="n">
        <v>0.3</v>
      </c>
      <c r="H48" t="n">
        <v>5.2</v>
      </c>
      <c r="I48" t="n">
        <v>11</v>
      </c>
      <c r="J48" t="n">
        <v>12</v>
      </c>
      <c r="K48" t="n">
        <v>0</v>
      </c>
      <c r="L48" t="n">
        <v>43</v>
      </c>
      <c r="M48" t="n">
        <v>41.6</v>
      </c>
      <c r="N48" t="n">
        <v>81</v>
      </c>
      <c r="O48" t="n">
        <v>34</v>
      </c>
      <c r="P48" t="n">
        <v>39</v>
      </c>
      <c r="Q48" t="n">
        <v>36</v>
      </c>
      <c r="R48" t="n">
        <v>133</v>
      </c>
      <c r="S48" t="n">
        <v>46</v>
      </c>
      <c r="T48" t="n">
        <v>180.2</v>
      </c>
      <c r="U48" t="n">
        <v>265.6</v>
      </c>
      <c r="V48" t="n">
        <v>33.8</v>
      </c>
      <c r="W48" t="n">
        <v>8.2</v>
      </c>
      <c r="X48" t="n">
        <v>8</v>
      </c>
      <c r="Y48" t="n">
        <v>56.5</v>
      </c>
      <c r="Z48" t="n">
        <v>22.2</v>
      </c>
      <c r="AA48" t="n">
        <v>54.4</v>
      </c>
      <c r="AB48" t="n">
        <v>16.2</v>
      </c>
      <c r="AC48" t="n">
        <v>44.7</v>
      </c>
      <c r="AD48" t="n">
        <v>50</v>
      </c>
      <c r="AE48" t="n">
        <v>43.6</v>
      </c>
      <c r="AF48" t="n">
        <v>60.9</v>
      </c>
    </row>
    <row r="49">
      <c r="A49" t="s">
        <v>15</v>
      </c>
      <c r="B49" t="s">
        <v>368</v>
      </c>
      <c r="C49" t="s">
        <v>203</v>
      </c>
      <c r="D49" t="s">
        <v>369</v>
      </c>
      <c r="E49" t="s">
        <v>204</v>
      </c>
      <c r="F49" t="n">
        <v>0.4</v>
      </c>
      <c r="G49" t="n">
        <v>0.2</v>
      </c>
      <c r="H49" t="n">
        <v>3.3</v>
      </c>
      <c r="I49" t="n">
        <v>7</v>
      </c>
      <c r="J49" t="n">
        <v>0</v>
      </c>
      <c r="K49" t="n">
        <v>0</v>
      </c>
      <c r="L49" t="n">
        <v>1</v>
      </c>
      <c r="M49" t="n">
        <v>13</v>
      </c>
      <c r="N49" t="n">
        <v>0</v>
      </c>
      <c r="O49" t="n">
        <v>2</v>
      </c>
      <c r="P49" t="n">
        <v>3</v>
      </c>
      <c r="Q49" t="n">
        <v>3</v>
      </c>
      <c r="R49" t="n">
        <v>4</v>
      </c>
      <c r="S49" t="n">
        <v>2</v>
      </c>
      <c r="T49" t="n">
        <v>1</v>
      </c>
      <c r="U49" t="n">
        <v>1</v>
      </c>
      <c r="V49" t="n">
        <v>0.6</v>
      </c>
      <c r="W49" t="n">
        <v>0.3</v>
      </c>
      <c r="X49" t="n">
        <v>0.3</v>
      </c>
      <c r="Y49" t="n">
        <v>-0.5</v>
      </c>
      <c r="Z49" t="n">
        <v>8.7</v>
      </c>
      <c r="AA49" t="n">
        <v>6.3</v>
      </c>
      <c r="AB49" t="n">
        <v>5.2</v>
      </c>
      <c r="AC49" t="n">
        <v>3.5</v>
      </c>
      <c r="AD49" t="n">
        <v>30.5</v>
      </c>
      <c r="AE49" t="n">
        <v>6</v>
      </c>
      <c r="AF49" t="n">
        <v>10.8</v>
      </c>
    </row>
    <row r="50">
      <c r="A50" t="s">
        <v>15</v>
      </c>
      <c r="B50" t="s">
        <v>370</v>
      </c>
      <c r="C50" t="s">
        <v>203</v>
      </c>
      <c r="D50" t="s">
        <v>371</v>
      </c>
      <c r="E50" t="s">
        <v>204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2</v>
      </c>
      <c r="M50" t="n">
        <v>2</v>
      </c>
      <c r="N50" t="n">
        <v>0</v>
      </c>
      <c r="O50" t="n">
        <v>0</v>
      </c>
      <c r="P50" t="n">
        <v>5</v>
      </c>
      <c r="Q50" t="n">
        <v>2</v>
      </c>
      <c r="R50" t="n">
        <v>1</v>
      </c>
      <c r="S50" t="n">
        <v>2</v>
      </c>
      <c r="T50" t="n">
        <v>4</v>
      </c>
      <c r="U50" t="n">
        <v>2</v>
      </c>
      <c r="V50" t="n">
        <v>0.7</v>
      </c>
      <c r="W50" t="n">
        <v>0.5</v>
      </c>
      <c r="X50" t="n">
        <v>0.5</v>
      </c>
      <c r="Y50" t="n">
        <v>0.1</v>
      </c>
      <c r="Z50" t="n">
        <v>10.5</v>
      </c>
      <c r="AA50" t="n">
        <v>37.2</v>
      </c>
      <c r="AB50" t="n">
        <v>1.2</v>
      </c>
      <c r="AC50" t="n">
        <v>4</v>
      </c>
      <c r="AD50" t="n">
        <v>3.7</v>
      </c>
      <c r="AE50" t="n">
        <v>14.9</v>
      </c>
      <c r="AF50" t="n">
        <v>5.6</v>
      </c>
    </row>
    <row r="51">
      <c r="A51" t="s">
        <v>15</v>
      </c>
      <c r="B51" t="s">
        <v>372</v>
      </c>
      <c r="C51" t="s">
        <v>203</v>
      </c>
      <c r="D51" t="s">
        <v>373</v>
      </c>
      <c r="E51" t="s">
        <v>204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2</v>
      </c>
      <c r="M51" t="n">
        <v>2</v>
      </c>
      <c r="N51" t="n">
        <v>0</v>
      </c>
      <c r="O51" t="n">
        <v>0</v>
      </c>
      <c r="P51" t="n">
        <v>5</v>
      </c>
      <c r="Q51" t="n">
        <v>1</v>
      </c>
      <c r="R51" t="n">
        <v>1</v>
      </c>
      <c r="S51" t="n">
        <v>2</v>
      </c>
      <c r="T51" t="n">
        <v>2</v>
      </c>
      <c r="U51" t="n">
        <v>2</v>
      </c>
      <c r="V51" t="n">
        <v>0.6</v>
      </c>
      <c r="W51" t="n">
        <v>0.5</v>
      </c>
      <c r="X51" t="n">
        <v>0.5</v>
      </c>
      <c r="Y51" t="n">
        <v>0.1</v>
      </c>
      <c r="Z51" t="n">
        <v>1.1</v>
      </c>
      <c r="AA51" t="n">
        <v>35.4</v>
      </c>
      <c r="AB51" t="n">
        <v>0.2</v>
      </c>
      <c r="AC51" t="n">
        <v>3.3</v>
      </c>
      <c r="AD51" t="n">
        <v>2.9</v>
      </c>
      <c r="AE51" t="n">
        <v>13.7</v>
      </c>
      <c r="AF51" t="n">
        <v>4.9</v>
      </c>
    </row>
    <row r="52">
      <c r="A52" t="s">
        <v>15</v>
      </c>
      <c r="B52" t="s">
        <v>374</v>
      </c>
      <c r="C52" t="s">
        <v>203</v>
      </c>
      <c r="D52" t="s">
        <v>375</v>
      </c>
      <c r="E52" t="s">
        <v>204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1</v>
      </c>
      <c r="R52" t="n">
        <v>0</v>
      </c>
      <c r="S52" t="n">
        <v>0</v>
      </c>
      <c r="T52" t="n">
        <v>2</v>
      </c>
      <c r="U52" t="n">
        <v>0</v>
      </c>
      <c r="V52" t="n">
        <v>0.1</v>
      </c>
      <c r="W52" t="n">
        <v>0</v>
      </c>
      <c r="X52" t="n">
        <v>0</v>
      </c>
      <c r="Y52" t="n">
        <v>0</v>
      </c>
      <c r="Z52" t="n">
        <v>9.4</v>
      </c>
      <c r="AA52" t="n">
        <v>1.8</v>
      </c>
      <c r="AB52" t="n">
        <v>0.9</v>
      </c>
      <c r="AC52" t="n">
        <v>0.7</v>
      </c>
      <c r="AD52" t="n">
        <v>0.8</v>
      </c>
      <c r="AE52" t="n">
        <v>1.2</v>
      </c>
      <c r="AF52" t="n">
        <v>0.6</v>
      </c>
    </row>
    <row r="53">
      <c r="A53" t="s">
        <v>15</v>
      </c>
      <c r="B53" t="s">
        <v>376</v>
      </c>
      <c r="C53" t="s">
        <v>203</v>
      </c>
      <c r="D53" t="s">
        <v>377</v>
      </c>
      <c r="E53" t="s">
        <v>204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5.2</v>
      </c>
      <c r="L53" t="n">
        <v>0</v>
      </c>
      <c r="M53" t="n">
        <v>0</v>
      </c>
      <c r="N53" t="n">
        <v>1</v>
      </c>
      <c r="O53" t="n">
        <v>1</v>
      </c>
      <c r="P53" t="n">
        <v>1</v>
      </c>
      <c r="Q53" t="n">
        <v>6</v>
      </c>
      <c r="R53" t="n">
        <v>71</v>
      </c>
      <c r="S53" t="n">
        <v>1</v>
      </c>
      <c r="T53" t="n">
        <v>2</v>
      </c>
      <c r="U53" t="n">
        <v>1</v>
      </c>
      <c r="V53" t="n">
        <v>0.9</v>
      </c>
      <c r="W53" t="n">
        <v>0.9</v>
      </c>
      <c r="X53" t="n">
        <v>0.9</v>
      </c>
      <c r="Y53" t="n">
        <v>1.2</v>
      </c>
      <c r="Z53" t="n">
        <v>1.8</v>
      </c>
      <c r="AA53" t="n">
        <v>-0.6</v>
      </c>
      <c r="AB53" t="n">
        <v>16.7</v>
      </c>
      <c r="AC53" t="n">
        <v>15.4</v>
      </c>
      <c r="AD53" t="n">
        <v>1.5</v>
      </c>
      <c r="AE53" t="n">
        <v>2.6</v>
      </c>
      <c r="AF53" t="n">
        <v>0.3</v>
      </c>
    </row>
    <row r="54">
      <c r="A54" t="s">
        <v>15</v>
      </c>
      <c r="B54" t="s">
        <v>378</v>
      </c>
      <c r="C54" t="s">
        <v>203</v>
      </c>
      <c r="D54" t="s">
        <v>379</v>
      </c>
      <c r="E54" t="s">
        <v>204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5.2</v>
      </c>
      <c r="L54" t="n">
        <v>1</v>
      </c>
      <c r="M54" t="n">
        <v>0</v>
      </c>
      <c r="N54" t="n">
        <v>1</v>
      </c>
      <c r="O54" t="n">
        <v>1</v>
      </c>
      <c r="P54" t="n">
        <v>2</v>
      </c>
      <c r="Q54" t="n">
        <v>9</v>
      </c>
      <c r="R54" t="n">
        <v>73</v>
      </c>
      <c r="S54" t="n">
        <v>2</v>
      </c>
      <c r="T54" t="n">
        <v>2</v>
      </c>
      <c r="U54" t="n">
        <v>2</v>
      </c>
      <c r="V54" t="n">
        <v>3</v>
      </c>
      <c r="W54" t="n">
        <v>4.3</v>
      </c>
      <c r="X54" t="n">
        <v>4.2</v>
      </c>
      <c r="Y54" t="n">
        <v>4.3</v>
      </c>
      <c r="Z54" t="n">
        <v>3.9</v>
      </c>
      <c r="AA54" t="n">
        <v>2.8</v>
      </c>
      <c r="AB54" t="n">
        <v>20.7</v>
      </c>
      <c r="AC54" t="n">
        <v>18.7</v>
      </c>
      <c r="AD54" t="n">
        <v>6.8</v>
      </c>
      <c r="AE54" t="n">
        <v>7.7</v>
      </c>
      <c r="AF54" t="n">
        <v>7.4</v>
      </c>
    </row>
    <row r="55">
      <c r="A55" t="s">
        <v>15</v>
      </c>
      <c r="B55" t="s">
        <v>380</v>
      </c>
      <c r="C55" t="s">
        <v>203</v>
      </c>
      <c r="D55" t="s">
        <v>381</v>
      </c>
      <c r="E55" t="s">
        <v>204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0</v>
      </c>
      <c r="P55" t="n">
        <v>1</v>
      </c>
      <c r="Q55" t="n">
        <v>3</v>
      </c>
      <c r="R55" t="n">
        <v>2</v>
      </c>
      <c r="S55" t="n">
        <v>1</v>
      </c>
      <c r="T55" t="n">
        <v>0</v>
      </c>
      <c r="U55" t="n">
        <v>1</v>
      </c>
      <c r="V55" t="n">
        <v>2.1</v>
      </c>
      <c r="W55" t="n">
        <v>3.4</v>
      </c>
      <c r="X55" t="n">
        <v>3.3</v>
      </c>
      <c r="Y55" t="n">
        <v>3.1</v>
      </c>
      <c r="Z55" t="n">
        <v>2.1</v>
      </c>
      <c r="AA55" t="n">
        <v>3.4</v>
      </c>
      <c r="AB55" t="n">
        <v>4</v>
      </c>
      <c r="AC55" t="n">
        <v>3.3</v>
      </c>
      <c r="AD55" t="n">
        <v>5.3</v>
      </c>
      <c r="AE55" t="n">
        <v>5.1</v>
      </c>
      <c r="AF55" t="n">
        <v>7.1</v>
      </c>
    </row>
    <row r="56">
      <c r="A56" t="s">
        <v>15</v>
      </c>
      <c r="B56" t="s">
        <v>382</v>
      </c>
      <c r="C56" t="s">
        <v>203</v>
      </c>
      <c r="D56" t="s">
        <v>383</v>
      </c>
      <c r="E56" t="s">
        <v>204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15</v>
      </c>
      <c r="B57" t="s">
        <v>384</v>
      </c>
      <c r="C57" t="s">
        <v>203</v>
      </c>
      <c r="D57" t="s">
        <v>385</v>
      </c>
      <c r="E57" t="s">
        <v>204</v>
      </c>
      <c r="F57" t="n">
        <v>17.9</v>
      </c>
      <c r="G57" t="n">
        <v>8.2</v>
      </c>
      <c r="H57" t="n">
        <v>154.2</v>
      </c>
      <c r="I57" t="n">
        <v>323.3</v>
      </c>
      <c r="J57" t="n">
        <v>370.9</v>
      </c>
      <c r="K57" t="n">
        <v>425.1</v>
      </c>
      <c r="L57" t="n">
        <v>542.2</v>
      </c>
      <c r="M57" t="n">
        <v>688.6</v>
      </c>
      <c r="N57" t="n">
        <v>741.9</v>
      </c>
      <c r="O57" t="n">
        <v>804.5</v>
      </c>
      <c r="P57" t="n">
        <v>1390.4</v>
      </c>
      <c r="Q57" t="n">
        <v>2964.7</v>
      </c>
      <c r="R57" t="n">
        <v>3160.3</v>
      </c>
      <c r="S57" t="n">
        <v>4252.5</v>
      </c>
      <c r="T57" t="n">
        <v>3404.6</v>
      </c>
      <c r="U57" t="n">
        <v>2002.8</v>
      </c>
      <c r="V57" t="n">
        <v>1802.7</v>
      </c>
      <c r="W57" t="n">
        <v>1399.3</v>
      </c>
      <c r="X57" t="n">
        <v>1403.8</v>
      </c>
      <c r="Y57" t="n">
        <v>1330.2</v>
      </c>
      <c r="Z57" t="n">
        <v>1254.9</v>
      </c>
      <c r="AA57" t="n">
        <v>2548.1</v>
      </c>
      <c r="AB57" t="n">
        <v>2919.4</v>
      </c>
      <c r="AC57" t="n">
        <v>2993.4</v>
      </c>
      <c r="AD57" t="n">
        <v>3365.3</v>
      </c>
      <c r="AE57" t="n">
        <v>3458</v>
      </c>
      <c r="AF57" t="n">
        <v>3836.6</v>
      </c>
    </row>
    <row r="58">
      <c r="A58" t="s">
        <v>15</v>
      </c>
      <c r="B58" t="s">
        <v>386</v>
      </c>
      <c r="C58" t="s">
        <v>203</v>
      </c>
      <c r="D58" t="s">
        <v>387</v>
      </c>
      <c r="E58" t="s">
        <v>204</v>
      </c>
      <c r="F58" t="n">
        <v>17.9</v>
      </c>
      <c r="G58" t="n">
        <v>8.1</v>
      </c>
      <c r="H58" t="n">
        <v>154.2</v>
      </c>
      <c r="I58" t="n">
        <v>323.3</v>
      </c>
      <c r="J58" t="n">
        <v>370.9</v>
      </c>
      <c r="K58" t="n">
        <v>425.1</v>
      </c>
      <c r="L58" t="n">
        <v>542.2</v>
      </c>
      <c r="M58" t="n">
        <v>688.6</v>
      </c>
      <c r="N58" t="n">
        <v>741.9</v>
      </c>
      <c r="O58" t="n">
        <v>804.5</v>
      </c>
      <c r="P58" t="n">
        <v>1390.4</v>
      </c>
      <c r="Q58" t="n">
        <v>2964.7</v>
      </c>
      <c r="R58" t="n">
        <v>3160.3</v>
      </c>
      <c r="S58" t="n">
        <v>4252.5</v>
      </c>
      <c r="T58" t="n">
        <v>3404.6</v>
      </c>
      <c r="U58" t="n">
        <v>2002.8</v>
      </c>
      <c r="V58" t="n">
        <v>1802.7</v>
      </c>
      <c r="W58" t="n">
        <v>1399.3</v>
      </c>
      <c r="X58" t="n">
        <v>1403.8</v>
      </c>
      <c r="Y58" t="n">
        <v>1330.2</v>
      </c>
      <c r="Z58" t="n">
        <v>1254.9</v>
      </c>
      <c r="AA58" t="n">
        <v>2548.1</v>
      </c>
      <c r="AB58" t="n">
        <v>2919.4</v>
      </c>
      <c r="AC58" t="n">
        <v>2993.4</v>
      </c>
      <c r="AD58" t="n">
        <v>3365.3</v>
      </c>
      <c r="AE58" t="n">
        <v>3458</v>
      </c>
      <c r="AF58" t="n">
        <v>3836.6</v>
      </c>
    </row>
    <row r="59">
      <c r="A59" t="s">
        <v>15</v>
      </c>
      <c r="B59" t="s">
        <v>388</v>
      </c>
      <c r="C59" t="s">
        <v>203</v>
      </c>
      <c r="D59" t="s">
        <v>389</v>
      </c>
      <c r="E59" t="s">
        <v>204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17</v>
      </c>
      <c r="B2" t="s">
        <v>197</v>
      </c>
      <c r="C2" t="s">
        <v>203</v>
      </c>
      <c r="D2" t="s">
        <v>199</v>
      </c>
      <c r="E2" t="s">
        <v>204</v>
      </c>
      <c r="F2" t="n">
        <v>10.2</v>
      </c>
      <c r="G2" t="n">
        <v>4.7</v>
      </c>
      <c r="H2" t="n">
        <v>88.4</v>
      </c>
      <c r="I2" t="n">
        <v>185.3</v>
      </c>
      <c r="J2" t="n">
        <v>191.5</v>
      </c>
      <c r="K2" t="n">
        <v>78.1</v>
      </c>
      <c r="L2" t="n">
        <v>187.8</v>
      </c>
      <c r="M2" t="n">
        <v>104.9</v>
      </c>
      <c r="N2" t="n">
        <v>203.1</v>
      </c>
      <c r="O2" t="n">
        <v>275.7</v>
      </c>
      <c r="P2" t="n">
        <v>82.7</v>
      </c>
      <c r="Q2" t="n">
        <v>153.2</v>
      </c>
      <c r="R2" t="n">
        <v>168</v>
      </c>
      <c r="S2" t="n">
        <v>158.4</v>
      </c>
      <c r="T2" t="n">
        <v>87.9</v>
      </c>
      <c r="U2" t="n">
        <v>140.6</v>
      </c>
      <c r="V2" t="n">
        <v>140.7</v>
      </c>
      <c r="W2" t="n">
        <v>109.1</v>
      </c>
      <c r="X2" t="n">
        <v>117.6</v>
      </c>
      <c r="Y2" t="n">
        <v>132.7</v>
      </c>
      <c r="Z2" t="n">
        <v>90.6</v>
      </c>
      <c r="AA2" t="n">
        <v>92.1</v>
      </c>
      <c r="AB2" t="n">
        <v>46.3</v>
      </c>
      <c r="AC2" t="n">
        <v>152.2</v>
      </c>
      <c r="AD2" t="n">
        <v>86.4</v>
      </c>
      <c r="AE2" t="n">
        <v>149.1</v>
      </c>
      <c r="AF2" t="n">
        <v>71.1</v>
      </c>
    </row>
    <row r="3">
      <c r="A3" t="s">
        <v>17</v>
      </c>
      <c r="B3" t="s">
        <v>276</v>
      </c>
      <c r="C3" t="s">
        <v>203</v>
      </c>
      <c r="D3" t="s">
        <v>277</v>
      </c>
      <c r="E3" t="s">
        <v>204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17</v>
      </c>
      <c r="B4" t="s">
        <v>278</v>
      </c>
      <c r="C4" t="s">
        <v>203</v>
      </c>
      <c r="D4" t="s">
        <v>279</v>
      </c>
      <c r="E4" t="s">
        <v>204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17</v>
      </c>
      <c r="B5" t="s">
        <v>280</v>
      </c>
      <c r="C5" t="s">
        <v>203</v>
      </c>
      <c r="D5" t="s">
        <v>281</v>
      </c>
      <c r="E5" t="s">
        <v>204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17</v>
      </c>
      <c r="B6" t="s">
        <v>282</v>
      </c>
      <c r="C6" t="s">
        <v>203</v>
      </c>
      <c r="D6" t="s">
        <v>283</v>
      </c>
      <c r="E6" t="s">
        <v>204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17</v>
      </c>
      <c r="B7" t="s">
        <v>284</v>
      </c>
      <c r="C7" t="s">
        <v>203</v>
      </c>
      <c r="D7" t="s">
        <v>285</v>
      </c>
      <c r="E7" t="s">
        <v>204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17</v>
      </c>
      <c r="B8" t="s">
        <v>286</v>
      </c>
      <c r="C8" t="s">
        <v>203</v>
      </c>
      <c r="D8" t="s">
        <v>287</v>
      </c>
      <c r="E8" t="s">
        <v>204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17</v>
      </c>
      <c r="B9" t="s">
        <v>288</v>
      </c>
      <c r="C9" t="s">
        <v>203</v>
      </c>
      <c r="D9" t="s">
        <v>289</v>
      </c>
      <c r="E9" t="s">
        <v>204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17</v>
      </c>
      <c r="B10" t="s">
        <v>290</v>
      </c>
      <c r="C10" t="s">
        <v>203</v>
      </c>
      <c r="D10" t="s">
        <v>291</v>
      </c>
      <c r="E10" t="s">
        <v>204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17</v>
      </c>
      <c r="B11" t="s">
        <v>292</v>
      </c>
      <c r="C11" t="s">
        <v>203</v>
      </c>
      <c r="D11" t="s">
        <v>293</v>
      </c>
      <c r="E11" t="s">
        <v>204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17</v>
      </c>
      <c r="B12" t="s">
        <v>294</v>
      </c>
      <c r="C12" t="s">
        <v>203</v>
      </c>
      <c r="D12" t="s">
        <v>295</v>
      </c>
      <c r="E12" t="s">
        <v>204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17</v>
      </c>
      <c r="B13" t="s">
        <v>296</v>
      </c>
      <c r="C13" t="s">
        <v>203</v>
      </c>
      <c r="D13" t="s">
        <v>297</v>
      </c>
      <c r="E13" t="s">
        <v>204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17</v>
      </c>
      <c r="B14" t="s">
        <v>298</v>
      </c>
      <c r="C14" t="s">
        <v>203</v>
      </c>
      <c r="D14" t="s">
        <v>299</v>
      </c>
      <c r="E14" t="s">
        <v>204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17</v>
      </c>
      <c r="B15" t="s">
        <v>300</v>
      </c>
      <c r="C15" t="s">
        <v>203</v>
      </c>
      <c r="D15" t="s">
        <v>301</v>
      </c>
      <c r="E15" t="s">
        <v>204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17</v>
      </c>
      <c r="B16" t="s">
        <v>302</v>
      </c>
      <c r="C16" t="s">
        <v>203</v>
      </c>
      <c r="D16" t="s">
        <v>303</v>
      </c>
      <c r="E16" t="s">
        <v>204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17</v>
      </c>
      <c r="B17" t="s">
        <v>304</v>
      </c>
      <c r="C17" t="s">
        <v>203</v>
      </c>
      <c r="D17" t="s">
        <v>305</v>
      </c>
      <c r="E17" t="s">
        <v>204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17</v>
      </c>
      <c r="B18" t="s">
        <v>306</v>
      </c>
      <c r="C18" t="s">
        <v>203</v>
      </c>
      <c r="D18" t="s">
        <v>307</v>
      </c>
      <c r="E18" t="s">
        <v>204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17</v>
      </c>
      <c r="B19" t="s">
        <v>308</v>
      </c>
      <c r="C19" t="s">
        <v>203</v>
      </c>
      <c r="D19" t="s">
        <v>309</v>
      </c>
      <c r="E19" t="s">
        <v>204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17</v>
      </c>
      <c r="B20" t="s">
        <v>310</v>
      </c>
      <c r="C20" t="s">
        <v>203</v>
      </c>
      <c r="D20" t="s">
        <v>311</v>
      </c>
      <c r="E20" t="s">
        <v>204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17</v>
      </c>
      <c r="B21" t="s">
        <v>312</v>
      </c>
      <c r="C21" t="s">
        <v>203</v>
      </c>
      <c r="D21" t="s">
        <v>313</v>
      </c>
      <c r="E21" t="s">
        <v>204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17</v>
      </c>
      <c r="B22" t="s">
        <v>314</v>
      </c>
      <c r="C22" t="s">
        <v>203</v>
      </c>
      <c r="D22" t="s">
        <v>315</v>
      </c>
      <c r="E22" t="s">
        <v>204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17</v>
      </c>
      <c r="B23" t="s">
        <v>316</v>
      </c>
      <c r="C23" t="s">
        <v>203</v>
      </c>
      <c r="D23" t="s">
        <v>317</v>
      </c>
      <c r="E23" t="s">
        <v>204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17</v>
      </c>
      <c r="B24" t="s">
        <v>318</v>
      </c>
      <c r="C24" t="s">
        <v>203</v>
      </c>
      <c r="D24" t="s">
        <v>319</v>
      </c>
      <c r="E24" t="s">
        <v>204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17</v>
      </c>
      <c r="B25" t="s">
        <v>320</v>
      </c>
      <c r="C25" t="s">
        <v>203</v>
      </c>
      <c r="D25" t="s">
        <v>321</v>
      </c>
      <c r="E25" t="s">
        <v>204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17</v>
      </c>
      <c r="B26" t="s">
        <v>322</v>
      </c>
      <c r="C26" t="s">
        <v>203</v>
      </c>
      <c r="D26" t="s">
        <v>323</v>
      </c>
      <c r="E26" t="s">
        <v>204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17</v>
      </c>
      <c r="B27" t="s">
        <v>324</v>
      </c>
      <c r="C27" t="s">
        <v>203</v>
      </c>
      <c r="D27" t="s">
        <v>325</v>
      </c>
      <c r="E27" t="s">
        <v>204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17</v>
      </c>
      <c r="B28" t="s">
        <v>326</v>
      </c>
      <c r="C28" t="s">
        <v>203</v>
      </c>
      <c r="D28" t="s">
        <v>327</v>
      </c>
      <c r="E28" t="s">
        <v>204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17</v>
      </c>
      <c r="B29" t="s">
        <v>328</v>
      </c>
      <c r="C29" t="s">
        <v>203</v>
      </c>
      <c r="D29" t="s">
        <v>329</v>
      </c>
      <c r="E29" t="s">
        <v>204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17</v>
      </c>
      <c r="B30" t="s">
        <v>330</v>
      </c>
      <c r="C30" t="s">
        <v>203</v>
      </c>
      <c r="D30" t="s">
        <v>331</v>
      </c>
      <c r="E30" t="s">
        <v>204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17</v>
      </c>
      <c r="B31" t="s">
        <v>332</v>
      </c>
      <c r="C31" t="s">
        <v>203</v>
      </c>
      <c r="D31" t="s">
        <v>333</v>
      </c>
      <c r="E31" t="s">
        <v>204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17</v>
      </c>
      <c r="B32" t="s">
        <v>334</v>
      </c>
      <c r="C32" t="s">
        <v>203</v>
      </c>
      <c r="D32" t="s">
        <v>335</v>
      </c>
      <c r="E32" t="s">
        <v>204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17</v>
      </c>
      <c r="B33" t="s">
        <v>336</v>
      </c>
      <c r="C33" t="s">
        <v>203</v>
      </c>
      <c r="D33" t="s">
        <v>337</v>
      </c>
      <c r="E33" t="s">
        <v>204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17</v>
      </c>
      <c r="B34" t="s">
        <v>338</v>
      </c>
      <c r="C34" t="s">
        <v>203</v>
      </c>
      <c r="D34" t="s">
        <v>339</v>
      </c>
      <c r="E34" t="s">
        <v>204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17</v>
      </c>
      <c r="B35" t="s">
        <v>340</v>
      </c>
      <c r="C35" t="s">
        <v>203</v>
      </c>
      <c r="D35" t="s">
        <v>341</v>
      </c>
      <c r="E35" t="s">
        <v>204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17</v>
      </c>
      <c r="B36" t="s">
        <v>342</v>
      </c>
      <c r="C36" t="s">
        <v>203</v>
      </c>
      <c r="D36" t="s">
        <v>343</v>
      </c>
      <c r="E36" t="s">
        <v>204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17</v>
      </c>
      <c r="B37" t="s">
        <v>344</v>
      </c>
      <c r="C37" t="s">
        <v>203</v>
      </c>
      <c r="D37" t="s">
        <v>345</v>
      </c>
      <c r="E37" t="s">
        <v>204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17</v>
      </c>
      <c r="B38" t="s">
        <v>346</v>
      </c>
      <c r="C38" t="s">
        <v>203</v>
      </c>
      <c r="D38" t="s">
        <v>347</v>
      </c>
      <c r="E38" t="s">
        <v>204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17</v>
      </c>
      <c r="B39" t="s">
        <v>348</v>
      </c>
      <c r="C39" t="s">
        <v>203</v>
      </c>
      <c r="D39" t="s">
        <v>349</v>
      </c>
      <c r="E39" t="s">
        <v>204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17</v>
      </c>
      <c r="B40" t="s">
        <v>350</v>
      </c>
      <c r="C40" t="s">
        <v>203</v>
      </c>
      <c r="D40" t="s">
        <v>351</v>
      </c>
      <c r="E40" t="s">
        <v>204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17</v>
      </c>
      <c r="B41" t="s">
        <v>352</v>
      </c>
      <c r="C41" t="s">
        <v>203</v>
      </c>
      <c r="D41" t="s">
        <v>353</v>
      </c>
      <c r="E41" t="s">
        <v>204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17</v>
      </c>
      <c r="B42" t="s">
        <v>354</v>
      </c>
      <c r="C42" t="s">
        <v>203</v>
      </c>
      <c r="D42" t="s">
        <v>355</v>
      </c>
      <c r="E42" t="s">
        <v>204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17</v>
      </c>
      <c r="B43" t="s">
        <v>356</v>
      </c>
      <c r="C43" t="s">
        <v>203</v>
      </c>
      <c r="D43" t="s">
        <v>357</v>
      </c>
      <c r="E43" t="s">
        <v>204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17</v>
      </c>
      <c r="B44" t="s">
        <v>358</v>
      </c>
      <c r="C44" t="s">
        <v>203</v>
      </c>
      <c r="D44" t="s">
        <v>359</v>
      </c>
      <c r="E44" t="s">
        <v>204</v>
      </c>
      <c r="F44" t="n">
        <v>10.2</v>
      </c>
      <c r="G44" t="n">
        <v>4.7</v>
      </c>
      <c r="H44" t="n">
        <v>88.4</v>
      </c>
      <c r="I44" t="n">
        <v>185.3</v>
      </c>
      <c r="J44" t="n">
        <v>191.5</v>
      </c>
      <c r="K44" t="n">
        <v>78.1</v>
      </c>
      <c r="L44" t="n">
        <v>187.8</v>
      </c>
      <c r="M44" t="n">
        <v>104.9</v>
      </c>
      <c r="N44" t="n">
        <v>203.1</v>
      </c>
      <c r="O44" t="n">
        <v>275.7</v>
      </c>
      <c r="P44" t="n">
        <v>82.7</v>
      </c>
      <c r="Q44" t="n">
        <v>153.2</v>
      </c>
      <c r="R44" t="n">
        <v>168</v>
      </c>
      <c r="S44" t="n">
        <v>158.4</v>
      </c>
      <c r="T44" t="n">
        <v>87.9</v>
      </c>
      <c r="U44" t="n">
        <v>140.6</v>
      </c>
      <c r="V44" t="n">
        <v>140.7</v>
      </c>
      <c r="W44" t="n">
        <v>109.1</v>
      </c>
      <c r="X44" t="n">
        <v>117.6</v>
      </c>
      <c r="Y44" t="n">
        <v>136.7</v>
      </c>
      <c r="Z44" t="n">
        <v>89.7</v>
      </c>
      <c r="AA44" t="n">
        <v>99.6</v>
      </c>
      <c r="AB44" t="n">
        <v>61.6</v>
      </c>
      <c r="AC44" t="n">
        <v>165.1</v>
      </c>
      <c r="AD44" t="n">
        <v>100</v>
      </c>
      <c r="AE44" t="n">
        <v>155.4</v>
      </c>
      <c r="AF44" t="n">
        <v>77.2</v>
      </c>
    </row>
    <row r="45">
      <c r="A45" t="s">
        <v>17</v>
      </c>
      <c r="B45" t="s">
        <v>360</v>
      </c>
      <c r="C45" t="s">
        <v>203</v>
      </c>
      <c r="D45" t="s">
        <v>361</v>
      </c>
      <c r="E45" t="s">
        <v>204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17</v>
      </c>
      <c r="B46" t="s">
        <v>362</v>
      </c>
      <c r="C46" t="s">
        <v>203</v>
      </c>
      <c r="D46" t="s">
        <v>363</v>
      </c>
      <c r="E46" t="s">
        <v>204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17</v>
      </c>
      <c r="B47" t="s">
        <v>364</v>
      </c>
      <c r="C47" t="s">
        <v>203</v>
      </c>
      <c r="D47" t="s">
        <v>365</v>
      </c>
      <c r="E47" t="s">
        <v>204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17</v>
      </c>
      <c r="B48" t="s">
        <v>366</v>
      </c>
      <c r="C48" t="s">
        <v>203</v>
      </c>
      <c r="D48" t="s">
        <v>367</v>
      </c>
      <c r="E48" t="s">
        <v>204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17</v>
      </c>
      <c r="B49" t="s">
        <v>368</v>
      </c>
      <c r="C49" t="s">
        <v>203</v>
      </c>
      <c r="D49" t="s">
        <v>369</v>
      </c>
      <c r="E49" t="s">
        <v>204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17</v>
      </c>
      <c r="B50" t="s">
        <v>370</v>
      </c>
      <c r="C50" t="s">
        <v>203</v>
      </c>
      <c r="D50" t="s">
        <v>371</v>
      </c>
      <c r="E50" t="s">
        <v>204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17</v>
      </c>
      <c r="B51" t="s">
        <v>372</v>
      </c>
      <c r="C51" t="s">
        <v>203</v>
      </c>
      <c r="D51" t="s">
        <v>373</v>
      </c>
      <c r="E51" t="s">
        <v>204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17</v>
      </c>
      <c r="B52" t="s">
        <v>374</v>
      </c>
      <c r="C52" t="s">
        <v>203</v>
      </c>
      <c r="D52" t="s">
        <v>375</v>
      </c>
      <c r="E52" t="s">
        <v>204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17</v>
      </c>
      <c r="B53" t="s">
        <v>376</v>
      </c>
      <c r="C53" t="s">
        <v>203</v>
      </c>
      <c r="D53" t="s">
        <v>377</v>
      </c>
      <c r="E53" t="s">
        <v>204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17</v>
      </c>
      <c r="B54" t="s">
        <v>378</v>
      </c>
      <c r="C54" t="s">
        <v>203</v>
      </c>
      <c r="D54" t="s">
        <v>379</v>
      </c>
      <c r="E54" t="s">
        <v>204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17</v>
      </c>
      <c r="B55" t="s">
        <v>380</v>
      </c>
      <c r="C55" t="s">
        <v>203</v>
      </c>
      <c r="D55" t="s">
        <v>381</v>
      </c>
      <c r="E55" t="s">
        <v>204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17</v>
      </c>
      <c r="B56" t="s">
        <v>382</v>
      </c>
      <c r="C56" t="s">
        <v>203</v>
      </c>
      <c r="D56" t="s">
        <v>383</v>
      </c>
      <c r="E56" t="s">
        <v>204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17</v>
      </c>
      <c r="B57" t="s">
        <v>384</v>
      </c>
      <c r="C57" t="s">
        <v>203</v>
      </c>
      <c r="D57" t="s">
        <v>385</v>
      </c>
      <c r="E57" t="s">
        <v>204</v>
      </c>
      <c r="F57" t="n">
        <v>10.2</v>
      </c>
      <c r="G57" t="n">
        <v>4.7</v>
      </c>
      <c r="H57" t="n">
        <v>88.4</v>
      </c>
      <c r="I57" t="n">
        <v>185.3</v>
      </c>
      <c r="J57" t="n">
        <v>191.5</v>
      </c>
      <c r="K57" t="n">
        <v>78.1</v>
      </c>
      <c r="L57" t="n">
        <v>187.8</v>
      </c>
      <c r="M57" t="n">
        <v>104.9</v>
      </c>
      <c r="N57" t="n">
        <v>203.1</v>
      </c>
      <c r="O57" t="n">
        <v>275.7</v>
      </c>
      <c r="P57" t="n">
        <v>82.7</v>
      </c>
      <c r="Q57" t="n">
        <v>153.2</v>
      </c>
      <c r="R57" t="n">
        <v>168</v>
      </c>
      <c r="S57" t="n">
        <v>158.4</v>
      </c>
      <c r="T57" t="n">
        <v>87.9</v>
      </c>
      <c r="U57" t="n">
        <v>140.6</v>
      </c>
      <c r="V57" t="n">
        <v>140.7</v>
      </c>
      <c r="W57" t="n">
        <v>109.1</v>
      </c>
      <c r="X57" t="n">
        <v>117.6</v>
      </c>
      <c r="Y57" t="n">
        <v>136.8</v>
      </c>
      <c r="Z57" t="n">
        <v>90.3</v>
      </c>
      <c r="AA57" t="n">
        <v>100.6</v>
      </c>
      <c r="AB57" t="n">
        <v>62.2</v>
      </c>
      <c r="AC57" t="n">
        <v>166.1</v>
      </c>
      <c r="AD57" t="n">
        <v>101.7</v>
      </c>
      <c r="AE57" t="n">
        <v>156.6</v>
      </c>
      <c r="AF57" t="n">
        <v>76.7</v>
      </c>
    </row>
    <row r="58">
      <c r="A58" t="s">
        <v>17</v>
      </c>
      <c r="B58" t="s">
        <v>386</v>
      </c>
      <c r="C58" t="s">
        <v>203</v>
      </c>
      <c r="D58" t="s">
        <v>387</v>
      </c>
      <c r="E58" t="s">
        <v>204</v>
      </c>
      <c r="F58" t="n">
        <v>10.2</v>
      </c>
      <c r="G58" t="n">
        <v>4.7</v>
      </c>
      <c r="H58" t="n">
        <v>88.4</v>
      </c>
      <c r="I58" t="n">
        <v>185.3</v>
      </c>
      <c r="J58" t="n">
        <v>191.5</v>
      </c>
      <c r="K58" t="n">
        <v>78.1</v>
      </c>
      <c r="L58" t="n">
        <v>187.8</v>
      </c>
      <c r="M58" t="n">
        <v>104.9</v>
      </c>
      <c r="N58" t="n">
        <v>203.1</v>
      </c>
      <c r="O58" t="n">
        <v>275.7</v>
      </c>
      <c r="P58" t="n">
        <v>82.7</v>
      </c>
      <c r="Q58" t="n">
        <v>153.2</v>
      </c>
      <c r="R58" t="n">
        <v>168</v>
      </c>
      <c r="S58" t="n">
        <v>158.4</v>
      </c>
      <c r="T58" t="n">
        <v>87.9</v>
      </c>
      <c r="U58" t="n">
        <v>140.6</v>
      </c>
      <c r="V58" t="n">
        <v>140.7</v>
      </c>
      <c r="W58" t="n">
        <v>109.1</v>
      </c>
      <c r="X58" t="n">
        <v>117.6</v>
      </c>
      <c r="Y58" t="n">
        <v>136.8</v>
      </c>
      <c r="Z58" t="n">
        <v>90.3</v>
      </c>
      <c r="AA58" t="n">
        <v>100.6</v>
      </c>
      <c r="AB58" t="n">
        <v>62.2</v>
      </c>
      <c r="AC58" t="n">
        <v>166.1</v>
      </c>
      <c r="AD58" t="n">
        <v>101.7</v>
      </c>
      <c r="AE58" t="n">
        <v>156.6</v>
      </c>
      <c r="AF58" t="n">
        <v>76.7</v>
      </c>
    </row>
    <row r="59">
      <c r="A59" t="s">
        <v>17</v>
      </c>
      <c r="B59" t="s">
        <v>388</v>
      </c>
      <c r="C59" t="s">
        <v>203</v>
      </c>
      <c r="D59" t="s">
        <v>389</v>
      </c>
      <c r="E59" t="s">
        <v>204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19</v>
      </c>
      <c r="B2" t="s">
        <v>197</v>
      </c>
      <c r="C2" t="s">
        <v>203</v>
      </c>
      <c r="D2" t="s">
        <v>199</v>
      </c>
      <c r="E2" t="s">
        <v>204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/>
      <c r="AE2"/>
      <c r="AF2"/>
    </row>
    <row r="3">
      <c r="A3" t="s">
        <v>19</v>
      </c>
      <c r="B3" t="s">
        <v>276</v>
      </c>
      <c r="C3" t="s">
        <v>203</v>
      </c>
      <c r="D3" t="s">
        <v>277</v>
      </c>
      <c r="E3" t="s">
        <v>204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/>
      <c r="AE3"/>
      <c r="AF3"/>
    </row>
    <row r="4">
      <c r="A4" t="s">
        <v>19</v>
      </c>
      <c r="B4" t="s">
        <v>278</v>
      </c>
      <c r="C4" t="s">
        <v>203</v>
      </c>
      <c r="D4" t="s">
        <v>279</v>
      </c>
      <c r="E4" t="s">
        <v>204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/>
      <c r="AE4"/>
      <c r="AF4"/>
    </row>
    <row r="5">
      <c r="A5" t="s">
        <v>19</v>
      </c>
      <c r="B5" t="s">
        <v>280</v>
      </c>
      <c r="C5" t="s">
        <v>203</v>
      </c>
      <c r="D5" t="s">
        <v>281</v>
      </c>
      <c r="E5" t="s">
        <v>204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/>
      <c r="AE5"/>
      <c r="AF5"/>
    </row>
    <row r="6">
      <c r="A6" t="s">
        <v>19</v>
      </c>
      <c r="B6" t="s">
        <v>282</v>
      </c>
      <c r="C6" t="s">
        <v>203</v>
      </c>
      <c r="D6" t="s">
        <v>283</v>
      </c>
      <c r="E6" t="s">
        <v>204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/>
      <c r="AE6"/>
      <c r="AF6"/>
    </row>
    <row r="7">
      <c r="A7" t="s">
        <v>19</v>
      </c>
      <c r="B7" t="s">
        <v>284</v>
      </c>
      <c r="C7" t="s">
        <v>203</v>
      </c>
      <c r="D7" t="s">
        <v>285</v>
      </c>
      <c r="E7" t="s">
        <v>204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/>
      <c r="AE7"/>
      <c r="AF7"/>
    </row>
    <row r="8">
      <c r="A8" t="s">
        <v>19</v>
      </c>
      <c r="B8" t="s">
        <v>286</v>
      </c>
      <c r="C8" t="s">
        <v>203</v>
      </c>
      <c r="D8" t="s">
        <v>287</v>
      </c>
      <c r="E8" t="s">
        <v>204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/>
      <c r="AE8"/>
      <c r="AF8"/>
    </row>
    <row r="9">
      <c r="A9" t="s">
        <v>19</v>
      </c>
      <c r="B9" t="s">
        <v>288</v>
      </c>
      <c r="C9" t="s">
        <v>203</v>
      </c>
      <c r="D9" t="s">
        <v>289</v>
      </c>
      <c r="E9" t="s">
        <v>204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/>
      <c r="AE9"/>
      <c r="AF9"/>
    </row>
    <row r="10">
      <c r="A10" t="s">
        <v>19</v>
      </c>
      <c r="B10" t="s">
        <v>290</v>
      </c>
      <c r="C10" t="s">
        <v>203</v>
      </c>
      <c r="D10" t="s">
        <v>291</v>
      </c>
      <c r="E10" t="s">
        <v>204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/>
      <c r="AE10"/>
      <c r="AF10"/>
    </row>
    <row r="11">
      <c r="A11" t="s">
        <v>19</v>
      </c>
      <c r="B11" t="s">
        <v>292</v>
      </c>
      <c r="C11" t="s">
        <v>203</v>
      </c>
      <c r="D11" t="s">
        <v>293</v>
      </c>
      <c r="E11" t="s">
        <v>204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/>
      <c r="AE11"/>
      <c r="AF11"/>
    </row>
    <row r="12">
      <c r="A12" t="s">
        <v>19</v>
      </c>
      <c r="B12" t="s">
        <v>294</v>
      </c>
      <c r="C12" t="s">
        <v>203</v>
      </c>
      <c r="D12" t="s">
        <v>295</v>
      </c>
      <c r="E12" t="s">
        <v>204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/>
      <c r="AE12"/>
      <c r="AF12"/>
    </row>
    <row r="13">
      <c r="A13" t="s">
        <v>19</v>
      </c>
      <c r="B13" t="s">
        <v>296</v>
      </c>
      <c r="C13" t="s">
        <v>203</v>
      </c>
      <c r="D13" t="s">
        <v>297</v>
      </c>
      <c r="E13" t="s">
        <v>204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/>
      <c r="AE13"/>
      <c r="AF13"/>
    </row>
    <row r="14">
      <c r="A14" t="s">
        <v>19</v>
      </c>
      <c r="B14" t="s">
        <v>298</v>
      </c>
      <c r="C14" t="s">
        <v>203</v>
      </c>
      <c r="D14" t="s">
        <v>299</v>
      </c>
      <c r="E14" t="s">
        <v>204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/>
      <c r="AE14"/>
      <c r="AF14"/>
    </row>
    <row r="15">
      <c r="A15" t="s">
        <v>19</v>
      </c>
      <c r="B15" t="s">
        <v>300</v>
      </c>
      <c r="C15" t="s">
        <v>203</v>
      </c>
      <c r="D15" t="s">
        <v>301</v>
      </c>
      <c r="E15" t="s">
        <v>204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/>
      <c r="AE15"/>
      <c r="AF15"/>
    </row>
    <row r="16">
      <c r="A16" t="s">
        <v>19</v>
      </c>
      <c r="B16" t="s">
        <v>302</v>
      </c>
      <c r="C16" t="s">
        <v>203</v>
      </c>
      <c r="D16" t="s">
        <v>303</v>
      </c>
      <c r="E16" t="s">
        <v>204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/>
      <c r="AE16"/>
      <c r="AF16"/>
    </row>
    <row r="17">
      <c r="A17" t="s">
        <v>19</v>
      </c>
      <c r="B17" t="s">
        <v>304</v>
      </c>
      <c r="C17" t="s">
        <v>203</v>
      </c>
      <c r="D17" t="s">
        <v>305</v>
      </c>
      <c r="E17" t="s">
        <v>204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/>
      <c r="AE17"/>
      <c r="AF17"/>
    </row>
    <row r="18">
      <c r="A18" t="s">
        <v>19</v>
      </c>
      <c r="B18" t="s">
        <v>306</v>
      </c>
      <c r="C18" t="s">
        <v>203</v>
      </c>
      <c r="D18" t="s">
        <v>307</v>
      </c>
      <c r="E18" t="s">
        <v>204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/>
      <c r="AE18"/>
      <c r="AF18"/>
    </row>
    <row r="19">
      <c r="A19" t="s">
        <v>19</v>
      </c>
      <c r="B19" t="s">
        <v>308</v>
      </c>
      <c r="C19" t="s">
        <v>203</v>
      </c>
      <c r="D19" t="s">
        <v>309</v>
      </c>
      <c r="E19" t="s">
        <v>204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/>
      <c r="AE19"/>
      <c r="AF19"/>
    </row>
    <row r="20">
      <c r="A20" t="s">
        <v>19</v>
      </c>
      <c r="B20" t="s">
        <v>310</v>
      </c>
      <c r="C20" t="s">
        <v>203</v>
      </c>
      <c r="D20" t="s">
        <v>311</v>
      </c>
      <c r="E20" t="s">
        <v>204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/>
      <c r="AE20"/>
      <c r="AF20"/>
    </row>
    <row r="21">
      <c r="A21" t="s">
        <v>19</v>
      </c>
      <c r="B21" t="s">
        <v>312</v>
      </c>
      <c r="C21" t="s">
        <v>203</v>
      </c>
      <c r="D21" t="s">
        <v>313</v>
      </c>
      <c r="E21" t="s">
        <v>204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/>
      <c r="AE21"/>
      <c r="AF21"/>
    </row>
    <row r="22">
      <c r="A22" t="s">
        <v>19</v>
      </c>
      <c r="B22" t="s">
        <v>314</v>
      </c>
      <c r="C22" t="s">
        <v>203</v>
      </c>
      <c r="D22" t="s">
        <v>315</v>
      </c>
      <c r="E22" t="s">
        <v>204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/>
      <c r="AE22"/>
      <c r="AF22"/>
    </row>
    <row r="23">
      <c r="A23" t="s">
        <v>19</v>
      </c>
      <c r="B23" t="s">
        <v>316</v>
      </c>
      <c r="C23" t="s">
        <v>203</v>
      </c>
      <c r="D23" t="s">
        <v>317</v>
      </c>
      <c r="E23" t="s">
        <v>204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/>
      <c r="AE23"/>
      <c r="AF23"/>
    </row>
    <row r="24">
      <c r="A24" t="s">
        <v>19</v>
      </c>
      <c r="B24" t="s">
        <v>318</v>
      </c>
      <c r="C24" t="s">
        <v>203</v>
      </c>
      <c r="D24" t="s">
        <v>319</v>
      </c>
      <c r="E24" t="s">
        <v>204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/>
      <c r="AE24"/>
      <c r="AF24"/>
    </row>
    <row r="25">
      <c r="A25" t="s">
        <v>19</v>
      </c>
      <c r="B25" t="s">
        <v>320</v>
      </c>
      <c r="C25" t="s">
        <v>203</v>
      </c>
      <c r="D25" t="s">
        <v>321</v>
      </c>
      <c r="E25" t="s">
        <v>204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/>
      <c r="AE25"/>
      <c r="AF25"/>
    </row>
    <row r="26">
      <c r="A26" t="s">
        <v>19</v>
      </c>
      <c r="B26" t="s">
        <v>322</v>
      </c>
      <c r="C26" t="s">
        <v>203</v>
      </c>
      <c r="D26" t="s">
        <v>323</v>
      </c>
      <c r="E26" t="s">
        <v>204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/>
      <c r="AE26"/>
      <c r="AF26"/>
    </row>
    <row r="27">
      <c r="A27" t="s">
        <v>19</v>
      </c>
      <c r="B27" t="s">
        <v>324</v>
      </c>
      <c r="C27" t="s">
        <v>203</v>
      </c>
      <c r="D27" t="s">
        <v>325</v>
      </c>
      <c r="E27" t="s">
        <v>204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/>
      <c r="AE27"/>
      <c r="AF27"/>
    </row>
    <row r="28">
      <c r="A28" t="s">
        <v>19</v>
      </c>
      <c r="B28" t="s">
        <v>326</v>
      </c>
      <c r="C28" t="s">
        <v>203</v>
      </c>
      <c r="D28" t="s">
        <v>327</v>
      </c>
      <c r="E28" t="s">
        <v>204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/>
      <c r="AE28"/>
      <c r="AF28"/>
    </row>
    <row r="29">
      <c r="A29" t="s">
        <v>19</v>
      </c>
      <c r="B29" t="s">
        <v>328</v>
      </c>
      <c r="C29" t="s">
        <v>203</v>
      </c>
      <c r="D29" t="s">
        <v>329</v>
      </c>
      <c r="E29" t="s">
        <v>204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/>
      <c r="AE29"/>
      <c r="AF29"/>
    </row>
    <row r="30">
      <c r="A30" t="s">
        <v>19</v>
      </c>
      <c r="B30" t="s">
        <v>330</v>
      </c>
      <c r="C30" t="s">
        <v>203</v>
      </c>
      <c r="D30" t="s">
        <v>331</v>
      </c>
      <c r="E30" t="s">
        <v>204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/>
      <c r="AE30"/>
      <c r="AF30"/>
    </row>
    <row r="31">
      <c r="A31" t="s">
        <v>19</v>
      </c>
      <c r="B31" t="s">
        <v>332</v>
      </c>
      <c r="C31" t="s">
        <v>203</v>
      </c>
      <c r="D31" t="s">
        <v>333</v>
      </c>
      <c r="E31" t="s">
        <v>204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/>
      <c r="AE31"/>
      <c r="AF31"/>
    </row>
    <row r="32">
      <c r="A32" t="s">
        <v>19</v>
      </c>
      <c r="B32" t="s">
        <v>334</v>
      </c>
      <c r="C32" t="s">
        <v>203</v>
      </c>
      <c r="D32" t="s">
        <v>335</v>
      </c>
      <c r="E32" t="s">
        <v>204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/>
      <c r="AE32"/>
      <c r="AF32"/>
    </row>
    <row r="33">
      <c r="A33" t="s">
        <v>19</v>
      </c>
      <c r="B33" t="s">
        <v>336</v>
      </c>
      <c r="C33" t="s">
        <v>203</v>
      </c>
      <c r="D33" t="s">
        <v>337</v>
      </c>
      <c r="E33" t="s">
        <v>204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/>
      <c r="AE33"/>
      <c r="AF33"/>
    </row>
    <row r="34">
      <c r="A34" t="s">
        <v>19</v>
      </c>
      <c r="B34" t="s">
        <v>338</v>
      </c>
      <c r="C34" t="s">
        <v>203</v>
      </c>
      <c r="D34" t="s">
        <v>339</v>
      </c>
      <c r="E34" t="s">
        <v>204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/>
      <c r="AE34"/>
      <c r="AF34"/>
    </row>
    <row r="35">
      <c r="A35" t="s">
        <v>19</v>
      </c>
      <c r="B35" t="s">
        <v>340</v>
      </c>
      <c r="C35" t="s">
        <v>203</v>
      </c>
      <c r="D35" t="s">
        <v>341</v>
      </c>
      <c r="E35" t="s">
        <v>204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/>
      <c r="AE35"/>
      <c r="AF35"/>
    </row>
    <row r="36">
      <c r="A36" t="s">
        <v>19</v>
      </c>
      <c r="B36" t="s">
        <v>342</v>
      </c>
      <c r="C36" t="s">
        <v>203</v>
      </c>
      <c r="D36" t="s">
        <v>343</v>
      </c>
      <c r="E36" t="s">
        <v>204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/>
      <c r="AE36"/>
      <c r="AF36"/>
    </row>
    <row r="37">
      <c r="A37" t="s">
        <v>19</v>
      </c>
      <c r="B37" t="s">
        <v>344</v>
      </c>
      <c r="C37" t="s">
        <v>203</v>
      </c>
      <c r="D37" t="s">
        <v>345</v>
      </c>
      <c r="E37" t="s">
        <v>204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/>
      <c r="AE37"/>
      <c r="AF37"/>
    </row>
    <row r="38">
      <c r="A38" t="s">
        <v>19</v>
      </c>
      <c r="B38" t="s">
        <v>346</v>
      </c>
      <c r="C38" t="s">
        <v>203</v>
      </c>
      <c r="D38" t="s">
        <v>347</v>
      </c>
      <c r="E38" t="s">
        <v>204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/>
      <c r="AE38"/>
      <c r="AF38"/>
    </row>
    <row r="39">
      <c r="A39" t="s">
        <v>19</v>
      </c>
      <c r="B39" t="s">
        <v>348</v>
      </c>
      <c r="C39" t="s">
        <v>203</v>
      </c>
      <c r="D39" t="s">
        <v>349</v>
      </c>
      <c r="E39" t="s">
        <v>204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/>
      <c r="AE39"/>
      <c r="AF39"/>
    </row>
    <row r="40">
      <c r="A40" t="s">
        <v>19</v>
      </c>
      <c r="B40" t="s">
        <v>350</v>
      </c>
      <c r="C40" t="s">
        <v>203</v>
      </c>
      <c r="D40" t="s">
        <v>351</v>
      </c>
      <c r="E40" t="s">
        <v>204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/>
      <c r="AE40"/>
      <c r="AF40"/>
    </row>
    <row r="41">
      <c r="A41" t="s">
        <v>19</v>
      </c>
      <c r="B41" t="s">
        <v>352</v>
      </c>
      <c r="C41" t="s">
        <v>203</v>
      </c>
      <c r="D41" t="s">
        <v>353</v>
      </c>
      <c r="E41" t="s">
        <v>204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/>
      <c r="AE41"/>
      <c r="AF41"/>
    </row>
    <row r="42">
      <c r="A42" t="s">
        <v>19</v>
      </c>
      <c r="B42" t="s">
        <v>354</v>
      </c>
      <c r="C42" t="s">
        <v>203</v>
      </c>
      <c r="D42" t="s">
        <v>355</v>
      </c>
      <c r="E42" t="s">
        <v>204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/>
      <c r="AE42"/>
      <c r="AF42"/>
    </row>
    <row r="43">
      <c r="A43" t="s">
        <v>19</v>
      </c>
      <c r="B43" t="s">
        <v>356</v>
      </c>
      <c r="C43" t="s">
        <v>203</v>
      </c>
      <c r="D43" t="s">
        <v>357</v>
      </c>
      <c r="E43" t="s">
        <v>204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/>
      <c r="AE43"/>
      <c r="AF43"/>
    </row>
    <row r="44">
      <c r="A44" t="s">
        <v>19</v>
      </c>
      <c r="B44" t="s">
        <v>358</v>
      </c>
      <c r="C44" t="s">
        <v>203</v>
      </c>
      <c r="D44" t="s">
        <v>359</v>
      </c>
      <c r="E44" t="s">
        <v>204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/>
      <c r="AE44"/>
      <c r="AF44"/>
    </row>
    <row r="45">
      <c r="A45" t="s">
        <v>19</v>
      </c>
      <c r="B45" t="s">
        <v>360</v>
      </c>
      <c r="C45" t="s">
        <v>203</v>
      </c>
      <c r="D45" t="s">
        <v>361</v>
      </c>
      <c r="E45" t="s">
        <v>204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/>
      <c r="AE45"/>
      <c r="AF45"/>
    </row>
    <row r="46">
      <c r="A46" t="s">
        <v>19</v>
      </c>
      <c r="B46" t="s">
        <v>362</v>
      </c>
      <c r="C46" t="s">
        <v>203</v>
      </c>
      <c r="D46" t="s">
        <v>363</v>
      </c>
      <c r="E46" t="s">
        <v>204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/>
      <c r="AE46"/>
      <c r="AF46"/>
    </row>
    <row r="47">
      <c r="A47" t="s">
        <v>19</v>
      </c>
      <c r="B47" t="s">
        <v>364</v>
      </c>
      <c r="C47" t="s">
        <v>203</v>
      </c>
      <c r="D47" t="s">
        <v>365</v>
      </c>
      <c r="E47" t="s">
        <v>204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/>
      <c r="AE47"/>
      <c r="AF47"/>
    </row>
    <row r="48">
      <c r="A48" t="s">
        <v>19</v>
      </c>
      <c r="B48" t="s">
        <v>366</v>
      </c>
      <c r="C48" t="s">
        <v>203</v>
      </c>
      <c r="D48" t="s">
        <v>367</v>
      </c>
      <c r="E48" t="s">
        <v>204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/>
      <c r="AE48"/>
      <c r="AF48"/>
    </row>
    <row r="49">
      <c r="A49" t="s">
        <v>19</v>
      </c>
      <c r="B49" t="s">
        <v>368</v>
      </c>
      <c r="C49" t="s">
        <v>203</v>
      </c>
      <c r="D49" t="s">
        <v>369</v>
      </c>
      <c r="E49" t="s">
        <v>204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/>
      <c r="AE49"/>
      <c r="AF49"/>
    </row>
    <row r="50">
      <c r="A50" t="s">
        <v>19</v>
      </c>
      <c r="B50" t="s">
        <v>370</v>
      </c>
      <c r="C50" t="s">
        <v>203</v>
      </c>
      <c r="D50" t="s">
        <v>371</v>
      </c>
      <c r="E50" t="s">
        <v>204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/>
      <c r="AE50"/>
      <c r="AF50"/>
    </row>
    <row r="51">
      <c r="A51" t="s">
        <v>19</v>
      </c>
      <c r="B51" t="s">
        <v>372</v>
      </c>
      <c r="C51" t="s">
        <v>203</v>
      </c>
      <c r="D51" t="s">
        <v>373</v>
      </c>
      <c r="E51" t="s">
        <v>204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/>
      <c r="AE51"/>
      <c r="AF51"/>
    </row>
    <row r="52">
      <c r="A52" t="s">
        <v>19</v>
      </c>
      <c r="B52" t="s">
        <v>374</v>
      </c>
      <c r="C52" t="s">
        <v>203</v>
      </c>
      <c r="D52" t="s">
        <v>375</v>
      </c>
      <c r="E52" t="s">
        <v>204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/>
      <c r="AE52"/>
      <c r="AF52"/>
    </row>
    <row r="53">
      <c r="A53" t="s">
        <v>19</v>
      </c>
      <c r="B53" t="s">
        <v>376</v>
      </c>
      <c r="C53" t="s">
        <v>203</v>
      </c>
      <c r="D53" t="s">
        <v>377</v>
      </c>
      <c r="E53" t="s">
        <v>204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/>
      <c r="AE53"/>
      <c r="AF53"/>
    </row>
    <row r="54">
      <c r="A54" t="s">
        <v>19</v>
      </c>
      <c r="B54" t="s">
        <v>378</v>
      </c>
      <c r="C54" t="s">
        <v>203</v>
      </c>
      <c r="D54" t="s">
        <v>379</v>
      </c>
      <c r="E54" t="s">
        <v>204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/>
      <c r="AE54"/>
      <c r="AF54"/>
    </row>
    <row r="55">
      <c r="A55" t="s">
        <v>19</v>
      </c>
      <c r="B55" t="s">
        <v>380</v>
      </c>
      <c r="C55" t="s">
        <v>203</v>
      </c>
      <c r="D55" t="s">
        <v>381</v>
      </c>
      <c r="E55" t="s">
        <v>204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/>
      <c r="AE55"/>
      <c r="AF55"/>
    </row>
    <row r="56">
      <c r="A56" t="s">
        <v>19</v>
      </c>
      <c r="B56" t="s">
        <v>382</v>
      </c>
      <c r="C56" t="s">
        <v>203</v>
      </c>
      <c r="D56" t="s">
        <v>383</v>
      </c>
      <c r="E56" t="s">
        <v>204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/>
      <c r="AE56"/>
      <c r="AF56"/>
    </row>
    <row r="57">
      <c r="A57" t="s">
        <v>19</v>
      </c>
      <c r="B57" t="s">
        <v>384</v>
      </c>
      <c r="C57" t="s">
        <v>203</v>
      </c>
      <c r="D57" t="s">
        <v>385</v>
      </c>
      <c r="E57" t="s">
        <v>204</v>
      </c>
      <c r="F57" t="n">
        <v>8.5</v>
      </c>
      <c r="G57" t="n">
        <v>15.4</v>
      </c>
      <c r="H57" t="n">
        <v>109.8</v>
      </c>
      <c r="I57" t="n">
        <v>155.5</v>
      </c>
      <c r="J57" t="n">
        <v>158.1</v>
      </c>
      <c r="K57" t="n">
        <v>166.3</v>
      </c>
      <c r="L57" t="n">
        <v>233.7</v>
      </c>
      <c r="M57" t="n">
        <v>189.6</v>
      </c>
      <c r="N57" t="n">
        <v>210.5</v>
      </c>
      <c r="O57" t="n">
        <v>220.8</v>
      </c>
      <c r="P57" t="n">
        <v>231.4</v>
      </c>
      <c r="Q57" t="n">
        <v>221.9</v>
      </c>
      <c r="R57" t="n">
        <v>296.2</v>
      </c>
      <c r="S57" t="n">
        <v>289.2</v>
      </c>
      <c r="T57" t="n">
        <v>397</v>
      </c>
      <c r="U57" t="n">
        <v>330.4</v>
      </c>
      <c r="V57" t="n">
        <v>354</v>
      </c>
      <c r="W57" t="n">
        <v>416.2</v>
      </c>
      <c r="X57" t="n">
        <v>390.1</v>
      </c>
      <c r="Y57" t="n">
        <v>517.2</v>
      </c>
      <c r="Z57" t="n">
        <v>516</v>
      </c>
      <c r="AA57" t="n">
        <v>492.8</v>
      </c>
      <c r="AB57" t="n">
        <v>724.2</v>
      </c>
      <c r="AC57" t="n">
        <v>808.7</v>
      </c>
      <c r="AD57" t="n">
        <v>916.5</v>
      </c>
      <c r="AE57" t="n">
        <v>851.6</v>
      </c>
      <c r="AF57" t="n">
        <v>759.7</v>
      </c>
    </row>
    <row r="58">
      <c r="A58" t="s">
        <v>19</v>
      </c>
      <c r="B58" t="s">
        <v>386</v>
      </c>
      <c r="C58" t="s">
        <v>203</v>
      </c>
      <c r="D58" t="s">
        <v>387</v>
      </c>
      <c r="E58" t="s">
        <v>204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/>
      <c r="AE58"/>
      <c r="AF58"/>
    </row>
    <row r="59">
      <c r="A59" t="s">
        <v>19</v>
      </c>
      <c r="B59" t="s">
        <v>388</v>
      </c>
      <c r="C59" t="s">
        <v>203</v>
      </c>
      <c r="D59" t="s">
        <v>389</v>
      </c>
      <c r="E59" t="s">
        <v>204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21</v>
      </c>
      <c r="B2" t="s">
        <v>197</v>
      </c>
      <c r="C2" t="s">
        <v>203</v>
      </c>
      <c r="D2" t="s">
        <v>199</v>
      </c>
      <c r="E2" t="s">
        <v>204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21</v>
      </c>
      <c r="B3" t="s">
        <v>276</v>
      </c>
      <c r="C3" t="s">
        <v>203</v>
      </c>
      <c r="D3" t="s">
        <v>277</v>
      </c>
      <c r="E3" t="s">
        <v>204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21</v>
      </c>
      <c r="B4" t="s">
        <v>278</v>
      </c>
      <c r="C4" t="s">
        <v>203</v>
      </c>
      <c r="D4" t="s">
        <v>279</v>
      </c>
      <c r="E4" t="s">
        <v>204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21</v>
      </c>
      <c r="B5" t="s">
        <v>280</v>
      </c>
      <c r="C5" t="s">
        <v>203</v>
      </c>
      <c r="D5" t="s">
        <v>281</v>
      </c>
      <c r="E5" t="s">
        <v>204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21</v>
      </c>
      <c r="B6" t="s">
        <v>282</v>
      </c>
      <c r="C6" t="s">
        <v>203</v>
      </c>
      <c r="D6" t="s">
        <v>283</v>
      </c>
      <c r="E6" t="s">
        <v>204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21</v>
      </c>
      <c r="B7" t="s">
        <v>284</v>
      </c>
      <c r="C7" t="s">
        <v>203</v>
      </c>
      <c r="D7" t="s">
        <v>285</v>
      </c>
      <c r="E7" t="s">
        <v>204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21</v>
      </c>
      <c r="B8" t="s">
        <v>286</v>
      </c>
      <c r="C8" t="s">
        <v>203</v>
      </c>
      <c r="D8" t="s">
        <v>287</v>
      </c>
      <c r="E8" t="s">
        <v>204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21</v>
      </c>
      <c r="B9" t="s">
        <v>288</v>
      </c>
      <c r="C9" t="s">
        <v>203</v>
      </c>
      <c r="D9" t="s">
        <v>289</v>
      </c>
      <c r="E9" t="s">
        <v>204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21</v>
      </c>
      <c r="B10" t="s">
        <v>290</v>
      </c>
      <c r="C10" t="s">
        <v>203</v>
      </c>
      <c r="D10" t="s">
        <v>291</v>
      </c>
      <c r="E10" t="s">
        <v>204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21</v>
      </c>
      <c r="B11" t="s">
        <v>292</v>
      </c>
      <c r="C11" t="s">
        <v>203</v>
      </c>
      <c r="D11" t="s">
        <v>293</v>
      </c>
      <c r="E11" t="s">
        <v>204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21</v>
      </c>
      <c r="B12" t="s">
        <v>294</v>
      </c>
      <c r="C12" t="s">
        <v>203</v>
      </c>
      <c r="D12" t="s">
        <v>295</v>
      </c>
      <c r="E12" t="s">
        <v>204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21</v>
      </c>
      <c r="B13" t="s">
        <v>296</v>
      </c>
      <c r="C13" t="s">
        <v>203</v>
      </c>
      <c r="D13" t="s">
        <v>297</v>
      </c>
      <c r="E13" t="s">
        <v>204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21</v>
      </c>
      <c r="B14" t="s">
        <v>298</v>
      </c>
      <c r="C14" t="s">
        <v>203</v>
      </c>
      <c r="D14" t="s">
        <v>299</v>
      </c>
      <c r="E14" t="s">
        <v>204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21</v>
      </c>
      <c r="B15" t="s">
        <v>300</v>
      </c>
      <c r="C15" t="s">
        <v>203</v>
      </c>
      <c r="D15" t="s">
        <v>301</v>
      </c>
      <c r="E15" t="s">
        <v>204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21</v>
      </c>
      <c r="B16" t="s">
        <v>302</v>
      </c>
      <c r="C16" t="s">
        <v>203</v>
      </c>
      <c r="D16" t="s">
        <v>303</v>
      </c>
      <c r="E16" t="s">
        <v>204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21</v>
      </c>
      <c r="B17" t="s">
        <v>304</v>
      </c>
      <c r="C17" t="s">
        <v>203</v>
      </c>
      <c r="D17" t="s">
        <v>305</v>
      </c>
      <c r="E17" t="s">
        <v>204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21</v>
      </c>
      <c r="B18" t="s">
        <v>306</v>
      </c>
      <c r="C18" t="s">
        <v>203</v>
      </c>
      <c r="D18" t="s">
        <v>307</v>
      </c>
      <c r="E18" t="s">
        <v>204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21</v>
      </c>
      <c r="B19" t="s">
        <v>308</v>
      </c>
      <c r="C19" t="s">
        <v>203</v>
      </c>
      <c r="D19" t="s">
        <v>309</v>
      </c>
      <c r="E19" t="s">
        <v>204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21</v>
      </c>
      <c r="B20" t="s">
        <v>310</v>
      </c>
      <c r="C20" t="s">
        <v>203</v>
      </c>
      <c r="D20" t="s">
        <v>311</v>
      </c>
      <c r="E20" t="s">
        <v>204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21</v>
      </c>
      <c r="B21" t="s">
        <v>312</v>
      </c>
      <c r="C21" t="s">
        <v>203</v>
      </c>
      <c r="D21" t="s">
        <v>313</v>
      </c>
      <c r="E21" t="s">
        <v>204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21</v>
      </c>
      <c r="B22" t="s">
        <v>314</v>
      </c>
      <c r="C22" t="s">
        <v>203</v>
      </c>
      <c r="D22" t="s">
        <v>315</v>
      </c>
      <c r="E22" t="s">
        <v>204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21</v>
      </c>
      <c r="B23" t="s">
        <v>316</v>
      </c>
      <c r="C23" t="s">
        <v>203</v>
      </c>
      <c r="D23" t="s">
        <v>317</v>
      </c>
      <c r="E23" t="s">
        <v>204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21</v>
      </c>
      <c r="B24" t="s">
        <v>318</v>
      </c>
      <c r="C24" t="s">
        <v>203</v>
      </c>
      <c r="D24" t="s">
        <v>319</v>
      </c>
      <c r="E24" t="s">
        <v>204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21</v>
      </c>
      <c r="B25" t="s">
        <v>320</v>
      </c>
      <c r="C25" t="s">
        <v>203</v>
      </c>
      <c r="D25" t="s">
        <v>321</v>
      </c>
      <c r="E25" t="s">
        <v>204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21</v>
      </c>
      <c r="B26" t="s">
        <v>322</v>
      </c>
      <c r="C26" t="s">
        <v>203</v>
      </c>
      <c r="D26" t="s">
        <v>323</v>
      </c>
      <c r="E26" t="s">
        <v>204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21</v>
      </c>
      <c r="B27" t="s">
        <v>324</v>
      </c>
      <c r="C27" t="s">
        <v>203</v>
      </c>
      <c r="D27" t="s">
        <v>325</v>
      </c>
      <c r="E27" t="s">
        <v>204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21</v>
      </c>
      <c r="B28" t="s">
        <v>326</v>
      </c>
      <c r="C28" t="s">
        <v>203</v>
      </c>
      <c r="D28" t="s">
        <v>327</v>
      </c>
      <c r="E28" t="s">
        <v>204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21</v>
      </c>
      <c r="B29" t="s">
        <v>328</v>
      </c>
      <c r="C29" t="s">
        <v>203</v>
      </c>
      <c r="D29" t="s">
        <v>329</v>
      </c>
      <c r="E29" t="s">
        <v>204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21</v>
      </c>
      <c r="B30" t="s">
        <v>330</v>
      </c>
      <c r="C30" t="s">
        <v>203</v>
      </c>
      <c r="D30" t="s">
        <v>331</v>
      </c>
      <c r="E30" t="s">
        <v>204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21</v>
      </c>
      <c r="B31" t="s">
        <v>332</v>
      </c>
      <c r="C31" t="s">
        <v>203</v>
      </c>
      <c r="D31" t="s">
        <v>333</v>
      </c>
      <c r="E31" t="s">
        <v>204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21</v>
      </c>
      <c r="B32" t="s">
        <v>334</v>
      </c>
      <c r="C32" t="s">
        <v>203</v>
      </c>
      <c r="D32" t="s">
        <v>335</v>
      </c>
      <c r="E32" t="s">
        <v>204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21</v>
      </c>
      <c r="B33" t="s">
        <v>336</v>
      </c>
      <c r="C33" t="s">
        <v>203</v>
      </c>
      <c r="D33" t="s">
        <v>337</v>
      </c>
      <c r="E33" t="s">
        <v>204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21</v>
      </c>
      <c r="B34" t="s">
        <v>338</v>
      </c>
      <c r="C34" t="s">
        <v>203</v>
      </c>
      <c r="D34" t="s">
        <v>339</v>
      </c>
      <c r="E34" t="s">
        <v>204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21</v>
      </c>
      <c r="B35" t="s">
        <v>340</v>
      </c>
      <c r="C35" t="s">
        <v>203</v>
      </c>
      <c r="D35" t="s">
        <v>341</v>
      </c>
      <c r="E35" t="s">
        <v>204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21</v>
      </c>
      <c r="B36" t="s">
        <v>342</v>
      </c>
      <c r="C36" t="s">
        <v>203</v>
      </c>
      <c r="D36" t="s">
        <v>343</v>
      </c>
      <c r="E36" t="s">
        <v>204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21</v>
      </c>
      <c r="B37" t="s">
        <v>344</v>
      </c>
      <c r="C37" t="s">
        <v>203</v>
      </c>
      <c r="D37" t="s">
        <v>345</v>
      </c>
      <c r="E37" t="s">
        <v>204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21</v>
      </c>
      <c r="B38" t="s">
        <v>346</v>
      </c>
      <c r="C38" t="s">
        <v>203</v>
      </c>
      <c r="D38" t="s">
        <v>347</v>
      </c>
      <c r="E38" t="s">
        <v>204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21</v>
      </c>
      <c r="B39" t="s">
        <v>348</v>
      </c>
      <c r="C39" t="s">
        <v>203</v>
      </c>
      <c r="D39" t="s">
        <v>349</v>
      </c>
      <c r="E39" t="s">
        <v>204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21</v>
      </c>
      <c r="B40" t="s">
        <v>350</v>
      </c>
      <c r="C40" t="s">
        <v>203</v>
      </c>
      <c r="D40" t="s">
        <v>351</v>
      </c>
      <c r="E40" t="s">
        <v>204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21</v>
      </c>
      <c r="B41" t="s">
        <v>352</v>
      </c>
      <c r="C41" t="s">
        <v>203</v>
      </c>
      <c r="D41" t="s">
        <v>353</v>
      </c>
      <c r="E41" t="s">
        <v>204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21</v>
      </c>
      <c r="B42" t="s">
        <v>354</v>
      </c>
      <c r="C42" t="s">
        <v>203</v>
      </c>
      <c r="D42" t="s">
        <v>355</v>
      </c>
      <c r="E42" t="s">
        <v>204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21</v>
      </c>
      <c r="B43" t="s">
        <v>356</v>
      </c>
      <c r="C43" t="s">
        <v>203</v>
      </c>
      <c r="D43" t="s">
        <v>357</v>
      </c>
      <c r="E43" t="s">
        <v>204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21</v>
      </c>
      <c r="B44" t="s">
        <v>358</v>
      </c>
      <c r="C44" t="s">
        <v>203</v>
      </c>
      <c r="D44" t="s">
        <v>359</v>
      </c>
      <c r="E44" t="s">
        <v>204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</row>
    <row r="45">
      <c r="A45" t="s">
        <v>21</v>
      </c>
      <c r="B45" t="s">
        <v>360</v>
      </c>
      <c r="C45" t="s">
        <v>203</v>
      </c>
      <c r="D45" t="s">
        <v>361</v>
      </c>
      <c r="E45" t="s">
        <v>204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21</v>
      </c>
      <c r="B46" t="s">
        <v>362</v>
      </c>
      <c r="C46" t="s">
        <v>203</v>
      </c>
      <c r="D46" t="s">
        <v>363</v>
      </c>
      <c r="E46" t="s">
        <v>204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21</v>
      </c>
      <c r="B47" t="s">
        <v>364</v>
      </c>
      <c r="C47" t="s">
        <v>203</v>
      </c>
      <c r="D47" t="s">
        <v>365</v>
      </c>
      <c r="E47" t="s">
        <v>204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21</v>
      </c>
      <c r="B48" t="s">
        <v>366</v>
      </c>
      <c r="C48" t="s">
        <v>203</v>
      </c>
      <c r="D48" t="s">
        <v>367</v>
      </c>
      <c r="E48" t="s">
        <v>204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21</v>
      </c>
      <c r="B49" t="s">
        <v>368</v>
      </c>
      <c r="C49" t="s">
        <v>203</v>
      </c>
      <c r="D49" t="s">
        <v>369</v>
      </c>
      <c r="E49" t="s">
        <v>204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21</v>
      </c>
      <c r="B50" t="s">
        <v>370</v>
      </c>
      <c r="C50" t="s">
        <v>203</v>
      </c>
      <c r="D50" t="s">
        <v>371</v>
      </c>
      <c r="E50" t="s">
        <v>204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21</v>
      </c>
      <c r="B51" t="s">
        <v>372</v>
      </c>
      <c r="C51" t="s">
        <v>203</v>
      </c>
      <c r="D51" t="s">
        <v>373</v>
      </c>
      <c r="E51" t="s">
        <v>204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21</v>
      </c>
      <c r="B52" t="s">
        <v>374</v>
      </c>
      <c r="C52" t="s">
        <v>203</v>
      </c>
      <c r="D52" t="s">
        <v>375</v>
      </c>
      <c r="E52" t="s">
        <v>204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21</v>
      </c>
      <c r="B53" t="s">
        <v>376</v>
      </c>
      <c r="C53" t="s">
        <v>203</v>
      </c>
      <c r="D53" t="s">
        <v>377</v>
      </c>
      <c r="E53" t="s">
        <v>204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21</v>
      </c>
      <c r="B54" t="s">
        <v>378</v>
      </c>
      <c r="C54" t="s">
        <v>203</v>
      </c>
      <c r="D54" t="s">
        <v>379</v>
      </c>
      <c r="E54" t="s">
        <v>204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21</v>
      </c>
      <c r="B55" t="s">
        <v>380</v>
      </c>
      <c r="C55" t="s">
        <v>203</v>
      </c>
      <c r="D55" t="s">
        <v>381</v>
      </c>
      <c r="E55" t="s">
        <v>204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21</v>
      </c>
      <c r="B56" t="s">
        <v>382</v>
      </c>
      <c r="C56" t="s">
        <v>203</v>
      </c>
      <c r="D56" t="s">
        <v>383</v>
      </c>
      <c r="E56" t="s">
        <v>204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21</v>
      </c>
      <c r="B57" t="s">
        <v>384</v>
      </c>
      <c r="C57" t="s">
        <v>203</v>
      </c>
      <c r="D57" t="s">
        <v>385</v>
      </c>
      <c r="E57" t="s">
        <v>204</v>
      </c>
      <c r="F57" t="n">
        <v>0</v>
      </c>
      <c r="G57" t="n">
        <v>0</v>
      </c>
      <c r="H57" t="n">
        <v>0</v>
      </c>
      <c r="I57" t="n">
        <v>5.7</v>
      </c>
      <c r="J57" t="n">
        <v>6.1</v>
      </c>
      <c r="K57" t="n">
        <v>71.8</v>
      </c>
      <c r="L57" t="n">
        <v>68.5</v>
      </c>
      <c r="M57" t="n">
        <v>67.4</v>
      </c>
      <c r="N57" t="n">
        <v>67.3</v>
      </c>
      <c r="O57" t="n">
        <v>77.3</v>
      </c>
      <c r="P57" t="n">
        <v>87.1</v>
      </c>
      <c r="Q57" t="n">
        <v>94.4</v>
      </c>
      <c r="R57" t="n">
        <v>107.5</v>
      </c>
      <c r="S57" t="n">
        <v>154.7</v>
      </c>
      <c r="T57" t="n">
        <v>152.5</v>
      </c>
      <c r="U57" t="n">
        <v>192.5</v>
      </c>
      <c r="V57" t="n">
        <v>198.1</v>
      </c>
      <c r="W57" t="n">
        <v>133.7</v>
      </c>
      <c r="X57" t="n">
        <v>329.7</v>
      </c>
      <c r="Y57" t="n">
        <v>189.6</v>
      </c>
      <c r="Z57" t="n">
        <v>262</v>
      </c>
      <c r="AA57" t="n">
        <v>400.9</v>
      </c>
      <c r="AB57" t="n">
        <v>662.5</v>
      </c>
      <c r="AC57" t="n">
        <v>935</v>
      </c>
      <c r="AD57" t="n">
        <v>744.2</v>
      </c>
      <c r="AE57" t="n">
        <v>424.9</v>
      </c>
      <c r="AF57" t="n">
        <v>404.2</v>
      </c>
    </row>
    <row r="58">
      <c r="A58" t="s">
        <v>21</v>
      </c>
      <c r="B58" t="s">
        <v>386</v>
      </c>
      <c r="C58" t="s">
        <v>203</v>
      </c>
      <c r="D58" t="s">
        <v>387</v>
      </c>
      <c r="E58" t="s">
        <v>204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</row>
    <row r="59">
      <c r="A59" t="s">
        <v>21</v>
      </c>
      <c r="B59" t="s">
        <v>388</v>
      </c>
      <c r="C59" t="s">
        <v>203</v>
      </c>
      <c r="D59" t="s">
        <v>389</v>
      </c>
      <c r="E59" t="s">
        <v>204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23</v>
      </c>
      <c r="B2" t="s">
        <v>197</v>
      </c>
      <c r="C2" t="s">
        <v>203</v>
      </c>
      <c r="D2" t="s">
        <v>199</v>
      </c>
      <c r="E2" t="s">
        <v>204</v>
      </c>
      <c r="F2" t="n">
        <v>16.7</v>
      </c>
      <c r="G2" t="n">
        <v>7.6</v>
      </c>
      <c r="H2" t="n">
        <v>144.3</v>
      </c>
      <c r="I2" t="n">
        <v>302.4</v>
      </c>
      <c r="J2" t="n">
        <v>264.3</v>
      </c>
      <c r="K2" t="n">
        <v>194.8</v>
      </c>
      <c r="L2" t="n">
        <v>507.3</v>
      </c>
      <c r="M2" t="n">
        <v>261.7</v>
      </c>
      <c r="N2" t="n">
        <v>377.4</v>
      </c>
      <c r="O2" t="n">
        <v>505.5</v>
      </c>
      <c r="P2" t="n">
        <v>373.7</v>
      </c>
      <c r="Q2" t="n">
        <v>363.2</v>
      </c>
      <c r="R2" t="n">
        <v>425.2</v>
      </c>
      <c r="S2" t="n">
        <v>1013.4</v>
      </c>
      <c r="T2" t="n">
        <v>618.9</v>
      </c>
      <c r="U2" t="n">
        <v>711.4</v>
      </c>
      <c r="V2" t="n">
        <v>1066.6</v>
      </c>
      <c r="W2" t="n">
        <v>1050.4</v>
      </c>
      <c r="X2" t="n">
        <v>1042</v>
      </c>
      <c r="Y2" t="n">
        <v>1273.7</v>
      </c>
      <c r="Z2" t="n">
        <v>1384.1</v>
      </c>
      <c r="AA2" t="n">
        <v>998.2</v>
      </c>
      <c r="AB2" t="n">
        <v>1216.8</v>
      </c>
      <c r="AC2" t="n">
        <v>1379.2</v>
      </c>
      <c r="AD2" t="n">
        <v>1144.6</v>
      </c>
      <c r="AE2" t="n">
        <v>1112.3</v>
      </c>
      <c r="AF2" t="n">
        <v>1211.8</v>
      </c>
    </row>
    <row r="3">
      <c r="A3" t="s">
        <v>23</v>
      </c>
      <c r="B3" t="s">
        <v>276</v>
      </c>
      <c r="C3" t="s">
        <v>203</v>
      </c>
      <c r="D3" t="s">
        <v>277</v>
      </c>
      <c r="E3" t="s">
        <v>204</v>
      </c>
      <c r="F3" t="n">
        <v>6.1</v>
      </c>
      <c r="G3" t="n">
        <v>2.8</v>
      </c>
      <c r="H3" t="n">
        <v>53</v>
      </c>
      <c r="I3" t="n">
        <v>111</v>
      </c>
      <c r="J3" t="n">
        <v>87.8</v>
      </c>
      <c r="K3" t="n">
        <v>275.9</v>
      </c>
      <c r="L3" t="n">
        <v>7.6</v>
      </c>
      <c r="M3" t="n">
        <v>93.1</v>
      </c>
      <c r="N3" t="n">
        <v>99.2</v>
      </c>
      <c r="O3" t="n">
        <v>145.3</v>
      </c>
      <c r="P3" t="n">
        <v>287</v>
      </c>
      <c r="Q3" t="n">
        <v>302.7</v>
      </c>
      <c r="R3" t="n">
        <v>294.9</v>
      </c>
      <c r="S3" t="n">
        <v>569.4</v>
      </c>
      <c r="T3" t="n">
        <v>295.9</v>
      </c>
      <c r="U3" t="n">
        <v>339.7</v>
      </c>
      <c r="V3" t="n">
        <v>406.2</v>
      </c>
      <c r="W3" t="n">
        <v>271.6</v>
      </c>
      <c r="X3" t="n">
        <v>269.5</v>
      </c>
      <c r="Y3" t="n">
        <v>511.4</v>
      </c>
      <c r="Z3" t="n">
        <v>119.9</v>
      </c>
      <c r="AA3" t="n">
        <v>364.8</v>
      </c>
      <c r="AB3" t="n">
        <v>230.2</v>
      </c>
      <c r="AC3" t="n">
        <v>435.4</v>
      </c>
      <c r="AD3" t="n">
        <v>663.8</v>
      </c>
      <c r="AE3" t="n">
        <v>456.8</v>
      </c>
      <c r="AF3" t="n">
        <v>195.5</v>
      </c>
    </row>
    <row r="4">
      <c r="A4" t="s">
        <v>23</v>
      </c>
      <c r="B4" t="s">
        <v>278</v>
      </c>
      <c r="C4" t="s">
        <v>203</v>
      </c>
      <c r="D4" t="s">
        <v>279</v>
      </c>
      <c r="E4" t="s">
        <v>204</v>
      </c>
      <c r="F4" t="n">
        <v>41.9</v>
      </c>
      <c r="G4" t="n">
        <v>19.1</v>
      </c>
      <c r="H4" t="n">
        <v>362.5</v>
      </c>
      <c r="I4" t="n">
        <v>759.9</v>
      </c>
      <c r="J4" t="n">
        <v>663.2</v>
      </c>
      <c r="K4" t="n">
        <v>758</v>
      </c>
      <c r="L4" t="n">
        <v>1153.9</v>
      </c>
      <c r="M4" t="n">
        <v>1383.3</v>
      </c>
      <c r="N4" t="n">
        <v>1522.7</v>
      </c>
      <c r="O4" t="n">
        <v>1544.3</v>
      </c>
      <c r="P4" t="n">
        <v>2190.3</v>
      </c>
      <c r="Q4" t="n">
        <v>2321.7</v>
      </c>
      <c r="R4" t="n">
        <v>2735</v>
      </c>
      <c r="S4" t="n">
        <v>3713.7</v>
      </c>
      <c r="T4" t="n">
        <v>2392.1</v>
      </c>
      <c r="U4" t="n">
        <v>1930.8</v>
      </c>
      <c r="V4" t="n">
        <v>2523</v>
      </c>
      <c r="W4" t="n">
        <v>2649.1</v>
      </c>
      <c r="X4" t="n">
        <v>2630.4</v>
      </c>
      <c r="Y4" t="n">
        <v>2675.6</v>
      </c>
      <c r="Z4" t="n">
        <v>5812.3</v>
      </c>
      <c r="AA4" t="n">
        <v>3472.6</v>
      </c>
      <c r="AB4" t="n">
        <v>4099.9</v>
      </c>
      <c r="AC4" t="n">
        <v>3944.7</v>
      </c>
      <c r="AD4" t="n">
        <v>3867.6</v>
      </c>
      <c r="AE4" t="n">
        <v>3325.2</v>
      </c>
      <c r="AF4" t="n">
        <v>3708.5</v>
      </c>
    </row>
    <row r="5">
      <c r="A5" t="s">
        <v>23</v>
      </c>
      <c r="B5" t="s">
        <v>280</v>
      </c>
      <c r="C5" t="s">
        <v>203</v>
      </c>
      <c r="D5" t="s">
        <v>281</v>
      </c>
      <c r="E5" t="s">
        <v>204</v>
      </c>
      <c r="F5" t="n">
        <v>11.7</v>
      </c>
      <c r="G5" t="n">
        <v>5.3</v>
      </c>
      <c r="H5" t="n">
        <v>101</v>
      </c>
      <c r="I5" t="n">
        <v>211.8</v>
      </c>
      <c r="J5" t="n">
        <v>183.5</v>
      </c>
      <c r="K5" t="n">
        <v>43.5</v>
      </c>
      <c r="L5" t="n">
        <v>237.7</v>
      </c>
      <c r="M5" t="n">
        <v>226.8</v>
      </c>
      <c r="N5" t="n">
        <v>386.1</v>
      </c>
      <c r="O5" t="n">
        <v>429.2</v>
      </c>
      <c r="P5" t="n">
        <v>532.8</v>
      </c>
      <c r="Q5" t="n">
        <v>451.2</v>
      </c>
      <c r="R5" t="n">
        <v>585.5</v>
      </c>
      <c r="S5" t="n">
        <v>777.6</v>
      </c>
      <c r="T5" t="n">
        <v>415.1</v>
      </c>
      <c r="U5" t="n">
        <v>451.7</v>
      </c>
      <c r="V5" t="n">
        <v>560.7</v>
      </c>
      <c r="W5" t="n">
        <v>457.7</v>
      </c>
      <c r="X5" t="n">
        <v>454.4</v>
      </c>
      <c r="Y5" t="n">
        <v>629.1</v>
      </c>
      <c r="Z5" t="n">
        <v>490.1</v>
      </c>
      <c r="AA5" t="n">
        <v>408.3</v>
      </c>
      <c r="AB5" t="n">
        <v>501</v>
      </c>
      <c r="AC5" t="n">
        <v>617.5</v>
      </c>
      <c r="AD5" t="n">
        <v>678.8</v>
      </c>
      <c r="AE5" t="n">
        <v>689.8</v>
      </c>
      <c r="AF5" t="n">
        <v>590.6</v>
      </c>
    </row>
    <row r="6">
      <c r="A6" t="s">
        <v>23</v>
      </c>
      <c r="B6" t="s">
        <v>282</v>
      </c>
      <c r="C6" t="s">
        <v>203</v>
      </c>
      <c r="D6" t="s">
        <v>283</v>
      </c>
      <c r="E6" t="s">
        <v>204</v>
      </c>
      <c r="F6" t="n">
        <v>4</v>
      </c>
      <c r="G6" t="n">
        <v>1.8</v>
      </c>
      <c r="H6" t="n">
        <v>34.7</v>
      </c>
      <c r="I6" t="n">
        <v>72.6</v>
      </c>
      <c r="J6" t="n">
        <v>59.7</v>
      </c>
      <c r="K6" t="n">
        <v>113.5</v>
      </c>
      <c r="L6" t="n">
        <v>122</v>
      </c>
      <c r="M6" t="n">
        <v>182.3</v>
      </c>
      <c r="N6" t="n">
        <v>211.3</v>
      </c>
      <c r="O6" t="n">
        <v>177.6</v>
      </c>
      <c r="P6" t="n">
        <v>208.2</v>
      </c>
      <c r="Q6" t="n">
        <v>303.2</v>
      </c>
      <c r="R6" t="n">
        <v>188.3</v>
      </c>
      <c r="S6" t="n">
        <v>198.2</v>
      </c>
      <c r="T6" t="n">
        <v>154.6</v>
      </c>
      <c r="U6" t="n">
        <v>87.9</v>
      </c>
      <c r="V6" t="n">
        <v>142.6</v>
      </c>
      <c r="W6" t="n">
        <v>115.6</v>
      </c>
      <c r="X6" t="n">
        <v>114.7</v>
      </c>
      <c r="Y6" t="n">
        <v>128.7</v>
      </c>
      <c r="Z6" t="n">
        <v>107.8</v>
      </c>
      <c r="AA6" t="n">
        <v>251</v>
      </c>
      <c r="AB6" t="n">
        <v>193.2</v>
      </c>
      <c r="AC6" t="n">
        <v>144.1</v>
      </c>
      <c r="AD6" t="n">
        <v>133.2</v>
      </c>
      <c r="AE6" t="n">
        <v>117.8</v>
      </c>
      <c r="AF6" t="n">
        <v>71</v>
      </c>
    </row>
    <row r="7">
      <c r="A7" t="s">
        <v>23</v>
      </c>
      <c r="B7" t="s">
        <v>284</v>
      </c>
      <c r="C7" t="s">
        <v>203</v>
      </c>
      <c r="D7" t="s">
        <v>285</v>
      </c>
      <c r="E7" t="s">
        <v>204</v>
      </c>
      <c r="F7" t="n">
        <v>2</v>
      </c>
      <c r="G7" t="n">
        <v>0.9</v>
      </c>
      <c r="H7" t="n">
        <v>17.3</v>
      </c>
      <c r="I7" t="n">
        <v>36.3</v>
      </c>
      <c r="J7" t="n">
        <v>84.1</v>
      </c>
      <c r="K7" t="n">
        <v>62.3</v>
      </c>
      <c r="L7" t="n">
        <v>113</v>
      </c>
      <c r="M7" t="n">
        <v>152.5</v>
      </c>
      <c r="N7" t="n">
        <v>100.2</v>
      </c>
      <c r="O7" t="n">
        <v>111.8</v>
      </c>
      <c r="P7" t="n">
        <v>135.9</v>
      </c>
      <c r="Q7" t="n">
        <v>157.4</v>
      </c>
      <c r="R7" t="n">
        <v>259.2</v>
      </c>
      <c r="S7" t="n">
        <v>232.7</v>
      </c>
      <c r="T7" t="n">
        <v>136.7</v>
      </c>
      <c r="U7" t="n">
        <v>120.9</v>
      </c>
      <c r="V7" t="n">
        <v>167</v>
      </c>
      <c r="W7" t="n">
        <v>263.5</v>
      </c>
      <c r="X7" t="n">
        <v>261.5</v>
      </c>
      <c r="Y7" t="n">
        <v>196.3</v>
      </c>
      <c r="Z7" t="n">
        <v>193.2</v>
      </c>
      <c r="AA7" t="n">
        <v>121.4</v>
      </c>
      <c r="AB7" t="n">
        <v>464.3</v>
      </c>
      <c r="AC7" t="n">
        <v>461.5</v>
      </c>
      <c r="AD7" t="n">
        <v>287.9</v>
      </c>
      <c r="AE7" t="n">
        <v>250.7</v>
      </c>
      <c r="AF7" t="n">
        <v>358.7</v>
      </c>
    </row>
    <row r="8">
      <c r="A8" t="s">
        <v>23</v>
      </c>
      <c r="B8" t="s">
        <v>286</v>
      </c>
      <c r="C8" t="s">
        <v>203</v>
      </c>
      <c r="D8" t="s">
        <v>287</v>
      </c>
      <c r="E8" t="s">
        <v>204</v>
      </c>
      <c r="F8" t="n">
        <v>3.5</v>
      </c>
      <c r="G8" t="n">
        <v>1.6</v>
      </c>
      <c r="H8" t="n">
        <v>30.3</v>
      </c>
      <c r="I8" t="n">
        <v>63.5</v>
      </c>
      <c r="J8" t="n">
        <v>26.9</v>
      </c>
      <c r="K8" t="n">
        <v>4.2</v>
      </c>
      <c r="L8" t="n">
        <v>2.4</v>
      </c>
      <c r="M8" t="n">
        <v>63.3</v>
      </c>
      <c r="N8" t="n">
        <v>107.4</v>
      </c>
      <c r="O8" t="n">
        <v>61.9</v>
      </c>
      <c r="P8" t="n">
        <v>98.9</v>
      </c>
      <c r="Q8" t="n">
        <v>98.4</v>
      </c>
      <c r="R8" t="n">
        <v>102.3</v>
      </c>
      <c r="S8" t="n">
        <v>197.4</v>
      </c>
      <c r="T8" t="n">
        <v>454.1</v>
      </c>
      <c r="U8" t="n">
        <v>88.1</v>
      </c>
      <c r="V8" t="n">
        <v>127.4</v>
      </c>
      <c r="W8" t="n">
        <v>311.9</v>
      </c>
      <c r="X8" t="n">
        <v>309.5</v>
      </c>
      <c r="Y8" t="n">
        <v>67.8</v>
      </c>
      <c r="Z8" t="n">
        <v>2857</v>
      </c>
      <c r="AA8" t="n">
        <v>390.4</v>
      </c>
      <c r="AB8" t="n">
        <v>172.7</v>
      </c>
      <c r="AC8" t="n">
        <v>97.3</v>
      </c>
      <c r="AD8" t="n">
        <v>58.9</v>
      </c>
      <c r="AE8" t="n">
        <v>155.6</v>
      </c>
      <c r="AF8" t="n">
        <v>223</v>
      </c>
    </row>
    <row r="9">
      <c r="A9" t="s">
        <v>23</v>
      </c>
      <c r="B9" t="s">
        <v>288</v>
      </c>
      <c r="C9" t="s">
        <v>203</v>
      </c>
      <c r="D9" t="s">
        <v>289</v>
      </c>
      <c r="E9" t="s">
        <v>204</v>
      </c>
      <c r="F9" t="n">
        <v>3.8</v>
      </c>
      <c r="G9" t="n">
        <v>1.7</v>
      </c>
      <c r="H9" t="n">
        <v>32.6</v>
      </c>
      <c r="I9" t="n">
        <v>68.4</v>
      </c>
      <c r="J9" t="n">
        <v>35.2</v>
      </c>
      <c r="K9" t="n">
        <v>35.3</v>
      </c>
      <c r="L9" t="n">
        <v>22.2</v>
      </c>
      <c r="M9" t="n">
        <v>93</v>
      </c>
      <c r="N9" t="n">
        <v>49</v>
      </c>
      <c r="O9" t="n">
        <v>60.1</v>
      </c>
      <c r="P9" t="n">
        <v>81.9</v>
      </c>
      <c r="Q9" t="n">
        <v>100.9</v>
      </c>
      <c r="R9" t="n">
        <v>152.4</v>
      </c>
      <c r="S9" t="n">
        <v>206.3</v>
      </c>
      <c r="T9" t="n">
        <v>143.8</v>
      </c>
      <c r="U9" t="n">
        <v>139</v>
      </c>
      <c r="V9" t="n">
        <v>140.7</v>
      </c>
      <c r="W9" t="n">
        <v>201.5</v>
      </c>
      <c r="X9" t="n">
        <v>199.9</v>
      </c>
      <c r="Y9" t="n">
        <v>253.5</v>
      </c>
      <c r="Z9" t="n">
        <v>168.4</v>
      </c>
      <c r="AA9" t="n">
        <v>226.8</v>
      </c>
      <c r="AB9" t="n">
        <v>520.5</v>
      </c>
      <c r="AC9" t="n">
        <v>205.2</v>
      </c>
      <c r="AD9" t="n">
        <v>207.9</v>
      </c>
      <c r="AE9" t="n">
        <v>179.1</v>
      </c>
      <c r="AF9" t="n">
        <v>215.6</v>
      </c>
    </row>
    <row r="10">
      <c r="A10" t="s">
        <v>23</v>
      </c>
      <c r="B10" t="s">
        <v>290</v>
      </c>
      <c r="C10" t="s">
        <v>203</v>
      </c>
      <c r="D10" t="s">
        <v>291</v>
      </c>
      <c r="E10" t="s">
        <v>204</v>
      </c>
      <c r="F10" t="n">
        <v>4.4</v>
      </c>
      <c r="G10" t="n">
        <v>2</v>
      </c>
      <c r="H10" t="n">
        <v>37.5</v>
      </c>
      <c r="I10" t="n">
        <v>78.6</v>
      </c>
      <c r="J10" t="n">
        <v>45.9</v>
      </c>
      <c r="K10" t="n">
        <v>36.5</v>
      </c>
      <c r="L10" t="n">
        <v>22.8</v>
      </c>
      <c r="M10" t="n">
        <v>162</v>
      </c>
      <c r="N10" t="n">
        <v>91.9</v>
      </c>
      <c r="O10" t="n">
        <v>101.1</v>
      </c>
      <c r="P10" t="n">
        <v>152.4</v>
      </c>
      <c r="Q10" t="n">
        <v>156.7</v>
      </c>
      <c r="R10" t="n">
        <v>213.9</v>
      </c>
      <c r="S10" t="n">
        <v>395.8</v>
      </c>
      <c r="T10" t="n">
        <v>163.6</v>
      </c>
      <c r="U10" t="n">
        <v>207.8</v>
      </c>
      <c r="V10" t="n">
        <v>276.2</v>
      </c>
      <c r="W10" t="n">
        <v>317.4</v>
      </c>
      <c r="X10" t="n">
        <v>314.9</v>
      </c>
      <c r="Y10" t="n">
        <v>330.7</v>
      </c>
      <c r="Z10" t="n">
        <v>255.5</v>
      </c>
      <c r="AA10" t="n">
        <v>359.1</v>
      </c>
      <c r="AB10" t="n">
        <v>696.4</v>
      </c>
      <c r="AC10" t="n">
        <v>447</v>
      </c>
      <c r="AD10" t="n">
        <v>395.2</v>
      </c>
      <c r="AE10" t="n">
        <v>285.2</v>
      </c>
      <c r="AF10" t="n">
        <v>389.8</v>
      </c>
    </row>
    <row r="11">
      <c r="A11" t="s">
        <v>23</v>
      </c>
      <c r="B11" t="s">
        <v>292</v>
      </c>
      <c r="C11" t="s">
        <v>203</v>
      </c>
      <c r="D11" t="s">
        <v>293</v>
      </c>
      <c r="E11" t="s">
        <v>204</v>
      </c>
      <c r="F11" t="n">
        <v>0.6</v>
      </c>
      <c r="G11" t="n">
        <v>0.3</v>
      </c>
      <c r="H11" t="n">
        <v>4.9</v>
      </c>
      <c r="I11" t="n">
        <v>10.2</v>
      </c>
      <c r="J11" t="n">
        <v>10.7</v>
      </c>
      <c r="K11" t="n">
        <v>1.2</v>
      </c>
      <c r="L11" t="n">
        <v>0.6</v>
      </c>
      <c r="M11" t="n">
        <v>69</v>
      </c>
      <c r="N11" t="n">
        <v>42.9</v>
      </c>
      <c r="O11" t="n">
        <v>41</v>
      </c>
      <c r="P11" t="n">
        <v>70.5</v>
      </c>
      <c r="Q11" t="n">
        <v>55.8</v>
      </c>
      <c r="R11" t="n">
        <v>61.5</v>
      </c>
      <c r="S11" t="n">
        <v>189.5</v>
      </c>
      <c r="T11" t="n">
        <v>19.8</v>
      </c>
      <c r="U11" t="n">
        <v>68.8</v>
      </c>
      <c r="V11" t="n">
        <v>135.5</v>
      </c>
      <c r="W11" t="n">
        <v>115.9</v>
      </c>
      <c r="X11" t="n">
        <v>115</v>
      </c>
      <c r="Y11" t="n">
        <v>77.2</v>
      </c>
      <c r="Z11" t="n">
        <v>87.1</v>
      </c>
      <c r="AA11" t="n">
        <v>132.3</v>
      </c>
      <c r="AB11" t="n">
        <v>175.9</v>
      </c>
      <c r="AC11" t="n">
        <v>241.8</v>
      </c>
      <c r="AD11" t="n">
        <v>187.3</v>
      </c>
      <c r="AE11" t="n">
        <v>106.1</v>
      </c>
      <c r="AF11" t="n">
        <v>174.2</v>
      </c>
    </row>
    <row r="12">
      <c r="A12" t="s">
        <v>23</v>
      </c>
      <c r="B12" t="s">
        <v>294</v>
      </c>
      <c r="C12" t="s">
        <v>203</v>
      </c>
      <c r="D12" t="s">
        <v>295</v>
      </c>
      <c r="E12" t="s">
        <v>204</v>
      </c>
      <c r="F12" t="n">
        <v>5.7</v>
      </c>
      <c r="G12" t="n">
        <v>2.6</v>
      </c>
      <c r="H12" t="n">
        <v>49.4</v>
      </c>
      <c r="I12" t="n">
        <v>103.5</v>
      </c>
      <c r="J12" t="n">
        <v>94</v>
      </c>
      <c r="K12" t="n">
        <v>96.4</v>
      </c>
      <c r="L12" t="n">
        <v>283.7</v>
      </c>
      <c r="M12" t="n">
        <v>146.7</v>
      </c>
      <c r="N12" t="n">
        <v>170.2</v>
      </c>
      <c r="O12" t="n">
        <v>248.4</v>
      </c>
      <c r="P12" t="n">
        <v>500.6</v>
      </c>
      <c r="Q12" t="n">
        <v>426.7</v>
      </c>
      <c r="R12" t="n">
        <v>476.6</v>
      </c>
      <c r="S12" t="n">
        <v>552</v>
      </c>
      <c r="T12" t="n">
        <v>441.1</v>
      </c>
      <c r="U12" t="n">
        <v>287.9</v>
      </c>
      <c r="V12" t="n">
        <v>403.6</v>
      </c>
      <c r="W12" t="n">
        <v>360</v>
      </c>
      <c r="X12" t="n">
        <v>357.2</v>
      </c>
      <c r="Y12" t="n">
        <v>381.3</v>
      </c>
      <c r="Z12" t="n">
        <v>789.3</v>
      </c>
      <c r="AA12" t="n">
        <v>499.8</v>
      </c>
      <c r="AB12" t="n">
        <v>464.7</v>
      </c>
      <c r="AC12" t="n">
        <v>531</v>
      </c>
      <c r="AD12" t="n">
        <v>516.2</v>
      </c>
      <c r="AE12" t="n">
        <v>390.7</v>
      </c>
      <c r="AF12" t="n">
        <v>552</v>
      </c>
    </row>
    <row r="13">
      <c r="A13" t="s">
        <v>23</v>
      </c>
      <c r="B13" t="s">
        <v>296</v>
      </c>
      <c r="C13" t="s">
        <v>203</v>
      </c>
      <c r="D13" t="s">
        <v>297</v>
      </c>
      <c r="E13" t="s">
        <v>204</v>
      </c>
      <c r="F13" t="n">
        <v>5.4</v>
      </c>
      <c r="G13" t="n">
        <v>2.5</v>
      </c>
      <c r="H13" t="n">
        <v>46.8</v>
      </c>
      <c r="I13" t="n">
        <v>98</v>
      </c>
      <c r="J13" t="n">
        <v>78.6</v>
      </c>
      <c r="K13" t="n">
        <v>136.6</v>
      </c>
      <c r="L13" t="n">
        <v>69.6</v>
      </c>
      <c r="M13" t="n">
        <v>269.9</v>
      </c>
      <c r="N13" t="n">
        <v>291.2</v>
      </c>
      <c r="O13" t="n">
        <v>230.6</v>
      </c>
      <c r="P13" t="n">
        <v>258.3</v>
      </c>
      <c r="Q13" t="n">
        <v>294.6</v>
      </c>
      <c r="R13" t="n">
        <v>494.3</v>
      </c>
      <c r="S13" t="n">
        <v>618.1</v>
      </c>
      <c r="T13" t="n">
        <v>266.4</v>
      </c>
      <c r="U13" t="n">
        <v>321.4</v>
      </c>
      <c r="V13" t="n">
        <v>329.1</v>
      </c>
      <c r="W13" t="n">
        <v>373</v>
      </c>
      <c r="X13" t="n">
        <v>370.6</v>
      </c>
      <c r="Y13" t="n">
        <v>358.6</v>
      </c>
      <c r="Z13" t="n">
        <v>488.3</v>
      </c>
      <c r="AA13" t="n">
        <v>497.9</v>
      </c>
      <c r="AB13" t="n">
        <v>611.5</v>
      </c>
      <c r="AC13" t="n">
        <v>565</v>
      </c>
      <c r="AD13" t="n">
        <v>659</v>
      </c>
      <c r="AE13" t="n">
        <v>428.5</v>
      </c>
      <c r="AF13" t="n">
        <v>516</v>
      </c>
    </row>
    <row r="14">
      <c r="A14" t="s">
        <v>23</v>
      </c>
      <c r="B14" t="s">
        <v>298</v>
      </c>
      <c r="C14" t="s">
        <v>203</v>
      </c>
      <c r="D14" t="s">
        <v>299</v>
      </c>
      <c r="E14" t="s">
        <v>204</v>
      </c>
      <c r="F14" t="n">
        <v>0.9</v>
      </c>
      <c r="G14" t="n">
        <v>0.4</v>
      </c>
      <c r="H14" t="n">
        <v>7.6</v>
      </c>
      <c r="I14" t="n">
        <v>16</v>
      </c>
      <c r="J14" t="n">
        <v>17.8</v>
      </c>
      <c r="K14" t="n">
        <v>27.7</v>
      </c>
      <c r="L14" t="n">
        <v>48.8</v>
      </c>
      <c r="M14" t="n">
        <v>37.3</v>
      </c>
      <c r="N14" t="n">
        <v>41.1</v>
      </c>
      <c r="O14" t="n">
        <v>34.1</v>
      </c>
      <c r="P14" t="n">
        <v>30.9</v>
      </c>
      <c r="Q14" t="n">
        <v>49.3</v>
      </c>
      <c r="R14" t="n">
        <v>33.2</v>
      </c>
      <c r="S14" t="n">
        <v>72.3</v>
      </c>
      <c r="T14" t="n">
        <v>16.1</v>
      </c>
      <c r="U14" t="n">
        <v>21</v>
      </c>
      <c r="V14" t="n">
        <v>53</v>
      </c>
      <c r="W14" t="n">
        <v>51.2</v>
      </c>
      <c r="X14" t="n">
        <v>50.8</v>
      </c>
      <c r="Y14" t="n">
        <v>90.4</v>
      </c>
      <c r="Z14" t="n">
        <v>83.1</v>
      </c>
      <c r="AA14" t="n">
        <v>95.8</v>
      </c>
      <c r="AB14" t="n">
        <v>132.7</v>
      </c>
      <c r="AC14" t="n">
        <v>181.6</v>
      </c>
      <c r="AD14" t="n">
        <v>106.2</v>
      </c>
      <c r="AE14" t="n">
        <v>127.9</v>
      </c>
      <c r="AF14" t="n">
        <v>109.7</v>
      </c>
    </row>
    <row r="15">
      <c r="A15" t="s">
        <v>23</v>
      </c>
      <c r="B15" t="s">
        <v>300</v>
      </c>
      <c r="C15" t="s">
        <v>203</v>
      </c>
      <c r="D15" t="s">
        <v>301</v>
      </c>
      <c r="E15" t="s">
        <v>204</v>
      </c>
      <c r="F15" t="n">
        <v>1.4</v>
      </c>
      <c r="G15" t="n">
        <v>0.6</v>
      </c>
      <c r="H15" t="n">
        <v>12</v>
      </c>
      <c r="I15" t="n">
        <v>25.3</v>
      </c>
      <c r="J15" t="n">
        <v>32.2</v>
      </c>
      <c r="K15" t="n">
        <v>34.7</v>
      </c>
      <c r="L15" t="n">
        <v>55.3</v>
      </c>
      <c r="M15" t="n">
        <v>56.4</v>
      </c>
      <c r="N15" t="n">
        <v>61.3</v>
      </c>
      <c r="O15" t="n">
        <v>54.5</v>
      </c>
      <c r="P15" t="n">
        <v>79.2</v>
      </c>
      <c r="Q15" t="n">
        <v>110.2</v>
      </c>
      <c r="R15" t="n">
        <v>119.8</v>
      </c>
      <c r="S15" t="n">
        <v>242.3</v>
      </c>
      <c r="T15" t="n">
        <v>84.9</v>
      </c>
      <c r="U15" t="n">
        <v>122.4</v>
      </c>
      <c r="V15" t="n">
        <v>172.9</v>
      </c>
      <c r="W15" t="n">
        <v>145.9</v>
      </c>
      <c r="X15" t="n">
        <v>145</v>
      </c>
      <c r="Y15" t="n">
        <v>186.8</v>
      </c>
      <c r="Z15" t="n">
        <v>264.3</v>
      </c>
      <c r="AA15" t="n">
        <v>411.3</v>
      </c>
      <c r="AB15" t="n">
        <v>392.3</v>
      </c>
      <c r="AC15" t="n">
        <v>438.9</v>
      </c>
      <c r="AD15" t="n">
        <v>312.9</v>
      </c>
      <c r="AE15" t="n">
        <v>269.1</v>
      </c>
      <c r="AF15" t="n">
        <v>303.5</v>
      </c>
    </row>
    <row r="16">
      <c r="A16" t="s">
        <v>23</v>
      </c>
      <c r="B16" t="s">
        <v>302</v>
      </c>
      <c r="C16" t="s">
        <v>203</v>
      </c>
      <c r="D16" t="s">
        <v>303</v>
      </c>
      <c r="E16" t="s">
        <v>204</v>
      </c>
      <c r="F16" t="n">
        <v>0.5</v>
      </c>
      <c r="G16" t="n">
        <v>0.2</v>
      </c>
      <c r="H16" t="n">
        <v>4.4</v>
      </c>
      <c r="I16" t="n">
        <v>9.3</v>
      </c>
      <c r="J16" t="n">
        <v>14.4</v>
      </c>
      <c r="K16" t="n">
        <v>7</v>
      </c>
      <c r="L16" t="n">
        <v>6.5</v>
      </c>
      <c r="M16" t="n">
        <v>19.1</v>
      </c>
      <c r="N16" t="n">
        <v>20.2</v>
      </c>
      <c r="O16" t="n">
        <v>20.4</v>
      </c>
      <c r="P16" t="n">
        <v>48.3</v>
      </c>
      <c r="Q16" t="n">
        <v>60.9</v>
      </c>
      <c r="R16" t="n">
        <v>86.6</v>
      </c>
      <c r="S16" t="n">
        <v>170</v>
      </c>
      <c r="T16" t="n">
        <v>68.8</v>
      </c>
      <c r="U16" t="n">
        <v>101.4</v>
      </c>
      <c r="V16" t="n">
        <v>119.9</v>
      </c>
      <c r="W16" t="n">
        <v>94.7</v>
      </c>
      <c r="X16" t="n">
        <v>94.2</v>
      </c>
      <c r="Y16" t="n">
        <v>96.4</v>
      </c>
      <c r="Z16" t="n">
        <v>181.2</v>
      </c>
      <c r="AA16" t="n">
        <v>315.5</v>
      </c>
      <c r="AB16" t="n">
        <v>259.6</v>
      </c>
      <c r="AC16" t="n">
        <v>257.3</v>
      </c>
      <c r="AD16" t="n">
        <v>206.7</v>
      </c>
      <c r="AE16" t="n">
        <v>141.2</v>
      </c>
      <c r="AF16" t="n">
        <v>193.8</v>
      </c>
    </row>
    <row r="17">
      <c r="A17" t="s">
        <v>23</v>
      </c>
      <c r="B17" t="s">
        <v>304</v>
      </c>
      <c r="C17" t="s">
        <v>203</v>
      </c>
      <c r="D17" t="s">
        <v>305</v>
      </c>
      <c r="E17" t="s">
        <v>204</v>
      </c>
      <c r="F17" t="n">
        <v>2</v>
      </c>
      <c r="G17" t="n">
        <v>0.9</v>
      </c>
      <c r="H17" t="n">
        <v>17.3</v>
      </c>
      <c r="I17" t="n">
        <v>36.3</v>
      </c>
      <c r="J17" t="n">
        <v>32.7</v>
      </c>
      <c r="K17" t="n">
        <v>65.5</v>
      </c>
      <c r="L17" t="n">
        <v>162.8</v>
      </c>
      <c r="M17" t="n">
        <v>90.9</v>
      </c>
      <c r="N17" t="n">
        <v>63.4</v>
      </c>
      <c r="O17" t="n">
        <v>70.5</v>
      </c>
      <c r="P17" t="n">
        <v>94.5</v>
      </c>
      <c r="Q17" t="n">
        <v>131.1</v>
      </c>
      <c r="R17" t="n">
        <v>129.7</v>
      </c>
      <c r="S17" t="n">
        <v>136</v>
      </c>
      <c r="T17" t="n">
        <v>87.6</v>
      </c>
      <c r="U17" t="n">
        <v>103.7</v>
      </c>
      <c r="V17" t="n">
        <v>97.1</v>
      </c>
      <c r="W17" t="n">
        <v>90.3</v>
      </c>
      <c r="X17" t="n">
        <v>90.2</v>
      </c>
      <c r="Y17" t="n">
        <v>160.7</v>
      </c>
      <c r="Z17" t="n">
        <v>197.4</v>
      </c>
      <c r="AA17" t="n">
        <v>210.4</v>
      </c>
      <c r="AB17" t="n">
        <v>229.3</v>
      </c>
      <c r="AC17" t="n">
        <v>282.6</v>
      </c>
      <c r="AD17" t="n">
        <v>319.3</v>
      </c>
      <c r="AE17" t="n">
        <v>266</v>
      </c>
      <c r="AF17" t="n">
        <v>324.6</v>
      </c>
    </row>
    <row r="18">
      <c r="A18" t="s">
        <v>23</v>
      </c>
      <c r="B18" t="s">
        <v>306</v>
      </c>
      <c r="C18" t="s">
        <v>203</v>
      </c>
      <c r="D18" t="s">
        <v>307</v>
      </c>
      <c r="E18" t="s">
        <v>204</v>
      </c>
      <c r="F18" t="n">
        <v>1.5</v>
      </c>
      <c r="G18" t="n">
        <v>0.7</v>
      </c>
      <c r="H18" t="n">
        <v>13.3</v>
      </c>
      <c r="I18" t="n">
        <v>27.9</v>
      </c>
      <c r="J18" t="n">
        <v>16.4</v>
      </c>
      <c r="K18" t="n">
        <v>33</v>
      </c>
      <c r="L18" t="n">
        <v>12.2</v>
      </c>
      <c r="M18" t="n">
        <v>14.3</v>
      </c>
      <c r="N18" t="n">
        <v>15.4</v>
      </c>
      <c r="O18" t="n">
        <v>25.5</v>
      </c>
      <c r="P18" t="n">
        <v>25.5</v>
      </c>
      <c r="Q18" t="n">
        <v>73.9</v>
      </c>
      <c r="R18" t="n">
        <v>43.8</v>
      </c>
      <c r="S18" t="n">
        <v>187</v>
      </c>
      <c r="T18" t="n">
        <v>52.3</v>
      </c>
      <c r="U18" t="n">
        <v>38.7</v>
      </c>
      <c r="V18" t="n">
        <v>119.3</v>
      </c>
      <c r="W18" t="n">
        <v>86.4</v>
      </c>
      <c r="X18" t="n">
        <v>85.9</v>
      </c>
      <c r="Y18" t="n">
        <v>113.2</v>
      </c>
      <c r="Z18" t="n">
        <v>48.9</v>
      </c>
      <c r="AA18" t="n">
        <v>126.4</v>
      </c>
      <c r="AB18" t="n">
        <v>184.8</v>
      </c>
      <c r="AC18" t="n">
        <v>190.3</v>
      </c>
      <c r="AD18" t="n">
        <v>219.6</v>
      </c>
      <c r="AE18" t="n">
        <v>324.3</v>
      </c>
      <c r="AF18" t="n">
        <v>168.5</v>
      </c>
    </row>
    <row r="19">
      <c r="A19" t="s">
        <v>23</v>
      </c>
      <c r="B19" t="s">
        <v>308</v>
      </c>
      <c r="C19" t="s">
        <v>203</v>
      </c>
      <c r="D19" t="s">
        <v>309</v>
      </c>
      <c r="E19" t="s">
        <v>204</v>
      </c>
      <c r="F19" t="n">
        <v>0.3</v>
      </c>
      <c r="G19" t="n">
        <v>0.2</v>
      </c>
      <c r="H19" t="n">
        <v>2.9</v>
      </c>
      <c r="I19" t="n">
        <v>6.1</v>
      </c>
      <c r="J19" t="n">
        <v>9.2</v>
      </c>
      <c r="K19" t="n">
        <v>131.8</v>
      </c>
      <c r="L19" t="n">
        <v>72.4</v>
      </c>
      <c r="M19" t="n">
        <v>18.2</v>
      </c>
      <c r="N19" t="n">
        <v>24.3</v>
      </c>
      <c r="O19" t="n">
        <v>33.2</v>
      </c>
      <c r="P19" t="n">
        <v>104</v>
      </c>
      <c r="Q19" t="n">
        <v>118.3</v>
      </c>
      <c r="R19" t="n">
        <v>121.6</v>
      </c>
      <c r="S19" t="n">
        <v>176.6</v>
      </c>
      <c r="T19" t="n">
        <v>135.7</v>
      </c>
      <c r="U19" t="n">
        <v>100.3</v>
      </c>
      <c r="V19" t="n">
        <v>127.1</v>
      </c>
      <c r="W19" t="n">
        <v>127.4</v>
      </c>
      <c r="X19" t="n">
        <v>126.5</v>
      </c>
      <c r="Y19" t="n">
        <v>122.4</v>
      </c>
      <c r="Z19" t="n">
        <v>120.5</v>
      </c>
      <c r="AA19" t="n">
        <v>196.6</v>
      </c>
      <c r="AB19" t="n">
        <v>189.7</v>
      </c>
      <c r="AC19" t="n">
        <v>169.5</v>
      </c>
      <c r="AD19" t="n">
        <v>286.6</v>
      </c>
      <c r="AE19" t="n">
        <v>147.5</v>
      </c>
      <c r="AF19" t="n">
        <v>210.8</v>
      </c>
    </row>
    <row r="20">
      <c r="A20" t="s">
        <v>23</v>
      </c>
      <c r="B20" t="s">
        <v>310</v>
      </c>
      <c r="C20" t="s">
        <v>203</v>
      </c>
      <c r="D20" t="s">
        <v>311</v>
      </c>
      <c r="E20" t="s">
        <v>204</v>
      </c>
      <c r="F20" t="n">
        <v>8.4</v>
      </c>
      <c r="G20" t="n">
        <v>3.8</v>
      </c>
      <c r="H20" t="n">
        <v>72.6</v>
      </c>
      <c r="I20" t="n">
        <v>152.2</v>
      </c>
      <c r="J20" t="n">
        <v>131.8</v>
      </c>
      <c r="K20" t="n">
        <v>38.6</v>
      </c>
      <c r="L20" t="n">
        <v>35.6</v>
      </c>
      <c r="M20" t="n">
        <v>379.6</v>
      </c>
      <c r="N20" t="n">
        <v>850.4</v>
      </c>
      <c r="O20" t="n">
        <v>877.3</v>
      </c>
      <c r="P20" t="n">
        <v>1268.8</v>
      </c>
      <c r="Q20" t="n">
        <v>1205.2</v>
      </c>
      <c r="R20" t="n">
        <v>1485.9</v>
      </c>
      <c r="S20" t="n">
        <v>3026.6</v>
      </c>
      <c r="T20" t="n">
        <v>2571</v>
      </c>
      <c r="U20" t="n">
        <v>2102.3</v>
      </c>
      <c r="V20" t="n">
        <v>2143.3</v>
      </c>
      <c r="W20" t="n">
        <v>3376.4</v>
      </c>
      <c r="X20" t="n">
        <v>3349.6</v>
      </c>
      <c r="Y20" t="n">
        <v>2238.7</v>
      </c>
      <c r="Z20" t="n">
        <v>331</v>
      </c>
      <c r="AA20" t="n">
        <v>2401.6</v>
      </c>
      <c r="AB20" t="n">
        <v>729.5</v>
      </c>
      <c r="AC20" t="n">
        <v>674.9</v>
      </c>
      <c r="AD20" t="n">
        <v>758.7</v>
      </c>
      <c r="AE20" t="n">
        <v>919.7</v>
      </c>
      <c r="AF20" t="n">
        <v>1093.3</v>
      </c>
    </row>
    <row r="21">
      <c r="A21" t="s">
        <v>23</v>
      </c>
      <c r="B21" t="s">
        <v>312</v>
      </c>
      <c r="C21" t="s">
        <v>203</v>
      </c>
      <c r="D21" t="s">
        <v>313</v>
      </c>
      <c r="E21" t="s">
        <v>204</v>
      </c>
      <c r="F21" t="n">
        <v>9.4</v>
      </c>
      <c r="G21" t="n">
        <v>4.3</v>
      </c>
      <c r="H21" t="n">
        <v>81.4</v>
      </c>
      <c r="I21" t="n">
        <v>170.7</v>
      </c>
      <c r="J21" t="n">
        <v>162.1</v>
      </c>
      <c r="K21" t="n">
        <v>49.7</v>
      </c>
      <c r="L21" t="n">
        <v>43.7</v>
      </c>
      <c r="M21" t="n">
        <v>434.9</v>
      </c>
      <c r="N21" t="n">
        <v>915.1</v>
      </c>
      <c r="O21" t="n">
        <v>938.8</v>
      </c>
      <c r="P21" t="n">
        <v>1376.4</v>
      </c>
      <c r="Q21" t="n">
        <v>1277.1</v>
      </c>
      <c r="R21" t="n">
        <v>1600.4</v>
      </c>
      <c r="S21" t="n">
        <v>3181.3</v>
      </c>
      <c r="T21" t="n">
        <v>2768</v>
      </c>
      <c r="U21" t="n">
        <v>2200.6</v>
      </c>
      <c r="V21" t="n">
        <v>2263.9</v>
      </c>
      <c r="W21" t="n">
        <v>3455.8</v>
      </c>
      <c r="X21" t="n">
        <v>3474.2</v>
      </c>
      <c r="Y21" t="n">
        <v>2667</v>
      </c>
      <c r="Z21" t="n">
        <v>1854.8</v>
      </c>
      <c r="AA21" t="n">
        <v>1979.8</v>
      </c>
      <c r="AB21" t="n">
        <v>949.2</v>
      </c>
      <c r="AC21" t="n">
        <v>890.8</v>
      </c>
      <c r="AD21" t="n">
        <v>996.9</v>
      </c>
      <c r="AE21" t="n">
        <v>1047.9</v>
      </c>
      <c r="AF21" t="n">
        <v>1354</v>
      </c>
    </row>
    <row r="22">
      <c r="A22" t="s">
        <v>23</v>
      </c>
      <c r="B22" t="s">
        <v>314</v>
      </c>
      <c r="C22" t="s">
        <v>203</v>
      </c>
      <c r="D22" t="s">
        <v>315</v>
      </c>
      <c r="E22" t="s">
        <v>204</v>
      </c>
      <c r="F22" t="n">
        <v>1</v>
      </c>
      <c r="G22" t="n">
        <v>0.5</v>
      </c>
      <c r="H22" t="n">
        <v>8.8</v>
      </c>
      <c r="I22" t="n">
        <v>18.5</v>
      </c>
      <c r="J22" t="n">
        <v>30.3</v>
      </c>
      <c r="K22" t="n">
        <v>11.1</v>
      </c>
      <c r="L22" t="n">
        <v>8.1</v>
      </c>
      <c r="M22" t="n">
        <v>55.3</v>
      </c>
      <c r="N22" t="n">
        <v>64.7</v>
      </c>
      <c r="O22" t="n">
        <v>61.5</v>
      </c>
      <c r="P22" t="n">
        <v>107.6</v>
      </c>
      <c r="Q22" t="n">
        <v>71.9</v>
      </c>
      <c r="R22" t="n">
        <v>114.5</v>
      </c>
      <c r="S22" t="n">
        <v>154.7</v>
      </c>
      <c r="T22" t="n">
        <v>197</v>
      </c>
      <c r="U22" t="n">
        <v>98.3</v>
      </c>
      <c r="V22" t="n">
        <v>120.6</v>
      </c>
      <c r="W22" t="n">
        <v>79.4</v>
      </c>
      <c r="X22" t="n">
        <v>124.6</v>
      </c>
      <c r="Y22" t="n">
        <v>428.3</v>
      </c>
      <c r="Z22" t="n">
        <v>1523.8</v>
      </c>
      <c r="AA22" t="n">
        <v>-421.8</v>
      </c>
      <c r="AB22" t="n">
        <v>219.7</v>
      </c>
      <c r="AC22" t="n">
        <v>215.9</v>
      </c>
      <c r="AD22" t="n">
        <v>238.2</v>
      </c>
      <c r="AE22" t="n">
        <v>128.2</v>
      </c>
      <c r="AF22" t="n">
        <v>260.7</v>
      </c>
    </row>
    <row r="23">
      <c r="A23" t="s">
        <v>23</v>
      </c>
      <c r="B23" t="s">
        <v>316</v>
      </c>
      <c r="C23" t="s">
        <v>203</v>
      </c>
      <c r="D23" t="s">
        <v>317</v>
      </c>
      <c r="E23" t="s">
        <v>204</v>
      </c>
      <c r="F23" t="n">
        <v>13.2</v>
      </c>
      <c r="G23" t="n">
        <v>6</v>
      </c>
      <c r="H23" t="n">
        <v>114.3</v>
      </c>
      <c r="I23" t="n">
        <v>239.6</v>
      </c>
      <c r="J23" t="n">
        <v>372.8</v>
      </c>
      <c r="K23" t="n">
        <v>659.1</v>
      </c>
      <c r="L23" t="n">
        <v>700</v>
      </c>
      <c r="M23" t="n">
        <v>710.6</v>
      </c>
      <c r="N23" t="n">
        <v>601.7</v>
      </c>
      <c r="O23" t="n">
        <v>939.3</v>
      </c>
      <c r="P23" t="n">
        <v>1742</v>
      </c>
      <c r="Q23" t="n">
        <v>2739.2</v>
      </c>
      <c r="R23" t="n">
        <v>3228.5</v>
      </c>
      <c r="S23" t="n">
        <v>3854.2</v>
      </c>
      <c r="T23" t="n">
        <v>3855.2</v>
      </c>
      <c r="U23" t="n">
        <v>2384.7</v>
      </c>
      <c r="V23" t="n">
        <v>1921.5</v>
      </c>
      <c r="W23" t="n">
        <v>1921</v>
      </c>
      <c r="X23" t="n">
        <v>1937.2</v>
      </c>
      <c r="Y23" t="n">
        <v>1825.7</v>
      </c>
      <c r="Z23" t="n">
        <v>2129.5</v>
      </c>
      <c r="AA23" t="n">
        <v>2948.8</v>
      </c>
      <c r="AB23" t="n">
        <v>2559.5</v>
      </c>
      <c r="AC23" t="n">
        <v>2930.5</v>
      </c>
      <c r="AD23" t="n">
        <v>3520.5</v>
      </c>
      <c r="AE23" t="n">
        <v>3616.4</v>
      </c>
      <c r="AF23" t="n">
        <v>3786.4</v>
      </c>
    </row>
    <row r="24">
      <c r="A24" t="s">
        <v>23</v>
      </c>
      <c r="B24" t="s">
        <v>318</v>
      </c>
      <c r="C24" t="s">
        <v>203</v>
      </c>
      <c r="D24" t="s">
        <v>319</v>
      </c>
      <c r="E24" t="s">
        <v>204</v>
      </c>
      <c r="F24" t="n">
        <v>15.4</v>
      </c>
      <c r="G24" t="n">
        <v>7.1</v>
      </c>
      <c r="H24" t="n">
        <v>133.5</v>
      </c>
      <c r="I24" t="n">
        <v>279.8</v>
      </c>
      <c r="J24" t="n">
        <v>253.8</v>
      </c>
      <c r="K24" t="n">
        <v>515.4</v>
      </c>
      <c r="L24" t="n">
        <v>1510.6</v>
      </c>
      <c r="M24" t="n">
        <v>735.3</v>
      </c>
      <c r="N24" t="n">
        <v>815</v>
      </c>
      <c r="O24" t="n">
        <v>870.1</v>
      </c>
      <c r="P24" t="n">
        <v>1214.6</v>
      </c>
      <c r="Q24" t="n">
        <v>1323.7</v>
      </c>
      <c r="R24" t="n">
        <v>1736.4</v>
      </c>
      <c r="S24" t="n">
        <v>1645.5</v>
      </c>
      <c r="T24" t="n">
        <v>1401.1</v>
      </c>
      <c r="U24" t="n">
        <v>1273.3</v>
      </c>
      <c r="V24" t="n">
        <v>1276.6</v>
      </c>
      <c r="W24" t="n">
        <v>1160.4</v>
      </c>
      <c r="X24" t="n">
        <v>1153.1</v>
      </c>
      <c r="Y24" t="n">
        <v>1238</v>
      </c>
      <c r="Z24" t="n">
        <v>968</v>
      </c>
      <c r="AA24" t="n">
        <v>1509.3</v>
      </c>
      <c r="AB24" t="n">
        <v>1588.2</v>
      </c>
      <c r="AC24" t="n">
        <v>1966.9</v>
      </c>
      <c r="AD24" t="n">
        <v>1677</v>
      </c>
      <c r="AE24" t="n">
        <v>1552.1</v>
      </c>
      <c r="AF24" t="n">
        <v>1817.2</v>
      </c>
    </row>
    <row r="25">
      <c r="A25" t="s">
        <v>23</v>
      </c>
      <c r="B25" t="s">
        <v>320</v>
      </c>
      <c r="C25" t="s">
        <v>203</v>
      </c>
      <c r="D25" t="s">
        <v>321</v>
      </c>
      <c r="E25" t="s">
        <v>204</v>
      </c>
      <c r="F25" t="n">
        <v>1.4</v>
      </c>
      <c r="G25" t="n">
        <v>0.7</v>
      </c>
      <c r="H25" t="n">
        <v>12.4</v>
      </c>
      <c r="I25" t="n">
        <v>26</v>
      </c>
      <c r="J25" t="n">
        <v>34.8</v>
      </c>
      <c r="K25" t="n">
        <v>74.7</v>
      </c>
      <c r="L25" t="n">
        <v>119</v>
      </c>
      <c r="M25" t="n">
        <v>64.9</v>
      </c>
      <c r="N25" t="n">
        <v>62.3</v>
      </c>
      <c r="O25" t="n">
        <v>90.7</v>
      </c>
      <c r="P25" t="n">
        <v>135.5</v>
      </c>
      <c r="Q25" t="n">
        <v>157.2</v>
      </c>
      <c r="R25" t="n">
        <v>164.9</v>
      </c>
      <c r="S25" t="n">
        <v>153</v>
      </c>
      <c r="T25" t="n">
        <v>170.7</v>
      </c>
      <c r="U25" t="n">
        <v>125.3</v>
      </c>
      <c r="V25" t="n">
        <v>140.1</v>
      </c>
      <c r="W25" t="n">
        <v>84.4</v>
      </c>
      <c r="X25" t="n">
        <v>83.7</v>
      </c>
      <c r="Y25" t="n">
        <v>63.5</v>
      </c>
      <c r="Z25" t="n">
        <v>170.3</v>
      </c>
      <c r="AA25" t="n">
        <v>119.1</v>
      </c>
      <c r="AB25" t="n">
        <v>161.4</v>
      </c>
      <c r="AC25" t="n">
        <v>105.7</v>
      </c>
      <c r="AD25" t="n">
        <v>140.7</v>
      </c>
      <c r="AE25" t="n">
        <v>110.4</v>
      </c>
      <c r="AF25" t="n">
        <v>147.9</v>
      </c>
    </row>
    <row r="26">
      <c r="A26" t="s">
        <v>23</v>
      </c>
      <c r="B26" t="s">
        <v>322</v>
      </c>
      <c r="C26" t="s">
        <v>203</v>
      </c>
      <c r="D26" t="s">
        <v>323</v>
      </c>
      <c r="E26" t="s">
        <v>204</v>
      </c>
      <c r="F26" t="n">
        <v>8.8</v>
      </c>
      <c r="G26" t="n">
        <v>4</v>
      </c>
      <c r="H26" t="n">
        <v>76.2</v>
      </c>
      <c r="I26" t="n">
        <v>159.7</v>
      </c>
      <c r="J26" t="n">
        <v>141.6</v>
      </c>
      <c r="K26" t="n">
        <v>121</v>
      </c>
      <c r="L26" t="n">
        <v>1004.9</v>
      </c>
      <c r="M26" t="n">
        <v>423.1</v>
      </c>
      <c r="N26" t="n">
        <v>500.8</v>
      </c>
      <c r="O26" t="n">
        <v>512.5</v>
      </c>
      <c r="P26" t="n">
        <v>729.9</v>
      </c>
      <c r="Q26" t="n">
        <v>759.7</v>
      </c>
      <c r="R26" t="n">
        <v>1036.7</v>
      </c>
      <c r="S26" t="n">
        <v>908.8</v>
      </c>
      <c r="T26" t="n">
        <v>749.1</v>
      </c>
      <c r="U26" t="n">
        <v>677.5</v>
      </c>
      <c r="V26" t="n">
        <v>720.2</v>
      </c>
      <c r="W26" t="n">
        <v>758.8</v>
      </c>
      <c r="X26" t="n">
        <v>754.6</v>
      </c>
      <c r="Y26" t="n">
        <v>825.8</v>
      </c>
      <c r="Z26" t="n">
        <v>473.4</v>
      </c>
      <c r="AA26" t="n">
        <v>892.7</v>
      </c>
      <c r="AB26" t="n">
        <v>700.8</v>
      </c>
      <c r="AC26" t="n">
        <v>877.7</v>
      </c>
      <c r="AD26" t="n">
        <v>791.3</v>
      </c>
      <c r="AE26" t="n">
        <v>826.4</v>
      </c>
      <c r="AF26" t="n">
        <v>963.3</v>
      </c>
    </row>
    <row r="27">
      <c r="A27" t="s">
        <v>23</v>
      </c>
      <c r="B27" t="s">
        <v>324</v>
      </c>
      <c r="C27" t="s">
        <v>203</v>
      </c>
      <c r="D27" t="s">
        <v>325</v>
      </c>
      <c r="E27" t="s">
        <v>204</v>
      </c>
      <c r="F27" t="n">
        <v>5.2</v>
      </c>
      <c r="G27" t="n">
        <v>2.4</v>
      </c>
      <c r="H27" t="n">
        <v>44.9</v>
      </c>
      <c r="I27" t="n">
        <v>94.1</v>
      </c>
      <c r="J27" t="n">
        <v>77.4</v>
      </c>
      <c r="K27" t="n">
        <v>319.7</v>
      </c>
      <c r="L27" t="n">
        <v>386.7</v>
      </c>
      <c r="M27" t="n">
        <v>247.3</v>
      </c>
      <c r="N27" t="n">
        <v>251.9</v>
      </c>
      <c r="O27" t="n">
        <v>266.9</v>
      </c>
      <c r="P27" t="n">
        <v>349.2</v>
      </c>
      <c r="Q27" t="n">
        <v>406.8</v>
      </c>
      <c r="R27" t="n">
        <v>534.8</v>
      </c>
      <c r="S27" t="n">
        <v>583.7</v>
      </c>
      <c r="T27" t="n">
        <v>481.3</v>
      </c>
      <c r="U27" t="n">
        <v>470.5</v>
      </c>
      <c r="V27" t="n">
        <v>416.3</v>
      </c>
      <c r="W27" t="n">
        <v>317.2</v>
      </c>
      <c r="X27" t="n">
        <v>314.8</v>
      </c>
      <c r="Y27" t="n">
        <v>348.7</v>
      </c>
      <c r="Z27" t="n">
        <v>324.3</v>
      </c>
      <c r="AA27" t="n">
        <v>497.5</v>
      </c>
      <c r="AB27" t="n">
        <v>726</v>
      </c>
      <c r="AC27" t="n">
        <v>983.5</v>
      </c>
      <c r="AD27" t="n">
        <v>745</v>
      </c>
      <c r="AE27" t="n">
        <v>615.3</v>
      </c>
      <c r="AF27" t="n">
        <v>706</v>
      </c>
    </row>
    <row r="28">
      <c r="A28" t="s">
        <v>23</v>
      </c>
      <c r="B28" t="s">
        <v>326</v>
      </c>
      <c r="C28" t="s">
        <v>203</v>
      </c>
      <c r="D28" t="s">
        <v>327</v>
      </c>
      <c r="E28" t="s">
        <v>204</v>
      </c>
      <c r="F28" t="n">
        <v>11.9</v>
      </c>
      <c r="G28" t="n">
        <v>5.5</v>
      </c>
      <c r="H28" t="n">
        <v>103.3</v>
      </c>
      <c r="I28" t="n">
        <v>216.5</v>
      </c>
      <c r="J28" t="n">
        <v>473.4</v>
      </c>
      <c r="K28" t="n">
        <v>166.7</v>
      </c>
      <c r="L28" t="n">
        <v>129.8</v>
      </c>
      <c r="M28" t="n">
        <v>460.3</v>
      </c>
      <c r="N28" t="n">
        <v>329.1</v>
      </c>
      <c r="O28" t="n">
        <v>522.1</v>
      </c>
      <c r="P28" t="n">
        <v>877.2</v>
      </c>
      <c r="Q28" t="n">
        <v>930.9</v>
      </c>
      <c r="R28" t="n">
        <v>1056.2</v>
      </c>
      <c r="S28" t="n">
        <v>1010.7</v>
      </c>
      <c r="T28" t="n">
        <v>772.1</v>
      </c>
      <c r="U28" t="n">
        <v>902.7</v>
      </c>
      <c r="V28" t="n">
        <v>755.7</v>
      </c>
      <c r="W28" t="n">
        <v>424.5</v>
      </c>
      <c r="X28" t="n">
        <v>421.6</v>
      </c>
      <c r="Y28" t="n">
        <v>910.4</v>
      </c>
      <c r="Z28" t="n">
        <v>1918.8</v>
      </c>
      <c r="AA28" t="n">
        <v>1852.8</v>
      </c>
      <c r="AB28" t="n">
        <v>1168.7</v>
      </c>
      <c r="AC28" t="n">
        <v>1397</v>
      </c>
      <c r="AD28" t="n">
        <v>1307.5</v>
      </c>
      <c r="AE28" t="n">
        <v>3232.7</v>
      </c>
      <c r="AF28" t="n">
        <v>1676.7</v>
      </c>
    </row>
    <row r="29">
      <c r="A29" t="s">
        <v>23</v>
      </c>
      <c r="B29" t="s">
        <v>328</v>
      </c>
      <c r="C29" t="s">
        <v>203</v>
      </c>
      <c r="D29" t="s">
        <v>329</v>
      </c>
      <c r="E29" t="s">
        <v>204</v>
      </c>
      <c r="F29" t="n">
        <v>4.5</v>
      </c>
      <c r="G29" t="n">
        <v>2.1</v>
      </c>
      <c r="H29" t="n">
        <v>39.1</v>
      </c>
      <c r="I29" t="n">
        <v>81.9</v>
      </c>
      <c r="J29" t="n">
        <v>361.6</v>
      </c>
      <c r="K29" t="n">
        <v>113.6</v>
      </c>
      <c r="L29" t="n">
        <v>66.9</v>
      </c>
      <c r="M29" t="n">
        <v>208.6</v>
      </c>
      <c r="N29" t="n">
        <v>149.9</v>
      </c>
      <c r="O29" t="n">
        <v>245.3</v>
      </c>
      <c r="P29" t="n">
        <v>511.5</v>
      </c>
      <c r="Q29" t="n">
        <v>571.2</v>
      </c>
      <c r="R29" t="n">
        <v>716.1</v>
      </c>
      <c r="S29" t="n">
        <v>641.9</v>
      </c>
      <c r="T29" t="n">
        <v>415.6</v>
      </c>
      <c r="U29" t="n">
        <v>664</v>
      </c>
      <c r="V29" t="n">
        <v>530.4</v>
      </c>
      <c r="W29" t="n">
        <v>292.8</v>
      </c>
      <c r="X29" t="n">
        <v>290.7</v>
      </c>
      <c r="Y29" t="n">
        <v>629.9</v>
      </c>
      <c r="Z29" t="n">
        <v>1132.3</v>
      </c>
      <c r="AA29" t="n">
        <v>1287.2</v>
      </c>
      <c r="AB29" t="n">
        <v>809</v>
      </c>
      <c r="AC29" t="n">
        <v>951</v>
      </c>
      <c r="AD29" t="n">
        <v>807.5</v>
      </c>
      <c r="AE29" t="n">
        <v>2464.8</v>
      </c>
      <c r="AF29" t="n">
        <v>897.2</v>
      </c>
    </row>
    <row r="30">
      <c r="A30" t="s">
        <v>23</v>
      </c>
      <c r="B30" t="s">
        <v>330</v>
      </c>
      <c r="C30" t="s">
        <v>203</v>
      </c>
      <c r="D30" t="s">
        <v>331</v>
      </c>
      <c r="E30" t="s">
        <v>204</v>
      </c>
      <c r="F30" t="n">
        <v>1.4</v>
      </c>
      <c r="G30" t="n">
        <v>0.7</v>
      </c>
      <c r="H30" t="n">
        <v>12.4</v>
      </c>
      <c r="I30" t="n">
        <v>26</v>
      </c>
      <c r="J30" t="n">
        <v>11.1</v>
      </c>
      <c r="K30" t="n">
        <v>0.1</v>
      </c>
      <c r="L30" t="n">
        <v>2.9</v>
      </c>
      <c r="M30" t="n">
        <v>11.9</v>
      </c>
      <c r="N30" t="n">
        <v>33.2</v>
      </c>
      <c r="O30" t="n">
        <v>34.8</v>
      </c>
      <c r="P30" t="n">
        <v>57.5</v>
      </c>
      <c r="Q30" t="n">
        <v>90.7</v>
      </c>
      <c r="R30" t="n">
        <v>86.3</v>
      </c>
      <c r="S30" t="n">
        <v>6</v>
      </c>
      <c r="T30" t="n">
        <v>29.9</v>
      </c>
      <c r="U30" t="n">
        <v>3.6</v>
      </c>
      <c r="V30" t="n">
        <v>9.8</v>
      </c>
      <c r="W30" t="n">
        <v>7.4</v>
      </c>
      <c r="X30" t="n">
        <v>7.3</v>
      </c>
      <c r="Y30" t="n">
        <v>0.8</v>
      </c>
      <c r="Z30" t="n">
        <v>5.2</v>
      </c>
      <c r="AA30" t="n">
        <v>8.5</v>
      </c>
      <c r="AB30" t="n">
        <v>18.9</v>
      </c>
      <c r="AC30" t="n">
        <v>20.8</v>
      </c>
      <c r="AD30" t="n">
        <v>10</v>
      </c>
      <c r="AE30" t="n">
        <v>-9.1</v>
      </c>
      <c r="AF30" t="n">
        <v>10</v>
      </c>
    </row>
    <row r="31">
      <c r="A31" t="s">
        <v>23</v>
      </c>
      <c r="B31" t="s">
        <v>332</v>
      </c>
      <c r="C31" t="s">
        <v>203</v>
      </c>
      <c r="D31" t="s">
        <v>333</v>
      </c>
      <c r="E31" t="s">
        <v>204</v>
      </c>
      <c r="F31" t="n">
        <v>0.6</v>
      </c>
      <c r="G31" t="n">
        <v>0.3</v>
      </c>
      <c r="H31" t="n">
        <v>4.9</v>
      </c>
      <c r="I31" t="n">
        <v>10.4</v>
      </c>
      <c r="J31" t="n">
        <v>13.4</v>
      </c>
      <c r="K31" t="n">
        <v>0.3</v>
      </c>
      <c r="L31" t="n">
        <v>1.4</v>
      </c>
      <c r="M31" t="n">
        <v>9</v>
      </c>
      <c r="N31" t="n">
        <v>23.6</v>
      </c>
      <c r="O31" t="n">
        <v>41.9</v>
      </c>
      <c r="P31" t="n">
        <v>33.1</v>
      </c>
      <c r="Q31" t="n">
        <v>62.6</v>
      </c>
      <c r="R31" t="n">
        <v>75.6</v>
      </c>
      <c r="S31" t="n">
        <v>30.7</v>
      </c>
      <c r="T31" t="n">
        <v>66</v>
      </c>
      <c r="U31" t="n">
        <v>22.4</v>
      </c>
      <c r="V31" t="n">
        <v>28.1</v>
      </c>
      <c r="W31" t="n">
        <v>28.5</v>
      </c>
      <c r="X31" t="n">
        <v>28.3</v>
      </c>
      <c r="Y31" t="n">
        <v>-111.7</v>
      </c>
      <c r="Z31" t="n">
        <v>106.5</v>
      </c>
      <c r="AA31" t="n">
        <v>35.3</v>
      </c>
      <c r="AB31" t="n">
        <v>-20.6</v>
      </c>
      <c r="AC31" t="n">
        <v>36.5</v>
      </c>
      <c r="AD31" t="n">
        <v>56.7</v>
      </c>
      <c r="AE31" t="n">
        <v>214</v>
      </c>
      <c r="AF31" t="n">
        <v>138.1</v>
      </c>
    </row>
    <row r="32">
      <c r="A32" t="s">
        <v>23</v>
      </c>
      <c r="B32" t="s">
        <v>334</v>
      </c>
      <c r="C32" t="s">
        <v>203</v>
      </c>
      <c r="D32" t="s">
        <v>335</v>
      </c>
      <c r="E32" t="s">
        <v>204</v>
      </c>
      <c r="F32" t="n">
        <v>5.2</v>
      </c>
      <c r="G32" t="n">
        <v>2.4</v>
      </c>
      <c r="H32" t="n">
        <v>45.5</v>
      </c>
      <c r="I32" t="n">
        <v>95.3</v>
      </c>
      <c r="J32" t="n">
        <v>82.8</v>
      </c>
      <c r="K32" t="n">
        <v>51</v>
      </c>
      <c r="L32" t="n">
        <v>57.2</v>
      </c>
      <c r="M32" t="n">
        <v>226.5</v>
      </c>
      <c r="N32" t="n">
        <v>117.1</v>
      </c>
      <c r="O32" t="n">
        <v>195.8</v>
      </c>
      <c r="P32" t="n">
        <v>265.8</v>
      </c>
      <c r="Q32" t="n">
        <v>186.5</v>
      </c>
      <c r="R32" t="n">
        <v>153.4</v>
      </c>
      <c r="S32" t="n">
        <v>313.6</v>
      </c>
      <c r="T32" t="n">
        <v>241</v>
      </c>
      <c r="U32" t="n">
        <v>206.9</v>
      </c>
      <c r="V32" t="n">
        <v>174.2</v>
      </c>
      <c r="W32" t="n">
        <v>85.3</v>
      </c>
      <c r="X32" t="n">
        <v>84.8</v>
      </c>
      <c r="Y32" t="n">
        <v>373.3</v>
      </c>
      <c r="Z32" t="n">
        <v>649.5</v>
      </c>
      <c r="AA32" t="n">
        <v>492.2</v>
      </c>
      <c r="AB32" t="n">
        <v>353.5</v>
      </c>
      <c r="AC32" t="n">
        <v>349.8</v>
      </c>
      <c r="AD32" t="n">
        <v>394</v>
      </c>
      <c r="AE32" t="n">
        <v>533.6</v>
      </c>
      <c r="AF32" t="n">
        <v>578</v>
      </c>
    </row>
    <row r="33">
      <c r="A33" t="s">
        <v>23</v>
      </c>
      <c r="B33" t="s">
        <v>336</v>
      </c>
      <c r="C33" t="s">
        <v>203</v>
      </c>
      <c r="D33" t="s">
        <v>337</v>
      </c>
      <c r="E33" t="s">
        <v>204</v>
      </c>
      <c r="F33" t="n">
        <v>0.2</v>
      </c>
      <c r="G33" t="n">
        <v>0.1</v>
      </c>
      <c r="H33" t="n">
        <v>1.4</v>
      </c>
      <c r="I33" t="n">
        <v>2.9</v>
      </c>
      <c r="J33" t="n">
        <v>4.5</v>
      </c>
      <c r="K33" t="n">
        <v>1.7</v>
      </c>
      <c r="L33" t="n">
        <v>1.4</v>
      </c>
      <c r="M33" t="n">
        <v>4.3</v>
      </c>
      <c r="N33" t="n">
        <v>5.3</v>
      </c>
      <c r="O33" t="n">
        <v>4.3</v>
      </c>
      <c r="P33" t="n">
        <v>9.3</v>
      </c>
      <c r="Q33" t="n">
        <v>19.9</v>
      </c>
      <c r="R33" t="n">
        <v>24.8</v>
      </c>
      <c r="S33" t="n">
        <v>18.5</v>
      </c>
      <c r="T33" t="n">
        <v>19.6</v>
      </c>
      <c r="U33" t="n">
        <v>5.8</v>
      </c>
      <c r="V33" t="n">
        <v>13.2</v>
      </c>
      <c r="W33" t="n">
        <v>10.5</v>
      </c>
      <c r="X33" t="n">
        <v>10.5</v>
      </c>
      <c r="Y33" t="n">
        <v>18.1</v>
      </c>
      <c r="Z33" t="n">
        <v>25.3</v>
      </c>
      <c r="AA33" t="n">
        <v>29.6</v>
      </c>
      <c r="AB33" t="n">
        <v>7.9</v>
      </c>
      <c r="AC33" t="n">
        <v>38.9</v>
      </c>
      <c r="AD33" t="n">
        <v>39.3</v>
      </c>
      <c r="AE33" t="n">
        <v>29.4</v>
      </c>
      <c r="AF33" t="n">
        <v>53.4</v>
      </c>
    </row>
    <row r="34">
      <c r="A34" t="s">
        <v>23</v>
      </c>
      <c r="B34" t="s">
        <v>338</v>
      </c>
      <c r="C34" t="s">
        <v>203</v>
      </c>
      <c r="D34" t="s">
        <v>339</v>
      </c>
      <c r="E34" t="s">
        <v>204</v>
      </c>
      <c r="F34" t="n">
        <v>5</v>
      </c>
      <c r="G34" t="n">
        <v>2.3</v>
      </c>
      <c r="H34" t="n">
        <v>42.9</v>
      </c>
      <c r="I34" t="n">
        <v>90</v>
      </c>
      <c r="J34" t="n">
        <v>88.5</v>
      </c>
      <c r="K34" t="n">
        <v>99.8</v>
      </c>
      <c r="L34" t="n">
        <v>170.2</v>
      </c>
      <c r="M34" t="n">
        <v>263.8</v>
      </c>
      <c r="N34" t="n">
        <v>258</v>
      </c>
      <c r="O34" t="n">
        <v>323.2</v>
      </c>
      <c r="P34" t="n">
        <v>440.8</v>
      </c>
      <c r="Q34" t="n">
        <v>342.7</v>
      </c>
      <c r="R34" t="n">
        <v>430.8</v>
      </c>
      <c r="S34" t="n">
        <v>605.9</v>
      </c>
      <c r="T34" t="n">
        <v>421.3</v>
      </c>
      <c r="U34" t="n">
        <v>514.9</v>
      </c>
      <c r="V34" t="n">
        <v>372.9</v>
      </c>
      <c r="W34" t="n">
        <v>430.7</v>
      </c>
      <c r="X34" t="n">
        <v>427.2</v>
      </c>
      <c r="Y34" t="n">
        <v>287.6</v>
      </c>
      <c r="Z34" t="n">
        <v>459.6</v>
      </c>
      <c r="AA34" t="n">
        <v>382.6</v>
      </c>
      <c r="AB34" t="n">
        <v>665.7</v>
      </c>
      <c r="AC34" t="n">
        <v>695.4</v>
      </c>
      <c r="AD34" t="n">
        <v>587.7</v>
      </c>
      <c r="AE34" t="n">
        <v>454.9</v>
      </c>
      <c r="AF34" t="n">
        <v>388.7</v>
      </c>
    </row>
    <row r="35">
      <c r="A35" t="s">
        <v>23</v>
      </c>
      <c r="B35" t="s">
        <v>340</v>
      </c>
      <c r="C35" t="s">
        <v>203</v>
      </c>
      <c r="D35" t="s">
        <v>341</v>
      </c>
      <c r="E35" t="s">
        <v>204</v>
      </c>
      <c r="F35" t="n">
        <v>7.5</v>
      </c>
      <c r="G35" t="n">
        <v>3.4</v>
      </c>
      <c r="H35" t="n">
        <v>65.2</v>
      </c>
      <c r="I35" t="n">
        <v>136.6</v>
      </c>
      <c r="J35" t="n">
        <v>134.4</v>
      </c>
      <c r="K35" t="n">
        <v>169.8</v>
      </c>
      <c r="L35" t="n">
        <v>209.3</v>
      </c>
      <c r="M35" t="n">
        <v>442.4</v>
      </c>
      <c r="N35" t="n">
        <v>665.8</v>
      </c>
      <c r="O35" t="n">
        <v>716.7</v>
      </c>
      <c r="P35" t="n">
        <v>1002</v>
      </c>
      <c r="Q35" t="n">
        <v>1065.3</v>
      </c>
      <c r="R35" t="n">
        <v>1110</v>
      </c>
      <c r="S35" t="n">
        <v>1204.4</v>
      </c>
      <c r="T35" t="n">
        <v>830.8</v>
      </c>
      <c r="U35" t="n">
        <v>964.6</v>
      </c>
      <c r="V35" t="n">
        <v>972.3</v>
      </c>
      <c r="W35" t="n">
        <v>858.6</v>
      </c>
      <c r="X35" t="n">
        <v>863.4</v>
      </c>
      <c r="Y35" t="n">
        <v>367.6</v>
      </c>
      <c r="Z35" t="n">
        <v>-223</v>
      </c>
      <c r="AA35" t="n">
        <v>580.8</v>
      </c>
      <c r="AB35" t="n">
        <v>1161</v>
      </c>
      <c r="AC35" t="n">
        <v>1154.2</v>
      </c>
      <c r="AD35" t="n">
        <v>2020.9</v>
      </c>
      <c r="AE35" t="n">
        <v>977.4</v>
      </c>
      <c r="AF35" t="n">
        <v>1915.1</v>
      </c>
    </row>
    <row r="36">
      <c r="A36" t="s">
        <v>23</v>
      </c>
      <c r="B36" t="s">
        <v>342</v>
      </c>
      <c r="C36" t="s">
        <v>203</v>
      </c>
      <c r="D36" t="s">
        <v>343</v>
      </c>
      <c r="E36" t="s">
        <v>204</v>
      </c>
      <c r="F36" t="n">
        <v>5</v>
      </c>
      <c r="G36" t="n">
        <v>2.3</v>
      </c>
      <c r="H36" t="n">
        <v>43.7</v>
      </c>
      <c r="I36" t="n">
        <v>91.5</v>
      </c>
      <c r="J36" t="n">
        <v>123.4</v>
      </c>
      <c r="K36" t="n">
        <v>139.8</v>
      </c>
      <c r="L36" t="n">
        <v>162.1</v>
      </c>
      <c r="M36" t="n">
        <v>413</v>
      </c>
      <c r="N36" t="n">
        <v>472.2</v>
      </c>
      <c r="O36" t="n">
        <v>663.5</v>
      </c>
      <c r="P36" t="n">
        <v>168.1</v>
      </c>
      <c r="Q36" t="n">
        <v>159.2</v>
      </c>
      <c r="R36" t="n">
        <v>195</v>
      </c>
      <c r="S36" t="n">
        <v>231.6</v>
      </c>
      <c r="T36" t="n">
        <v>205.7</v>
      </c>
      <c r="U36" t="n">
        <v>284.2</v>
      </c>
      <c r="V36" t="n">
        <v>268.3</v>
      </c>
      <c r="W36" t="n">
        <v>183.8</v>
      </c>
      <c r="X36" t="n">
        <v>184.2</v>
      </c>
      <c r="Y36" t="n">
        <v>193.5</v>
      </c>
      <c r="Z36" t="n">
        <v>183.2</v>
      </c>
      <c r="AA36" t="n">
        <v>186.4</v>
      </c>
      <c r="AB36" t="n">
        <v>261.2</v>
      </c>
      <c r="AC36" t="n">
        <v>200</v>
      </c>
      <c r="AD36" t="n">
        <v>223.4</v>
      </c>
      <c r="AE36" t="n">
        <v>202.4</v>
      </c>
      <c r="AF36" t="n">
        <v>235.4</v>
      </c>
    </row>
    <row r="37">
      <c r="A37" t="s">
        <v>23</v>
      </c>
      <c r="B37" t="s">
        <v>344</v>
      </c>
      <c r="C37" t="s">
        <v>203</v>
      </c>
      <c r="D37" t="s">
        <v>345</v>
      </c>
      <c r="E37" t="s">
        <v>204</v>
      </c>
      <c r="F37" t="n">
        <v>0.7</v>
      </c>
      <c r="G37" t="n">
        <v>0.3</v>
      </c>
      <c r="H37" t="n">
        <v>5.9</v>
      </c>
      <c r="I37" t="n">
        <v>12.4</v>
      </c>
      <c r="J37" t="n">
        <v>4.1</v>
      </c>
      <c r="K37" t="n">
        <v>17.8</v>
      </c>
      <c r="L37" t="n">
        <v>13.8</v>
      </c>
      <c r="M37" t="n">
        <v>11.7</v>
      </c>
      <c r="N37" t="n">
        <v>18</v>
      </c>
      <c r="O37" t="n">
        <v>21.5</v>
      </c>
      <c r="P37" t="n">
        <v>771.3</v>
      </c>
      <c r="Q37" t="n">
        <v>842</v>
      </c>
      <c r="R37" t="n">
        <v>840.3</v>
      </c>
      <c r="S37" t="n">
        <v>805</v>
      </c>
      <c r="T37" t="n">
        <v>505</v>
      </c>
      <c r="U37" t="n">
        <v>538.8</v>
      </c>
      <c r="V37" t="n">
        <v>557.7</v>
      </c>
      <c r="W37" t="n">
        <v>551.2</v>
      </c>
      <c r="X37" t="n">
        <v>549.3</v>
      </c>
      <c r="Y37" t="n">
        <v>-158.9</v>
      </c>
      <c r="Z37" t="n">
        <v>-686.5</v>
      </c>
      <c r="AA37" t="n">
        <v>-92.4</v>
      </c>
      <c r="AB37" t="n">
        <v>309.2</v>
      </c>
      <c r="AC37" t="n">
        <v>310.6</v>
      </c>
      <c r="AD37" t="n">
        <v>676.8</v>
      </c>
      <c r="AE37" t="n">
        <v>-145.2</v>
      </c>
      <c r="AF37" t="n">
        <v>621.2</v>
      </c>
    </row>
    <row r="38">
      <c r="A38" t="s">
        <v>23</v>
      </c>
      <c r="B38" t="s">
        <v>346</v>
      </c>
      <c r="C38" t="s">
        <v>203</v>
      </c>
      <c r="D38" t="s">
        <v>347</v>
      </c>
      <c r="E38" t="s">
        <v>204</v>
      </c>
      <c r="F38" t="n">
        <v>1.8</v>
      </c>
      <c r="G38" t="n">
        <v>0.8</v>
      </c>
      <c r="H38" t="n">
        <v>15.6</v>
      </c>
      <c r="I38" t="n">
        <v>32.7</v>
      </c>
      <c r="J38" t="n">
        <v>6.9</v>
      </c>
      <c r="K38" t="n">
        <v>12.2</v>
      </c>
      <c r="L38" t="n">
        <v>33.4</v>
      </c>
      <c r="M38" t="n">
        <v>17.7</v>
      </c>
      <c r="N38" t="n">
        <v>175.6</v>
      </c>
      <c r="O38" t="n">
        <v>31.7</v>
      </c>
      <c r="P38" t="n">
        <v>62.6</v>
      </c>
      <c r="Q38" t="n">
        <v>64.1</v>
      </c>
      <c r="R38" t="n">
        <v>74.7</v>
      </c>
      <c r="S38" t="n">
        <v>167.8</v>
      </c>
      <c r="T38" t="n">
        <v>120.1</v>
      </c>
      <c r="U38" t="n">
        <v>141.6</v>
      </c>
      <c r="V38" t="n">
        <v>146.3</v>
      </c>
      <c r="W38" t="n">
        <v>123.6</v>
      </c>
      <c r="X38" t="n">
        <v>129.9</v>
      </c>
      <c r="Y38" t="n">
        <v>333</v>
      </c>
      <c r="Z38" t="n">
        <v>280.3</v>
      </c>
      <c r="AA38" t="n">
        <v>486.8</v>
      </c>
      <c r="AB38" t="n">
        <v>590.6</v>
      </c>
      <c r="AC38" t="n">
        <v>643.6</v>
      </c>
      <c r="AD38" t="n">
        <v>1120.7</v>
      </c>
      <c r="AE38" t="n">
        <v>920.2</v>
      </c>
      <c r="AF38" t="n">
        <v>1058.5</v>
      </c>
    </row>
    <row r="39">
      <c r="A39" t="s">
        <v>23</v>
      </c>
      <c r="B39" t="s">
        <v>348</v>
      </c>
      <c r="C39" t="s">
        <v>203</v>
      </c>
      <c r="D39" t="s">
        <v>349</v>
      </c>
      <c r="E39" t="s">
        <v>204</v>
      </c>
      <c r="F39" t="n">
        <v>7.5</v>
      </c>
      <c r="G39" t="n">
        <v>3.5</v>
      </c>
      <c r="H39" t="n">
        <v>65.4</v>
      </c>
      <c r="I39" t="n">
        <v>137</v>
      </c>
      <c r="J39" t="n">
        <v>64.7</v>
      </c>
      <c r="K39" t="n">
        <v>219.8</v>
      </c>
      <c r="L39" t="n">
        <v>55.7</v>
      </c>
      <c r="M39" t="n">
        <v>129.7</v>
      </c>
      <c r="N39" t="n">
        <v>99.3</v>
      </c>
      <c r="O39" t="n">
        <v>141.4</v>
      </c>
      <c r="P39" t="n">
        <v>153.1</v>
      </c>
      <c r="Q39" t="n">
        <v>237.9</v>
      </c>
      <c r="R39" t="n">
        <v>260.8</v>
      </c>
      <c r="S39" t="n">
        <v>183.4</v>
      </c>
      <c r="T39" t="n">
        <v>289.2</v>
      </c>
      <c r="U39" t="n">
        <v>215.8</v>
      </c>
      <c r="V39" t="n">
        <v>343.1</v>
      </c>
      <c r="W39" t="n">
        <v>318.3</v>
      </c>
      <c r="X39" t="n">
        <v>315.9</v>
      </c>
      <c r="Y39" t="n">
        <v>288</v>
      </c>
      <c r="Z39" t="n">
        <v>15.7</v>
      </c>
      <c r="AA39" t="n">
        <v>188.2</v>
      </c>
      <c r="AB39" t="n">
        <v>264</v>
      </c>
      <c r="AC39" t="n">
        <v>270.4</v>
      </c>
      <c r="AD39" t="n">
        <v>308.9</v>
      </c>
      <c r="AE39" t="n">
        <v>524.9</v>
      </c>
      <c r="AF39" t="n">
        <v>353.8</v>
      </c>
    </row>
    <row r="40">
      <c r="A40" t="s">
        <v>23</v>
      </c>
      <c r="B40" t="s">
        <v>350</v>
      </c>
      <c r="C40" t="s">
        <v>203</v>
      </c>
      <c r="D40" t="s">
        <v>351</v>
      </c>
      <c r="E40" t="s">
        <v>204</v>
      </c>
      <c r="F40" t="n">
        <v>1.9</v>
      </c>
      <c r="G40" t="n">
        <v>0.9</v>
      </c>
      <c r="H40" t="n">
        <v>16.7</v>
      </c>
      <c r="I40" t="n">
        <v>35</v>
      </c>
      <c r="J40" t="n">
        <v>56.1</v>
      </c>
      <c r="K40" t="n">
        <v>32.2</v>
      </c>
      <c r="L40" t="n">
        <v>56.8</v>
      </c>
      <c r="M40" t="n">
        <v>114.9</v>
      </c>
      <c r="N40" t="n">
        <v>26.2</v>
      </c>
      <c r="O40" t="n">
        <v>167.5</v>
      </c>
      <c r="P40" t="n">
        <v>313.3</v>
      </c>
      <c r="Q40" t="n">
        <v>916.4</v>
      </c>
      <c r="R40" t="n">
        <v>724.4</v>
      </c>
      <c r="S40" t="n">
        <v>2067.9</v>
      </c>
      <c r="T40" t="n">
        <v>1943.7</v>
      </c>
      <c r="U40" t="n">
        <v>1046.5</v>
      </c>
      <c r="V40" t="n">
        <v>1416.8</v>
      </c>
      <c r="W40" t="n">
        <v>1340.5</v>
      </c>
      <c r="X40" t="n">
        <v>1330</v>
      </c>
      <c r="Y40" t="n">
        <v>508.3</v>
      </c>
      <c r="Z40" t="n">
        <v>266.1</v>
      </c>
      <c r="AA40" t="n">
        <v>440.2</v>
      </c>
      <c r="AB40" t="n">
        <v>1326.1</v>
      </c>
      <c r="AC40" t="n">
        <v>1575.2</v>
      </c>
      <c r="AD40" t="n">
        <v>1128.2</v>
      </c>
      <c r="AE40" t="n">
        <v>1222.7</v>
      </c>
      <c r="AF40" t="n">
        <v>1343.1</v>
      </c>
    </row>
    <row r="41">
      <c r="A41" t="s">
        <v>23</v>
      </c>
      <c r="B41" t="s">
        <v>352</v>
      </c>
      <c r="C41" t="s">
        <v>203</v>
      </c>
      <c r="D41" t="s">
        <v>353</v>
      </c>
      <c r="E41" t="s">
        <v>204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23</v>
      </c>
      <c r="B42" t="s">
        <v>354</v>
      </c>
      <c r="C42" t="s">
        <v>203</v>
      </c>
      <c r="D42" t="s">
        <v>355</v>
      </c>
      <c r="E42" t="s">
        <v>204</v>
      </c>
      <c r="F42" t="n">
        <v>11.1</v>
      </c>
      <c r="G42" t="n">
        <v>5.1</v>
      </c>
      <c r="H42" t="n">
        <v>96</v>
      </c>
      <c r="I42" t="n">
        <v>201.2</v>
      </c>
      <c r="J42" t="n">
        <v>103</v>
      </c>
      <c r="K42" t="n">
        <v>386.8</v>
      </c>
      <c r="L42" t="n">
        <v>234.6</v>
      </c>
      <c r="M42" t="n">
        <v>153.4</v>
      </c>
      <c r="N42" t="n">
        <v>121.1</v>
      </c>
      <c r="O42" t="n">
        <v>111.3</v>
      </c>
      <c r="P42" t="n">
        <v>178.8</v>
      </c>
      <c r="Q42" t="n">
        <v>209.3</v>
      </c>
      <c r="R42" t="n">
        <v>337.7</v>
      </c>
      <c r="S42" t="n">
        <v>557.1</v>
      </c>
      <c r="T42" t="n">
        <v>701.3</v>
      </c>
      <c r="U42" t="n">
        <v>321.2</v>
      </c>
      <c r="V42" t="n">
        <v>350.3</v>
      </c>
      <c r="W42" t="n">
        <v>322.4</v>
      </c>
      <c r="X42" t="n">
        <v>322.2</v>
      </c>
      <c r="Y42" t="n">
        <v>702.5</v>
      </c>
      <c r="Z42" t="n">
        <v>668.6</v>
      </c>
      <c r="AA42" t="n">
        <v>552.3</v>
      </c>
      <c r="AB42" t="n">
        <v>885.8</v>
      </c>
      <c r="AC42" t="n">
        <v>864.5</v>
      </c>
      <c r="AD42" t="n">
        <v>804.8</v>
      </c>
      <c r="AE42" t="n">
        <v>834.7</v>
      </c>
      <c r="AF42" t="n">
        <v>880.6</v>
      </c>
    </row>
    <row r="43">
      <c r="A43" t="s">
        <v>23</v>
      </c>
      <c r="B43" t="s">
        <v>356</v>
      </c>
      <c r="C43" t="s">
        <v>203</v>
      </c>
      <c r="D43" t="s">
        <v>357</v>
      </c>
      <c r="E43" t="s">
        <v>204</v>
      </c>
      <c r="F43" t="n">
        <v>13.9</v>
      </c>
      <c r="G43" t="n">
        <v>6.3</v>
      </c>
      <c r="H43" t="n">
        <v>120.1</v>
      </c>
      <c r="I43" t="n">
        <v>251.6</v>
      </c>
      <c r="J43" t="n">
        <v>407.8</v>
      </c>
      <c r="K43" t="n">
        <v>414.2</v>
      </c>
      <c r="L43" t="n">
        <v>277.2</v>
      </c>
      <c r="M43" t="n">
        <v>224.2</v>
      </c>
      <c r="N43" t="n">
        <v>323.3</v>
      </c>
      <c r="O43" t="n">
        <v>505.5</v>
      </c>
      <c r="P43" t="n">
        <v>383.2</v>
      </c>
      <c r="Q43" t="n">
        <v>678.7</v>
      </c>
      <c r="R43" t="n">
        <v>886.6</v>
      </c>
      <c r="S43" t="n">
        <v>834</v>
      </c>
      <c r="T43" t="n">
        <v>899.1</v>
      </c>
      <c r="U43" t="n">
        <v>549.5</v>
      </c>
      <c r="V43" t="n">
        <v>841.4</v>
      </c>
      <c r="W43" t="n">
        <v>630.8</v>
      </c>
      <c r="X43" t="n">
        <v>637</v>
      </c>
      <c r="Y43" t="n">
        <v>1133.9</v>
      </c>
      <c r="Z43" t="n">
        <v>1373</v>
      </c>
      <c r="AA43" t="n">
        <v>987.5</v>
      </c>
      <c r="AB43" t="n">
        <v>1416.1</v>
      </c>
      <c r="AC43" t="n">
        <v>1242.3</v>
      </c>
      <c r="AD43" t="n">
        <v>1241.3</v>
      </c>
      <c r="AE43" t="n">
        <v>1140.8</v>
      </c>
      <c r="AF43" t="n">
        <v>1272.7</v>
      </c>
    </row>
    <row r="44">
      <c r="A44" t="s">
        <v>23</v>
      </c>
      <c r="B44" t="s">
        <v>358</v>
      </c>
      <c r="C44" t="s">
        <v>203</v>
      </c>
      <c r="D44" t="s">
        <v>359</v>
      </c>
      <c r="E44" t="s">
        <v>204</v>
      </c>
      <c r="F44" t="n">
        <v>148.9</v>
      </c>
      <c r="G44" t="n">
        <v>68.2</v>
      </c>
      <c r="H44" t="n">
        <v>1289.3</v>
      </c>
      <c r="I44" t="n">
        <v>2702.2</v>
      </c>
      <c r="J44" t="n">
        <v>2984.1</v>
      </c>
      <c r="K44" t="n">
        <v>3550.3</v>
      </c>
      <c r="L44" t="n">
        <v>4799.3</v>
      </c>
      <c r="M44" t="n">
        <v>5191.1</v>
      </c>
      <c r="N44" t="n">
        <v>6042</v>
      </c>
      <c r="O44" t="n">
        <v>7218.1</v>
      </c>
      <c r="P44" t="n">
        <v>10096</v>
      </c>
      <c r="Q44" t="n">
        <v>11662</v>
      </c>
      <c r="R44" t="n">
        <v>13957.5</v>
      </c>
      <c r="S44" t="n">
        <v>17973.3</v>
      </c>
      <c r="T44" t="n">
        <v>14650.8</v>
      </c>
      <c r="U44" t="n">
        <v>12211</v>
      </c>
      <c r="V44" t="n">
        <v>12833</v>
      </c>
      <c r="W44" t="n">
        <v>13405.9</v>
      </c>
      <c r="X44" t="n">
        <v>13405.2</v>
      </c>
      <c r="Y44" t="n">
        <v>13375.8</v>
      </c>
      <c r="Z44" t="n">
        <v>16328.3</v>
      </c>
      <c r="AA44" t="n">
        <v>15544.9</v>
      </c>
      <c r="AB44" t="n">
        <v>15553.5</v>
      </c>
      <c r="AC44" t="n">
        <v>16566</v>
      </c>
      <c r="AD44" t="n">
        <v>17617.9</v>
      </c>
      <c r="AE44" t="n">
        <v>17694.5</v>
      </c>
      <c r="AF44" t="n">
        <v>17946.2</v>
      </c>
    </row>
    <row r="45">
      <c r="A45" t="s">
        <v>23</v>
      </c>
      <c r="B45" t="s">
        <v>360</v>
      </c>
      <c r="C45" t="s">
        <v>203</v>
      </c>
      <c r="D45" t="s">
        <v>361</v>
      </c>
      <c r="E45" t="s">
        <v>204</v>
      </c>
      <c r="F45" t="n">
        <v>132.2</v>
      </c>
      <c r="G45" t="n">
        <v>60.6</v>
      </c>
      <c r="H45" t="n">
        <v>1145</v>
      </c>
      <c r="I45" t="n">
        <v>2399.8</v>
      </c>
      <c r="J45" t="n">
        <v>2719.8</v>
      </c>
      <c r="K45" t="n">
        <v>3355.5</v>
      </c>
      <c r="L45" t="n">
        <v>4292</v>
      </c>
      <c r="M45" t="n">
        <v>4929.4</v>
      </c>
      <c r="N45" t="n">
        <v>5664.6</v>
      </c>
      <c r="O45" t="n">
        <v>6712.6</v>
      </c>
      <c r="P45" t="n">
        <v>9722.3</v>
      </c>
      <c r="Q45" t="n">
        <v>11298.8</v>
      </c>
      <c r="R45" t="n">
        <v>13532.3</v>
      </c>
      <c r="S45" t="n">
        <v>16959.9</v>
      </c>
      <c r="T45" t="n">
        <v>14031.9</v>
      </c>
      <c r="U45" t="n">
        <v>11499.6</v>
      </c>
      <c r="V45" t="n">
        <v>11766.4</v>
      </c>
      <c r="W45" t="n">
        <v>12355.5</v>
      </c>
      <c r="X45" t="n">
        <v>12363.2</v>
      </c>
      <c r="Y45" t="n">
        <v>12102.1</v>
      </c>
      <c r="Z45" t="n">
        <v>14944.2</v>
      </c>
      <c r="AA45" t="n">
        <v>14546.7</v>
      </c>
      <c r="AB45" t="n">
        <v>14336.7</v>
      </c>
      <c r="AC45" t="n">
        <v>15186.8</v>
      </c>
      <c r="AD45" t="n">
        <v>16473.3</v>
      </c>
      <c r="AE45" t="n">
        <v>16582.2</v>
      </c>
      <c r="AF45" t="n">
        <v>16734.4</v>
      </c>
    </row>
    <row r="46">
      <c r="A46" t="s">
        <v>23</v>
      </c>
      <c r="B46" t="s">
        <v>362</v>
      </c>
      <c r="C46" t="s">
        <v>203</v>
      </c>
      <c r="D46" t="s">
        <v>363</v>
      </c>
      <c r="E46" t="s">
        <v>204</v>
      </c>
      <c r="F46" t="n">
        <v>2.8</v>
      </c>
      <c r="G46" t="n">
        <v>1.3</v>
      </c>
      <c r="H46" t="n">
        <v>24.1</v>
      </c>
      <c r="I46" t="n">
        <v>50.4</v>
      </c>
      <c r="J46" t="n">
        <v>304.8</v>
      </c>
      <c r="K46" t="n">
        <v>27.4</v>
      </c>
      <c r="L46" t="n">
        <v>42.6</v>
      </c>
      <c r="M46" t="n">
        <v>70.8</v>
      </c>
      <c r="N46" t="n">
        <v>202.2</v>
      </c>
      <c r="O46" t="n">
        <v>394.2</v>
      </c>
      <c r="P46" t="n">
        <v>204.4</v>
      </c>
      <c r="Q46" t="n">
        <v>469.4</v>
      </c>
      <c r="R46" t="n">
        <v>548.9</v>
      </c>
      <c r="S46" t="n">
        <v>276.9</v>
      </c>
      <c r="T46" t="n">
        <v>197.8</v>
      </c>
      <c r="U46" t="n">
        <v>228.3</v>
      </c>
      <c r="V46" t="n">
        <v>491.1</v>
      </c>
      <c r="W46" t="n">
        <v>308.4</v>
      </c>
      <c r="X46" t="n">
        <v>314.8</v>
      </c>
      <c r="Y46" t="n">
        <v>431.4</v>
      </c>
      <c r="Z46" t="n">
        <v>704.4</v>
      </c>
      <c r="AA46" t="n">
        <v>435.2</v>
      </c>
      <c r="AB46" t="n">
        <v>530.3</v>
      </c>
      <c r="AC46" t="n">
        <v>377.8</v>
      </c>
      <c r="AD46" t="n">
        <v>436.5</v>
      </c>
      <c r="AE46" t="n">
        <v>306.1</v>
      </c>
      <c r="AF46" t="n">
        <v>392.1</v>
      </c>
    </row>
    <row r="47">
      <c r="A47" t="s">
        <v>23</v>
      </c>
      <c r="B47" t="s">
        <v>364</v>
      </c>
      <c r="C47" t="s">
        <v>203</v>
      </c>
      <c r="D47" t="s">
        <v>365</v>
      </c>
      <c r="E47" t="s">
        <v>204</v>
      </c>
      <c r="F47" t="n">
        <v>58.1</v>
      </c>
      <c r="G47" t="n">
        <v>26.6</v>
      </c>
      <c r="H47" t="n">
        <v>503.6</v>
      </c>
      <c r="I47" t="n">
        <v>1055.5</v>
      </c>
      <c r="J47" t="n">
        <v>1021.9</v>
      </c>
      <c r="K47" t="n">
        <v>1031.9</v>
      </c>
      <c r="L47" t="n">
        <v>966.2</v>
      </c>
      <c r="M47" t="n">
        <v>923.4</v>
      </c>
      <c r="N47" t="n">
        <v>911.5</v>
      </c>
      <c r="O47" t="n">
        <v>884.8</v>
      </c>
      <c r="P47" t="n">
        <v>1163.8</v>
      </c>
      <c r="Q47" t="n">
        <v>1747.2</v>
      </c>
      <c r="R47" t="n">
        <v>2594.4</v>
      </c>
      <c r="S47" t="n">
        <v>3188.9</v>
      </c>
      <c r="T47" t="n">
        <v>3031.2</v>
      </c>
      <c r="U47" t="n">
        <v>3020.6</v>
      </c>
      <c r="V47" t="n">
        <v>2314.2</v>
      </c>
      <c r="W47" t="n">
        <v>2415</v>
      </c>
      <c r="X47" t="n">
        <v>2395.7</v>
      </c>
      <c r="Y47" t="n">
        <v>3486.3</v>
      </c>
      <c r="Z47" t="n">
        <v>1575.4</v>
      </c>
      <c r="AA47" t="n">
        <v>649.3</v>
      </c>
      <c r="AB47" t="n">
        <v>1600.7</v>
      </c>
      <c r="AC47" t="n">
        <v>2074.4</v>
      </c>
      <c r="AD47" t="n">
        <v>3185.9</v>
      </c>
      <c r="AE47" t="n">
        <v>3318.5</v>
      </c>
      <c r="AF47" t="n">
        <v>2911.5</v>
      </c>
    </row>
    <row r="48">
      <c r="A48" t="s">
        <v>23</v>
      </c>
      <c r="B48" t="s">
        <v>366</v>
      </c>
      <c r="C48" t="s">
        <v>203</v>
      </c>
      <c r="D48" t="s">
        <v>367</v>
      </c>
      <c r="E48" t="s">
        <v>204</v>
      </c>
      <c r="F48" t="n">
        <v>61.9</v>
      </c>
      <c r="G48" t="n">
        <v>28.4</v>
      </c>
      <c r="H48" t="n">
        <v>536.5</v>
      </c>
      <c r="I48" t="n">
        <v>1124.4</v>
      </c>
      <c r="J48" t="n">
        <v>1030.7</v>
      </c>
      <c r="K48" t="n">
        <v>1123.3</v>
      </c>
      <c r="L48" t="n">
        <v>1113.9</v>
      </c>
      <c r="M48" t="n">
        <v>1159.2</v>
      </c>
      <c r="N48" t="n">
        <v>1187.7</v>
      </c>
      <c r="O48" t="n">
        <v>1246.1</v>
      </c>
      <c r="P48" t="n">
        <v>1657.6</v>
      </c>
      <c r="Q48" t="n">
        <v>2130.4</v>
      </c>
      <c r="R48" t="n">
        <v>3279.9</v>
      </c>
      <c r="S48" t="n">
        <v>3983.3</v>
      </c>
      <c r="T48" t="n">
        <v>3735.9</v>
      </c>
      <c r="U48" t="n">
        <v>3354.3</v>
      </c>
      <c r="V48" t="n">
        <v>2656.5</v>
      </c>
      <c r="W48" t="n">
        <v>2710</v>
      </c>
      <c r="X48" t="n">
        <v>2688.5</v>
      </c>
      <c r="Y48" t="n">
        <v>3838</v>
      </c>
      <c r="Z48" t="n">
        <v>2090</v>
      </c>
      <c r="AA48" t="n">
        <v>1569.1</v>
      </c>
      <c r="AB48" t="n">
        <v>1915</v>
      </c>
      <c r="AC48" t="n">
        <v>2482.3</v>
      </c>
      <c r="AD48" t="n">
        <v>3657.4</v>
      </c>
      <c r="AE48" t="n">
        <v>4064</v>
      </c>
      <c r="AF48" t="n">
        <v>3430.4</v>
      </c>
    </row>
    <row r="49">
      <c r="A49" t="s">
        <v>23</v>
      </c>
      <c r="B49" t="s">
        <v>368</v>
      </c>
      <c r="C49" t="s">
        <v>203</v>
      </c>
      <c r="D49" t="s">
        <v>369</v>
      </c>
      <c r="E49" t="s">
        <v>204</v>
      </c>
      <c r="F49" t="n">
        <v>2.9</v>
      </c>
      <c r="G49" t="n">
        <v>1.3</v>
      </c>
      <c r="H49" t="n">
        <v>25.1</v>
      </c>
      <c r="I49" t="n">
        <v>52.6</v>
      </c>
      <c r="J49" t="n">
        <v>2.8</v>
      </c>
      <c r="K49" t="n">
        <v>66.3</v>
      </c>
      <c r="L49" t="n">
        <v>49.2</v>
      </c>
      <c r="M49" t="n">
        <v>48.9</v>
      </c>
      <c r="N49" t="n">
        <v>170.5</v>
      </c>
      <c r="O49" t="n">
        <v>186.1</v>
      </c>
      <c r="P49" t="n">
        <v>255.2</v>
      </c>
      <c r="Q49" t="n">
        <v>190.7</v>
      </c>
      <c r="R49" t="n">
        <v>464.1</v>
      </c>
      <c r="S49" t="n">
        <v>498.5</v>
      </c>
      <c r="T49" t="n">
        <v>514.1</v>
      </c>
      <c r="U49" t="n">
        <v>138.9</v>
      </c>
      <c r="V49" t="n">
        <v>158.3</v>
      </c>
      <c r="W49" t="n">
        <v>114.7</v>
      </c>
      <c r="X49" t="n">
        <v>113.8</v>
      </c>
      <c r="Y49" t="n">
        <v>85.9</v>
      </c>
      <c r="Z49" t="n">
        <v>223.3</v>
      </c>
      <c r="AA49" t="n">
        <v>146.3</v>
      </c>
      <c r="AB49" t="n">
        <v>95.4</v>
      </c>
      <c r="AC49" t="n">
        <v>150.4</v>
      </c>
      <c r="AD49" t="n">
        <v>182.8</v>
      </c>
      <c r="AE49" t="n">
        <v>235.7</v>
      </c>
      <c r="AF49" t="n">
        <v>145.3</v>
      </c>
    </row>
    <row r="50">
      <c r="A50" t="s">
        <v>23</v>
      </c>
      <c r="B50" t="s">
        <v>370</v>
      </c>
      <c r="C50" t="s">
        <v>203</v>
      </c>
      <c r="D50" t="s">
        <v>371</v>
      </c>
      <c r="E50" t="s">
        <v>204</v>
      </c>
      <c r="F50" t="n">
        <v>0.9</v>
      </c>
      <c r="G50" t="n">
        <v>0.4</v>
      </c>
      <c r="H50" t="n">
        <v>7.7</v>
      </c>
      <c r="I50" t="n">
        <v>16.3</v>
      </c>
      <c r="J50" t="n">
        <v>6</v>
      </c>
      <c r="K50" t="n">
        <v>25.1</v>
      </c>
      <c r="L50" t="n">
        <v>98.6</v>
      </c>
      <c r="M50" t="n">
        <v>186.8</v>
      </c>
      <c r="N50" t="n">
        <v>105.7</v>
      </c>
      <c r="O50" t="n">
        <v>175.2</v>
      </c>
      <c r="P50" t="n">
        <v>238.7</v>
      </c>
      <c r="Q50" t="n">
        <v>192.5</v>
      </c>
      <c r="R50" t="n">
        <v>221.4</v>
      </c>
      <c r="S50" t="n">
        <v>295.9</v>
      </c>
      <c r="T50" t="n">
        <v>190.4</v>
      </c>
      <c r="U50" t="n">
        <v>194.7</v>
      </c>
      <c r="V50" t="n">
        <v>184</v>
      </c>
      <c r="W50" t="n">
        <v>180.3</v>
      </c>
      <c r="X50" t="n">
        <v>179</v>
      </c>
      <c r="Y50" t="n">
        <v>265.8</v>
      </c>
      <c r="Z50" t="n">
        <v>291.2</v>
      </c>
      <c r="AA50" t="n">
        <v>773.5</v>
      </c>
      <c r="AB50" t="n">
        <v>218.9</v>
      </c>
      <c r="AC50" t="n">
        <v>257.5</v>
      </c>
      <c r="AD50" t="n">
        <v>288.7</v>
      </c>
      <c r="AE50" t="n">
        <v>509.9</v>
      </c>
      <c r="AF50" t="n">
        <v>373.6</v>
      </c>
    </row>
    <row r="51">
      <c r="A51" t="s">
        <v>23</v>
      </c>
      <c r="B51" t="s">
        <v>372</v>
      </c>
      <c r="C51" t="s">
        <v>203</v>
      </c>
      <c r="D51" t="s">
        <v>373</v>
      </c>
      <c r="E51" t="s">
        <v>204</v>
      </c>
      <c r="F51" t="n">
        <v>0.6</v>
      </c>
      <c r="G51" t="n">
        <v>0.3</v>
      </c>
      <c r="H51" t="n">
        <v>5.2</v>
      </c>
      <c r="I51" t="n">
        <v>11</v>
      </c>
      <c r="J51" t="n">
        <v>5.6</v>
      </c>
      <c r="K51" t="n">
        <v>24.9</v>
      </c>
      <c r="L51" t="n">
        <v>98.1</v>
      </c>
      <c r="M51" t="n">
        <v>182.9</v>
      </c>
      <c r="N51" t="n">
        <v>98.6</v>
      </c>
      <c r="O51" t="n">
        <v>174.6</v>
      </c>
      <c r="P51" t="n">
        <v>234.3</v>
      </c>
      <c r="Q51" t="n">
        <v>188.6</v>
      </c>
      <c r="R51" t="n">
        <v>215.9</v>
      </c>
      <c r="S51" t="n">
        <v>291</v>
      </c>
      <c r="T51" t="n">
        <v>185.3</v>
      </c>
      <c r="U51" t="n">
        <v>162.2</v>
      </c>
      <c r="V51" t="n">
        <v>181.2</v>
      </c>
      <c r="W51" t="n">
        <v>178.2</v>
      </c>
      <c r="X51" t="n">
        <v>176.9</v>
      </c>
      <c r="Y51" t="n">
        <v>261.7</v>
      </c>
      <c r="Z51" t="n">
        <v>254</v>
      </c>
      <c r="AA51" t="n">
        <v>761.1</v>
      </c>
      <c r="AB51" t="n">
        <v>215.8</v>
      </c>
      <c r="AC51" t="n">
        <v>253.9</v>
      </c>
      <c r="AD51" t="n">
        <v>278.7</v>
      </c>
      <c r="AE51" t="n">
        <v>495.2</v>
      </c>
      <c r="AF51" t="n">
        <v>368.4</v>
      </c>
    </row>
    <row r="52">
      <c r="A52" t="s">
        <v>23</v>
      </c>
      <c r="B52" t="s">
        <v>374</v>
      </c>
      <c r="C52" t="s">
        <v>203</v>
      </c>
      <c r="D52" t="s">
        <v>375</v>
      </c>
      <c r="E52" t="s">
        <v>204</v>
      </c>
      <c r="F52" t="n">
        <v>0.3</v>
      </c>
      <c r="G52" t="n">
        <v>0.1</v>
      </c>
      <c r="H52" t="n">
        <v>2.5</v>
      </c>
      <c r="I52" t="n">
        <v>5.3</v>
      </c>
      <c r="J52" t="n">
        <v>0.4</v>
      </c>
      <c r="K52" t="n">
        <v>0.2</v>
      </c>
      <c r="L52" t="n">
        <v>0.5</v>
      </c>
      <c r="M52" t="n">
        <v>3.9</v>
      </c>
      <c r="N52" t="n">
        <v>7.1</v>
      </c>
      <c r="O52" t="n">
        <v>0.6</v>
      </c>
      <c r="P52" t="n">
        <v>4.4</v>
      </c>
      <c r="Q52" t="n">
        <v>3.9</v>
      </c>
      <c r="R52" t="n">
        <v>5.5</v>
      </c>
      <c r="S52" t="n">
        <v>4.9</v>
      </c>
      <c r="T52" t="n">
        <v>5.1</v>
      </c>
      <c r="U52" t="n">
        <v>32.5</v>
      </c>
      <c r="V52" t="n">
        <v>2.8</v>
      </c>
      <c r="W52" t="n">
        <v>2.1</v>
      </c>
      <c r="X52" t="n">
        <v>2.1</v>
      </c>
      <c r="Y52" t="n">
        <v>4.1</v>
      </c>
      <c r="Z52" t="n">
        <v>37.2</v>
      </c>
      <c r="AA52" t="n">
        <v>12.4</v>
      </c>
      <c r="AB52" t="n">
        <v>3.1</v>
      </c>
      <c r="AC52" t="n">
        <v>3.6</v>
      </c>
      <c r="AD52" t="n">
        <v>10</v>
      </c>
      <c r="AE52" t="n">
        <v>14.7</v>
      </c>
      <c r="AF52" t="n">
        <v>5.2</v>
      </c>
    </row>
    <row r="53">
      <c r="A53" t="s">
        <v>23</v>
      </c>
      <c r="B53" t="s">
        <v>376</v>
      </c>
      <c r="C53" t="s">
        <v>203</v>
      </c>
      <c r="D53" t="s">
        <v>377</v>
      </c>
      <c r="E53" t="s">
        <v>204</v>
      </c>
      <c r="F53" t="n">
        <v>0.4</v>
      </c>
      <c r="G53" t="n">
        <v>0.2</v>
      </c>
      <c r="H53" t="n">
        <v>3.3</v>
      </c>
      <c r="I53" t="n">
        <v>6.8</v>
      </c>
      <c r="J53" t="n">
        <v>10.8</v>
      </c>
      <c r="K53" t="n">
        <v>17.6</v>
      </c>
      <c r="L53" t="n">
        <v>19.1</v>
      </c>
      <c r="M53" t="n">
        <v>42.5</v>
      </c>
      <c r="N53" t="n">
        <v>35.2</v>
      </c>
      <c r="O53" t="n">
        <v>61.5</v>
      </c>
      <c r="P53" t="n">
        <v>44.9</v>
      </c>
      <c r="Q53" t="n">
        <v>64.4</v>
      </c>
      <c r="R53" t="n">
        <v>174.7</v>
      </c>
      <c r="S53" t="n">
        <v>149.6</v>
      </c>
      <c r="T53" t="n">
        <v>97.5</v>
      </c>
      <c r="U53" t="n">
        <v>155.4</v>
      </c>
      <c r="V53" t="n">
        <v>74.8</v>
      </c>
      <c r="W53" t="n">
        <v>179.6</v>
      </c>
      <c r="X53" t="n">
        <v>179</v>
      </c>
      <c r="Y53" t="n">
        <v>117.9</v>
      </c>
      <c r="Z53" t="n">
        <v>440.4</v>
      </c>
      <c r="AA53" t="n">
        <v>223.5</v>
      </c>
      <c r="AB53" t="n">
        <v>161.8</v>
      </c>
      <c r="AC53" t="n">
        <v>159.8</v>
      </c>
      <c r="AD53" t="n">
        <v>183.2</v>
      </c>
      <c r="AE53" t="n">
        <v>182.6</v>
      </c>
      <c r="AF53" t="n">
        <v>158.4</v>
      </c>
    </row>
    <row r="54">
      <c r="A54" t="s">
        <v>23</v>
      </c>
      <c r="B54" t="s">
        <v>378</v>
      </c>
      <c r="C54" t="s">
        <v>203</v>
      </c>
      <c r="D54" t="s">
        <v>379</v>
      </c>
      <c r="E54" t="s">
        <v>204</v>
      </c>
      <c r="F54" t="n">
        <v>0.4</v>
      </c>
      <c r="G54" t="n">
        <v>0.2</v>
      </c>
      <c r="H54" t="n">
        <v>3.4</v>
      </c>
      <c r="I54" t="n">
        <v>7.1</v>
      </c>
      <c r="J54" t="n">
        <v>11.3</v>
      </c>
      <c r="K54" t="n">
        <v>27.1</v>
      </c>
      <c r="L54" t="n">
        <v>34</v>
      </c>
      <c r="M54" t="n">
        <v>51.8</v>
      </c>
      <c r="N54" t="n">
        <v>35.4</v>
      </c>
      <c r="O54" t="n">
        <v>65.9</v>
      </c>
      <c r="P54" t="n">
        <v>55.7</v>
      </c>
      <c r="Q54" t="n">
        <v>78.9</v>
      </c>
      <c r="R54" t="n">
        <v>192.7</v>
      </c>
      <c r="S54" t="n">
        <v>157.4</v>
      </c>
      <c r="T54" t="n">
        <v>107.1</v>
      </c>
      <c r="U54" t="n">
        <v>223</v>
      </c>
      <c r="V54" t="n">
        <v>89.8</v>
      </c>
      <c r="W54" t="n">
        <v>234.7</v>
      </c>
      <c r="X54" t="n">
        <v>233.7</v>
      </c>
      <c r="Y54" t="n">
        <v>196.9</v>
      </c>
      <c r="Z54" t="n">
        <v>515.6</v>
      </c>
      <c r="AA54" t="n">
        <v>279.5</v>
      </c>
      <c r="AB54" t="n">
        <v>234.2</v>
      </c>
      <c r="AC54" t="n">
        <v>259.2</v>
      </c>
      <c r="AD54" t="n">
        <v>281.2</v>
      </c>
      <c r="AE54" t="n">
        <v>253.1</v>
      </c>
      <c r="AF54" t="n">
        <v>265.8</v>
      </c>
    </row>
    <row r="55">
      <c r="A55" t="s">
        <v>23</v>
      </c>
      <c r="B55" t="s">
        <v>380</v>
      </c>
      <c r="C55" t="s">
        <v>203</v>
      </c>
      <c r="D55" t="s">
        <v>381</v>
      </c>
      <c r="E55" t="s">
        <v>204</v>
      </c>
      <c r="F55" t="n">
        <v>0</v>
      </c>
      <c r="G55" t="n">
        <v>0</v>
      </c>
      <c r="H55" t="n">
        <v>0.1</v>
      </c>
      <c r="I55" t="n">
        <v>0.3</v>
      </c>
      <c r="J55" t="n">
        <v>0.5</v>
      </c>
      <c r="K55" t="n">
        <v>9.5</v>
      </c>
      <c r="L55" t="n">
        <v>14.9</v>
      </c>
      <c r="M55" t="n">
        <v>9.3</v>
      </c>
      <c r="N55" t="n">
        <v>0.2</v>
      </c>
      <c r="O55" t="n">
        <v>4.4</v>
      </c>
      <c r="P55" t="n">
        <v>10.8</v>
      </c>
      <c r="Q55" t="n">
        <v>14.5</v>
      </c>
      <c r="R55" t="n">
        <v>18</v>
      </c>
      <c r="S55" t="n">
        <v>7.8</v>
      </c>
      <c r="T55" t="n">
        <v>9.6</v>
      </c>
      <c r="U55" t="n">
        <v>67.6</v>
      </c>
      <c r="V55" t="n">
        <v>15</v>
      </c>
      <c r="W55" t="n">
        <v>55.1</v>
      </c>
      <c r="X55" t="n">
        <v>54.7</v>
      </c>
      <c r="Y55" t="n">
        <v>79</v>
      </c>
      <c r="Z55" t="n">
        <v>75.2</v>
      </c>
      <c r="AA55" t="n">
        <v>56</v>
      </c>
      <c r="AB55" t="n">
        <v>72.4</v>
      </c>
      <c r="AC55" t="n">
        <v>99.4</v>
      </c>
      <c r="AD55" t="n">
        <v>98</v>
      </c>
      <c r="AE55" t="n">
        <v>70.5</v>
      </c>
      <c r="AF55" t="n">
        <v>107.4</v>
      </c>
    </row>
    <row r="56">
      <c r="A56" t="s">
        <v>23</v>
      </c>
      <c r="B56" t="s">
        <v>382</v>
      </c>
      <c r="C56" t="s">
        <v>203</v>
      </c>
      <c r="D56" t="s">
        <v>383</v>
      </c>
      <c r="E56" t="s">
        <v>204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23</v>
      </c>
      <c r="B57" t="s">
        <v>384</v>
      </c>
      <c r="C57" t="s">
        <v>203</v>
      </c>
      <c r="D57" t="s">
        <v>385</v>
      </c>
      <c r="E57" t="s">
        <v>204</v>
      </c>
      <c r="F57" t="n">
        <v>212.7</v>
      </c>
      <c r="G57" t="n">
        <v>97.4</v>
      </c>
      <c r="H57" t="n">
        <v>1842.4</v>
      </c>
      <c r="I57" t="n">
        <v>3861.6</v>
      </c>
      <c r="J57" t="n">
        <v>4070.9</v>
      </c>
      <c r="K57" t="n">
        <v>4705.8</v>
      </c>
      <c r="L57" t="n">
        <v>5970.1</v>
      </c>
      <c r="M57" t="n">
        <v>6465.1</v>
      </c>
      <c r="N57" t="n">
        <v>7255.9</v>
      </c>
      <c r="O57" t="n">
        <v>8631.7</v>
      </c>
      <c r="P57" t="n">
        <v>12067</v>
      </c>
      <c r="Q57" t="n">
        <v>14708.8</v>
      </c>
      <c r="R57" t="n">
        <v>17961.8</v>
      </c>
      <c r="S57" t="n">
        <v>24024.5</v>
      </c>
      <c r="T57" t="n">
        <v>20330.2</v>
      </c>
      <c r="U57" t="n">
        <v>16611.7</v>
      </c>
      <c r="V57" t="n">
        <v>16906.3</v>
      </c>
      <c r="W57" t="n">
        <v>17456.4</v>
      </c>
      <c r="X57" t="n">
        <v>17423.7</v>
      </c>
      <c r="Y57" t="n">
        <v>17722.1</v>
      </c>
      <c r="Z57" t="n">
        <v>18684.3</v>
      </c>
      <c r="AA57" t="n">
        <v>17554.2</v>
      </c>
      <c r="AB57" t="n">
        <v>18794.6</v>
      </c>
      <c r="AC57" t="n">
        <v>20623.5</v>
      </c>
      <c r="AD57" t="n">
        <v>22403.5</v>
      </c>
      <c r="AE57" t="n">
        <v>22981.3</v>
      </c>
      <c r="AF57" t="n">
        <v>22719.7</v>
      </c>
    </row>
    <row r="58">
      <c r="A58" t="s">
        <v>23</v>
      </c>
      <c r="B58" t="s">
        <v>386</v>
      </c>
      <c r="C58" t="s">
        <v>203</v>
      </c>
      <c r="D58" t="s">
        <v>387</v>
      </c>
      <c r="E58" t="s">
        <v>204</v>
      </c>
      <c r="F58" t="n">
        <v>212.7</v>
      </c>
      <c r="G58" t="n">
        <v>97.4</v>
      </c>
      <c r="H58" t="n">
        <v>1842.4</v>
      </c>
      <c r="I58" t="n">
        <v>3861.6</v>
      </c>
      <c r="J58" t="n">
        <v>4070.9</v>
      </c>
      <c r="K58" t="n">
        <v>4705.8</v>
      </c>
      <c r="L58" t="n">
        <v>5970.1</v>
      </c>
      <c r="M58" t="n">
        <v>6465.1</v>
      </c>
      <c r="N58" t="n">
        <v>7255.9</v>
      </c>
      <c r="O58" t="n">
        <v>8631.7</v>
      </c>
      <c r="P58" t="n">
        <v>12067</v>
      </c>
      <c r="Q58" t="n">
        <v>14708.8</v>
      </c>
      <c r="R58" t="n">
        <v>17961.8</v>
      </c>
      <c r="S58" t="n">
        <v>24024.5</v>
      </c>
      <c r="T58" t="n">
        <v>20330.2</v>
      </c>
      <c r="U58" t="n">
        <v>16611.7</v>
      </c>
      <c r="V58" t="n">
        <v>16906.3</v>
      </c>
      <c r="W58" t="n">
        <v>17456.4</v>
      </c>
      <c r="X58" t="n">
        <v>17423.7</v>
      </c>
      <c r="Y58" t="n">
        <v>17722.1</v>
      </c>
      <c r="Z58" t="n">
        <v>18684.3</v>
      </c>
      <c r="AA58" t="n">
        <v>17554.2</v>
      </c>
      <c r="AB58" t="n">
        <v>18794.6</v>
      </c>
      <c r="AC58" t="n">
        <v>20623.5</v>
      </c>
      <c r="AD58" t="n">
        <v>22403.5</v>
      </c>
      <c r="AE58" t="n">
        <v>22981.3</v>
      </c>
      <c r="AF58" t="n">
        <v>22719.7</v>
      </c>
    </row>
    <row r="59">
      <c r="A59" t="s">
        <v>23</v>
      </c>
      <c r="B59" t="s">
        <v>388</v>
      </c>
      <c r="C59" t="s">
        <v>203</v>
      </c>
      <c r="D59" t="s">
        <v>389</v>
      </c>
      <c r="E59" t="s">
        <v>204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26</v>
      </c>
      <c r="B2" t="s">
        <v>197</v>
      </c>
      <c r="C2" t="s">
        <v>203</v>
      </c>
      <c r="D2" t="s">
        <v>199</v>
      </c>
      <c r="E2" t="s">
        <v>204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/>
      <c r="AE2"/>
      <c r="AF2"/>
    </row>
    <row r="3">
      <c r="A3" t="s">
        <v>26</v>
      </c>
      <c r="B3" t="s">
        <v>276</v>
      </c>
      <c r="C3" t="s">
        <v>203</v>
      </c>
      <c r="D3" t="s">
        <v>277</v>
      </c>
      <c r="E3" t="s">
        <v>204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/>
      <c r="AE3"/>
      <c r="AF3"/>
    </row>
    <row r="4">
      <c r="A4" t="s">
        <v>26</v>
      </c>
      <c r="B4" t="s">
        <v>278</v>
      </c>
      <c r="C4" t="s">
        <v>203</v>
      </c>
      <c r="D4" t="s">
        <v>279</v>
      </c>
      <c r="E4" t="s">
        <v>204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/>
      <c r="AE4"/>
      <c r="AF4"/>
    </row>
    <row r="5">
      <c r="A5" t="s">
        <v>26</v>
      </c>
      <c r="B5" t="s">
        <v>280</v>
      </c>
      <c r="C5" t="s">
        <v>203</v>
      </c>
      <c r="D5" t="s">
        <v>281</v>
      </c>
      <c r="E5" t="s">
        <v>204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/>
      <c r="AE5"/>
      <c r="AF5"/>
    </row>
    <row r="6">
      <c r="A6" t="s">
        <v>26</v>
      </c>
      <c r="B6" t="s">
        <v>282</v>
      </c>
      <c r="C6" t="s">
        <v>203</v>
      </c>
      <c r="D6" t="s">
        <v>283</v>
      </c>
      <c r="E6" t="s">
        <v>204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/>
      <c r="AE6"/>
      <c r="AF6"/>
    </row>
    <row r="7">
      <c r="A7" t="s">
        <v>26</v>
      </c>
      <c r="B7" t="s">
        <v>284</v>
      </c>
      <c r="C7" t="s">
        <v>203</v>
      </c>
      <c r="D7" t="s">
        <v>285</v>
      </c>
      <c r="E7" t="s">
        <v>204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/>
      <c r="AE7"/>
      <c r="AF7"/>
    </row>
    <row r="8">
      <c r="A8" t="s">
        <v>26</v>
      </c>
      <c r="B8" t="s">
        <v>286</v>
      </c>
      <c r="C8" t="s">
        <v>203</v>
      </c>
      <c r="D8" t="s">
        <v>287</v>
      </c>
      <c r="E8" t="s">
        <v>204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/>
      <c r="AE8"/>
      <c r="AF8"/>
    </row>
    <row r="9">
      <c r="A9" t="s">
        <v>26</v>
      </c>
      <c r="B9" t="s">
        <v>288</v>
      </c>
      <c r="C9" t="s">
        <v>203</v>
      </c>
      <c r="D9" t="s">
        <v>289</v>
      </c>
      <c r="E9" t="s">
        <v>204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/>
      <c r="AE9"/>
      <c r="AF9"/>
    </row>
    <row r="10">
      <c r="A10" t="s">
        <v>26</v>
      </c>
      <c r="B10" t="s">
        <v>290</v>
      </c>
      <c r="C10" t="s">
        <v>203</v>
      </c>
      <c r="D10" t="s">
        <v>291</v>
      </c>
      <c r="E10" t="s">
        <v>204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/>
      <c r="AE10"/>
      <c r="AF10"/>
    </row>
    <row r="11">
      <c r="A11" t="s">
        <v>26</v>
      </c>
      <c r="B11" t="s">
        <v>292</v>
      </c>
      <c r="C11" t="s">
        <v>203</v>
      </c>
      <c r="D11" t="s">
        <v>293</v>
      </c>
      <c r="E11" t="s">
        <v>204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/>
      <c r="AE11"/>
      <c r="AF11"/>
    </row>
    <row r="12">
      <c r="A12" t="s">
        <v>26</v>
      </c>
      <c r="B12" t="s">
        <v>294</v>
      </c>
      <c r="C12" t="s">
        <v>203</v>
      </c>
      <c r="D12" t="s">
        <v>295</v>
      </c>
      <c r="E12" t="s">
        <v>204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/>
      <c r="AE12"/>
      <c r="AF12"/>
    </row>
    <row r="13">
      <c r="A13" t="s">
        <v>26</v>
      </c>
      <c r="B13" t="s">
        <v>296</v>
      </c>
      <c r="C13" t="s">
        <v>203</v>
      </c>
      <c r="D13" t="s">
        <v>297</v>
      </c>
      <c r="E13" t="s">
        <v>204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/>
      <c r="AE13"/>
      <c r="AF13"/>
    </row>
    <row r="14">
      <c r="A14" t="s">
        <v>26</v>
      </c>
      <c r="B14" t="s">
        <v>298</v>
      </c>
      <c r="C14" t="s">
        <v>203</v>
      </c>
      <c r="D14" t="s">
        <v>299</v>
      </c>
      <c r="E14" t="s">
        <v>204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/>
      <c r="AE14"/>
      <c r="AF14"/>
    </row>
    <row r="15">
      <c r="A15" t="s">
        <v>26</v>
      </c>
      <c r="B15" t="s">
        <v>300</v>
      </c>
      <c r="C15" t="s">
        <v>203</v>
      </c>
      <c r="D15" t="s">
        <v>301</v>
      </c>
      <c r="E15" t="s">
        <v>204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/>
      <c r="AE15"/>
      <c r="AF15"/>
    </row>
    <row r="16">
      <c r="A16" t="s">
        <v>26</v>
      </c>
      <c r="B16" t="s">
        <v>302</v>
      </c>
      <c r="C16" t="s">
        <v>203</v>
      </c>
      <c r="D16" t="s">
        <v>303</v>
      </c>
      <c r="E16" t="s">
        <v>204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/>
      <c r="AE16"/>
      <c r="AF16"/>
    </row>
    <row r="17">
      <c r="A17" t="s">
        <v>26</v>
      </c>
      <c r="B17" t="s">
        <v>304</v>
      </c>
      <c r="C17" t="s">
        <v>203</v>
      </c>
      <c r="D17" t="s">
        <v>305</v>
      </c>
      <c r="E17" t="s">
        <v>204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/>
      <c r="AE17"/>
      <c r="AF17"/>
    </row>
    <row r="18">
      <c r="A18" t="s">
        <v>26</v>
      </c>
      <c r="B18" t="s">
        <v>306</v>
      </c>
      <c r="C18" t="s">
        <v>203</v>
      </c>
      <c r="D18" t="s">
        <v>307</v>
      </c>
      <c r="E18" t="s">
        <v>204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/>
      <c r="AE18"/>
      <c r="AF18"/>
    </row>
    <row r="19">
      <c r="A19" t="s">
        <v>26</v>
      </c>
      <c r="B19" t="s">
        <v>308</v>
      </c>
      <c r="C19" t="s">
        <v>203</v>
      </c>
      <c r="D19" t="s">
        <v>309</v>
      </c>
      <c r="E19" t="s">
        <v>204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/>
      <c r="AE19"/>
      <c r="AF19"/>
    </row>
    <row r="20">
      <c r="A20" t="s">
        <v>26</v>
      </c>
      <c r="B20" t="s">
        <v>310</v>
      </c>
      <c r="C20" t="s">
        <v>203</v>
      </c>
      <c r="D20" t="s">
        <v>311</v>
      </c>
      <c r="E20" t="s">
        <v>204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/>
      <c r="AE20"/>
      <c r="AF20"/>
    </row>
    <row r="21">
      <c r="A21" t="s">
        <v>26</v>
      </c>
      <c r="B21" t="s">
        <v>312</v>
      </c>
      <c r="C21" t="s">
        <v>203</v>
      </c>
      <c r="D21" t="s">
        <v>313</v>
      </c>
      <c r="E21" t="s">
        <v>204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/>
      <c r="AE21"/>
      <c r="AF21"/>
    </row>
    <row r="22">
      <c r="A22" t="s">
        <v>26</v>
      </c>
      <c r="B22" t="s">
        <v>314</v>
      </c>
      <c r="C22" t="s">
        <v>203</v>
      </c>
      <c r="D22" t="s">
        <v>315</v>
      </c>
      <c r="E22" t="s">
        <v>204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/>
      <c r="AE22"/>
      <c r="AF22"/>
    </row>
    <row r="23">
      <c r="A23" t="s">
        <v>26</v>
      </c>
      <c r="B23" t="s">
        <v>316</v>
      </c>
      <c r="C23" t="s">
        <v>203</v>
      </c>
      <c r="D23" t="s">
        <v>317</v>
      </c>
      <c r="E23" t="s">
        <v>204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/>
      <c r="AE23"/>
      <c r="AF23"/>
    </row>
    <row r="24">
      <c r="A24" t="s">
        <v>26</v>
      </c>
      <c r="B24" t="s">
        <v>318</v>
      </c>
      <c r="C24" t="s">
        <v>203</v>
      </c>
      <c r="D24" t="s">
        <v>319</v>
      </c>
      <c r="E24" t="s">
        <v>204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/>
      <c r="AE24"/>
      <c r="AF24"/>
    </row>
    <row r="25">
      <c r="A25" t="s">
        <v>26</v>
      </c>
      <c r="B25" t="s">
        <v>320</v>
      </c>
      <c r="C25" t="s">
        <v>203</v>
      </c>
      <c r="D25" t="s">
        <v>321</v>
      </c>
      <c r="E25" t="s">
        <v>204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/>
      <c r="AE25"/>
      <c r="AF25"/>
    </row>
    <row r="26">
      <c r="A26" t="s">
        <v>26</v>
      </c>
      <c r="B26" t="s">
        <v>322</v>
      </c>
      <c r="C26" t="s">
        <v>203</v>
      </c>
      <c r="D26" t="s">
        <v>323</v>
      </c>
      <c r="E26" t="s">
        <v>204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/>
      <c r="AE26"/>
      <c r="AF26"/>
    </row>
    <row r="27">
      <c r="A27" t="s">
        <v>26</v>
      </c>
      <c r="B27" t="s">
        <v>324</v>
      </c>
      <c r="C27" t="s">
        <v>203</v>
      </c>
      <c r="D27" t="s">
        <v>325</v>
      </c>
      <c r="E27" t="s">
        <v>204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/>
      <c r="AE27"/>
      <c r="AF27"/>
    </row>
    <row r="28">
      <c r="A28" t="s">
        <v>26</v>
      </c>
      <c r="B28" t="s">
        <v>326</v>
      </c>
      <c r="C28" t="s">
        <v>203</v>
      </c>
      <c r="D28" t="s">
        <v>327</v>
      </c>
      <c r="E28" t="s">
        <v>204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/>
      <c r="AE28"/>
      <c r="AF28"/>
    </row>
    <row r="29">
      <c r="A29" t="s">
        <v>26</v>
      </c>
      <c r="B29" t="s">
        <v>328</v>
      </c>
      <c r="C29" t="s">
        <v>203</v>
      </c>
      <c r="D29" t="s">
        <v>329</v>
      </c>
      <c r="E29" t="s">
        <v>204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/>
      <c r="AE29"/>
      <c r="AF29"/>
    </row>
    <row r="30">
      <c r="A30" t="s">
        <v>26</v>
      </c>
      <c r="B30" t="s">
        <v>330</v>
      </c>
      <c r="C30" t="s">
        <v>203</v>
      </c>
      <c r="D30" t="s">
        <v>331</v>
      </c>
      <c r="E30" t="s">
        <v>204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/>
      <c r="AE30"/>
      <c r="AF30"/>
    </row>
    <row r="31">
      <c r="A31" t="s">
        <v>26</v>
      </c>
      <c r="B31" t="s">
        <v>332</v>
      </c>
      <c r="C31" t="s">
        <v>203</v>
      </c>
      <c r="D31" t="s">
        <v>333</v>
      </c>
      <c r="E31" t="s">
        <v>204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/>
      <c r="AE31"/>
      <c r="AF31"/>
    </row>
    <row r="32">
      <c r="A32" t="s">
        <v>26</v>
      </c>
      <c r="B32" t="s">
        <v>334</v>
      </c>
      <c r="C32" t="s">
        <v>203</v>
      </c>
      <c r="D32" t="s">
        <v>335</v>
      </c>
      <c r="E32" t="s">
        <v>204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/>
      <c r="AE32"/>
      <c r="AF32"/>
    </row>
    <row r="33">
      <c r="A33" t="s">
        <v>26</v>
      </c>
      <c r="B33" t="s">
        <v>336</v>
      </c>
      <c r="C33" t="s">
        <v>203</v>
      </c>
      <c r="D33" t="s">
        <v>337</v>
      </c>
      <c r="E33" t="s">
        <v>204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/>
      <c r="AE33"/>
      <c r="AF33"/>
    </row>
    <row r="34">
      <c r="A34" t="s">
        <v>26</v>
      </c>
      <c r="B34" t="s">
        <v>338</v>
      </c>
      <c r="C34" t="s">
        <v>203</v>
      </c>
      <c r="D34" t="s">
        <v>339</v>
      </c>
      <c r="E34" t="s">
        <v>204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/>
      <c r="AE34"/>
      <c r="AF34"/>
    </row>
    <row r="35">
      <c r="A35" t="s">
        <v>26</v>
      </c>
      <c r="B35" t="s">
        <v>340</v>
      </c>
      <c r="C35" t="s">
        <v>203</v>
      </c>
      <c r="D35" t="s">
        <v>341</v>
      </c>
      <c r="E35" t="s">
        <v>204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/>
      <c r="AE35"/>
      <c r="AF35"/>
    </row>
    <row r="36">
      <c r="A36" t="s">
        <v>26</v>
      </c>
      <c r="B36" t="s">
        <v>342</v>
      </c>
      <c r="C36" t="s">
        <v>203</v>
      </c>
      <c r="D36" t="s">
        <v>343</v>
      </c>
      <c r="E36" t="s">
        <v>204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/>
      <c r="AE36"/>
      <c r="AF36"/>
    </row>
    <row r="37">
      <c r="A37" t="s">
        <v>26</v>
      </c>
      <c r="B37" t="s">
        <v>344</v>
      </c>
      <c r="C37" t="s">
        <v>203</v>
      </c>
      <c r="D37" t="s">
        <v>345</v>
      </c>
      <c r="E37" t="s">
        <v>204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/>
      <c r="AE37"/>
      <c r="AF37"/>
    </row>
    <row r="38">
      <c r="A38" t="s">
        <v>26</v>
      </c>
      <c r="B38" t="s">
        <v>346</v>
      </c>
      <c r="C38" t="s">
        <v>203</v>
      </c>
      <c r="D38" t="s">
        <v>347</v>
      </c>
      <c r="E38" t="s">
        <v>204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/>
      <c r="AE38"/>
      <c r="AF38"/>
    </row>
    <row r="39">
      <c r="A39" t="s">
        <v>26</v>
      </c>
      <c r="B39" t="s">
        <v>348</v>
      </c>
      <c r="C39" t="s">
        <v>203</v>
      </c>
      <c r="D39" t="s">
        <v>349</v>
      </c>
      <c r="E39" t="s">
        <v>204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/>
      <c r="AE39"/>
      <c r="AF39"/>
    </row>
    <row r="40">
      <c r="A40" t="s">
        <v>26</v>
      </c>
      <c r="B40" t="s">
        <v>350</v>
      </c>
      <c r="C40" t="s">
        <v>203</v>
      </c>
      <c r="D40" t="s">
        <v>351</v>
      </c>
      <c r="E40" t="s">
        <v>204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/>
      <c r="AE40"/>
      <c r="AF40"/>
    </row>
    <row r="41">
      <c r="A41" t="s">
        <v>26</v>
      </c>
      <c r="B41" t="s">
        <v>352</v>
      </c>
      <c r="C41" t="s">
        <v>203</v>
      </c>
      <c r="D41" t="s">
        <v>353</v>
      </c>
      <c r="E41" t="s">
        <v>204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/>
      <c r="AE41"/>
      <c r="AF41"/>
    </row>
    <row r="42">
      <c r="A42" t="s">
        <v>26</v>
      </c>
      <c r="B42" t="s">
        <v>354</v>
      </c>
      <c r="C42" t="s">
        <v>203</v>
      </c>
      <c r="D42" t="s">
        <v>355</v>
      </c>
      <c r="E42" t="s">
        <v>204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/>
      <c r="AE42"/>
      <c r="AF42"/>
    </row>
    <row r="43">
      <c r="A43" t="s">
        <v>26</v>
      </c>
      <c r="B43" t="s">
        <v>356</v>
      </c>
      <c r="C43" t="s">
        <v>203</v>
      </c>
      <c r="D43" t="s">
        <v>357</v>
      </c>
      <c r="E43" t="s">
        <v>204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/>
      <c r="AE43"/>
      <c r="AF43"/>
    </row>
    <row r="44">
      <c r="A44" t="s">
        <v>26</v>
      </c>
      <c r="B44" t="s">
        <v>358</v>
      </c>
      <c r="C44" t="s">
        <v>203</v>
      </c>
      <c r="D44" t="s">
        <v>359</v>
      </c>
      <c r="E44" t="s">
        <v>204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/>
      <c r="AE44"/>
      <c r="AF44"/>
    </row>
    <row r="45">
      <c r="A45" t="s">
        <v>26</v>
      </c>
      <c r="B45" t="s">
        <v>360</v>
      </c>
      <c r="C45" t="s">
        <v>203</v>
      </c>
      <c r="D45" t="s">
        <v>361</v>
      </c>
      <c r="E45" t="s">
        <v>204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/>
      <c r="AE45"/>
      <c r="AF45"/>
    </row>
    <row r="46">
      <c r="A46" t="s">
        <v>26</v>
      </c>
      <c r="B46" t="s">
        <v>362</v>
      </c>
      <c r="C46" t="s">
        <v>203</v>
      </c>
      <c r="D46" t="s">
        <v>363</v>
      </c>
      <c r="E46" t="s">
        <v>204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/>
      <c r="AE46"/>
      <c r="AF46"/>
    </row>
    <row r="47">
      <c r="A47" t="s">
        <v>26</v>
      </c>
      <c r="B47" t="s">
        <v>364</v>
      </c>
      <c r="C47" t="s">
        <v>203</v>
      </c>
      <c r="D47" t="s">
        <v>365</v>
      </c>
      <c r="E47" t="s">
        <v>204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/>
      <c r="AE47"/>
      <c r="AF47"/>
    </row>
    <row r="48">
      <c r="A48" t="s">
        <v>26</v>
      </c>
      <c r="B48" t="s">
        <v>366</v>
      </c>
      <c r="C48" t="s">
        <v>203</v>
      </c>
      <c r="D48" t="s">
        <v>367</v>
      </c>
      <c r="E48" t="s">
        <v>204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/>
      <c r="AE48"/>
      <c r="AF48"/>
    </row>
    <row r="49">
      <c r="A49" t="s">
        <v>26</v>
      </c>
      <c r="B49" t="s">
        <v>368</v>
      </c>
      <c r="C49" t="s">
        <v>203</v>
      </c>
      <c r="D49" t="s">
        <v>369</v>
      </c>
      <c r="E49" t="s">
        <v>204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/>
      <c r="AE49"/>
      <c r="AF49"/>
    </row>
    <row r="50">
      <c r="A50" t="s">
        <v>26</v>
      </c>
      <c r="B50" t="s">
        <v>370</v>
      </c>
      <c r="C50" t="s">
        <v>203</v>
      </c>
      <c r="D50" t="s">
        <v>371</v>
      </c>
      <c r="E50" t="s">
        <v>204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/>
      <c r="AE50"/>
      <c r="AF50"/>
    </row>
    <row r="51">
      <c r="A51" t="s">
        <v>26</v>
      </c>
      <c r="B51" t="s">
        <v>372</v>
      </c>
      <c r="C51" t="s">
        <v>203</v>
      </c>
      <c r="D51" t="s">
        <v>373</v>
      </c>
      <c r="E51" t="s">
        <v>204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/>
      <c r="AE51"/>
      <c r="AF51"/>
    </row>
    <row r="52">
      <c r="A52" t="s">
        <v>26</v>
      </c>
      <c r="B52" t="s">
        <v>374</v>
      </c>
      <c r="C52" t="s">
        <v>203</v>
      </c>
      <c r="D52" t="s">
        <v>375</v>
      </c>
      <c r="E52" t="s">
        <v>204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/>
      <c r="AE52"/>
      <c r="AF52"/>
    </row>
    <row r="53">
      <c r="A53" t="s">
        <v>26</v>
      </c>
      <c r="B53" t="s">
        <v>376</v>
      </c>
      <c r="C53" t="s">
        <v>203</v>
      </c>
      <c r="D53" t="s">
        <v>377</v>
      </c>
      <c r="E53" t="s">
        <v>204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/>
      <c r="AE53"/>
      <c r="AF53"/>
    </row>
    <row r="54">
      <c r="A54" t="s">
        <v>26</v>
      </c>
      <c r="B54" t="s">
        <v>378</v>
      </c>
      <c r="C54" t="s">
        <v>203</v>
      </c>
      <c r="D54" t="s">
        <v>379</v>
      </c>
      <c r="E54" t="s">
        <v>204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/>
      <c r="AE54"/>
      <c r="AF54"/>
    </row>
    <row r="55">
      <c r="A55" t="s">
        <v>26</v>
      </c>
      <c r="B55" t="s">
        <v>380</v>
      </c>
      <c r="C55" t="s">
        <v>203</v>
      </c>
      <c r="D55" t="s">
        <v>381</v>
      </c>
      <c r="E55" t="s">
        <v>204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/>
      <c r="AE55"/>
      <c r="AF55"/>
    </row>
    <row r="56">
      <c r="A56" t="s">
        <v>26</v>
      </c>
      <c r="B56" t="s">
        <v>382</v>
      </c>
      <c r="C56" t="s">
        <v>203</v>
      </c>
      <c r="D56" t="s">
        <v>383</v>
      </c>
      <c r="E56" t="s">
        <v>204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/>
      <c r="AE56"/>
      <c r="AF56"/>
    </row>
    <row r="57">
      <c r="A57" t="s">
        <v>26</v>
      </c>
      <c r="B57" t="s">
        <v>384</v>
      </c>
      <c r="C57" t="s">
        <v>203</v>
      </c>
      <c r="D57" t="s">
        <v>385</v>
      </c>
      <c r="E57" t="s">
        <v>204</v>
      </c>
      <c r="F57" t="n">
        <v>7.5</v>
      </c>
      <c r="G57" t="n">
        <v>1.3</v>
      </c>
      <c r="H57" t="n">
        <v>4.8</v>
      </c>
      <c r="I57" t="n">
        <v>89.3</v>
      </c>
      <c r="J57" t="n">
        <v>200</v>
      </c>
      <c r="K57" t="n">
        <v>260.8</v>
      </c>
      <c r="L57" t="n">
        <v>318.3</v>
      </c>
      <c r="M57" t="n">
        <v>351.9</v>
      </c>
      <c r="N57" t="n">
        <v>292.8</v>
      </c>
      <c r="O57" t="n">
        <v>204.6</v>
      </c>
      <c r="P57" t="n">
        <v>201.6</v>
      </c>
      <c r="Q57" t="n">
        <v>145.9</v>
      </c>
      <c r="R57" t="n">
        <v>241.8</v>
      </c>
      <c r="S57" t="n">
        <v>334.1</v>
      </c>
      <c r="T57" t="n">
        <v>329.4</v>
      </c>
      <c r="U57" t="n">
        <v>329.8</v>
      </c>
      <c r="V57" t="n">
        <v>419.4</v>
      </c>
      <c r="W57" t="n">
        <v>428.6</v>
      </c>
      <c r="X57" t="n">
        <v>435.8</v>
      </c>
      <c r="Y57" t="n">
        <v>328.2</v>
      </c>
      <c r="Z57" t="n">
        <v>93.7</v>
      </c>
      <c r="AA57" t="n">
        <v>105.7</v>
      </c>
      <c r="AB57" t="n">
        <v>91.7</v>
      </c>
      <c r="AC57" t="n">
        <v>43</v>
      </c>
      <c r="AD57" t="n">
        <v>55.6</v>
      </c>
      <c r="AE57" t="n">
        <v>67.2</v>
      </c>
      <c r="AF57" t="n">
        <v>44.3</v>
      </c>
    </row>
    <row r="58">
      <c r="A58" t="s">
        <v>26</v>
      </c>
      <c r="B58" t="s">
        <v>386</v>
      </c>
      <c r="C58" t="s">
        <v>203</v>
      </c>
      <c r="D58" t="s">
        <v>387</v>
      </c>
      <c r="E58" t="s">
        <v>204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/>
      <c r="AE58"/>
      <c r="AF58"/>
    </row>
    <row r="59">
      <c r="A59" t="s">
        <v>26</v>
      </c>
      <c r="B59" t="s">
        <v>388</v>
      </c>
      <c r="C59" t="s">
        <v>203</v>
      </c>
      <c r="D59" t="s">
        <v>389</v>
      </c>
      <c r="E59" t="s">
        <v>204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28</v>
      </c>
      <c r="B2" t="s">
        <v>197</v>
      </c>
      <c r="C2" t="s">
        <v>203</v>
      </c>
      <c r="D2" t="s">
        <v>199</v>
      </c>
      <c r="E2" t="s">
        <v>204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/>
      <c r="AE2"/>
      <c r="AF2"/>
    </row>
    <row r="3">
      <c r="A3" t="s">
        <v>28</v>
      </c>
      <c r="B3" t="s">
        <v>276</v>
      </c>
      <c r="C3" t="s">
        <v>203</v>
      </c>
      <c r="D3" t="s">
        <v>277</v>
      </c>
      <c r="E3" t="s">
        <v>204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/>
      <c r="AE3"/>
      <c r="AF3"/>
    </row>
    <row r="4">
      <c r="A4" t="s">
        <v>28</v>
      </c>
      <c r="B4" t="s">
        <v>278</v>
      </c>
      <c r="C4" t="s">
        <v>203</v>
      </c>
      <c r="D4" t="s">
        <v>279</v>
      </c>
      <c r="E4" t="s">
        <v>204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/>
      <c r="AE4"/>
      <c r="AF4"/>
    </row>
    <row r="5">
      <c r="A5" t="s">
        <v>28</v>
      </c>
      <c r="B5" t="s">
        <v>280</v>
      </c>
      <c r="C5" t="s">
        <v>203</v>
      </c>
      <c r="D5" t="s">
        <v>281</v>
      </c>
      <c r="E5" t="s">
        <v>204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/>
      <c r="AE5"/>
      <c r="AF5"/>
    </row>
    <row r="6">
      <c r="A6" t="s">
        <v>28</v>
      </c>
      <c r="B6" t="s">
        <v>282</v>
      </c>
      <c r="C6" t="s">
        <v>203</v>
      </c>
      <c r="D6" t="s">
        <v>283</v>
      </c>
      <c r="E6" t="s">
        <v>204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/>
      <c r="AE6"/>
      <c r="AF6"/>
    </row>
    <row r="7">
      <c r="A7" t="s">
        <v>28</v>
      </c>
      <c r="B7" t="s">
        <v>284</v>
      </c>
      <c r="C7" t="s">
        <v>203</v>
      </c>
      <c r="D7" t="s">
        <v>285</v>
      </c>
      <c r="E7" t="s">
        <v>204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/>
      <c r="AE7"/>
      <c r="AF7"/>
    </row>
    <row r="8">
      <c r="A8" t="s">
        <v>28</v>
      </c>
      <c r="B8" t="s">
        <v>286</v>
      </c>
      <c r="C8" t="s">
        <v>203</v>
      </c>
      <c r="D8" t="s">
        <v>287</v>
      </c>
      <c r="E8" t="s">
        <v>204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/>
      <c r="AE8"/>
      <c r="AF8"/>
    </row>
    <row r="9">
      <c r="A9" t="s">
        <v>28</v>
      </c>
      <c r="B9" t="s">
        <v>288</v>
      </c>
      <c r="C9" t="s">
        <v>203</v>
      </c>
      <c r="D9" t="s">
        <v>289</v>
      </c>
      <c r="E9" t="s">
        <v>204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/>
      <c r="AE9"/>
      <c r="AF9"/>
    </row>
    <row r="10">
      <c r="A10" t="s">
        <v>28</v>
      </c>
      <c r="B10" t="s">
        <v>290</v>
      </c>
      <c r="C10" t="s">
        <v>203</v>
      </c>
      <c r="D10" t="s">
        <v>291</v>
      </c>
      <c r="E10" t="s">
        <v>204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/>
      <c r="AE10"/>
      <c r="AF10"/>
    </row>
    <row r="11">
      <c r="A11" t="s">
        <v>28</v>
      </c>
      <c r="B11" t="s">
        <v>292</v>
      </c>
      <c r="C11" t="s">
        <v>203</v>
      </c>
      <c r="D11" t="s">
        <v>293</v>
      </c>
      <c r="E11" t="s">
        <v>204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/>
      <c r="AE11"/>
      <c r="AF11"/>
    </row>
    <row r="12">
      <c r="A12" t="s">
        <v>28</v>
      </c>
      <c r="B12" t="s">
        <v>294</v>
      </c>
      <c r="C12" t="s">
        <v>203</v>
      </c>
      <c r="D12" t="s">
        <v>295</v>
      </c>
      <c r="E12" t="s">
        <v>204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/>
      <c r="AE12"/>
      <c r="AF12"/>
    </row>
    <row r="13">
      <c r="A13" t="s">
        <v>28</v>
      </c>
      <c r="B13" t="s">
        <v>296</v>
      </c>
      <c r="C13" t="s">
        <v>203</v>
      </c>
      <c r="D13" t="s">
        <v>297</v>
      </c>
      <c r="E13" t="s">
        <v>204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/>
      <c r="AE13"/>
      <c r="AF13"/>
    </row>
    <row r="14">
      <c r="A14" t="s">
        <v>28</v>
      </c>
      <c r="B14" t="s">
        <v>298</v>
      </c>
      <c r="C14" t="s">
        <v>203</v>
      </c>
      <c r="D14" t="s">
        <v>299</v>
      </c>
      <c r="E14" t="s">
        <v>204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/>
      <c r="AE14"/>
      <c r="AF14"/>
    </row>
    <row r="15">
      <c r="A15" t="s">
        <v>28</v>
      </c>
      <c r="B15" t="s">
        <v>300</v>
      </c>
      <c r="C15" t="s">
        <v>203</v>
      </c>
      <c r="D15" t="s">
        <v>301</v>
      </c>
      <c r="E15" t="s">
        <v>204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/>
      <c r="AE15"/>
      <c r="AF15"/>
    </row>
    <row r="16">
      <c r="A16" t="s">
        <v>28</v>
      </c>
      <c r="B16" t="s">
        <v>302</v>
      </c>
      <c r="C16" t="s">
        <v>203</v>
      </c>
      <c r="D16" t="s">
        <v>303</v>
      </c>
      <c r="E16" t="s">
        <v>204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/>
      <c r="AE16"/>
      <c r="AF16"/>
    </row>
    <row r="17">
      <c r="A17" t="s">
        <v>28</v>
      </c>
      <c r="B17" t="s">
        <v>304</v>
      </c>
      <c r="C17" t="s">
        <v>203</v>
      </c>
      <c r="D17" t="s">
        <v>305</v>
      </c>
      <c r="E17" t="s">
        <v>204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/>
      <c r="AE17"/>
      <c r="AF17"/>
    </row>
    <row r="18">
      <c r="A18" t="s">
        <v>28</v>
      </c>
      <c r="B18" t="s">
        <v>306</v>
      </c>
      <c r="C18" t="s">
        <v>203</v>
      </c>
      <c r="D18" t="s">
        <v>307</v>
      </c>
      <c r="E18" t="s">
        <v>204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/>
      <c r="AE18"/>
      <c r="AF18"/>
    </row>
    <row r="19">
      <c r="A19" t="s">
        <v>28</v>
      </c>
      <c r="B19" t="s">
        <v>308</v>
      </c>
      <c r="C19" t="s">
        <v>203</v>
      </c>
      <c r="D19" t="s">
        <v>309</v>
      </c>
      <c r="E19" t="s">
        <v>204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/>
      <c r="AE19"/>
      <c r="AF19"/>
    </row>
    <row r="20">
      <c r="A20" t="s">
        <v>28</v>
      </c>
      <c r="B20" t="s">
        <v>310</v>
      </c>
      <c r="C20" t="s">
        <v>203</v>
      </c>
      <c r="D20" t="s">
        <v>311</v>
      </c>
      <c r="E20" t="s">
        <v>204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/>
      <c r="AE20"/>
      <c r="AF20"/>
    </row>
    <row r="21">
      <c r="A21" t="s">
        <v>28</v>
      </c>
      <c r="B21" t="s">
        <v>312</v>
      </c>
      <c r="C21" t="s">
        <v>203</v>
      </c>
      <c r="D21" t="s">
        <v>313</v>
      </c>
      <c r="E21" t="s">
        <v>204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/>
      <c r="AE21"/>
      <c r="AF21"/>
    </row>
    <row r="22">
      <c r="A22" t="s">
        <v>28</v>
      </c>
      <c r="B22" t="s">
        <v>314</v>
      </c>
      <c r="C22" t="s">
        <v>203</v>
      </c>
      <c r="D22" t="s">
        <v>315</v>
      </c>
      <c r="E22" t="s">
        <v>204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/>
      <c r="AE22"/>
      <c r="AF22"/>
    </row>
    <row r="23">
      <c r="A23" t="s">
        <v>28</v>
      </c>
      <c r="B23" t="s">
        <v>316</v>
      </c>
      <c r="C23" t="s">
        <v>203</v>
      </c>
      <c r="D23" t="s">
        <v>317</v>
      </c>
      <c r="E23" t="s">
        <v>204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/>
      <c r="AE23"/>
      <c r="AF23"/>
    </row>
    <row r="24">
      <c r="A24" t="s">
        <v>28</v>
      </c>
      <c r="B24" t="s">
        <v>318</v>
      </c>
      <c r="C24" t="s">
        <v>203</v>
      </c>
      <c r="D24" t="s">
        <v>319</v>
      </c>
      <c r="E24" t="s">
        <v>204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/>
      <c r="AE24"/>
      <c r="AF24"/>
    </row>
    <row r="25">
      <c r="A25" t="s">
        <v>28</v>
      </c>
      <c r="B25" t="s">
        <v>320</v>
      </c>
      <c r="C25" t="s">
        <v>203</v>
      </c>
      <c r="D25" t="s">
        <v>321</v>
      </c>
      <c r="E25" t="s">
        <v>204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/>
      <c r="AE25"/>
      <c r="AF25"/>
    </row>
    <row r="26">
      <c r="A26" t="s">
        <v>28</v>
      </c>
      <c r="B26" t="s">
        <v>322</v>
      </c>
      <c r="C26" t="s">
        <v>203</v>
      </c>
      <c r="D26" t="s">
        <v>323</v>
      </c>
      <c r="E26" t="s">
        <v>204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/>
      <c r="AE26"/>
      <c r="AF26"/>
    </row>
    <row r="27">
      <c r="A27" t="s">
        <v>28</v>
      </c>
      <c r="B27" t="s">
        <v>324</v>
      </c>
      <c r="C27" t="s">
        <v>203</v>
      </c>
      <c r="D27" t="s">
        <v>325</v>
      </c>
      <c r="E27" t="s">
        <v>204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/>
      <c r="AE27"/>
      <c r="AF27"/>
    </row>
    <row r="28">
      <c r="A28" t="s">
        <v>28</v>
      </c>
      <c r="B28" t="s">
        <v>326</v>
      </c>
      <c r="C28" t="s">
        <v>203</v>
      </c>
      <c r="D28" t="s">
        <v>327</v>
      </c>
      <c r="E28" t="s">
        <v>204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/>
      <c r="AE28"/>
      <c r="AF28"/>
    </row>
    <row r="29">
      <c r="A29" t="s">
        <v>28</v>
      </c>
      <c r="B29" t="s">
        <v>328</v>
      </c>
      <c r="C29" t="s">
        <v>203</v>
      </c>
      <c r="D29" t="s">
        <v>329</v>
      </c>
      <c r="E29" t="s">
        <v>204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/>
      <c r="AE29"/>
      <c r="AF29"/>
    </row>
    <row r="30">
      <c r="A30" t="s">
        <v>28</v>
      </c>
      <c r="B30" t="s">
        <v>330</v>
      </c>
      <c r="C30" t="s">
        <v>203</v>
      </c>
      <c r="D30" t="s">
        <v>331</v>
      </c>
      <c r="E30" t="s">
        <v>204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/>
      <c r="AE30"/>
      <c r="AF30"/>
    </row>
    <row r="31">
      <c r="A31" t="s">
        <v>28</v>
      </c>
      <c r="B31" t="s">
        <v>332</v>
      </c>
      <c r="C31" t="s">
        <v>203</v>
      </c>
      <c r="D31" t="s">
        <v>333</v>
      </c>
      <c r="E31" t="s">
        <v>204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/>
      <c r="AE31"/>
      <c r="AF31"/>
    </row>
    <row r="32">
      <c r="A32" t="s">
        <v>28</v>
      </c>
      <c r="B32" t="s">
        <v>334</v>
      </c>
      <c r="C32" t="s">
        <v>203</v>
      </c>
      <c r="D32" t="s">
        <v>335</v>
      </c>
      <c r="E32" t="s">
        <v>204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/>
      <c r="AE32"/>
      <c r="AF32"/>
    </row>
    <row r="33">
      <c r="A33" t="s">
        <v>28</v>
      </c>
      <c r="B33" t="s">
        <v>336</v>
      </c>
      <c r="C33" t="s">
        <v>203</v>
      </c>
      <c r="D33" t="s">
        <v>337</v>
      </c>
      <c r="E33" t="s">
        <v>204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/>
      <c r="AE33"/>
      <c r="AF33"/>
    </row>
    <row r="34">
      <c r="A34" t="s">
        <v>28</v>
      </c>
      <c r="B34" t="s">
        <v>338</v>
      </c>
      <c r="C34" t="s">
        <v>203</v>
      </c>
      <c r="D34" t="s">
        <v>339</v>
      </c>
      <c r="E34" t="s">
        <v>204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/>
      <c r="AE34"/>
      <c r="AF34"/>
    </row>
    <row r="35">
      <c r="A35" t="s">
        <v>28</v>
      </c>
      <c r="B35" t="s">
        <v>340</v>
      </c>
      <c r="C35" t="s">
        <v>203</v>
      </c>
      <c r="D35" t="s">
        <v>341</v>
      </c>
      <c r="E35" t="s">
        <v>204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/>
      <c r="AE35"/>
      <c r="AF35"/>
    </row>
    <row r="36">
      <c r="A36" t="s">
        <v>28</v>
      </c>
      <c r="B36" t="s">
        <v>342</v>
      </c>
      <c r="C36" t="s">
        <v>203</v>
      </c>
      <c r="D36" t="s">
        <v>343</v>
      </c>
      <c r="E36" t="s">
        <v>204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/>
      <c r="AE36"/>
      <c r="AF36"/>
    </row>
    <row r="37">
      <c r="A37" t="s">
        <v>28</v>
      </c>
      <c r="B37" t="s">
        <v>344</v>
      </c>
      <c r="C37" t="s">
        <v>203</v>
      </c>
      <c r="D37" t="s">
        <v>345</v>
      </c>
      <c r="E37" t="s">
        <v>204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/>
      <c r="AE37"/>
      <c r="AF37"/>
    </row>
    <row r="38">
      <c r="A38" t="s">
        <v>28</v>
      </c>
      <c r="B38" t="s">
        <v>346</v>
      </c>
      <c r="C38" t="s">
        <v>203</v>
      </c>
      <c r="D38" t="s">
        <v>347</v>
      </c>
      <c r="E38" t="s">
        <v>204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/>
      <c r="AE38"/>
      <c r="AF38"/>
    </row>
    <row r="39">
      <c r="A39" t="s">
        <v>28</v>
      </c>
      <c r="B39" t="s">
        <v>348</v>
      </c>
      <c r="C39" t="s">
        <v>203</v>
      </c>
      <c r="D39" t="s">
        <v>349</v>
      </c>
      <c r="E39" t="s">
        <v>204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/>
      <c r="AE39"/>
      <c r="AF39"/>
    </row>
    <row r="40">
      <c r="A40" t="s">
        <v>28</v>
      </c>
      <c r="B40" t="s">
        <v>350</v>
      </c>
      <c r="C40" t="s">
        <v>203</v>
      </c>
      <c r="D40" t="s">
        <v>351</v>
      </c>
      <c r="E40" t="s">
        <v>204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/>
      <c r="AE40"/>
      <c r="AF40"/>
    </row>
    <row r="41">
      <c r="A41" t="s">
        <v>28</v>
      </c>
      <c r="B41" t="s">
        <v>352</v>
      </c>
      <c r="C41" t="s">
        <v>203</v>
      </c>
      <c r="D41" t="s">
        <v>353</v>
      </c>
      <c r="E41" t="s">
        <v>204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/>
      <c r="AE41"/>
      <c r="AF41"/>
    </row>
    <row r="42">
      <c r="A42" t="s">
        <v>28</v>
      </c>
      <c r="B42" t="s">
        <v>354</v>
      </c>
      <c r="C42" t="s">
        <v>203</v>
      </c>
      <c r="D42" t="s">
        <v>355</v>
      </c>
      <c r="E42" t="s">
        <v>204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/>
      <c r="AE42"/>
      <c r="AF42"/>
    </row>
    <row r="43">
      <c r="A43" t="s">
        <v>28</v>
      </c>
      <c r="B43" t="s">
        <v>356</v>
      </c>
      <c r="C43" t="s">
        <v>203</v>
      </c>
      <c r="D43" t="s">
        <v>357</v>
      </c>
      <c r="E43" t="s">
        <v>204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/>
      <c r="AE43"/>
      <c r="AF43"/>
    </row>
    <row r="44">
      <c r="A44" t="s">
        <v>28</v>
      </c>
      <c r="B44" t="s">
        <v>358</v>
      </c>
      <c r="C44" t="s">
        <v>203</v>
      </c>
      <c r="D44" t="s">
        <v>359</v>
      </c>
      <c r="E44" t="s">
        <v>204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/>
      <c r="AE44"/>
      <c r="AF44"/>
    </row>
    <row r="45">
      <c r="A45" t="s">
        <v>28</v>
      </c>
      <c r="B45" t="s">
        <v>360</v>
      </c>
      <c r="C45" t="s">
        <v>203</v>
      </c>
      <c r="D45" t="s">
        <v>361</v>
      </c>
      <c r="E45" t="s">
        <v>204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/>
      <c r="AE45"/>
      <c r="AF45"/>
    </row>
    <row r="46">
      <c r="A46" t="s">
        <v>28</v>
      </c>
      <c r="B46" t="s">
        <v>362</v>
      </c>
      <c r="C46" t="s">
        <v>203</v>
      </c>
      <c r="D46" t="s">
        <v>363</v>
      </c>
      <c r="E46" t="s">
        <v>204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/>
      <c r="AE46"/>
      <c r="AF46"/>
    </row>
    <row r="47">
      <c r="A47" t="s">
        <v>28</v>
      </c>
      <c r="B47" t="s">
        <v>364</v>
      </c>
      <c r="C47" t="s">
        <v>203</v>
      </c>
      <c r="D47" t="s">
        <v>365</v>
      </c>
      <c r="E47" t="s">
        <v>204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/>
      <c r="AE47"/>
      <c r="AF47"/>
    </row>
    <row r="48">
      <c r="A48" t="s">
        <v>28</v>
      </c>
      <c r="B48" t="s">
        <v>366</v>
      </c>
      <c r="C48" t="s">
        <v>203</v>
      </c>
      <c r="D48" t="s">
        <v>367</v>
      </c>
      <c r="E48" t="s">
        <v>204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/>
      <c r="AE48"/>
      <c r="AF48"/>
    </row>
    <row r="49">
      <c r="A49" t="s">
        <v>28</v>
      </c>
      <c r="B49" t="s">
        <v>368</v>
      </c>
      <c r="C49" t="s">
        <v>203</v>
      </c>
      <c r="D49" t="s">
        <v>369</v>
      </c>
      <c r="E49" t="s">
        <v>204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/>
      <c r="AE49"/>
      <c r="AF49"/>
    </row>
    <row r="50">
      <c r="A50" t="s">
        <v>28</v>
      </c>
      <c r="B50" t="s">
        <v>370</v>
      </c>
      <c r="C50" t="s">
        <v>203</v>
      </c>
      <c r="D50" t="s">
        <v>371</v>
      </c>
      <c r="E50" t="s">
        <v>204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/>
      <c r="AE50"/>
      <c r="AF50"/>
    </row>
    <row r="51">
      <c r="A51" t="s">
        <v>28</v>
      </c>
      <c r="B51" t="s">
        <v>372</v>
      </c>
      <c r="C51" t="s">
        <v>203</v>
      </c>
      <c r="D51" t="s">
        <v>373</v>
      </c>
      <c r="E51" t="s">
        <v>204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/>
      <c r="AE51"/>
      <c r="AF51"/>
    </row>
    <row r="52">
      <c r="A52" t="s">
        <v>28</v>
      </c>
      <c r="B52" t="s">
        <v>374</v>
      </c>
      <c r="C52" t="s">
        <v>203</v>
      </c>
      <c r="D52" t="s">
        <v>375</v>
      </c>
      <c r="E52" t="s">
        <v>204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/>
      <c r="AE52"/>
      <c r="AF52"/>
    </row>
    <row r="53">
      <c r="A53" t="s">
        <v>28</v>
      </c>
      <c r="B53" t="s">
        <v>376</v>
      </c>
      <c r="C53" t="s">
        <v>203</v>
      </c>
      <c r="D53" t="s">
        <v>377</v>
      </c>
      <c r="E53" t="s">
        <v>204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/>
      <c r="AE53"/>
      <c r="AF53"/>
    </row>
    <row r="54">
      <c r="A54" t="s">
        <v>28</v>
      </c>
      <c r="B54" t="s">
        <v>378</v>
      </c>
      <c r="C54" t="s">
        <v>203</v>
      </c>
      <c r="D54" t="s">
        <v>379</v>
      </c>
      <c r="E54" t="s">
        <v>204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/>
      <c r="AE54"/>
      <c r="AF54"/>
    </row>
    <row r="55">
      <c r="A55" t="s">
        <v>28</v>
      </c>
      <c r="B55" t="s">
        <v>380</v>
      </c>
      <c r="C55" t="s">
        <v>203</v>
      </c>
      <c r="D55" t="s">
        <v>381</v>
      </c>
      <c r="E55" t="s">
        <v>204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/>
      <c r="AE55"/>
      <c r="AF55"/>
    </row>
    <row r="56">
      <c r="A56" t="s">
        <v>28</v>
      </c>
      <c r="B56" t="s">
        <v>382</v>
      </c>
      <c r="C56" t="s">
        <v>203</v>
      </c>
      <c r="D56" t="s">
        <v>383</v>
      </c>
      <c r="E56" t="s">
        <v>204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/>
      <c r="AE56"/>
      <c r="AF56"/>
    </row>
    <row r="57">
      <c r="A57" t="s">
        <v>28</v>
      </c>
      <c r="B57" t="s">
        <v>384</v>
      </c>
      <c r="C57" t="s">
        <v>203</v>
      </c>
      <c r="D57" t="s">
        <v>385</v>
      </c>
      <c r="E57" t="s">
        <v>204</v>
      </c>
      <c r="F57" t="n">
        <v>20.3</v>
      </c>
      <c r="G57" t="n">
        <v>3.6</v>
      </c>
      <c r="H57" t="n">
        <v>12.9</v>
      </c>
      <c r="I57" t="n">
        <v>43.9</v>
      </c>
      <c r="J57" t="n">
        <v>159.5</v>
      </c>
      <c r="K57" t="n">
        <v>203.3</v>
      </c>
      <c r="L57" t="n">
        <v>362</v>
      </c>
      <c r="M57" t="n">
        <v>236.4</v>
      </c>
      <c r="N57" t="n">
        <v>120.8</v>
      </c>
      <c r="O57" t="n">
        <v>146.8</v>
      </c>
      <c r="P57" t="n">
        <v>250.4</v>
      </c>
      <c r="Q57" t="n">
        <v>562.3</v>
      </c>
      <c r="R57" t="n">
        <v>931.9</v>
      </c>
      <c r="S57" t="n">
        <v>1339.1</v>
      </c>
      <c r="T57" t="n">
        <v>393.7</v>
      </c>
      <c r="U57" t="n">
        <v>504.2</v>
      </c>
      <c r="V57" t="n">
        <v>732.7</v>
      </c>
      <c r="W57" t="n">
        <v>196.6</v>
      </c>
      <c r="X57" t="n">
        <v>199.9</v>
      </c>
      <c r="Y57" t="n">
        <v>194.6</v>
      </c>
      <c r="Z57" t="n">
        <v>66.1</v>
      </c>
      <c r="AA57" t="n">
        <v>109.4</v>
      </c>
      <c r="AB57" t="n">
        <v>93.1</v>
      </c>
      <c r="AC57" t="n">
        <v>41.9</v>
      </c>
      <c r="AD57" t="n">
        <v>448.9</v>
      </c>
      <c r="AE57" t="n">
        <v>47</v>
      </c>
      <c r="AF57" t="n">
        <v>55.3</v>
      </c>
    </row>
    <row r="58">
      <c r="A58" t="s">
        <v>28</v>
      </c>
      <c r="B58" t="s">
        <v>386</v>
      </c>
      <c r="C58" t="s">
        <v>203</v>
      </c>
      <c r="D58" t="s">
        <v>387</v>
      </c>
      <c r="E58" t="s">
        <v>204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/>
      <c r="AE58"/>
      <c r="AF58"/>
    </row>
    <row r="59">
      <c r="A59" t="s">
        <v>28</v>
      </c>
      <c r="B59" t="s">
        <v>388</v>
      </c>
      <c r="C59" t="s">
        <v>203</v>
      </c>
      <c r="D59" t="s">
        <v>389</v>
      </c>
      <c r="E59" t="s">
        <v>204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30</v>
      </c>
      <c r="B2" t="s">
        <v>197</v>
      </c>
      <c r="C2" t="s">
        <v>203</v>
      </c>
      <c r="D2" t="s">
        <v>199</v>
      </c>
      <c r="E2" t="s">
        <v>204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/>
      <c r="AE2"/>
      <c r="AF2"/>
    </row>
    <row r="3">
      <c r="A3" t="s">
        <v>30</v>
      </c>
      <c r="B3" t="s">
        <v>276</v>
      </c>
      <c r="C3" t="s">
        <v>203</v>
      </c>
      <c r="D3" t="s">
        <v>277</v>
      </c>
      <c r="E3" t="s">
        <v>204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/>
      <c r="AE3"/>
      <c r="AF3"/>
    </row>
    <row r="4">
      <c r="A4" t="s">
        <v>30</v>
      </c>
      <c r="B4" t="s">
        <v>278</v>
      </c>
      <c r="C4" t="s">
        <v>203</v>
      </c>
      <c r="D4" t="s">
        <v>279</v>
      </c>
      <c r="E4" t="s">
        <v>204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/>
      <c r="AE4"/>
      <c r="AF4"/>
    </row>
    <row r="5">
      <c r="A5" t="s">
        <v>30</v>
      </c>
      <c r="B5" t="s">
        <v>280</v>
      </c>
      <c r="C5" t="s">
        <v>203</v>
      </c>
      <c r="D5" t="s">
        <v>281</v>
      </c>
      <c r="E5" t="s">
        <v>204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/>
      <c r="AE5"/>
      <c r="AF5"/>
    </row>
    <row r="6">
      <c r="A6" t="s">
        <v>30</v>
      </c>
      <c r="B6" t="s">
        <v>282</v>
      </c>
      <c r="C6" t="s">
        <v>203</v>
      </c>
      <c r="D6" t="s">
        <v>283</v>
      </c>
      <c r="E6" t="s">
        <v>204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/>
      <c r="AE6"/>
      <c r="AF6"/>
    </row>
    <row r="7">
      <c r="A7" t="s">
        <v>30</v>
      </c>
      <c r="B7" t="s">
        <v>284</v>
      </c>
      <c r="C7" t="s">
        <v>203</v>
      </c>
      <c r="D7" t="s">
        <v>285</v>
      </c>
      <c r="E7" t="s">
        <v>204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/>
      <c r="AE7"/>
      <c r="AF7"/>
    </row>
    <row r="8">
      <c r="A8" t="s">
        <v>30</v>
      </c>
      <c r="B8" t="s">
        <v>286</v>
      </c>
      <c r="C8" t="s">
        <v>203</v>
      </c>
      <c r="D8" t="s">
        <v>287</v>
      </c>
      <c r="E8" t="s">
        <v>204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/>
      <c r="AE8"/>
      <c r="AF8"/>
    </row>
    <row r="9">
      <c r="A9" t="s">
        <v>30</v>
      </c>
      <c r="B9" t="s">
        <v>288</v>
      </c>
      <c r="C9" t="s">
        <v>203</v>
      </c>
      <c r="D9" t="s">
        <v>289</v>
      </c>
      <c r="E9" t="s">
        <v>204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/>
      <c r="AE9"/>
      <c r="AF9"/>
    </row>
    <row r="10">
      <c r="A10" t="s">
        <v>30</v>
      </c>
      <c r="B10" t="s">
        <v>290</v>
      </c>
      <c r="C10" t="s">
        <v>203</v>
      </c>
      <c r="D10" t="s">
        <v>291</v>
      </c>
      <c r="E10" t="s">
        <v>204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/>
      <c r="AE10"/>
      <c r="AF10"/>
    </row>
    <row r="11">
      <c r="A11" t="s">
        <v>30</v>
      </c>
      <c r="B11" t="s">
        <v>292</v>
      </c>
      <c r="C11" t="s">
        <v>203</v>
      </c>
      <c r="D11" t="s">
        <v>293</v>
      </c>
      <c r="E11" t="s">
        <v>204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/>
      <c r="AE11"/>
      <c r="AF11"/>
    </row>
    <row r="12">
      <c r="A12" t="s">
        <v>30</v>
      </c>
      <c r="B12" t="s">
        <v>294</v>
      </c>
      <c r="C12" t="s">
        <v>203</v>
      </c>
      <c r="D12" t="s">
        <v>295</v>
      </c>
      <c r="E12" t="s">
        <v>204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/>
      <c r="AE12"/>
      <c r="AF12"/>
    </row>
    <row r="13">
      <c r="A13" t="s">
        <v>30</v>
      </c>
      <c r="B13" t="s">
        <v>296</v>
      </c>
      <c r="C13" t="s">
        <v>203</v>
      </c>
      <c r="D13" t="s">
        <v>297</v>
      </c>
      <c r="E13" t="s">
        <v>204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/>
      <c r="AE13"/>
      <c r="AF13"/>
    </row>
    <row r="14">
      <c r="A14" t="s">
        <v>30</v>
      </c>
      <c r="B14" t="s">
        <v>298</v>
      </c>
      <c r="C14" t="s">
        <v>203</v>
      </c>
      <c r="D14" t="s">
        <v>299</v>
      </c>
      <c r="E14" t="s">
        <v>204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/>
      <c r="AE14"/>
      <c r="AF14"/>
    </row>
    <row r="15">
      <c r="A15" t="s">
        <v>30</v>
      </c>
      <c r="B15" t="s">
        <v>300</v>
      </c>
      <c r="C15" t="s">
        <v>203</v>
      </c>
      <c r="D15" t="s">
        <v>301</v>
      </c>
      <c r="E15" t="s">
        <v>204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/>
      <c r="AE15"/>
      <c r="AF15"/>
    </row>
    <row r="16">
      <c r="A16" t="s">
        <v>30</v>
      </c>
      <c r="B16" t="s">
        <v>302</v>
      </c>
      <c r="C16" t="s">
        <v>203</v>
      </c>
      <c r="D16" t="s">
        <v>303</v>
      </c>
      <c r="E16" t="s">
        <v>204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/>
      <c r="AE16"/>
      <c r="AF16"/>
    </row>
    <row r="17">
      <c r="A17" t="s">
        <v>30</v>
      </c>
      <c r="B17" t="s">
        <v>304</v>
      </c>
      <c r="C17" t="s">
        <v>203</v>
      </c>
      <c r="D17" t="s">
        <v>305</v>
      </c>
      <c r="E17" t="s">
        <v>204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/>
      <c r="AE17"/>
      <c r="AF17"/>
    </row>
    <row r="18">
      <c r="A18" t="s">
        <v>30</v>
      </c>
      <c r="B18" t="s">
        <v>306</v>
      </c>
      <c r="C18" t="s">
        <v>203</v>
      </c>
      <c r="D18" t="s">
        <v>307</v>
      </c>
      <c r="E18" t="s">
        <v>204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/>
      <c r="AE18"/>
      <c r="AF18"/>
    </row>
    <row r="19">
      <c r="A19" t="s">
        <v>30</v>
      </c>
      <c r="B19" t="s">
        <v>308</v>
      </c>
      <c r="C19" t="s">
        <v>203</v>
      </c>
      <c r="D19" t="s">
        <v>309</v>
      </c>
      <c r="E19" t="s">
        <v>204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/>
      <c r="AE19"/>
      <c r="AF19"/>
    </row>
    <row r="20">
      <c r="A20" t="s">
        <v>30</v>
      </c>
      <c r="B20" t="s">
        <v>310</v>
      </c>
      <c r="C20" t="s">
        <v>203</v>
      </c>
      <c r="D20" t="s">
        <v>311</v>
      </c>
      <c r="E20" t="s">
        <v>204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/>
      <c r="AE20"/>
      <c r="AF20"/>
    </row>
    <row r="21">
      <c r="A21" t="s">
        <v>30</v>
      </c>
      <c r="B21" t="s">
        <v>312</v>
      </c>
      <c r="C21" t="s">
        <v>203</v>
      </c>
      <c r="D21" t="s">
        <v>313</v>
      </c>
      <c r="E21" t="s">
        <v>204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/>
      <c r="AE21"/>
      <c r="AF21"/>
    </row>
    <row r="22">
      <c r="A22" t="s">
        <v>30</v>
      </c>
      <c r="B22" t="s">
        <v>314</v>
      </c>
      <c r="C22" t="s">
        <v>203</v>
      </c>
      <c r="D22" t="s">
        <v>315</v>
      </c>
      <c r="E22" t="s">
        <v>204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/>
      <c r="AE22"/>
      <c r="AF22"/>
    </row>
    <row r="23">
      <c r="A23" t="s">
        <v>30</v>
      </c>
      <c r="B23" t="s">
        <v>316</v>
      </c>
      <c r="C23" t="s">
        <v>203</v>
      </c>
      <c r="D23" t="s">
        <v>317</v>
      </c>
      <c r="E23" t="s">
        <v>204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/>
      <c r="AE23"/>
      <c r="AF23"/>
    </row>
    <row r="24">
      <c r="A24" t="s">
        <v>30</v>
      </c>
      <c r="B24" t="s">
        <v>318</v>
      </c>
      <c r="C24" t="s">
        <v>203</v>
      </c>
      <c r="D24" t="s">
        <v>319</v>
      </c>
      <c r="E24" t="s">
        <v>204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/>
      <c r="AE24"/>
      <c r="AF24"/>
    </row>
    <row r="25">
      <c r="A25" t="s">
        <v>30</v>
      </c>
      <c r="B25" t="s">
        <v>320</v>
      </c>
      <c r="C25" t="s">
        <v>203</v>
      </c>
      <c r="D25" t="s">
        <v>321</v>
      </c>
      <c r="E25" t="s">
        <v>204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/>
      <c r="AE25"/>
      <c r="AF25"/>
    </row>
    <row r="26">
      <c r="A26" t="s">
        <v>30</v>
      </c>
      <c r="B26" t="s">
        <v>322</v>
      </c>
      <c r="C26" t="s">
        <v>203</v>
      </c>
      <c r="D26" t="s">
        <v>323</v>
      </c>
      <c r="E26" t="s">
        <v>204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/>
      <c r="AE26"/>
      <c r="AF26"/>
    </row>
    <row r="27">
      <c r="A27" t="s">
        <v>30</v>
      </c>
      <c r="B27" t="s">
        <v>324</v>
      </c>
      <c r="C27" t="s">
        <v>203</v>
      </c>
      <c r="D27" t="s">
        <v>325</v>
      </c>
      <c r="E27" t="s">
        <v>204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/>
      <c r="AE27"/>
      <c r="AF27"/>
    </row>
    <row r="28">
      <c r="A28" t="s">
        <v>30</v>
      </c>
      <c r="B28" t="s">
        <v>326</v>
      </c>
      <c r="C28" t="s">
        <v>203</v>
      </c>
      <c r="D28" t="s">
        <v>327</v>
      </c>
      <c r="E28" t="s">
        <v>204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/>
      <c r="AE28"/>
      <c r="AF28"/>
    </row>
    <row r="29">
      <c r="A29" t="s">
        <v>30</v>
      </c>
      <c r="B29" t="s">
        <v>328</v>
      </c>
      <c r="C29" t="s">
        <v>203</v>
      </c>
      <c r="D29" t="s">
        <v>329</v>
      </c>
      <c r="E29" t="s">
        <v>204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/>
      <c r="AE29"/>
      <c r="AF29"/>
    </row>
    <row r="30">
      <c r="A30" t="s">
        <v>30</v>
      </c>
      <c r="B30" t="s">
        <v>330</v>
      </c>
      <c r="C30" t="s">
        <v>203</v>
      </c>
      <c r="D30" t="s">
        <v>331</v>
      </c>
      <c r="E30" t="s">
        <v>204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/>
      <c r="AE30"/>
      <c r="AF30"/>
    </row>
    <row r="31">
      <c r="A31" t="s">
        <v>30</v>
      </c>
      <c r="B31" t="s">
        <v>332</v>
      </c>
      <c r="C31" t="s">
        <v>203</v>
      </c>
      <c r="D31" t="s">
        <v>333</v>
      </c>
      <c r="E31" t="s">
        <v>204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/>
      <c r="AE31"/>
      <c r="AF31"/>
    </row>
    <row r="32">
      <c r="A32" t="s">
        <v>30</v>
      </c>
      <c r="B32" t="s">
        <v>334</v>
      </c>
      <c r="C32" t="s">
        <v>203</v>
      </c>
      <c r="D32" t="s">
        <v>335</v>
      </c>
      <c r="E32" t="s">
        <v>204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/>
      <c r="AE32"/>
      <c r="AF32"/>
    </row>
    <row r="33">
      <c r="A33" t="s">
        <v>30</v>
      </c>
      <c r="B33" t="s">
        <v>336</v>
      </c>
      <c r="C33" t="s">
        <v>203</v>
      </c>
      <c r="D33" t="s">
        <v>337</v>
      </c>
      <c r="E33" t="s">
        <v>204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/>
      <c r="AE33"/>
      <c r="AF33"/>
    </row>
    <row r="34">
      <c r="A34" t="s">
        <v>30</v>
      </c>
      <c r="B34" t="s">
        <v>338</v>
      </c>
      <c r="C34" t="s">
        <v>203</v>
      </c>
      <c r="D34" t="s">
        <v>339</v>
      </c>
      <c r="E34" t="s">
        <v>204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/>
      <c r="AE34"/>
      <c r="AF34"/>
    </row>
    <row r="35">
      <c r="A35" t="s">
        <v>30</v>
      </c>
      <c r="B35" t="s">
        <v>340</v>
      </c>
      <c r="C35" t="s">
        <v>203</v>
      </c>
      <c r="D35" t="s">
        <v>341</v>
      </c>
      <c r="E35" t="s">
        <v>204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/>
      <c r="AE35"/>
      <c r="AF35"/>
    </row>
    <row r="36">
      <c r="A36" t="s">
        <v>30</v>
      </c>
      <c r="B36" t="s">
        <v>342</v>
      </c>
      <c r="C36" t="s">
        <v>203</v>
      </c>
      <c r="D36" t="s">
        <v>343</v>
      </c>
      <c r="E36" t="s">
        <v>204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/>
      <c r="AE36"/>
      <c r="AF36"/>
    </row>
    <row r="37">
      <c r="A37" t="s">
        <v>30</v>
      </c>
      <c r="B37" t="s">
        <v>344</v>
      </c>
      <c r="C37" t="s">
        <v>203</v>
      </c>
      <c r="D37" t="s">
        <v>345</v>
      </c>
      <c r="E37" t="s">
        <v>204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/>
      <c r="AE37"/>
      <c r="AF37"/>
    </row>
    <row r="38">
      <c r="A38" t="s">
        <v>30</v>
      </c>
      <c r="B38" t="s">
        <v>346</v>
      </c>
      <c r="C38" t="s">
        <v>203</v>
      </c>
      <c r="D38" t="s">
        <v>347</v>
      </c>
      <c r="E38" t="s">
        <v>204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/>
      <c r="AE38"/>
      <c r="AF38"/>
    </row>
    <row r="39">
      <c r="A39" t="s">
        <v>30</v>
      </c>
      <c r="B39" t="s">
        <v>348</v>
      </c>
      <c r="C39" t="s">
        <v>203</v>
      </c>
      <c r="D39" t="s">
        <v>349</v>
      </c>
      <c r="E39" t="s">
        <v>204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/>
      <c r="AE39"/>
      <c r="AF39"/>
    </row>
    <row r="40">
      <c r="A40" t="s">
        <v>30</v>
      </c>
      <c r="B40" t="s">
        <v>350</v>
      </c>
      <c r="C40" t="s">
        <v>203</v>
      </c>
      <c r="D40" t="s">
        <v>351</v>
      </c>
      <c r="E40" t="s">
        <v>204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/>
      <c r="AE40"/>
      <c r="AF40"/>
    </row>
    <row r="41">
      <c r="A41" t="s">
        <v>30</v>
      </c>
      <c r="B41" t="s">
        <v>352</v>
      </c>
      <c r="C41" t="s">
        <v>203</v>
      </c>
      <c r="D41" t="s">
        <v>353</v>
      </c>
      <c r="E41" t="s">
        <v>204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/>
      <c r="AE41"/>
      <c r="AF41"/>
    </row>
    <row r="42">
      <c r="A42" t="s">
        <v>30</v>
      </c>
      <c r="B42" t="s">
        <v>354</v>
      </c>
      <c r="C42" t="s">
        <v>203</v>
      </c>
      <c r="D42" t="s">
        <v>355</v>
      </c>
      <c r="E42" t="s">
        <v>204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/>
      <c r="AE42"/>
      <c r="AF42"/>
    </row>
    <row r="43">
      <c r="A43" t="s">
        <v>30</v>
      </c>
      <c r="B43" t="s">
        <v>356</v>
      </c>
      <c r="C43" t="s">
        <v>203</v>
      </c>
      <c r="D43" t="s">
        <v>357</v>
      </c>
      <c r="E43" t="s">
        <v>204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/>
      <c r="AE43"/>
      <c r="AF43"/>
    </row>
    <row r="44">
      <c r="A44" t="s">
        <v>30</v>
      </c>
      <c r="B44" t="s">
        <v>358</v>
      </c>
      <c r="C44" t="s">
        <v>203</v>
      </c>
      <c r="D44" t="s">
        <v>359</v>
      </c>
      <c r="E44" t="s">
        <v>204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/>
      <c r="AE44"/>
      <c r="AF44"/>
    </row>
    <row r="45">
      <c r="A45" t="s">
        <v>30</v>
      </c>
      <c r="B45" t="s">
        <v>360</v>
      </c>
      <c r="C45" t="s">
        <v>203</v>
      </c>
      <c r="D45" t="s">
        <v>361</v>
      </c>
      <c r="E45" t="s">
        <v>204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/>
      <c r="AE45"/>
      <c r="AF45"/>
    </row>
    <row r="46">
      <c r="A46" t="s">
        <v>30</v>
      </c>
      <c r="B46" t="s">
        <v>362</v>
      </c>
      <c r="C46" t="s">
        <v>203</v>
      </c>
      <c r="D46" t="s">
        <v>363</v>
      </c>
      <c r="E46" t="s">
        <v>204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/>
      <c r="AE46"/>
      <c r="AF46"/>
    </row>
    <row r="47">
      <c r="A47" t="s">
        <v>30</v>
      </c>
      <c r="B47" t="s">
        <v>364</v>
      </c>
      <c r="C47" t="s">
        <v>203</v>
      </c>
      <c r="D47" t="s">
        <v>365</v>
      </c>
      <c r="E47" t="s">
        <v>204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/>
      <c r="AE47"/>
      <c r="AF47"/>
    </row>
    <row r="48">
      <c r="A48" t="s">
        <v>30</v>
      </c>
      <c r="B48" t="s">
        <v>366</v>
      </c>
      <c r="C48" t="s">
        <v>203</v>
      </c>
      <c r="D48" t="s">
        <v>367</v>
      </c>
      <c r="E48" t="s">
        <v>204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/>
      <c r="AE48"/>
      <c r="AF48"/>
    </row>
    <row r="49">
      <c r="A49" t="s">
        <v>30</v>
      </c>
      <c r="B49" t="s">
        <v>368</v>
      </c>
      <c r="C49" t="s">
        <v>203</v>
      </c>
      <c r="D49" t="s">
        <v>369</v>
      </c>
      <c r="E49" t="s">
        <v>204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/>
      <c r="AE49"/>
      <c r="AF49"/>
    </row>
    <row r="50">
      <c r="A50" t="s">
        <v>30</v>
      </c>
      <c r="B50" t="s">
        <v>370</v>
      </c>
      <c r="C50" t="s">
        <v>203</v>
      </c>
      <c r="D50" t="s">
        <v>371</v>
      </c>
      <c r="E50" t="s">
        <v>204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/>
      <c r="AE50"/>
      <c r="AF50"/>
    </row>
    <row r="51">
      <c r="A51" t="s">
        <v>30</v>
      </c>
      <c r="B51" t="s">
        <v>372</v>
      </c>
      <c r="C51" t="s">
        <v>203</v>
      </c>
      <c r="D51" t="s">
        <v>373</v>
      </c>
      <c r="E51" t="s">
        <v>204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/>
      <c r="AE51"/>
      <c r="AF51"/>
    </row>
    <row r="52">
      <c r="A52" t="s">
        <v>30</v>
      </c>
      <c r="B52" t="s">
        <v>374</v>
      </c>
      <c r="C52" t="s">
        <v>203</v>
      </c>
      <c r="D52" t="s">
        <v>375</v>
      </c>
      <c r="E52" t="s">
        <v>204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/>
      <c r="AE52"/>
      <c r="AF52"/>
    </row>
    <row r="53">
      <c r="A53" t="s">
        <v>30</v>
      </c>
      <c r="B53" t="s">
        <v>376</v>
      </c>
      <c r="C53" t="s">
        <v>203</v>
      </c>
      <c r="D53" t="s">
        <v>377</v>
      </c>
      <c r="E53" t="s">
        <v>204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/>
      <c r="AE53"/>
      <c r="AF53"/>
    </row>
    <row r="54">
      <c r="A54" t="s">
        <v>30</v>
      </c>
      <c r="B54" t="s">
        <v>378</v>
      </c>
      <c r="C54" t="s">
        <v>203</v>
      </c>
      <c r="D54" t="s">
        <v>379</v>
      </c>
      <c r="E54" t="s">
        <v>204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/>
      <c r="AE54"/>
      <c r="AF54"/>
    </row>
    <row r="55">
      <c r="A55" t="s">
        <v>30</v>
      </c>
      <c r="B55" t="s">
        <v>380</v>
      </c>
      <c r="C55" t="s">
        <v>203</v>
      </c>
      <c r="D55" t="s">
        <v>381</v>
      </c>
      <c r="E55" t="s">
        <v>204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/>
      <c r="AE55"/>
      <c r="AF55"/>
    </row>
    <row r="56">
      <c r="A56" t="s">
        <v>30</v>
      </c>
      <c r="B56" t="s">
        <v>382</v>
      </c>
      <c r="C56" t="s">
        <v>203</v>
      </c>
      <c r="D56" t="s">
        <v>383</v>
      </c>
      <c r="E56" t="s">
        <v>204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/>
      <c r="AE56"/>
      <c r="AF56"/>
    </row>
    <row r="57">
      <c r="A57" t="s">
        <v>30</v>
      </c>
      <c r="B57" t="s">
        <v>384</v>
      </c>
      <c r="C57" t="s">
        <v>203</v>
      </c>
      <c r="D57" t="s">
        <v>385</v>
      </c>
      <c r="E57" t="s">
        <v>204</v>
      </c>
      <c r="F57" t="n">
        <v>20.6</v>
      </c>
      <c r="G57" t="n">
        <v>-4.2</v>
      </c>
      <c r="H57" t="n">
        <v>8.4</v>
      </c>
      <c r="I57" t="n">
        <v>133.9</v>
      </c>
      <c r="J57" t="n">
        <v>116.2</v>
      </c>
      <c r="K57" t="n">
        <v>180.3</v>
      </c>
      <c r="L57" t="n">
        <v>135</v>
      </c>
      <c r="M57" t="n">
        <v>139</v>
      </c>
      <c r="N57" t="n">
        <v>148.6</v>
      </c>
      <c r="O57" t="n">
        <v>212.6</v>
      </c>
      <c r="P57" t="n">
        <v>374</v>
      </c>
      <c r="Q57" t="n">
        <v>421.7</v>
      </c>
      <c r="R57" t="n">
        <v>437.8</v>
      </c>
      <c r="S57" t="n">
        <v>268.5</v>
      </c>
      <c r="T57" t="n">
        <v>461.3</v>
      </c>
      <c r="U57" t="n">
        <v>432.3</v>
      </c>
      <c r="V57" t="n">
        <v>506.8</v>
      </c>
      <c r="W57" t="n">
        <v>451.5</v>
      </c>
      <c r="X57" t="n">
        <v>459.1</v>
      </c>
      <c r="Y57" t="n">
        <v>490.2</v>
      </c>
      <c r="Z57" t="n">
        <v>526.5</v>
      </c>
      <c r="AA57" t="n">
        <v>635.2</v>
      </c>
      <c r="AB57" t="n">
        <v>781.2</v>
      </c>
      <c r="AC57" t="n">
        <v>734.6</v>
      </c>
      <c r="AD57" t="n">
        <v>1182.3</v>
      </c>
      <c r="AE57" t="n">
        <v>1399.2</v>
      </c>
      <c r="AF57" t="n">
        <v>1395.1</v>
      </c>
    </row>
    <row r="58">
      <c r="A58" t="s">
        <v>30</v>
      </c>
      <c r="B58" t="s">
        <v>386</v>
      </c>
      <c r="C58" t="s">
        <v>203</v>
      </c>
      <c r="D58" t="s">
        <v>387</v>
      </c>
      <c r="E58" t="s">
        <v>204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/>
      <c r="AE58"/>
      <c r="AF58"/>
    </row>
    <row r="59">
      <c r="A59" t="s">
        <v>30</v>
      </c>
      <c r="B59" t="s">
        <v>388</v>
      </c>
      <c r="C59" t="s">
        <v>203</v>
      </c>
      <c r="D59" t="s">
        <v>389</v>
      </c>
      <c r="E59" t="s">
        <v>204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32</v>
      </c>
      <c r="B2" t="s">
        <v>197</v>
      </c>
      <c r="C2" t="s">
        <v>203</v>
      </c>
      <c r="D2" t="s">
        <v>199</v>
      </c>
      <c r="E2" t="s">
        <v>204</v>
      </c>
      <c r="F2" t="n">
        <v>0.8</v>
      </c>
      <c r="G2" t="n">
        <v>0.1</v>
      </c>
      <c r="H2" t="n">
        <v>0.5</v>
      </c>
      <c r="I2" t="n">
        <v>5.3</v>
      </c>
      <c r="J2" t="n">
        <v>4.9</v>
      </c>
      <c r="K2" t="n">
        <v>19.3</v>
      </c>
      <c r="L2" t="n">
        <v>60.6</v>
      </c>
      <c r="M2" t="n">
        <v>46.5</v>
      </c>
      <c r="N2" t="n">
        <v>41.4</v>
      </c>
      <c r="O2" t="n">
        <v>56.7</v>
      </c>
      <c r="P2" t="n">
        <v>89.3</v>
      </c>
      <c r="Q2" t="n">
        <v>62.3</v>
      </c>
      <c r="R2" t="n">
        <v>47.8</v>
      </c>
      <c r="S2" t="n">
        <v>182.4</v>
      </c>
      <c r="T2" t="n">
        <v>28.8</v>
      </c>
      <c r="U2" t="n">
        <v>32.3</v>
      </c>
      <c r="V2" t="n">
        <v>49.9</v>
      </c>
      <c r="W2" t="n">
        <v>85.3</v>
      </c>
      <c r="X2" t="n">
        <v>86.7</v>
      </c>
      <c r="Y2" t="n">
        <v>90.8</v>
      </c>
      <c r="Z2" t="n">
        <v>125.3</v>
      </c>
      <c r="AA2" t="n">
        <v>69.3</v>
      </c>
      <c r="AB2" t="n">
        <v>78.5</v>
      </c>
      <c r="AC2" t="n">
        <v>111.5</v>
      </c>
      <c r="AD2" t="n">
        <v>90.1</v>
      </c>
      <c r="AE2" t="n">
        <v>65.8</v>
      </c>
      <c r="AF2" t="n">
        <v>100.5</v>
      </c>
    </row>
    <row r="3">
      <c r="A3" t="s">
        <v>32</v>
      </c>
      <c r="B3" t="s">
        <v>276</v>
      </c>
      <c r="C3" t="s">
        <v>203</v>
      </c>
      <c r="D3" t="s">
        <v>277</v>
      </c>
      <c r="E3" t="s">
        <v>204</v>
      </c>
      <c r="F3" t="n">
        <v>0.4</v>
      </c>
      <c r="G3" t="n">
        <v>0.1</v>
      </c>
      <c r="H3" t="n">
        <v>0.3</v>
      </c>
      <c r="I3" t="n">
        <v>2.6</v>
      </c>
      <c r="J3" t="n">
        <v>1.2</v>
      </c>
      <c r="K3" t="n">
        <v>18.2</v>
      </c>
      <c r="L3" t="n">
        <v>1.9</v>
      </c>
      <c r="M3" t="n">
        <v>27.3</v>
      </c>
      <c r="N3" t="n">
        <v>28.7</v>
      </c>
      <c r="O3" t="n">
        <v>26</v>
      </c>
      <c r="P3" t="n">
        <v>100.7</v>
      </c>
      <c r="Q3" t="n">
        <v>81.8</v>
      </c>
      <c r="R3" t="n">
        <v>69.3</v>
      </c>
      <c r="S3" t="n">
        <v>90.7</v>
      </c>
      <c r="T3" t="n">
        <v>25.8</v>
      </c>
      <c r="U3" t="n">
        <v>8.5</v>
      </c>
      <c r="V3" t="n">
        <v>4.1</v>
      </c>
      <c r="W3" t="n">
        <v>6.6</v>
      </c>
      <c r="X3" t="n">
        <v>6.7</v>
      </c>
      <c r="Y3" t="n">
        <v>6.6</v>
      </c>
      <c r="Z3" t="n">
        <v>4.2</v>
      </c>
      <c r="AA3" t="n">
        <v>15.5</v>
      </c>
      <c r="AB3" t="n">
        <v>10.9</v>
      </c>
      <c r="AC3" t="n">
        <v>55.4</v>
      </c>
      <c r="AD3" t="n">
        <v>0</v>
      </c>
      <c r="AE3" t="n">
        <v>35.1</v>
      </c>
      <c r="AF3" t="n">
        <v>-0.9</v>
      </c>
    </row>
    <row r="4">
      <c r="A4" t="s">
        <v>32</v>
      </c>
      <c r="B4" t="s">
        <v>278</v>
      </c>
      <c r="C4" t="s">
        <v>203</v>
      </c>
      <c r="D4" t="s">
        <v>279</v>
      </c>
      <c r="E4" t="s">
        <v>204</v>
      </c>
      <c r="F4" t="n">
        <v>7.4</v>
      </c>
      <c r="G4" t="n">
        <v>1.3</v>
      </c>
      <c r="H4" t="n">
        <v>4.7</v>
      </c>
      <c r="I4" t="n">
        <v>49.5</v>
      </c>
      <c r="J4" t="n">
        <v>36.4</v>
      </c>
      <c r="K4" t="n">
        <v>99.4</v>
      </c>
      <c r="L4" t="n">
        <v>160.6</v>
      </c>
      <c r="M4" t="n">
        <v>446.6</v>
      </c>
      <c r="N4" t="n">
        <v>519.6</v>
      </c>
      <c r="O4" t="n">
        <v>325.1</v>
      </c>
      <c r="P4" t="n">
        <v>704.6</v>
      </c>
      <c r="Q4" t="n">
        <v>560.2</v>
      </c>
      <c r="R4" t="n">
        <v>643</v>
      </c>
      <c r="S4" t="n">
        <v>560</v>
      </c>
      <c r="T4" t="n">
        <v>158</v>
      </c>
      <c r="U4" t="n">
        <v>61.2</v>
      </c>
      <c r="V4" t="n">
        <v>53.4</v>
      </c>
      <c r="W4" t="n">
        <v>93.7</v>
      </c>
      <c r="X4" t="n">
        <v>95</v>
      </c>
      <c r="Y4" t="n">
        <v>77.8</v>
      </c>
      <c r="Z4" t="n">
        <v>108</v>
      </c>
      <c r="AA4" t="n">
        <v>47.1</v>
      </c>
      <c r="AB4" t="n">
        <v>83.4</v>
      </c>
      <c r="AC4" t="n">
        <v>111.7</v>
      </c>
      <c r="AD4" t="n">
        <v>98.3</v>
      </c>
      <c r="AE4" t="n">
        <v>72.5</v>
      </c>
      <c r="AF4" t="n">
        <v>108</v>
      </c>
    </row>
    <row r="5">
      <c r="A5" t="s">
        <v>32</v>
      </c>
      <c r="B5" t="s">
        <v>280</v>
      </c>
      <c r="C5" t="s">
        <v>203</v>
      </c>
      <c r="D5" t="s">
        <v>281</v>
      </c>
      <c r="E5" t="s">
        <v>204</v>
      </c>
      <c r="F5" t="n">
        <v>1.7</v>
      </c>
      <c r="G5" t="n">
        <v>0.3</v>
      </c>
      <c r="H5" t="n">
        <v>1.1</v>
      </c>
      <c r="I5" t="n">
        <v>11.2</v>
      </c>
      <c r="J5" t="n">
        <v>15.8</v>
      </c>
      <c r="K5" t="n">
        <v>6.1</v>
      </c>
      <c r="L5" t="n">
        <v>31.7</v>
      </c>
      <c r="M5" t="n">
        <v>85.9</v>
      </c>
      <c r="N5" t="n">
        <v>128.4</v>
      </c>
      <c r="O5" t="n">
        <v>89.2</v>
      </c>
      <c r="P5" t="n">
        <v>163.2</v>
      </c>
      <c r="Q5" t="n">
        <v>87.3</v>
      </c>
      <c r="R5" t="n">
        <v>136.2</v>
      </c>
      <c r="S5" t="n">
        <v>117.3</v>
      </c>
      <c r="T5" t="n">
        <v>35.8</v>
      </c>
      <c r="U5" t="n">
        <v>19.3</v>
      </c>
      <c r="V5" t="n">
        <v>17.2</v>
      </c>
      <c r="W5" t="n">
        <v>19.9</v>
      </c>
      <c r="X5" t="n">
        <v>20.2</v>
      </c>
      <c r="Y5" t="n">
        <v>26.6</v>
      </c>
      <c r="Z5" t="n">
        <v>34.1</v>
      </c>
      <c r="AA5" t="n">
        <v>8.9</v>
      </c>
      <c r="AB5" t="n">
        <v>23.5</v>
      </c>
      <c r="AC5" t="n">
        <v>26.6</v>
      </c>
      <c r="AD5" t="n">
        <v>20.7</v>
      </c>
      <c r="AE5" t="n">
        <v>14.7</v>
      </c>
      <c r="AF5" t="n">
        <v>16.4</v>
      </c>
    </row>
    <row r="6">
      <c r="A6" t="s">
        <v>32</v>
      </c>
      <c r="B6" t="s">
        <v>282</v>
      </c>
      <c r="C6" t="s">
        <v>203</v>
      </c>
      <c r="D6" t="s">
        <v>283</v>
      </c>
      <c r="E6" t="s">
        <v>204</v>
      </c>
      <c r="F6" t="n">
        <v>0.7</v>
      </c>
      <c r="G6" t="n">
        <v>0.1</v>
      </c>
      <c r="H6" t="n">
        <v>0.4</v>
      </c>
      <c r="I6" t="n">
        <v>4.6</v>
      </c>
      <c r="J6" t="n">
        <v>4.9</v>
      </c>
      <c r="K6" t="n">
        <v>21.3</v>
      </c>
      <c r="L6" t="n">
        <v>18.3</v>
      </c>
      <c r="M6" t="n">
        <v>60.6</v>
      </c>
      <c r="N6" t="n">
        <v>66.9</v>
      </c>
      <c r="O6" t="n">
        <v>37.2</v>
      </c>
      <c r="P6" t="n">
        <v>60.8</v>
      </c>
      <c r="Q6" t="n">
        <v>71.5</v>
      </c>
      <c r="R6" t="n">
        <v>34.1</v>
      </c>
      <c r="S6" t="n">
        <v>31.2</v>
      </c>
      <c r="T6" t="n">
        <v>10.9</v>
      </c>
      <c r="U6" t="n">
        <v>4.5</v>
      </c>
      <c r="V6" t="n">
        <v>4.4</v>
      </c>
      <c r="W6" t="n">
        <v>6.3</v>
      </c>
      <c r="X6" t="n">
        <v>6.4</v>
      </c>
      <c r="Y6" t="n">
        <v>8.6</v>
      </c>
      <c r="Z6" t="n">
        <v>6.9</v>
      </c>
      <c r="AA6" t="n">
        <v>3.5</v>
      </c>
      <c r="AB6" t="n">
        <v>5.2</v>
      </c>
      <c r="AC6" t="n">
        <v>8.5</v>
      </c>
      <c r="AD6" t="n">
        <v>5.6</v>
      </c>
      <c r="AE6" t="n">
        <v>2.6</v>
      </c>
      <c r="AF6" t="n">
        <v>2.4</v>
      </c>
    </row>
    <row r="7">
      <c r="A7" t="s">
        <v>32</v>
      </c>
      <c r="B7" t="s">
        <v>284</v>
      </c>
      <c r="C7" t="s">
        <v>203</v>
      </c>
      <c r="D7" t="s">
        <v>285</v>
      </c>
      <c r="E7" t="s">
        <v>204</v>
      </c>
      <c r="F7" t="n">
        <v>0.3</v>
      </c>
      <c r="G7" t="n">
        <v>0.1</v>
      </c>
      <c r="H7" t="n">
        <v>0.2</v>
      </c>
      <c r="I7" t="n">
        <v>2</v>
      </c>
      <c r="J7" t="n">
        <v>2.4</v>
      </c>
      <c r="K7" t="n">
        <v>6.1</v>
      </c>
      <c r="L7" t="n">
        <v>26</v>
      </c>
      <c r="M7" t="n">
        <v>52.6</v>
      </c>
      <c r="N7" t="n">
        <v>38.9</v>
      </c>
      <c r="O7" t="n">
        <v>26.9</v>
      </c>
      <c r="P7" t="n">
        <v>47.5</v>
      </c>
      <c r="Q7" t="n">
        <v>44.6</v>
      </c>
      <c r="R7" t="n">
        <v>84.5</v>
      </c>
      <c r="S7" t="n">
        <v>41.2</v>
      </c>
      <c r="T7" t="n">
        <v>9.9</v>
      </c>
      <c r="U7" t="n">
        <v>4.8</v>
      </c>
      <c r="V7" t="n">
        <v>4.5</v>
      </c>
      <c r="W7" t="n">
        <v>7</v>
      </c>
      <c r="X7" t="n">
        <v>7.1</v>
      </c>
      <c r="Y7" t="n">
        <v>7.2</v>
      </c>
      <c r="Z7" t="n">
        <v>9.3</v>
      </c>
      <c r="AA7" t="n">
        <v>5.5</v>
      </c>
      <c r="AB7" t="n">
        <v>8.9</v>
      </c>
      <c r="AC7" t="n">
        <v>9.1</v>
      </c>
      <c r="AD7" t="n">
        <v>11.8</v>
      </c>
      <c r="AE7" t="n">
        <v>6.8</v>
      </c>
      <c r="AF7" t="n">
        <v>13.6</v>
      </c>
    </row>
    <row r="8">
      <c r="A8" t="s">
        <v>32</v>
      </c>
      <c r="B8" t="s">
        <v>286</v>
      </c>
      <c r="C8" t="s">
        <v>203</v>
      </c>
      <c r="D8" t="s">
        <v>287</v>
      </c>
      <c r="E8" t="s">
        <v>204</v>
      </c>
      <c r="F8" t="n">
        <v>0.6</v>
      </c>
      <c r="G8" t="n">
        <v>0.1</v>
      </c>
      <c r="H8" t="n">
        <v>0.4</v>
      </c>
      <c r="I8" t="n">
        <v>3.9</v>
      </c>
      <c r="J8" t="n">
        <v>0</v>
      </c>
      <c r="K8" t="n">
        <v>0</v>
      </c>
      <c r="L8" t="n">
        <v>0</v>
      </c>
      <c r="M8" t="n">
        <v>21.2</v>
      </c>
      <c r="N8" t="n">
        <v>31.8</v>
      </c>
      <c r="O8" t="n">
        <v>9.3</v>
      </c>
      <c r="P8" t="n">
        <v>19</v>
      </c>
      <c r="Q8" t="n">
        <v>20.4</v>
      </c>
      <c r="R8" t="n">
        <v>15.6</v>
      </c>
      <c r="S8" t="n">
        <v>25.7</v>
      </c>
      <c r="T8" t="n">
        <v>13.9</v>
      </c>
      <c r="U8" t="n">
        <v>0.9</v>
      </c>
      <c r="V8" t="n">
        <v>0.3</v>
      </c>
      <c r="W8" t="n">
        <v>0.6</v>
      </c>
      <c r="X8" t="n">
        <v>0.6</v>
      </c>
      <c r="Y8" t="n">
        <v>-1.4</v>
      </c>
      <c r="Z8" t="n">
        <v>-0.1</v>
      </c>
      <c r="AA8" t="n">
        <v>-4.2</v>
      </c>
      <c r="AB8" t="n">
        <v>1.6</v>
      </c>
      <c r="AC8" t="n">
        <v>1.2</v>
      </c>
      <c r="AD8" t="n">
        <v>-0.1</v>
      </c>
      <c r="AE8" t="n">
        <v>-2.6</v>
      </c>
      <c r="AF8" t="n">
        <v>0.5</v>
      </c>
    </row>
    <row r="9">
      <c r="A9" t="s">
        <v>32</v>
      </c>
      <c r="B9" t="s">
        <v>288</v>
      </c>
      <c r="C9" t="s">
        <v>203</v>
      </c>
      <c r="D9" t="s">
        <v>289</v>
      </c>
      <c r="E9" t="s">
        <v>204</v>
      </c>
      <c r="F9" t="n">
        <v>0.8</v>
      </c>
      <c r="G9" t="n">
        <v>0.1</v>
      </c>
      <c r="H9" t="n">
        <v>0.5</v>
      </c>
      <c r="I9" t="n">
        <v>5.3</v>
      </c>
      <c r="J9" t="n">
        <v>1.2</v>
      </c>
      <c r="K9" t="n">
        <v>2</v>
      </c>
      <c r="L9" t="n">
        <v>1.9</v>
      </c>
      <c r="M9" t="n">
        <v>29.3</v>
      </c>
      <c r="N9" t="n">
        <v>17</v>
      </c>
      <c r="O9" t="n">
        <v>14.9</v>
      </c>
      <c r="P9" t="n">
        <v>28.5</v>
      </c>
      <c r="Q9" t="n">
        <v>32.5</v>
      </c>
      <c r="R9" t="n">
        <v>35.1</v>
      </c>
      <c r="S9" t="n">
        <v>35.7</v>
      </c>
      <c r="T9" t="n">
        <v>9.9</v>
      </c>
      <c r="U9" t="n">
        <v>3.5</v>
      </c>
      <c r="V9" t="n">
        <v>3.8</v>
      </c>
      <c r="W9" t="n">
        <v>18.8</v>
      </c>
      <c r="X9" t="n">
        <v>19.1</v>
      </c>
      <c r="Y9" t="n">
        <v>3.5</v>
      </c>
      <c r="Z9" t="n">
        <v>7.1</v>
      </c>
      <c r="AA9" t="n">
        <v>5.5</v>
      </c>
      <c r="AB9" t="n">
        <v>2.7</v>
      </c>
      <c r="AC9" t="n">
        <v>0.9</v>
      </c>
      <c r="AD9" t="n">
        <v>6.6</v>
      </c>
      <c r="AE9" t="n">
        <v>10.6</v>
      </c>
      <c r="AF9" t="n">
        <v>9</v>
      </c>
    </row>
    <row r="10">
      <c r="A10" t="s">
        <v>32</v>
      </c>
      <c r="B10" t="s">
        <v>290</v>
      </c>
      <c r="C10" t="s">
        <v>203</v>
      </c>
      <c r="D10" t="s">
        <v>291</v>
      </c>
      <c r="E10" t="s">
        <v>204</v>
      </c>
      <c r="F10" t="n">
        <v>0.9</v>
      </c>
      <c r="G10" t="n">
        <v>0.1</v>
      </c>
      <c r="H10" t="n">
        <v>0.6</v>
      </c>
      <c r="I10" t="n">
        <v>6</v>
      </c>
      <c r="J10" t="n">
        <v>1.2</v>
      </c>
      <c r="K10" t="n">
        <v>2</v>
      </c>
      <c r="L10" t="n">
        <v>1.9</v>
      </c>
      <c r="M10" t="n">
        <v>46.5</v>
      </c>
      <c r="N10" t="n">
        <v>27.6</v>
      </c>
      <c r="O10" t="n">
        <v>20.5</v>
      </c>
      <c r="P10" t="n">
        <v>49.4</v>
      </c>
      <c r="Q10" t="n">
        <v>46.4</v>
      </c>
      <c r="R10" t="n">
        <v>45.8</v>
      </c>
      <c r="S10" t="n">
        <v>62.3</v>
      </c>
      <c r="T10" t="n">
        <v>11.9</v>
      </c>
      <c r="U10" t="n">
        <v>4.6</v>
      </c>
      <c r="V10" t="n">
        <v>5.1</v>
      </c>
      <c r="W10" t="n">
        <v>22.1</v>
      </c>
      <c r="X10" t="n">
        <v>22.4</v>
      </c>
      <c r="Y10" t="n">
        <v>2.8</v>
      </c>
      <c r="Z10" t="n">
        <v>7.5</v>
      </c>
      <c r="AA10" t="n">
        <v>4.5</v>
      </c>
      <c r="AB10" t="n">
        <v>2.6</v>
      </c>
      <c r="AC10" t="n">
        <v>-0.7</v>
      </c>
      <c r="AD10" t="n">
        <v>7.8</v>
      </c>
      <c r="AE10" t="n">
        <v>10.2</v>
      </c>
      <c r="AF10" t="n">
        <v>10.1</v>
      </c>
    </row>
    <row r="11">
      <c r="A11" t="s">
        <v>32</v>
      </c>
      <c r="B11" t="s">
        <v>292</v>
      </c>
      <c r="C11" t="s">
        <v>203</v>
      </c>
      <c r="D11" t="s">
        <v>293</v>
      </c>
      <c r="E11" t="s">
        <v>204</v>
      </c>
      <c r="F11" t="n">
        <v>0.1</v>
      </c>
      <c r="G11" t="n">
        <v>0</v>
      </c>
      <c r="H11" t="n">
        <v>0.1</v>
      </c>
      <c r="I11" t="n">
        <v>0.7</v>
      </c>
      <c r="J11" t="n">
        <v>0</v>
      </c>
      <c r="K11" t="n">
        <v>0</v>
      </c>
      <c r="L11" t="n">
        <v>0</v>
      </c>
      <c r="M11" t="n">
        <v>17.2</v>
      </c>
      <c r="N11" t="n">
        <v>10.6</v>
      </c>
      <c r="O11" t="n">
        <v>5.6</v>
      </c>
      <c r="P11" t="n">
        <v>20.9</v>
      </c>
      <c r="Q11" t="n">
        <v>13.9</v>
      </c>
      <c r="R11" t="n">
        <v>10.7</v>
      </c>
      <c r="S11" t="n">
        <v>26.6</v>
      </c>
      <c r="T11" t="n">
        <v>2</v>
      </c>
      <c r="U11" t="n">
        <v>1.1</v>
      </c>
      <c r="V11" t="n">
        <v>1.3</v>
      </c>
      <c r="W11" t="n">
        <v>3.3</v>
      </c>
      <c r="X11" t="n">
        <v>3.3</v>
      </c>
      <c r="Y11" t="n">
        <v>-0.7</v>
      </c>
      <c r="Z11" t="n">
        <v>0.4</v>
      </c>
      <c r="AA11" t="n">
        <v>-1</v>
      </c>
      <c r="AB11" t="n">
        <v>-0.1</v>
      </c>
      <c r="AC11" t="n">
        <v>-1.6</v>
      </c>
      <c r="AD11" t="n">
        <v>1.2</v>
      </c>
      <c r="AE11" t="n">
        <v>-0.4</v>
      </c>
      <c r="AF11" t="n">
        <v>1.1</v>
      </c>
    </row>
    <row r="12">
      <c r="A12" t="s">
        <v>32</v>
      </c>
      <c r="B12" t="s">
        <v>294</v>
      </c>
      <c r="C12" t="s">
        <v>203</v>
      </c>
      <c r="D12" t="s">
        <v>295</v>
      </c>
      <c r="E12" t="s">
        <v>204</v>
      </c>
      <c r="F12" t="n">
        <v>1</v>
      </c>
      <c r="G12" t="n">
        <v>0.2</v>
      </c>
      <c r="H12" t="n">
        <v>0.6</v>
      </c>
      <c r="I12" t="n">
        <v>6.6</v>
      </c>
      <c r="J12" t="n">
        <v>6.1</v>
      </c>
      <c r="K12" t="n">
        <v>7.1</v>
      </c>
      <c r="L12" t="n">
        <v>12.5</v>
      </c>
      <c r="M12" t="n">
        <v>42.4</v>
      </c>
      <c r="N12" t="n">
        <v>66.9</v>
      </c>
      <c r="O12" t="n">
        <v>52</v>
      </c>
      <c r="P12" t="n">
        <v>184.3</v>
      </c>
      <c r="Q12" t="n">
        <v>120.8</v>
      </c>
      <c r="R12" t="n">
        <v>120</v>
      </c>
      <c r="S12" t="n">
        <v>84.3</v>
      </c>
      <c r="T12" t="n">
        <v>32.8</v>
      </c>
      <c r="U12" t="n">
        <v>8.2</v>
      </c>
      <c r="V12" t="n">
        <v>5.3</v>
      </c>
      <c r="W12" t="n">
        <v>13.5</v>
      </c>
      <c r="X12" t="n">
        <v>13.7</v>
      </c>
      <c r="Y12" t="n">
        <v>11.8</v>
      </c>
      <c r="Z12" t="n">
        <v>22.3</v>
      </c>
      <c r="AA12" t="n">
        <v>8.2</v>
      </c>
      <c r="AB12" t="n">
        <v>10.3</v>
      </c>
      <c r="AC12" t="n">
        <v>32</v>
      </c>
      <c r="AD12" t="n">
        <v>15.9</v>
      </c>
      <c r="AE12" t="n">
        <v>12.6</v>
      </c>
      <c r="AF12" t="n">
        <v>31.2</v>
      </c>
    </row>
    <row r="13">
      <c r="A13" t="s">
        <v>32</v>
      </c>
      <c r="B13" t="s">
        <v>296</v>
      </c>
      <c r="C13" t="s">
        <v>203</v>
      </c>
      <c r="D13" t="s">
        <v>297</v>
      </c>
      <c r="E13" t="s">
        <v>204</v>
      </c>
      <c r="F13" t="n">
        <v>1.2</v>
      </c>
      <c r="G13" t="n">
        <v>0.2</v>
      </c>
      <c r="H13" t="n">
        <v>0.8</v>
      </c>
      <c r="I13" t="n">
        <v>7.9</v>
      </c>
      <c r="J13" t="n">
        <v>2.4</v>
      </c>
      <c r="K13" t="n">
        <v>17.2</v>
      </c>
      <c r="L13" t="n">
        <v>15.4</v>
      </c>
      <c r="M13" t="n">
        <v>91</v>
      </c>
      <c r="N13" t="n">
        <v>101.9</v>
      </c>
      <c r="O13" t="n">
        <v>49.2</v>
      </c>
      <c r="P13" t="n">
        <v>83.6</v>
      </c>
      <c r="Q13" t="n">
        <v>67.8</v>
      </c>
      <c r="R13" t="n">
        <v>121.9</v>
      </c>
      <c r="S13" t="n">
        <v>80.7</v>
      </c>
      <c r="T13" t="n">
        <v>17.9</v>
      </c>
      <c r="U13" t="n">
        <v>6.9</v>
      </c>
      <c r="V13" t="n">
        <v>5.9</v>
      </c>
      <c r="W13" t="n">
        <v>8.9</v>
      </c>
      <c r="X13" t="n">
        <v>9.1</v>
      </c>
      <c r="Y13" t="n">
        <v>7.2</v>
      </c>
      <c r="Z13" t="n">
        <v>10.8</v>
      </c>
      <c r="AA13" t="n">
        <v>4.3</v>
      </c>
      <c r="AB13" t="n">
        <v>16.1</v>
      </c>
      <c r="AC13" t="n">
        <v>15.6</v>
      </c>
      <c r="AD13" t="n">
        <v>10</v>
      </c>
      <c r="AE13" t="n">
        <v>14</v>
      </c>
      <c r="AF13" t="n">
        <v>16.8</v>
      </c>
    </row>
    <row r="14">
      <c r="A14" t="s">
        <v>32</v>
      </c>
      <c r="B14" t="s">
        <v>298</v>
      </c>
      <c r="C14" t="s">
        <v>203</v>
      </c>
      <c r="D14" t="s">
        <v>299</v>
      </c>
      <c r="E14" t="s">
        <v>204</v>
      </c>
      <c r="F14" t="n">
        <v>0.2</v>
      </c>
      <c r="G14" t="n">
        <v>0</v>
      </c>
      <c r="H14" t="n">
        <v>0.1</v>
      </c>
      <c r="I14" t="n">
        <v>1.3</v>
      </c>
      <c r="J14" t="n">
        <v>1.2</v>
      </c>
      <c r="K14" t="n">
        <v>4.1</v>
      </c>
      <c r="L14" t="n">
        <v>7.7</v>
      </c>
      <c r="M14" t="n">
        <v>10.1</v>
      </c>
      <c r="N14" t="n">
        <v>15.9</v>
      </c>
      <c r="O14" t="n">
        <v>8.4</v>
      </c>
      <c r="P14" t="n">
        <v>10.4</v>
      </c>
      <c r="Q14" t="n">
        <v>12.1</v>
      </c>
      <c r="R14" t="n">
        <v>5.9</v>
      </c>
      <c r="S14" t="n">
        <v>11</v>
      </c>
      <c r="T14" t="n">
        <v>1</v>
      </c>
      <c r="U14" t="n">
        <v>0.7</v>
      </c>
      <c r="V14" t="n">
        <v>0.5</v>
      </c>
      <c r="W14" t="n">
        <v>1.4</v>
      </c>
      <c r="X14" t="n">
        <v>1.4</v>
      </c>
      <c r="Y14" t="n">
        <v>1.4</v>
      </c>
      <c r="Z14" t="n">
        <v>1.1</v>
      </c>
      <c r="AA14" t="n">
        <v>-0.2</v>
      </c>
      <c r="AB14" t="n">
        <v>1.7</v>
      </c>
      <c r="AC14" t="n">
        <v>1.2</v>
      </c>
      <c r="AD14" t="n">
        <v>0.6</v>
      </c>
      <c r="AE14" t="n">
        <v>0.9</v>
      </c>
      <c r="AF14" t="n">
        <v>1</v>
      </c>
    </row>
    <row r="15">
      <c r="A15" t="s">
        <v>32</v>
      </c>
      <c r="B15" t="s">
        <v>300</v>
      </c>
      <c r="C15" t="s">
        <v>203</v>
      </c>
      <c r="D15" t="s">
        <v>301</v>
      </c>
      <c r="E15" t="s">
        <v>204</v>
      </c>
      <c r="F15" t="n">
        <v>0.3</v>
      </c>
      <c r="G15" t="n">
        <v>0</v>
      </c>
      <c r="H15" t="n">
        <v>0.2</v>
      </c>
      <c r="I15" t="n">
        <v>2</v>
      </c>
      <c r="J15" t="n">
        <v>1.2</v>
      </c>
      <c r="K15" t="n">
        <v>5.1</v>
      </c>
      <c r="L15" t="n">
        <v>10.6</v>
      </c>
      <c r="M15" t="n">
        <v>15.2</v>
      </c>
      <c r="N15" t="n">
        <v>23.3</v>
      </c>
      <c r="O15" t="n">
        <v>13</v>
      </c>
      <c r="P15" t="n">
        <v>25.6</v>
      </c>
      <c r="Q15" t="n">
        <v>24.2</v>
      </c>
      <c r="R15" t="n">
        <v>21.5</v>
      </c>
      <c r="S15" t="n">
        <v>38.5</v>
      </c>
      <c r="T15" t="n">
        <v>5</v>
      </c>
      <c r="U15" t="n">
        <v>2.5</v>
      </c>
      <c r="V15" t="n">
        <v>2</v>
      </c>
      <c r="W15" t="n">
        <v>3.9</v>
      </c>
      <c r="X15" t="n">
        <v>3.9</v>
      </c>
      <c r="Y15" t="n">
        <v>2.7</v>
      </c>
      <c r="Z15" t="n">
        <v>3.1</v>
      </c>
      <c r="AA15" t="n">
        <v>2.1</v>
      </c>
      <c r="AB15" t="n">
        <v>2.3</v>
      </c>
      <c r="AC15" t="n">
        <v>1.8</v>
      </c>
      <c r="AD15" t="n">
        <v>2.7</v>
      </c>
      <c r="AE15" t="n">
        <v>2.5</v>
      </c>
      <c r="AF15" t="n">
        <v>3.7</v>
      </c>
    </row>
    <row r="16">
      <c r="A16" t="s">
        <v>32</v>
      </c>
      <c r="B16" t="s">
        <v>302</v>
      </c>
      <c r="C16" t="s">
        <v>203</v>
      </c>
      <c r="D16" t="s">
        <v>303</v>
      </c>
      <c r="E16" t="s">
        <v>204</v>
      </c>
      <c r="F16" t="n">
        <v>0.1</v>
      </c>
      <c r="G16" t="n">
        <v>0</v>
      </c>
      <c r="H16" t="n">
        <v>0.1</v>
      </c>
      <c r="I16" t="n">
        <v>0.7</v>
      </c>
      <c r="J16" t="n">
        <v>0</v>
      </c>
      <c r="K16" t="n">
        <v>1</v>
      </c>
      <c r="L16" t="n">
        <v>2.9</v>
      </c>
      <c r="M16" t="n">
        <v>5.1</v>
      </c>
      <c r="N16" t="n">
        <v>7.4</v>
      </c>
      <c r="O16" t="n">
        <v>4.6</v>
      </c>
      <c r="P16" t="n">
        <v>15.2</v>
      </c>
      <c r="Q16" t="n">
        <v>12.1</v>
      </c>
      <c r="R16" t="n">
        <v>15.6</v>
      </c>
      <c r="S16" t="n">
        <v>27.5</v>
      </c>
      <c r="T16" t="n">
        <v>4</v>
      </c>
      <c r="U16" t="n">
        <v>1.8</v>
      </c>
      <c r="V16" t="n">
        <v>1.5</v>
      </c>
      <c r="W16" t="n">
        <v>2.5</v>
      </c>
      <c r="X16" t="n">
        <v>2.5</v>
      </c>
      <c r="Y16" t="n">
        <v>1.3</v>
      </c>
      <c r="Z16" t="n">
        <v>2</v>
      </c>
      <c r="AA16" t="n">
        <v>2.3</v>
      </c>
      <c r="AB16" t="n">
        <v>0.6</v>
      </c>
      <c r="AC16" t="n">
        <v>0.6</v>
      </c>
      <c r="AD16" t="n">
        <v>2.1</v>
      </c>
      <c r="AE16" t="n">
        <v>1.6</v>
      </c>
      <c r="AF16" t="n">
        <v>2.7</v>
      </c>
    </row>
    <row r="17">
      <c r="A17" t="s">
        <v>32</v>
      </c>
      <c r="B17" t="s">
        <v>304</v>
      </c>
      <c r="C17" t="s">
        <v>203</v>
      </c>
      <c r="D17" t="s">
        <v>305</v>
      </c>
      <c r="E17" t="s">
        <v>204</v>
      </c>
      <c r="F17" t="n">
        <v>0.5</v>
      </c>
      <c r="G17" t="n">
        <v>0.1</v>
      </c>
      <c r="H17" t="n">
        <v>0.3</v>
      </c>
      <c r="I17" t="n">
        <v>3.3</v>
      </c>
      <c r="J17" t="n">
        <v>1.2</v>
      </c>
      <c r="K17" t="n">
        <v>7.1</v>
      </c>
      <c r="L17" t="n">
        <v>29.8</v>
      </c>
      <c r="M17" t="n">
        <v>23.2</v>
      </c>
      <c r="N17" t="n">
        <v>22.3</v>
      </c>
      <c r="O17" t="n">
        <v>13.9</v>
      </c>
      <c r="P17" t="n">
        <v>32.3</v>
      </c>
      <c r="Q17" t="n">
        <v>31.6</v>
      </c>
      <c r="R17" t="n">
        <v>35.1</v>
      </c>
      <c r="S17" t="n">
        <v>22.9</v>
      </c>
      <c r="T17" t="n">
        <v>6</v>
      </c>
      <c r="U17" t="n">
        <v>2.9</v>
      </c>
      <c r="V17" t="n">
        <v>2.6</v>
      </c>
      <c r="W17" t="n">
        <v>3.4</v>
      </c>
      <c r="X17" t="n">
        <v>3.4</v>
      </c>
      <c r="Y17" t="n">
        <v>2.8</v>
      </c>
      <c r="Z17" t="n">
        <v>3.3</v>
      </c>
      <c r="AA17" t="n">
        <v>1.3</v>
      </c>
      <c r="AB17" t="n">
        <v>3.8</v>
      </c>
      <c r="AC17" t="n">
        <v>4.1</v>
      </c>
      <c r="AD17" t="n">
        <v>9.1</v>
      </c>
      <c r="AE17" t="n">
        <v>2.1</v>
      </c>
      <c r="AF17" t="n">
        <v>3</v>
      </c>
    </row>
    <row r="18">
      <c r="A18" t="s">
        <v>32</v>
      </c>
      <c r="B18" t="s">
        <v>306</v>
      </c>
      <c r="C18" t="s">
        <v>203</v>
      </c>
      <c r="D18" t="s">
        <v>307</v>
      </c>
      <c r="E18" t="s">
        <v>204</v>
      </c>
      <c r="F18" t="n">
        <v>0.3</v>
      </c>
      <c r="G18" t="n">
        <v>0.1</v>
      </c>
      <c r="H18" t="n">
        <v>0.2</v>
      </c>
      <c r="I18" t="n">
        <v>2</v>
      </c>
      <c r="J18" t="n">
        <v>1.2</v>
      </c>
      <c r="K18" t="n">
        <v>11.2</v>
      </c>
      <c r="L18" t="n">
        <v>1.9</v>
      </c>
      <c r="M18" t="n">
        <v>4</v>
      </c>
      <c r="N18" t="n">
        <v>4.2</v>
      </c>
      <c r="O18" t="n">
        <v>6.5</v>
      </c>
      <c r="P18" t="n">
        <v>7.6</v>
      </c>
      <c r="Q18" t="n">
        <v>17.7</v>
      </c>
      <c r="R18" t="n">
        <v>5.9</v>
      </c>
      <c r="S18" t="n">
        <v>30.2</v>
      </c>
      <c r="T18" t="n">
        <v>4</v>
      </c>
      <c r="U18" t="n">
        <v>1.5</v>
      </c>
      <c r="V18" t="n">
        <v>1.9</v>
      </c>
      <c r="W18" t="n">
        <v>2.5</v>
      </c>
      <c r="X18" t="n">
        <v>2.5</v>
      </c>
      <c r="Y18" t="n">
        <v>2.3</v>
      </c>
      <c r="Z18" t="n">
        <v>1.6</v>
      </c>
      <c r="AA18" t="n">
        <v>-1.5</v>
      </c>
      <c r="AB18" t="n">
        <v>0.3</v>
      </c>
      <c r="AC18" t="n">
        <v>2</v>
      </c>
      <c r="AD18" t="n">
        <v>3.1</v>
      </c>
      <c r="AE18" t="n">
        <v>2.1</v>
      </c>
      <c r="AF18" t="n">
        <v>0.5</v>
      </c>
    </row>
    <row r="19">
      <c r="A19" t="s">
        <v>32</v>
      </c>
      <c r="B19" t="s">
        <v>308</v>
      </c>
      <c r="C19" t="s">
        <v>203</v>
      </c>
      <c r="D19" t="s">
        <v>309</v>
      </c>
      <c r="E19" t="s">
        <v>204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16.2</v>
      </c>
      <c r="L19" t="n">
        <v>12.5</v>
      </c>
      <c r="M19" t="n">
        <v>4</v>
      </c>
      <c r="N19" t="n">
        <v>7.4</v>
      </c>
      <c r="O19" t="n">
        <v>7.4</v>
      </c>
      <c r="P19" t="n">
        <v>31.3</v>
      </c>
      <c r="Q19" t="n">
        <v>27.9</v>
      </c>
      <c r="R19" t="n">
        <v>22.4</v>
      </c>
      <c r="S19" t="n">
        <v>25.7</v>
      </c>
      <c r="T19" t="n">
        <v>9.9</v>
      </c>
      <c r="U19" t="n">
        <v>5.1</v>
      </c>
      <c r="V19" t="n">
        <v>4.2</v>
      </c>
      <c r="W19" t="n">
        <v>5.6</v>
      </c>
      <c r="X19" t="n">
        <v>5.7</v>
      </c>
      <c r="Y19" t="n">
        <v>7.2</v>
      </c>
      <c r="Z19" t="n">
        <v>9.2</v>
      </c>
      <c r="AA19" t="n">
        <v>14.5</v>
      </c>
      <c r="AB19" t="n">
        <v>8.8</v>
      </c>
      <c r="AC19" t="n">
        <v>11.5</v>
      </c>
      <c r="AD19" t="n">
        <v>11.7</v>
      </c>
      <c r="AE19" t="n">
        <v>7.5</v>
      </c>
      <c r="AF19" t="n">
        <v>9.8</v>
      </c>
    </row>
    <row r="20">
      <c r="A20" t="s">
        <v>32</v>
      </c>
      <c r="B20" t="s">
        <v>310</v>
      </c>
      <c r="C20" t="s">
        <v>203</v>
      </c>
      <c r="D20" t="s">
        <v>311</v>
      </c>
      <c r="E20" t="s">
        <v>204</v>
      </c>
      <c r="F20" t="n">
        <v>0.9</v>
      </c>
      <c r="G20" t="n">
        <v>0.2</v>
      </c>
      <c r="H20" t="n">
        <v>0.6</v>
      </c>
      <c r="I20" t="n">
        <v>5.9</v>
      </c>
      <c r="J20" t="n">
        <v>1.2</v>
      </c>
      <c r="K20" t="n">
        <v>0</v>
      </c>
      <c r="L20" t="n">
        <v>1</v>
      </c>
      <c r="M20" t="n">
        <v>95</v>
      </c>
      <c r="N20" t="n">
        <v>351.3</v>
      </c>
      <c r="O20" t="n">
        <v>163.4</v>
      </c>
      <c r="P20" t="n">
        <v>287.8</v>
      </c>
      <c r="Q20" t="n">
        <v>67.3</v>
      </c>
      <c r="R20" t="n">
        <v>279</v>
      </c>
      <c r="S20" t="n">
        <v>339.3</v>
      </c>
      <c r="T20" t="n">
        <v>102.3</v>
      </c>
      <c r="U20" t="n">
        <v>8.8</v>
      </c>
      <c r="V20" t="n">
        <v>4</v>
      </c>
      <c r="W20" t="n">
        <v>9.7</v>
      </c>
      <c r="X20" t="n">
        <v>9.9</v>
      </c>
      <c r="Y20" t="n">
        <v>9.9</v>
      </c>
      <c r="Z20" t="n">
        <v>-12</v>
      </c>
      <c r="AA20" t="n">
        <v>20.9</v>
      </c>
      <c r="AB20" t="n">
        <v>17.3</v>
      </c>
      <c r="AC20" t="n">
        <v>25.6</v>
      </c>
      <c r="AD20" t="n">
        <v>8.9</v>
      </c>
      <c r="AE20" t="n">
        <v>12.2</v>
      </c>
      <c r="AF20" t="n">
        <v>17.7</v>
      </c>
    </row>
    <row r="21">
      <c r="A21" t="s">
        <v>32</v>
      </c>
      <c r="B21" t="s">
        <v>312</v>
      </c>
      <c r="C21" t="s">
        <v>203</v>
      </c>
      <c r="D21" t="s">
        <v>313</v>
      </c>
      <c r="E21" t="s">
        <v>204</v>
      </c>
      <c r="F21" t="n">
        <v>1</v>
      </c>
      <c r="G21" t="n">
        <v>0.2</v>
      </c>
      <c r="H21" t="n">
        <v>0.7</v>
      </c>
      <c r="I21" t="n">
        <v>6.6</v>
      </c>
      <c r="J21" t="n">
        <v>4.9</v>
      </c>
      <c r="K21" t="n">
        <v>1</v>
      </c>
      <c r="L21" t="n">
        <v>3.9</v>
      </c>
      <c r="M21" t="n">
        <v>108.1</v>
      </c>
      <c r="N21" t="n">
        <v>361.9</v>
      </c>
      <c r="O21" t="n">
        <v>171.9</v>
      </c>
      <c r="P21" t="n">
        <v>318.2</v>
      </c>
      <c r="Q21" t="n">
        <v>83.1</v>
      </c>
      <c r="R21" t="n">
        <v>292.7</v>
      </c>
      <c r="S21" t="n">
        <v>353</v>
      </c>
      <c r="T21" t="n">
        <v>108.3</v>
      </c>
      <c r="U21" t="n">
        <v>20.6</v>
      </c>
      <c r="V21" t="n">
        <v>11.9</v>
      </c>
      <c r="W21" t="n">
        <v>16.2</v>
      </c>
      <c r="X21" t="n">
        <v>16.5</v>
      </c>
      <c r="Y21" t="n">
        <v>29.9</v>
      </c>
      <c r="Z21" t="n">
        <v>18.6</v>
      </c>
      <c r="AA21" t="n">
        <v>29.1</v>
      </c>
      <c r="AB21" t="n">
        <v>45.2</v>
      </c>
      <c r="AC21" t="n">
        <v>36.4</v>
      </c>
      <c r="AD21" t="n">
        <v>20.6</v>
      </c>
      <c r="AE21" t="n">
        <v>31.6</v>
      </c>
      <c r="AF21" t="n">
        <v>34.3</v>
      </c>
    </row>
    <row r="22">
      <c r="A22" t="s">
        <v>32</v>
      </c>
      <c r="B22" t="s">
        <v>314</v>
      </c>
      <c r="C22" t="s">
        <v>203</v>
      </c>
      <c r="D22" t="s">
        <v>315</v>
      </c>
      <c r="E22" t="s">
        <v>204</v>
      </c>
      <c r="F22" t="n">
        <v>0.1</v>
      </c>
      <c r="G22" t="n">
        <v>0</v>
      </c>
      <c r="H22" t="n">
        <v>0.1</v>
      </c>
      <c r="I22" t="n">
        <v>0.7</v>
      </c>
      <c r="J22" t="n">
        <v>3.7</v>
      </c>
      <c r="K22" t="n">
        <v>1</v>
      </c>
      <c r="L22" t="n">
        <v>2.9</v>
      </c>
      <c r="M22" t="n">
        <v>13.1</v>
      </c>
      <c r="N22" t="n">
        <v>10.6</v>
      </c>
      <c r="O22" t="n">
        <v>8.5</v>
      </c>
      <c r="P22" t="n">
        <v>30.4</v>
      </c>
      <c r="Q22" t="n">
        <v>15.8</v>
      </c>
      <c r="R22" t="n">
        <v>13.7</v>
      </c>
      <c r="S22" t="n">
        <v>13.7</v>
      </c>
      <c r="T22" t="n">
        <v>6</v>
      </c>
      <c r="U22" t="n">
        <v>11.8</v>
      </c>
      <c r="V22" t="n">
        <v>7.9</v>
      </c>
      <c r="W22" t="n">
        <v>6.5</v>
      </c>
      <c r="X22" t="n">
        <v>6.6</v>
      </c>
      <c r="Y22" t="n">
        <v>20</v>
      </c>
      <c r="Z22" t="n">
        <v>30.6</v>
      </c>
      <c r="AA22" t="n">
        <v>8.2</v>
      </c>
      <c r="AB22" t="n">
        <v>27.9</v>
      </c>
      <c r="AC22" t="n">
        <v>10.8</v>
      </c>
      <c r="AD22" t="n">
        <v>11.7</v>
      </c>
      <c r="AE22" t="n">
        <v>19.4</v>
      </c>
      <c r="AF22" t="n">
        <v>16.6</v>
      </c>
    </row>
    <row r="23">
      <c r="A23" t="s">
        <v>32</v>
      </c>
      <c r="B23" t="s">
        <v>316</v>
      </c>
      <c r="C23" t="s">
        <v>203</v>
      </c>
      <c r="D23" t="s">
        <v>317</v>
      </c>
      <c r="E23" t="s">
        <v>204</v>
      </c>
      <c r="F23" t="n">
        <v>0.6</v>
      </c>
      <c r="G23" t="n">
        <v>0.1</v>
      </c>
      <c r="H23" t="n">
        <v>0.4</v>
      </c>
      <c r="I23" t="n">
        <v>3.9</v>
      </c>
      <c r="J23" t="n">
        <v>13.4</v>
      </c>
      <c r="K23" t="n">
        <v>65.9</v>
      </c>
      <c r="L23" t="n">
        <v>64.5</v>
      </c>
      <c r="M23" t="n">
        <v>30.3</v>
      </c>
      <c r="N23" t="n">
        <v>54.1</v>
      </c>
      <c r="O23" t="n">
        <v>56.7</v>
      </c>
      <c r="P23" t="n">
        <v>163.4</v>
      </c>
      <c r="Q23" t="n">
        <v>186.8</v>
      </c>
      <c r="R23" t="n">
        <v>253.6</v>
      </c>
      <c r="S23" t="n">
        <v>72.4</v>
      </c>
      <c r="T23" t="n">
        <v>37</v>
      </c>
      <c r="U23" t="n">
        <v>42.6</v>
      </c>
      <c r="V23" t="n">
        <v>41.8</v>
      </c>
      <c r="W23" t="n">
        <v>53.6</v>
      </c>
      <c r="X23" t="n">
        <v>54.5</v>
      </c>
      <c r="Y23" t="n">
        <v>59.9</v>
      </c>
      <c r="Z23" t="n">
        <v>118.2</v>
      </c>
      <c r="AA23" t="n">
        <v>34.3</v>
      </c>
      <c r="AB23" t="n">
        <v>1.1</v>
      </c>
      <c r="AC23" t="n">
        <v>86.4</v>
      </c>
      <c r="AD23" t="n">
        <v>126.9</v>
      </c>
      <c r="AE23" t="n">
        <v>53.8</v>
      </c>
      <c r="AF23" t="n">
        <v>174.6</v>
      </c>
    </row>
    <row r="24">
      <c r="A24" t="s">
        <v>32</v>
      </c>
      <c r="B24" t="s">
        <v>318</v>
      </c>
      <c r="C24" t="s">
        <v>203</v>
      </c>
      <c r="D24" t="s">
        <v>319</v>
      </c>
      <c r="E24" t="s">
        <v>204</v>
      </c>
      <c r="F24" t="n">
        <v>2</v>
      </c>
      <c r="G24" t="n">
        <v>0.4</v>
      </c>
      <c r="H24" t="n">
        <v>1.2</v>
      </c>
      <c r="I24" t="n">
        <v>12.9</v>
      </c>
      <c r="J24" t="n">
        <v>60.9</v>
      </c>
      <c r="K24" t="n">
        <v>118.7</v>
      </c>
      <c r="L24" t="n">
        <v>341.4</v>
      </c>
      <c r="M24" t="n">
        <v>163.2</v>
      </c>
      <c r="N24" t="n">
        <v>253.7</v>
      </c>
      <c r="O24" t="n">
        <v>146.8</v>
      </c>
      <c r="P24" t="n">
        <v>304.8</v>
      </c>
      <c r="Q24" t="n">
        <v>271.3</v>
      </c>
      <c r="R24" t="n">
        <v>444.8</v>
      </c>
      <c r="S24" t="n">
        <v>127.4</v>
      </c>
      <c r="T24" t="n">
        <v>73.5</v>
      </c>
      <c r="U24" t="n">
        <v>130.8</v>
      </c>
      <c r="V24" t="n">
        <v>134.7</v>
      </c>
      <c r="W24" t="n">
        <v>157.3</v>
      </c>
      <c r="X24" t="n">
        <v>159.9</v>
      </c>
      <c r="Y24" t="n">
        <v>112.4</v>
      </c>
      <c r="Z24" t="n">
        <v>161.2</v>
      </c>
      <c r="AA24" t="n">
        <v>159</v>
      </c>
      <c r="AB24" t="n">
        <v>-22.4</v>
      </c>
      <c r="AC24" t="n">
        <v>178.6</v>
      </c>
      <c r="AD24" t="n">
        <v>165.9</v>
      </c>
      <c r="AE24" t="n">
        <v>160.6</v>
      </c>
      <c r="AF24" t="n">
        <v>158</v>
      </c>
    </row>
    <row r="25">
      <c r="A25" t="s">
        <v>32</v>
      </c>
      <c r="B25" t="s">
        <v>320</v>
      </c>
      <c r="C25" t="s">
        <v>203</v>
      </c>
      <c r="D25" t="s">
        <v>321</v>
      </c>
      <c r="E25" t="s">
        <v>204</v>
      </c>
      <c r="F25" t="n">
        <v>0.2</v>
      </c>
      <c r="G25" t="n">
        <v>0</v>
      </c>
      <c r="H25" t="n">
        <v>0.1</v>
      </c>
      <c r="I25" t="n">
        <v>1.3</v>
      </c>
      <c r="J25" t="n">
        <v>8.5</v>
      </c>
      <c r="K25" t="n">
        <v>11.2</v>
      </c>
      <c r="L25" t="n">
        <v>24.1</v>
      </c>
      <c r="M25" t="n">
        <v>16.2</v>
      </c>
      <c r="N25" t="n">
        <v>20.2</v>
      </c>
      <c r="O25" t="n">
        <v>17.7</v>
      </c>
      <c r="P25" t="n">
        <v>39.9</v>
      </c>
      <c r="Q25" t="n">
        <v>31.6</v>
      </c>
      <c r="R25" t="n">
        <v>31.2</v>
      </c>
      <c r="S25" t="n">
        <v>13.7</v>
      </c>
      <c r="T25" t="n">
        <v>8.9</v>
      </c>
      <c r="U25" t="n">
        <v>13.2</v>
      </c>
      <c r="V25" t="n">
        <v>22.7</v>
      </c>
      <c r="W25" t="n">
        <v>24.7</v>
      </c>
      <c r="X25" t="n">
        <v>25.1</v>
      </c>
      <c r="Y25" t="n">
        <v>18.5</v>
      </c>
      <c r="Z25" t="n">
        <v>68.5</v>
      </c>
      <c r="AA25" t="n">
        <v>49.7</v>
      </c>
      <c r="AB25" t="n">
        <v>14.1</v>
      </c>
      <c r="AC25" t="n">
        <v>-6.6</v>
      </c>
      <c r="AD25" t="n">
        <v>11.3</v>
      </c>
      <c r="AE25" t="n">
        <v>4.6</v>
      </c>
      <c r="AF25" t="n">
        <v>46.1</v>
      </c>
    </row>
    <row r="26">
      <c r="A26" t="s">
        <v>32</v>
      </c>
      <c r="B26" t="s">
        <v>322</v>
      </c>
      <c r="C26" t="s">
        <v>203</v>
      </c>
      <c r="D26" t="s">
        <v>323</v>
      </c>
      <c r="E26" t="s">
        <v>204</v>
      </c>
      <c r="F26" t="n">
        <v>1.4</v>
      </c>
      <c r="G26" t="n">
        <v>0.2</v>
      </c>
      <c r="H26" t="n">
        <v>0.9</v>
      </c>
      <c r="I26" t="n">
        <v>9</v>
      </c>
      <c r="J26" t="n">
        <v>37.8</v>
      </c>
      <c r="K26" t="n">
        <v>56.8</v>
      </c>
      <c r="L26" t="n">
        <v>239.4</v>
      </c>
      <c r="M26" t="n">
        <v>90.4</v>
      </c>
      <c r="N26" t="n">
        <v>169.8</v>
      </c>
      <c r="O26" t="n">
        <v>89.2</v>
      </c>
      <c r="P26" t="n">
        <v>188</v>
      </c>
      <c r="Q26" t="n">
        <v>169.1</v>
      </c>
      <c r="R26" t="n">
        <v>261.4</v>
      </c>
      <c r="S26" t="n">
        <v>69.7</v>
      </c>
      <c r="T26" t="n">
        <v>37.8</v>
      </c>
      <c r="U26" t="n">
        <v>80</v>
      </c>
      <c r="V26" t="n">
        <v>75.2</v>
      </c>
      <c r="W26" t="n">
        <v>104.3</v>
      </c>
      <c r="X26" t="n">
        <v>106</v>
      </c>
      <c r="Y26" t="n">
        <v>67.3</v>
      </c>
      <c r="Z26" t="n">
        <v>68.2</v>
      </c>
      <c r="AA26" t="n">
        <v>94.4</v>
      </c>
      <c r="AB26" t="n">
        <v>-58</v>
      </c>
      <c r="AC26" t="n">
        <v>148.4</v>
      </c>
      <c r="AD26" t="n">
        <v>124.8</v>
      </c>
      <c r="AE26" t="n">
        <v>113.1</v>
      </c>
      <c r="AF26" t="n">
        <v>124.7</v>
      </c>
    </row>
    <row r="27">
      <c r="A27" t="s">
        <v>32</v>
      </c>
      <c r="B27" t="s">
        <v>324</v>
      </c>
      <c r="C27" t="s">
        <v>203</v>
      </c>
      <c r="D27" t="s">
        <v>325</v>
      </c>
      <c r="E27" t="s">
        <v>204</v>
      </c>
      <c r="F27" t="n">
        <v>0.4</v>
      </c>
      <c r="G27" t="n">
        <v>0.1</v>
      </c>
      <c r="H27" t="n">
        <v>0.3</v>
      </c>
      <c r="I27" t="n">
        <v>2.6</v>
      </c>
      <c r="J27" t="n">
        <v>14.6</v>
      </c>
      <c r="K27" t="n">
        <v>50.7</v>
      </c>
      <c r="L27" t="n">
        <v>77.9</v>
      </c>
      <c r="M27" t="n">
        <v>56.6</v>
      </c>
      <c r="N27" t="n">
        <v>63.7</v>
      </c>
      <c r="O27" t="n">
        <v>39.9</v>
      </c>
      <c r="P27" t="n">
        <v>76.9</v>
      </c>
      <c r="Q27" t="n">
        <v>70.6</v>
      </c>
      <c r="R27" t="n">
        <v>152.2</v>
      </c>
      <c r="S27" t="n">
        <v>44</v>
      </c>
      <c r="T27" t="n">
        <v>26.8</v>
      </c>
      <c r="U27" t="n">
        <v>37.6</v>
      </c>
      <c r="V27" t="n">
        <v>36.8</v>
      </c>
      <c r="W27" t="n">
        <v>28.3</v>
      </c>
      <c r="X27" t="n">
        <v>28.8</v>
      </c>
      <c r="Y27" t="n">
        <v>26.6</v>
      </c>
      <c r="Z27" t="n">
        <v>24.5</v>
      </c>
      <c r="AA27" t="n">
        <v>14.9</v>
      </c>
      <c r="AB27" t="n">
        <v>21.5</v>
      </c>
      <c r="AC27" t="n">
        <v>36.8</v>
      </c>
      <c r="AD27" t="n">
        <v>29.8</v>
      </c>
      <c r="AE27" t="n">
        <v>42.9</v>
      </c>
      <c r="AF27" t="n">
        <v>-12.8</v>
      </c>
    </row>
    <row r="28">
      <c r="A28" t="s">
        <v>32</v>
      </c>
      <c r="B28" t="s">
        <v>326</v>
      </c>
      <c r="C28" t="s">
        <v>203</v>
      </c>
      <c r="D28" t="s">
        <v>327</v>
      </c>
      <c r="E28" t="s">
        <v>204</v>
      </c>
      <c r="F28" t="n">
        <v>2.6</v>
      </c>
      <c r="G28" t="n">
        <v>0.5</v>
      </c>
      <c r="H28" t="n">
        <v>1.6</v>
      </c>
      <c r="I28" t="n">
        <v>17.1</v>
      </c>
      <c r="J28" t="n">
        <v>181.7</v>
      </c>
      <c r="K28" t="n">
        <v>14.2</v>
      </c>
      <c r="L28" t="n">
        <v>23.1</v>
      </c>
      <c r="M28" t="n">
        <v>106</v>
      </c>
      <c r="N28" t="n">
        <v>89.2</v>
      </c>
      <c r="O28" t="n">
        <v>101.2</v>
      </c>
      <c r="P28" t="n">
        <v>248.7</v>
      </c>
      <c r="Q28" t="n">
        <v>246.1</v>
      </c>
      <c r="R28" t="n">
        <v>312.1</v>
      </c>
      <c r="S28" t="n">
        <v>27.4</v>
      </c>
      <c r="T28" t="n">
        <v>51.7</v>
      </c>
      <c r="U28" t="n">
        <v>199.4</v>
      </c>
      <c r="V28" t="n">
        <v>190.2</v>
      </c>
      <c r="W28" t="n">
        <v>223.6</v>
      </c>
      <c r="X28" t="n">
        <v>227.5</v>
      </c>
      <c r="Y28" t="n">
        <v>477</v>
      </c>
      <c r="Z28" t="n">
        <v>461.1</v>
      </c>
      <c r="AA28" t="n">
        <v>655.4</v>
      </c>
      <c r="AB28" t="n">
        <v>444.9</v>
      </c>
      <c r="AC28" t="n">
        <v>464.4</v>
      </c>
      <c r="AD28" t="n">
        <v>486.3</v>
      </c>
      <c r="AE28" t="n">
        <v>572.1</v>
      </c>
      <c r="AF28" t="n">
        <v>410.2</v>
      </c>
    </row>
    <row r="29">
      <c r="A29" t="s">
        <v>32</v>
      </c>
      <c r="B29" t="s">
        <v>328</v>
      </c>
      <c r="C29" t="s">
        <v>203</v>
      </c>
      <c r="D29" t="s">
        <v>329</v>
      </c>
      <c r="E29" t="s">
        <v>204</v>
      </c>
      <c r="F29" t="n">
        <v>1.4</v>
      </c>
      <c r="G29" t="n">
        <v>0.2</v>
      </c>
      <c r="H29" t="n">
        <v>0.9</v>
      </c>
      <c r="I29" t="n">
        <v>9.2</v>
      </c>
      <c r="J29" t="n">
        <v>146.3</v>
      </c>
      <c r="K29" t="n">
        <v>10.1</v>
      </c>
      <c r="L29" t="n">
        <v>17.3</v>
      </c>
      <c r="M29" t="n">
        <v>68.7</v>
      </c>
      <c r="N29" t="n">
        <v>42.5</v>
      </c>
      <c r="O29" t="n">
        <v>66.9</v>
      </c>
      <c r="P29" t="n">
        <v>189</v>
      </c>
      <c r="Q29" t="n">
        <v>170</v>
      </c>
      <c r="R29" t="n">
        <v>250.7</v>
      </c>
      <c r="S29" t="n">
        <v>12.8</v>
      </c>
      <c r="T29" t="n">
        <v>34.8</v>
      </c>
      <c r="U29" t="n">
        <v>173.3</v>
      </c>
      <c r="V29" t="n">
        <v>164.4</v>
      </c>
      <c r="W29" t="n">
        <v>179.2</v>
      </c>
      <c r="X29" t="n">
        <v>182.3</v>
      </c>
      <c r="Y29" t="n">
        <v>480.6</v>
      </c>
      <c r="Z29" t="n">
        <v>454.5</v>
      </c>
      <c r="AA29" t="n">
        <v>613.4</v>
      </c>
      <c r="AB29" t="n">
        <v>445.3</v>
      </c>
      <c r="AC29" t="n">
        <v>414.6</v>
      </c>
      <c r="AD29" t="n">
        <v>401.3</v>
      </c>
      <c r="AE29" t="n">
        <v>484.2</v>
      </c>
      <c r="AF29" t="n">
        <v>368</v>
      </c>
    </row>
    <row r="30">
      <c r="A30" t="s">
        <v>32</v>
      </c>
      <c r="B30" t="s">
        <v>330</v>
      </c>
      <c r="C30" t="s">
        <v>203</v>
      </c>
      <c r="D30" t="s">
        <v>331</v>
      </c>
      <c r="E30" t="s">
        <v>204</v>
      </c>
      <c r="F30" t="n">
        <v>0.7</v>
      </c>
      <c r="G30" t="n">
        <v>0.1</v>
      </c>
      <c r="H30" t="n">
        <v>0.4</v>
      </c>
      <c r="I30" t="n">
        <v>4.6</v>
      </c>
      <c r="J30" t="n">
        <v>4.9</v>
      </c>
      <c r="K30" t="n">
        <v>0</v>
      </c>
      <c r="L30" t="n">
        <v>1</v>
      </c>
      <c r="M30" t="n">
        <v>4</v>
      </c>
      <c r="N30" t="n">
        <v>14.9</v>
      </c>
      <c r="O30" t="n">
        <v>10.2</v>
      </c>
      <c r="P30" t="n">
        <v>23.7</v>
      </c>
      <c r="Q30" t="n">
        <v>27.9</v>
      </c>
      <c r="R30" t="n">
        <v>23.4</v>
      </c>
      <c r="S30" t="n">
        <v>0.9</v>
      </c>
      <c r="T30" t="n">
        <v>4</v>
      </c>
      <c r="U30" t="n">
        <v>3</v>
      </c>
      <c r="V30" t="n">
        <v>5.4</v>
      </c>
      <c r="W30" t="n">
        <v>4.4</v>
      </c>
      <c r="X30" t="n">
        <v>4.5</v>
      </c>
      <c r="Y30" t="n">
        <v>-1</v>
      </c>
      <c r="Z30" t="n">
        <v>3.2</v>
      </c>
      <c r="AA30" t="n">
        <v>9.1</v>
      </c>
      <c r="AB30" t="n">
        <v>15.8</v>
      </c>
      <c r="AC30" t="n">
        <v>12.6</v>
      </c>
      <c r="AD30" t="n">
        <v>8.5</v>
      </c>
      <c r="AE30" t="n">
        <v>-9.6</v>
      </c>
      <c r="AF30" t="n">
        <v>8</v>
      </c>
    </row>
    <row r="31">
      <c r="A31" t="s">
        <v>32</v>
      </c>
      <c r="B31" t="s">
        <v>332</v>
      </c>
      <c r="C31" t="s">
        <v>203</v>
      </c>
      <c r="D31" t="s">
        <v>333</v>
      </c>
      <c r="E31" t="s">
        <v>204</v>
      </c>
      <c r="F31" t="n">
        <v>0.1</v>
      </c>
      <c r="G31" t="n">
        <v>0</v>
      </c>
      <c r="H31" t="n">
        <v>0.1</v>
      </c>
      <c r="I31" t="n">
        <v>0.7</v>
      </c>
      <c r="J31" t="n">
        <v>4.9</v>
      </c>
      <c r="K31" t="n">
        <v>0</v>
      </c>
      <c r="L31" t="n">
        <v>0</v>
      </c>
      <c r="M31" t="n">
        <v>3</v>
      </c>
      <c r="N31" t="n">
        <v>10.6</v>
      </c>
      <c r="O31" t="n">
        <v>10.2</v>
      </c>
      <c r="P31" t="n">
        <v>12.3</v>
      </c>
      <c r="Q31" t="n">
        <v>20.4</v>
      </c>
      <c r="R31" t="n">
        <v>20.5</v>
      </c>
      <c r="S31" t="n">
        <v>5.5</v>
      </c>
      <c r="T31" t="n">
        <v>7.9</v>
      </c>
      <c r="U31" t="n">
        <v>7.9</v>
      </c>
      <c r="V31" t="n">
        <v>7.6</v>
      </c>
      <c r="W31" t="n">
        <v>5.1</v>
      </c>
      <c r="X31" t="n">
        <v>5.2</v>
      </c>
      <c r="Y31" t="n">
        <v>-41.4</v>
      </c>
      <c r="Z31" t="n">
        <v>-26.3</v>
      </c>
      <c r="AA31" t="n">
        <v>-1.4</v>
      </c>
      <c r="AB31" t="n">
        <v>-34.1</v>
      </c>
      <c r="AC31" t="n">
        <v>13.3</v>
      </c>
      <c r="AD31" t="n">
        <v>30.2</v>
      </c>
      <c r="AE31" t="n">
        <v>79.4</v>
      </c>
      <c r="AF31" t="n">
        <v>4.3</v>
      </c>
    </row>
    <row r="32">
      <c r="A32" t="s">
        <v>32</v>
      </c>
      <c r="B32" t="s">
        <v>334</v>
      </c>
      <c r="C32" t="s">
        <v>203</v>
      </c>
      <c r="D32" t="s">
        <v>335</v>
      </c>
      <c r="E32" t="s">
        <v>204</v>
      </c>
      <c r="F32" t="n">
        <v>0.4</v>
      </c>
      <c r="G32" t="n">
        <v>0.1</v>
      </c>
      <c r="H32" t="n">
        <v>0.3</v>
      </c>
      <c r="I32" t="n">
        <v>2.6</v>
      </c>
      <c r="J32" t="n">
        <v>25.6</v>
      </c>
      <c r="K32" t="n">
        <v>4.1</v>
      </c>
      <c r="L32" t="n">
        <v>4.8</v>
      </c>
      <c r="M32" t="n">
        <v>29.3</v>
      </c>
      <c r="N32" t="n">
        <v>19.1</v>
      </c>
      <c r="O32" t="n">
        <v>13</v>
      </c>
      <c r="P32" t="n">
        <v>20.9</v>
      </c>
      <c r="Q32" t="n">
        <v>23.2</v>
      </c>
      <c r="R32" t="n">
        <v>14.6</v>
      </c>
      <c r="S32" t="n">
        <v>7.3</v>
      </c>
      <c r="T32" t="n">
        <v>4</v>
      </c>
      <c r="U32" t="n">
        <v>12.3</v>
      </c>
      <c r="V32" t="n">
        <v>10.2</v>
      </c>
      <c r="W32" t="n">
        <v>29.3</v>
      </c>
      <c r="X32" t="n">
        <v>29.8</v>
      </c>
      <c r="Y32" t="n">
        <v>31.7</v>
      </c>
      <c r="Z32" t="n">
        <v>24.2</v>
      </c>
      <c r="AA32" t="n">
        <v>29</v>
      </c>
      <c r="AB32" t="n">
        <v>14.9</v>
      </c>
      <c r="AC32" t="n">
        <v>22.2</v>
      </c>
      <c r="AD32" t="n">
        <v>27.5</v>
      </c>
      <c r="AE32" t="n">
        <v>19.1</v>
      </c>
      <c r="AF32" t="n">
        <v>15.7</v>
      </c>
    </row>
    <row r="33">
      <c r="A33" t="s">
        <v>32</v>
      </c>
      <c r="B33" t="s">
        <v>336</v>
      </c>
      <c r="C33" t="s">
        <v>203</v>
      </c>
      <c r="D33" t="s">
        <v>337</v>
      </c>
      <c r="E33" t="s">
        <v>204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</v>
      </c>
      <c r="N33" t="n">
        <v>2.1</v>
      </c>
      <c r="O33" t="n">
        <v>0.9</v>
      </c>
      <c r="P33" t="n">
        <v>2.8</v>
      </c>
      <c r="Q33" t="n">
        <v>4.6</v>
      </c>
      <c r="R33" t="n">
        <v>2.9</v>
      </c>
      <c r="S33" t="n">
        <v>0.9</v>
      </c>
      <c r="T33" t="n">
        <v>1</v>
      </c>
      <c r="U33" t="n">
        <v>2.9</v>
      </c>
      <c r="V33" t="n">
        <v>2.6</v>
      </c>
      <c r="W33" t="n">
        <v>5.6</v>
      </c>
      <c r="X33" t="n">
        <v>5.7</v>
      </c>
      <c r="Y33" t="n">
        <v>7.1</v>
      </c>
      <c r="Z33" t="n">
        <v>5.5</v>
      </c>
      <c r="AA33" t="n">
        <v>5.3</v>
      </c>
      <c r="AB33" t="n">
        <v>3</v>
      </c>
      <c r="AC33" t="n">
        <v>1.7</v>
      </c>
      <c r="AD33" t="n">
        <v>18.8</v>
      </c>
      <c r="AE33" t="n">
        <v>-1</v>
      </c>
      <c r="AF33" t="n">
        <v>14.2</v>
      </c>
    </row>
    <row r="34">
      <c r="A34" t="s">
        <v>32</v>
      </c>
      <c r="B34" t="s">
        <v>338</v>
      </c>
      <c r="C34" t="s">
        <v>203</v>
      </c>
      <c r="D34" t="s">
        <v>339</v>
      </c>
      <c r="E34" t="s">
        <v>204</v>
      </c>
      <c r="F34" t="n">
        <v>0.2</v>
      </c>
      <c r="G34" t="n">
        <v>0</v>
      </c>
      <c r="H34" t="n">
        <v>0.1</v>
      </c>
      <c r="I34" t="n">
        <v>1.3</v>
      </c>
      <c r="J34" t="n">
        <v>2.4</v>
      </c>
      <c r="K34" t="n">
        <v>6.1</v>
      </c>
      <c r="L34" t="n">
        <v>34.6</v>
      </c>
      <c r="M34" t="n">
        <v>20.2</v>
      </c>
      <c r="N34" t="n">
        <v>24.4</v>
      </c>
      <c r="O34" t="n">
        <v>20.4</v>
      </c>
      <c r="P34" t="n">
        <v>37</v>
      </c>
      <c r="Q34" t="n">
        <v>29.7</v>
      </c>
      <c r="R34" t="n">
        <v>122.9</v>
      </c>
      <c r="S34" t="n">
        <v>25.7</v>
      </c>
      <c r="T34" t="n">
        <v>9.9</v>
      </c>
      <c r="U34" t="n">
        <v>8.2</v>
      </c>
      <c r="V34" t="n">
        <v>7.1</v>
      </c>
      <c r="W34" t="n">
        <v>10</v>
      </c>
      <c r="X34" t="n">
        <v>10.2</v>
      </c>
      <c r="Y34" t="n">
        <v>12.2</v>
      </c>
      <c r="Z34" t="n">
        <v>13.1</v>
      </c>
      <c r="AA34" t="n">
        <v>9.2</v>
      </c>
      <c r="AB34" t="n">
        <v>10.5</v>
      </c>
      <c r="AC34" t="n">
        <v>14.1</v>
      </c>
      <c r="AD34" t="n">
        <v>7.1</v>
      </c>
      <c r="AE34" t="n">
        <v>3.5</v>
      </c>
      <c r="AF34" t="n">
        <v>10.4</v>
      </c>
    </row>
    <row r="35">
      <c r="A35" t="s">
        <v>32</v>
      </c>
      <c r="B35" t="s">
        <v>340</v>
      </c>
      <c r="C35" t="s">
        <v>203</v>
      </c>
      <c r="D35" t="s">
        <v>341</v>
      </c>
      <c r="E35" t="s">
        <v>204</v>
      </c>
      <c r="F35" t="n">
        <v>1.2</v>
      </c>
      <c r="G35" t="n">
        <v>0.2</v>
      </c>
      <c r="H35" t="n">
        <v>0.8</v>
      </c>
      <c r="I35" t="n">
        <v>7.9</v>
      </c>
      <c r="J35" t="n">
        <v>3.7</v>
      </c>
      <c r="K35" t="n">
        <v>9.1</v>
      </c>
      <c r="L35" t="n">
        <v>27.9</v>
      </c>
      <c r="M35" t="n">
        <v>214.2</v>
      </c>
      <c r="N35" t="n">
        <v>155.9</v>
      </c>
      <c r="O35" t="n">
        <v>150.5</v>
      </c>
      <c r="P35" t="n">
        <v>302.9</v>
      </c>
      <c r="Q35" t="n">
        <v>205.4</v>
      </c>
      <c r="R35" t="n">
        <v>199</v>
      </c>
      <c r="S35" t="n">
        <v>126.5</v>
      </c>
      <c r="T35" t="n">
        <v>41.8</v>
      </c>
      <c r="U35" t="n">
        <v>8.4</v>
      </c>
      <c r="V35" t="n">
        <v>8.3</v>
      </c>
      <c r="W35" t="n">
        <v>13.8</v>
      </c>
      <c r="X35" t="n">
        <v>14.1</v>
      </c>
      <c r="Y35" t="n">
        <v>5.8</v>
      </c>
      <c r="Z35" t="n">
        <v>11.2</v>
      </c>
      <c r="AA35" t="n">
        <v>0.8</v>
      </c>
      <c r="AB35" t="n">
        <v>35.5</v>
      </c>
      <c r="AC35" t="n">
        <v>12.1</v>
      </c>
      <c r="AD35" t="n">
        <v>14.4</v>
      </c>
      <c r="AE35" t="n">
        <v>10.4</v>
      </c>
      <c r="AF35" t="n">
        <v>11</v>
      </c>
    </row>
    <row r="36">
      <c r="A36" t="s">
        <v>32</v>
      </c>
      <c r="B36" t="s">
        <v>342</v>
      </c>
      <c r="C36" t="s">
        <v>203</v>
      </c>
      <c r="D36" t="s">
        <v>343</v>
      </c>
      <c r="E36" t="s">
        <v>204</v>
      </c>
      <c r="F36" t="n">
        <v>1.2</v>
      </c>
      <c r="G36" t="n">
        <v>0.2</v>
      </c>
      <c r="H36" t="n">
        <v>0.8</v>
      </c>
      <c r="I36" t="n">
        <v>7.9</v>
      </c>
      <c r="J36" t="n">
        <v>3.7</v>
      </c>
      <c r="K36" t="n">
        <v>9.1</v>
      </c>
      <c r="L36" t="n">
        <v>23.1</v>
      </c>
      <c r="M36" t="n">
        <v>210.2</v>
      </c>
      <c r="N36" t="n">
        <v>119.9</v>
      </c>
      <c r="O36" t="n">
        <v>146.8</v>
      </c>
      <c r="P36" t="n">
        <v>21.8</v>
      </c>
      <c r="Q36" t="n">
        <v>16.7</v>
      </c>
      <c r="R36" t="n">
        <v>17.6</v>
      </c>
      <c r="S36" t="n">
        <v>11.9</v>
      </c>
      <c r="T36" t="n">
        <v>4</v>
      </c>
      <c r="U36" t="n">
        <v>2.4</v>
      </c>
      <c r="V36" t="n">
        <v>2</v>
      </c>
      <c r="W36" t="n">
        <v>3.2</v>
      </c>
      <c r="X36" t="n">
        <v>3.3</v>
      </c>
      <c r="Y36" t="n">
        <v>-0.5</v>
      </c>
      <c r="Z36" t="n">
        <v>4</v>
      </c>
      <c r="AA36" t="n">
        <v>0.4</v>
      </c>
      <c r="AB36" t="n">
        <v>1.6</v>
      </c>
      <c r="AC36" t="n">
        <v>1.1</v>
      </c>
      <c r="AD36" t="n">
        <v>2.8</v>
      </c>
      <c r="AE36" t="n">
        <v>2.2</v>
      </c>
      <c r="AF36" t="n">
        <v>3.2</v>
      </c>
    </row>
    <row r="37">
      <c r="A37" t="s">
        <v>32</v>
      </c>
      <c r="B37" t="s">
        <v>344</v>
      </c>
      <c r="C37" t="s">
        <v>203</v>
      </c>
      <c r="D37" t="s">
        <v>345</v>
      </c>
      <c r="E37" t="s">
        <v>204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2</v>
      </c>
      <c r="N37" t="n">
        <v>4.2</v>
      </c>
      <c r="O37" t="n">
        <v>0</v>
      </c>
      <c r="P37" t="n">
        <v>266.9</v>
      </c>
      <c r="Q37" t="n">
        <v>177.5</v>
      </c>
      <c r="R37" t="n">
        <v>173.6</v>
      </c>
      <c r="S37" t="n">
        <v>91.7</v>
      </c>
      <c r="T37" t="n">
        <v>32.8</v>
      </c>
      <c r="U37" t="n">
        <v>2.6</v>
      </c>
      <c r="V37" t="n">
        <v>1.4</v>
      </c>
      <c r="W37" t="n">
        <v>3.1</v>
      </c>
      <c r="X37" t="n">
        <v>3.1</v>
      </c>
      <c r="Y37" t="n">
        <v>-1.4</v>
      </c>
      <c r="Z37" t="n">
        <v>-2.7</v>
      </c>
      <c r="AA37" t="n">
        <v>-3.2</v>
      </c>
      <c r="AB37" t="n">
        <v>0</v>
      </c>
      <c r="AC37" t="n">
        <v>2.4</v>
      </c>
      <c r="AD37" t="n">
        <v>1.4</v>
      </c>
      <c r="AE37" t="n">
        <v>0.3</v>
      </c>
      <c r="AF37" t="n">
        <v>-2.8</v>
      </c>
    </row>
    <row r="38">
      <c r="A38" t="s">
        <v>32</v>
      </c>
      <c r="B38" t="s">
        <v>346</v>
      </c>
      <c r="C38" t="s">
        <v>203</v>
      </c>
      <c r="D38" t="s">
        <v>347</v>
      </c>
      <c r="E38" t="s">
        <v>204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4.8</v>
      </c>
      <c r="M38" t="n">
        <v>2</v>
      </c>
      <c r="N38" t="n">
        <v>31.8</v>
      </c>
      <c r="O38" t="n">
        <v>3.7</v>
      </c>
      <c r="P38" t="n">
        <v>14.2</v>
      </c>
      <c r="Q38" t="n">
        <v>11.2</v>
      </c>
      <c r="R38" t="n">
        <v>7.8</v>
      </c>
      <c r="S38" t="n">
        <v>22.9</v>
      </c>
      <c r="T38" t="n">
        <v>5</v>
      </c>
      <c r="U38" t="n">
        <v>3.5</v>
      </c>
      <c r="V38" t="n">
        <v>5</v>
      </c>
      <c r="W38" t="n">
        <v>7.5</v>
      </c>
      <c r="X38" t="n">
        <v>7.7</v>
      </c>
      <c r="Y38" t="n">
        <v>7.7</v>
      </c>
      <c r="Z38" t="n">
        <v>9.9</v>
      </c>
      <c r="AA38" t="n">
        <v>3.6</v>
      </c>
      <c r="AB38" t="n">
        <v>33.9</v>
      </c>
      <c r="AC38" t="n">
        <v>8.6</v>
      </c>
      <c r="AD38" t="n">
        <v>10.2</v>
      </c>
      <c r="AE38" t="n">
        <v>7.9</v>
      </c>
      <c r="AF38" t="n">
        <v>10.6</v>
      </c>
    </row>
    <row r="39">
      <c r="A39" t="s">
        <v>32</v>
      </c>
      <c r="B39" t="s">
        <v>348</v>
      </c>
      <c r="C39" t="s">
        <v>203</v>
      </c>
      <c r="D39" t="s">
        <v>349</v>
      </c>
      <c r="E39" t="s">
        <v>204</v>
      </c>
      <c r="F39" t="n">
        <v>0.8</v>
      </c>
      <c r="G39" t="n">
        <v>0.1</v>
      </c>
      <c r="H39" t="n">
        <v>0.5</v>
      </c>
      <c r="I39" t="n">
        <v>5.3</v>
      </c>
      <c r="J39" t="n">
        <v>6.1</v>
      </c>
      <c r="K39" t="n">
        <v>3</v>
      </c>
      <c r="L39" t="n">
        <v>4.8</v>
      </c>
      <c r="M39" t="n">
        <v>34.4</v>
      </c>
      <c r="N39" t="n">
        <v>14.9</v>
      </c>
      <c r="O39" t="n">
        <v>31.6</v>
      </c>
      <c r="P39" t="n">
        <v>7.7</v>
      </c>
      <c r="Q39" t="n">
        <v>60.4</v>
      </c>
      <c r="R39" t="n">
        <v>52.7</v>
      </c>
      <c r="S39" t="n">
        <v>44.9</v>
      </c>
      <c r="T39" t="n">
        <v>11.8</v>
      </c>
      <c r="U39" t="n">
        <v>16.2</v>
      </c>
      <c r="V39" t="n">
        <v>22.1</v>
      </c>
      <c r="W39" t="n">
        <v>37.8</v>
      </c>
      <c r="X39" t="n">
        <v>38.4</v>
      </c>
      <c r="Y39" t="n">
        <v>-17.9</v>
      </c>
      <c r="Z39" t="n">
        <v>-4.1</v>
      </c>
      <c r="AA39" t="n">
        <v>21.1</v>
      </c>
      <c r="AB39" t="n">
        <v>47.5</v>
      </c>
      <c r="AC39" t="n">
        <v>40.4</v>
      </c>
      <c r="AD39" t="n">
        <v>52.3</v>
      </c>
      <c r="AE39" t="n">
        <v>39.9</v>
      </c>
      <c r="AF39" t="n">
        <v>38</v>
      </c>
    </row>
    <row r="40">
      <c r="A40" t="s">
        <v>32</v>
      </c>
      <c r="B40" t="s">
        <v>350</v>
      </c>
      <c r="C40" t="s">
        <v>203</v>
      </c>
      <c r="D40" t="s">
        <v>351</v>
      </c>
      <c r="E40" t="s">
        <v>204</v>
      </c>
      <c r="F40" t="n">
        <v>0.1</v>
      </c>
      <c r="G40" t="n">
        <v>0</v>
      </c>
      <c r="H40" t="n">
        <v>0.1</v>
      </c>
      <c r="I40" t="n">
        <v>0.7</v>
      </c>
      <c r="J40" t="n">
        <v>0</v>
      </c>
      <c r="K40" t="n">
        <v>3</v>
      </c>
      <c r="L40" t="n">
        <v>28.9</v>
      </c>
      <c r="M40" t="n">
        <v>11.1</v>
      </c>
      <c r="N40" t="n">
        <v>2.1</v>
      </c>
      <c r="O40" t="n">
        <v>9.3</v>
      </c>
      <c r="P40" t="n">
        <v>25.6</v>
      </c>
      <c r="Q40" t="n">
        <v>30.7</v>
      </c>
      <c r="R40" t="n">
        <v>37.1</v>
      </c>
      <c r="S40" t="n">
        <v>30.2</v>
      </c>
      <c r="T40" t="n">
        <v>13.9</v>
      </c>
      <c r="U40" t="n">
        <v>10.3</v>
      </c>
      <c r="V40" t="n">
        <v>14.1</v>
      </c>
      <c r="W40" t="n">
        <v>27.2</v>
      </c>
      <c r="X40" t="n">
        <v>27.7</v>
      </c>
      <c r="Y40" t="n">
        <v>2.6</v>
      </c>
      <c r="Z40" t="n">
        <v>1.8</v>
      </c>
      <c r="AA40" t="n">
        <v>-10.9</v>
      </c>
      <c r="AB40" t="n">
        <v>-77.5</v>
      </c>
      <c r="AC40" t="n">
        <v>3.7</v>
      </c>
      <c r="AD40" t="n">
        <v>6.3</v>
      </c>
      <c r="AE40" t="n">
        <v>-8.9</v>
      </c>
      <c r="AF40" t="n">
        <v>9.8</v>
      </c>
    </row>
    <row r="41">
      <c r="A41" t="s">
        <v>32</v>
      </c>
      <c r="B41" t="s">
        <v>352</v>
      </c>
      <c r="C41" t="s">
        <v>203</v>
      </c>
      <c r="D41" t="s">
        <v>353</v>
      </c>
      <c r="E41" t="s">
        <v>204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32</v>
      </c>
      <c r="B42" t="s">
        <v>354</v>
      </c>
      <c r="C42" t="s">
        <v>203</v>
      </c>
      <c r="D42" t="s">
        <v>355</v>
      </c>
      <c r="E42" t="s">
        <v>204</v>
      </c>
      <c r="F42" t="n">
        <v>1.6</v>
      </c>
      <c r="G42" t="n">
        <v>0.3</v>
      </c>
      <c r="H42" t="n">
        <v>1</v>
      </c>
      <c r="I42" t="n">
        <v>10.5</v>
      </c>
      <c r="J42" t="n">
        <v>6.1</v>
      </c>
      <c r="K42" t="n">
        <v>39.5</v>
      </c>
      <c r="L42" t="n">
        <v>51</v>
      </c>
      <c r="M42" t="n">
        <v>15.2</v>
      </c>
      <c r="N42" t="n">
        <v>30.8</v>
      </c>
      <c r="O42" t="n">
        <v>13.9</v>
      </c>
      <c r="P42" t="n">
        <v>38</v>
      </c>
      <c r="Q42" t="n">
        <v>36.2</v>
      </c>
      <c r="R42" t="n">
        <v>34.1</v>
      </c>
      <c r="S42" t="n">
        <v>32.1</v>
      </c>
      <c r="T42" t="n">
        <v>60.6</v>
      </c>
      <c r="U42" t="n">
        <v>26.2</v>
      </c>
      <c r="V42" t="n">
        <v>22</v>
      </c>
      <c r="W42" t="n">
        <v>34.3</v>
      </c>
      <c r="X42" t="n">
        <v>34.9</v>
      </c>
      <c r="Y42" t="n">
        <v>23.6</v>
      </c>
      <c r="Z42" t="n">
        <v>19</v>
      </c>
      <c r="AA42" t="n">
        <v>1.2</v>
      </c>
      <c r="AB42" t="n">
        <v>61.4</v>
      </c>
      <c r="AC42" t="n">
        <v>-33.8</v>
      </c>
      <c r="AD42" t="n">
        <v>6.9</v>
      </c>
      <c r="AE42" t="n">
        <v>31.5</v>
      </c>
      <c r="AF42" t="n">
        <v>41.9</v>
      </c>
    </row>
    <row r="43">
      <c r="A43" t="s">
        <v>32</v>
      </c>
      <c r="B43" t="s">
        <v>356</v>
      </c>
      <c r="C43" t="s">
        <v>203</v>
      </c>
      <c r="D43" t="s">
        <v>357</v>
      </c>
      <c r="E43" t="s">
        <v>204</v>
      </c>
      <c r="F43" t="n">
        <v>1.8</v>
      </c>
      <c r="G43" t="n">
        <v>0.3</v>
      </c>
      <c r="H43" t="n">
        <v>1.1</v>
      </c>
      <c r="I43" t="n">
        <v>11.8</v>
      </c>
      <c r="J43" t="n">
        <v>13.4</v>
      </c>
      <c r="K43" t="n">
        <v>42.5</v>
      </c>
      <c r="L43" t="n">
        <v>60.6</v>
      </c>
      <c r="M43" t="n">
        <v>30.4</v>
      </c>
      <c r="N43" t="n">
        <v>84.5</v>
      </c>
      <c r="O43" t="n">
        <v>42.7</v>
      </c>
      <c r="P43" t="n">
        <v>98.8</v>
      </c>
      <c r="Q43" t="n">
        <v>84.5</v>
      </c>
      <c r="R43" t="n">
        <v>100.8</v>
      </c>
      <c r="S43" t="n">
        <v>54.1</v>
      </c>
      <c r="T43" t="n">
        <v>73.5</v>
      </c>
      <c r="U43" t="n">
        <v>50</v>
      </c>
      <c r="V43" t="n">
        <v>67.1</v>
      </c>
      <c r="W43" t="n">
        <v>87.8</v>
      </c>
      <c r="X43" t="n">
        <v>89.4</v>
      </c>
      <c r="Y43" t="n">
        <v>174.1</v>
      </c>
      <c r="Z43" t="n">
        <v>175.8</v>
      </c>
      <c r="AA43" t="n">
        <v>200.9</v>
      </c>
      <c r="AB43" t="n">
        <v>349.8</v>
      </c>
      <c r="AC43" t="n">
        <v>149</v>
      </c>
      <c r="AD43" t="n">
        <v>279.2</v>
      </c>
      <c r="AE43" t="n">
        <v>145.7</v>
      </c>
      <c r="AF43" t="n">
        <v>237.1</v>
      </c>
    </row>
    <row r="44">
      <c r="A44" t="s">
        <v>32</v>
      </c>
      <c r="B44" t="s">
        <v>358</v>
      </c>
      <c r="C44" t="s">
        <v>203</v>
      </c>
      <c r="D44" t="s">
        <v>359</v>
      </c>
      <c r="E44" t="s">
        <v>204</v>
      </c>
      <c r="F44" t="n">
        <v>18.8</v>
      </c>
      <c r="G44" t="n">
        <v>3.3</v>
      </c>
      <c r="H44" t="n">
        <v>11.9</v>
      </c>
      <c r="I44" t="n">
        <v>124.2</v>
      </c>
      <c r="J44" t="n">
        <v>329</v>
      </c>
      <c r="K44" t="n">
        <v>399.4</v>
      </c>
      <c r="L44" t="n">
        <v>803.1</v>
      </c>
      <c r="M44" t="n">
        <v>1239.3</v>
      </c>
      <c r="N44" t="n">
        <v>1633.6</v>
      </c>
      <c r="O44" t="n">
        <v>1134.2</v>
      </c>
      <c r="P44" t="n">
        <v>2384.6</v>
      </c>
      <c r="Q44" t="n">
        <v>1881.9</v>
      </c>
      <c r="R44" t="n">
        <v>2550.4</v>
      </c>
      <c r="S44" t="n">
        <v>1683.8</v>
      </c>
      <c r="T44" t="n">
        <v>624.1</v>
      </c>
      <c r="U44" t="n">
        <v>583.3</v>
      </c>
      <c r="V44" t="n">
        <v>594.5</v>
      </c>
      <c r="W44" t="n">
        <v>791.6</v>
      </c>
      <c r="X44" t="n">
        <v>804.9</v>
      </c>
      <c r="Y44" t="n">
        <v>1033.5</v>
      </c>
      <c r="Z44" t="n">
        <v>1201.2</v>
      </c>
      <c r="AA44" t="n">
        <v>1247.1</v>
      </c>
      <c r="AB44" t="n">
        <v>1095.5</v>
      </c>
      <c r="AC44" t="n">
        <v>1285.1</v>
      </c>
      <c r="AD44" t="n">
        <v>1353.6</v>
      </c>
      <c r="AE44" t="n">
        <v>1202.3</v>
      </c>
      <c r="AF44" t="n">
        <v>1293.6</v>
      </c>
    </row>
    <row r="45">
      <c r="A45" t="s">
        <v>32</v>
      </c>
      <c r="B45" t="s">
        <v>360</v>
      </c>
      <c r="C45" t="s">
        <v>203</v>
      </c>
      <c r="D45" t="s">
        <v>361</v>
      </c>
      <c r="E45" t="s">
        <v>204</v>
      </c>
      <c r="F45" t="n">
        <v>18</v>
      </c>
      <c r="G45" t="n">
        <v>3.2</v>
      </c>
      <c r="H45" t="n">
        <v>11.4</v>
      </c>
      <c r="I45" t="n">
        <v>118.9</v>
      </c>
      <c r="J45" t="n">
        <v>324.1</v>
      </c>
      <c r="K45" t="n">
        <v>380.1</v>
      </c>
      <c r="L45" t="n">
        <v>742.5</v>
      </c>
      <c r="M45" t="n">
        <v>1192.8</v>
      </c>
      <c r="N45" t="n">
        <v>1592.2</v>
      </c>
      <c r="O45" t="n">
        <v>1077.5</v>
      </c>
      <c r="P45" t="n">
        <v>2295.3</v>
      </c>
      <c r="Q45" t="n">
        <v>1819.6</v>
      </c>
      <c r="R45" t="n">
        <v>2502.6</v>
      </c>
      <c r="S45" t="n">
        <v>1501.4</v>
      </c>
      <c r="T45" t="n">
        <v>595.3</v>
      </c>
      <c r="U45" t="n">
        <v>551</v>
      </c>
      <c r="V45" t="n">
        <v>544.6</v>
      </c>
      <c r="W45" t="n">
        <v>706.3</v>
      </c>
      <c r="X45" t="n">
        <v>718.2</v>
      </c>
      <c r="Y45" t="n">
        <v>942.7</v>
      </c>
      <c r="Z45" t="n">
        <v>1075.9</v>
      </c>
      <c r="AA45" t="n">
        <v>1177.8</v>
      </c>
      <c r="AB45" t="n">
        <v>1017</v>
      </c>
      <c r="AC45" t="n">
        <v>1173.6</v>
      </c>
      <c r="AD45" t="n">
        <v>1263.5</v>
      </c>
      <c r="AE45" t="n">
        <v>1136.5</v>
      </c>
      <c r="AF45" t="n">
        <v>1193.1</v>
      </c>
    </row>
    <row r="46">
      <c r="A46" t="s">
        <v>32</v>
      </c>
      <c r="B46" t="s">
        <v>362</v>
      </c>
      <c r="C46" t="s">
        <v>203</v>
      </c>
      <c r="D46" t="s">
        <v>363</v>
      </c>
      <c r="E46" t="s">
        <v>204</v>
      </c>
      <c r="F46" t="n">
        <v>0.2</v>
      </c>
      <c r="G46" t="n">
        <v>0</v>
      </c>
      <c r="H46" t="n">
        <v>0.1</v>
      </c>
      <c r="I46" t="n">
        <v>1.3</v>
      </c>
      <c r="J46" t="n">
        <v>7.3</v>
      </c>
      <c r="K46" t="n">
        <v>3</v>
      </c>
      <c r="L46" t="n">
        <v>9.6</v>
      </c>
      <c r="M46" t="n">
        <v>15.2</v>
      </c>
      <c r="N46" t="n">
        <v>53.7</v>
      </c>
      <c r="O46" t="n">
        <v>28.8</v>
      </c>
      <c r="P46" t="n">
        <v>60.8</v>
      </c>
      <c r="Q46" t="n">
        <v>48.3</v>
      </c>
      <c r="R46" t="n">
        <v>66.7</v>
      </c>
      <c r="S46" t="n">
        <v>22</v>
      </c>
      <c r="T46" t="n">
        <v>12.9</v>
      </c>
      <c r="U46" t="n">
        <v>23.8</v>
      </c>
      <c r="V46" t="n">
        <v>45.1</v>
      </c>
      <c r="W46" t="n">
        <v>53.5</v>
      </c>
      <c r="X46" t="n">
        <v>54.5</v>
      </c>
      <c r="Y46" t="n">
        <v>150.5</v>
      </c>
      <c r="Z46" t="n">
        <v>156.8</v>
      </c>
      <c r="AA46" t="n">
        <v>199.7</v>
      </c>
      <c r="AB46" t="n">
        <v>288.4</v>
      </c>
      <c r="AC46" t="n">
        <v>182.8</v>
      </c>
      <c r="AD46" t="n">
        <v>272.3</v>
      </c>
      <c r="AE46" t="n">
        <v>114.2</v>
      </c>
      <c r="AF46" t="n">
        <v>195.2</v>
      </c>
    </row>
    <row r="47">
      <c r="A47" t="s">
        <v>32</v>
      </c>
      <c r="B47" t="s">
        <v>364</v>
      </c>
      <c r="C47" t="s">
        <v>203</v>
      </c>
      <c r="D47" t="s">
        <v>365</v>
      </c>
      <c r="E47" t="s">
        <v>204</v>
      </c>
      <c r="F47" t="n">
        <v>2.4</v>
      </c>
      <c r="G47" t="n">
        <v>0.4</v>
      </c>
      <c r="H47" t="n">
        <v>1.5</v>
      </c>
      <c r="I47" t="n">
        <v>15.8</v>
      </c>
      <c r="J47" t="n">
        <v>1.8</v>
      </c>
      <c r="K47" t="n">
        <v>14.9</v>
      </c>
      <c r="L47" t="n">
        <v>3.8</v>
      </c>
      <c r="M47" t="n">
        <v>15.2</v>
      </c>
      <c r="N47" t="n">
        <v>167.1</v>
      </c>
      <c r="O47" t="n">
        <v>38.1</v>
      </c>
      <c r="P47" t="n">
        <v>139.4</v>
      </c>
      <c r="Q47" t="n">
        <v>280.6</v>
      </c>
      <c r="R47" t="n">
        <v>600.9</v>
      </c>
      <c r="S47" t="n">
        <v>262.1</v>
      </c>
      <c r="T47" t="n">
        <v>59</v>
      </c>
      <c r="U47" t="n">
        <v>39.1</v>
      </c>
      <c r="V47" t="n">
        <v>14</v>
      </c>
      <c r="W47" t="n">
        <v>38.6</v>
      </c>
      <c r="X47" t="n">
        <v>39.3</v>
      </c>
      <c r="Y47" t="n">
        <v>361.9</v>
      </c>
      <c r="Z47" t="n">
        <v>34.8</v>
      </c>
      <c r="AA47" t="n">
        <v>68.2</v>
      </c>
      <c r="AB47" t="n">
        <v>55.2</v>
      </c>
      <c r="AC47" t="n">
        <v>110.4</v>
      </c>
      <c r="AD47" t="n">
        <v>167.9</v>
      </c>
      <c r="AE47" t="n">
        <v>90.9</v>
      </c>
      <c r="AF47" t="n">
        <v>119.3</v>
      </c>
    </row>
    <row r="48">
      <c r="A48" t="s">
        <v>32</v>
      </c>
      <c r="B48" t="s">
        <v>366</v>
      </c>
      <c r="C48" t="s">
        <v>203</v>
      </c>
      <c r="D48" t="s">
        <v>367</v>
      </c>
      <c r="E48" t="s">
        <v>204</v>
      </c>
      <c r="F48" t="n">
        <v>2.6</v>
      </c>
      <c r="G48" t="n">
        <v>0.5</v>
      </c>
      <c r="H48" t="n">
        <v>1.6</v>
      </c>
      <c r="I48" t="n">
        <v>17.1</v>
      </c>
      <c r="J48" t="n">
        <v>1.8</v>
      </c>
      <c r="K48" t="n">
        <v>32.1</v>
      </c>
      <c r="L48" t="n">
        <v>26.9</v>
      </c>
      <c r="M48" t="n">
        <v>52.6</v>
      </c>
      <c r="N48" t="n">
        <v>201</v>
      </c>
      <c r="O48" t="n">
        <v>64.1</v>
      </c>
      <c r="P48" t="n">
        <v>186</v>
      </c>
      <c r="Q48" t="n">
        <v>308.5</v>
      </c>
      <c r="R48" t="n">
        <v>664.3</v>
      </c>
      <c r="S48" t="n">
        <v>313.5</v>
      </c>
      <c r="T48" t="n">
        <v>76.9</v>
      </c>
      <c r="U48" t="n">
        <v>109.8</v>
      </c>
      <c r="V48" t="n">
        <v>40.9</v>
      </c>
      <c r="W48" t="n">
        <v>54.5</v>
      </c>
      <c r="X48" t="n">
        <v>55.4</v>
      </c>
      <c r="Y48" t="n">
        <v>366.2</v>
      </c>
      <c r="Z48" t="n">
        <v>48.8</v>
      </c>
      <c r="AA48" t="n">
        <v>81.6</v>
      </c>
      <c r="AB48" t="n">
        <v>67.5</v>
      </c>
      <c r="AC48" t="n">
        <v>152.4</v>
      </c>
      <c r="AD48" t="n">
        <v>180.2</v>
      </c>
      <c r="AE48" t="n">
        <v>110</v>
      </c>
      <c r="AF48" t="n">
        <v>136.8</v>
      </c>
    </row>
    <row r="49">
      <c r="A49" t="s">
        <v>32</v>
      </c>
      <c r="B49" t="s">
        <v>368</v>
      </c>
      <c r="C49" t="s">
        <v>203</v>
      </c>
      <c r="D49" t="s">
        <v>369</v>
      </c>
      <c r="E49" t="s">
        <v>204</v>
      </c>
      <c r="F49" t="n">
        <v>0.1</v>
      </c>
      <c r="G49" t="n">
        <v>0</v>
      </c>
      <c r="H49" t="n">
        <v>0.1</v>
      </c>
      <c r="I49" t="n">
        <v>0.7</v>
      </c>
      <c r="J49" t="n">
        <v>0</v>
      </c>
      <c r="K49" t="n">
        <v>13.2</v>
      </c>
      <c r="L49" t="n">
        <v>4.8</v>
      </c>
      <c r="M49" t="n">
        <v>4</v>
      </c>
      <c r="N49" t="n">
        <v>31.8</v>
      </c>
      <c r="O49" t="n">
        <v>8.4</v>
      </c>
      <c r="P49" t="n">
        <v>6.6</v>
      </c>
      <c r="Q49" t="n">
        <v>4.6</v>
      </c>
      <c r="R49" t="n">
        <v>30.2</v>
      </c>
      <c r="S49" t="n">
        <v>6.4</v>
      </c>
      <c r="T49" t="n">
        <v>3</v>
      </c>
      <c r="U49" t="n">
        <v>49.6</v>
      </c>
      <c r="V49" t="n">
        <v>12.1</v>
      </c>
      <c r="W49" t="n">
        <v>1.6</v>
      </c>
      <c r="X49" t="n">
        <v>1.6</v>
      </c>
      <c r="Y49" t="n">
        <v>-4</v>
      </c>
      <c r="Z49" t="n">
        <v>2.6</v>
      </c>
      <c r="AA49" t="n">
        <v>2.9</v>
      </c>
      <c r="AB49" t="n">
        <v>2.2</v>
      </c>
      <c r="AC49" t="n">
        <v>32.1</v>
      </c>
      <c r="AD49" t="n">
        <v>2.2</v>
      </c>
      <c r="AE49" t="n">
        <v>2.4</v>
      </c>
      <c r="AF49" t="n">
        <v>3.7</v>
      </c>
    </row>
    <row r="50">
      <c r="A50" t="s">
        <v>32</v>
      </c>
      <c r="B50" t="s">
        <v>370</v>
      </c>
      <c r="C50" t="s">
        <v>203</v>
      </c>
      <c r="D50" t="s">
        <v>371</v>
      </c>
      <c r="E50" t="s">
        <v>204</v>
      </c>
      <c r="F50" t="n">
        <v>0.1</v>
      </c>
      <c r="G50" t="n">
        <v>0</v>
      </c>
      <c r="H50" t="n">
        <v>0.1</v>
      </c>
      <c r="I50" t="n">
        <v>0.7</v>
      </c>
      <c r="J50" t="n">
        <v>0</v>
      </c>
      <c r="K50" t="n">
        <v>4.1</v>
      </c>
      <c r="L50" t="n">
        <v>18.3</v>
      </c>
      <c r="M50" t="n">
        <v>33.4</v>
      </c>
      <c r="N50" t="n">
        <v>2.1</v>
      </c>
      <c r="O50" t="n">
        <v>17.7</v>
      </c>
      <c r="P50" t="n">
        <v>39.9</v>
      </c>
      <c r="Q50" t="n">
        <v>23.2</v>
      </c>
      <c r="R50" t="n">
        <v>33.2</v>
      </c>
      <c r="S50" t="n">
        <v>44.9</v>
      </c>
      <c r="T50" t="n">
        <v>14.9</v>
      </c>
      <c r="U50" t="n">
        <v>21.1</v>
      </c>
      <c r="V50" t="n">
        <v>14.7</v>
      </c>
      <c r="W50" t="n">
        <v>14.2</v>
      </c>
      <c r="X50" t="n">
        <v>14.6</v>
      </c>
      <c r="Y50" t="n">
        <v>8.3</v>
      </c>
      <c r="Z50" t="n">
        <v>11.4</v>
      </c>
      <c r="AA50" t="n">
        <v>10.6</v>
      </c>
      <c r="AB50" t="n">
        <v>10.1</v>
      </c>
      <c r="AC50" t="n">
        <v>9.9</v>
      </c>
      <c r="AD50" t="n">
        <v>10.1</v>
      </c>
      <c r="AE50" t="n">
        <v>16.7</v>
      </c>
      <c r="AF50" t="n">
        <v>13.7</v>
      </c>
    </row>
    <row r="51">
      <c r="A51" t="s">
        <v>32</v>
      </c>
      <c r="B51" t="s">
        <v>372</v>
      </c>
      <c r="C51" t="s">
        <v>203</v>
      </c>
      <c r="D51" t="s">
        <v>373</v>
      </c>
      <c r="E51" t="s">
        <v>204</v>
      </c>
      <c r="F51" t="n">
        <v>0.1</v>
      </c>
      <c r="G51" t="n">
        <v>0</v>
      </c>
      <c r="H51" t="n">
        <v>0.1</v>
      </c>
      <c r="I51" t="n">
        <v>0.7</v>
      </c>
      <c r="J51" t="n">
        <v>0</v>
      </c>
      <c r="K51" t="n">
        <v>4.1</v>
      </c>
      <c r="L51" t="n">
        <v>18.3</v>
      </c>
      <c r="M51" t="n">
        <v>33.4</v>
      </c>
      <c r="N51" t="n">
        <v>0</v>
      </c>
      <c r="O51" t="n">
        <v>17.7</v>
      </c>
      <c r="P51" t="n">
        <v>38.9</v>
      </c>
      <c r="Q51" t="n">
        <v>22.3</v>
      </c>
      <c r="R51" t="n">
        <v>32.2</v>
      </c>
      <c r="S51" t="n">
        <v>44</v>
      </c>
      <c r="T51" t="n">
        <v>14.9</v>
      </c>
      <c r="U51" t="n">
        <v>20.9</v>
      </c>
      <c r="V51" t="n">
        <v>14.5</v>
      </c>
      <c r="W51" t="n">
        <v>13.7</v>
      </c>
      <c r="X51" t="n">
        <v>14</v>
      </c>
      <c r="Y51" t="n">
        <v>8.1</v>
      </c>
      <c r="Z51" t="n">
        <v>10.1</v>
      </c>
      <c r="AA51" t="n">
        <v>7.8</v>
      </c>
      <c r="AB51" t="n">
        <v>9.9</v>
      </c>
      <c r="AC51" t="n">
        <v>9.7</v>
      </c>
      <c r="AD51" t="n">
        <v>9.7</v>
      </c>
      <c r="AE51" t="n">
        <v>16.5</v>
      </c>
      <c r="AF51" t="n">
        <v>13</v>
      </c>
    </row>
    <row r="52">
      <c r="A52" t="s">
        <v>32</v>
      </c>
      <c r="B52" t="s">
        <v>374</v>
      </c>
      <c r="C52" t="s">
        <v>203</v>
      </c>
      <c r="D52" t="s">
        <v>375</v>
      </c>
      <c r="E52" t="s">
        <v>204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2.1</v>
      </c>
      <c r="O52" t="n">
        <v>0</v>
      </c>
      <c r="P52" t="n">
        <v>1</v>
      </c>
      <c r="Q52" t="n">
        <v>0.9</v>
      </c>
      <c r="R52" t="n">
        <v>1</v>
      </c>
      <c r="S52" t="n">
        <v>0.9</v>
      </c>
      <c r="T52" t="n">
        <v>0</v>
      </c>
      <c r="U52" t="n">
        <v>0.2</v>
      </c>
      <c r="V52" t="n">
        <v>0.2</v>
      </c>
      <c r="W52" t="n">
        <v>0.5</v>
      </c>
      <c r="X52" t="n">
        <v>0.6</v>
      </c>
      <c r="Y52" t="n">
        <v>0.2</v>
      </c>
      <c r="Z52" t="n">
        <v>1.3</v>
      </c>
      <c r="AA52" t="n">
        <v>2.8</v>
      </c>
      <c r="AB52" t="n">
        <v>0.2</v>
      </c>
      <c r="AC52" t="n">
        <v>0.2</v>
      </c>
      <c r="AD52" t="n">
        <v>0.4</v>
      </c>
      <c r="AE52" t="n">
        <v>0.2</v>
      </c>
      <c r="AF52" t="n">
        <v>0.7</v>
      </c>
    </row>
    <row r="53">
      <c r="A53" t="s">
        <v>32</v>
      </c>
      <c r="B53" t="s">
        <v>376</v>
      </c>
      <c r="C53" t="s">
        <v>203</v>
      </c>
      <c r="D53" t="s">
        <v>377</v>
      </c>
      <c r="E53" t="s">
        <v>204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2</v>
      </c>
      <c r="L53" t="n">
        <v>7.7</v>
      </c>
      <c r="M53" t="n">
        <v>11.1</v>
      </c>
      <c r="N53" t="n">
        <v>5.3</v>
      </c>
      <c r="O53" t="n">
        <v>3.7</v>
      </c>
      <c r="P53" t="n">
        <v>5.7</v>
      </c>
      <c r="Q53" t="n">
        <v>8.4</v>
      </c>
      <c r="R53" t="n">
        <v>8.8</v>
      </c>
      <c r="S53" t="n">
        <v>15.6</v>
      </c>
      <c r="T53" t="n">
        <v>3</v>
      </c>
      <c r="U53" t="n">
        <v>3.8</v>
      </c>
      <c r="V53" t="n">
        <v>3.9</v>
      </c>
      <c r="W53" t="n">
        <v>2.9</v>
      </c>
      <c r="X53" t="n">
        <v>3</v>
      </c>
      <c r="Y53" t="n">
        <v>1.4</v>
      </c>
      <c r="Z53" t="n">
        <v>3.5</v>
      </c>
      <c r="AA53" t="n">
        <v>2.6</v>
      </c>
      <c r="AB53" t="n">
        <v>4.1</v>
      </c>
      <c r="AC53" t="n">
        <v>17.9</v>
      </c>
      <c r="AD53" t="n">
        <v>3.3</v>
      </c>
      <c r="AE53" t="n">
        <v>3.7</v>
      </c>
      <c r="AF53" t="n">
        <v>3.7</v>
      </c>
    </row>
    <row r="54">
      <c r="A54" t="s">
        <v>32</v>
      </c>
      <c r="B54" t="s">
        <v>378</v>
      </c>
      <c r="C54" t="s">
        <v>203</v>
      </c>
      <c r="D54" t="s">
        <v>379</v>
      </c>
      <c r="E54" t="s">
        <v>204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2</v>
      </c>
      <c r="L54" t="n">
        <v>19.2</v>
      </c>
      <c r="M54" t="n">
        <v>12.1</v>
      </c>
      <c r="N54" t="n">
        <v>5.3</v>
      </c>
      <c r="O54" t="n">
        <v>4.6</v>
      </c>
      <c r="P54" t="n">
        <v>8.5</v>
      </c>
      <c r="Q54" t="n">
        <v>10.3</v>
      </c>
      <c r="R54" t="n">
        <v>11.7</v>
      </c>
      <c r="S54" t="n">
        <v>19.3</v>
      </c>
      <c r="T54" t="n">
        <v>4</v>
      </c>
      <c r="U54" t="n">
        <v>5.1</v>
      </c>
      <c r="V54" t="n">
        <v>3.9</v>
      </c>
      <c r="W54" t="n">
        <v>5.9</v>
      </c>
      <c r="X54" t="n">
        <v>6</v>
      </c>
      <c r="Y54" t="n">
        <v>4.9</v>
      </c>
      <c r="Z54" t="n">
        <v>8.6</v>
      </c>
      <c r="AA54" t="n">
        <v>5.4</v>
      </c>
      <c r="AB54" t="n">
        <v>10.6</v>
      </c>
      <c r="AC54" t="n">
        <v>25.1</v>
      </c>
      <c r="AD54" t="n">
        <v>12.5</v>
      </c>
      <c r="AE54" t="n">
        <v>11.3</v>
      </c>
      <c r="AF54" t="n">
        <v>12.4</v>
      </c>
    </row>
    <row r="55">
      <c r="A55" t="s">
        <v>32</v>
      </c>
      <c r="B55" t="s">
        <v>380</v>
      </c>
      <c r="C55" t="s">
        <v>203</v>
      </c>
      <c r="D55" t="s">
        <v>381</v>
      </c>
      <c r="E55" t="s">
        <v>204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11.5</v>
      </c>
      <c r="M55" t="n">
        <v>1</v>
      </c>
      <c r="N55" t="n">
        <v>0</v>
      </c>
      <c r="O55" t="n">
        <v>0.9</v>
      </c>
      <c r="P55" t="n">
        <v>2.8</v>
      </c>
      <c r="Q55" t="n">
        <v>1.9</v>
      </c>
      <c r="R55" t="n">
        <v>2.9</v>
      </c>
      <c r="S55" t="n">
        <v>3.7</v>
      </c>
      <c r="T55" t="n">
        <v>1</v>
      </c>
      <c r="U55" t="n">
        <v>1.3</v>
      </c>
      <c r="V55" t="n">
        <v>0</v>
      </c>
      <c r="W55" t="n">
        <v>3</v>
      </c>
      <c r="X55" t="n">
        <v>3</v>
      </c>
      <c r="Y55" t="n">
        <v>3.5</v>
      </c>
      <c r="Z55" t="n">
        <v>5.1</v>
      </c>
      <c r="AA55" t="n">
        <v>2.8</v>
      </c>
      <c r="AB55" t="n">
        <v>6.5</v>
      </c>
      <c r="AC55" t="n">
        <v>7.2</v>
      </c>
      <c r="AD55" t="n">
        <v>9.2</v>
      </c>
      <c r="AE55" t="n">
        <v>7.6</v>
      </c>
      <c r="AF55" t="n">
        <v>8.7</v>
      </c>
    </row>
    <row r="56">
      <c r="A56" t="s">
        <v>32</v>
      </c>
      <c r="B56" t="s">
        <v>382</v>
      </c>
      <c r="C56" t="s">
        <v>203</v>
      </c>
      <c r="D56" t="s">
        <v>383</v>
      </c>
      <c r="E56" t="s">
        <v>204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32</v>
      </c>
      <c r="B57" t="s">
        <v>384</v>
      </c>
      <c r="C57" t="s">
        <v>203</v>
      </c>
      <c r="D57" t="s">
        <v>385</v>
      </c>
      <c r="E57" t="s">
        <v>204</v>
      </c>
      <c r="F57" t="n">
        <v>21.5</v>
      </c>
      <c r="G57" t="n">
        <v>3.8</v>
      </c>
      <c r="H57" t="n">
        <v>13.7</v>
      </c>
      <c r="I57" t="n">
        <v>142.1</v>
      </c>
      <c r="J57" t="n">
        <v>330.8</v>
      </c>
      <c r="K57" t="n">
        <v>434.6</v>
      </c>
      <c r="L57" t="n">
        <v>858.9</v>
      </c>
      <c r="M57" t="n">
        <v>1303</v>
      </c>
      <c r="N57" t="n">
        <v>1836.7</v>
      </c>
      <c r="O57" t="n">
        <v>1207.7</v>
      </c>
      <c r="P57" t="n">
        <v>2596.1</v>
      </c>
      <c r="Q57" t="n">
        <v>2221</v>
      </c>
      <c r="R57" t="n">
        <v>3251.8</v>
      </c>
      <c r="S57" t="n">
        <v>2027.4</v>
      </c>
      <c r="T57" t="n">
        <v>714.9</v>
      </c>
      <c r="U57" t="n">
        <v>703.4</v>
      </c>
      <c r="V57" t="n">
        <v>649.4</v>
      </c>
      <c r="W57" t="n">
        <v>873.2</v>
      </c>
      <c r="X57" t="n">
        <v>888.1</v>
      </c>
      <c r="Y57" t="n">
        <v>1402.3</v>
      </c>
      <c r="Z57" t="n">
        <v>1251.8</v>
      </c>
      <c r="AA57" t="n">
        <v>1317.9</v>
      </c>
      <c r="AB57" t="n">
        <v>1085.5</v>
      </c>
      <c r="AC57" t="n">
        <v>1441.2</v>
      </c>
      <c r="AD57" t="n">
        <v>1540.1</v>
      </c>
      <c r="AE57" t="n">
        <v>1303.4</v>
      </c>
      <c r="AF57" t="n">
        <v>1440.1</v>
      </c>
    </row>
    <row r="58">
      <c r="A58" t="s">
        <v>32</v>
      </c>
      <c r="B58" t="s">
        <v>386</v>
      </c>
      <c r="C58" t="s">
        <v>203</v>
      </c>
      <c r="D58" t="s">
        <v>387</v>
      </c>
      <c r="E58" t="s">
        <v>204</v>
      </c>
      <c r="F58" t="n">
        <v>21.5</v>
      </c>
      <c r="G58" t="n">
        <v>3.7</v>
      </c>
      <c r="H58" t="n">
        <v>13.7</v>
      </c>
      <c r="I58" t="n">
        <v>142.1</v>
      </c>
      <c r="J58" t="n">
        <v>330.8</v>
      </c>
      <c r="K58" t="n">
        <v>434.6</v>
      </c>
      <c r="L58" t="n">
        <v>858.9</v>
      </c>
      <c r="M58" t="n">
        <v>1303</v>
      </c>
      <c r="N58" t="n">
        <v>1836.7</v>
      </c>
      <c r="O58" t="n">
        <v>1207.7</v>
      </c>
      <c r="P58" t="n">
        <v>2596.1</v>
      </c>
      <c r="Q58" t="n">
        <v>2221</v>
      </c>
      <c r="R58" t="n">
        <v>3251.8</v>
      </c>
      <c r="S58" t="n">
        <v>2027.4</v>
      </c>
      <c r="T58" t="n">
        <v>714.9</v>
      </c>
      <c r="U58" t="n">
        <v>703.4</v>
      </c>
      <c r="V58" t="n">
        <v>649.4</v>
      </c>
      <c r="W58" t="n">
        <v>873.2</v>
      </c>
      <c r="X58" t="n">
        <v>888.1</v>
      </c>
      <c r="Y58" t="n">
        <v>1402.3</v>
      </c>
      <c r="Z58" t="n">
        <v>1251.8</v>
      </c>
      <c r="AA58" t="n">
        <v>1317.9</v>
      </c>
      <c r="AB58" t="n">
        <v>1085.5</v>
      </c>
      <c r="AC58" t="n">
        <v>1441.2</v>
      </c>
      <c r="AD58" t="n">
        <v>1540.1</v>
      </c>
      <c r="AE58" t="n">
        <v>1303.4</v>
      </c>
      <c r="AF58" t="n">
        <v>1440.1</v>
      </c>
    </row>
    <row r="59">
      <c r="A59" t="s">
        <v>32</v>
      </c>
      <c r="B59" t="s">
        <v>388</v>
      </c>
      <c r="C59" t="s">
        <v>203</v>
      </c>
      <c r="D59" t="s">
        <v>389</v>
      </c>
      <c r="E59" t="s">
        <v>204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34</v>
      </c>
      <c r="B2" t="s">
        <v>197</v>
      </c>
      <c r="C2" t="s">
        <v>203</v>
      </c>
      <c r="D2" t="s">
        <v>199</v>
      </c>
      <c r="E2" t="s">
        <v>204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/>
      <c r="AE2"/>
      <c r="AF2"/>
    </row>
    <row r="3">
      <c r="A3" t="s">
        <v>34</v>
      </c>
      <c r="B3" t="s">
        <v>276</v>
      </c>
      <c r="C3" t="s">
        <v>203</v>
      </c>
      <c r="D3" t="s">
        <v>277</v>
      </c>
      <c r="E3" t="s">
        <v>204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/>
      <c r="AE3"/>
      <c r="AF3"/>
    </row>
    <row r="4">
      <c r="A4" t="s">
        <v>34</v>
      </c>
      <c r="B4" t="s">
        <v>278</v>
      </c>
      <c r="C4" t="s">
        <v>203</v>
      </c>
      <c r="D4" t="s">
        <v>279</v>
      </c>
      <c r="E4" t="s">
        <v>204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/>
      <c r="AE4"/>
      <c r="AF4"/>
    </row>
    <row r="5">
      <c r="A5" t="s">
        <v>34</v>
      </c>
      <c r="B5" t="s">
        <v>280</v>
      </c>
      <c r="C5" t="s">
        <v>203</v>
      </c>
      <c r="D5" t="s">
        <v>281</v>
      </c>
      <c r="E5" t="s">
        <v>204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/>
      <c r="AE5"/>
      <c r="AF5"/>
    </row>
    <row r="6">
      <c r="A6" t="s">
        <v>34</v>
      </c>
      <c r="B6" t="s">
        <v>282</v>
      </c>
      <c r="C6" t="s">
        <v>203</v>
      </c>
      <c r="D6" t="s">
        <v>283</v>
      </c>
      <c r="E6" t="s">
        <v>204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/>
      <c r="AE6"/>
      <c r="AF6"/>
    </row>
    <row r="7">
      <c r="A7" t="s">
        <v>34</v>
      </c>
      <c r="B7" t="s">
        <v>284</v>
      </c>
      <c r="C7" t="s">
        <v>203</v>
      </c>
      <c r="D7" t="s">
        <v>285</v>
      </c>
      <c r="E7" t="s">
        <v>204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/>
      <c r="AE7"/>
      <c r="AF7"/>
    </row>
    <row r="8">
      <c r="A8" t="s">
        <v>34</v>
      </c>
      <c r="B8" t="s">
        <v>286</v>
      </c>
      <c r="C8" t="s">
        <v>203</v>
      </c>
      <c r="D8" t="s">
        <v>287</v>
      </c>
      <c r="E8" t="s">
        <v>204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/>
      <c r="AE8"/>
      <c r="AF8"/>
    </row>
    <row r="9">
      <c r="A9" t="s">
        <v>34</v>
      </c>
      <c r="B9" t="s">
        <v>288</v>
      </c>
      <c r="C9" t="s">
        <v>203</v>
      </c>
      <c r="D9" t="s">
        <v>289</v>
      </c>
      <c r="E9" t="s">
        <v>204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/>
      <c r="AE9"/>
      <c r="AF9"/>
    </row>
    <row r="10">
      <c r="A10" t="s">
        <v>34</v>
      </c>
      <c r="B10" t="s">
        <v>290</v>
      </c>
      <c r="C10" t="s">
        <v>203</v>
      </c>
      <c r="D10" t="s">
        <v>291</v>
      </c>
      <c r="E10" t="s">
        <v>204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/>
      <c r="AE10"/>
      <c r="AF10"/>
    </row>
    <row r="11">
      <c r="A11" t="s">
        <v>34</v>
      </c>
      <c r="B11" t="s">
        <v>292</v>
      </c>
      <c r="C11" t="s">
        <v>203</v>
      </c>
      <c r="D11" t="s">
        <v>293</v>
      </c>
      <c r="E11" t="s">
        <v>204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/>
      <c r="AE11"/>
      <c r="AF11"/>
    </row>
    <row r="12">
      <c r="A12" t="s">
        <v>34</v>
      </c>
      <c r="B12" t="s">
        <v>294</v>
      </c>
      <c r="C12" t="s">
        <v>203</v>
      </c>
      <c r="D12" t="s">
        <v>295</v>
      </c>
      <c r="E12" t="s">
        <v>204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/>
      <c r="AE12"/>
      <c r="AF12"/>
    </row>
    <row r="13">
      <c r="A13" t="s">
        <v>34</v>
      </c>
      <c r="B13" t="s">
        <v>296</v>
      </c>
      <c r="C13" t="s">
        <v>203</v>
      </c>
      <c r="D13" t="s">
        <v>297</v>
      </c>
      <c r="E13" t="s">
        <v>204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/>
      <c r="AE13"/>
      <c r="AF13"/>
    </row>
    <row r="14">
      <c r="A14" t="s">
        <v>34</v>
      </c>
      <c r="B14" t="s">
        <v>298</v>
      </c>
      <c r="C14" t="s">
        <v>203</v>
      </c>
      <c r="D14" t="s">
        <v>299</v>
      </c>
      <c r="E14" t="s">
        <v>204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/>
      <c r="AE14"/>
      <c r="AF14"/>
    </row>
    <row r="15">
      <c r="A15" t="s">
        <v>34</v>
      </c>
      <c r="B15" t="s">
        <v>300</v>
      </c>
      <c r="C15" t="s">
        <v>203</v>
      </c>
      <c r="D15" t="s">
        <v>301</v>
      </c>
      <c r="E15" t="s">
        <v>204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/>
      <c r="AE15"/>
      <c r="AF15"/>
    </row>
    <row r="16">
      <c r="A16" t="s">
        <v>34</v>
      </c>
      <c r="B16" t="s">
        <v>302</v>
      </c>
      <c r="C16" t="s">
        <v>203</v>
      </c>
      <c r="D16" t="s">
        <v>303</v>
      </c>
      <c r="E16" t="s">
        <v>204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/>
      <c r="AE16"/>
      <c r="AF16"/>
    </row>
    <row r="17">
      <c r="A17" t="s">
        <v>34</v>
      </c>
      <c r="B17" t="s">
        <v>304</v>
      </c>
      <c r="C17" t="s">
        <v>203</v>
      </c>
      <c r="D17" t="s">
        <v>305</v>
      </c>
      <c r="E17" t="s">
        <v>204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/>
      <c r="AE17"/>
      <c r="AF17"/>
    </row>
    <row r="18">
      <c r="A18" t="s">
        <v>34</v>
      </c>
      <c r="B18" t="s">
        <v>306</v>
      </c>
      <c r="C18" t="s">
        <v>203</v>
      </c>
      <c r="D18" t="s">
        <v>307</v>
      </c>
      <c r="E18" t="s">
        <v>204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/>
      <c r="AE18"/>
      <c r="AF18"/>
    </row>
    <row r="19">
      <c r="A19" t="s">
        <v>34</v>
      </c>
      <c r="B19" t="s">
        <v>308</v>
      </c>
      <c r="C19" t="s">
        <v>203</v>
      </c>
      <c r="D19" t="s">
        <v>309</v>
      </c>
      <c r="E19" t="s">
        <v>204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/>
      <c r="AE19"/>
      <c r="AF19"/>
    </row>
    <row r="20">
      <c r="A20" t="s">
        <v>34</v>
      </c>
      <c r="B20" t="s">
        <v>310</v>
      </c>
      <c r="C20" t="s">
        <v>203</v>
      </c>
      <c r="D20" t="s">
        <v>311</v>
      </c>
      <c r="E20" t="s">
        <v>204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/>
      <c r="AE20"/>
      <c r="AF20"/>
    </row>
    <row r="21">
      <c r="A21" t="s">
        <v>34</v>
      </c>
      <c r="B21" t="s">
        <v>312</v>
      </c>
      <c r="C21" t="s">
        <v>203</v>
      </c>
      <c r="D21" t="s">
        <v>313</v>
      </c>
      <c r="E21" t="s">
        <v>204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/>
      <c r="AE21"/>
      <c r="AF21"/>
    </row>
    <row r="22">
      <c r="A22" t="s">
        <v>34</v>
      </c>
      <c r="B22" t="s">
        <v>314</v>
      </c>
      <c r="C22" t="s">
        <v>203</v>
      </c>
      <c r="D22" t="s">
        <v>315</v>
      </c>
      <c r="E22" t="s">
        <v>204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/>
      <c r="AE22"/>
      <c r="AF22"/>
    </row>
    <row r="23">
      <c r="A23" t="s">
        <v>34</v>
      </c>
      <c r="B23" t="s">
        <v>316</v>
      </c>
      <c r="C23" t="s">
        <v>203</v>
      </c>
      <c r="D23" t="s">
        <v>317</v>
      </c>
      <c r="E23" t="s">
        <v>204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/>
      <c r="AE23"/>
      <c r="AF23"/>
    </row>
    <row r="24">
      <c r="A24" t="s">
        <v>34</v>
      </c>
      <c r="B24" t="s">
        <v>318</v>
      </c>
      <c r="C24" t="s">
        <v>203</v>
      </c>
      <c r="D24" t="s">
        <v>319</v>
      </c>
      <c r="E24" t="s">
        <v>204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/>
      <c r="AE24"/>
      <c r="AF24"/>
    </row>
    <row r="25">
      <c r="A25" t="s">
        <v>34</v>
      </c>
      <c r="B25" t="s">
        <v>320</v>
      </c>
      <c r="C25" t="s">
        <v>203</v>
      </c>
      <c r="D25" t="s">
        <v>321</v>
      </c>
      <c r="E25" t="s">
        <v>204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/>
      <c r="AE25"/>
      <c r="AF25"/>
    </row>
    <row r="26">
      <c r="A26" t="s">
        <v>34</v>
      </c>
      <c r="B26" t="s">
        <v>322</v>
      </c>
      <c r="C26" t="s">
        <v>203</v>
      </c>
      <c r="D26" t="s">
        <v>323</v>
      </c>
      <c r="E26" t="s">
        <v>204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/>
      <c r="AE26"/>
      <c r="AF26"/>
    </row>
    <row r="27">
      <c r="A27" t="s">
        <v>34</v>
      </c>
      <c r="B27" t="s">
        <v>324</v>
      </c>
      <c r="C27" t="s">
        <v>203</v>
      </c>
      <c r="D27" t="s">
        <v>325</v>
      </c>
      <c r="E27" t="s">
        <v>204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/>
      <c r="AE27"/>
      <c r="AF27"/>
    </row>
    <row r="28">
      <c r="A28" t="s">
        <v>34</v>
      </c>
      <c r="B28" t="s">
        <v>326</v>
      </c>
      <c r="C28" t="s">
        <v>203</v>
      </c>
      <c r="D28" t="s">
        <v>327</v>
      </c>
      <c r="E28" t="s">
        <v>204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/>
      <c r="AE28"/>
      <c r="AF28"/>
    </row>
    <row r="29">
      <c r="A29" t="s">
        <v>34</v>
      </c>
      <c r="B29" t="s">
        <v>328</v>
      </c>
      <c r="C29" t="s">
        <v>203</v>
      </c>
      <c r="D29" t="s">
        <v>329</v>
      </c>
      <c r="E29" t="s">
        <v>204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/>
      <c r="AE29"/>
      <c r="AF29"/>
    </row>
    <row r="30">
      <c r="A30" t="s">
        <v>34</v>
      </c>
      <c r="B30" t="s">
        <v>330</v>
      </c>
      <c r="C30" t="s">
        <v>203</v>
      </c>
      <c r="D30" t="s">
        <v>331</v>
      </c>
      <c r="E30" t="s">
        <v>204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/>
      <c r="AE30"/>
      <c r="AF30"/>
    </row>
    <row r="31">
      <c r="A31" t="s">
        <v>34</v>
      </c>
      <c r="B31" t="s">
        <v>332</v>
      </c>
      <c r="C31" t="s">
        <v>203</v>
      </c>
      <c r="D31" t="s">
        <v>333</v>
      </c>
      <c r="E31" t="s">
        <v>204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/>
      <c r="AE31"/>
      <c r="AF31"/>
    </row>
    <row r="32">
      <c r="A32" t="s">
        <v>34</v>
      </c>
      <c r="B32" t="s">
        <v>334</v>
      </c>
      <c r="C32" t="s">
        <v>203</v>
      </c>
      <c r="D32" t="s">
        <v>335</v>
      </c>
      <c r="E32" t="s">
        <v>204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/>
      <c r="AE32"/>
      <c r="AF32"/>
    </row>
    <row r="33">
      <c r="A33" t="s">
        <v>34</v>
      </c>
      <c r="B33" t="s">
        <v>336</v>
      </c>
      <c r="C33" t="s">
        <v>203</v>
      </c>
      <c r="D33" t="s">
        <v>337</v>
      </c>
      <c r="E33" t="s">
        <v>204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/>
      <c r="AE33"/>
      <c r="AF33"/>
    </row>
    <row r="34">
      <c r="A34" t="s">
        <v>34</v>
      </c>
      <c r="B34" t="s">
        <v>338</v>
      </c>
      <c r="C34" t="s">
        <v>203</v>
      </c>
      <c r="D34" t="s">
        <v>339</v>
      </c>
      <c r="E34" t="s">
        <v>204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/>
      <c r="AE34"/>
      <c r="AF34"/>
    </row>
    <row r="35">
      <c r="A35" t="s">
        <v>34</v>
      </c>
      <c r="B35" t="s">
        <v>340</v>
      </c>
      <c r="C35" t="s">
        <v>203</v>
      </c>
      <c r="D35" t="s">
        <v>341</v>
      </c>
      <c r="E35" t="s">
        <v>204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/>
      <c r="AE35"/>
      <c r="AF35"/>
    </row>
    <row r="36">
      <c r="A36" t="s">
        <v>34</v>
      </c>
      <c r="B36" t="s">
        <v>342</v>
      </c>
      <c r="C36" t="s">
        <v>203</v>
      </c>
      <c r="D36" t="s">
        <v>343</v>
      </c>
      <c r="E36" t="s">
        <v>204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/>
      <c r="AE36"/>
      <c r="AF36"/>
    </row>
    <row r="37">
      <c r="A37" t="s">
        <v>34</v>
      </c>
      <c r="B37" t="s">
        <v>344</v>
      </c>
      <c r="C37" t="s">
        <v>203</v>
      </c>
      <c r="D37" t="s">
        <v>345</v>
      </c>
      <c r="E37" t="s">
        <v>204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/>
      <c r="AE37"/>
      <c r="AF37"/>
    </row>
    <row r="38">
      <c r="A38" t="s">
        <v>34</v>
      </c>
      <c r="B38" t="s">
        <v>346</v>
      </c>
      <c r="C38" t="s">
        <v>203</v>
      </c>
      <c r="D38" t="s">
        <v>347</v>
      </c>
      <c r="E38" t="s">
        <v>204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/>
      <c r="AE38"/>
      <c r="AF38"/>
    </row>
    <row r="39">
      <c r="A39" t="s">
        <v>34</v>
      </c>
      <c r="B39" t="s">
        <v>348</v>
      </c>
      <c r="C39" t="s">
        <v>203</v>
      </c>
      <c r="D39" t="s">
        <v>349</v>
      </c>
      <c r="E39" t="s">
        <v>204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/>
      <c r="AE39"/>
      <c r="AF39"/>
    </row>
    <row r="40">
      <c r="A40" t="s">
        <v>34</v>
      </c>
      <c r="B40" t="s">
        <v>350</v>
      </c>
      <c r="C40" t="s">
        <v>203</v>
      </c>
      <c r="D40" t="s">
        <v>351</v>
      </c>
      <c r="E40" t="s">
        <v>204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/>
      <c r="AE40"/>
      <c r="AF40"/>
    </row>
    <row r="41">
      <c r="A41" t="s">
        <v>34</v>
      </c>
      <c r="B41" t="s">
        <v>352</v>
      </c>
      <c r="C41" t="s">
        <v>203</v>
      </c>
      <c r="D41" t="s">
        <v>353</v>
      </c>
      <c r="E41" t="s">
        <v>204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/>
      <c r="AE41"/>
      <c r="AF41"/>
    </row>
    <row r="42">
      <c r="A42" t="s">
        <v>34</v>
      </c>
      <c r="B42" t="s">
        <v>354</v>
      </c>
      <c r="C42" t="s">
        <v>203</v>
      </c>
      <c r="D42" t="s">
        <v>355</v>
      </c>
      <c r="E42" t="s">
        <v>204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/>
      <c r="AE42"/>
      <c r="AF42"/>
    </row>
    <row r="43">
      <c r="A43" t="s">
        <v>34</v>
      </c>
      <c r="B43" t="s">
        <v>356</v>
      </c>
      <c r="C43" t="s">
        <v>203</v>
      </c>
      <c r="D43" t="s">
        <v>357</v>
      </c>
      <c r="E43" t="s">
        <v>204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/>
      <c r="AE43"/>
      <c r="AF43"/>
    </row>
    <row r="44">
      <c r="A44" t="s">
        <v>34</v>
      </c>
      <c r="B44" t="s">
        <v>358</v>
      </c>
      <c r="C44" t="s">
        <v>203</v>
      </c>
      <c r="D44" t="s">
        <v>359</v>
      </c>
      <c r="E44" t="s">
        <v>204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/>
      <c r="AE44"/>
      <c r="AF44"/>
    </row>
    <row r="45">
      <c r="A45" t="s">
        <v>34</v>
      </c>
      <c r="B45" t="s">
        <v>360</v>
      </c>
      <c r="C45" t="s">
        <v>203</v>
      </c>
      <c r="D45" t="s">
        <v>361</v>
      </c>
      <c r="E45" t="s">
        <v>204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/>
      <c r="AE45"/>
      <c r="AF45"/>
    </row>
    <row r="46">
      <c r="A46" t="s">
        <v>34</v>
      </c>
      <c r="B46" t="s">
        <v>362</v>
      </c>
      <c r="C46" t="s">
        <v>203</v>
      </c>
      <c r="D46" t="s">
        <v>363</v>
      </c>
      <c r="E46" t="s">
        <v>204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/>
      <c r="AE46"/>
      <c r="AF46"/>
    </row>
    <row r="47">
      <c r="A47" t="s">
        <v>34</v>
      </c>
      <c r="B47" t="s">
        <v>364</v>
      </c>
      <c r="C47" t="s">
        <v>203</v>
      </c>
      <c r="D47" t="s">
        <v>365</v>
      </c>
      <c r="E47" t="s">
        <v>204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/>
      <c r="AE47"/>
      <c r="AF47"/>
    </row>
    <row r="48">
      <c r="A48" t="s">
        <v>34</v>
      </c>
      <c r="B48" t="s">
        <v>366</v>
      </c>
      <c r="C48" t="s">
        <v>203</v>
      </c>
      <c r="D48" t="s">
        <v>367</v>
      </c>
      <c r="E48" t="s">
        <v>204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/>
      <c r="AE48"/>
      <c r="AF48"/>
    </row>
    <row r="49">
      <c r="A49" t="s">
        <v>34</v>
      </c>
      <c r="B49" t="s">
        <v>368</v>
      </c>
      <c r="C49" t="s">
        <v>203</v>
      </c>
      <c r="D49" t="s">
        <v>369</v>
      </c>
      <c r="E49" t="s">
        <v>204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/>
      <c r="AE49"/>
      <c r="AF49"/>
    </row>
    <row r="50">
      <c r="A50" t="s">
        <v>34</v>
      </c>
      <c r="B50" t="s">
        <v>370</v>
      </c>
      <c r="C50" t="s">
        <v>203</v>
      </c>
      <c r="D50" t="s">
        <v>371</v>
      </c>
      <c r="E50" t="s">
        <v>204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/>
      <c r="AE50"/>
      <c r="AF50"/>
    </row>
    <row r="51">
      <c r="A51" t="s">
        <v>34</v>
      </c>
      <c r="B51" t="s">
        <v>372</v>
      </c>
      <c r="C51" t="s">
        <v>203</v>
      </c>
      <c r="D51" t="s">
        <v>373</v>
      </c>
      <c r="E51" t="s">
        <v>204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/>
      <c r="AE51"/>
      <c r="AF51"/>
    </row>
    <row r="52">
      <c r="A52" t="s">
        <v>34</v>
      </c>
      <c r="B52" t="s">
        <v>374</v>
      </c>
      <c r="C52" t="s">
        <v>203</v>
      </c>
      <c r="D52" t="s">
        <v>375</v>
      </c>
      <c r="E52" t="s">
        <v>204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/>
      <c r="AE52"/>
      <c r="AF52"/>
    </row>
    <row r="53">
      <c r="A53" t="s">
        <v>34</v>
      </c>
      <c r="B53" t="s">
        <v>376</v>
      </c>
      <c r="C53" t="s">
        <v>203</v>
      </c>
      <c r="D53" t="s">
        <v>377</v>
      </c>
      <c r="E53" t="s">
        <v>204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/>
      <c r="AE53"/>
      <c r="AF53"/>
    </row>
    <row r="54">
      <c r="A54" t="s">
        <v>34</v>
      </c>
      <c r="B54" t="s">
        <v>378</v>
      </c>
      <c r="C54" t="s">
        <v>203</v>
      </c>
      <c r="D54" t="s">
        <v>379</v>
      </c>
      <c r="E54" t="s">
        <v>204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/>
      <c r="AE54"/>
      <c r="AF54"/>
    </row>
    <row r="55">
      <c r="A55" t="s">
        <v>34</v>
      </c>
      <c r="B55" t="s">
        <v>380</v>
      </c>
      <c r="C55" t="s">
        <v>203</v>
      </c>
      <c r="D55" t="s">
        <v>381</v>
      </c>
      <c r="E55" t="s">
        <v>204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/>
      <c r="AE55"/>
      <c r="AF55"/>
    </row>
    <row r="56">
      <c r="A56" t="s">
        <v>34</v>
      </c>
      <c r="B56" t="s">
        <v>382</v>
      </c>
      <c r="C56" t="s">
        <v>203</v>
      </c>
      <c r="D56" t="s">
        <v>383</v>
      </c>
      <c r="E56" t="s">
        <v>204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/>
      <c r="AE56"/>
      <c r="AF56"/>
    </row>
    <row r="57">
      <c r="A57" t="s">
        <v>34</v>
      </c>
      <c r="B57" t="s">
        <v>384</v>
      </c>
      <c r="C57" t="s">
        <v>203</v>
      </c>
      <c r="D57" t="s">
        <v>385</v>
      </c>
      <c r="E57" t="s">
        <v>204</v>
      </c>
      <c r="F57" t="n">
        <v>124.1</v>
      </c>
      <c r="G57" t="n">
        <v>22.2</v>
      </c>
      <c r="H57" t="n">
        <v>78.9</v>
      </c>
      <c r="I57" t="n">
        <v>898.4</v>
      </c>
      <c r="J57" t="n">
        <v>1585.2</v>
      </c>
      <c r="K57" t="n">
        <v>1330.1</v>
      </c>
      <c r="L57" t="n">
        <v>1532.4</v>
      </c>
      <c r="M57" t="n">
        <v>1737.6</v>
      </c>
      <c r="N57" t="n">
        <v>1772.9</v>
      </c>
      <c r="O57" t="n">
        <v>2185.4</v>
      </c>
      <c r="P57" t="n">
        <v>2461.1</v>
      </c>
      <c r="Q57" t="n">
        <v>3140.6</v>
      </c>
      <c r="R57" t="n">
        <v>4109.1</v>
      </c>
      <c r="S57" t="n">
        <v>5368.7</v>
      </c>
      <c r="T57" t="n">
        <v>3989.7</v>
      </c>
      <c r="U57" t="n">
        <v>3638.2</v>
      </c>
      <c r="V57" t="n">
        <v>4661.2</v>
      </c>
      <c r="W57" t="n">
        <v>5140.7</v>
      </c>
      <c r="X57" t="n">
        <v>5273.7</v>
      </c>
      <c r="Y57" t="n">
        <v>5583.1</v>
      </c>
      <c r="Z57" t="n">
        <v>6737.9</v>
      </c>
      <c r="AA57" t="n">
        <v>5456.4</v>
      </c>
      <c r="AB57" t="n">
        <v>6062.3</v>
      </c>
      <c r="AC57" t="n">
        <v>6700.8</v>
      </c>
      <c r="AD57" t="n">
        <v>7720.5</v>
      </c>
      <c r="AE57" t="n">
        <v>8912.3</v>
      </c>
      <c r="AF57" t="n">
        <v>8519.1</v>
      </c>
    </row>
    <row r="58">
      <c r="A58" t="s">
        <v>34</v>
      </c>
      <c r="B58" t="s">
        <v>386</v>
      </c>
      <c r="C58" t="s">
        <v>203</v>
      </c>
      <c r="D58" t="s">
        <v>387</v>
      </c>
      <c r="E58" t="s">
        <v>204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/>
      <c r="AE58"/>
      <c r="AF58"/>
    </row>
    <row r="59">
      <c r="A59" t="s">
        <v>34</v>
      </c>
      <c r="B59" t="s">
        <v>388</v>
      </c>
      <c r="C59" t="s">
        <v>203</v>
      </c>
      <c r="D59" t="s">
        <v>389</v>
      </c>
      <c r="E59" t="s">
        <v>204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36</v>
      </c>
      <c r="B2" t="s">
        <v>197</v>
      </c>
      <c r="C2" t="s">
        <v>203</v>
      </c>
      <c r="D2" t="s">
        <v>199</v>
      </c>
      <c r="E2" t="s">
        <v>204</v>
      </c>
      <c r="F2" t="n">
        <v>1.5</v>
      </c>
      <c r="G2" t="n">
        <v>0.3</v>
      </c>
      <c r="H2" t="n">
        <v>0.9</v>
      </c>
      <c r="I2" t="n">
        <v>8.3</v>
      </c>
      <c r="J2" t="n">
        <v>20.6</v>
      </c>
      <c r="K2" t="n">
        <v>43.3</v>
      </c>
      <c r="L2" t="n">
        <v>50.6</v>
      </c>
      <c r="M2" t="n">
        <v>44.5</v>
      </c>
      <c r="N2" t="n">
        <v>34.1</v>
      </c>
      <c r="O2" t="n">
        <v>59.7</v>
      </c>
      <c r="P2" t="n">
        <v>67.4</v>
      </c>
      <c r="Q2" t="n">
        <v>60.9</v>
      </c>
      <c r="R2" t="n">
        <v>59.3</v>
      </c>
      <c r="S2" t="n">
        <v>181.7</v>
      </c>
      <c r="T2" t="n">
        <v>138.2</v>
      </c>
      <c r="U2" t="n">
        <v>150.4</v>
      </c>
      <c r="V2" t="n">
        <v>130.6</v>
      </c>
      <c r="W2" t="n">
        <v>280.3</v>
      </c>
      <c r="X2" t="n">
        <v>285.1</v>
      </c>
      <c r="Y2" t="n">
        <v>431.3</v>
      </c>
      <c r="Z2" t="n">
        <v>250.8</v>
      </c>
      <c r="AA2" t="n">
        <v>202.2</v>
      </c>
      <c r="AB2" t="n">
        <v>316.4</v>
      </c>
      <c r="AC2" t="n">
        <v>335.2</v>
      </c>
      <c r="AD2" t="n">
        <v>203.2</v>
      </c>
      <c r="AE2" t="n">
        <v>210.7</v>
      </c>
      <c r="AF2" t="n">
        <v>180.7</v>
      </c>
    </row>
    <row r="3">
      <c r="A3" t="s">
        <v>36</v>
      </c>
      <c r="B3" t="s">
        <v>276</v>
      </c>
      <c r="C3" t="s">
        <v>203</v>
      </c>
      <c r="D3" t="s">
        <v>277</v>
      </c>
      <c r="E3" t="s">
        <v>204</v>
      </c>
      <c r="F3" t="n">
        <v>8.7</v>
      </c>
      <c r="G3" t="n">
        <v>1.6</v>
      </c>
      <c r="H3" t="n">
        <v>5.5</v>
      </c>
      <c r="I3" t="n">
        <v>48.9</v>
      </c>
      <c r="J3" t="n">
        <v>39.2</v>
      </c>
      <c r="K3" t="n">
        <v>98.4</v>
      </c>
      <c r="L3" t="n">
        <v>2.2</v>
      </c>
      <c r="M3" t="n">
        <v>23.4</v>
      </c>
      <c r="N3" t="n">
        <v>34.9</v>
      </c>
      <c r="O3" t="n">
        <v>53.7</v>
      </c>
      <c r="P3" t="n">
        <v>43.1</v>
      </c>
      <c r="Q3" t="n">
        <v>50.7</v>
      </c>
      <c r="R3" t="n">
        <v>45.1</v>
      </c>
      <c r="S3" t="n">
        <v>102.6</v>
      </c>
      <c r="T3" t="n">
        <v>84.9</v>
      </c>
      <c r="U3" t="n">
        <v>93.7</v>
      </c>
      <c r="V3" t="n">
        <v>78.1</v>
      </c>
      <c r="W3" t="n">
        <v>142.7</v>
      </c>
      <c r="X3" t="n">
        <v>145.1</v>
      </c>
      <c r="Y3" t="n">
        <v>275</v>
      </c>
      <c r="Z3" t="n">
        <v>-3.8</v>
      </c>
      <c r="AA3" t="n">
        <v>68.2</v>
      </c>
      <c r="AB3" t="n">
        <v>34.5</v>
      </c>
      <c r="AC3" t="n">
        <v>48.3</v>
      </c>
      <c r="AD3" t="n">
        <v>82.5</v>
      </c>
      <c r="AE3" t="n">
        <v>88.4</v>
      </c>
      <c r="AF3" t="n">
        <v>23.5</v>
      </c>
    </row>
    <row r="4">
      <c r="A4" t="s">
        <v>36</v>
      </c>
      <c r="B4" t="s">
        <v>278</v>
      </c>
      <c r="C4" t="s">
        <v>203</v>
      </c>
      <c r="D4" t="s">
        <v>279</v>
      </c>
      <c r="E4" t="s">
        <v>204</v>
      </c>
      <c r="F4" t="n">
        <v>17.3</v>
      </c>
      <c r="G4" t="n">
        <v>3.1</v>
      </c>
      <c r="H4" t="n">
        <v>11</v>
      </c>
      <c r="I4" t="n">
        <v>97.1</v>
      </c>
      <c r="J4" t="n">
        <v>157.3</v>
      </c>
      <c r="K4" t="n">
        <v>304.3</v>
      </c>
      <c r="L4" t="n">
        <v>491</v>
      </c>
      <c r="M4" t="n">
        <v>298.7</v>
      </c>
      <c r="N4" t="n">
        <v>329</v>
      </c>
      <c r="O4" t="n">
        <v>453.7</v>
      </c>
      <c r="P4" t="n">
        <v>497.3</v>
      </c>
      <c r="Q4" t="n">
        <v>555.2</v>
      </c>
      <c r="R4" t="n">
        <v>559.5</v>
      </c>
      <c r="S4" t="n">
        <v>633.7</v>
      </c>
      <c r="T4" t="n">
        <v>1052.3</v>
      </c>
      <c r="U4" t="n">
        <v>656.6</v>
      </c>
      <c r="V4" t="n">
        <v>523.3</v>
      </c>
      <c r="W4" t="n">
        <v>901.3</v>
      </c>
      <c r="X4" t="n">
        <v>916.6</v>
      </c>
      <c r="Y4" t="n">
        <v>840</v>
      </c>
      <c r="Z4" t="n">
        <v>1447</v>
      </c>
      <c r="AA4" t="n">
        <v>1155.2</v>
      </c>
      <c r="AB4" t="n">
        <v>1173.9</v>
      </c>
      <c r="AC4" t="n">
        <v>953.8</v>
      </c>
      <c r="AD4" t="n">
        <v>722.9</v>
      </c>
      <c r="AE4" t="n">
        <v>679.8</v>
      </c>
      <c r="AF4" t="n">
        <v>667.4</v>
      </c>
    </row>
    <row r="5">
      <c r="A5" t="s">
        <v>36</v>
      </c>
      <c r="B5" t="s">
        <v>280</v>
      </c>
      <c r="C5" t="s">
        <v>203</v>
      </c>
      <c r="D5" t="s">
        <v>281</v>
      </c>
      <c r="E5" t="s">
        <v>204</v>
      </c>
      <c r="F5" t="n">
        <v>4.2</v>
      </c>
      <c r="G5" t="n">
        <v>0.7</v>
      </c>
      <c r="H5" t="n">
        <v>2.7</v>
      </c>
      <c r="I5" t="n">
        <v>23.5</v>
      </c>
      <c r="J5" t="n">
        <v>31</v>
      </c>
      <c r="K5" t="n">
        <v>18.5</v>
      </c>
      <c r="L5" t="n">
        <v>88.2</v>
      </c>
      <c r="M5" t="n">
        <v>65.6</v>
      </c>
      <c r="N5" t="n">
        <v>84.7</v>
      </c>
      <c r="O5" t="n">
        <v>124.1</v>
      </c>
      <c r="P5" t="n">
        <v>125.5</v>
      </c>
      <c r="Q5" t="n">
        <v>143.2</v>
      </c>
      <c r="R5" t="n">
        <v>148</v>
      </c>
      <c r="S5" t="n">
        <v>158.1</v>
      </c>
      <c r="T5" t="n">
        <v>158</v>
      </c>
      <c r="U5" t="n">
        <v>169.6</v>
      </c>
      <c r="V5" t="n">
        <v>124.6</v>
      </c>
      <c r="W5" t="n">
        <v>189.5</v>
      </c>
      <c r="X5" t="n">
        <v>192.7</v>
      </c>
      <c r="Y5" t="n">
        <v>289.4</v>
      </c>
      <c r="Z5" t="n">
        <v>148</v>
      </c>
      <c r="AA5" t="n">
        <v>149.2</v>
      </c>
      <c r="AB5" t="n">
        <v>184.6</v>
      </c>
      <c r="AC5" t="n">
        <v>202.7</v>
      </c>
      <c r="AD5" t="n">
        <v>180</v>
      </c>
      <c r="AE5" t="n">
        <v>142.2</v>
      </c>
      <c r="AF5" t="n">
        <v>76.8</v>
      </c>
    </row>
    <row r="6">
      <c r="A6" t="s">
        <v>36</v>
      </c>
      <c r="B6" t="s">
        <v>282</v>
      </c>
      <c r="C6" t="s">
        <v>203</v>
      </c>
      <c r="D6" t="s">
        <v>283</v>
      </c>
      <c r="E6" t="s">
        <v>204</v>
      </c>
      <c r="F6" t="n">
        <v>1.1</v>
      </c>
      <c r="G6" t="n">
        <v>0.2</v>
      </c>
      <c r="H6" t="n">
        <v>0.7</v>
      </c>
      <c r="I6" t="n">
        <v>6</v>
      </c>
      <c r="J6" t="n">
        <v>14.6</v>
      </c>
      <c r="K6" t="n">
        <v>39.1</v>
      </c>
      <c r="L6" t="n">
        <v>36.9</v>
      </c>
      <c r="M6" t="n">
        <v>39</v>
      </c>
      <c r="N6" t="n">
        <v>60.7</v>
      </c>
      <c r="O6" t="n">
        <v>52</v>
      </c>
      <c r="P6" t="n">
        <v>50.9</v>
      </c>
      <c r="Q6" t="n">
        <v>77.2</v>
      </c>
      <c r="R6" t="n">
        <v>43.8</v>
      </c>
      <c r="S6" t="n">
        <v>39.1</v>
      </c>
      <c r="T6" t="n">
        <v>43.4</v>
      </c>
      <c r="U6" t="n">
        <v>36.5</v>
      </c>
      <c r="V6" t="n">
        <v>36.7</v>
      </c>
      <c r="W6" t="n">
        <v>47.9</v>
      </c>
      <c r="X6" t="n">
        <v>48.7</v>
      </c>
      <c r="Y6" t="n">
        <v>34.1</v>
      </c>
      <c r="Z6" t="n">
        <v>31</v>
      </c>
      <c r="AA6" t="n">
        <v>103.7</v>
      </c>
      <c r="AB6" t="n">
        <v>74.6</v>
      </c>
      <c r="AC6" t="n">
        <v>25.2</v>
      </c>
      <c r="AD6" t="n">
        <v>43.2</v>
      </c>
      <c r="AE6" t="n">
        <v>32.8</v>
      </c>
      <c r="AF6" t="n">
        <v>12.3</v>
      </c>
    </row>
    <row r="7">
      <c r="A7" t="s">
        <v>36</v>
      </c>
      <c r="B7" t="s">
        <v>284</v>
      </c>
      <c r="C7" t="s">
        <v>203</v>
      </c>
      <c r="D7" t="s">
        <v>285</v>
      </c>
      <c r="E7" t="s">
        <v>204</v>
      </c>
      <c r="F7" t="n">
        <v>0.7</v>
      </c>
      <c r="G7" t="n">
        <v>0.1</v>
      </c>
      <c r="H7" t="n">
        <v>0.5</v>
      </c>
      <c r="I7" t="n">
        <v>4.1</v>
      </c>
      <c r="J7" t="n">
        <v>12</v>
      </c>
      <c r="K7" t="n">
        <v>25.9</v>
      </c>
      <c r="L7" t="n">
        <v>33.4</v>
      </c>
      <c r="M7" t="n">
        <v>14.2</v>
      </c>
      <c r="N7" t="n">
        <v>14.6</v>
      </c>
      <c r="O7" t="n">
        <v>25.1</v>
      </c>
      <c r="P7" t="n">
        <v>18.5</v>
      </c>
      <c r="Q7" t="n">
        <v>17.5</v>
      </c>
      <c r="R7" t="n">
        <v>25.7</v>
      </c>
      <c r="S7" t="n">
        <v>21.2</v>
      </c>
      <c r="T7" t="n">
        <v>41.5</v>
      </c>
      <c r="U7" t="n">
        <v>33</v>
      </c>
      <c r="V7" t="n">
        <v>20.4</v>
      </c>
      <c r="W7" t="n">
        <v>61.1</v>
      </c>
      <c r="X7" t="n">
        <v>62.1</v>
      </c>
      <c r="Y7" t="n">
        <v>47.3</v>
      </c>
      <c r="Z7" t="n">
        <v>38.3</v>
      </c>
      <c r="AA7" t="n">
        <v>28.6</v>
      </c>
      <c r="AB7" t="n">
        <v>162.4</v>
      </c>
      <c r="AC7" t="n">
        <v>185.1</v>
      </c>
      <c r="AD7" t="n">
        <v>43.7</v>
      </c>
      <c r="AE7" t="n">
        <v>71.3</v>
      </c>
      <c r="AF7" t="n">
        <v>69.2</v>
      </c>
    </row>
    <row r="8">
      <c r="A8" t="s">
        <v>36</v>
      </c>
      <c r="B8" t="s">
        <v>286</v>
      </c>
      <c r="C8" t="s">
        <v>203</v>
      </c>
      <c r="D8" t="s">
        <v>287</v>
      </c>
      <c r="E8" t="s">
        <v>204</v>
      </c>
      <c r="F8" t="n">
        <v>1.9</v>
      </c>
      <c r="G8" t="n">
        <v>0.3</v>
      </c>
      <c r="H8" t="n">
        <v>1.2</v>
      </c>
      <c r="I8" t="n">
        <v>10.7</v>
      </c>
      <c r="J8" t="n">
        <v>10.2</v>
      </c>
      <c r="K8" t="n">
        <v>4.1</v>
      </c>
      <c r="L8" t="n">
        <v>0.2</v>
      </c>
      <c r="M8" t="n">
        <v>12.8</v>
      </c>
      <c r="N8" t="n">
        <v>36.3</v>
      </c>
      <c r="O8" t="n">
        <v>30.3</v>
      </c>
      <c r="P8" t="n">
        <v>47.8</v>
      </c>
      <c r="Q8" t="n">
        <v>35</v>
      </c>
      <c r="R8" t="n">
        <v>39.4</v>
      </c>
      <c r="S8" t="n">
        <v>63.5</v>
      </c>
      <c r="T8" t="n">
        <v>345.5</v>
      </c>
      <c r="U8" t="n">
        <v>53.1</v>
      </c>
      <c r="V8" t="n">
        <v>41.6</v>
      </c>
      <c r="W8" t="n">
        <v>91.9</v>
      </c>
      <c r="X8" t="n">
        <v>93.5</v>
      </c>
      <c r="Y8" t="n">
        <v>-23</v>
      </c>
      <c r="Z8" t="n">
        <v>752.7</v>
      </c>
      <c r="AA8" t="n">
        <v>304.3</v>
      </c>
      <c r="AB8" t="n">
        <v>75.9</v>
      </c>
      <c r="AC8" t="n">
        <v>37.4</v>
      </c>
      <c r="AD8" t="n">
        <v>3.8</v>
      </c>
      <c r="AE8" t="n">
        <v>40.3</v>
      </c>
      <c r="AF8" t="n">
        <v>8.7</v>
      </c>
    </row>
    <row r="9">
      <c r="A9" t="s">
        <v>36</v>
      </c>
      <c r="B9" t="s">
        <v>288</v>
      </c>
      <c r="C9" t="s">
        <v>203</v>
      </c>
      <c r="D9" t="s">
        <v>289</v>
      </c>
      <c r="E9" t="s">
        <v>204</v>
      </c>
      <c r="F9" t="n">
        <v>2</v>
      </c>
      <c r="G9" t="n">
        <v>0.4</v>
      </c>
      <c r="H9" t="n">
        <v>1.3</v>
      </c>
      <c r="I9" t="n">
        <v>11.2</v>
      </c>
      <c r="J9" t="n">
        <v>15.7</v>
      </c>
      <c r="K9" t="n">
        <v>11.2</v>
      </c>
      <c r="L9" t="n">
        <v>3.3</v>
      </c>
      <c r="M9" t="n">
        <v>19.9</v>
      </c>
      <c r="N9" t="n">
        <v>11.5</v>
      </c>
      <c r="O9" t="n">
        <v>10.7</v>
      </c>
      <c r="P9" t="n">
        <v>12.7</v>
      </c>
      <c r="Q9" t="n">
        <v>11.8</v>
      </c>
      <c r="R9" t="n">
        <v>20</v>
      </c>
      <c r="S9" t="n">
        <v>26.1</v>
      </c>
      <c r="T9" t="n">
        <v>57.3</v>
      </c>
      <c r="U9" t="n">
        <v>33.1</v>
      </c>
      <c r="V9" t="n">
        <v>22.3</v>
      </c>
      <c r="W9" t="n">
        <v>61.5</v>
      </c>
      <c r="X9" t="n">
        <v>62.6</v>
      </c>
      <c r="Y9" t="n">
        <v>144.2</v>
      </c>
      <c r="Z9" t="n">
        <v>33.2</v>
      </c>
      <c r="AA9" t="n">
        <v>56.6</v>
      </c>
      <c r="AB9" t="n">
        <v>121.3</v>
      </c>
      <c r="AC9" t="n">
        <v>35.3</v>
      </c>
      <c r="AD9" t="n">
        <v>30.9</v>
      </c>
      <c r="AE9" t="n">
        <v>44.4</v>
      </c>
      <c r="AF9" t="n">
        <v>43.3</v>
      </c>
    </row>
    <row r="10">
      <c r="A10" t="s">
        <v>36</v>
      </c>
      <c r="B10" t="s">
        <v>290</v>
      </c>
      <c r="C10" t="s">
        <v>203</v>
      </c>
      <c r="D10" t="s">
        <v>291</v>
      </c>
      <c r="E10" t="s">
        <v>204</v>
      </c>
      <c r="F10" t="n">
        <v>2.1</v>
      </c>
      <c r="G10" t="n">
        <v>0.4</v>
      </c>
      <c r="H10" t="n">
        <v>1.3</v>
      </c>
      <c r="I10" t="n">
        <v>11.6</v>
      </c>
      <c r="J10" t="n">
        <v>18.6</v>
      </c>
      <c r="K10" t="n">
        <v>11.9</v>
      </c>
      <c r="L10" t="n">
        <v>3.5</v>
      </c>
      <c r="M10" t="n">
        <v>38.8</v>
      </c>
      <c r="N10" t="n">
        <v>30.2</v>
      </c>
      <c r="O10" t="n">
        <v>30.7</v>
      </c>
      <c r="P10" t="n">
        <v>30.7</v>
      </c>
      <c r="Q10" t="n">
        <v>23.6</v>
      </c>
      <c r="R10" t="n">
        <v>37.5</v>
      </c>
      <c r="S10" t="n">
        <v>76.6</v>
      </c>
      <c r="T10" t="n">
        <v>61.2</v>
      </c>
      <c r="U10" t="n">
        <v>60.8</v>
      </c>
      <c r="V10" t="n">
        <v>67.4</v>
      </c>
      <c r="W10" t="n">
        <v>113.8</v>
      </c>
      <c r="X10" t="n">
        <v>115.8</v>
      </c>
      <c r="Y10" t="n">
        <v>166.4</v>
      </c>
      <c r="Z10" t="n">
        <v>46.8</v>
      </c>
      <c r="AA10" t="n">
        <v>88.6</v>
      </c>
      <c r="AB10" t="n">
        <v>185.5</v>
      </c>
      <c r="AC10" t="n">
        <v>112</v>
      </c>
      <c r="AD10" t="n">
        <v>94.5</v>
      </c>
      <c r="AE10" t="n">
        <v>86.6</v>
      </c>
      <c r="AF10" t="n">
        <v>103.3</v>
      </c>
    </row>
    <row r="11">
      <c r="A11" t="s">
        <v>36</v>
      </c>
      <c r="B11" t="s">
        <v>292</v>
      </c>
      <c r="C11" t="s">
        <v>203</v>
      </c>
      <c r="D11" t="s">
        <v>293</v>
      </c>
      <c r="E11" t="s">
        <v>204</v>
      </c>
      <c r="F11" t="n">
        <v>0</v>
      </c>
      <c r="G11" t="n">
        <v>0</v>
      </c>
      <c r="H11" t="n">
        <v>0</v>
      </c>
      <c r="I11" t="n">
        <v>0.4</v>
      </c>
      <c r="J11" t="n">
        <v>2.9</v>
      </c>
      <c r="K11" t="n">
        <v>0.7</v>
      </c>
      <c r="L11" t="n">
        <v>0.2</v>
      </c>
      <c r="M11" t="n">
        <v>18.9</v>
      </c>
      <c r="N11" t="n">
        <v>18.7</v>
      </c>
      <c r="O11" t="n">
        <v>20</v>
      </c>
      <c r="P11" t="n">
        <v>18</v>
      </c>
      <c r="Q11" t="n">
        <v>11.8</v>
      </c>
      <c r="R11" t="n">
        <v>17.5</v>
      </c>
      <c r="S11" t="n">
        <v>50.5</v>
      </c>
      <c r="T11" t="n">
        <v>3.9</v>
      </c>
      <c r="U11" t="n">
        <v>27.7</v>
      </c>
      <c r="V11" t="n">
        <v>45.1</v>
      </c>
      <c r="W11" t="n">
        <v>52.3</v>
      </c>
      <c r="X11" t="n">
        <v>53.2</v>
      </c>
      <c r="Y11" t="n">
        <v>22.2</v>
      </c>
      <c r="Z11" t="n">
        <v>13.6</v>
      </c>
      <c r="AA11" t="n">
        <v>32</v>
      </c>
      <c r="AB11" t="n">
        <v>64.2</v>
      </c>
      <c r="AC11" t="n">
        <v>76.7</v>
      </c>
      <c r="AD11" t="n">
        <v>63.6</v>
      </c>
      <c r="AE11" t="n">
        <v>42.2</v>
      </c>
      <c r="AF11" t="n">
        <v>60</v>
      </c>
    </row>
    <row r="12">
      <c r="A12" t="s">
        <v>36</v>
      </c>
      <c r="B12" t="s">
        <v>294</v>
      </c>
      <c r="C12" t="s">
        <v>203</v>
      </c>
      <c r="D12" t="s">
        <v>295</v>
      </c>
      <c r="E12" t="s">
        <v>204</v>
      </c>
      <c r="F12" t="n">
        <v>3.8</v>
      </c>
      <c r="G12" t="n">
        <v>0.7</v>
      </c>
      <c r="H12" t="n">
        <v>2.4</v>
      </c>
      <c r="I12" t="n">
        <v>21.7</v>
      </c>
      <c r="J12" t="n">
        <v>19.6</v>
      </c>
      <c r="K12" t="n">
        <v>43.8</v>
      </c>
      <c r="L12" t="n">
        <v>175.1</v>
      </c>
      <c r="M12" t="n">
        <v>22</v>
      </c>
      <c r="N12" t="n">
        <v>20.6</v>
      </c>
      <c r="O12" t="n">
        <v>79.2</v>
      </c>
      <c r="P12" t="n">
        <v>117.6</v>
      </c>
      <c r="Q12" t="n">
        <v>82.3</v>
      </c>
      <c r="R12" t="n">
        <v>70.8</v>
      </c>
      <c r="S12" t="n">
        <v>117.2</v>
      </c>
      <c r="T12" t="n">
        <v>165.9</v>
      </c>
      <c r="U12" t="n">
        <v>77.1</v>
      </c>
      <c r="V12" t="n">
        <v>86.2</v>
      </c>
      <c r="W12" t="n">
        <v>149.7</v>
      </c>
      <c r="X12" t="n">
        <v>152.2</v>
      </c>
      <c r="Y12" t="n">
        <v>63.6</v>
      </c>
      <c r="Z12" t="n">
        <v>229.5</v>
      </c>
      <c r="AA12" t="n">
        <v>189.4</v>
      </c>
      <c r="AB12" t="n">
        <v>126.2</v>
      </c>
      <c r="AC12" t="n">
        <v>87.7</v>
      </c>
      <c r="AD12" t="n">
        <v>77.1</v>
      </c>
      <c r="AE12" t="n">
        <v>58.7</v>
      </c>
      <c r="AF12" t="n">
        <v>126.8</v>
      </c>
    </row>
    <row r="13">
      <c r="A13" t="s">
        <v>36</v>
      </c>
      <c r="B13" t="s">
        <v>296</v>
      </c>
      <c r="C13" t="s">
        <v>203</v>
      </c>
      <c r="D13" t="s">
        <v>297</v>
      </c>
      <c r="E13" t="s">
        <v>204</v>
      </c>
      <c r="F13" t="n">
        <v>2</v>
      </c>
      <c r="G13" t="n">
        <v>0.4</v>
      </c>
      <c r="H13" t="n">
        <v>1.2</v>
      </c>
      <c r="I13" t="n">
        <v>11.1</v>
      </c>
      <c r="J13" t="n">
        <v>23.6</v>
      </c>
      <c r="K13" t="n">
        <v>56.8</v>
      </c>
      <c r="L13" t="n">
        <v>16.1</v>
      </c>
      <c r="M13" t="n">
        <v>71.9</v>
      </c>
      <c r="N13" t="n">
        <v>50</v>
      </c>
      <c r="O13" t="n">
        <v>69.3</v>
      </c>
      <c r="P13" t="n">
        <v>50.7</v>
      </c>
      <c r="Q13" t="n">
        <v>72.7</v>
      </c>
      <c r="R13" t="n">
        <v>101.6</v>
      </c>
      <c r="S13" t="n">
        <v>53.7</v>
      </c>
      <c r="T13" t="n">
        <v>120.4</v>
      </c>
      <c r="U13" t="n">
        <v>98.7</v>
      </c>
      <c r="V13" t="n">
        <v>45.2</v>
      </c>
      <c r="W13" t="n">
        <v>106.3</v>
      </c>
      <c r="X13" t="n">
        <v>108.1</v>
      </c>
      <c r="Y13" t="n">
        <v>109.8</v>
      </c>
      <c r="Z13" t="n">
        <v>60.1</v>
      </c>
      <c r="AA13" t="n">
        <v>93.4</v>
      </c>
      <c r="AB13" t="n">
        <v>114.1</v>
      </c>
      <c r="AC13" t="n">
        <v>135.9</v>
      </c>
      <c r="AD13" t="n">
        <v>82.1</v>
      </c>
      <c r="AE13" t="n">
        <v>116.5</v>
      </c>
      <c r="AF13" t="n">
        <v>94.7</v>
      </c>
    </row>
    <row r="14">
      <c r="A14" t="s">
        <v>36</v>
      </c>
      <c r="B14" t="s">
        <v>298</v>
      </c>
      <c r="C14" t="s">
        <v>203</v>
      </c>
      <c r="D14" t="s">
        <v>299</v>
      </c>
      <c r="E14" t="s">
        <v>204</v>
      </c>
      <c r="F14" t="n">
        <v>0.3</v>
      </c>
      <c r="G14" t="n">
        <v>0</v>
      </c>
      <c r="H14" t="n">
        <v>0.2</v>
      </c>
      <c r="I14" t="n">
        <v>1.4</v>
      </c>
      <c r="J14" t="n">
        <v>4.6</v>
      </c>
      <c r="K14" t="n">
        <v>7.4</v>
      </c>
      <c r="L14" t="n">
        <v>20.2</v>
      </c>
      <c r="M14" t="n">
        <v>7.8</v>
      </c>
      <c r="N14" t="n">
        <v>5.5</v>
      </c>
      <c r="O14" t="n">
        <v>6.4</v>
      </c>
      <c r="P14" t="n">
        <v>4.4</v>
      </c>
      <c r="Q14" t="n">
        <v>10.1</v>
      </c>
      <c r="R14" t="n">
        <v>6.9</v>
      </c>
      <c r="S14" t="n">
        <v>14.7</v>
      </c>
      <c r="T14" t="n">
        <v>5.9</v>
      </c>
      <c r="U14" t="n">
        <v>8.9</v>
      </c>
      <c r="V14" t="n">
        <v>15.2</v>
      </c>
      <c r="W14" t="n">
        <v>18.3</v>
      </c>
      <c r="X14" t="n">
        <v>18.6</v>
      </c>
      <c r="Y14" t="n">
        <v>37</v>
      </c>
      <c r="Z14" t="n">
        <v>21.3</v>
      </c>
      <c r="AA14" t="n">
        <v>9.4</v>
      </c>
      <c r="AB14" t="n">
        <v>25.7</v>
      </c>
      <c r="AC14" t="n">
        <v>32.1</v>
      </c>
      <c r="AD14" t="n">
        <v>21.6</v>
      </c>
      <c r="AE14" t="n">
        <v>15.1</v>
      </c>
      <c r="AF14" t="n">
        <v>16.7</v>
      </c>
    </row>
    <row r="15">
      <c r="A15" t="s">
        <v>36</v>
      </c>
      <c r="B15" t="s">
        <v>300</v>
      </c>
      <c r="C15" t="s">
        <v>203</v>
      </c>
      <c r="D15" t="s">
        <v>301</v>
      </c>
      <c r="E15" t="s">
        <v>204</v>
      </c>
      <c r="F15" t="n">
        <v>0.5</v>
      </c>
      <c r="G15" t="n">
        <v>0</v>
      </c>
      <c r="H15" t="n">
        <v>0.3</v>
      </c>
      <c r="I15" t="n">
        <v>2.7</v>
      </c>
      <c r="J15" t="n">
        <v>10.4</v>
      </c>
      <c r="K15" t="n">
        <v>12.5</v>
      </c>
      <c r="L15" t="n">
        <v>21.6</v>
      </c>
      <c r="M15" t="n">
        <v>11.4</v>
      </c>
      <c r="N15" t="n">
        <v>9.1</v>
      </c>
      <c r="O15" t="n">
        <v>9.8</v>
      </c>
      <c r="P15" t="n">
        <v>14.2</v>
      </c>
      <c r="Q15" t="n">
        <v>29.8</v>
      </c>
      <c r="R15" t="n">
        <v>29.4</v>
      </c>
      <c r="S15" t="n">
        <v>32.6</v>
      </c>
      <c r="T15" t="n">
        <v>33.5</v>
      </c>
      <c r="U15" t="n">
        <v>33.4</v>
      </c>
      <c r="V15" t="n">
        <v>31.7</v>
      </c>
      <c r="W15" t="n">
        <v>47.9</v>
      </c>
      <c r="X15" t="n">
        <v>48.7</v>
      </c>
      <c r="Y15" t="n">
        <v>53</v>
      </c>
      <c r="Z15" t="n">
        <v>88.5</v>
      </c>
      <c r="AA15" t="n">
        <v>52.5</v>
      </c>
      <c r="AB15" t="n">
        <v>80.3</v>
      </c>
      <c r="AC15" t="n">
        <v>78.7</v>
      </c>
      <c r="AD15" t="n">
        <v>77.2</v>
      </c>
      <c r="AE15" t="n">
        <v>36.8</v>
      </c>
      <c r="AF15" t="n">
        <v>59.7</v>
      </c>
    </row>
    <row r="16">
      <c r="A16" t="s">
        <v>36</v>
      </c>
      <c r="B16" t="s">
        <v>302</v>
      </c>
      <c r="C16" t="s">
        <v>203</v>
      </c>
      <c r="D16" t="s">
        <v>303</v>
      </c>
      <c r="E16" t="s">
        <v>204</v>
      </c>
      <c r="F16" t="n">
        <v>0.2</v>
      </c>
      <c r="G16" t="n">
        <v>0</v>
      </c>
      <c r="H16" t="n">
        <v>0.1</v>
      </c>
      <c r="I16" t="n">
        <v>1.3</v>
      </c>
      <c r="J16" t="n">
        <v>5.8</v>
      </c>
      <c r="K16" t="n">
        <v>5.1</v>
      </c>
      <c r="L16" t="n">
        <v>1.4</v>
      </c>
      <c r="M16" t="n">
        <v>3.6</v>
      </c>
      <c r="N16" t="n">
        <v>3.6</v>
      </c>
      <c r="O16" t="n">
        <v>3.4</v>
      </c>
      <c r="P16" t="n">
        <v>9.8</v>
      </c>
      <c r="Q16" t="n">
        <v>19.7</v>
      </c>
      <c r="R16" t="n">
        <v>22.5</v>
      </c>
      <c r="S16" t="n">
        <v>17.9</v>
      </c>
      <c r="T16" t="n">
        <v>27.6</v>
      </c>
      <c r="U16" t="n">
        <v>24.5</v>
      </c>
      <c r="V16" t="n">
        <v>16.5</v>
      </c>
      <c r="W16" t="n">
        <v>29.6</v>
      </c>
      <c r="X16" t="n">
        <v>30.1</v>
      </c>
      <c r="Y16" t="n">
        <v>16</v>
      </c>
      <c r="Z16" t="n">
        <v>67.2</v>
      </c>
      <c r="AA16" t="n">
        <v>43.1</v>
      </c>
      <c r="AB16" t="n">
        <v>54.6</v>
      </c>
      <c r="AC16" t="n">
        <v>46.6</v>
      </c>
      <c r="AD16" t="n">
        <v>55.6</v>
      </c>
      <c r="AE16" t="n">
        <v>21.7</v>
      </c>
      <c r="AF16" t="n">
        <v>43</v>
      </c>
    </row>
    <row r="17">
      <c r="A17" t="s">
        <v>36</v>
      </c>
      <c r="B17" t="s">
        <v>304</v>
      </c>
      <c r="C17" t="s">
        <v>203</v>
      </c>
      <c r="D17" t="s">
        <v>305</v>
      </c>
      <c r="E17" t="s">
        <v>204</v>
      </c>
      <c r="F17" t="n">
        <v>0.6</v>
      </c>
      <c r="G17" t="n">
        <v>0.1</v>
      </c>
      <c r="H17" t="n">
        <v>0.4</v>
      </c>
      <c r="I17" t="n">
        <v>3.3</v>
      </c>
      <c r="J17" t="n">
        <v>11.3</v>
      </c>
      <c r="K17" t="n">
        <v>25.4</v>
      </c>
      <c r="L17" t="n">
        <v>87.3</v>
      </c>
      <c r="M17" t="n">
        <v>14.7</v>
      </c>
      <c r="N17" t="n">
        <v>11.5</v>
      </c>
      <c r="O17" t="n">
        <v>19.6</v>
      </c>
      <c r="P17" t="n">
        <v>11.2</v>
      </c>
      <c r="Q17" t="n">
        <v>28.2</v>
      </c>
      <c r="R17" t="n">
        <v>18.8</v>
      </c>
      <c r="S17" t="n">
        <v>14.7</v>
      </c>
      <c r="T17" t="n">
        <v>27.6</v>
      </c>
      <c r="U17" t="n">
        <v>31.4</v>
      </c>
      <c r="V17" t="n">
        <v>14.8</v>
      </c>
      <c r="W17" t="n">
        <v>22.9</v>
      </c>
      <c r="X17" t="n">
        <v>23.3</v>
      </c>
      <c r="Y17" t="n">
        <v>25.8</v>
      </c>
      <c r="Z17" t="n">
        <v>34.1</v>
      </c>
      <c r="AA17" t="n">
        <v>26.3</v>
      </c>
      <c r="AB17" t="n">
        <v>49</v>
      </c>
      <c r="AC17" t="n">
        <v>23.3</v>
      </c>
      <c r="AD17" t="n">
        <v>32.2</v>
      </c>
      <c r="AE17" t="n">
        <v>54.6</v>
      </c>
      <c r="AF17" t="n">
        <v>57.4</v>
      </c>
    </row>
    <row r="18">
      <c r="A18" t="s">
        <v>36</v>
      </c>
      <c r="B18" t="s">
        <v>306</v>
      </c>
      <c r="C18" t="s">
        <v>203</v>
      </c>
      <c r="D18" t="s">
        <v>307</v>
      </c>
      <c r="E18" t="s">
        <v>204</v>
      </c>
      <c r="F18" t="n">
        <v>0.2</v>
      </c>
      <c r="G18" t="n">
        <v>0</v>
      </c>
      <c r="H18" t="n">
        <v>0.2</v>
      </c>
      <c r="I18" t="n">
        <v>1.3</v>
      </c>
      <c r="J18" t="n">
        <v>3.4</v>
      </c>
      <c r="K18" t="n">
        <v>3.6</v>
      </c>
      <c r="L18" t="n">
        <v>6.6</v>
      </c>
      <c r="M18" t="n">
        <v>2.4</v>
      </c>
      <c r="N18" t="n">
        <v>5.5</v>
      </c>
      <c r="O18" t="n">
        <v>3.8</v>
      </c>
      <c r="P18" t="n">
        <v>6.8</v>
      </c>
      <c r="Q18" t="n">
        <v>18.6</v>
      </c>
      <c r="R18" t="n">
        <v>16.9</v>
      </c>
      <c r="S18" t="n">
        <v>19.5</v>
      </c>
      <c r="T18" t="n">
        <v>15.8</v>
      </c>
      <c r="U18" t="n">
        <v>14.1</v>
      </c>
      <c r="V18" t="n">
        <v>19</v>
      </c>
      <c r="W18" t="n">
        <v>25.9</v>
      </c>
      <c r="X18" t="n">
        <v>26.3</v>
      </c>
      <c r="Y18" t="n">
        <v>35.4</v>
      </c>
      <c r="Z18" t="n">
        <v>-1.6</v>
      </c>
      <c r="AA18" t="n">
        <v>30.3</v>
      </c>
      <c r="AB18" t="n">
        <v>61.5</v>
      </c>
      <c r="AC18" t="n">
        <v>33.9</v>
      </c>
      <c r="AD18" t="n">
        <v>69.6</v>
      </c>
      <c r="AE18" t="n">
        <v>27.7</v>
      </c>
      <c r="AF18" t="n">
        <v>9.7</v>
      </c>
    </row>
    <row r="19">
      <c r="A19" t="s">
        <v>36</v>
      </c>
      <c r="B19" t="s">
        <v>308</v>
      </c>
      <c r="C19" t="s">
        <v>203</v>
      </c>
      <c r="D19" t="s">
        <v>309</v>
      </c>
      <c r="E19" t="s">
        <v>204</v>
      </c>
      <c r="F19" t="n">
        <v>0.2</v>
      </c>
      <c r="G19" t="n">
        <v>0</v>
      </c>
      <c r="H19" t="n">
        <v>0.1</v>
      </c>
      <c r="I19" t="n">
        <v>1.1</v>
      </c>
      <c r="J19" t="n">
        <v>2.6</v>
      </c>
      <c r="K19" t="n">
        <v>62.7</v>
      </c>
      <c r="L19" t="n">
        <v>22.1</v>
      </c>
      <c r="M19" t="n">
        <v>5.9</v>
      </c>
      <c r="N19" t="n">
        <v>5.8</v>
      </c>
      <c r="O19" t="n">
        <v>9.8</v>
      </c>
      <c r="P19" t="n">
        <v>23.4</v>
      </c>
      <c r="Q19" t="n">
        <v>27.1</v>
      </c>
      <c r="R19" t="n">
        <v>27.6</v>
      </c>
      <c r="S19" t="n">
        <v>37.5</v>
      </c>
      <c r="T19" t="n">
        <v>39.5</v>
      </c>
      <c r="U19" t="n">
        <v>48.9</v>
      </c>
      <c r="V19" t="n">
        <v>35.7</v>
      </c>
      <c r="W19" t="n">
        <v>44.4</v>
      </c>
      <c r="X19" t="n">
        <v>45.2</v>
      </c>
      <c r="Y19" t="n">
        <v>38.2</v>
      </c>
      <c r="Z19" t="n">
        <v>19.6</v>
      </c>
      <c r="AA19" t="n">
        <v>88.9</v>
      </c>
      <c r="AB19" t="n">
        <v>59.8</v>
      </c>
      <c r="AC19" t="n">
        <v>31.9</v>
      </c>
      <c r="AD19" t="n">
        <v>19.5</v>
      </c>
      <c r="AE19" t="n">
        <v>12.3</v>
      </c>
      <c r="AF19" t="n">
        <v>48.8</v>
      </c>
    </row>
    <row r="20">
      <c r="A20" t="s">
        <v>36</v>
      </c>
      <c r="B20" t="s">
        <v>310</v>
      </c>
      <c r="C20" t="s">
        <v>203</v>
      </c>
      <c r="D20" t="s">
        <v>311</v>
      </c>
      <c r="E20" t="s">
        <v>204</v>
      </c>
      <c r="F20" t="n">
        <v>4.8</v>
      </c>
      <c r="G20" t="n">
        <v>0.9</v>
      </c>
      <c r="H20" t="n">
        <v>3.1</v>
      </c>
      <c r="I20" t="n">
        <v>27.3</v>
      </c>
      <c r="J20" t="n">
        <v>61.9</v>
      </c>
      <c r="K20" t="n">
        <v>2</v>
      </c>
      <c r="L20" t="n">
        <v>7.5</v>
      </c>
      <c r="M20" t="n">
        <v>139.6</v>
      </c>
      <c r="N20" t="n">
        <v>115</v>
      </c>
      <c r="O20" t="n">
        <v>227.9</v>
      </c>
      <c r="P20" t="n">
        <v>494.1</v>
      </c>
      <c r="Q20" t="n">
        <v>647</v>
      </c>
      <c r="R20" t="n">
        <v>578.5</v>
      </c>
      <c r="S20" t="n">
        <v>1061.2</v>
      </c>
      <c r="T20" t="n">
        <v>1651.8</v>
      </c>
      <c r="U20" t="n">
        <v>1347.8</v>
      </c>
      <c r="V20" t="n">
        <v>827.4</v>
      </c>
      <c r="W20" t="n">
        <v>1102.7</v>
      </c>
      <c r="X20" t="n">
        <v>1121.4</v>
      </c>
      <c r="Y20" t="n">
        <v>1027.1</v>
      </c>
      <c r="Z20" t="n">
        <v>371.6</v>
      </c>
      <c r="AA20" t="n">
        <v>1673.5</v>
      </c>
      <c r="AB20" t="n">
        <v>258</v>
      </c>
      <c r="AC20" t="n">
        <v>107.3</v>
      </c>
      <c r="AD20" t="n">
        <v>77.9</v>
      </c>
      <c r="AE20" t="n">
        <v>246.4</v>
      </c>
      <c r="AF20" t="n">
        <v>114.7</v>
      </c>
    </row>
    <row r="21">
      <c r="A21" t="s">
        <v>36</v>
      </c>
      <c r="B21" t="s">
        <v>312</v>
      </c>
      <c r="C21" t="s">
        <v>203</v>
      </c>
      <c r="D21" t="s">
        <v>313</v>
      </c>
      <c r="E21" t="s">
        <v>204</v>
      </c>
      <c r="F21" t="n">
        <v>5.2</v>
      </c>
      <c r="G21" t="n">
        <v>1</v>
      </c>
      <c r="H21" t="n">
        <v>3.4</v>
      </c>
      <c r="I21" t="n">
        <v>29.6</v>
      </c>
      <c r="J21" t="n">
        <v>74.4</v>
      </c>
      <c r="K21" t="n">
        <v>7.2</v>
      </c>
      <c r="L21" t="n">
        <v>9.6</v>
      </c>
      <c r="M21" t="n">
        <v>156.4</v>
      </c>
      <c r="N21" t="n">
        <v>131.2</v>
      </c>
      <c r="O21" t="n">
        <v>259.1</v>
      </c>
      <c r="P21" t="n">
        <v>524.3</v>
      </c>
      <c r="Q21" t="n">
        <v>669</v>
      </c>
      <c r="R21" t="n">
        <v>630.5</v>
      </c>
      <c r="S21" t="n">
        <v>1137.7</v>
      </c>
      <c r="T21" t="n">
        <v>1799.9</v>
      </c>
      <c r="U21" t="n">
        <v>1404.2</v>
      </c>
      <c r="V21" t="n">
        <v>879.5</v>
      </c>
      <c r="W21" t="n">
        <v>1134.2</v>
      </c>
      <c r="X21" t="n">
        <v>1153.4</v>
      </c>
      <c r="Y21" t="n">
        <v>1293.7</v>
      </c>
      <c r="Z21" t="n">
        <v>1554.1</v>
      </c>
      <c r="AA21" t="n">
        <v>1730.6</v>
      </c>
      <c r="AB21" t="n">
        <v>281.2</v>
      </c>
      <c r="AC21" t="n">
        <v>145</v>
      </c>
      <c r="AD21" t="n">
        <v>107.2</v>
      </c>
      <c r="AE21" t="n">
        <v>251.4</v>
      </c>
      <c r="AF21" t="n">
        <v>166.8</v>
      </c>
    </row>
    <row r="22">
      <c r="A22" t="s">
        <v>36</v>
      </c>
      <c r="B22" t="s">
        <v>314</v>
      </c>
      <c r="C22" t="s">
        <v>203</v>
      </c>
      <c r="D22" t="s">
        <v>315</v>
      </c>
      <c r="E22" t="s">
        <v>204</v>
      </c>
      <c r="F22" t="n">
        <v>0.4</v>
      </c>
      <c r="G22" t="n">
        <v>0.1</v>
      </c>
      <c r="H22" t="n">
        <v>0.3</v>
      </c>
      <c r="I22" t="n">
        <v>2.3</v>
      </c>
      <c r="J22" t="n">
        <v>12.5</v>
      </c>
      <c r="K22" t="n">
        <v>5.2</v>
      </c>
      <c r="L22" t="n">
        <v>2.1</v>
      </c>
      <c r="M22" t="n">
        <v>16.8</v>
      </c>
      <c r="N22" t="n">
        <v>16.2</v>
      </c>
      <c r="O22" t="n">
        <v>31.2</v>
      </c>
      <c r="P22" t="n">
        <v>30.2</v>
      </c>
      <c r="Q22" t="n">
        <v>22</v>
      </c>
      <c r="R22" t="n">
        <v>52</v>
      </c>
      <c r="S22" t="n">
        <v>76.5</v>
      </c>
      <c r="T22" t="n">
        <v>148.1</v>
      </c>
      <c r="U22" t="n">
        <v>56.4</v>
      </c>
      <c r="V22" t="n">
        <v>52.1</v>
      </c>
      <c r="W22" t="n">
        <v>31.5</v>
      </c>
      <c r="X22" t="n">
        <v>32</v>
      </c>
      <c r="Y22" t="n">
        <v>266.6</v>
      </c>
      <c r="Z22" t="n">
        <v>1182.5</v>
      </c>
      <c r="AA22" t="n">
        <v>57.1</v>
      </c>
      <c r="AB22" t="n">
        <v>23.2</v>
      </c>
      <c r="AC22" t="n">
        <v>37.7</v>
      </c>
      <c r="AD22" t="n">
        <v>29.3</v>
      </c>
      <c r="AE22" t="n">
        <v>5</v>
      </c>
      <c r="AF22" t="n">
        <v>52.1</v>
      </c>
    </row>
    <row r="23">
      <c r="A23" t="s">
        <v>36</v>
      </c>
      <c r="B23" t="s">
        <v>316</v>
      </c>
      <c r="C23" t="s">
        <v>203</v>
      </c>
      <c r="D23" t="s">
        <v>317</v>
      </c>
      <c r="E23" t="s">
        <v>204</v>
      </c>
      <c r="F23" t="n">
        <v>2.6</v>
      </c>
      <c r="G23" t="n">
        <v>0.5</v>
      </c>
      <c r="H23" t="n">
        <v>1.7</v>
      </c>
      <c r="I23" t="n">
        <v>14.6</v>
      </c>
      <c r="J23" t="n">
        <v>36.7</v>
      </c>
      <c r="K23" t="n">
        <v>83</v>
      </c>
      <c r="L23" t="n">
        <v>47.3</v>
      </c>
      <c r="M23" t="n">
        <v>66.5</v>
      </c>
      <c r="N23" t="n">
        <v>50.9</v>
      </c>
      <c r="O23" t="n">
        <v>75.5</v>
      </c>
      <c r="P23" t="n">
        <v>139.5</v>
      </c>
      <c r="Q23" t="n">
        <v>163.5</v>
      </c>
      <c r="R23" t="n">
        <v>282.8</v>
      </c>
      <c r="S23" t="n">
        <v>288.2</v>
      </c>
      <c r="T23" t="n">
        <v>657.2</v>
      </c>
      <c r="U23" t="n">
        <v>571.3</v>
      </c>
      <c r="V23" t="n">
        <v>197.6</v>
      </c>
      <c r="W23" t="n">
        <v>390.1</v>
      </c>
      <c r="X23" t="n">
        <v>396.7</v>
      </c>
      <c r="Y23" t="n">
        <v>445.7</v>
      </c>
      <c r="Z23" t="n">
        <v>673.6</v>
      </c>
      <c r="AA23" t="n">
        <v>324.6</v>
      </c>
      <c r="AB23" t="n">
        <v>304.2</v>
      </c>
      <c r="AC23" t="n">
        <v>244</v>
      </c>
      <c r="AD23" t="n">
        <v>275.1</v>
      </c>
      <c r="AE23" t="n">
        <v>240.9</v>
      </c>
      <c r="AF23" t="n">
        <v>259.9</v>
      </c>
    </row>
    <row r="24">
      <c r="A24" t="s">
        <v>36</v>
      </c>
      <c r="B24" t="s">
        <v>318</v>
      </c>
      <c r="C24" t="s">
        <v>203</v>
      </c>
      <c r="D24" t="s">
        <v>319</v>
      </c>
      <c r="E24" t="s">
        <v>204</v>
      </c>
      <c r="F24" t="n">
        <v>7.5</v>
      </c>
      <c r="G24" t="n">
        <v>1.3</v>
      </c>
      <c r="H24" t="n">
        <v>4.8</v>
      </c>
      <c r="I24" t="n">
        <v>42.2</v>
      </c>
      <c r="J24" t="n">
        <v>56.5</v>
      </c>
      <c r="K24" t="n">
        <v>148.6</v>
      </c>
      <c r="L24" t="n">
        <v>291</v>
      </c>
      <c r="M24" t="n">
        <v>247.8</v>
      </c>
      <c r="N24" t="n">
        <v>217.4</v>
      </c>
      <c r="O24" t="n">
        <v>314</v>
      </c>
      <c r="P24" t="n">
        <v>392.3</v>
      </c>
      <c r="Q24" t="n">
        <v>481.3</v>
      </c>
      <c r="R24" t="n">
        <v>440.3</v>
      </c>
      <c r="S24" t="n">
        <v>662.8</v>
      </c>
      <c r="T24" t="n">
        <v>696.9</v>
      </c>
      <c r="U24" t="n">
        <v>845.1</v>
      </c>
      <c r="V24" t="n">
        <v>494.4</v>
      </c>
      <c r="W24" t="n">
        <v>615.9</v>
      </c>
      <c r="X24" t="n">
        <v>626.3</v>
      </c>
      <c r="Y24" t="n">
        <v>625.5</v>
      </c>
      <c r="Z24" t="n">
        <v>336.1</v>
      </c>
      <c r="AA24" t="n">
        <v>749.1</v>
      </c>
      <c r="AB24" t="n">
        <v>729.7</v>
      </c>
      <c r="AC24" t="n">
        <v>954.9</v>
      </c>
      <c r="AD24" t="n">
        <v>614</v>
      </c>
      <c r="AE24" t="n">
        <v>463.4</v>
      </c>
      <c r="AF24" t="n">
        <v>609.2</v>
      </c>
    </row>
    <row r="25">
      <c r="A25" t="s">
        <v>36</v>
      </c>
      <c r="B25" t="s">
        <v>320</v>
      </c>
      <c r="C25" t="s">
        <v>203</v>
      </c>
      <c r="D25" t="s">
        <v>321</v>
      </c>
      <c r="E25" t="s">
        <v>204</v>
      </c>
      <c r="F25" t="n">
        <v>1.1</v>
      </c>
      <c r="G25" t="n">
        <v>0.2</v>
      </c>
      <c r="H25" t="n">
        <v>0.7</v>
      </c>
      <c r="I25" t="n">
        <v>6.1</v>
      </c>
      <c r="J25" t="n">
        <v>8.8</v>
      </c>
      <c r="K25" t="n">
        <v>24</v>
      </c>
      <c r="L25" t="n">
        <v>29</v>
      </c>
      <c r="M25" t="n">
        <v>16.1</v>
      </c>
      <c r="N25" t="n">
        <v>15.9</v>
      </c>
      <c r="O25" t="n">
        <v>28</v>
      </c>
      <c r="P25" t="n">
        <v>33.2</v>
      </c>
      <c r="Q25" t="n">
        <v>52.4</v>
      </c>
      <c r="R25" t="n">
        <v>40.1</v>
      </c>
      <c r="S25" t="n">
        <v>68.4</v>
      </c>
      <c r="T25" t="n">
        <v>84.9</v>
      </c>
      <c r="U25" t="n">
        <v>74.2</v>
      </c>
      <c r="V25" t="n">
        <v>60.5</v>
      </c>
      <c r="W25" t="n">
        <v>34.8</v>
      </c>
      <c r="X25" t="n">
        <v>35.4</v>
      </c>
      <c r="Y25" t="n">
        <v>14.9</v>
      </c>
      <c r="Z25" t="n">
        <v>43.3</v>
      </c>
      <c r="AA25" t="n">
        <v>40.8</v>
      </c>
      <c r="AB25" t="n">
        <v>91.4</v>
      </c>
      <c r="AC25" t="n">
        <v>50.2</v>
      </c>
      <c r="AD25" t="n">
        <v>44.5</v>
      </c>
      <c r="AE25" t="n">
        <v>28.5</v>
      </c>
      <c r="AF25" t="n">
        <v>31.7</v>
      </c>
    </row>
    <row r="26">
      <c r="A26" t="s">
        <v>36</v>
      </c>
      <c r="B26" t="s">
        <v>322</v>
      </c>
      <c r="C26" t="s">
        <v>203</v>
      </c>
      <c r="D26" t="s">
        <v>323</v>
      </c>
      <c r="E26" t="s">
        <v>204</v>
      </c>
      <c r="F26" t="n">
        <v>4.7</v>
      </c>
      <c r="G26" t="n">
        <v>0.8</v>
      </c>
      <c r="H26" t="n">
        <v>3</v>
      </c>
      <c r="I26" t="n">
        <v>26.5</v>
      </c>
      <c r="J26" t="n">
        <v>25.7</v>
      </c>
      <c r="K26" t="n">
        <v>10.5</v>
      </c>
      <c r="L26" t="n">
        <v>132.8</v>
      </c>
      <c r="M26" t="n">
        <v>151</v>
      </c>
      <c r="N26" t="n">
        <v>129.8</v>
      </c>
      <c r="O26" t="n">
        <v>183.5</v>
      </c>
      <c r="P26" t="n">
        <v>213.7</v>
      </c>
      <c r="Q26" t="n">
        <v>246.3</v>
      </c>
      <c r="R26" t="n">
        <v>243.8</v>
      </c>
      <c r="S26" t="n">
        <v>330.6</v>
      </c>
      <c r="T26" t="n">
        <v>390.9</v>
      </c>
      <c r="U26" t="n">
        <v>433</v>
      </c>
      <c r="V26" t="n">
        <v>248.4</v>
      </c>
      <c r="W26" t="n">
        <v>388</v>
      </c>
      <c r="X26" t="n">
        <v>394.5</v>
      </c>
      <c r="Y26" t="n">
        <v>473.4</v>
      </c>
      <c r="Z26" t="n">
        <v>128.6</v>
      </c>
      <c r="AA26" t="n">
        <v>416.3</v>
      </c>
      <c r="AB26" t="n">
        <v>302.5</v>
      </c>
      <c r="AC26" t="n">
        <v>282.7</v>
      </c>
      <c r="AD26" t="n">
        <v>222.3</v>
      </c>
      <c r="AE26" t="n">
        <v>219.1</v>
      </c>
      <c r="AF26" t="n">
        <v>298.1</v>
      </c>
    </row>
    <row r="27">
      <c r="A27" t="s">
        <v>36</v>
      </c>
      <c r="B27" t="s">
        <v>324</v>
      </c>
      <c r="C27" t="s">
        <v>203</v>
      </c>
      <c r="D27" t="s">
        <v>325</v>
      </c>
      <c r="E27" t="s">
        <v>204</v>
      </c>
      <c r="F27" t="n">
        <v>1.7</v>
      </c>
      <c r="G27" t="n">
        <v>0.3</v>
      </c>
      <c r="H27" t="n">
        <v>1.1</v>
      </c>
      <c r="I27" t="n">
        <v>9.6</v>
      </c>
      <c r="J27" t="n">
        <v>22</v>
      </c>
      <c r="K27" t="n">
        <v>114.1</v>
      </c>
      <c r="L27" t="n">
        <v>129.2</v>
      </c>
      <c r="M27" t="n">
        <v>80.7</v>
      </c>
      <c r="N27" t="n">
        <v>71.7</v>
      </c>
      <c r="O27" t="n">
        <v>102.5</v>
      </c>
      <c r="P27" t="n">
        <v>145.4</v>
      </c>
      <c r="Q27" t="n">
        <v>182.6</v>
      </c>
      <c r="R27" t="n">
        <v>156.4</v>
      </c>
      <c r="S27" t="n">
        <v>263.8</v>
      </c>
      <c r="T27" t="n">
        <v>221.1</v>
      </c>
      <c r="U27" t="n">
        <v>337.9</v>
      </c>
      <c r="V27" t="n">
        <v>185.5</v>
      </c>
      <c r="W27" t="n">
        <v>193.1</v>
      </c>
      <c r="X27" t="n">
        <v>196.4</v>
      </c>
      <c r="Y27" t="n">
        <v>137.2</v>
      </c>
      <c r="Z27" t="n">
        <v>164.2</v>
      </c>
      <c r="AA27" t="n">
        <v>292</v>
      </c>
      <c r="AB27" t="n">
        <v>335.8</v>
      </c>
      <c r="AC27" t="n">
        <v>622</v>
      </c>
      <c r="AD27" t="n">
        <v>347.2</v>
      </c>
      <c r="AE27" t="n">
        <v>215.8</v>
      </c>
      <c r="AF27" t="n">
        <v>279.4</v>
      </c>
    </row>
    <row r="28">
      <c r="A28" t="s">
        <v>36</v>
      </c>
      <c r="B28" t="s">
        <v>326</v>
      </c>
      <c r="C28" t="s">
        <v>203</v>
      </c>
      <c r="D28" t="s">
        <v>327</v>
      </c>
      <c r="E28" t="s">
        <v>204</v>
      </c>
      <c r="F28" t="n">
        <v>4.3</v>
      </c>
      <c r="G28" t="n">
        <v>0.8</v>
      </c>
      <c r="H28" t="n">
        <v>2.7</v>
      </c>
      <c r="I28" t="n">
        <v>24.3</v>
      </c>
      <c r="J28" t="n">
        <v>55.6</v>
      </c>
      <c r="K28" t="n">
        <v>66.1</v>
      </c>
      <c r="L28" t="n">
        <v>19.7</v>
      </c>
      <c r="M28" t="n">
        <v>159.9</v>
      </c>
      <c r="N28" t="n">
        <v>84</v>
      </c>
      <c r="O28" t="n">
        <v>168.7</v>
      </c>
      <c r="P28" t="n">
        <v>233.1</v>
      </c>
      <c r="Q28" t="n">
        <v>150.4</v>
      </c>
      <c r="R28" t="n">
        <v>119.5</v>
      </c>
      <c r="S28" t="n">
        <v>732.8</v>
      </c>
      <c r="T28" t="n">
        <v>315.9</v>
      </c>
      <c r="U28" t="n">
        <v>606.8</v>
      </c>
      <c r="V28" t="n">
        <v>411.8</v>
      </c>
      <c r="W28" t="n">
        <v>101.1</v>
      </c>
      <c r="X28" t="n">
        <v>102.8</v>
      </c>
      <c r="Y28" t="n">
        <v>36.3</v>
      </c>
      <c r="Z28" t="n">
        <v>889.5</v>
      </c>
      <c r="AA28" t="n">
        <v>469.9</v>
      </c>
      <c r="AB28" t="n">
        <v>187.8</v>
      </c>
      <c r="AC28" t="n">
        <v>196.7</v>
      </c>
      <c r="AD28" t="n">
        <v>65.9</v>
      </c>
      <c r="AE28" t="n">
        <v>259.5</v>
      </c>
      <c r="AF28" t="n">
        <v>245.7</v>
      </c>
    </row>
    <row r="29">
      <c r="A29" t="s">
        <v>36</v>
      </c>
      <c r="B29" t="s">
        <v>328</v>
      </c>
      <c r="C29" t="s">
        <v>203</v>
      </c>
      <c r="D29" t="s">
        <v>329</v>
      </c>
      <c r="E29" t="s">
        <v>204</v>
      </c>
      <c r="F29" t="n">
        <v>1.8</v>
      </c>
      <c r="G29" t="n">
        <v>0.3</v>
      </c>
      <c r="H29" t="n">
        <v>1.1</v>
      </c>
      <c r="I29" t="n">
        <v>9.9</v>
      </c>
      <c r="J29" t="n">
        <v>35.5</v>
      </c>
      <c r="K29" t="n">
        <v>62.8</v>
      </c>
      <c r="L29" t="n">
        <v>15.5</v>
      </c>
      <c r="M29" t="n">
        <v>28.6</v>
      </c>
      <c r="N29" t="n">
        <v>16.5</v>
      </c>
      <c r="O29" t="n">
        <v>35</v>
      </c>
      <c r="P29" t="n">
        <v>50.7</v>
      </c>
      <c r="Q29" t="n">
        <v>49.6</v>
      </c>
      <c r="R29" t="n">
        <v>39.1</v>
      </c>
      <c r="S29" t="n">
        <v>478.8</v>
      </c>
      <c r="T29" t="n">
        <v>112.5</v>
      </c>
      <c r="U29" t="n">
        <v>445.3</v>
      </c>
      <c r="V29" t="n">
        <v>280.5</v>
      </c>
      <c r="W29" t="n">
        <v>59.6</v>
      </c>
      <c r="X29" t="n">
        <v>60.6</v>
      </c>
      <c r="Y29" t="n">
        <v>32.6</v>
      </c>
      <c r="Z29" t="n">
        <v>412.9</v>
      </c>
      <c r="AA29" t="n">
        <v>334.6</v>
      </c>
      <c r="AB29" t="n">
        <v>41.2</v>
      </c>
      <c r="AC29" t="n">
        <v>35.7</v>
      </c>
      <c r="AD29" t="n">
        <v>47.1</v>
      </c>
      <c r="AE29" t="n">
        <v>99.9</v>
      </c>
      <c r="AF29" t="n">
        <v>46.3</v>
      </c>
    </row>
    <row r="30">
      <c r="A30" t="s">
        <v>36</v>
      </c>
      <c r="B30" t="s">
        <v>330</v>
      </c>
      <c r="C30" t="s">
        <v>203</v>
      </c>
      <c r="D30" t="s">
        <v>331</v>
      </c>
      <c r="E30" t="s">
        <v>204</v>
      </c>
      <c r="F30" t="n">
        <v>0</v>
      </c>
      <c r="G30" t="n">
        <v>0</v>
      </c>
      <c r="H30" t="n">
        <v>0</v>
      </c>
      <c r="I30" t="n">
        <v>0.3</v>
      </c>
      <c r="J30" t="n">
        <v>0</v>
      </c>
      <c r="K30" t="n">
        <v>0</v>
      </c>
      <c r="L30" t="n">
        <v>0.6</v>
      </c>
      <c r="M30" t="n">
        <v>0.2</v>
      </c>
      <c r="N30" t="n">
        <v>0.3</v>
      </c>
      <c r="O30" t="n">
        <v>0.9</v>
      </c>
      <c r="P30" t="n">
        <v>1</v>
      </c>
      <c r="Q30" t="n">
        <v>6.2</v>
      </c>
      <c r="R30" t="n">
        <v>1.3</v>
      </c>
      <c r="S30" t="n">
        <v>1.6</v>
      </c>
      <c r="T30" t="n">
        <v>0</v>
      </c>
      <c r="U30" t="n">
        <v>0.4</v>
      </c>
      <c r="V30" t="n">
        <v>1.3</v>
      </c>
      <c r="W30" t="n">
        <v>0.2</v>
      </c>
      <c r="X30" t="n">
        <v>0.2</v>
      </c>
      <c r="Y30" t="n">
        <v>1.1</v>
      </c>
      <c r="Z30" t="n">
        <v>0.2</v>
      </c>
      <c r="AA30" t="n">
        <v>-1.8</v>
      </c>
      <c r="AB30" t="n">
        <v>0.7</v>
      </c>
      <c r="AC30" t="n">
        <v>3.5</v>
      </c>
      <c r="AD30" t="n">
        <v>0</v>
      </c>
      <c r="AE30" t="n">
        <v>0</v>
      </c>
      <c r="AF30" t="n">
        <v>0.4</v>
      </c>
    </row>
    <row r="31">
      <c r="A31" t="s">
        <v>36</v>
      </c>
      <c r="B31" t="s">
        <v>332</v>
      </c>
      <c r="C31" t="s">
        <v>203</v>
      </c>
      <c r="D31" t="s">
        <v>333</v>
      </c>
      <c r="E31" t="s">
        <v>204</v>
      </c>
      <c r="F31" t="n">
        <v>0</v>
      </c>
      <c r="G31" t="n">
        <v>0</v>
      </c>
      <c r="H31" t="n">
        <v>0</v>
      </c>
      <c r="I31" t="n">
        <v>0.1</v>
      </c>
      <c r="J31" t="n">
        <v>0.1</v>
      </c>
      <c r="K31" t="n">
        <v>0.2</v>
      </c>
      <c r="L31" t="n">
        <v>0.2</v>
      </c>
      <c r="M31" t="n">
        <v>0.5</v>
      </c>
      <c r="N31" t="n">
        <v>0.3</v>
      </c>
      <c r="O31" t="n">
        <v>8.5</v>
      </c>
      <c r="P31" t="n">
        <v>2.9</v>
      </c>
      <c r="Q31" t="n">
        <v>1.1</v>
      </c>
      <c r="R31" t="n">
        <v>0</v>
      </c>
      <c r="S31" t="n">
        <v>1.6</v>
      </c>
      <c r="T31" t="n">
        <v>2</v>
      </c>
      <c r="U31" t="n">
        <v>2.5</v>
      </c>
      <c r="V31" t="n">
        <v>2</v>
      </c>
      <c r="W31" t="n">
        <v>5</v>
      </c>
      <c r="X31" t="n">
        <v>5</v>
      </c>
      <c r="Y31" t="n">
        <v>-48.2</v>
      </c>
      <c r="Z31" t="n">
        <v>121.5</v>
      </c>
      <c r="AA31" t="n">
        <v>2.8</v>
      </c>
      <c r="AB31" t="n">
        <v>0.4</v>
      </c>
      <c r="AC31" t="n">
        <v>3.9</v>
      </c>
      <c r="AD31" t="n">
        <v>0</v>
      </c>
      <c r="AE31" t="n">
        <v>0.5</v>
      </c>
      <c r="AF31" t="n">
        <v>30.4</v>
      </c>
    </row>
    <row r="32">
      <c r="A32" t="s">
        <v>36</v>
      </c>
      <c r="B32" t="s">
        <v>334</v>
      </c>
      <c r="C32" t="s">
        <v>203</v>
      </c>
      <c r="D32" t="s">
        <v>335</v>
      </c>
      <c r="E32" t="s">
        <v>204</v>
      </c>
      <c r="F32" t="n">
        <v>2.3</v>
      </c>
      <c r="G32" t="n">
        <v>0.4</v>
      </c>
      <c r="H32" t="n">
        <v>1.5</v>
      </c>
      <c r="I32" t="n">
        <v>13.2</v>
      </c>
      <c r="J32" t="n">
        <v>18.5</v>
      </c>
      <c r="K32" t="n">
        <v>3.1</v>
      </c>
      <c r="L32" t="n">
        <v>3.3</v>
      </c>
      <c r="M32" t="n">
        <v>129.7</v>
      </c>
      <c r="N32" t="n">
        <v>66.1</v>
      </c>
      <c r="O32" t="n">
        <v>123.4</v>
      </c>
      <c r="P32" t="n">
        <v>176.1</v>
      </c>
      <c r="Q32" t="n">
        <v>87.9</v>
      </c>
      <c r="R32" t="n">
        <v>67.8</v>
      </c>
      <c r="S32" t="n">
        <v>244.3</v>
      </c>
      <c r="T32" t="n">
        <v>193.5</v>
      </c>
      <c r="U32" t="n">
        <v>157.4</v>
      </c>
      <c r="V32" t="n">
        <v>122.9</v>
      </c>
      <c r="W32" t="n">
        <v>36</v>
      </c>
      <c r="X32" t="n">
        <v>36.6</v>
      </c>
      <c r="Y32" t="n">
        <v>50.9</v>
      </c>
      <c r="Z32" t="n">
        <v>345.7</v>
      </c>
      <c r="AA32" t="n">
        <v>123.9</v>
      </c>
      <c r="AB32" t="n">
        <v>142.7</v>
      </c>
      <c r="AC32" t="n">
        <v>126</v>
      </c>
      <c r="AD32" t="n">
        <v>12.6</v>
      </c>
      <c r="AE32" t="n">
        <v>147</v>
      </c>
      <c r="AF32" t="n">
        <v>167.4</v>
      </c>
    </row>
    <row r="33">
      <c r="A33" t="s">
        <v>36</v>
      </c>
      <c r="B33" t="s">
        <v>336</v>
      </c>
      <c r="C33" t="s">
        <v>203</v>
      </c>
      <c r="D33" t="s">
        <v>337</v>
      </c>
      <c r="E33" t="s">
        <v>204</v>
      </c>
      <c r="F33" t="n">
        <v>0.1</v>
      </c>
      <c r="G33" t="n">
        <v>0</v>
      </c>
      <c r="H33" t="n">
        <v>0.1</v>
      </c>
      <c r="I33" t="n">
        <v>0.8</v>
      </c>
      <c r="J33" t="n">
        <v>1.5</v>
      </c>
      <c r="K33" t="n">
        <v>0</v>
      </c>
      <c r="L33" t="n">
        <v>0.1</v>
      </c>
      <c r="M33" t="n">
        <v>0.9</v>
      </c>
      <c r="N33" t="n">
        <v>0.8</v>
      </c>
      <c r="O33" t="n">
        <v>0.9</v>
      </c>
      <c r="P33" t="n">
        <v>2.4</v>
      </c>
      <c r="Q33" t="n">
        <v>5.6</v>
      </c>
      <c r="R33" t="n">
        <v>11.3</v>
      </c>
      <c r="S33" t="n">
        <v>6.5</v>
      </c>
      <c r="T33" t="n">
        <v>7.9</v>
      </c>
      <c r="U33" t="n">
        <v>1.2</v>
      </c>
      <c r="V33" t="n">
        <v>5.1</v>
      </c>
      <c r="W33" t="n">
        <v>0.3</v>
      </c>
      <c r="X33" t="n">
        <v>0.4</v>
      </c>
      <c r="Y33" t="n">
        <v>0</v>
      </c>
      <c r="Z33" t="n">
        <v>9.2</v>
      </c>
      <c r="AA33" t="n">
        <v>10.4</v>
      </c>
      <c r="AB33" t="n">
        <v>2.8</v>
      </c>
      <c r="AC33" t="n">
        <v>27.6</v>
      </c>
      <c r="AD33" t="n">
        <v>6.2</v>
      </c>
      <c r="AE33" t="n">
        <v>12.1</v>
      </c>
      <c r="AF33" t="n">
        <v>1.2</v>
      </c>
    </row>
    <row r="34">
      <c r="A34" t="s">
        <v>36</v>
      </c>
      <c r="B34" t="s">
        <v>338</v>
      </c>
      <c r="C34" t="s">
        <v>203</v>
      </c>
      <c r="D34" t="s">
        <v>339</v>
      </c>
      <c r="E34" t="s">
        <v>204</v>
      </c>
      <c r="F34" t="n">
        <v>2.2</v>
      </c>
      <c r="G34" t="n">
        <v>0.4</v>
      </c>
      <c r="H34" t="n">
        <v>1.4</v>
      </c>
      <c r="I34" t="n">
        <v>12.2</v>
      </c>
      <c r="J34" t="n">
        <v>64.2</v>
      </c>
      <c r="K34" t="n">
        <v>38.9</v>
      </c>
      <c r="L34" t="n">
        <v>46.8</v>
      </c>
      <c r="M34" t="n">
        <v>191</v>
      </c>
      <c r="N34" t="n">
        <v>143.8</v>
      </c>
      <c r="O34" t="n">
        <v>233.6</v>
      </c>
      <c r="P34" t="n">
        <v>292.7</v>
      </c>
      <c r="Q34" t="n">
        <v>153.7</v>
      </c>
      <c r="R34" t="n">
        <v>143.2</v>
      </c>
      <c r="S34" t="n">
        <v>299.6</v>
      </c>
      <c r="T34" t="n">
        <v>284.6</v>
      </c>
      <c r="U34" t="n">
        <v>438.2</v>
      </c>
      <c r="V34" t="n">
        <v>239.7</v>
      </c>
      <c r="W34" t="n">
        <v>341.7</v>
      </c>
      <c r="X34" t="n">
        <v>347.5</v>
      </c>
      <c r="Y34" t="n">
        <v>142.6</v>
      </c>
      <c r="Z34" t="n">
        <v>274.7</v>
      </c>
      <c r="AA34" t="n">
        <v>241</v>
      </c>
      <c r="AB34" t="n">
        <v>452.5</v>
      </c>
      <c r="AC34" t="n">
        <v>417.2</v>
      </c>
      <c r="AD34" t="n">
        <v>327.2</v>
      </c>
      <c r="AE34" t="n">
        <v>265.4</v>
      </c>
      <c r="AF34" t="n">
        <v>133</v>
      </c>
    </row>
    <row r="35">
      <c r="A35" t="s">
        <v>36</v>
      </c>
      <c r="B35" t="s">
        <v>340</v>
      </c>
      <c r="C35" t="s">
        <v>203</v>
      </c>
      <c r="D35" t="s">
        <v>341</v>
      </c>
      <c r="E35" t="s">
        <v>204</v>
      </c>
      <c r="F35" t="n">
        <v>1</v>
      </c>
      <c r="G35" t="n">
        <v>0.2</v>
      </c>
      <c r="H35" t="n">
        <v>0.7</v>
      </c>
      <c r="I35" t="n">
        <v>5.8</v>
      </c>
      <c r="J35" t="n">
        <v>23.2</v>
      </c>
      <c r="K35" t="n">
        <v>26.2</v>
      </c>
      <c r="L35" t="n">
        <v>33.1</v>
      </c>
      <c r="M35" t="n">
        <v>58.7</v>
      </c>
      <c r="N35" t="n">
        <v>106.1</v>
      </c>
      <c r="O35" t="n">
        <v>101</v>
      </c>
      <c r="P35" t="n">
        <v>67.7</v>
      </c>
      <c r="Q35" t="n">
        <v>67.1</v>
      </c>
      <c r="R35" t="n">
        <v>89.5</v>
      </c>
      <c r="S35" t="n">
        <v>260.6</v>
      </c>
      <c r="T35" t="n">
        <v>98.7</v>
      </c>
      <c r="U35" t="n">
        <v>229.9</v>
      </c>
      <c r="V35" t="n">
        <v>149.8</v>
      </c>
      <c r="W35" t="n">
        <v>231.1</v>
      </c>
      <c r="X35" t="n">
        <v>235.1</v>
      </c>
      <c r="Y35" t="n">
        <v>151.8</v>
      </c>
      <c r="Z35" t="n">
        <v>50.5</v>
      </c>
      <c r="AA35" t="n">
        <v>-43.5</v>
      </c>
      <c r="AB35" t="n">
        <v>51.4</v>
      </c>
      <c r="AC35" t="n">
        <v>101.9</v>
      </c>
      <c r="AD35" t="n">
        <v>160</v>
      </c>
      <c r="AE35" t="n">
        <v>40.7</v>
      </c>
      <c r="AF35" t="n">
        <v>56.2</v>
      </c>
    </row>
    <row r="36">
      <c r="A36" t="s">
        <v>36</v>
      </c>
      <c r="B36" t="s">
        <v>342</v>
      </c>
      <c r="C36" t="s">
        <v>203</v>
      </c>
      <c r="D36" t="s">
        <v>343</v>
      </c>
      <c r="E36" t="s">
        <v>204</v>
      </c>
      <c r="F36" t="n">
        <v>1</v>
      </c>
      <c r="G36" t="n">
        <v>0.2</v>
      </c>
      <c r="H36" t="n">
        <v>0.7</v>
      </c>
      <c r="I36" t="n">
        <v>5.8</v>
      </c>
      <c r="J36" t="n">
        <v>22.7</v>
      </c>
      <c r="K36" t="n">
        <v>25.6</v>
      </c>
      <c r="L36" t="n">
        <v>24.6</v>
      </c>
      <c r="M36" t="n">
        <v>54</v>
      </c>
      <c r="N36" t="n">
        <v>88.5</v>
      </c>
      <c r="O36" t="n">
        <v>97.6</v>
      </c>
      <c r="P36" t="n">
        <v>18</v>
      </c>
      <c r="Q36" t="n">
        <v>11.8</v>
      </c>
      <c r="R36" t="n">
        <v>21.9</v>
      </c>
      <c r="S36" t="n">
        <v>14.7</v>
      </c>
      <c r="T36" t="n">
        <v>27.6</v>
      </c>
      <c r="U36" t="n">
        <v>59.2</v>
      </c>
      <c r="V36" t="n">
        <v>17</v>
      </c>
      <c r="W36" t="n">
        <v>14.8</v>
      </c>
      <c r="X36" t="n">
        <v>15.1</v>
      </c>
      <c r="Y36" t="n">
        <v>24.9</v>
      </c>
      <c r="Z36" t="n">
        <v>1.4</v>
      </c>
      <c r="AA36" t="n">
        <v>-8.4</v>
      </c>
      <c r="AB36" t="n">
        <v>2.8</v>
      </c>
      <c r="AC36" t="n">
        <v>7.2</v>
      </c>
      <c r="AD36" t="n">
        <v>9.7</v>
      </c>
      <c r="AE36" t="n">
        <v>6.7</v>
      </c>
      <c r="AF36" t="n">
        <v>8.4</v>
      </c>
    </row>
    <row r="37">
      <c r="A37" t="s">
        <v>36</v>
      </c>
      <c r="B37" t="s">
        <v>344</v>
      </c>
      <c r="C37" t="s">
        <v>203</v>
      </c>
      <c r="D37" t="s">
        <v>345</v>
      </c>
      <c r="E37" t="s">
        <v>204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1.1</v>
      </c>
      <c r="M37" t="n">
        <v>3</v>
      </c>
      <c r="N37" t="n">
        <v>2.2</v>
      </c>
      <c r="O37" t="n">
        <v>0</v>
      </c>
      <c r="P37" t="n">
        <v>46.3</v>
      </c>
      <c r="Q37" t="n">
        <v>53</v>
      </c>
      <c r="R37" t="n">
        <v>59.5</v>
      </c>
      <c r="S37" t="n">
        <v>236.1</v>
      </c>
      <c r="T37" t="n">
        <v>55.3</v>
      </c>
      <c r="U37" t="n">
        <v>151.7</v>
      </c>
      <c r="V37" t="n">
        <v>124.2</v>
      </c>
      <c r="W37" t="n">
        <v>207.9</v>
      </c>
      <c r="X37" t="n">
        <v>211.4</v>
      </c>
      <c r="Y37" t="n">
        <v>91.2</v>
      </c>
      <c r="Z37" t="n">
        <v>32.7</v>
      </c>
      <c r="AA37" t="n">
        <v>-82.6</v>
      </c>
      <c r="AB37" t="n">
        <v>24.7</v>
      </c>
      <c r="AC37" t="n">
        <v>47.6</v>
      </c>
      <c r="AD37" t="n">
        <v>47.9</v>
      </c>
      <c r="AE37" t="n">
        <v>16</v>
      </c>
      <c r="AF37" t="n">
        <v>23.2</v>
      </c>
    </row>
    <row r="38">
      <c r="A38" t="s">
        <v>36</v>
      </c>
      <c r="B38" t="s">
        <v>346</v>
      </c>
      <c r="C38" t="s">
        <v>203</v>
      </c>
      <c r="D38" t="s">
        <v>347</v>
      </c>
      <c r="E38" t="s">
        <v>204</v>
      </c>
      <c r="F38" t="n">
        <v>0</v>
      </c>
      <c r="G38" t="n">
        <v>0</v>
      </c>
      <c r="H38" t="n">
        <v>0</v>
      </c>
      <c r="I38" t="n">
        <v>0</v>
      </c>
      <c r="J38" t="n">
        <v>0.5</v>
      </c>
      <c r="K38" t="n">
        <v>0.6</v>
      </c>
      <c r="L38" t="n">
        <v>7.4</v>
      </c>
      <c r="M38" t="n">
        <v>1.7</v>
      </c>
      <c r="N38" t="n">
        <v>15.4</v>
      </c>
      <c r="O38" t="n">
        <v>3.4</v>
      </c>
      <c r="P38" t="n">
        <v>3.4</v>
      </c>
      <c r="Q38" t="n">
        <v>2.3</v>
      </c>
      <c r="R38" t="n">
        <v>8.1</v>
      </c>
      <c r="S38" t="n">
        <v>9.8</v>
      </c>
      <c r="T38" t="n">
        <v>15.8</v>
      </c>
      <c r="U38" t="n">
        <v>19</v>
      </c>
      <c r="V38" t="n">
        <v>8.6</v>
      </c>
      <c r="W38" t="n">
        <v>8.4</v>
      </c>
      <c r="X38" t="n">
        <v>8.6</v>
      </c>
      <c r="Y38" t="n">
        <v>35.7</v>
      </c>
      <c r="Z38" t="n">
        <v>16.4</v>
      </c>
      <c r="AA38" t="n">
        <v>47.5</v>
      </c>
      <c r="AB38" t="n">
        <v>23.9</v>
      </c>
      <c r="AC38" t="n">
        <v>47.1</v>
      </c>
      <c r="AD38" t="n">
        <v>102.4</v>
      </c>
      <c r="AE38" t="n">
        <v>18</v>
      </c>
      <c r="AF38" t="n">
        <v>24.6</v>
      </c>
    </row>
    <row r="39">
      <c r="A39" t="s">
        <v>36</v>
      </c>
      <c r="B39" t="s">
        <v>348</v>
      </c>
      <c r="C39" t="s">
        <v>203</v>
      </c>
      <c r="D39" t="s">
        <v>349</v>
      </c>
      <c r="E39" t="s">
        <v>204</v>
      </c>
      <c r="F39" t="n">
        <v>3.7</v>
      </c>
      <c r="G39" t="n">
        <v>0.7</v>
      </c>
      <c r="H39" t="n">
        <v>2.4</v>
      </c>
      <c r="I39" t="n">
        <v>20.8</v>
      </c>
      <c r="J39" t="n">
        <v>17.3</v>
      </c>
      <c r="K39" t="n">
        <v>171</v>
      </c>
      <c r="L39" t="n">
        <v>11.6</v>
      </c>
      <c r="M39" t="n">
        <v>14.9</v>
      </c>
      <c r="N39" t="n">
        <v>33.4</v>
      </c>
      <c r="O39" t="n">
        <v>19.2</v>
      </c>
      <c r="P39" t="n">
        <v>25.9</v>
      </c>
      <c r="Q39" t="n">
        <v>37.2</v>
      </c>
      <c r="R39" t="n">
        <v>41.9</v>
      </c>
      <c r="S39" t="n">
        <v>11.5</v>
      </c>
      <c r="T39" t="n">
        <v>122.4</v>
      </c>
      <c r="U39" t="n">
        <v>107.8</v>
      </c>
      <c r="V39" t="n">
        <v>122</v>
      </c>
      <c r="W39" t="n">
        <v>167.4</v>
      </c>
      <c r="X39" t="n">
        <v>170.2</v>
      </c>
      <c r="Y39" t="n">
        <v>132.8</v>
      </c>
      <c r="Z39" t="n">
        <v>-38.7</v>
      </c>
      <c r="AA39" t="n">
        <v>73.2</v>
      </c>
      <c r="AB39" t="n">
        <v>29.9</v>
      </c>
      <c r="AC39" t="n">
        <v>28.2</v>
      </c>
      <c r="AD39" t="n">
        <v>60</v>
      </c>
      <c r="AE39" t="n">
        <v>144.8</v>
      </c>
      <c r="AF39" t="n">
        <v>45.7</v>
      </c>
    </row>
    <row r="40">
      <c r="A40" t="s">
        <v>36</v>
      </c>
      <c r="B40" t="s">
        <v>350</v>
      </c>
      <c r="C40" t="s">
        <v>203</v>
      </c>
      <c r="D40" t="s">
        <v>351</v>
      </c>
      <c r="E40" t="s">
        <v>204</v>
      </c>
      <c r="F40" t="n">
        <v>2.4</v>
      </c>
      <c r="G40" t="n">
        <v>0.4</v>
      </c>
      <c r="H40" t="n">
        <v>1.5</v>
      </c>
      <c r="I40" t="n">
        <v>13.5</v>
      </c>
      <c r="J40" t="n">
        <v>12.7</v>
      </c>
      <c r="K40" t="n">
        <v>7.5</v>
      </c>
      <c r="L40" t="n">
        <v>9.6</v>
      </c>
      <c r="M40" t="n">
        <v>56.5</v>
      </c>
      <c r="N40" t="n">
        <v>14.5</v>
      </c>
      <c r="O40" t="n">
        <v>99.6</v>
      </c>
      <c r="P40" t="n">
        <v>173.7</v>
      </c>
      <c r="Q40" t="n">
        <v>234</v>
      </c>
      <c r="R40" t="n">
        <v>132</v>
      </c>
      <c r="S40" t="n">
        <v>1195.3</v>
      </c>
      <c r="T40" t="n">
        <v>1577.6</v>
      </c>
      <c r="U40" t="n">
        <v>897.5</v>
      </c>
      <c r="V40" t="n">
        <v>963.1</v>
      </c>
      <c r="W40" t="n">
        <v>1126.4</v>
      </c>
      <c r="X40" t="n">
        <v>1145.5</v>
      </c>
      <c r="Y40" t="n">
        <v>491.1</v>
      </c>
      <c r="Z40" t="n">
        <v>65.1</v>
      </c>
      <c r="AA40" t="n">
        <v>456.7</v>
      </c>
      <c r="AB40" t="n">
        <v>740.3</v>
      </c>
      <c r="AC40" t="n">
        <v>1025</v>
      </c>
      <c r="AD40" t="n">
        <v>548.8</v>
      </c>
      <c r="AE40" t="n">
        <v>609.3</v>
      </c>
      <c r="AF40" t="n">
        <v>534.8</v>
      </c>
    </row>
    <row r="41">
      <c r="A41" t="s">
        <v>36</v>
      </c>
      <c r="B41" t="s">
        <v>352</v>
      </c>
      <c r="C41" t="s">
        <v>203</v>
      </c>
      <c r="D41" t="s">
        <v>353</v>
      </c>
      <c r="E41" t="s">
        <v>204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36</v>
      </c>
      <c r="B42" t="s">
        <v>354</v>
      </c>
      <c r="C42" t="s">
        <v>203</v>
      </c>
      <c r="D42" t="s">
        <v>355</v>
      </c>
      <c r="E42" t="s">
        <v>204</v>
      </c>
      <c r="F42" t="n">
        <v>3.8</v>
      </c>
      <c r="G42" t="n">
        <v>0.7</v>
      </c>
      <c r="H42" t="n">
        <v>2.4</v>
      </c>
      <c r="I42" t="n">
        <v>21.4</v>
      </c>
      <c r="J42" t="n">
        <v>45.1</v>
      </c>
      <c r="K42" t="n">
        <v>184.7</v>
      </c>
      <c r="L42" t="n">
        <v>59.1</v>
      </c>
      <c r="M42" t="n">
        <v>58.2</v>
      </c>
      <c r="N42" t="n">
        <v>21.7</v>
      </c>
      <c r="O42" t="n">
        <v>35.4</v>
      </c>
      <c r="P42" t="n">
        <v>48.3</v>
      </c>
      <c r="Q42" t="n">
        <v>40.6</v>
      </c>
      <c r="R42" t="n">
        <v>85.2</v>
      </c>
      <c r="S42" t="n">
        <v>188.9</v>
      </c>
      <c r="T42" t="n">
        <v>122.4</v>
      </c>
      <c r="U42" t="n">
        <v>173</v>
      </c>
      <c r="V42" t="n">
        <v>148.5</v>
      </c>
      <c r="W42" t="n">
        <v>146.2</v>
      </c>
      <c r="X42" t="n">
        <v>148.7</v>
      </c>
      <c r="Y42" t="n">
        <v>76.2</v>
      </c>
      <c r="Z42" t="n">
        <v>94.2</v>
      </c>
      <c r="AA42" t="n">
        <v>95.8</v>
      </c>
      <c r="AB42" t="n">
        <v>23.5</v>
      </c>
      <c r="AC42" t="n">
        <v>99.7</v>
      </c>
      <c r="AD42" t="n">
        <v>74.5</v>
      </c>
      <c r="AE42" t="n">
        <v>65.3</v>
      </c>
      <c r="AF42" t="n">
        <v>93.1</v>
      </c>
    </row>
    <row r="43">
      <c r="A43" t="s">
        <v>36</v>
      </c>
      <c r="B43" t="s">
        <v>356</v>
      </c>
      <c r="C43" t="s">
        <v>203</v>
      </c>
      <c r="D43" t="s">
        <v>357</v>
      </c>
      <c r="E43" t="s">
        <v>204</v>
      </c>
      <c r="F43" t="n">
        <v>5.7</v>
      </c>
      <c r="G43" t="n">
        <v>1</v>
      </c>
      <c r="H43" t="n">
        <v>3.6</v>
      </c>
      <c r="I43" t="n">
        <v>32.3</v>
      </c>
      <c r="J43" t="n">
        <v>213.9</v>
      </c>
      <c r="K43" t="n">
        <v>189.5</v>
      </c>
      <c r="L43" t="n">
        <v>65</v>
      </c>
      <c r="M43" t="n">
        <v>73.2</v>
      </c>
      <c r="N43" t="n">
        <v>74.7</v>
      </c>
      <c r="O43" t="n">
        <v>293.9</v>
      </c>
      <c r="P43" t="n">
        <v>72.2</v>
      </c>
      <c r="Q43" t="n">
        <v>292</v>
      </c>
      <c r="R43" t="n">
        <v>319.8</v>
      </c>
      <c r="S43" t="n">
        <v>285</v>
      </c>
      <c r="T43" t="n">
        <v>177.7</v>
      </c>
      <c r="U43" t="n">
        <v>267.4</v>
      </c>
      <c r="V43" t="n">
        <v>428.4</v>
      </c>
      <c r="W43" t="n">
        <v>252.8</v>
      </c>
      <c r="X43" t="n">
        <v>257.1</v>
      </c>
      <c r="Y43" t="n">
        <v>210.5</v>
      </c>
      <c r="Z43" t="n">
        <v>401.1</v>
      </c>
      <c r="AA43" t="n">
        <v>159.6</v>
      </c>
      <c r="AB43" t="n">
        <v>79.3</v>
      </c>
      <c r="AC43" t="n">
        <v>165.3</v>
      </c>
      <c r="AD43" t="n">
        <v>119.4</v>
      </c>
      <c r="AE43" t="n">
        <v>113.3</v>
      </c>
      <c r="AF43" t="n">
        <v>123</v>
      </c>
    </row>
    <row r="44">
      <c r="A44" t="s">
        <v>36</v>
      </c>
      <c r="B44" t="s">
        <v>358</v>
      </c>
      <c r="C44" t="s">
        <v>203</v>
      </c>
      <c r="D44" t="s">
        <v>359</v>
      </c>
      <c r="E44" t="s">
        <v>204</v>
      </c>
      <c r="F44" t="n">
        <v>59.9</v>
      </c>
      <c r="G44" t="n">
        <v>10.9</v>
      </c>
      <c r="H44" t="n">
        <v>38.3</v>
      </c>
      <c r="I44" t="n">
        <v>337.6</v>
      </c>
      <c r="J44" t="n">
        <v>767.3</v>
      </c>
      <c r="K44" t="n">
        <v>1182.5</v>
      </c>
      <c r="L44" t="n">
        <v>1076.7</v>
      </c>
      <c r="M44" t="n">
        <v>1350.9</v>
      </c>
      <c r="N44" t="n">
        <v>1248.9</v>
      </c>
      <c r="O44" t="n">
        <v>2076.4</v>
      </c>
      <c r="P44" t="n">
        <v>2380.9</v>
      </c>
      <c r="Q44" t="n">
        <v>2713.2</v>
      </c>
      <c r="R44" t="n">
        <v>2790.9</v>
      </c>
      <c r="S44" t="n">
        <v>4661.3</v>
      </c>
      <c r="T44" t="n">
        <v>5498.2</v>
      </c>
      <c r="U44" t="n">
        <v>5527.3</v>
      </c>
      <c r="V44" t="n">
        <v>3679.5</v>
      </c>
      <c r="W44" t="n">
        <v>4733.1</v>
      </c>
      <c r="X44" t="n">
        <v>4813.4</v>
      </c>
      <c r="Y44" t="n">
        <v>4673</v>
      </c>
      <c r="Z44" t="n">
        <v>6163.7</v>
      </c>
      <c r="AA44" t="n">
        <v>5253.4</v>
      </c>
      <c r="AB44" t="n">
        <v>3693.5</v>
      </c>
      <c r="AC44" t="n">
        <v>3655.8</v>
      </c>
      <c r="AD44" t="n">
        <v>2798.4</v>
      </c>
      <c r="AE44" t="n">
        <v>2805.1</v>
      </c>
      <c r="AF44" t="n">
        <v>2567.3</v>
      </c>
    </row>
    <row r="45">
      <c r="A45" t="s">
        <v>36</v>
      </c>
      <c r="B45" t="s">
        <v>360</v>
      </c>
      <c r="C45" t="s">
        <v>203</v>
      </c>
      <c r="D45" t="s">
        <v>361</v>
      </c>
      <c r="E45" t="s">
        <v>204</v>
      </c>
      <c r="F45" t="n">
        <v>58.4</v>
      </c>
      <c r="G45" t="n">
        <v>10.6</v>
      </c>
      <c r="H45" t="n">
        <v>37.4</v>
      </c>
      <c r="I45" t="n">
        <v>329.3</v>
      </c>
      <c r="J45" t="n">
        <v>746.7</v>
      </c>
      <c r="K45" t="n">
        <v>1139.2</v>
      </c>
      <c r="L45" t="n">
        <v>1026.1</v>
      </c>
      <c r="M45" t="n">
        <v>1306.4</v>
      </c>
      <c r="N45" t="n">
        <v>1214.8</v>
      </c>
      <c r="O45" t="n">
        <v>2016.7</v>
      </c>
      <c r="P45" t="n">
        <v>2313.5</v>
      </c>
      <c r="Q45" t="n">
        <v>2652.3</v>
      </c>
      <c r="R45" t="n">
        <v>2731.6</v>
      </c>
      <c r="S45" t="n">
        <v>4479.6</v>
      </c>
      <c r="T45" t="n">
        <v>5360</v>
      </c>
      <c r="U45" t="n">
        <v>5376.9</v>
      </c>
      <c r="V45" t="n">
        <v>3548.9</v>
      </c>
      <c r="W45" t="n">
        <v>4452.8</v>
      </c>
      <c r="X45" t="n">
        <v>4528.3</v>
      </c>
      <c r="Y45" t="n">
        <v>4241.7</v>
      </c>
      <c r="Z45" t="n">
        <v>5912.9</v>
      </c>
      <c r="AA45" t="n">
        <v>5051.2</v>
      </c>
      <c r="AB45" t="n">
        <v>3377.1</v>
      </c>
      <c r="AC45" t="n">
        <v>3320.6</v>
      </c>
      <c r="AD45" t="n">
        <v>2595.2</v>
      </c>
      <c r="AE45" t="n">
        <v>2594.4</v>
      </c>
      <c r="AF45" t="n">
        <v>2386.6</v>
      </c>
    </row>
    <row r="46">
      <c r="A46" t="s">
        <v>36</v>
      </c>
      <c r="B46" t="s">
        <v>362</v>
      </c>
      <c r="C46" t="s">
        <v>203</v>
      </c>
      <c r="D46" t="s">
        <v>363</v>
      </c>
      <c r="E46" t="s">
        <v>204</v>
      </c>
      <c r="F46" t="n">
        <v>1.9</v>
      </c>
      <c r="G46" t="n">
        <v>0.3</v>
      </c>
      <c r="H46" t="n">
        <v>1.2</v>
      </c>
      <c r="I46" t="n">
        <v>10.9</v>
      </c>
      <c r="J46" t="n">
        <v>168.8</v>
      </c>
      <c r="K46" t="n">
        <v>4.8</v>
      </c>
      <c r="L46" t="n">
        <v>5.9</v>
      </c>
      <c r="M46" t="n">
        <v>15</v>
      </c>
      <c r="N46" t="n">
        <v>53</v>
      </c>
      <c r="O46" t="n">
        <v>258.5</v>
      </c>
      <c r="P46" t="n">
        <v>23.9</v>
      </c>
      <c r="Q46" t="n">
        <v>251.4</v>
      </c>
      <c r="R46" t="n">
        <v>234.6</v>
      </c>
      <c r="S46" t="n">
        <v>96.1</v>
      </c>
      <c r="T46" t="n">
        <v>55.3</v>
      </c>
      <c r="U46" t="n">
        <v>94.4</v>
      </c>
      <c r="V46" t="n">
        <v>279.9</v>
      </c>
      <c r="W46" t="n">
        <v>106.6</v>
      </c>
      <c r="X46" t="n">
        <v>108.4</v>
      </c>
      <c r="Y46" t="n">
        <v>134.3</v>
      </c>
      <c r="Z46" t="n">
        <v>306.9</v>
      </c>
      <c r="AA46" t="n">
        <v>63.8</v>
      </c>
      <c r="AB46" t="n">
        <v>55.8</v>
      </c>
      <c r="AC46" t="n">
        <v>65.6</v>
      </c>
      <c r="AD46" t="n">
        <v>44.9</v>
      </c>
      <c r="AE46" t="n">
        <v>48</v>
      </c>
      <c r="AF46" t="n">
        <v>29.9</v>
      </c>
    </row>
    <row r="47">
      <c r="A47" t="s">
        <v>36</v>
      </c>
      <c r="B47" t="s">
        <v>364</v>
      </c>
      <c r="C47" t="s">
        <v>203</v>
      </c>
      <c r="D47" t="s">
        <v>365</v>
      </c>
      <c r="E47" t="s">
        <v>204</v>
      </c>
      <c r="F47" t="n">
        <v>56.6</v>
      </c>
      <c r="G47" t="n">
        <v>10.2</v>
      </c>
      <c r="H47" t="n">
        <v>36</v>
      </c>
      <c r="I47" t="n">
        <v>319.5</v>
      </c>
      <c r="J47" t="n">
        <v>687</v>
      </c>
      <c r="K47" t="n">
        <v>371.3</v>
      </c>
      <c r="L47" t="n">
        <v>369.8</v>
      </c>
      <c r="M47" t="n">
        <v>171.9</v>
      </c>
      <c r="N47" t="n">
        <v>502.4</v>
      </c>
      <c r="O47" t="n">
        <v>625.2</v>
      </c>
      <c r="P47" t="n">
        <v>529.7</v>
      </c>
      <c r="Q47" t="n">
        <v>728.5</v>
      </c>
      <c r="R47" t="n">
        <v>1002.9</v>
      </c>
      <c r="S47" t="n">
        <v>1793.5</v>
      </c>
      <c r="T47" t="n">
        <v>2470.1</v>
      </c>
      <c r="U47" t="n">
        <v>1915.1</v>
      </c>
      <c r="V47" t="n">
        <v>1739.7</v>
      </c>
      <c r="W47" t="n">
        <v>2069.5</v>
      </c>
      <c r="X47" t="n">
        <v>2104.5</v>
      </c>
      <c r="Y47" t="n">
        <v>2526.8</v>
      </c>
      <c r="Z47" t="n">
        <v>995.2</v>
      </c>
      <c r="AA47" t="n">
        <v>295.6</v>
      </c>
      <c r="AB47" t="n">
        <v>1057</v>
      </c>
      <c r="AC47" t="n">
        <v>1430</v>
      </c>
      <c r="AD47" t="n">
        <v>2288.6</v>
      </c>
      <c r="AE47" t="n">
        <v>2429.1</v>
      </c>
      <c r="AF47" t="n">
        <v>1727.5</v>
      </c>
    </row>
    <row r="48">
      <c r="A48" t="s">
        <v>36</v>
      </c>
      <c r="B48" t="s">
        <v>366</v>
      </c>
      <c r="C48" t="s">
        <v>203</v>
      </c>
      <c r="D48" t="s">
        <v>367</v>
      </c>
      <c r="E48" t="s">
        <v>204</v>
      </c>
      <c r="F48" t="n">
        <v>61</v>
      </c>
      <c r="G48" t="n">
        <v>10.9</v>
      </c>
      <c r="H48" t="n">
        <v>38.8</v>
      </c>
      <c r="I48" t="n">
        <v>343.8</v>
      </c>
      <c r="J48" t="n">
        <v>692.2</v>
      </c>
      <c r="K48" t="n">
        <v>414.9</v>
      </c>
      <c r="L48" t="n">
        <v>417.8</v>
      </c>
      <c r="M48" t="n">
        <v>249</v>
      </c>
      <c r="N48" t="n">
        <v>660.8</v>
      </c>
      <c r="O48" t="n">
        <v>807.7</v>
      </c>
      <c r="P48" t="n">
        <v>861</v>
      </c>
      <c r="Q48" t="n">
        <v>998.7</v>
      </c>
      <c r="R48" t="n">
        <v>1460.4</v>
      </c>
      <c r="S48" t="n">
        <v>2285.7</v>
      </c>
      <c r="T48" t="n">
        <v>2796.2</v>
      </c>
      <c r="U48" t="n">
        <v>2040.4</v>
      </c>
      <c r="V48" t="n">
        <v>1903.3</v>
      </c>
      <c r="W48" t="n">
        <v>2309.7</v>
      </c>
      <c r="X48" t="n">
        <v>2348.8</v>
      </c>
      <c r="Y48" t="n">
        <v>2628.9</v>
      </c>
      <c r="Z48" t="n">
        <v>1219.7</v>
      </c>
      <c r="AA48" t="n">
        <v>600.4</v>
      </c>
      <c r="AB48" t="n">
        <v>1144.4</v>
      </c>
      <c r="AC48" t="n">
        <v>1511.4</v>
      </c>
      <c r="AD48" t="n">
        <v>2367.7</v>
      </c>
      <c r="AE48" t="n">
        <v>2603.2</v>
      </c>
      <c r="AF48" t="n">
        <v>1858.1</v>
      </c>
    </row>
    <row r="49">
      <c r="A49" t="s">
        <v>36</v>
      </c>
      <c r="B49" t="s">
        <v>368</v>
      </c>
      <c r="C49" t="s">
        <v>203</v>
      </c>
      <c r="D49" t="s">
        <v>369</v>
      </c>
      <c r="E49" t="s">
        <v>204</v>
      </c>
      <c r="F49" t="n">
        <v>3.6</v>
      </c>
      <c r="G49" t="n">
        <v>0.6</v>
      </c>
      <c r="H49" t="n">
        <v>2.3</v>
      </c>
      <c r="I49" t="n">
        <v>20</v>
      </c>
      <c r="J49" t="n">
        <v>0.6</v>
      </c>
      <c r="K49" t="n">
        <v>28.8</v>
      </c>
      <c r="L49" t="n">
        <v>16.3</v>
      </c>
      <c r="M49" t="n">
        <v>11.1</v>
      </c>
      <c r="N49" t="n">
        <v>88</v>
      </c>
      <c r="O49" t="n">
        <v>111.7</v>
      </c>
      <c r="P49" t="n">
        <v>208.8</v>
      </c>
      <c r="Q49" t="n">
        <v>159.7</v>
      </c>
      <c r="R49" t="n">
        <v>344.5</v>
      </c>
      <c r="S49" t="n">
        <v>418.5</v>
      </c>
      <c r="T49" t="n">
        <v>262.9</v>
      </c>
      <c r="U49" t="n">
        <v>39.6</v>
      </c>
      <c r="V49" t="n">
        <v>113.1</v>
      </c>
      <c r="W49" t="n">
        <v>78.5</v>
      </c>
      <c r="X49" t="n">
        <v>79.8</v>
      </c>
      <c r="Y49" t="n">
        <v>21.6</v>
      </c>
      <c r="Z49" t="n">
        <v>128.6</v>
      </c>
      <c r="AA49" t="n">
        <v>78.5</v>
      </c>
      <c r="AB49" t="n">
        <v>22.8</v>
      </c>
      <c r="AC49" t="n">
        <v>42</v>
      </c>
      <c r="AD49" t="n">
        <v>27.2</v>
      </c>
      <c r="AE49" t="n">
        <v>29.2</v>
      </c>
      <c r="AF49" t="n">
        <v>42.3</v>
      </c>
    </row>
    <row r="50">
      <c r="A50" t="s">
        <v>36</v>
      </c>
      <c r="B50" t="s">
        <v>370</v>
      </c>
      <c r="C50" t="s">
        <v>203</v>
      </c>
      <c r="D50" t="s">
        <v>371</v>
      </c>
      <c r="E50" t="s">
        <v>204</v>
      </c>
      <c r="F50" t="n">
        <v>0.8</v>
      </c>
      <c r="G50" t="n">
        <v>0.1</v>
      </c>
      <c r="H50" t="n">
        <v>0.5</v>
      </c>
      <c r="I50" t="n">
        <v>4.3</v>
      </c>
      <c r="J50" t="n">
        <v>5.2</v>
      </c>
      <c r="K50" t="n">
        <v>14.8</v>
      </c>
      <c r="L50" t="n">
        <v>31.7</v>
      </c>
      <c r="M50" t="n">
        <v>65.9</v>
      </c>
      <c r="N50" t="n">
        <v>70.3</v>
      </c>
      <c r="O50" t="n">
        <v>70.7</v>
      </c>
      <c r="P50" t="n">
        <v>122.4</v>
      </c>
      <c r="Q50" t="n">
        <v>110.6</v>
      </c>
      <c r="R50" t="n">
        <v>113</v>
      </c>
      <c r="S50" t="n">
        <v>73.7</v>
      </c>
      <c r="T50" t="n">
        <v>63.2</v>
      </c>
      <c r="U50" t="n">
        <v>85.8</v>
      </c>
      <c r="V50" t="n">
        <v>50.5</v>
      </c>
      <c r="W50" t="n">
        <v>161.7</v>
      </c>
      <c r="X50" t="n">
        <v>164.5</v>
      </c>
      <c r="Y50" t="n">
        <v>80.6</v>
      </c>
      <c r="Z50" t="n">
        <v>96</v>
      </c>
      <c r="AA50" t="n">
        <v>226.3</v>
      </c>
      <c r="AB50" t="n">
        <v>64.6</v>
      </c>
      <c r="AC50" t="n">
        <v>39.4</v>
      </c>
      <c r="AD50" t="n">
        <v>51.9</v>
      </c>
      <c r="AE50" t="n">
        <v>144.8</v>
      </c>
      <c r="AF50" t="n">
        <v>88.4</v>
      </c>
    </row>
    <row r="51">
      <c r="A51" t="s">
        <v>36</v>
      </c>
      <c r="B51" t="s">
        <v>372</v>
      </c>
      <c r="C51" t="s">
        <v>203</v>
      </c>
      <c r="D51" t="s">
        <v>373</v>
      </c>
      <c r="E51" t="s">
        <v>204</v>
      </c>
      <c r="F51" t="n">
        <v>0.2</v>
      </c>
      <c r="G51" t="n">
        <v>0</v>
      </c>
      <c r="H51" t="n">
        <v>0.1</v>
      </c>
      <c r="I51" t="n">
        <v>1.2</v>
      </c>
      <c r="J51" t="n">
        <v>4.7</v>
      </c>
      <c r="K51" t="n">
        <v>14.7</v>
      </c>
      <c r="L51" t="n">
        <v>31.4</v>
      </c>
      <c r="M51" t="n">
        <v>62.2</v>
      </c>
      <c r="N51" t="n">
        <v>68.7</v>
      </c>
      <c r="O51" t="n">
        <v>70.3</v>
      </c>
      <c r="P51" t="n">
        <v>121.4</v>
      </c>
      <c r="Q51" t="n">
        <v>110</v>
      </c>
      <c r="R51" t="n">
        <v>111.1</v>
      </c>
      <c r="S51" t="n">
        <v>72.1</v>
      </c>
      <c r="T51" t="n">
        <v>61.2</v>
      </c>
      <c r="U51" t="n">
        <v>55.4</v>
      </c>
      <c r="V51" t="n">
        <v>48.8</v>
      </c>
      <c r="W51" t="n">
        <v>158.9</v>
      </c>
      <c r="X51" t="n">
        <v>161.6</v>
      </c>
      <c r="Y51" t="n">
        <v>77.8</v>
      </c>
      <c r="Z51" t="n">
        <v>75.4</v>
      </c>
      <c r="AA51" t="n">
        <v>221.4</v>
      </c>
      <c r="AB51" t="n">
        <v>63.4</v>
      </c>
      <c r="AC51" t="n">
        <v>38.6</v>
      </c>
      <c r="AD51" t="n">
        <v>46.4</v>
      </c>
      <c r="AE51" t="n">
        <v>136.1</v>
      </c>
      <c r="AF51" t="n">
        <v>87</v>
      </c>
    </row>
    <row r="52">
      <c r="A52" t="s">
        <v>36</v>
      </c>
      <c r="B52" t="s">
        <v>374</v>
      </c>
      <c r="C52" t="s">
        <v>203</v>
      </c>
      <c r="D52" t="s">
        <v>375</v>
      </c>
      <c r="E52" t="s">
        <v>204</v>
      </c>
      <c r="F52" t="n">
        <v>0.5</v>
      </c>
      <c r="G52" t="n">
        <v>0.1</v>
      </c>
      <c r="H52" t="n">
        <v>0.3</v>
      </c>
      <c r="I52" t="n">
        <v>3.1</v>
      </c>
      <c r="J52" t="n">
        <v>0.5</v>
      </c>
      <c r="K52" t="n">
        <v>0.1</v>
      </c>
      <c r="L52" t="n">
        <v>0.3</v>
      </c>
      <c r="M52" t="n">
        <v>3.7</v>
      </c>
      <c r="N52" t="n">
        <v>1.6</v>
      </c>
      <c r="O52" t="n">
        <v>0.4</v>
      </c>
      <c r="P52" t="n">
        <v>1</v>
      </c>
      <c r="Q52" t="n">
        <v>0.6</v>
      </c>
      <c r="R52" t="n">
        <v>1.9</v>
      </c>
      <c r="S52" t="n">
        <v>1.6</v>
      </c>
      <c r="T52" t="n">
        <v>2</v>
      </c>
      <c r="U52" t="n">
        <v>30.4</v>
      </c>
      <c r="V52" t="n">
        <v>1.7</v>
      </c>
      <c r="W52" t="n">
        <v>2.8</v>
      </c>
      <c r="X52" t="n">
        <v>2.9</v>
      </c>
      <c r="Y52" t="n">
        <v>2.8</v>
      </c>
      <c r="Z52" t="n">
        <v>20.6</v>
      </c>
      <c r="AA52" t="n">
        <v>4.9</v>
      </c>
      <c r="AB52" t="n">
        <v>1.2</v>
      </c>
      <c r="AC52" t="n">
        <v>0.8</v>
      </c>
      <c r="AD52" t="n">
        <v>5.5</v>
      </c>
      <c r="AE52" t="n">
        <v>8.7</v>
      </c>
      <c r="AF52" t="n">
        <v>1.4</v>
      </c>
    </row>
    <row r="53">
      <c r="A53" t="s">
        <v>36</v>
      </c>
      <c r="B53" t="s">
        <v>376</v>
      </c>
      <c r="C53" t="s">
        <v>203</v>
      </c>
      <c r="D53" t="s">
        <v>377</v>
      </c>
      <c r="E53" t="s">
        <v>204</v>
      </c>
      <c r="F53" t="n">
        <v>0.2</v>
      </c>
      <c r="G53" t="n">
        <v>0</v>
      </c>
      <c r="H53" t="n">
        <v>0.2</v>
      </c>
      <c r="I53" t="n">
        <v>1.4</v>
      </c>
      <c r="J53" t="n">
        <v>7.9</v>
      </c>
      <c r="K53" t="n">
        <v>3.3</v>
      </c>
      <c r="L53" t="n">
        <v>8.2</v>
      </c>
      <c r="M53" t="n">
        <v>10.2</v>
      </c>
      <c r="N53" t="n">
        <v>9.4</v>
      </c>
      <c r="O53" t="n">
        <v>43.4</v>
      </c>
      <c r="P53" t="n">
        <v>23.4</v>
      </c>
      <c r="Q53" t="n">
        <v>28.8</v>
      </c>
      <c r="R53" t="n">
        <v>55.1</v>
      </c>
      <c r="S53" t="n">
        <v>65.1</v>
      </c>
      <c r="T53" t="n">
        <v>69.5</v>
      </c>
      <c r="U53" t="n">
        <v>102</v>
      </c>
      <c r="V53" t="n">
        <v>14.6</v>
      </c>
      <c r="W53" t="n">
        <v>140.1</v>
      </c>
      <c r="X53" t="n">
        <v>142.5</v>
      </c>
      <c r="Y53" t="n">
        <v>50.7</v>
      </c>
      <c r="Z53" t="n">
        <v>294.9</v>
      </c>
      <c r="AA53" t="n">
        <v>99.8</v>
      </c>
      <c r="AB53" t="n">
        <v>33</v>
      </c>
      <c r="AC53" t="n">
        <v>34.1</v>
      </c>
      <c r="AD53" t="n">
        <v>34.7</v>
      </c>
      <c r="AE53" t="n">
        <v>26.1</v>
      </c>
      <c r="AF53" t="n">
        <v>16.9</v>
      </c>
    </row>
    <row r="54">
      <c r="A54" t="s">
        <v>36</v>
      </c>
      <c r="B54" t="s">
        <v>378</v>
      </c>
      <c r="C54" t="s">
        <v>203</v>
      </c>
      <c r="D54" t="s">
        <v>379</v>
      </c>
      <c r="E54" t="s">
        <v>204</v>
      </c>
      <c r="F54" t="n">
        <v>0.2</v>
      </c>
      <c r="G54" t="n">
        <v>0</v>
      </c>
      <c r="H54" t="n">
        <v>0.2</v>
      </c>
      <c r="I54" t="n">
        <v>1.5</v>
      </c>
      <c r="J54" t="n">
        <v>8.4</v>
      </c>
      <c r="K54" t="n">
        <v>6</v>
      </c>
      <c r="L54" t="n">
        <v>8.8</v>
      </c>
      <c r="M54" t="n">
        <v>15.9</v>
      </c>
      <c r="N54" t="n">
        <v>9.4</v>
      </c>
      <c r="O54" t="n">
        <v>44.3</v>
      </c>
      <c r="P54" t="n">
        <v>25.4</v>
      </c>
      <c r="Q54" t="n">
        <v>32.2</v>
      </c>
      <c r="R54" t="n">
        <v>59.5</v>
      </c>
      <c r="S54" t="n">
        <v>65.1</v>
      </c>
      <c r="T54" t="n">
        <v>69.5</v>
      </c>
      <c r="U54" t="n">
        <v>155.9</v>
      </c>
      <c r="V54" t="n">
        <v>24.3</v>
      </c>
      <c r="W54" t="n">
        <v>174.5</v>
      </c>
      <c r="X54" t="n">
        <v>177.5</v>
      </c>
      <c r="Y54" t="n">
        <v>87.8</v>
      </c>
      <c r="Z54" t="n">
        <v>328.8</v>
      </c>
      <c r="AA54" t="n">
        <v>123.3</v>
      </c>
      <c r="AB54" t="n">
        <v>52.7</v>
      </c>
      <c r="AC54" t="n">
        <v>65.3</v>
      </c>
      <c r="AD54" t="n">
        <v>61</v>
      </c>
      <c r="AE54" t="n">
        <v>46.8</v>
      </c>
      <c r="AF54" t="n">
        <v>56.2</v>
      </c>
    </row>
    <row r="55">
      <c r="A55" t="s">
        <v>36</v>
      </c>
      <c r="B55" t="s">
        <v>380</v>
      </c>
      <c r="C55" t="s">
        <v>203</v>
      </c>
      <c r="D55" t="s">
        <v>381</v>
      </c>
      <c r="E55" t="s">
        <v>204</v>
      </c>
      <c r="F55" t="n">
        <v>0</v>
      </c>
      <c r="G55" t="n">
        <v>0</v>
      </c>
      <c r="H55" t="n">
        <v>0</v>
      </c>
      <c r="I55" t="n">
        <v>0.1</v>
      </c>
      <c r="J55" t="n">
        <v>0.5</v>
      </c>
      <c r="K55" t="n">
        <v>2.7</v>
      </c>
      <c r="L55" t="n">
        <v>0.6</v>
      </c>
      <c r="M55" t="n">
        <v>5.7</v>
      </c>
      <c r="N55" t="n">
        <v>0</v>
      </c>
      <c r="O55" t="n">
        <v>0.9</v>
      </c>
      <c r="P55" t="n">
        <v>2</v>
      </c>
      <c r="Q55" t="n">
        <v>3.4</v>
      </c>
      <c r="R55" t="n">
        <v>4.4</v>
      </c>
      <c r="S55" t="n">
        <v>0</v>
      </c>
      <c r="T55" t="n">
        <v>0</v>
      </c>
      <c r="U55" t="n">
        <v>53.9</v>
      </c>
      <c r="V55" t="n">
        <v>9.7</v>
      </c>
      <c r="W55" t="n">
        <v>34.4</v>
      </c>
      <c r="X55" t="n">
        <v>35</v>
      </c>
      <c r="Y55" t="n">
        <v>37.1</v>
      </c>
      <c r="Z55" t="n">
        <v>33.9</v>
      </c>
      <c r="AA55" t="n">
        <v>23.5</v>
      </c>
      <c r="AB55" t="n">
        <v>19.7</v>
      </c>
      <c r="AC55" t="n">
        <v>31.2</v>
      </c>
      <c r="AD55" t="n">
        <v>26.3</v>
      </c>
      <c r="AE55" t="n">
        <v>20.7</v>
      </c>
      <c r="AF55" t="n">
        <v>39.3</v>
      </c>
    </row>
    <row r="56">
      <c r="A56" t="s">
        <v>36</v>
      </c>
      <c r="B56" t="s">
        <v>382</v>
      </c>
      <c r="C56" t="s">
        <v>203</v>
      </c>
      <c r="D56" t="s">
        <v>383</v>
      </c>
      <c r="E56" t="s">
        <v>204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36</v>
      </c>
      <c r="B57" t="s">
        <v>384</v>
      </c>
      <c r="C57" t="s">
        <v>203</v>
      </c>
      <c r="D57" t="s">
        <v>385</v>
      </c>
      <c r="E57" t="s">
        <v>204</v>
      </c>
      <c r="F57" t="n">
        <v>123.3</v>
      </c>
      <c r="G57" t="n">
        <v>22.2</v>
      </c>
      <c r="H57" t="n">
        <v>78.6</v>
      </c>
      <c r="I57" t="n">
        <v>694.9</v>
      </c>
      <c r="J57" t="n">
        <v>1472.8</v>
      </c>
      <c r="K57" t="n">
        <v>1604.9</v>
      </c>
      <c r="L57" t="n">
        <v>1504.1</v>
      </c>
      <c r="M57" t="n">
        <v>1656.3</v>
      </c>
      <c r="N57" t="n">
        <v>1924.1</v>
      </c>
      <c r="O57" t="n">
        <v>2983.6</v>
      </c>
      <c r="P57" t="n">
        <v>3415.5</v>
      </c>
      <c r="Q57" t="n">
        <v>3946</v>
      </c>
      <c r="R57" t="n">
        <v>4383.3</v>
      </c>
      <c r="S57" t="n">
        <v>8142.3</v>
      </c>
      <c r="T57" t="n">
        <v>9872</v>
      </c>
      <c r="U57" t="n">
        <v>8465.3</v>
      </c>
      <c r="V57" t="n">
        <v>6545.9</v>
      </c>
      <c r="W57" t="n">
        <v>8169.2</v>
      </c>
      <c r="X57" t="n">
        <v>8307.7</v>
      </c>
      <c r="Y57" t="n">
        <v>7793.1</v>
      </c>
      <c r="Z57" t="n">
        <v>7448.6</v>
      </c>
      <c r="AA57" t="n">
        <v>6310.5</v>
      </c>
      <c r="AB57" t="n">
        <v>5578.2</v>
      </c>
      <c r="AC57" t="n">
        <v>6192.2</v>
      </c>
      <c r="AD57" t="n">
        <v>5714.9</v>
      </c>
      <c r="AE57" t="n">
        <v>6017.5</v>
      </c>
      <c r="AF57" t="n">
        <v>4960.3</v>
      </c>
    </row>
    <row r="58">
      <c r="A58" t="s">
        <v>36</v>
      </c>
      <c r="B58" t="s">
        <v>386</v>
      </c>
      <c r="C58" t="s">
        <v>203</v>
      </c>
      <c r="D58" t="s">
        <v>387</v>
      </c>
      <c r="E58" t="s">
        <v>204</v>
      </c>
      <c r="F58" t="n">
        <v>123.3</v>
      </c>
      <c r="G58" t="n">
        <v>22.2</v>
      </c>
      <c r="H58" t="n">
        <v>78.6</v>
      </c>
      <c r="I58" t="n">
        <v>694.9</v>
      </c>
      <c r="J58" t="n">
        <v>1472.8</v>
      </c>
      <c r="K58" t="n">
        <v>1604.9</v>
      </c>
      <c r="L58" t="n">
        <v>1504.1</v>
      </c>
      <c r="M58" t="n">
        <v>1656.3</v>
      </c>
      <c r="N58" t="n">
        <v>1924.1</v>
      </c>
      <c r="O58" t="n">
        <v>2983.6</v>
      </c>
      <c r="P58" t="n">
        <v>3415.5</v>
      </c>
      <c r="Q58" t="n">
        <v>3946</v>
      </c>
      <c r="R58" t="n">
        <v>4383.3</v>
      </c>
      <c r="S58" t="n">
        <v>8142.3</v>
      </c>
      <c r="T58" t="n">
        <v>9872</v>
      </c>
      <c r="U58" t="n">
        <v>8465.3</v>
      </c>
      <c r="V58" t="n">
        <v>6545.9</v>
      </c>
      <c r="W58" t="n">
        <v>8169.2</v>
      </c>
      <c r="X58" t="n">
        <v>8307.7</v>
      </c>
      <c r="Y58" t="n">
        <v>7793.1</v>
      </c>
      <c r="Z58" t="n">
        <v>7448.6</v>
      </c>
      <c r="AA58" t="n">
        <v>6310.5</v>
      </c>
      <c r="AB58" t="n">
        <v>5578.2</v>
      </c>
      <c r="AC58" t="n">
        <v>6192.2</v>
      </c>
      <c r="AD58" t="n">
        <v>5714.9</v>
      </c>
      <c r="AE58" t="n">
        <v>6017.5</v>
      </c>
      <c r="AF58" t="n">
        <v>4960.3</v>
      </c>
    </row>
    <row r="59">
      <c r="A59" t="s">
        <v>36</v>
      </c>
      <c r="B59" t="s">
        <v>388</v>
      </c>
      <c r="C59" t="s">
        <v>203</v>
      </c>
      <c r="D59" t="s">
        <v>389</v>
      </c>
      <c r="E59" t="s">
        <v>204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38</v>
      </c>
      <c r="B2" t="s">
        <v>197</v>
      </c>
      <c r="C2" t="s">
        <v>203</v>
      </c>
      <c r="D2" t="s">
        <v>199</v>
      </c>
      <c r="E2" t="s">
        <v>204</v>
      </c>
      <c r="F2" t="n">
        <v>0.1</v>
      </c>
      <c r="G2" t="n">
        <v>0</v>
      </c>
      <c r="H2" t="n">
        <v>0.1</v>
      </c>
      <c r="I2" t="n">
        <v>0.6</v>
      </c>
      <c r="J2" t="n">
        <v>0</v>
      </c>
      <c r="K2" t="n">
        <v>11.8</v>
      </c>
      <c r="L2" t="n">
        <v>11.2</v>
      </c>
      <c r="M2" t="n">
        <v>2.9</v>
      </c>
      <c r="N2" t="n">
        <v>2.9</v>
      </c>
      <c r="O2" t="n">
        <v>9.5</v>
      </c>
      <c r="P2" t="n">
        <v>0.9</v>
      </c>
      <c r="Q2" t="n">
        <v>2.8</v>
      </c>
      <c r="R2" t="n">
        <v>7</v>
      </c>
      <c r="S2" t="n">
        <v>10</v>
      </c>
      <c r="T2" t="n">
        <v>3</v>
      </c>
      <c r="U2" t="n">
        <v>3</v>
      </c>
      <c r="V2" t="n">
        <v>3.5</v>
      </c>
      <c r="W2" t="n">
        <v>2.4</v>
      </c>
      <c r="X2" t="n">
        <v>2.4</v>
      </c>
      <c r="Y2" t="n">
        <v>4.5</v>
      </c>
      <c r="Z2" t="n">
        <v>8.6</v>
      </c>
      <c r="AA2" t="n">
        <v>0.9</v>
      </c>
      <c r="AB2" t="n">
        <v>3.8</v>
      </c>
      <c r="AC2" t="n">
        <v>4.7</v>
      </c>
      <c r="AD2" t="n">
        <v>3.7</v>
      </c>
      <c r="AE2" t="n">
        <v>9</v>
      </c>
      <c r="AF2" t="n">
        <v>4.1</v>
      </c>
    </row>
    <row r="3">
      <c r="A3" t="s">
        <v>38</v>
      </c>
      <c r="B3" t="s">
        <v>276</v>
      </c>
      <c r="C3" t="s">
        <v>203</v>
      </c>
      <c r="D3" t="s">
        <v>277</v>
      </c>
      <c r="E3" t="s">
        <v>204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</v>
      </c>
      <c r="L3" t="n">
        <v>0.9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0.9</v>
      </c>
      <c r="S3" t="n">
        <v>1.8</v>
      </c>
      <c r="T3" t="n">
        <v>8.9</v>
      </c>
      <c r="U3" t="n">
        <v>6.3</v>
      </c>
      <c r="V3" t="n">
        <v>0.7</v>
      </c>
      <c r="W3" t="n">
        <v>1.4</v>
      </c>
      <c r="X3" t="n">
        <v>1.4</v>
      </c>
      <c r="Y3" t="n">
        <v>1.2</v>
      </c>
      <c r="Z3" t="n">
        <v>0.9</v>
      </c>
      <c r="AA3" t="n">
        <v>2.2</v>
      </c>
      <c r="AB3" t="n">
        <v>3.4</v>
      </c>
      <c r="AC3" t="n">
        <v>-1.2</v>
      </c>
      <c r="AD3" t="n">
        <v>0.1</v>
      </c>
      <c r="AE3" t="n">
        <v>0</v>
      </c>
      <c r="AF3" t="n">
        <v>0.5</v>
      </c>
    </row>
    <row r="4">
      <c r="A4" t="s">
        <v>38</v>
      </c>
      <c r="B4" t="s">
        <v>278</v>
      </c>
      <c r="C4" t="s">
        <v>203</v>
      </c>
      <c r="D4" t="s">
        <v>279</v>
      </c>
      <c r="E4" t="s">
        <v>204</v>
      </c>
      <c r="F4" t="n">
        <v>3.2</v>
      </c>
      <c r="G4" t="n">
        <v>0.6</v>
      </c>
      <c r="H4" t="n">
        <v>2</v>
      </c>
      <c r="I4" t="n">
        <v>18.1</v>
      </c>
      <c r="J4" t="n">
        <v>10.2</v>
      </c>
      <c r="K4" t="n">
        <v>16.8</v>
      </c>
      <c r="L4" t="n">
        <v>37.2</v>
      </c>
      <c r="M4" t="n">
        <v>15.4</v>
      </c>
      <c r="N4" t="n">
        <v>29</v>
      </c>
      <c r="O4" t="n">
        <v>6.6</v>
      </c>
      <c r="P4" t="n">
        <v>20</v>
      </c>
      <c r="Q4" t="n">
        <v>32.4</v>
      </c>
      <c r="R4" t="n">
        <v>36.6</v>
      </c>
      <c r="S4" t="n">
        <v>30.9</v>
      </c>
      <c r="T4" t="n">
        <v>34.9</v>
      </c>
      <c r="U4" t="n">
        <v>8.1</v>
      </c>
      <c r="V4" t="n">
        <v>10.4</v>
      </c>
      <c r="W4" t="n">
        <v>4.4</v>
      </c>
      <c r="X4" t="n">
        <v>4.5</v>
      </c>
      <c r="Y4" t="n">
        <v>3.4</v>
      </c>
      <c r="Z4" t="n">
        <v>6</v>
      </c>
      <c r="AA4" t="n">
        <v>5.5</v>
      </c>
      <c r="AB4" t="n">
        <v>10.7</v>
      </c>
      <c r="AC4" t="n">
        <v>25.3</v>
      </c>
      <c r="AD4" t="n">
        <v>24.4</v>
      </c>
      <c r="AE4" t="n">
        <v>31.4</v>
      </c>
      <c r="AF4" t="n">
        <v>35</v>
      </c>
    </row>
    <row r="5">
      <c r="A5" t="s">
        <v>38</v>
      </c>
      <c r="B5" t="s">
        <v>280</v>
      </c>
      <c r="C5" t="s">
        <v>203</v>
      </c>
      <c r="D5" t="s">
        <v>281</v>
      </c>
      <c r="E5" t="s">
        <v>204</v>
      </c>
      <c r="F5" t="n">
        <v>3.1</v>
      </c>
      <c r="G5" t="n">
        <v>0.6</v>
      </c>
      <c r="H5" t="n">
        <v>2</v>
      </c>
      <c r="I5" t="n">
        <v>17.5</v>
      </c>
      <c r="J5" t="n">
        <v>3.4</v>
      </c>
      <c r="K5" t="n">
        <v>0</v>
      </c>
      <c r="L5" t="n">
        <v>9.5</v>
      </c>
      <c r="M5" t="n">
        <v>1</v>
      </c>
      <c r="N5" t="n">
        <v>13.6</v>
      </c>
      <c r="O5" t="n">
        <v>0.9</v>
      </c>
      <c r="P5" t="n">
        <v>2.7</v>
      </c>
      <c r="Q5" t="n">
        <v>2.8</v>
      </c>
      <c r="R5" t="n">
        <v>11.3</v>
      </c>
      <c r="S5" t="n">
        <v>8.2</v>
      </c>
      <c r="T5" t="n">
        <v>5</v>
      </c>
      <c r="U5" t="n">
        <v>2</v>
      </c>
      <c r="V5" t="n">
        <v>3.2</v>
      </c>
      <c r="W5" t="n">
        <v>0.2</v>
      </c>
      <c r="X5" t="n">
        <v>0.2</v>
      </c>
      <c r="Y5" t="n">
        <v>0.6</v>
      </c>
      <c r="Z5" t="n">
        <v>1.4</v>
      </c>
      <c r="AA5" t="n">
        <v>-0.1</v>
      </c>
      <c r="AB5" t="n">
        <v>0.3</v>
      </c>
      <c r="AC5" t="n">
        <v>3.4</v>
      </c>
      <c r="AD5" t="n">
        <v>0.8</v>
      </c>
      <c r="AE5" t="n">
        <v>14.1</v>
      </c>
      <c r="AF5" t="n">
        <v>11.5</v>
      </c>
    </row>
    <row r="6">
      <c r="A6" t="s">
        <v>38</v>
      </c>
      <c r="B6" t="s">
        <v>282</v>
      </c>
      <c r="C6" t="s">
        <v>203</v>
      </c>
      <c r="D6" t="s">
        <v>283</v>
      </c>
      <c r="E6" t="s">
        <v>204</v>
      </c>
      <c r="F6" t="n">
        <v>0.1</v>
      </c>
      <c r="G6" t="n">
        <v>0</v>
      </c>
      <c r="H6" t="n">
        <v>0.1</v>
      </c>
      <c r="I6" t="n">
        <v>0.6</v>
      </c>
      <c r="J6" t="n">
        <v>0</v>
      </c>
      <c r="K6" t="n">
        <v>12.8</v>
      </c>
      <c r="L6" t="n">
        <v>6.9</v>
      </c>
      <c r="M6" t="n">
        <v>1</v>
      </c>
      <c r="N6" t="n">
        <v>0</v>
      </c>
      <c r="O6" t="n">
        <v>1.9</v>
      </c>
      <c r="P6" t="n">
        <v>4.6</v>
      </c>
      <c r="Q6" t="n">
        <v>8.3</v>
      </c>
      <c r="R6" t="n">
        <v>5.2</v>
      </c>
      <c r="S6" t="n">
        <v>0.9</v>
      </c>
      <c r="T6" t="n">
        <v>2</v>
      </c>
      <c r="U6" t="n">
        <v>1</v>
      </c>
      <c r="V6" t="n">
        <v>0.2</v>
      </c>
      <c r="W6" t="n">
        <v>0.7</v>
      </c>
      <c r="X6" t="n">
        <v>0.7</v>
      </c>
      <c r="Y6" t="n">
        <v>1.3</v>
      </c>
      <c r="Z6" t="n">
        <v>0.8</v>
      </c>
      <c r="AA6" t="n">
        <v>0.1</v>
      </c>
      <c r="AB6" t="n">
        <v>4</v>
      </c>
      <c r="AC6" t="n">
        <v>9.6</v>
      </c>
      <c r="AD6" t="n">
        <v>6.7</v>
      </c>
      <c r="AE6" t="n">
        <v>2.3</v>
      </c>
      <c r="AF6" t="n">
        <v>4.9</v>
      </c>
    </row>
    <row r="7">
      <c r="A7" t="s">
        <v>38</v>
      </c>
      <c r="B7" t="s">
        <v>284</v>
      </c>
      <c r="C7" t="s">
        <v>203</v>
      </c>
      <c r="D7" t="s">
        <v>285</v>
      </c>
      <c r="E7" t="s">
        <v>204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6.1</v>
      </c>
      <c r="M7" t="n">
        <v>1</v>
      </c>
      <c r="N7" t="n">
        <v>0</v>
      </c>
      <c r="O7" t="n">
        <v>0</v>
      </c>
      <c r="P7" t="n">
        <v>1.8</v>
      </c>
      <c r="Q7" t="n">
        <v>1.9</v>
      </c>
      <c r="R7" t="n">
        <v>2.6</v>
      </c>
      <c r="S7" t="n">
        <v>2.7</v>
      </c>
      <c r="T7" t="n">
        <v>0</v>
      </c>
      <c r="U7" t="n">
        <v>0</v>
      </c>
      <c r="V7" t="n">
        <v>0.7</v>
      </c>
      <c r="W7" t="n">
        <v>0.4</v>
      </c>
      <c r="X7" t="n">
        <v>0.4</v>
      </c>
      <c r="Y7" t="n">
        <v>1.2</v>
      </c>
      <c r="Z7" t="n">
        <v>0.4</v>
      </c>
      <c r="AA7" t="n">
        <v>2.5</v>
      </c>
      <c r="AB7" t="n">
        <v>-6.7</v>
      </c>
      <c r="AC7" t="n">
        <v>-10.9</v>
      </c>
      <c r="AD7" t="n">
        <v>0.4</v>
      </c>
      <c r="AE7" t="n">
        <v>1.6</v>
      </c>
      <c r="AF7" t="n">
        <v>1.2</v>
      </c>
    </row>
    <row r="8">
      <c r="A8" t="s">
        <v>38</v>
      </c>
      <c r="B8" t="s">
        <v>286</v>
      </c>
      <c r="C8" t="s">
        <v>203</v>
      </c>
      <c r="D8" t="s">
        <v>287</v>
      </c>
      <c r="E8" t="s">
        <v>204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0.8</v>
      </c>
      <c r="AD8" t="n">
        <v>0</v>
      </c>
      <c r="AE8" t="n">
        <v>0</v>
      </c>
      <c r="AF8" t="n">
        <v>-0.1</v>
      </c>
    </row>
    <row r="9">
      <c r="A9" t="s">
        <v>38</v>
      </c>
      <c r="B9" t="s">
        <v>288</v>
      </c>
      <c r="C9" t="s">
        <v>203</v>
      </c>
      <c r="D9" t="s">
        <v>289</v>
      </c>
      <c r="E9" t="s">
        <v>204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6.9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0.9</v>
      </c>
      <c r="T9" t="n">
        <v>0</v>
      </c>
      <c r="U9" t="n">
        <v>1</v>
      </c>
      <c r="V9" t="n">
        <v>0.2</v>
      </c>
      <c r="W9" t="n">
        <v>0.4</v>
      </c>
      <c r="X9" t="n">
        <v>0.4</v>
      </c>
      <c r="Y9" t="n">
        <v>0.7</v>
      </c>
      <c r="Z9" t="n">
        <v>0.2</v>
      </c>
      <c r="AA9" t="n">
        <v>1</v>
      </c>
      <c r="AB9" t="n">
        <v>0.6</v>
      </c>
      <c r="AC9" t="n">
        <v>1.9</v>
      </c>
      <c r="AD9" t="n">
        <v>-0.2</v>
      </c>
      <c r="AE9" t="n">
        <v>-0.2</v>
      </c>
      <c r="AF9" t="n">
        <v>4.3</v>
      </c>
    </row>
    <row r="10">
      <c r="A10" t="s">
        <v>38</v>
      </c>
      <c r="B10" t="s">
        <v>290</v>
      </c>
      <c r="C10" t="s">
        <v>203</v>
      </c>
      <c r="D10" t="s">
        <v>291</v>
      </c>
      <c r="E10" t="s">
        <v>204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6.9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0.9</v>
      </c>
      <c r="T10" t="n">
        <v>0</v>
      </c>
      <c r="U10" t="n">
        <v>1</v>
      </c>
      <c r="V10" t="n">
        <v>0.2</v>
      </c>
      <c r="W10" t="n">
        <v>0.4</v>
      </c>
      <c r="X10" t="n">
        <v>0.4</v>
      </c>
      <c r="Y10" t="n">
        <v>0.7</v>
      </c>
      <c r="Z10" t="n">
        <v>0.2</v>
      </c>
      <c r="AA10" t="n">
        <v>1</v>
      </c>
      <c r="AB10" t="n">
        <v>2.7</v>
      </c>
      <c r="AC10" t="n">
        <v>10.6</v>
      </c>
      <c r="AD10" t="n">
        <v>1.6</v>
      </c>
      <c r="AE10" t="n">
        <v>5.2</v>
      </c>
      <c r="AF10" t="n">
        <v>6.5</v>
      </c>
    </row>
    <row r="11">
      <c r="A11" t="s">
        <v>38</v>
      </c>
      <c r="B11" t="s">
        <v>292</v>
      </c>
      <c r="C11" t="s">
        <v>203</v>
      </c>
      <c r="D11" t="s">
        <v>293</v>
      </c>
      <c r="E11" t="s">
        <v>204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2.1</v>
      </c>
      <c r="AC11" t="n">
        <v>8.7</v>
      </c>
      <c r="AD11" t="n">
        <v>1.8</v>
      </c>
      <c r="AE11" t="n">
        <v>5.4</v>
      </c>
      <c r="AF11" t="n">
        <v>2.2</v>
      </c>
    </row>
    <row r="12">
      <c r="A12" t="s">
        <v>38</v>
      </c>
      <c r="B12" t="s">
        <v>294</v>
      </c>
      <c r="C12" t="s">
        <v>203</v>
      </c>
      <c r="D12" t="s">
        <v>295</v>
      </c>
      <c r="E12" t="s">
        <v>204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</v>
      </c>
      <c r="L12" t="n">
        <v>0.9</v>
      </c>
      <c r="M12" t="n">
        <v>2.9</v>
      </c>
      <c r="N12" t="n">
        <v>0</v>
      </c>
      <c r="O12" t="n">
        <v>1.9</v>
      </c>
      <c r="P12" t="n">
        <v>5.5</v>
      </c>
      <c r="Q12" t="n">
        <v>6.5</v>
      </c>
      <c r="R12" t="n">
        <v>3.5</v>
      </c>
      <c r="S12" t="n">
        <v>6.4</v>
      </c>
      <c r="T12" t="n">
        <v>7</v>
      </c>
      <c r="U12" t="n">
        <v>4</v>
      </c>
      <c r="V12" t="n">
        <v>2.1</v>
      </c>
      <c r="W12" t="n">
        <v>1.7</v>
      </c>
      <c r="X12" t="n">
        <v>1.7</v>
      </c>
      <c r="Y12" t="n">
        <v>-4.2</v>
      </c>
      <c r="Z12" t="n">
        <v>1.6</v>
      </c>
      <c r="AA12" t="n">
        <v>-0.2</v>
      </c>
      <c r="AB12" t="n">
        <v>0.1</v>
      </c>
      <c r="AC12" t="n">
        <v>1.1</v>
      </c>
      <c r="AD12" t="n">
        <v>0.9</v>
      </c>
      <c r="AE12" t="n">
        <v>1.3</v>
      </c>
      <c r="AF12" t="n">
        <v>0.2</v>
      </c>
    </row>
    <row r="13">
      <c r="A13" t="s">
        <v>38</v>
      </c>
      <c r="B13" t="s">
        <v>296</v>
      </c>
      <c r="C13" t="s">
        <v>203</v>
      </c>
      <c r="D13" t="s">
        <v>297</v>
      </c>
      <c r="E13" t="s">
        <v>204</v>
      </c>
      <c r="F13" t="n">
        <v>0</v>
      </c>
      <c r="G13" t="n">
        <v>0</v>
      </c>
      <c r="H13" t="n">
        <v>0</v>
      </c>
      <c r="I13" t="n">
        <v>0</v>
      </c>
      <c r="J13" t="n">
        <v>6.8</v>
      </c>
      <c r="K13" t="n">
        <v>0</v>
      </c>
      <c r="L13" t="n">
        <v>0.9</v>
      </c>
      <c r="M13" t="n">
        <v>3.8</v>
      </c>
      <c r="N13" t="n">
        <v>12.5</v>
      </c>
      <c r="O13" t="n">
        <v>0.9</v>
      </c>
      <c r="P13" t="n">
        <v>0</v>
      </c>
      <c r="Q13" t="n">
        <v>4.6</v>
      </c>
      <c r="R13" t="n">
        <v>5.2</v>
      </c>
      <c r="S13" t="n">
        <v>1.8</v>
      </c>
      <c r="T13" t="n">
        <v>2</v>
      </c>
      <c r="U13" t="n">
        <v>0</v>
      </c>
      <c r="V13" t="n">
        <v>0.7</v>
      </c>
      <c r="W13" t="n">
        <v>0.8</v>
      </c>
      <c r="X13" t="n">
        <v>0.8</v>
      </c>
      <c r="Y13" t="n">
        <v>2.5</v>
      </c>
      <c r="Z13" t="n">
        <v>-0.2</v>
      </c>
      <c r="AA13" t="n">
        <v>1.4</v>
      </c>
      <c r="AB13" t="n">
        <v>7.5</v>
      </c>
      <c r="AC13" t="n">
        <v>6.9</v>
      </c>
      <c r="AD13" t="n">
        <v>11.7</v>
      </c>
      <c r="AE13" t="n">
        <v>1.2</v>
      </c>
      <c r="AF13" t="n">
        <v>3.3</v>
      </c>
    </row>
    <row r="14">
      <c r="A14" t="s">
        <v>38</v>
      </c>
      <c r="B14" t="s">
        <v>298</v>
      </c>
      <c r="C14" t="s">
        <v>203</v>
      </c>
      <c r="D14" t="s">
        <v>299</v>
      </c>
      <c r="E14" t="s">
        <v>204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1.7</v>
      </c>
      <c r="M14" t="n">
        <v>0</v>
      </c>
      <c r="N14" t="n">
        <v>0</v>
      </c>
      <c r="O14" t="n">
        <v>0</v>
      </c>
      <c r="P14" t="n">
        <v>0</v>
      </c>
      <c r="Q14" t="n">
        <v>0.9</v>
      </c>
      <c r="R14" t="n">
        <v>0.9</v>
      </c>
      <c r="S14" t="n">
        <v>0.9</v>
      </c>
      <c r="T14" t="n">
        <v>0</v>
      </c>
      <c r="U14" t="n">
        <v>0</v>
      </c>
      <c r="V14" t="n">
        <v>0.2</v>
      </c>
      <c r="W14" t="n">
        <v>0.1</v>
      </c>
      <c r="X14" t="n">
        <v>0.1</v>
      </c>
      <c r="Y14" t="n">
        <v>0</v>
      </c>
      <c r="Z14" t="n">
        <v>0.2</v>
      </c>
      <c r="AA14" t="n">
        <v>0.1</v>
      </c>
      <c r="AB14" t="n">
        <v>-2.9</v>
      </c>
      <c r="AC14" t="n">
        <v>0</v>
      </c>
      <c r="AD14" t="n">
        <v>-0.1</v>
      </c>
      <c r="AE14" t="n">
        <v>4.4</v>
      </c>
      <c r="AF14" t="n">
        <v>0</v>
      </c>
    </row>
    <row r="15">
      <c r="A15" t="s">
        <v>38</v>
      </c>
      <c r="B15" t="s">
        <v>300</v>
      </c>
      <c r="C15" t="s">
        <v>203</v>
      </c>
      <c r="D15" t="s">
        <v>301</v>
      </c>
      <c r="E15" t="s">
        <v>204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1.7</v>
      </c>
      <c r="M15" t="n">
        <v>0</v>
      </c>
      <c r="N15" t="n">
        <v>0</v>
      </c>
      <c r="O15" t="n">
        <v>0</v>
      </c>
      <c r="P15" t="n">
        <v>0</v>
      </c>
      <c r="Q15" t="n">
        <v>1.8</v>
      </c>
      <c r="R15" t="n">
        <v>1.8</v>
      </c>
      <c r="S15" t="n">
        <v>7.3</v>
      </c>
      <c r="T15" t="n">
        <v>3</v>
      </c>
      <c r="U15" t="n">
        <v>0</v>
      </c>
      <c r="V15" t="n">
        <v>2.4</v>
      </c>
      <c r="W15" t="n">
        <v>0.1</v>
      </c>
      <c r="X15" t="n">
        <v>0.1</v>
      </c>
      <c r="Y15" t="n">
        <v>0.1</v>
      </c>
      <c r="Z15" t="n">
        <v>0.3</v>
      </c>
      <c r="AA15" t="n">
        <v>0.3</v>
      </c>
      <c r="AB15" t="n">
        <v>0.7</v>
      </c>
      <c r="AC15" t="n">
        <v>1.1</v>
      </c>
      <c r="AD15" t="n">
        <v>-0.2</v>
      </c>
      <c r="AE15" t="n">
        <v>6.6</v>
      </c>
      <c r="AF15" t="n">
        <v>0.1</v>
      </c>
    </row>
    <row r="16">
      <c r="A16" t="s">
        <v>38</v>
      </c>
      <c r="B16" t="s">
        <v>302</v>
      </c>
      <c r="C16" t="s">
        <v>203</v>
      </c>
      <c r="D16" t="s">
        <v>303</v>
      </c>
      <c r="E16" t="s">
        <v>204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0.9</v>
      </c>
      <c r="R16" t="n">
        <v>0.9</v>
      </c>
      <c r="S16" t="n">
        <v>6.4</v>
      </c>
      <c r="T16" t="n">
        <v>3</v>
      </c>
      <c r="U16" t="n">
        <v>0</v>
      </c>
      <c r="V16" t="n">
        <v>2.2</v>
      </c>
      <c r="W16" t="n">
        <v>0</v>
      </c>
      <c r="X16" t="n">
        <v>0</v>
      </c>
      <c r="Y16" t="n">
        <v>0.1</v>
      </c>
      <c r="Z16" t="n">
        <v>0.1</v>
      </c>
      <c r="AA16" t="n">
        <v>0.2</v>
      </c>
      <c r="AB16" t="n">
        <v>3.6</v>
      </c>
      <c r="AC16" t="n">
        <v>1.1</v>
      </c>
      <c r="AD16" t="n">
        <v>-0.1</v>
      </c>
      <c r="AE16" t="n">
        <v>2.2</v>
      </c>
      <c r="AF16" t="n">
        <v>0.1</v>
      </c>
    </row>
    <row r="17">
      <c r="A17" t="s">
        <v>38</v>
      </c>
      <c r="B17" t="s">
        <v>304</v>
      </c>
      <c r="C17" t="s">
        <v>203</v>
      </c>
      <c r="D17" t="s">
        <v>305</v>
      </c>
      <c r="E17" t="s">
        <v>204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  <c r="L17" t="n">
        <v>1.7</v>
      </c>
      <c r="M17" t="n">
        <v>5.7</v>
      </c>
      <c r="N17" t="n">
        <v>1</v>
      </c>
      <c r="O17" t="n">
        <v>0.9</v>
      </c>
      <c r="P17" t="n">
        <v>2.7</v>
      </c>
      <c r="Q17" t="n">
        <v>2.8</v>
      </c>
      <c r="R17" t="n">
        <v>0.9</v>
      </c>
      <c r="S17" t="n">
        <v>1.8</v>
      </c>
      <c r="T17" t="n">
        <v>10.9</v>
      </c>
      <c r="U17" t="n">
        <v>0</v>
      </c>
      <c r="V17" t="n">
        <v>0.5</v>
      </c>
      <c r="W17" t="n">
        <v>0</v>
      </c>
      <c r="X17" t="n">
        <v>0</v>
      </c>
      <c r="Y17" t="n">
        <v>0.3</v>
      </c>
      <c r="Z17" t="n">
        <v>0.8</v>
      </c>
      <c r="AA17" t="n">
        <v>0.4</v>
      </c>
      <c r="AB17" t="n">
        <v>-0.1</v>
      </c>
      <c r="AC17" t="n">
        <v>1.7</v>
      </c>
      <c r="AD17" t="n">
        <v>-0.3</v>
      </c>
      <c r="AE17" t="n">
        <v>-1.2</v>
      </c>
      <c r="AF17" t="n">
        <v>0.6</v>
      </c>
    </row>
    <row r="18">
      <c r="A18" t="s">
        <v>38</v>
      </c>
      <c r="B18" t="s">
        <v>306</v>
      </c>
      <c r="C18" t="s">
        <v>203</v>
      </c>
      <c r="D18" t="s">
        <v>307</v>
      </c>
      <c r="E18" t="s">
        <v>204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0.9</v>
      </c>
      <c r="R18" t="n">
        <v>0.9</v>
      </c>
      <c r="S18" t="n">
        <v>0</v>
      </c>
      <c r="T18" t="n">
        <v>0</v>
      </c>
      <c r="U18" t="n">
        <v>0</v>
      </c>
      <c r="V18" t="n">
        <v>0.1</v>
      </c>
      <c r="W18" t="n">
        <v>0</v>
      </c>
      <c r="X18" t="n">
        <v>0</v>
      </c>
      <c r="Y18" t="n">
        <v>0.1</v>
      </c>
      <c r="Z18" t="n">
        <v>-0.2</v>
      </c>
      <c r="AA18" t="n">
        <v>0</v>
      </c>
      <c r="AB18" t="n">
        <v>0</v>
      </c>
      <c r="AC18" t="n">
        <v>0</v>
      </c>
      <c r="AD18" t="n">
        <v>0</v>
      </c>
      <c r="AE18" t="n">
        <v>0.2</v>
      </c>
      <c r="AF18" t="n">
        <v>1.3</v>
      </c>
    </row>
    <row r="19">
      <c r="A19" t="s">
        <v>38</v>
      </c>
      <c r="B19" t="s">
        <v>308</v>
      </c>
      <c r="C19" t="s">
        <v>203</v>
      </c>
      <c r="D19" t="s">
        <v>309</v>
      </c>
      <c r="E19" t="s">
        <v>204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2.6</v>
      </c>
      <c r="M19" t="n">
        <v>0</v>
      </c>
      <c r="N19" t="n">
        <v>1.9</v>
      </c>
      <c r="O19" t="n">
        <v>0</v>
      </c>
      <c r="P19" t="n">
        <v>2.7</v>
      </c>
      <c r="Q19" t="n">
        <v>2.8</v>
      </c>
      <c r="R19" t="n">
        <v>5.2</v>
      </c>
      <c r="S19" t="n">
        <v>0.9</v>
      </c>
      <c r="T19" t="n">
        <v>5</v>
      </c>
      <c r="U19" t="n">
        <v>0</v>
      </c>
      <c r="V19" t="n">
        <v>0.3</v>
      </c>
      <c r="W19" t="n">
        <v>0.2</v>
      </c>
      <c r="X19" t="n">
        <v>0.2</v>
      </c>
      <c r="Y19" t="n">
        <v>0.9</v>
      </c>
      <c r="Z19" t="n">
        <v>1.1</v>
      </c>
      <c r="AA19" t="n">
        <v>0</v>
      </c>
      <c r="AB19" t="n">
        <v>2.2</v>
      </c>
      <c r="AC19" t="n">
        <v>1</v>
      </c>
      <c r="AD19" t="n">
        <v>2.8</v>
      </c>
      <c r="AE19" t="n">
        <v>0.1</v>
      </c>
      <c r="AF19" t="n">
        <v>5.5</v>
      </c>
    </row>
    <row r="20">
      <c r="A20" t="s">
        <v>38</v>
      </c>
      <c r="B20" t="s">
        <v>310</v>
      </c>
      <c r="C20" t="s">
        <v>203</v>
      </c>
      <c r="D20" t="s">
        <v>311</v>
      </c>
      <c r="E20" t="s">
        <v>204</v>
      </c>
      <c r="F20" t="n">
        <v>0.3</v>
      </c>
      <c r="G20" t="n">
        <v>0.1</v>
      </c>
      <c r="H20" t="n">
        <v>0.2</v>
      </c>
      <c r="I20" t="n">
        <v>1.7</v>
      </c>
      <c r="J20" t="n">
        <v>6.8</v>
      </c>
      <c r="K20" t="n">
        <v>0</v>
      </c>
      <c r="L20" t="n">
        <v>0</v>
      </c>
      <c r="M20" t="n">
        <v>3.8</v>
      </c>
      <c r="N20" t="n">
        <v>4.9</v>
      </c>
      <c r="O20" t="n">
        <v>0.9</v>
      </c>
      <c r="P20" t="n">
        <v>0.9</v>
      </c>
      <c r="Q20" t="n">
        <v>0.9</v>
      </c>
      <c r="R20" t="n">
        <v>0.9</v>
      </c>
      <c r="S20" t="n">
        <v>33.7</v>
      </c>
      <c r="T20" t="n">
        <v>3</v>
      </c>
      <c r="U20" t="n">
        <v>0</v>
      </c>
      <c r="V20" t="n">
        <v>2.1</v>
      </c>
      <c r="W20" t="n">
        <v>1.4</v>
      </c>
      <c r="X20" t="n">
        <v>1.4</v>
      </c>
      <c r="Y20" t="n">
        <v>0.8</v>
      </c>
      <c r="Z20" t="n">
        <v>-0.1</v>
      </c>
      <c r="AA20" t="n">
        <v>1</v>
      </c>
      <c r="AB20" t="n">
        <v>0.8</v>
      </c>
      <c r="AC20" t="n">
        <v>18.5</v>
      </c>
      <c r="AD20" t="n">
        <v>2.1</v>
      </c>
      <c r="AE20" t="n">
        <v>0.9</v>
      </c>
      <c r="AF20" t="n">
        <v>-4.3</v>
      </c>
    </row>
    <row r="21">
      <c r="A21" t="s">
        <v>38</v>
      </c>
      <c r="B21" t="s">
        <v>312</v>
      </c>
      <c r="C21" t="s">
        <v>203</v>
      </c>
      <c r="D21" t="s">
        <v>313</v>
      </c>
      <c r="E21" t="s">
        <v>204</v>
      </c>
      <c r="F21" t="n">
        <v>0.3</v>
      </c>
      <c r="G21" t="n">
        <v>0.1</v>
      </c>
      <c r="H21" t="n">
        <v>0.2</v>
      </c>
      <c r="I21" t="n">
        <v>1.7</v>
      </c>
      <c r="J21" t="n">
        <v>6.8</v>
      </c>
      <c r="K21" t="n">
        <v>0</v>
      </c>
      <c r="L21" t="n">
        <v>0</v>
      </c>
      <c r="M21" t="n">
        <v>4.9</v>
      </c>
      <c r="N21" t="n">
        <v>26.3</v>
      </c>
      <c r="O21" t="n">
        <v>0.9</v>
      </c>
      <c r="P21" t="n">
        <v>0.9</v>
      </c>
      <c r="Q21" t="n">
        <v>0.9</v>
      </c>
      <c r="R21" t="n">
        <v>3.5</v>
      </c>
      <c r="S21" t="n">
        <v>33.7</v>
      </c>
      <c r="T21" t="n">
        <v>3</v>
      </c>
      <c r="U21" t="n">
        <v>0</v>
      </c>
      <c r="V21" t="n">
        <v>2.2</v>
      </c>
      <c r="W21" t="n">
        <v>1.4</v>
      </c>
      <c r="X21" t="n">
        <v>1.4</v>
      </c>
      <c r="Y21" t="n">
        <v>0.5</v>
      </c>
      <c r="Z21" t="n">
        <v>0.9</v>
      </c>
      <c r="AA21" t="n">
        <v>0.5</v>
      </c>
      <c r="AB21" t="n">
        <v>0.5</v>
      </c>
      <c r="AC21" t="n">
        <v>18.8</v>
      </c>
      <c r="AD21" t="n">
        <v>1.1</v>
      </c>
      <c r="AE21" t="n">
        <v>0.7</v>
      </c>
      <c r="AF21" t="n">
        <v>-3.9</v>
      </c>
    </row>
    <row r="22">
      <c r="A22" t="s">
        <v>38</v>
      </c>
      <c r="B22" t="s">
        <v>314</v>
      </c>
      <c r="C22" t="s">
        <v>203</v>
      </c>
      <c r="D22" t="s">
        <v>315</v>
      </c>
      <c r="E22" t="s">
        <v>204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1.1</v>
      </c>
      <c r="N22" t="n">
        <v>21.4</v>
      </c>
      <c r="O22" t="n">
        <v>0</v>
      </c>
      <c r="P22" t="n">
        <v>0</v>
      </c>
      <c r="Q22" t="n">
        <v>0</v>
      </c>
      <c r="R22" t="n">
        <v>2.6</v>
      </c>
      <c r="S22" t="n">
        <v>0</v>
      </c>
      <c r="T22" t="n">
        <v>0</v>
      </c>
      <c r="U22" t="n">
        <v>0</v>
      </c>
      <c r="V22" t="n">
        <v>0.1</v>
      </c>
      <c r="W22" t="n">
        <v>0</v>
      </c>
      <c r="X22" t="n">
        <v>0</v>
      </c>
      <c r="Y22" t="n">
        <v>-0.3</v>
      </c>
      <c r="Z22" t="n">
        <v>1</v>
      </c>
      <c r="AA22" t="n">
        <v>-0.5</v>
      </c>
      <c r="AB22" t="n">
        <v>-0.3</v>
      </c>
      <c r="AC22" t="n">
        <v>0.3</v>
      </c>
      <c r="AD22" t="n">
        <v>-1</v>
      </c>
      <c r="AE22" t="n">
        <v>-0.2</v>
      </c>
      <c r="AF22" t="n">
        <v>0.4</v>
      </c>
    </row>
    <row r="23">
      <c r="A23" t="s">
        <v>38</v>
      </c>
      <c r="B23" t="s">
        <v>316</v>
      </c>
      <c r="C23" t="s">
        <v>203</v>
      </c>
      <c r="D23" t="s">
        <v>317</v>
      </c>
      <c r="E23" t="s">
        <v>204</v>
      </c>
      <c r="F23" t="n">
        <v>13.5</v>
      </c>
      <c r="G23" t="n">
        <v>2.4</v>
      </c>
      <c r="H23" t="n">
        <v>8.6</v>
      </c>
      <c r="I23" t="n">
        <v>76.2</v>
      </c>
      <c r="J23" t="n">
        <v>284.1</v>
      </c>
      <c r="K23" t="n">
        <v>357.7</v>
      </c>
      <c r="L23" t="n">
        <v>301.4</v>
      </c>
      <c r="M23" t="n">
        <v>500.1</v>
      </c>
      <c r="N23" t="n">
        <v>393.9</v>
      </c>
      <c r="O23" t="n">
        <v>609.5</v>
      </c>
      <c r="P23" t="n">
        <v>1067</v>
      </c>
      <c r="Q23" t="n">
        <v>1912.1</v>
      </c>
      <c r="R23" t="n">
        <v>1827.4</v>
      </c>
      <c r="S23" t="n">
        <v>2794.9</v>
      </c>
      <c r="T23" t="n">
        <v>2748.7</v>
      </c>
      <c r="U23" t="n">
        <v>1553.8</v>
      </c>
      <c r="V23" t="n">
        <v>1295</v>
      </c>
      <c r="W23" t="n">
        <v>1187.3</v>
      </c>
      <c r="X23" t="n">
        <v>1207.4</v>
      </c>
      <c r="Y23" t="n">
        <v>1204.1</v>
      </c>
      <c r="Z23" t="n">
        <v>1016.9</v>
      </c>
      <c r="AA23" t="n">
        <v>2368.2</v>
      </c>
      <c r="AB23" t="n">
        <v>2125.1</v>
      </c>
      <c r="AC23" t="n">
        <v>2240.3</v>
      </c>
      <c r="AD23" t="n">
        <v>2668.9</v>
      </c>
      <c r="AE23" t="n">
        <v>2787.3</v>
      </c>
      <c r="AF23" t="n">
        <v>2649.9</v>
      </c>
    </row>
    <row r="24">
      <c r="A24" t="s">
        <v>38</v>
      </c>
      <c r="B24" t="s">
        <v>318</v>
      </c>
      <c r="C24" t="s">
        <v>203</v>
      </c>
      <c r="D24" t="s">
        <v>319</v>
      </c>
      <c r="E24" t="s">
        <v>204</v>
      </c>
      <c r="F24" t="n">
        <v>4</v>
      </c>
      <c r="G24" t="n">
        <v>0.7</v>
      </c>
      <c r="H24" t="n">
        <v>2.6</v>
      </c>
      <c r="I24" t="n">
        <v>22.9</v>
      </c>
      <c r="J24" t="n">
        <v>10.1</v>
      </c>
      <c r="K24" t="n">
        <v>6.9</v>
      </c>
      <c r="L24" t="n">
        <v>31.2</v>
      </c>
      <c r="M24" t="n">
        <v>22</v>
      </c>
      <c r="N24" t="n">
        <v>71.1</v>
      </c>
      <c r="O24" t="n">
        <v>44.7</v>
      </c>
      <c r="P24" t="n">
        <v>31</v>
      </c>
      <c r="Q24" t="n">
        <v>97.2</v>
      </c>
      <c r="R24" t="n">
        <v>116.7</v>
      </c>
      <c r="S24" t="n">
        <v>172.9</v>
      </c>
      <c r="T24" t="n">
        <v>61.7</v>
      </c>
      <c r="U24" t="n">
        <v>32.2</v>
      </c>
      <c r="V24" t="n">
        <v>45.3</v>
      </c>
      <c r="W24" t="n">
        <v>19</v>
      </c>
      <c r="X24" t="n">
        <v>19.2</v>
      </c>
      <c r="Y24" t="n">
        <v>26.3</v>
      </c>
      <c r="Z24" t="n">
        <v>5.8</v>
      </c>
      <c r="AA24" t="n">
        <v>11.6</v>
      </c>
      <c r="AB24" t="n">
        <v>71.3</v>
      </c>
      <c r="AC24" t="n">
        <v>30.8</v>
      </c>
      <c r="AD24" t="n">
        <v>63.4</v>
      </c>
      <c r="AE24" t="n">
        <v>58.7</v>
      </c>
      <c r="AF24" t="n">
        <v>70.4</v>
      </c>
    </row>
    <row r="25">
      <c r="A25" t="s">
        <v>38</v>
      </c>
      <c r="B25" t="s">
        <v>320</v>
      </c>
      <c r="C25" t="s">
        <v>203</v>
      </c>
      <c r="D25" t="s">
        <v>321</v>
      </c>
      <c r="E25" t="s">
        <v>204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6.1</v>
      </c>
      <c r="M25" t="n">
        <v>1</v>
      </c>
      <c r="N25" t="n">
        <v>1</v>
      </c>
      <c r="O25" t="n">
        <v>1.9</v>
      </c>
      <c r="P25" t="n">
        <v>2.7</v>
      </c>
      <c r="Q25" t="n">
        <v>3.7</v>
      </c>
      <c r="R25" t="n">
        <v>3.5</v>
      </c>
      <c r="S25" t="n">
        <v>7.3</v>
      </c>
      <c r="T25" t="n">
        <v>6</v>
      </c>
      <c r="U25" t="n">
        <v>5</v>
      </c>
      <c r="V25" t="n">
        <v>2.6</v>
      </c>
      <c r="W25" t="n">
        <v>1.7</v>
      </c>
      <c r="X25" t="n">
        <v>1.7</v>
      </c>
      <c r="Y25" t="n">
        <v>0.5</v>
      </c>
      <c r="Z25" t="n">
        <v>0.9</v>
      </c>
      <c r="AA25" t="n">
        <v>-0.6</v>
      </c>
      <c r="AB25" t="n">
        <v>2.6</v>
      </c>
      <c r="AC25" t="n">
        <v>5.4</v>
      </c>
      <c r="AD25" t="n">
        <v>13.7</v>
      </c>
      <c r="AE25" t="n">
        <v>7.8</v>
      </c>
      <c r="AF25" t="n">
        <v>9.9</v>
      </c>
    </row>
    <row r="26">
      <c r="A26" t="s">
        <v>38</v>
      </c>
      <c r="B26" t="s">
        <v>322</v>
      </c>
      <c r="C26" t="s">
        <v>203</v>
      </c>
      <c r="D26" t="s">
        <v>323</v>
      </c>
      <c r="E26" t="s">
        <v>204</v>
      </c>
      <c r="F26" t="n">
        <v>0.6</v>
      </c>
      <c r="G26" t="n">
        <v>0.1</v>
      </c>
      <c r="H26" t="n">
        <v>0.4</v>
      </c>
      <c r="I26" t="n">
        <v>3.4</v>
      </c>
      <c r="J26" t="n">
        <v>9</v>
      </c>
      <c r="K26" t="n">
        <v>3.9</v>
      </c>
      <c r="L26" t="n">
        <v>15.6</v>
      </c>
      <c r="M26" t="n">
        <v>17.2</v>
      </c>
      <c r="N26" t="n">
        <v>37</v>
      </c>
      <c r="O26" t="n">
        <v>21.8</v>
      </c>
      <c r="P26" t="n">
        <v>27.4</v>
      </c>
      <c r="Q26" t="n">
        <v>63.9</v>
      </c>
      <c r="R26" t="n">
        <v>72.3</v>
      </c>
      <c r="S26" t="n">
        <v>101.9</v>
      </c>
      <c r="T26" t="n">
        <v>35.8</v>
      </c>
      <c r="U26" t="n">
        <v>17.1</v>
      </c>
      <c r="V26" t="n">
        <v>29.8</v>
      </c>
      <c r="W26" t="n">
        <v>11.5</v>
      </c>
      <c r="X26" t="n">
        <v>11.6</v>
      </c>
      <c r="Y26" t="n">
        <v>8.3</v>
      </c>
      <c r="Z26" t="n">
        <v>1</v>
      </c>
      <c r="AA26" t="n">
        <v>10.1</v>
      </c>
      <c r="AB26" t="n">
        <v>30.6</v>
      </c>
      <c r="AC26" t="n">
        <v>15.7</v>
      </c>
      <c r="AD26" t="n">
        <v>41</v>
      </c>
      <c r="AE26" t="n">
        <v>35.8</v>
      </c>
      <c r="AF26" t="n">
        <v>37.9</v>
      </c>
    </row>
    <row r="27">
      <c r="A27" t="s">
        <v>38</v>
      </c>
      <c r="B27" t="s">
        <v>324</v>
      </c>
      <c r="C27" t="s">
        <v>203</v>
      </c>
      <c r="D27" t="s">
        <v>325</v>
      </c>
      <c r="E27" t="s">
        <v>204</v>
      </c>
      <c r="F27" t="n">
        <v>3.5</v>
      </c>
      <c r="G27" t="n">
        <v>0.6</v>
      </c>
      <c r="H27" t="n">
        <v>2.2</v>
      </c>
      <c r="I27" t="n">
        <v>19.5</v>
      </c>
      <c r="J27" t="n">
        <v>1.1</v>
      </c>
      <c r="K27" t="n">
        <v>3</v>
      </c>
      <c r="L27" t="n">
        <v>9.5</v>
      </c>
      <c r="M27" t="n">
        <v>3.8</v>
      </c>
      <c r="N27" t="n">
        <v>33.1</v>
      </c>
      <c r="O27" t="n">
        <v>21</v>
      </c>
      <c r="P27" t="n">
        <v>0.9</v>
      </c>
      <c r="Q27" t="n">
        <v>29.6</v>
      </c>
      <c r="R27" t="n">
        <v>40.9</v>
      </c>
      <c r="S27" t="n">
        <v>63.7</v>
      </c>
      <c r="T27" t="n">
        <v>19.9</v>
      </c>
      <c r="U27" t="n">
        <v>10.1</v>
      </c>
      <c r="V27" t="n">
        <v>12.9</v>
      </c>
      <c r="W27" t="n">
        <v>5.8</v>
      </c>
      <c r="X27" t="n">
        <v>5.9</v>
      </c>
      <c r="Y27" t="n">
        <v>17.5</v>
      </c>
      <c r="Z27" t="n">
        <v>4</v>
      </c>
      <c r="AA27" t="n">
        <v>2.1</v>
      </c>
      <c r="AB27" t="n">
        <v>38.1</v>
      </c>
      <c r="AC27" t="n">
        <v>9.7</v>
      </c>
      <c r="AD27" t="n">
        <v>8.7</v>
      </c>
      <c r="AE27" t="n">
        <v>15.1</v>
      </c>
      <c r="AF27" t="n">
        <v>22.6</v>
      </c>
    </row>
    <row r="28">
      <c r="A28" t="s">
        <v>38</v>
      </c>
      <c r="B28" t="s">
        <v>326</v>
      </c>
      <c r="C28" t="s">
        <v>203</v>
      </c>
      <c r="D28" t="s">
        <v>327</v>
      </c>
      <c r="E28" t="s">
        <v>204</v>
      </c>
      <c r="F28" t="n">
        <v>0.3</v>
      </c>
      <c r="G28" t="n">
        <v>0.1</v>
      </c>
      <c r="H28" t="n">
        <v>0.2</v>
      </c>
      <c r="I28" t="n">
        <v>1.7</v>
      </c>
      <c r="J28" t="n">
        <v>0</v>
      </c>
      <c r="K28" t="n">
        <v>4.9</v>
      </c>
      <c r="L28" t="n">
        <v>12.6</v>
      </c>
      <c r="M28" t="n">
        <v>1.9</v>
      </c>
      <c r="N28" t="n">
        <v>1.9</v>
      </c>
      <c r="O28" t="n">
        <v>2.8</v>
      </c>
      <c r="P28" t="n">
        <v>2.7</v>
      </c>
      <c r="Q28" t="n">
        <v>8.3</v>
      </c>
      <c r="R28" t="n">
        <v>7</v>
      </c>
      <c r="S28" t="n">
        <v>7.3</v>
      </c>
      <c r="T28" t="n">
        <v>10.9</v>
      </c>
      <c r="U28" t="n">
        <v>13.1</v>
      </c>
      <c r="V28" t="n">
        <v>2.7</v>
      </c>
      <c r="W28" t="n">
        <v>1.1</v>
      </c>
      <c r="X28" t="n">
        <v>1.1</v>
      </c>
      <c r="Y28" t="n">
        <v>-1</v>
      </c>
      <c r="Z28" t="n">
        <v>3.4</v>
      </c>
      <c r="AA28" t="n">
        <v>5.6</v>
      </c>
      <c r="AB28" t="n">
        <v>24.3</v>
      </c>
      <c r="AC28" t="n">
        <v>12.1</v>
      </c>
      <c r="AD28" t="n">
        <v>13</v>
      </c>
      <c r="AE28" t="n">
        <v>16.7</v>
      </c>
      <c r="AF28" t="n">
        <v>1.2</v>
      </c>
    </row>
    <row r="29">
      <c r="A29" t="s">
        <v>38</v>
      </c>
      <c r="B29" t="s">
        <v>328</v>
      </c>
      <c r="C29" t="s">
        <v>203</v>
      </c>
      <c r="D29" t="s">
        <v>329</v>
      </c>
      <c r="E29" t="s">
        <v>204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3.9</v>
      </c>
      <c r="L29" t="n">
        <v>1.7</v>
      </c>
      <c r="M29" t="n">
        <v>1</v>
      </c>
      <c r="N29" t="n">
        <v>1</v>
      </c>
      <c r="O29" t="n">
        <v>2.8</v>
      </c>
      <c r="P29" t="n">
        <v>1.8</v>
      </c>
      <c r="Q29" t="n">
        <v>4.6</v>
      </c>
      <c r="R29" t="n">
        <v>3.5</v>
      </c>
      <c r="S29" t="n">
        <v>5.5</v>
      </c>
      <c r="T29" t="n">
        <v>8.9</v>
      </c>
      <c r="U29" t="n">
        <v>4</v>
      </c>
      <c r="V29" t="n">
        <v>2</v>
      </c>
      <c r="W29" t="n">
        <v>0.8</v>
      </c>
      <c r="X29" t="n">
        <v>0.8</v>
      </c>
      <c r="Y29" t="n">
        <v>1.3</v>
      </c>
      <c r="Z29" t="n">
        <v>3</v>
      </c>
      <c r="AA29" t="n">
        <v>3</v>
      </c>
      <c r="AB29" t="n">
        <v>24.3</v>
      </c>
      <c r="AC29" t="n">
        <v>4</v>
      </c>
      <c r="AD29" t="n">
        <v>0.1</v>
      </c>
      <c r="AE29" t="n">
        <v>0.9</v>
      </c>
      <c r="AF29" t="n">
        <v>-10.7</v>
      </c>
    </row>
    <row r="30">
      <c r="A30" t="s">
        <v>38</v>
      </c>
      <c r="B30" t="s">
        <v>330</v>
      </c>
      <c r="C30" t="s">
        <v>203</v>
      </c>
      <c r="D30" t="s">
        <v>331</v>
      </c>
      <c r="E30" t="s">
        <v>204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0.9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-0.1</v>
      </c>
      <c r="AE30" t="n">
        <v>0</v>
      </c>
      <c r="AF30" t="n">
        <v>0</v>
      </c>
    </row>
    <row r="31">
      <c r="A31" t="s">
        <v>38</v>
      </c>
      <c r="B31" t="s">
        <v>332</v>
      </c>
      <c r="C31" t="s">
        <v>203</v>
      </c>
      <c r="D31" t="s">
        <v>333</v>
      </c>
      <c r="E31" t="s">
        <v>204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0.9</v>
      </c>
      <c r="S31" t="n">
        <v>0</v>
      </c>
      <c r="T31" t="n">
        <v>0</v>
      </c>
      <c r="U31" t="n">
        <v>0</v>
      </c>
      <c r="V31" t="n">
        <v>0</v>
      </c>
      <c r="W31" t="n">
        <v>0.1</v>
      </c>
      <c r="X31" t="n">
        <v>0.1</v>
      </c>
      <c r="Y31" t="n">
        <v>0</v>
      </c>
      <c r="Z31" t="n">
        <v>-0.2</v>
      </c>
      <c r="AA31" t="n">
        <v>0.3</v>
      </c>
      <c r="AB31" t="n">
        <v>-0.3</v>
      </c>
      <c r="AC31" t="n">
        <v>0</v>
      </c>
      <c r="AD31" t="n">
        <v>10.9</v>
      </c>
      <c r="AE31" t="n">
        <v>12.6</v>
      </c>
      <c r="AF31" t="n">
        <v>0</v>
      </c>
    </row>
    <row r="32">
      <c r="A32" t="s">
        <v>38</v>
      </c>
      <c r="B32" t="s">
        <v>334</v>
      </c>
      <c r="C32" t="s">
        <v>203</v>
      </c>
      <c r="D32" t="s">
        <v>335</v>
      </c>
      <c r="E32" t="s">
        <v>204</v>
      </c>
      <c r="F32" t="n">
        <v>0.3</v>
      </c>
      <c r="G32" t="n">
        <v>0.1</v>
      </c>
      <c r="H32" t="n">
        <v>0.2</v>
      </c>
      <c r="I32" t="n">
        <v>1.7</v>
      </c>
      <c r="J32" t="n">
        <v>0</v>
      </c>
      <c r="K32" t="n">
        <v>1</v>
      </c>
      <c r="L32" t="n">
        <v>10</v>
      </c>
      <c r="M32" t="n">
        <v>1</v>
      </c>
      <c r="N32" t="n">
        <v>1</v>
      </c>
      <c r="O32" t="n">
        <v>0</v>
      </c>
      <c r="P32" t="n">
        <v>0.9</v>
      </c>
      <c r="Q32" t="n">
        <v>3.7</v>
      </c>
      <c r="R32" t="n">
        <v>2.6</v>
      </c>
      <c r="S32" t="n">
        <v>1.8</v>
      </c>
      <c r="T32" t="n">
        <v>2</v>
      </c>
      <c r="U32" t="n">
        <v>9.1</v>
      </c>
      <c r="V32" t="n">
        <v>0.7</v>
      </c>
      <c r="W32" t="n">
        <v>0.2</v>
      </c>
      <c r="X32" t="n">
        <v>0.2</v>
      </c>
      <c r="Y32" t="n">
        <v>-2.3</v>
      </c>
      <c r="Z32" t="n">
        <v>0.4</v>
      </c>
      <c r="AA32" t="n">
        <v>2.3</v>
      </c>
      <c r="AB32" t="n">
        <v>1.5</v>
      </c>
      <c r="AC32" t="n">
        <v>7.8</v>
      </c>
      <c r="AD32" t="n">
        <v>2</v>
      </c>
      <c r="AE32" t="n">
        <v>3</v>
      </c>
      <c r="AF32" t="n">
        <v>2.4</v>
      </c>
    </row>
    <row r="33">
      <c r="A33" t="s">
        <v>38</v>
      </c>
      <c r="B33" t="s">
        <v>336</v>
      </c>
      <c r="C33" t="s">
        <v>203</v>
      </c>
      <c r="D33" t="s">
        <v>337</v>
      </c>
      <c r="E33" t="s">
        <v>204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0.2</v>
      </c>
      <c r="AA33" t="n">
        <v>0.1</v>
      </c>
      <c r="AB33" t="n">
        <v>-1.2</v>
      </c>
      <c r="AC33" t="n">
        <v>0.3</v>
      </c>
      <c r="AD33" t="n">
        <v>0.1</v>
      </c>
      <c r="AE33" t="n">
        <v>0.2</v>
      </c>
      <c r="AF33" t="n">
        <v>9.5</v>
      </c>
    </row>
    <row r="34">
      <c r="A34" t="s">
        <v>38</v>
      </c>
      <c r="B34" t="s">
        <v>338</v>
      </c>
      <c r="C34" t="s">
        <v>203</v>
      </c>
      <c r="D34" t="s">
        <v>339</v>
      </c>
      <c r="E34" t="s">
        <v>204</v>
      </c>
      <c r="F34" t="n">
        <v>3.6</v>
      </c>
      <c r="G34" t="n">
        <v>0.6</v>
      </c>
      <c r="H34" t="n">
        <v>2.3</v>
      </c>
      <c r="I34" t="n">
        <v>20.2</v>
      </c>
      <c r="J34" t="n">
        <v>1.1</v>
      </c>
      <c r="K34" t="n">
        <v>0</v>
      </c>
      <c r="L34" t="n">
        <v>7.8</v>
      </c>
      <c r="M34" t="n">
        <v>3.8</v>
      </c>
      <c r="N34" t="n">
        <v>50.6</v>
      </c>
      <c r="O34" t="n">
        <v>5.7</v>
      </c>
      <c r="P34" t="n">
        <v>19.2</v>
      </c>
      <c r="Q34" t="n">
        <v>75</v>
      </c>
      <c r="R34" t="n">
        <v>57.5</v>
      </c>
      <c r="S34" t="n">
        <v>111</v>
      </c>
      <c r="T34" t="n">
        <v>46.7</v>
      </c>
      <c r="U34" t="n">
        <v>12.1</v>
      </c>
      <c r="V34" t="n">
        <v>23.2</v>
      </c>
      <c r="W34" t="n">
        <v>11.9</v>
      </c>
      <c r="X34" t="n">
        <v>12.1</v>
      </c>
      <c r="Y34" t="n">
        <v>10.5</v>
      </c>
      <c r="Z34" t="n">
        <v>27.2</v>
      </c>
      <c r="AA34" t="n">
        <v>35.8</v>
      </c>
      <c r="AB34" t="n">
        <v>21.3</v>
      </c>
      <c r="AC34" t="n">
        <v>22.7</v>
      </c>
      <c r="AD34" t="n">
        <v>23.4</v>
      </c>
      <c r="AE34" t="n">
        <v>9.9</v>
      </c>
      <c r="AF34" t="n">
        <v>65.6</v>
      </c>
    </row>
    <row r="35">
      <c r="A35" t="s">
        <v>38</v>
      </c>
      <c r="B35" t="s">
        <v>340</v>
      </c>
      <c r="C35" t="s">
        <v>203</v>
      </c>
      <c r="D35" t="s">
        <v>341</v>
      </c>
      <c r="E35" t="s">
        <v>204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3.5</v>
      </c>
      <c r="M35" t="n">
        <v>1.9</v>
      </c>
      <c r="N35" t="n">
        <v>4.9</v>
      </c>
      <c r="O35" t="n">
        <v>0</v>
      </c>
      <c r="P35" t="n">
        <v>10.9</v>
      </c>
      <c r="Q35" t="n">
        <v>2.8</v>
      </c>
      <c r="R35" t="n">
        <v>10.5</v>
      </c>
      <c r="S35" t="n">
        <v>6.4</v>
      </c>
      <c r="T35" t="n">
        <v>7</v>
      </c>
      <c r="U35" t="n">
        <v>3</v>
      </c>
      <c r="V35" t="n">
        <v>2.4</v>
      </c>
      <c r="W35" t="n">
        <v>3.2</v>
      </c>
      <c r="X35" t="n">
        <v>3.3</v>
      </c>
      <c r="Y35" t="n">
        <v>4.4</v>
      </c>
      <c r="Z35" t="n">
        <v>7.3</v>
      </c>
      <c r="AA35" t="n">
        <v>3.7</v>
      </c>
      <c r="AB35" t="n">
        <v>3.4</v>
      </c>
      <c r="AC35" t="n">
        <v>4.7</v>
      </c>
      <c r="AD35" t="n">
        <v>10.6</v>
      </c>
      <c r="AE35" t="n">
        <v>10.9</v>
      </c>
      <c r="AF35" t="n">
        <v>56.8</v>
      </c>
    </row>
    <row r="36">
      <c r="A36" t="s">
        <v>38</v>
      </c>
      <c r="B36" t="s">
        <v>342</v>
      </c>
      <c r="C36" t="s">
        <v>203</v>
      </c>
      <c r="D36" t="s">
        <v>343</v>
      </c>
      <c r="E36" t="s">
        <v>204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2.6</v>
      </c>
      <c r="M36" t="n">
        <v>1.9</v>
      </c>
      <c r="N36" t="n">
        <v>0</v>
      </c>
      <c r="O36" t="n">
        <v>0</v>
      </c>
      <c r="P36" t="n">
        <v>10</v>
      </c>
      <c r="Q36" t="n">
        <v>0.9</v>
      </c>
      <c r="R36" t="n">
        <v>2.6</v>
      </c>
      <c r="S36" t="n">
        <v>0</v>
      </c>
      <c r="T36" t="n">
        <v>1</v>
      </c>
      <c r="U36" t="n">
        <v>0</v>
      </c>
      <c r="V36" t="n">
        <v>0</v>
      </c>
      <c r="W36" t="n">
        <v>1.7</v>
      </c>
      <c r="X36" t="n">
        <v>1.7</v>
      </c>
      <c r="Y36" t="n">
        <v>0.1</v>
      </c>
      <c r="Z36" t="n">
        <v>0.5</v>
      </c>
      <c r="AA36" t="n">
        <v>0.8</v>
      </c>
      <c r="AB36" t="n">
        <v>0.2</v>
      </c>
      <c r="AC36" t="n">
        <v>1</v>
      </c>
      <c r="AD36" t="n">
        <v>6.5</v>
      </c>
      <c r="AE36" t="n">
        <v>1.2</v>
      </c>
      <c r="AF36" t="n">
        <v>4.4</v>
      </c>
    </row>
    <row r="37">
      <c r="A37" t="s">
        <v>38</v>
      </c>
      <c r="B37" t="s">
        <v>344</v>
      </c>
      <c r="C37" t="s">
        <v>203</v>
      </c>
      <c r="D37" t="s">
        <v>345</v>
      </c>
      <c r="E37" t="s">
        <v>204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2.9</v>
      </c>
      <c r="O37" t="n">
        <v>0</v>
      </c>
      <c r="P37" t="n">
        <v>0</v>
      </c>
      <c r="Q37" t="n">
        <v>0</v>
      </c>
      <c r="R37" t="n">
        <v>0.9</v>
      </c>
      <c r="S37" t="n">
        <v>0</v>
      </c>
      <c r="T37" t="n">
        <v>0</v>
      </c>
      <c r="U37" t="n">
        <v>1</v>
      </c>
      <c r="V37" t="n">
        <v>0</v>
      </c>
      <c r="W37" t="n">
        <v>0.4</v>
      </c>
      <c r="X37" t="n">
        <v>0.4</v>
      </c>
      <c r="Y37" t="n">
        <v>1.6</v>
      </c>
      <c r="Z37" t="n">
        <v>-0.2</v>
      </c>
      <c r="AA37" t="n">
        <v>0.1</v>
      </c>
      <c r="AB37" t="n">
        <v>-0.3</v>
      </c>
      <c r="AC37" t="n">
        <v>0.9</v>
      </c>
      <c r="AD37" t="n">
        <v>-0.8</v>
      </c>
      <c r="AE37" t="n">
        <v>3.1</v>
      </c>
      <c r="AF37" t="n">
        <v>0</v>
      </c>
    </row>
    <row r="38">
      <c r="A38" t="s">
        <v>38</v>
      </c>
      <c r="B38" t="s">
        <v>346</v>
      </c>
      <c r="C38" t="s">
        <v>203</v>
      </c>
      <c r="D38" t="s">
        <v>347</v>
      </c>
      <c r="E38" t="s">
        <v>204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0.9</v>
      </c>
      <c r="M38" t="n">
        <v>0</v>
      </c>
      <c r="N38" t="n">
        <v>1.9</v>
      </c>
      <c r="O38" t="n">
        <v>0</v>
      </c>
      <c r="P38" t="n">
        <v>0.9</v>
      </c>
      <c r="Q38" t="n">
        <v>1.9</v>
      </c>
      <c r="R38" t="n">
        <v>7</v>
      </c>
      <c r="S38" t="n">
        <v>6.4</v>
      </c>
      <c r="T38" t="n">
        <v>6</v>
      </c>
      <c r="U38" t="n">
        <v>2</v>
      </c>
      <c r="V38" t="n">
        <v>2.4</v>
      </c>
      <c r="W38" t="n">
        <v>1.2</v>
      </c>
      <c r="X38" t="n">
        <v>1.2</v>
      </c>
      <c r="Y38" t="n">
        <v>2.7</v>
      </c>
      <c r="Z38" t="n">
        <v>7</v>
      </c>
      <c r="AA38" t="n">
        <v>2.8</v>
      </c>
      <c r="AB38" t="n">
        <v>3.5</v>
      </c>
      <c r="AC38" t="n">
        <v>2.8</v>
      </c>
      <c r="AD38" t="n">
        <v>4.9</v>
      </c>
      <c r="AE38" t="n">
        <v>6.6</v>
      </c>
      <c r="AF38" t="n">
        <v>52.4</v>
      </c>
    </row>
    <row r="39">
      <c r="A39" t="s">
        <v>38</v>
      </c>
      <c r="B39" t="s">
        <v>348</v>
      </c>
      <c r="C39" t="s">
        <v>203</v>
      </c>
      <c r="D39" t="s">
        <v>349</v>
      </c>
      <c r="E39" t="s">
        <v>204</v>
      </c>
      <c r="F39" t="n">
        <v>4.7</v>
      </c>
      <c r="G39" t="n">
        <v>0.8</v>
      </c>
      <c r="H39" t="n">
        <v>3</v>
      </c>
      <c r="I39" t="n">
        <v>26.3</v>
      </c>
      <c r="J39" t="n">
        <v>1.1</v>
      </c>
      <c r="K39" t="n">
        <v>0</v>
      </c>
      <c r="L39" t="n">
        <v>14.7</v>
      </c>
      <c r="M39" t="n">
        <v>6.7</v>
      </c>
      <c r="N39" t="n">
        <v>26.3</v>
      </c>
      <c r="O39" t="n">
        <v>7.6</v>
      </c>
      <c r="P39" t="n">
        <v>3.6</v>
      </c>
      <c r="Q39" t="n">
        <v>4.6</v>
      </c>
      <c r="R39" t="n">
        <v>4.4</v>
      </c>
      <c r="S39" t="n">
        <v>45.5</v>
      </c>
      <c r="T39" t="n">
        <v>0.5</v>
      </c>
      <c r="U39" t="n">
        <v>1</v>
      </c>
      <c r="V39" t="n">
        <v>8.2</v>
      </c>
      <c r="W39" t="n">
        <v>9.6</v>
      </c>
      <c r="X39" t="n">
        <v>9.8</v>
      </c>
      <c r="Y39" t="n">
        <v>20.9</v>
      </c>
      <c r="Z39" t="n">
        <v>13.6</v>
      </c>
      <c r="AA39" t="n">
        <v>24.9</v>
      </c>
      <c r="AB39" t="n">
        <v>39.5</v>
      </c>
      <c r="AC39" t="n">
        <v>25.8</v>
      </c>
      <c r="AD39" t="n">
        <v>-6.4</v>
      </c>
      <c r="AE39" t="n">
        <v>6.3</v>
      </c>
      <c r="AF39" t="n">
        <v>61.6</v>
      </c>
    </row>
    <row r="40">
      <c r="A40" t="s">
        <v>38</v>
      </c>
      <c r="B40" t="s">
        <v>350</v>
      </c>
      <c r="C40" t="s">
        <v>203</v>
      </c>
      <c r="D40" t="s">
        <v>351</v>
      </c>
      <c r="E40" t="s">
        <v>204</v>
      </c>
      <c r="F40" t="n">
        <v>0.5</v>
      </c>
      <c r="G40" t="n">
        <v>0.1</v>
      </c>
      <c r="H40" t="n">
        <v>0.3</v>
      </c>
      <c r="I40" t="n">
        <v>2.9</v>
      </c>
      <c r="J40" t="n">
        <v>40.6</v>
      </c>
      <c r="K40" t="n">
        <v>0</v>
      </c>
      <c r="L40" t="n">
        <v>0.9</v>
      </c>
      <c r="M40" t="n">
        <v>21</v>
      </c>
      <c r="N40" t="n">
        <v>4.9</v>
      </c>
      <c r="O40" t="n">
        <v>26.5</v>
      </c>
      <c r="P40" t="n">
        <v>48.7</v>
      </c>
      <c r="Q40" t="n">
        <v>514.3</v>
      </c>
      <c r="R40" t="n">
        <v>386.8</v>
      </c>
      <c r="S40" t="n">
        <v>447.9</v>
      </c>
      <c r="T40" t="n">
        <v>197.8</v>
      </c>
      <c r="U40" t="n">
        <v>80.3</v>
      </c>
      <c r="V40" t="n">
        <v>251.8</v>
      </c>
      <c r="W40" t="n">
        <v>40.2</v>
      </c>
      <c r="X40" t="n">
        <v>40.9</v>
      </c>
      <c r="Y40" t="n">
        <v>9.5</v>
      </c>
      <c r="Z40" t="n">
        <v>47.4</v>
      </c>
      <c r="AA40" t="n">
        <v>-1.1</v>
      </c>
      <c r="AB40" t="n">
        <v>521.1</v>
      </c>
      <c r="AC40" t="n">
        <v>328</v>
      </c>
      <c r="AD40" t="n">
        <v>323.1</v>
      </c>
      <c r="AE40" t="n">
        <v>354.1</v>
      </c>
      <c r="AF40" t="n">
        <v>414.3</v>
      </c>
    </row>
    <row r="41">
      <c r="A41" t="s">
        <v>38</v>
      </c>
      <c r="B41" t="s">
        <v>352</v>
      </c>
      <c r="C41" t="s">
        <v>203</v>
      </c>
      <c r="D41" t="s">
        <v>353</v>
      </c>
      <c r="E41" t="s">
        <v>204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38</v>
      </c>
      <c r="B42" t="s">
        <v>354</v>
      </c>
      <c r="C42" t="s">
        <v>203</v>
      </c>
      <c r="D42" t="s">
        <v>355</v>
      </c>
      <c r="E42" t="s">
        <v>204</v>
      </c>
      <c r="F42" t="n">
        <v>0.8</v>
      </c>
      <c r="G42" t="n">
        <v>0.1</v>
      </c>
      <c r="H42" t="n">
        <v>0.5</v>
      </c>
      <c r="I42" t="n">
        <v>4.5</v>
      </c>
      <c r="J42" t="n">
        <v>11.3</v>
      </c>
      <c r="K42" t="n">
        <v>14</v>
      </c>
      <c r="L42" t="n">
        <v>6.9</v>
      </c>
      <c r="M42" t="n">
        <v>37.3</v>
      </c>
      <c r="N42" t="n">
        <v>18.5</v>
      </c>
      <c r="O42" t="n">
        <v>12.3</v>
      </c>
      <c r="P42" t="n">
        <v>19.2</v>
      </c>
      <c r="Q42" t="n">
        <v>37</v>
      </c>
      <c r="R42" t="n">
        <v>78.4</v>
      </c>
      <c r="S42" t="n">
        <v>152.9</v>
      </c>
      <c r="T42" t="n">
        <v>59.6</v>
      </c>
      <c r="U42" t="n">
        <v>28.2</v>
      </c>
      <c r="V42" t="n">
        <v>33.3</v>
      </c>
      <c r="W42" t="n">
        <v>25.3</v>
      </c>
      <c r="X42" t="n">
        <v>25.8</v>
      </c>
      <c r="Y42" t="n">
        <v>9.5</v>
      </c>
      <c r="Z42" t="n">
        <v>22.1</v>
      </c>
      <c r="AA42" t="n">
        <v>16.3</v>
      </c>
      <c r="AB42" t="n">
        <v>111.9</v>
      </c>
      <c r="AC42" t="n">
        <v>56.8</v>
      </c>
      <c r="AD42" t="n">
        <v>16.4</v>
      </c>
      <c r="AE42" t="n">
        <v>27.5</v>
      </c>
      <c r="AF42" t="n">
        <v>46.5</v>
      </c>
    </row>
    <row r="43">
      <c r="A43" t="s">
        <v>38</v>
      </c>
      <c r="B43" t="s">
        <v>356</v>
      </c>
      <c r="C43" t="s">
        <v>203</v>
      </c>
      <c r="D43" t="s">
        <v>357</v>
      </c>
      <c r="E43" t="s">
        <v>204</v>
      </c>
      <c r="F43" t="n">
        <v>0.8</v>
      </c>
      <c r="G43" t="n">
        <v>0.1</v>
      </c>
      <c r="H43" t="n">
        <v>0.5</v>
      </c>
      <c r="I43" t="n">
        <v>4.5</v>
      </c>
      <c r="J43" t="n">
        <v>50.8</v>
      </c>
      <c r="K43" t="n">
        <v>14</v>
      </c>
      <c r="L43" t="n">
        <v>9.5</v>
      </c>
      <c r="M43" t="n">
        <v>38.3</v>
      </c>
      <c r="N43" t="n">
        <v>30.4</v>
      </c>
      <c r="O43" t="n">
        <v>14.2</v>
      </c>
      <c r="P43" t="n">
        <v>25.6</v>
      </c>
      <c r="Q43" t="n">
        <v>52.7</v>
      </c>
      <c r="R43" t="n">
        <v>114.1</v>
      </c>
      <c r="S43" t="n">
        <v>163.8</v>
      </c>
      <c r="T43" t="n">
        <v>79.5</v>
      </c>
      <c r="U43" t="n">
        <v>33.2</v>
      </c>
      <c r="V43" t="n">
        <v>37.5</v>
      </c>
      <c r="W43" t="n">
        <v>26.8</v>
      </c>
      <c r="X43" t="n">
        <v>27.4</v>
      </c>
      <c r="Y43" t="n">
        <v>12.2</v>
      </c>
      <c r="Z43" t="n">
        <v>30.2</v>
      </c>
      <c r="AA43" t="n">
        <v>21.3</v>
      </c>
      <c r="AB43" t="n">
        <v>174.9</v>
      </c>
      <c r="AC43" t="n">
        <v>82.8</v>
      </c>
      <c r="AD43" t="n">
        <v>13.1</v>
      </c>
      <c r="AE43" t="n">
        <v>54.9</v>
      </c>
      <c r="AF43" t="n">
        <v>62.1</v>
      </c>
    </row>
    <row r="44">
      <c r="A44" t="s">
        <v>38</v>
      </c>
      <c r="B44" t="s">
        <v>358</v>
      </c>
      <c r="C44" t="s">
        <v>203</v>
      </c>
      <c r="D44" t="s">
        <v>359</v>
      </c>
      <c r="E44" t="s">
        <v>204</v>
      </c>
      <c r="F44" t="n">
        <v>30.5</v>
      </c>
      <c r="G44" t="n">
        <v>5.4</v>
      </c>
      <c r="H44" t="n">
        <v>19.5</v>
      </c>
      <c r="I44" t="n">
        <v>172.2</v>
      </c>
      <c r="J44" t="n">
        <v>364.2</v>
      </c>
      <c r="K44" t="n">
        <v>419.3</v>
      </c>
      <c r="L44" t="n">
        <v>430.9</v>
      </c>
      <c r="M44" t="n">
        <v>597.9</v>
      </c>
      <c r="N44" t="n">
        <v>638.3</v>
      </c>
      <c r="O44" t="n">
        <v>702.4</v>
      </c>
      <c r="P44" t="n">
        <v>1183.6</v>
      </c>
      <c r="Q44" t="n">
        <v>2197.2</v>
      </c>
      <c r="R44" t="n">
        <v>2249.1</v>
      </c>
      <c r="S44" t="n">
        <v>3380</v>
      </c>
      <c r="T44" t="n">
        <v>3006.8</v>
      </c>
      <c r="U44" t="n">
        <v>1667.8</v>
      </c>
      <c r="V44" t="n">
        <v>1434</v>
      </c>
      <c r="W44" t="n">
        <v>1272.7</v>
      </c>
      <c r="X44" t="n">
        <v>1294.3</v>
      </c>
      <c r="Y44" t="n">
        <v>1291.3</v>
      </c>
      <c r="Z44" t="n">
        <v>1124.5</v>
      </c>
      <c r="AA44" t="n">
        <v>2483</v>
      </c>
      <c r="AB44" t="n">
        <v>2499.8</v>
      </c>
      <c r="AC44" t="n">
        <v>2484.7</v>
      </c>
      <c r="AD44" t="n">
        <v>2821.7</v>
      </c>
      <c r="AE44" t="n">
        <v>2993.4</v>
      </c>
      <c r="AF44" t="n">
        <v>3010</v>
      </c>
    </row>
    <row r="45">
      <c r="A45" t="s">
        <v>38</v>
      </c>
      <c r="B45" t="s">
        <v>360</v>
      </c>
      <c r="C45" t="s">
        <v>203</v>
      </c>
      <c r="D45" t="s">
        <v>361</v>
      </c>
      <c r="E45" t="s">
        <v>204</v>
      </c>
      <c r="F45" t="n">
        <v>30.4</v>
      </c>
      <c r="G45" t="n">
        <v>5.4</v>
      </c>
      <c r="H45" t="n">
        <v>19.4</v>
      </c>
      <c r="I45" t="n">
        <v>171.6</v>
      </c>
      <c r="J45" t="n">
        <v>364.2</v>
      </c>
      <c r="K45" t="n">
        <v>407.5</v>
      </c>
      <c r="L45" t="n">
        <v>419.7</v>
      </c>
      <c r="M45" t="n">
        <v>595</v>
      </c>
      <c r="N45" t="n">
        <v>635.4</v>
      </c>
      <c r="O45" t="n">
        <v>692.9</v>
      </c>
      <c r="P45" t="n">
        <v>1182.7</v>
      </c>
      <c r="Q45" t="n">
        <v>2194.4</v>
      </c>
      <c r="R45" t="n">
        <v>2242.1</v>
      </c>
      <c r="S45" t="n">
        <v>3370</v>
      </c>
      <c r="T45" t="n">
        <v>3003.8</v>
      </c>
      <c r="U45" t="n">
        <v>1664.8</v>
      </c>
      <c r="V45" t="n">
        <v>1430.5</v>
      </c>
      <c r="W45" t="n">
        <v>1270.3</v>
      </c>
      <c r="X45" t="n">
        <v>1291.9</v>
      </c>
      <c r="Y45" t="n">
        <v>1286.8</v>
      </c>
      <c r="Z45" t="n">
        <v>1115.9</v>
      </c>
      <c r="AA45" t="n">
        <v>2482.1</v>
      </c>
      <c r="AB45" t="n">
        <v>2496</v>
      </c>
      <c r="AC45" t="n">
        <v>2480</v>
      </c>
      <c r="AD45" t="n">
        <v>2818</v>
      </c>
      <c r="AE45" t="n">
        <v>2984.4</v>
      </c>
      <c r="AF45" t="n">
        <v>3005.9</v>
      </c>
    </row>
    <row r="46">
      <c r="A46" t="s">
        <v>38</v>
      </c>
      <c r="B46" t="s">
        <v>362</v>
      </c>
      <c r="C46" t="s">
        <v>203</v>
      </c>
      <c r="D46" t="s">
        <v>363</v>
      </c>
      <c r="E46" t="s">
        <v>204</v>
      </c>
      <c r="F46" t="n">
        <v>0</v>
      </c>
      <c r="G46" t="n">
        <v>0</v>
      </c>
      <c r="H46" t="n">
        <v>0</v>
      </c>
      <c r="I46" t="n">
        <v>0</v>
      </c>
      <c r="J46" t="n">
        <v>39.5</v>
      </c>
      <c r="K46" t="n">
        <v>0</v>
      </c>
      <c r="L46" t="n">
        <v>2.6</v>
      </c>
      <c r="M46" t="n">
        <v>1</v>
      </c>
      <c r="N46" t="n">
        <v>11.9</v>
      </c>
      <c r="O46" t="n">
        <v>1.9</v>
      </c>
      <c r="P46" t="n">
        <v>6.4</v>
      </c>
      <c r="Q46" t="n">
        <v>15.7</v>
      </c>
      <c r="R46" t="n">
        <v>35.7</v>
      </c>
      <c r="S46" t="n">
        <v>10.9</v>
      </c>
      <c r="T46" t="n">
        <v>19.9</v>
      </c>
      <c r="U46" t="n">
        <v>5</v>
      </c>
      <c r="V46" t="n">
        <v>4.2</v>
      </c>
      <c r="W46" t="n">
        <v>1.5</v>
      </c>
      <c r="X46" t="n">
        <v>1.6</v>
      </c>
      <c r="Y46" t="n">
        <v>2.7</v>
      </c>
      <c r="Z46" t="n">
        <v>8.1</v>
      </c>
      <c r="AA46" t="n">
        <v>5</v>
      </c>
      <c r="AB46" t="n">
        <v>63</v>
      </c>
      <c r="AC46" t="n">
        <v>26</v>
      </c>
      <c r="AD46" t="n">
        <v>-3.3</v>
      </c>
      <c r="AE46" t="n">
        <v>27.4</v>
      </c>
      <c r="AF46" t="n">
        <v>15.6</v>
      </c>
    </row>
    <row r="47">
      <c r="A47" t="s">
        <v>38</v>
      </c>
      <c r="B47" t="s">
        <v>364</v>
      </c>
      <c r="C47" t="s">
        <v>203</v>
      </c>
      <c r="D47" t="s">
        <v>365</v>
      </c>
      <c r="E47" t="s">
        <v>204</v>
      </c>
      <c r="F47" t="n">
        <v>0.4</v>
      </c>
      <c r="G47" t="n">
        <v>0.1</v>
      </c>
      <c r="H47" t="n">
        <v>0.3</v>
      </c>
      <c r="I47" t="n">
        <v>2.2</v>
      </c>
      <c r="J47" t="n">
        <v>13.5</v>
      </c>
      <c r="K47" t="n">
        <v>0</v>
      </c>
      <c r="L47" t="n">
        <v>34.6</v>
      </c>
      <c r="M47" t="n">
        <v>25.4</v>
      </c>
      <c r="N47" t="n">
        <v>78.8</v>
      </c>
      <c r="O47" t="n">
        <v>30.3</v>
      </c>
      <c r="P47" t="n">
        <v>28.3</v>
      </c>
      <c r="Q47" t="n">
        <v>28.7</v>
      </c>
      <c r="R47" t="n">
        <v>111.4</v>
      </c>
      <c r="S47" t="n">
        <v>38.2</v>
      </c>
      <c r="T47" t="n">
        <v>175.1</v>
      </c>
      <c r="U47" t="n">
        <v>265.4</v>
      </c>
      <c r="V47" t="n">
        <v>30.9</v>
      </c>
      <c r="W47" t="n">
        <v>7.2</v>
      </c>
      <c r="X47" t="n">
        <v>7.4</v>
      </c>
      <c r="Y47" t="n">
        <v>57.6</v>
      </c>
      <c r="Z47" t="n">
        <v>2.9</v>
      </c>
      <c r="AA47" t="n">
        <v>10.9</v>
      </c>
      <c r="AB47" t="n">
        <v>10.3</v>
      </c>
      <c r="AC47" t="n">
        <v>35.5</v>
      </c>
      <c r="AD47" t="n">
        <v>14.9</v>
      </c>
      <c r="AE47" t="n">
        <v>22.3</v>
      </c>
      <c r="AF47" t="n">
        <v>40.4</v>
      </c>
    </row>
    <row r="48">
      <c r="A48" t="s">
        <v>38</v>
      </c>
      <c r="B48" t="s">
        <v>366</v>
      </c>
      <c r="C48" t="s">
        <v>203</v>
      </c>
      <c r="D48" t="s">
        <v>367</v>
      </c>
      <c r="E48" t="s">
        <v>204</v>
      </c>
      <c r="F48" t="n">
        <v>1.1</v>
      </c>
      <c r="G48" t="n">
        <v>0.2</v>
      </c>
      <c r="H48" t="n">
        <v>0.7</v>
      </c>
      <c r="I48" t="n">
        <v>6.2</v>
      </c>
      <c r="J48" t="n">
        <v>13.5</v>
      </c>
      <c r="K48" t="n">
        <v>0</v>
      </c>
      <c r="L48" t="n">
        <v>37.2</v>
      </c>
      <c r="M48" t="n">
        <v>39.8</v>
      </c>
      <c r="N48" t="n">
        <v>78.8</v>
      </c>
      <c r="O48" t="n">
        <v>32.2</v>
      </c>
      <c r="P48" t="n">
        <v>35.6</v>
      </c>
      <c r="Q48" t="n">
        <v>33.3</v>
      </c>
      <c r="R48" t="n">
        <v>115.8</v>
      </c>
      <c r="S48" t="n">
        <v>41.9</v>
      </c>
      <c r="T48" t="n">
        <v>179.1</v>
      </c>
      <c r="U48" t="n">
        <v>267.4</v>
      </c>
      <c r="V48" t="n">
        <v>32.2</v>
      </c>
      <c r="W48" t="n">
        <v>8.5</v>
      </c>
      <c r="X48" t="n">
        <v>8.7</v>
      </c>
      <c r="Y48" t="n">
        <v>57.7</v>
      </c>
      <c r="Z48" t="n">
        <v>21.1</v>
      </c>
      <c r="AA48" t="n">
        <v>54.2</v>
      </c>
      <c r="AB48" t="n">
        <v>16.9</v>
      </c>
      <c r="AC48" t="n">
        <v>42.7</v>
      </c>
      <c r="AD48" t="n">
        <v>47.4</v>
      </c>
      <c r="AE48" t="n">
        <v>42.7</v>
      </c>
      <c r="AF48" t="n">
        <v>55.2</v>
      </c>
    </row>
    <row r="49">
      <c r="A49" t="s">
        <v>38</v>
      </c>
      <c r="B49" t="s">
        <v>368</v>
      </c>
      <c r="C49" t="s">
        <v>203</v>
      </c>
      <c r="D49" t="s">
        <v>369</v>
      </c>
      <c r="E49" t="s">
        <v>204</v>
      </c>
      <c r="F49" t="n">
        <v>0.7</v>
      </c>
      <c r="G49" t="n">
        <v>0.1</v>
      </c>
      <c r="H49" t="n">
        <v>0.4</v>
      </c>
      <c r="I49" t="n">
        <v>3.9</v>
      </c>
      <c r="J49" t="n">
        <v>0</v>
      </c>
      <c r="K49" t="n">
        <v>0</v>
      </c>
      <c r="L49" t="n">
        <v>0.9</v>
      </c>
      <c r="M49" t="n">
        <v>12.4</v>
      </c>
      <c r="N49" t="n">
        <v>0</v>
      </c>
      <c r="O49" t="n">
        <v>1.9</v>
      </c>
      <c r="P49" t="n">
        <v>2.7</v>
      </c>
      <c r="Q49" t="n">
        <v>2.8</v>
      </c>
      <c r="R49" t="n">
        <v>3.5</v>
      </c>
      <c r="S49" t="n">
        <v>1.8</v>
      </c>
      <c r="T49" t="n">
        <v>1</v>
      </c>
      <c r="U49" t="n">
        <v>1</v>
      </c>
      <c r="V49" t="n">
        <v>0.6</v>
      </c>
      <c r="W49" t="n">
        <v>0.3</v>
      </c>
      <c r="X49" t="n">
        <v>0.3</v>
      </c>
      <c r="Y49" t="n">
        <v>-0.5</v>
      </c>
      <c r="Z49" t="n">
        <v>8.3</v>
      </c>
      <c r="AA49" t="n">
        <v>6.3</v>
      </c>
      <c r="AB49" t="n">
        <v>5.4</v>
      </c>
      <c r="AC49" t="n">
        <v>3.3</v>
      </c>
      <c r="AD49" t="n">
        <v>29</v>
      </c>
      <c r="AE49" t="n">
        <v>5.9</v>
      </c>
      <c r="AF49" t="n">
        <v>9.8</v>
      </c>
    </row>
    <row r="50">
      <c r="A50" t="s">
        <v>38</v>
      </c>
      <c r="B50" t="s">
        <v>370</v>
      </c>
      <c r="C50" t="s">
        <v>203</v>
      </c>
      <c r="D50" t="s">
        <v>371</v>
      </c>
      <c r="E50" t="s">
        <v>204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1.7</v>
      </c>
      <c r="M50" t="n">
        <v>1.9</v>
      </c>
      <c r="N50" t="n">
        <v>0</v>
      </c>
      <c r="O50" t="n">
        <v>0</v>
      </c>
      <c r="P50" t="n">
        <v>4.6</v>
      </c>
      <c r="Q50" t="n">
        <v>1.9</v>
      </c>
      <c r="R50" t="n">
        <v>0.9</v>
      </c>
      <c r="S50" t="n">
        <v>1.8</v>
      </c>
      <c r="T50" t="n">
        <v>4</v>
      </c>
      <c r="U50" t="n">
        <v>2</v>
      </c>
      <c r="V50" t="n">
        <v>0.7</v>
      </c>
      <c r="W50" t="n">
        <v>1</v>
      </c>
      <c r="X50" t="n">
        <v>1</v>
      </c>
      <c r="Y50" t="n">
        <v>0.1</v>
      </c>
      <c r="Z50" t="n">
        <v>10</v>
      </c>
      <c r="AA50" t="n">
        <v>37</v>
      </c>
      <c r="AB50" t="n">
        <v>1.2</v>
      </c>
      <c r="AC50" t="n">
        <v>3.8</v>
      </c>
      <c r="AD50" t="n">
        <v>3.5</v>
      </c>
      <c r="AE50" t="n">
        <v>14.6</v>
      </c>
      <c r="AF50" t="n">
        <v>5.1</v>
      </c>
    </row>
    <row r="51">
      <c r="A51" t="s">
        <v>38</v>
      </c>
      <c r="B51" t="s">
        <v>372</v>
      </c>
      <c r="C51" t="s">
        <v>203</v>
      </c>
      <c r="D51" t="s">
        <v>373</v>
      </c>
      <c r="E51" t="s">
        <v>204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1.7</v>
      </c>
      <c r="M51" t="n">
        <v>1.9</v>
      </c>
      <c r="N51" t="n">
        <v>0</v>
      </c>
      <c r="O51" t="n">
        <v>0</v>
      </c>
      <c r="P51" t="n">
        <v>4.6</v>
      </c>
      <c r="Q51" t="n">
        <v>0.9</v>
      </c>
      <c r="R51" t="n">
        <v>0.9</v>
      </c>
      <c r="S51" t="n">
        <v>1.8</v>
      </c>
      <c r="T51" t="n">
        <v>2</v>
      </c>
      <c r="U51" t="n">
        <v>2</v>
      </c>
      <c r="V51" t="n">
        <v>0.6</v>
      </c>
      <c r="W51" t="n">
        <v>1</v>
      </c>
      <c r="X51" t="n">
        <v>1</v>
      </c>
      <c r="Y51" t="n">
        <v>0.2</v>
      </c>
      <c r="Z51" t="n">
        <v>1.1</v>
      </c>
      <c r="AA51" t="n">
        <v>35.2</v>
      </c>
      <c r="AB51" t="n">
        <v>0.2</v>
      </c>
      <c r="AC51" t="n">
        <v>3.1</v>
      </c>
      <c r="AD51" t="n">
        <v>2.7</v>
      </c>
      <c r="AE51" t="n">
        <v>13.4</v>
      </c>
      <c r="AF51" t="n">
        <v>4.5</v>
      </c>
    </row>
    <row r="52">
      <c r="A52" t="s">
        <v>38</v>
      </c>
      <c r="B52" t="s">
        <v>374</v>
      </c>
      <c r="C52" t="s">
        <v>203</v>
      </c>
      <c r="D52" t="s">
        <v>375</v>
      </c>
      <c r="E52" t="s">
        <v>204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0.9</v>
      </c>
      <c r="R52" t="n">
        <v>0</v>
      </c>
      <c r="S52" t="n">
        <v>0</v>
      </c>
      <c r="T52" t="n">
        <v>2</v>
      </c>
      <c r="U52" t="n">
        <v>0</v>
      </c>
      <c r="V52" t="n">
        <v>0.1</v>
      </c>
      <c r="W52" t="n">
        <v>0</v>
      </c>
      <c r="X52" t="n">
        <v>0</v>
      </c>
      <c r="Y52" t="n">
        <v>0</v>
      </c>
      <c r="Z52" t="n">
        <v>8.9</v>
      </c>
      <c r="AA52" t="n">
        <v>1.8</v>
      </c>
      <c r="AB52" t="n">
        <v>1</v>
      </c>
      <c r="AC52" t="n">
        <v>0.7</v>
      </c>
      <c r="AD52" t="n">
        <v>0.8</v>
      </c>
      <c r="AE52" t="n">
        <v>1.2</v>
      </c>
      <c r="AF52" t="n">
        <v>0.6</v>
      </c>
    </row>
    <row r="53">
      <c r="A53" t="s">
        <v>38</v>
      </c>
      <c r="B53" t="s">
        <v>376</v>
      </c>
      <c r="C53" t="s">
        <v>203</v>
      </c>
      <c r="D53" t="s">
        <v>377</v>
      </c>
      <c r="E53" t="s">
        <v>204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5.2</v>
      </c>
      <c r="L53" t="n">
        <v>0</v>
      </c>
      <c r="M53" t="n">
        <v>0</v>
      </c>
      <c r="N53" t="n">
        <v>1</v>
      </c>
      <c r="O53" t="n">
        <v>0.9</v>
      </c>
      <c r="P53" t="n">
        <v>0.9</v>
      </c>
      <c r="Q53" t="n">
        <v>5.6</v>
      </c>
      <c r="R53" t="n">
        <v>61.8</v>
      </c>
      <c r="S53" t="n">
        <v>0.9</v>
      </c>
      <c r="T53" t="n">
        <v>2</v>
      </c>
      <c r="U53" t="n">
        <v>1</v>
      </c>
      <c r="V53" t="n">
        <v>0.9</v>
      </c>
      <c r="W53" t="n">
        <v>0.9</v>
      </c>
      <c r="X53" t="n">
        <v>0.9</v>
      </c>
      <c r="Y53" t="n">
        <v>1.2</v>
      </c>
      <c r="Z53" t="n">
        <v>1.7</v>
      </c>
      <c r="AA53" t="n">
        <v>-0.6</v>
      </c>
      <c r="AB53" t="n">
        <v>17.4</v>
      </c>
      <c r="AC53" t="n">
        <v>14.7</v>
      </c>
      <c r="AD53" t="n">
        <v>1.4</v>
      </c>
      <c r="AE53" t="n">
        <v>2.6</v>
      </c>
      <c r="AF53" t="n">
        <v>0.3</v>
      </c>
    </row>
    <row r="54">
      <c r="A54" t="s">
        <v>38</v>
      </c>
      <c r="B54" t="s">
        <v>378</v>
      </c>
      <c r="C54" t="s">
        <v>203</v>
      </c>
      <c r="D54" t="s">
        <v>379</v>
      </c>
      <c r="E54" t="s">
        <v>204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5.2</v>
      </c>
      <c r="L54" t="n">
        <v>0.9</v>
      </c>
      <c r="M54" t="n">
        <v>0</v>
      </c>
      <c r="N54" t="n">
        <v>1</v>
      </c>
      <c r="O54" t="n">
        <v>0.9</v>
      </c>
      <c r="P54" t="n">
        <v>1.8</v>
      </c>
      <c r="Q54" t="n">
        <v>8.4</v>
      </c>
      <c r="R54" t="n">
        <v>63.5</v>
      </c>
      <c r="S54" t="n">
        <v>1.8</v>
      </c>
      <c r="T54" t="n">
        <v>2</v>
      </c>
      <c r="U54" t="n">
        <v>2</v>
      </c>
      <c r="V54" t="n">
        <v>2.9</v>
      </c>
      <c r="W54" t="n">
        <v>4.2</v>
      </c>
      <c r="X54" t="n">
        <v>4.3</v>
      </c>
      <c r="Y54" t="n">
        <v>4.3</v>
      </c>
      <c r="Z54" t="n">
        <v>3.7</v>
      </c>
      <c r="AA54" t="n">
        <v>2.8</v>
      </c>
      <c r="AB54" t="n">
        <v>21.6</v>
      </c>
      <c r="AC54" t="n">
        <v>17.9</v>
      </c>
      <c r="AD54" t="n">
        <v>6.4</v>
      </c>
      <c r="AE54" t="n">
        <v>7.6</v>
      </c>
      <c r="AF54" t="n">
        <v>6.7</v>
      </c>
    </row>
    <row r="55">
      <c r="A55" t="s">
        <v>38</v>
      </c>
      <c r="B55" t="s">
        <v>380</v>
      </c>
      <c r="C55" t="s">
        <v>203</v>
      </c>
      <c r="D55" t="s">
        <v>381</v>
      </c>
      <c r="E55" t="s">
        <v>204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0.9</v>
      </c>
      <c r="M55" t="n">
        <v>0</v>
      </c>
      <c r="N55" t="n">
        <v>0</v>
      </c>
      <c r="O55" t="n">
        <v>0</v>
      </c>
      <c r="P55" t="n">
        <v>0.9</v>
      </c>
      <c r="Q55" t="n">
        <v>2.8</v>
      </c>
      <c r="R55" t="n">
        <v>1.7</v>
      </c>
      <c r="S55" t="n">
        <v>0.9</v>
      </c>
      <c r="T55" t="n">
        <v>0</v>
      </c>
      <c r="U55" t="n">
        <v>1</v>
      </c>
      <c r="V55" t="n">
        <v>2</v>
      </c>
      <c r="W55" t="n">
        <v>3.3</v>
      </c>
      <c r="X55" t="n">
        <v>3.4</v>
      </c>
      <c r="Y55" t="n">
        <v>3.1</v>
      </c>
      <c r="Z55" t="n">
        <v>2</v>
      </c>
      <c r="AA55" t="n">
        <v>3.4</v>
      </c>
      <c r="AB55" t="n">
        <v>4.2</v>
      </c>
      <c r="AC55" t="n">
        <v>3.2</v>
      </c>
      <c r="AD55" t="n">
        <v>5</v>
      </c>
      <c r="AE55" t="n">
        <v>5</v>
      </c>
      <c r="AF55" t="n">
        <v>6.4</v>
      </c>
    </row>
    <row r="56">
      <c r="A56" t="s">
        <v>38</v>
      </c>
      <c r="B56" t="s">
        <v>382</v>
      </c>
      <c r="C56" t="s">
        <v>203</v>
      </c>
      <c r="D56" t="s">
        <v>383</v>
      </c>
      <c r="E56" t="s">
        <v>204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38</v>
      </c>
      <c r="B57" t="s">
        <v>384</v>
      </c>
      <c r="C57" t="s">
        <v>203</v>
      </c>
      <c r="D57" t="s">
        <v>385</v>
      </c>
      <c r="E57" t="s">
        <v>204</v>
      </c>
      <c r="F57" t="n">
        <v>32.1</v>
      </c>
      <c r="G57" t="n">
        <v>5.8</v>
      </c>
      <c r="H57" t="n">
        <v>20.5</v>
      </c>
      <c r="I57" t="n">
        <v>181.2</v>
      </c>
      <c r="J57" t="n">
        <v>418.3</v>
      </c>
      <c r="K57" t="n">
        <v>419.3</v>
      </c>
      <c r="L57" t="n">
        <v>469</v>
      </c>
      <c r="M57" t="n">
        <v>658.6</v>
      </c>
      <c r="N57" t="n">
        <v>722</v>
      </c>
      <c r="O57" t="n">
        <v>761.1</v>
      </c>
      <c r="P57" t="n">
        <v>1267.9</v>
      </c>
      <c r="Q57" t="n">
        <v>2744.9</v>
      </c>
      <c r="R57" t="n">
        <v>2751.7</v>
      </c>
      <c r="S57" t="n">
        <v>3869.7</v>
      </c>
      <c r="T57" t="n">
        <v>3384.7</v>
      </c>
      <c r="U57" t="n">
        <v>2016.5</v>
      </c>
      <c r="V57" t="n">
        <v>1718</v>
      </c>
      <c r="W57" t="n">
        <v>1321.4</v>
      </c>
      <c r="X57" t="n">
        <v>1343.9</v>
      </c>
      <c r="Y57" t="n">
        <v>1358</v>
      </c>
      <c r="Z57" t="n">
        <v>1193.1</v>
      </c>
      <c r="AA57" t="n">
        <v>2536.1</v>
      </c>
      <c r="AB57" t="n">
        <v>3037.8</v>
      </c>
      <c r="AC57" t="n">
        <v>2855.3</v>
      </c>
      <c r="AD57" t="n">
        <v>3192.2</v>
      </c>
      <c r="AE57" t="n">
        <v>3390.3</v>
      </c>
      <c r="AF57" t="n">
        <v>3479.6</v>
      </c>
    </row>
    <row r="58">
      <c r="A58" t="s">
        <v>38</v>
      </c>
      <c r="B58" t="s">
        <v>386</v>
      </c>
      <c r="C58" t="s">
        <v>203</v>
      </c>
      <c r="D58" t="s">
        <v>387</v>
      </c>
      <c r="E58" t="s">
        <v>204</v>
      </c>
      <c r="F58" t="n">
        <v>32.1</v>
      </c>
      <c r="G58" t="n">
        <v>5.7</v>
      </c>
      <c r="H58" t="n">
        <v>20.5</v>
      </c>
      <c r="I58" t="n">
        <v>181.2</v>
      </c>
      <c r="J58" t="n">
        <v>418.3</v>
      </c>
      <c r="K58" t="n">
        <v>419.3</v>
      </c>
      <c r="L58" t="n">
        <v>469</v>
      </c>
      <c r="M58" t="n">
        <v>658.6</v>
      </c>
      <c r="N58" t="n">
        <v>722</v>
      </c>
      <c r="O58" t="n">
        <v>761.1</v>
      </c>
      <c r="P58" t="n">
        <v>1267.9</v>
      </c>
      <c r="Q58" t="n">
        <v>2744.9</v>
      </c>
      <c r="R58" t="n">
        <v>2751.7</v>
      </c>
      <c r="S58" t="n">
        <v>3869.7</v>
      </c>
      <c r="T58" t="n">
        <v>3384.7</v>
      </c>
      <c r="U58" t="n">
        <v>2016.5</v>
      </c>
      <c r="V58" t="n">
        <v>1718</v>
      </c>
      <c r="W58" t="n">
        <v>1321.4</v>
      </c>
      <c r="X58" t="n">
        <v>1343.9</v>
      </c>
      <c r="Y58" t="n">
        <v>1358</v>
      </c>
      <c r="Z58" t="n">
        <v>1193.1</v>
      </c>
      <c r="AA58" t="n">
        <v>2536.1</v>
      </c>
      <c r="AB58" t="n">
        <v>3037.8</v>
      </c>
      <c r="AC58" t="n">
        <v>2855.3</v>
      </c>
      <c r="AD58" t="n">
        <v>3192.2</v>
      </c>
      <c r="AE58" t="n">
        <v>3390.3</v>
      </c>
      <c r="AF58" t="n">
        <v>3479.6</v>
      </c>
    </row>
    <row r="59">
      <c r="A59" t="s">
        <v>38</v>
      </c>
      <c r="B59" t="s">
        <v>388</v>
      </c>
      <c r="C59" t="s">
        <v>203</v>
      </c>
      <c r="D59" t="s">
        <v>389</v>
      </c>
      <c r="E59" t="s">
        <v>204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40</v>
      </c>
      <c r="B2" t="s">
        <v>197</v>
      </c>
      <c r="C2" t="s">
        <v>203</v>
      </c>
      <c r="D2" t="s">
        <v>199</v>
      </c>
      <c r="E2" t="s">
        <v>204</v>
      </c>
      <c r="F2" t="n">
        <v>18.4</v>
      </c>
      <c r="G2" t="n">
        <v>3.3</v>
      </c>
      <c r="H2" t="n">
        <v>11.7</v>
      </c>
      <c r="I2" t="n">
        <v>147.7</v>
      </c>
      <c r="J2" t="n">
        <v>250.3</v>
      </c>
      <c r="K2" t="n">
        <v>72.1</v>
      </c>
      <c r="L2" t="n">
        <v>172</v>
      </c>
      <c r="M2" t="n">
        <v>115.4</v>
      </c>
      <c r="N2" t="n">
        <v>199.4</v>
      </c>
      <c r="O2" t="n">
        <v>269.6</v>
      </c>
      <c r="P2" t="n">
        <v>79.8</v>
      </c>
      <c r="Q2" t="n">
        <v>152.3</v>
      </c>
      <c r="R2" t="n">
        <v>144.7</v>
      </c>
      <c r="S2" t="n">
        <v>154</v>
      </c>
      <c r="T2" t="n">
        <v>98.5</v>
      </c>
      <c r="U2" t="n">
        <v>132</v>
      </c>
      <c r="V2" t="n">
        <v>123</v>
      </c>
      <c r="W2" t="n">
        <v>97.2</v>
      </c>
      <c r="X2" t="n">
        <v>98.9</v>
      </c>
      <c r="Y2" t="n">
        <v>141.1</v>
      </c>
      <c r="Z2" t="n">
        <v>95.7</v>
      </c>
      <c r="AA2" t="n">
        <v>73.7</v>
      </c>
      <c r="AB2" t="n">
        <v>30.8</v>
      </c>
      <c r="AC2" t="n">
        <v>109.5</v>
      </c>
      <c r="AD2" t="n">
        <v>80.7</v>
      </c>
      <c r="AE2" t="n">
        <v>159.3</v>
      </c>
      <c r="AF2" t="n">
        <v>79.6</v>
      </c>
    </row>
    <row r="3">
      <c r="A3" t="s">
        <v>40</v>
      </c>
      <c r="B3" t="s">
        <v>276</v>
      </c>
      <c r="C3" t="s">
        <v>203</v>
      </c>
      <c r="D3" t="s">
        <v>277</v>
      </c>
      <c r="E3" t="s">
        <v>204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40</v>
      </c>
      <c r="B4" t="s">
        <v>278</v>
      </c>
      <c r="C4" t="s">
        <v>203</v>
      </c>
      <c r="D4" t="s">
        <v>279</v>
      </c>
      <c r="E4" t="s">
        <v>204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40</v>
      </c>
      <c r="B5" t="s">
        <v>280</v>
      </c>
      <c r="C5" t="s">
        <v>203</v>
      </c>
      <c r="D5" t="s">
        <v>281</v>
      </c>
      <c r="E5" t="s">
        <v>204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40</v>
      </c>
      <c r="B6" t="s">
        <v>282</v>
      </c>
      <c r="C6" t="s">
        <v>203</v>
      </c>
      <c r="D6" t="s">
        <v>283</v>
      </c>
      <c r="E6" t="s">
        <v>204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40</v>
      </c>
      <c r="B7" t="s">
        <v>284</v>
      </c>
      <c r="C7" t="s">
        <v>203</v>
      </c>
      <c r="D7" t="s">
        <v>285</v>
      </c>
      <c r="E7" t="s">
        <v>204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40</v>
      </c>
      <c r="B8" t="s">
        <v>286</v>
      </c>
      <c r="C8" t="s">
        <v>203</v>
      </c>
      <c r="D8" t="s">
        <v>287</v>
      </c>
      <c r="E8" t="s">
        <v>204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40</v>
      </c>
      <c r="B9" t="s">
        <v>288</v>
      </c>
      <c r="C9" t="s">
        <v>203</v>
      </c>
      <c r="D9" t="s">
        <v>289</v>
      </c>
      <c r="E9" t="s">
        <v>204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40</v>
      </c>
      <c r="B10" t="s">
        <v>290</v>
      </c>
      <c r="C10" t="s">
        <v>203</v>
      </c>
      <c r="D10" t="s">
        <v>291</v>
      </c>
      <c r="E10" t="s">
        <v>204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40</v>
      </c>
      <c r="B11" t="s">
        <v>292</v>
      </c>
      <c r="C11" t="s">
        <v>203</v>
      </c>
      <c r="D11" t="s">
        <v>293</v>
      </c>
      <c r="E11" t="s">
        <v>204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40</v>
      </c>
      <c r="B12" t="s">
        <v>294</v>
      </c>
      <c r="C12" t="s">
        <v>203</v>
      </c>
      <c r="D12" t="s">
        <v>295</v>
      </c>
      <c r="E12" t="s">
        <v>204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40</v>
      </c>
      <c r="B13" t="s">
        <v>296</v>
      </c>
      <c r="C13" t="s">
        <v>203</v>
      </c>
      <c r="D13" t="s">
        <v>297</v>
      </c>
      <c r="E13" t="s">
        <v>204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40</v>
      </c>
      <c r="B14" t="s">
        <v>298</v>
      </c>
      <c r="C14" t="s">
        <v>203</v>
      </c>
      <c r="D14" t="s">
        <v>299</v>
      </c>
      <c r="E14" t="s">
        <v>204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40</v>
      </c>
      <c r="B15" t="s">
        <v>300</v>
      </c>
      <c r="C15" t="s">
        <v>203</v>
      </c>
      <c r="D15" t="s">
        <v>301</v>
      </c>
      <c r="E15" t="s">
        <v>204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40</v>
      </c>
      <c r="B16" t="s">
        <v>302</v>
      </c>
      <c r="C16" t="s">
        <v>203</v>
      </c>
      <c r="D16" t="s">
        <v>303</v>
      </c>
      <c r="E16" t="s">
        <v>204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40</v>
      </c>
      <c r="B17" t="s">
        <v>304</v>
      </c>
      <c r="C17" t="s">
        <v>203</v>
      </c>
      <c r="D17" t="s">
        <v>305</v>
      </c>
      <c r="E17" t="s">
        <v>204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40</v>
      </c>
      <c r="B18" t="s">
        <v>306</v>
      </c>
      <c r="C18" t="s">
        <v>203</v>
      </c>
      <c r="D18" t="s">
        <v>307</v>
      </c>
      <c r="E18" t="s">
        <v>204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40</v>
      </c>
      <c r="B19" t="s">
        <v>308</v>
      </c>
      <c r="C19" t="s">
        <v>203</v>
      </c>
      <c r="D19" t="s">
        <v>309</v>
      </c>
      <c r="E19" t="s">
        <v>204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40</v>
      </c>
      <c r="B20" t="s">
        <v>310</v>
      </c>
      <c r="C20" t="s">
        <v>203</v>
      </c>
      <c r="D20" t="s">
        <v>311</v>
      </c>
      <c r="E20" t="s">
        <v>204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40</v>
      </c>
      <c r="B21" t="s">
        <v>312</v>
      </c>
      <c r="C21" t="s">
        <v>203</v>
      </c>
      <c r="D21" t="s">
        <v>313</v>
      </c>
      <c r="E21" t="s">
        <v>204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40</v>
      </c>
      <c r="B22" t="s">
        <v>314</v>
      </c>
      <c r="C22" t="s">
        <v>203</v>
      </c>
      <c r="D22" t="s">
        <v>315</v>
      </c>
      <c r="E22" t="s">
        <v>204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40</v>
      </c>
      <c r="B23" t="s">
        <v>316</v>
      </c>
      <c r="C23" t="s">
        <v>203</v>
      </c>
      <c r="D23" t="s">
        <v>317</v>
      </c>
      <c r="E23" t="s">
        <v>204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40</v>
      </c>
      <c r="B24" t="s">
        <v>318</v>
      </c>
      <c r="C24" t="s">
        <v>203</v>
      </c>
      <c r="D24" t="s">
        <v>319</v>
      </c>
      <c r="E24" t="s">
        <v>204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40</v>
      </c>
      <c r="B25" t="s">
        <v>320</v>
      </c>
      <c r="C25" t="s">
        <v>203</v>
      </c>
      <c r="D25" t="s">
        <v>321</v>
      </c>
      <c r="E25" t="s">
        <v>204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40</v>
      </c>
      <c r="B26" t="s">
        <v>322</v>
      </c>
      <c r="C26" t="s">
        <v>203</v>
      </c>
      <c r="D26" t="s">
        <v>323</v>
      </c>
      <c r="E26" t="s">
        <v>204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40</v>
      </c>
      <c r="B27" t="s">
        <v>324</v>
      </c>
      <c r="C27" t="s">
        <v>203</v>
      </c>
      <c r="D27" t="s">
        <v>325</v>
      </c>
      <c r="E27" t="s">
        <v>204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40</v>
      </c>
      <c r="B28" t="s">
        <v>326</v>
      </c>
      <c r="C28" t="s">
        <v>203</v>
      </c>
      <c r="D28" t="s">
        <v>327</v>
      </c>
      <c r="E28" t="s">
        <v>204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40</v>
      </c>
      <c r="B29" t="s">
        <v>328</v>
      </c>
      <c r="C29" t="s">
        <v>203</v>
      </c>
      <c r="D29" t="s">
        <v>329</v>
      </c>
      <c r="E29" t="s">
        <v>204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40</v>
      </c>
      <c r="B30" t="s">
        <v>330</v>
      </c>
      <c r="C30" t="s">
        <v>203</v>
      </c>
      <c r="D30" t="s">
        <v>331</v>
      </c>
      <c r="E30" t="s">
        <v>204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40</v>
      </c>
      <c r="B31" t="s">
        <v>332</v>
      </c>
      <c r="C31" t="s">
        <v>203</v>
      </c>
      <c r="D31" t="s">
        <v>333</v>
      </c>
      <c r="E31" t="s">
        <v>204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40</v>
      </c>
      <c r="B32" t="s">
        <v>334</v>
      </c>
      <c r="C32" t="s">
        <v>203</v>
      </c>
      <c r="D32" t="s">
        <v>335</v>
      </c>
      <c r="E32" t="s">
        <v>204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40</v>
      </c>
      <c r="B33" t="s">
        <v>336</v>
      </c>
      <c r="C33" t="s">
        <v>203</v>
      </c>
      <c r="D33" t="s">
        <v>337</v>
      </c>
      <c r="E33" t="s">
        <v>204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40</v>
      </c>
      <c r="B34" t="s">
        <v>338</v>
      </c>
      <c r="C34" t="s">
        <v>203</v>
      </c>
      <c r="D34" t="s">
        <v>339</v>
      </c>
      <c r="E34" t="s">
        <v>204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40</v>
      </c>
      <c r="B35" t="s">
        <v>340</v>
      </c>
      <c r="C35" t="s">
        <v>203</v>
      </c>
      <c r="D35" t="s">
        <v>341</v>
      </c>
      <c r="E35" t="s">
        <v>204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40</v>
      </c>
      <c r="B36" t="s">
        <v>342</v>
      </c>
      <c r="C36" t="s">
        <v>203</v>
      </c>
      <c r="D36" t="s">
        <v>343</v>
      </c>
      <c r="E36" t="s">
        <v>204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40</v>
      </c>
      <c r="B37" t="s">
        <v>344</v>
      </c>
      <c r="C37" t="s">
        <v>203</v>
      </c>
      <c r="D37" t="s">
        <v>345</v>
      </c>
      <c r="E37" t="s">
        <v>204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40</v>
      </c>
      <c r="B38" t="s">
        <v>346</v>
      </c>
      <c r="C38" t="s">
        <v>203</v>
      </c>
      <c r="D38" t="s">
        <v>347</v>
      </c>
      <c r="E38" t="s">
        <v>204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40</v>
      </c>
      <c r="B39" t="s">
        <v>348</v>
      </c>
      <c r="C39" t="s">
        <v>203</v>
      </c>
      <c r="D39" t="s">
        <v>349</v>
      </c>
      <c r="E39" t="s">
        <v>204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40</v>
      </c>
      <c r="B40" t="s">
        <v>350</v>
      </c>
      <c r="C40" t="s">
        <v>203</v>
      </c>
      <c r="D40" t="s">
        <v>351</v>
      </c>
      <c r="E40" t="s">
        <v>204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40</v>
      </c>
      <c r="B41" t="s">
        <v>352</v>
      </c>
      <c r="C41" t="s">
        <v>203</v>
      </c>
      <c r="D41" t="s">
        <v>353</v>
      </c>
      <c r="E41" t="s">
        <v>204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40</v>
      </c>
      <c r="B42" t="s">
        <v>354</v>
      </c>
      <c r="C42" t="s">
        <v>203</v>
      </c>
      <c r="D42" t="s">
        <v>355</v>
      </c>
      <c r="E42" t="s">
        <v>204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40</v>
      </c>
      <c r="B43" t="s">
        <v>356</v>
      </c>
      <c r="C43" t="s">
        <v>203</v>
      </c>
      <c r="D43" t="s">
        <v>357</v>
      </c>
      <c r="E43" t="s">
        <v>204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40</v>
      </c>
      <c r="B44" t="s">
        <v>358</v>
      </c>
      <c r="C44" t="s">
        <v>203</v>
      </c>
      <c r="D44" t="s">
        <v>359</v>
      </c>
      <c r="E44" t="s">
        <v>204</v>
      </c>
      <c r="F44" t="n">
        <v>18.4</v>
      </c>
      <c r="G44" t="n">
        <v>3.3</v>
      </c>
      <c r="H44" t="n">
        <v>11.7</v>
      </c>
      <c r="I44" t="n">
        <v>147.7</v>
      </c>
      <c r="J44" t="n">
        <v>250.3</v>
      </c>
      <c r="K44" t="n">
        <v>72.1</v>
      </c>
      <c r="L44" t="n">
        <v>172</v>
      </c>
      <c r="M44" t="n">
        <v>115.4</v>
      </c>
      <c r="N44" t="n">
        <v>199.4</v>
      </c>
      <c r="O44" t="n">
        <v>269.6</v>
      </c>
      <c r="P44" t="n">
        <v>79.8</v>
      </c>
      <c r="Q44" t="n">
        <v>152.3</v>
      </c>
      <c r="R44" t="n">
        <v>144.7</v>
      </c>
      <c r="S44" t="n">
        <v>154</v>
      </c>
      <c r="T44" t="n">
        <v>98.5</v>
      </c>
      <c r="U44" t="n">
        <v>132</v>
      </c>
      <c r="V44" t="n">
        <v>123</v>
      </c>
      <c r="W44" t="n">
        <v>97.2</v>
      </c>
      <c r="X44" t="n">
        <v>98.9</v>
      </c>
      <c r="Y44" t="n">
        <v>145.6</v>
      </c>
      <c r="Z44" t="n">
        <v>95.2</v>
      </c>
      <c r="AA44" t="n">
        <v>79.1</v>
      </c>
      <c r="AB44" t="n">
        <v>45.9</v>
      </c>
      <c r="AC44" t="n">
        <v>121.4</v>
      </c>
      <c r="AD44" t="n">
        <v>93</v>
      </c>
      <c r="AE44" t="n">
        <v>165.9</v>
      </c>
      <c r="AF44" t="n">
        <v>86.7</v>
      </c>
    </row>
    <row r="45">
      <c r="A45" t="s">
        <v>40</v>
      </c>
      <c r="B45" t="s">
        <v>360</v>
      </c>
      <c r="C45" t="s">
        <v>203</v>
      </c>
      <c r="D45" t="s">
        <v>361</v>
      </c>
      <c r="E45" t="s">
        <v>204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40</v>
      </c>
      <c r="B46" t="s">
        <v>362</v>
      </c>
      <c r="C46" t="s">
        <v>203</v>
      </c>
      <c r="D46" t="s">
        <v>363</v>
      </c>
      <c r="E46" t="s">
        <v>204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40</v>
      </c>
      <c r="B47" t="s">
        <v>364</v>
      </c>
      <c r="C47" t="s">
        <v>203</v>
      </c>
      <c r="D47" t="s">
        <v>365</v>
      </c>
      <c r="E47" t="s">
        <v>204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40</v>
      </c>
      <c r="B48" t="s">
        <v>366</v>
      </c>
      <c r="C48" t="s">
        <v>203</v>
      </c>
      <c r="D48" t="s">
        <v>367</v>
      </c>
      <c r="E48" t="s">
        <v>204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40</v>
      </c>
      <c r="B49" t="s">
        <v>368</v>
      </c>
      <c r="C49" t="s">
        <v>203</v>
      </c>
      <c r="D49" t="s">
        <v>369</v>
      </c>
      <c r="E49" t="s">
        <v>204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40</v>
      </c>
      <c r="B50" t="s">
        <v>370</v>
      </c>
      <c r="C50" t="s">
        <v>203</v>
      </c>
      <c r="D50" t="s">
        <v>371</v>
      </c>
      <c r="E50" t="s">
        <v>204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40</v>
      </c>
      <c r="B51" t="s">
        <v>372</v>
      </c>
      <c r="C51" t="s">
        <v>203</v>
      </c>
      <c r="D51" t="s">
        <v>373</v>
      </c>
      <c r="E51" t="s">
        <v>204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40</v>
      </c>
      <c r="B52" t="s">
        <v>374</v>
      </c>
      <c r="C52" t="s">
        <v>203</v>
      </c>
      <c r="D52" t="s">
        <v>375</v>
      </c>
      <c r="E52" t="s">
        <v>204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40</v>
      </c>
      <c r="B53" t="s">
        <v>376</v>
      </c>
      <c r="C53" t="s">
        <v>203</v>
      </c>
      <c r="D53" t="s">
        <v>377</v>
      </c>
      <c r="E53" t="s">
        <v>204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40</v>
      </c>
      <c r="B54" t="s">
        <v>378</v>
      </c>
      <c r="C54" t="s">
        <v>203</v>
      </c>
      <c r="D54" t="s">
        <v>379</v>
      </c>
      <c r="E54" t="s">
        <v>204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40</v>
      </c>
      <c r="B55" t="s">
        <v>380</v>
      </c>
      <c r="C55" t="s">
        <v>203</v>
      </c>
      <c r="D55" t="s">
        <v>381</v>
      </c>
      <c r="E55" t="s">
        <v>204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40</v>
      </c>
      <c r="B56" t="s">
        <v>382</v>
      </c>
      <c r="C56" t="s">
        <v>203</v>
      </c>
      <c r="D56" t="s">
        <v>383</v>
      </c>
      <c r="E56" t="s">
        <v>204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40</v>
      </c>
      <c r="B57" t="s">
        <v>384</v>
      </c>
      <c r="C57" t="s">
        <v>203</v>
      </c>
      <c r="D57" t="s">
        <v>385</v>
      </c>
      <c r="E57" t="s">
        <v>204</v>
      </c>
      <c r="F57" t="n">
        <v>18.4</v>
      </c>
      <c r="G57" t="n">
        <v>3.3</v>
      </c>
      <c r="H57" t="n">
        <v>11.7</v>
      </c>
      <c r="I57" t="n">
        <v>147.7</v>
      </c>
      <c r="J57" t="n">
        <v>250.3</v>
      </c>
      <c r="K57" t="n">
        <v>72.1</v>
      </c>
      <c r="L57" t="n">
        <v>172</v>
      </c>
      <c r="M57" t="n">
        <v>115.4</v>
      </c>
      <c r="N57" t="n">
        <v>199.4</v>
      </c>
      <c r="O57" t="n">
        <v>269.6</v>
      </c>
      <c r="P57" t="n">
        <v>79.8</v>
      </c>
      <c r="Q57" t="n">
        <v>152.3</v>
      </c>
      <c r="R57" t="n">
        <v>144.7</v>
      </c>
      <c r="S57" t="n">
        <v>154</v>
      </c>
      <c r="T57" t="n">
        <v>98.5</v>
      </c>
      <c r="U57" t="n">
        <v>132</v>
      </c>
      <c r="V57" t="n">
        <v>123</v>
      </c>
      <c r="W57" t="n">
        <v>97.2</v>
      </c>
      <c r="X57" t="n">
        <v>98.9</v>
      </c>
      <c r="Y57" t="n">
        <v>145.7</v>
      </c>
      <c r="Z57" t="n">
        <v>95.8</v>
      </c>
      <c r="AA57" t="n">
        <v>80</v>
      </c>
      <c r="AB57" t="n">
        <v>46.5</v>
      </c>
      <c r="AC57" t="n">
        <v>122.4</v>
      </c>
      <c r="AD57" t="n">
        <v>94.7</v>
      </c>
      <c r="AE57" t="n">
        <v>167.1</v>
      </c>
      <c r="AF57" t="n">
        <v>86.2</v>
      </c>
    </row>
    <row r="58">
      <c r="A58" t="s">
        <v>40</v>
      </c>
      <c r="B58" t="s">
        <v>386</v>
      </c>
      <c r="C58" t="s">
        <v>203</v>
      </c>
      <c r="D58" t="s">
        <v>387</v>
      </c>
      <c r="E58" t="s">
        <v>204</v>
      </c>
      <c r="F58" t="n">
        <v>18.4</v>
      </c>
      <c r="G58" t="n">
        <v>3.3</v>
      </c>
      <c r="H58" t="n">
        <v>11.7</v>
      </c>
      <c r="I58" t="n">
        <v>147.7</v>
      </c>
      <c r="J58" t="n">
        <v>250.3</v>
      </c>
      <c r="K58" t="n">
        <v>72.1</v>
      </c>
      <c r="L58" t="n">
        <v>172</v>
      </c>
      <c r="M58" t="n">
        <v>115.4</v>
      </c>
      <c r="N58" t="n">
        <v>199.4</v>
      </c>
      <c r="O58" t="n">
        <v>269.6</v>
      </c>
      <c r="P58" t="n">
        <v>79.8</v>
      </c>
      <c r="Q58" t="n">
        <v>152.3</v>
      </c>
      <c r="R58" t="n">
        <v>144.7</v>
      </c>
      <c r="S58" t="n">
        <v>154</v>
      </c>
      <c r="T58" t="n">
        <v>98.5</v>
      </c>
      <c r="U58" t="n">
        <v>132</v>
      </c>
      <c r="V58" t="n">
        <v>123</v>
      </c>
      <c r="W58" t="n">
        <v>97.2</v>
      </c>
      <c r="X58" t="n">
        <v>98.9</v>
      </c>
      <c r="Y58" t="n">
        <v>145.7</v>
      </c>
      <c r="Z58" t="n">
        <v>95.8</v>
      </c>
      <c r="AA58" t="n">
        <v>80</v>
      </c>
      <c r="AB58" t="n">
        <v>46.5</v>
      </c>
      <c r="AC58" t="n">
        <v>122.4</v>
      </c>
      <c r="AD58" t="n">
        <v>94.7</v>
      </c>
      <c r="AE58" t="n">
        <v>167.1</v>
      </c>
      <c r="AF58" t="n">
        <v>86.2</v>
      </c>
    </row>
    <row r="59">
      <c r="A59" t="s">
        <v>40</v>
      </c>
      <c r="B59" t="s">
        <v>388</v>
      </c>
      <c r="C59" t="s">
        <v>203</v>
      </c>
      <c r="D59" t="s">
        <v>389</v>
      </c>
      <c r="E59" t="s">
        <v>204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42</v>
      </c>
      <c r="B2" t="s">
        <v>197</v>
      </c>
      <c r="C2" t="s">
        <v>203</v>
      </c>
      <c r="D2" t="s">
        <v>199</v>
      </c>
      <c r="E2" t="s">
        <v>204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/>
      <c r="AE2"/>
      <c r="AF2"/>
    </row>
    <row r="3">
      <c r="A3" t="s">
        <v>42</v>
      </c>
      <c r="B3" t="s">
        <v>276</v>
      </c>
      <c r="C3" t="s">
        <v>203</v>
      </c>
      <c r="D3" t="s">
        <v>277</v>
      </c>
      <c r="E3" t="s">
        <v>204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/>
      <c r="AE3"/>
      <c r="AF3"/>
    </row>
    <row r="4">
      <c r="A4" t="s">
        <v>42</v>
      </c>
      <c r="B4" t="s">
        <v>278</v>
      </c>
      <c r="C4" t="s">
        <v>203</v>
      </c>
      <c r="D4" t="s">
        <v>279</v>
      </c>
      <c r="E4" t="s">
        <v>204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/>
      <c r="AE4"/>
      <c r="AF4"/>
    </row>
    <row r="5">
      <c r="A5" t="s">
        <v>42</v>
      </c>
      <c r="B5" t="s">
        <v>280</v>
      </c>
      <c r="C5" t="s">
        <v>203</v>
      </c>
      <c r="D5" t="s">
        <v>281</v>
      </c>
      <c r="E5" t="s">
        <v>204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/>
      <c r="AE5"/>
      <c r="AF5"/>
    </row>
    <row r="6">
      <c r="A6" t="s">
        <v>42</v>
      </c>
      <c r="B6" t="s">
        <v>282</v>
      </c>
      <c r="C6" t="s">
        <v>203</v>
      </c>
      <c r="D6" t="s">
        <v>283</v>
      </c>
      <c r="E6" t="s">
        <v>204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/>
      <c r="AE6"/>
      <c r="AF6"/>
    </row>
    <row r="7">
      <c r="A7" t="s">
        <v>42</v>
      </c>
      <c r="B7" t="s">
        <v>284</v>
      </c>
      <c r="C7" t="s">
        <v>203</v>
      </c>
      <c r="D7" t="s">
        <v>285</v>
      </c>
      <c r="E7" t="s">
        <v>204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/>
      <c r="AE7"/>
      <c r="AF7"/>
    </row>
    <row r="8">
      <c r="A8" t="s">
        <v>42</v>
      </c>
      <c r="B8" t="s">
        <v>286</v>
      </c>
      <c r="C8" t="s">
        <v>203</v>
      </c>
      <c r="D8" t="s">
        <v>287</v>
      </c>
      <c r="E8" t="s">
        <v>204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/>
      <c r="AE8"/>
      <c r="AF8"/>
    </row>
    <row r="9">
      <c r="A9" t="s">
        <v>42</v>
      </c>
      <c r="B9" t="s">
        <v>288</v>
      </c>
      <c r="C9" t="s">
        <v>203</v>
      </c>
      <c r="D9" t="s">
        <v>289</v>
      </c>
      <c r="E9" t="s">
        <v>204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/>
      <c r="AE9"/>
      <c r="AF9"/>
    </row>
    <row r="10">
      <c r="A10" t="s">
        <v>42</v>
      </c>
      <c r="B10" t="s">
        <v>290</v>
      </c>
      <c r="C10" t="s">
        <v>203</v>
      </c>
      <c r="D10" t="s">
        <v>291</v>
      </c>
      <c r="E10" t="s">
        <v>204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/>
      <c r="AE10"/>
      <c r="AF10"/>
    </row>
    <row r="11">
      <c r="A11" t="s">
        <v>42</v>
      </c>
      <c r="B11" t="s">
        <v>292</v>
      </c>
      <c r="C11" t="s">
        <v>203</v>
      </c>
      <c r="D11" t="s">
        <v>293</v>
      </c>
      <c r="E11" t="s">
        <v>204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/>
      <c r="AE11"/>
      <c r="AF11"/>
    </row>
    <row r="12">
      <c r="A12" t="s">
        <v>42</v>
      </c>
      <c r="B12" t="s">
        <v>294</v>
      </c>
      <c r="C12" t="s">
        <v>203</v>
      </c>
      <c r="D12" t="s">
        <v>295</v>
      </c>
      <c r="E12" t="s">
        <v>204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/>
      <c r="AE12"/>
      <c r="AF12"/>
    </row>
    <row r="13">
      <c r="A13" t="s">
        <v>42</v>
      </c>
      <c r="B13" t="s">
        <v>296</v>
      </c>
      <c r="C13" t="s">
        <v>203</v>
      </c>
      <c r="D13" t="s">
        <v>297</v>
      </c>
      <c r="E13" t="s">
        <v>204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/>
      <c r="AE13"/>
      <c r="AF13"/>
    </row>
    <row r="14">
      <c r="A14" t="s">
        <v>42</v>
      </c>
      <c r="B14" t="s">
        <v>298</v>
      </c>
      <c r="C14" t="s">
        <v>203</v>
      </c>
      <c r="D14" t="s">
        <v>299</v>
      </c>
      <c r="E14" t="s">
        <v>204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/>
      <c r="AE14"/>
      <c r="AF14"/>
    </row>
    <row r="15">
      <c r="A15" t="s">
        <v>42</v>
      </c>
      <c r="B15" t="s">
        <v>300</v>
      </c>
      <c r="C15" t="s">
        <v>203</v>
      </c>
      <c r="D15" t="s">
        <v>301</v>
      </c>
      <c r="E15" t="s">
        <v>204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/>
      <c r="AE15"/>
      <c r="AF15"/>
    </row>
    <row r="16">
      <c r="A16" t="s">
        <v>42</v>
      </c>
      <c r="B16" t="s">
        <v>302</v>
      </c>
      <c r="C16" t="s">
        <v>203</v>
      </c>
      <c r="D16" t="s">
        <v>303</v>
      </c>
      <c r="E16" t="s">
        <v>204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/>
      <c r="AE16"/>
      <c r="AF16"/>
    </row>
    <row r="17">
      <c r="A17" t="s">
        <v>42</v>
      </c>
      <c r="B17" t="s">
        <v>304</v>
      </c>
      <c r="C17" t="s">
        <v>203</v>
      </c>
      <c r="D17" t="s">
        <v>305</v>
      </c>
      <c r="E17" t="s">
        <v>204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/>
      <c r="AE17"/>
      <c r="AF17"/>
    </row>
    <row r="18">
      <c r="A18" t="s">
        <v>42</v>
      </c>
      <c r="B18" t="s">
        <v>306</v>
      </c>
      <c r="C18" t="s">
        <v>203</v>
      </c>
      <c r="D18" t="s">
        <v>307</v>
      </c>
      <c r="E18" t="s">
        <v>204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/>
      <c r="AE18"/>
      <c r="AF18"/>
    </row>
    <row r="19">
      <c r="A19" t="s">
        <v>42</v>
      </c>
      <c r="B19" t="s">
        <v>308</v>
      </c>
      <c r="C19" t="s">
        <v>203</v>
      </c>
      <c r="D19" t="s">
        <v>309</v>
      </c>
      <c r="E19" t="s">
        <v>204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/>
      <c r="AE19"/>
      <c r="AF19"/>
    </row>
    <row r="20">
      <c r="A20" t="s">
        <v>42</v>
      </c>
      <c r="B20" t="s">
        <v>310</v>
      </c>
      <c r="C20" t="s">
        <v>203</v>
      </c>
      <c r="D20" t="s">
        <v>311</v>
      </c>
      <c r="E20" t="s">
        <v>204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/>
      <c r="AE20"/>
      <c r="AF20"/>
    </row>
    <row r="21">
      <c r="A21" t="s">
        <v>42</v>
      </c>
      <c r="B21" t="s">
        <v>312</v>
      </c>
      <c r="C21" t="s">
        <v>203</v>
      </c>
      <c r="D21" t="s">
        <v>313</v>
      </c>
      <c r="E21" t="s">
        <v>204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/>
      <c r="AE21"/>
      <c r="AF21"/>
    </row>
    <row r="22">
      <c r="A22" t="s">
        <v>42</v>
      </c>
      <c r="B22" t="s">
        <v>314</v>
      </c>
      <c r="C22" t="s">
        <v>203</v>
      </c>
      <c r="D22" t="s">
        <v>315</v>
      </c>
      <c r="E22" t="s">
        <v>204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/>
      <c r="AE22"/>
      <c r="AF22"/>
    </row>
    <row r="23">
      <c r="A23" t="s">
        <v>42</v>
      </c>
      <c r="B23" t="s">
        <v>316</v>
      </c>
      <c r="C23" t="s">
        <v>203</v>
      </c>
      <c r="D23" t="s">
        <v>317</v>
      </c>
      <c r="E23" t="s">
        <v>204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/>
      <c r="AE23"/>
      <c r="AF23"/>
    </row>
    <row r="24">
      <c r="A24" t="s">
        <v>42</v>
      </c>
      <c r="B24" t="s">
        <v>318</v>
      </c>
      <c r="C24" t="s">
        <v>203</v>
      </c>
      <c r="D24" t="s">
        <v>319</v>
      </c>
      <c r="E24" t="s">
        <v>204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/>
      <c r="AE24"/>
      <c r="AF24"/>
    </row>
    <row r="25">
      <c r="A25" t="s">
        <v>42</v>
      </c>
      <c r="B25" t="s">
        <v>320</v>
      </c>
      <c r="C25" t="s">
        <v>203</v>
      </c>
      <c r="D25" t="s">
        <v>321</v>
      </c>
      <c r="E25" t="s">
        <v>204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/>
      <c r="AE25"/>
      <c r="AF25"/>
    </row>
    <row r="26">
      <c r="A26" t="s">
        <v>42</v>
      </c>
      <c r="B26" t="s">
        <v>322</v>
      </c>
      <c r="C26" t="s">
        <v>203</v>
      </c>
      <c r="D26" t="s">
        <v>323</v>
      </c>
      <c r="E26" t="s">
        <v>204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/>
      <c r="AE26"/>
      <c r="AF26"/>
    </row>
    <row r="27">
      <c r="A27" t="s">
        <v>42</v>
      </c>
      <c r="B27" t="s">
        <v>324</v>
      </c>
      <c r="C27" t="s">
        <v>203</v>
      </c>
      <c r="D27" t="s">
        <v>325</v>
      </c>
      <c r="E27" t="s">
        <v>204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/>
      <c r="AE27"/>
      <c r="AF27"/>
    </row>
    <row r="28">
      <c r="A28" t="s">
        <v>42</v>
      </c>
      <c r="B28" t="s">
        <v>326</v>
      </c>
      <c r="C28" t="s">
        <v>203</v>
      </c>
      <c r="D28" t="s">
        <v>327</v>
      </c>
      <c r="E28" t="s">
        <v>204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/>
      <c r="AE28"/>
      <c r="AF28"/>
    </row>
    <row r="29">
      <c r="A29" t="s">
        <v>42</v>
      </c>
      <c r="B29" t="s">
        <v>328</v>
      </c>
      <c r="C29" t="s">
        <v>203</v>
      </c>
      <c r="D29" t="s">
        <v>329</v>
      </c>
      <c r="E29" t="s">
        <v>204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/>
      <c r="AE29"/>
      <c r="AF29"/>
    </row>
    <row r="30">
      <c r="A30" t="s">
        <v>42</v>
      </c>
      <c r="B30" t="s">
        <v>330</v>
      </c>
      <c r="C30" t="s">
        <v>203</v>
      </c>
      <c r="D30" t="s">
        <v>331</v>
      </c>
      <c r="E30" t="s">
        <v>204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/>
      <c r="AE30"/>
      <c r="AF30"/>
    </row>
    <row r="31">
      <c r="A31" t="s">
        <v>42</v>
      </c>
      <c r="B31" t="s">
        <v>332</v>
      </c>
      <c r="C31" t="s">
        <v>203</v>
      </c>
      <c r="D31" t="s">
        <v>333</v>
      </c>
      <c r="E31" t="s">
        <v>204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/>
      <c r="AE31"/>
      <c r="AF31"/>
    </row>
    <row r="32">
      <c r="A32" t="s">
        <v>42</v>
      </c>
      <c r="B32" t="s">
        <v>334</v>
      </c>
      <c r="C32" t="s">
        <v>203</v>
      </c>
      <c r="D32" t="s">
        <v>335</v>
      </c>
      <c r="E32" t="s">
        <v>204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/>
      <c r="AE32"/>
      <c r="AF32"/>
    </row>
    <row r="33">
      <c r="A33" t="s">
        <v>42</v>
      </c>
      <c r="B33" t="s">
        <v>336</v>
      </c>
      <c r="C33" t="s">
        <v>203</v>
      </c>
      <c r="D33" t="s">
        <v>337</v>
      </c>
      <c r="E33" t="s">
        <v>204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/>
      <c r="AE33"/>
      <c r="AF33"/>
    </row>
    <row r="34">
      <c r="A34" t="s">
        <v>42</v>
      </c>
      <c r="B34" t="s">
        <v>338</v>
      </c>
      <c r="C34" t="s">
        <v>203</v>
      </c>
      <c r="D34" t="s">
        <v>339</v>
      </c>
      <c r="E34" t="s">
        <v>204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/>
      <c r="AE34"/>
      <c r="AF34"/>
    </row>
    <row r="35">
      <c r="A35" t="s">
        <v>42</v>
      </c>
      <c r="B35" t="s">
        <v>340</v>
      </c>
      <c r="C35" t="s">
        <v>203</v>
      </c>
      <c r="D35" t="s">
        <v>341</v>
      </c>
      <c r="E35" t="s">
        <v>204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/>
      <c r="AE35"/>
      <c r="AF35"/>
    </row>
    <row r="36">
      <c r="A36" t="s">
        <v>42</v>
      </c>
      <c r="B36" t="s">
        <v>342</v>
      </c>
      <c r="C36" t="s">
        <v>203</v>
      </c>
      <c r="D36" t="s">
        <v>343</v>
      </c>
      <c r="E36" t="s">
        <v>204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/>
      <c r="AE36"/>
      <c r="AF36"/>
    </row>
    <row r="37">
      <c r="A37" t="s">
        <v>42</v>
      </c>
      <c r="B37" t="s">
        <v>344</v>
      </c>
      <c r="C37" t="s">
        <v>203</v>
      </c>
      <c r="D37" t="s">
        <v>345</v>
      </c>
      <c r="E37" t="s">
        <v>204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/>
      <c r="AE37"/>
      <c r="AF37"/>
    </row>
    <row r="38">
      <c r="A38" t="s">
        <v>42</v>
      </c>
      <c r="B38" t="s">
        <v>346</v>
      </c>
      <c r="C38" t="s">
        <v>203</v>
      </c>
      <c r="D38" t="s">
        <v>347</v>
      </c>
      <c r="E38" t="s">
        <v>204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/>
      <c r="AE38"/>
      <c r="AF38"/>
    </row>
    <row r="39">
      <c r="A39" t="s">
        <v>42</v>
      </c>
      <c r="B39" t="s">
        <v>348</v>
      </c>
      <c r="C39" t="s">
        <v>203</v>
      </c>
      <c r="D39" t="s">
        <v>349</v>
      </c>
      <c r="E39" t="s">
        <v>204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/>
      <c r="AE39"/>
      <c r="AF39"/>
    </row>
    <row r="40">
      <c r="A40" t="s">
        <v>42</v>
      </c>
      <c r="B40" t="s">
        <v>350</v>
      </c>
      <c r="C40" t="s">
        <v>203</v>
      </c>
      <c r="D40" t="s">
        <v>351</v>
      </c>
      <c r="E40" t="s">
        <v>204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/>
      <c r="AE40"/>
      <c r="AF40"/>
    </row>
    <row r="41">
      <c r="A41" t="s">
        <v>42</v>
      </c>
      <c r="B41" t="s">
        <v>352</v>
      </c>
      <c r="C41" t="s">
        <v>203</v>
      </c>
      <c r="D41" t="s">
        <v>353</v>
      </c>
      <c r="E41" t="s">
        <v>204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/>
      <c r="AE41"/>
      <c r="AF41"/>
    </row>
    <row r="42">
      <c r="A42" t="s">
        <v>42</v>
      </c>
      <c r="B42" t="s">
        <v>354</v>
      </c>
      <c r="C42" t="s">
        <v>203</v>
      </c>
      <c r="D42" t="s">
        <v>355</v>
      </c>
      <c r="E42" t="s">
        <v>204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/>
      <c r="AE42"/>
      <c r="AF42"/>
    </row>
    <row r="43">
      <c r="A43" t="s">
        <v>42</v>
      </c>
      <c r="B43" t="s">
        <v>356</v>
      </c>
      <c r="C43" t="s">
        <v>203</v>
      </c>
      <c r="D43" t="s">
        <v>357</v>
      </c>
      <c r="E43" t="s">
        <v>204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/>
      <c r="AE43"/>
      <c r="AF43"/>
    </row>
    <row r="44">
      <c r="A44" t="s">
        <v>42</v>
      </c>
      <c r="B44" t="s">
        <v>358</v>
      </c>
      <c r="C44" t="s">
        <v>203</v>
      </c>
      <c r="D44" t="s">
        <v>359</v>
      </c>
      <c r="E44" t="s">
        <v>204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/>
      <c r="AE44"/>
      <c r="AF44"/>
    </row>
    <row r="45">
      <c r="A45" t="s">
        <v>42</v>
      </c>
      <c r="B45" t="s">
        <v>360</v>
      </c>
      <c r="C45" t="s">
        <v>203</v>
      </c>
      <c r="D45" t="s">
        <v>361</v>
      </c>
      <c r="E45" t="s">
        <v>204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/>
      <c r="AE45"/>
      <c r="AF45"/>
    </row>
    <row r="46">
      <c r="A46" t="s">
        <v>42</v>
      </c>
      <c r="B46" t="s">
        <v>362</v>
      </c>
      <c r="C46" t="s">
        <v>203</v>
      </c>
      <c r="D46" t="s">
        <v>363</v>
      </c>
      <c r="E46" t="s">
        <v>204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/>
      <c r="AE46"/>
      <c r="AF46"/>
    </row>
    <row r="47">
      <c r="A47" t="s">
        <v>42</v>
      </c>
      <c r="B47" t="s">
        <v>364</v>
      </c>
      <c r="C47" t="s">
        <v>203</v>
      </c>
      <c r="D47" t="s">
        <v>365</v>
      </c>
      <c r="E47" t="s">
        <v>204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/>
      <c r="AE47"/>
      <c r="AF47"/>
    </row>
    <row r="48">
      <c r="A48" t="s">
        <v>42</v>
      </c>
      <c r="B48" t="s">
        <v>366</v>
      </c>
      <c r="C48" t="s">
        <v>203</v>
      </c>
      <c r="D48" t="s">
        <v>367</v>
      </c>
      <c r="E48" t="s">
        <v>204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/>
      <c r="AE48"/>
      <c r="AF48"/>
    </row>
    <row r="49">
      <c r="A49" t="s">
        <v>42</v>
      </c>
      <c r="B49" t="s">
        <v>368</v>
      </c>
      <c r="C49" t="s">
        <v>203</v>
      </c>
      <c r="D49" t="s">
        <v>369</v>
      </c>
      <c r="E49" t="s">
        <v>204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/>
      <c r="AE49"/>
      <c r="AF49"/>
    </row>
    <row r="50">
      <c r="A50" t="s">
        <v>42</v>
      </c>
      <c r="B50" t="s">
        <v>370</v>
      </c>
      <c r="C50" t="s">
        <v>203</v>
      </c>
      <c r="D50" t="s">
        <v>371</v>
      </c>
      <c r="E50" t="s">
        <v>204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/>
      <c r="AE50"/>
      <c r="AF50"/>
    </row>
    <row r="51">
      <c r="A51" t="s">
        <v>42</v>
      </c>
      <c r="B51" t="s">
        <v>372</v>
      </c>
      <c r="C51" t="s">
        <v>203</v>
      </c>
      <c r="D51" t="s">
        <v>373</v>
      </c>
      <c r="E51" t="s">
        <v>204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/>
      <c r="AE51"/>
      <c r="AF51"/>
    </row>
    <row r="52">
      <c r="A52" t="s">
        <v>42</v>
      </c>
      <c r="B52" t="s">
        <v>374</v>
      </c>
      <c r="C52" t="s">
        <v>203</v>
      </c>
      <c r="D52" t="s">
        <v>375</v>
      </c>
      <c r="E52" t="s">
        <v>204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/>
      <c r="AE52"/>
      <c r="AF52"/>
    </row>
    <row r="53">
      <c r="A53" t="s">
        <v>42</v>
      </c>
      <c r="B53" t="s">
        <v>376</v>
      </c>
      <c r="C53" t="s">
        <v>203</v>
      </c>
      <c r="D53" t="s">
        <v>377</v>
      </c>
      <c r="E53" t="s">
        <v>204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/>
      <c r="AE53"/>
      <c r="AF53"/>
    </row>
    <row r="54">
      <c r="A54" t="s">
        <v>42</v>
      </c>
      <c r="B54" t="s">
        <v>378</v>
      </c>
      <c r="C54" t="s">
        <v>203</v>
      </c>
      <c r="D54" t="s">
        <v>379</v>
      </c>
      <c r="E54" t="s">
        <v>204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/>
      <c r="AE54"/>
      <c r="AF54"/>
    </row>
    <row r="55">
      <c r="A55" t="s">
        <v>42</v>
      </c>
      <c r="B55" t="s">
        <v>380</v>
      </c>
      <c r="C55" t="s">
        <v>203</v>
      </c>
      <c r="D55" t="s">
        <v>381</v>
      </c>
      <c r="E55" t="s">
        <v>204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/>
      <c r="AE55"/>
      <c r="AF55"/>
    </row>
    <row r="56">
      <c r="A56" t="s">
        <v>42</v>
      </c>
      <c r="B56" t="s">
        <v>382</v>
      </c>
      <c r="C56" t="s">
        <v>203</v>
      </c>
      <c r="D56" t="s">
        <v>383</v>
      </c>
      <c r="E56" t="s">
        <v>204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/>
      <c r="AE56"/>
      <c r="AF56"/>
    </row>
    <row r="57">
      <c r="A57" t="s">
        <v>42</v>
      </c>
      <c r="B57" t="s">
        <v>384</v>
      </c>
      <c r="C57" t="s">
        <v>203</v>
      </c>
      <c r="D57" t="s">
        <v>385</v>
      </c>
      <c r="E57" t="s">
        <v>204</v>
      </c>
      <c r="F57" t="n">
        <v>15.3</v>
      </c>
      <c r="G57" t="n">
        <v>10.8</v>
      </c>
      <c r="H57" t="n">
        <v>14.5</v>
      </c>
      <c r="I57" t="n">
        <v>101.1</v>
      </c>
      <c r="J57" t="n">
        <v>186.4</v>
      </c>
      <c r="K57" t="n">
        <v>158.2</v>
      </c>
      <c r="L57" t="n">
        <v>219.1</v>
      </c>
      <c r="M57" t="n">
        <v>185.6</v>
      </c>
      <c r="N57" t="n">
        <v>207.1</v>
      </c>
      <c r="O57" t="n">
        <v>209.5</v>
      </c>
      <c r="P57" t="n">
        <v>220.9</v>
      </c>
      <c r="Q57" t="n">
        <v>210</v>
      </c>
      <c r="R57" t="n">
        <v>280.4</v>
      </c>
      <c r="S57" t="n">
        <v>260.7</v>
      </c>
      <c r="T57" t="n">
        <v>385.6</v>
      </c>
      <c r="U57" t="n">
        <v>323.7</v>
      </c>
      <c r="V57" t="n">
        <v>344</v>
      </c>
      <c r="W57" t="n">
        <v>425.5</v>
      </c>
      <c r="X57" t="n">
        <v>432.7</v>
      </c>
      <c r="Y57" t="n">
        <v>537.3</v>
      </c>
      <c r="Z57" t="n">
        <v>517.1</v>
      </c>
      <c r="AA57" t="n">
        <v>493.7</v>
      </c>
      <c r="AB57" t="n">
        <v>702.4</v>
      </c>
      <c r="AC57" t="n">
        <v>778.7</v>
      </c>
      <c r="AD57" t="n">
        <v>887.5</v>
      </c>
      <c r="AE57" t="n">
        <v>814.3</v>
      </c>
      <c r="AF57" t="n">
        <v>706.3</v>
      </c>
    </row>
    <row r="58">
      <c r="A58" t="s">
        <v>42</v>
      </c>
      <c r="B58" t="s">
        <v>386</v>
      </c>
      <c r="C58" t="s">
        <v>203</v>
      </c>
      <c r="D58" t="s">
        <v>387</v>
      </c>
      <c r="E58" t="s">
        <v>204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/>
      <c r="AE58"/>
      <c r="AF58"/>
    </row>
    <row r="59">
      <c r="A59" t="s">
        <v>42</v>
      </c>
      <c r="B59" t="s">
        <v>388</v>
      </c>
      <c r="C59" t="s">
        <v>203</v>
      </c>
      <c r="D59" t="s">
        <v>389</v>
      </c>
      <c r="E59" t="s">
        <v>204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44</v>
      </c>
      <c r="B2" t="s">
        <v>197</v>
      </c>
      <c r="C2" t="s">
        <v>203</v>
      </c>
      <c r="D2" t="s">
        <v>199</v>
      </c>
      <c r="E2" t="s">
        <v>204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44</v>
      </c>
      <c r="B3" t="s">
        <v>276</v>
      </c>
      <c r="C3" t="s">
        <v>203</v>
      </c>
      <c r="D3" t="s">
        <v>277</v>
      </c>
      <c r="E3" t="s">
        <v>204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44</v>
      </c>
      <c r="B4" t="s">
        <v>278</v>
      </c>
      <c r="C4" t="s">
        <v>203</v>
      </c>
      <c r="D4" t="s">
        <v>279</v>
      </c>
      <c r="E4" t="s">
        <v>204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44</v>
      </c>
      <c r="B5" t="s">
        <v>280</v>
      </c>
      <c r="C5" t="s">
        <v>203</v>
      </c>
      <c r="D5" t="s">
        <v>281</v>
      </c>
      <c r="E5" t="s">
        <v>204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44</v>
      </c>
      <c r="B6" t="s">
        <v>282</v>
      </c>
      <c r="C6" t="s">
        <v>203</v>
      </c>
      <c r="D6" t="s">
        <v>283</v>
      </c>
      <c r="E6" t="s">
        <v>204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44</v>
      </c>
      <c r="B7" t="s">
        <v>284</v>
      </c>
      <c r="C7" t="s">
        <v>203</v>
      </c>
      <c r="D7" t="s">
        <v>285</v>
      </c>
      <c r="E7" t="s">
        <v>204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44</v>
      </c>
      <c r="B8" t="s">
        <v>286</v>
      </c>
      <c r="C8" t="s">
        <v>203</v>
      </c>
      <c r="D8" t="s">
        <v>287</v>
      </c>
      <c r="E8" t="s">
        <v>204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44</v>
      </c>
      <c r="B9" t="s">
        <v>288</v>
      </c>
      <c r="C9" t="s">
        <v>203</v>
      </c>
      <c r="D9" t="s">
        <v>289</v>
      </c>
      <c r="E9" t="s">
        <v>204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44</v>
      </c>
      <c r="B10" t="s">
        <v>290</v>
      </c>
      <c r="C10" t="s">
        <v>203</v>
      </c>
      <c r="D10" t="s">
        <v>291</v>
      </c>
      <c r="E10" t="s">
        <v>204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44</v>
      </c>
      <c r="B11" t="s">
        <v>292</v>
      </c>
      <c r="C11" t="s">
        <v>203</v>
      </c>
      <c r="D11" t="s">
        <v>293</v>
      </c>
      <c r="E11" t="s">
        <v>204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44</v>
      </c>
      <c r="B12" t="s">
        <v>294</v>
      </c>
      <c r="C12" t="s">
        <v>203</v>
      </c>
      <c r="D12" t="s">
        <v>295</v>
      </c>
      <c r="E12" t="s">
        <v>204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44</v>
      </c>
      <c r="B13" t="s">
        <v>296</v>
      </c>
      <c r="C13" t="s">
        <v>203</v>
      </c>
      <c r="D13" t="s">
        <v>297</v>
      </c>
      <c r="E13" t="s">
        <v>204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44</v>
      </c>
      <c r="B14" t="s">
        <v>298</v>
      </c>
      <c r="C14" t="s">
        <v>203</v>
      </c>
      <c r="D14" t="s">
        <v>299</v>
      </c>
      <c r="E14" t="s">
        <v>204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44</v>
      </c>
      <c r="B15" t="s">
        <v>300</v>
      </c>
      <c r="C15" t="s">
        <v>203</v>
      </c>
      <c r="D15" t="s">
        <v>301</v>
      </c>
      <c r="E15" t="s">
        <v>204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44</v>
      </c>
      <c r="B16" t="s">
        <v>302</v>
      </c>
      <c r="C16" t="s">
        <v>203</v>
      </c>
      <c r="D16" t="s">
        <v>303</v>
      </c>
      <c r="E16" t="s">
        <v>204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44</v>
      </c>
      <c r="B17" t="s">
        <v>304</v>
      </c>
      <c r="C17" t="s">
        <v>203</v>
      </c>
      <c r="D17" t="s">
        <v>305</v>
      </c>
      <c r="E17" t="s">
        <v>204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44</v>
      </c>
      <c r="B18" t="s">
        <v>306</v>
      </c>
      <c r="C18" t="s">
        <v>203</v>
      </c>
      <c r="D18" t="s">
        <v>307</v>
      </c>
      <c r="E18" t="s">
        <v>204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44</v>
      </c>
      <c r="B19" t="s">
        <v>308</v>
      </c>
      <c r="C19" t="s">
        <v>203</v>
      </c>
      <c r="D19" t="s">
        <v>309</v>
      </c>
      <c r="E19" t="s">
        <v>204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44</v>
      </c>
      <c r="B20" t="s">
        <v>310</v>
      </c>
      <c r="C20" t="s">
        <v>203</v>
      </c>
      <c r="D20" t="s">
        <v>311</v>
      </c>
      <c r="E20" t="s">
        <v>204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44</v>
      </c>
      <c r="B21" t="s">
        <v>312</v>
      </c>
      <c r="C21" t="s">
        <v>203</v>
      </c>
      <c r="D21" t="s">
        <v>313</v>
      </c>
      <c r="E21" t="s">
        <v>204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44</v>
      </c>
      <c r="B22" t="s">
        <v>314</v>
      </c>
      <c r="C22" t="s">
        <v>203</v>
      </c>
      <c r="D22" t="s">
        <v>315</v>
      </c>
      <c r="E22" t="s">
        <v>204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44</v>
      </c>
      <c r="B23" t="s">
        <v>316</v>
      </c>
      <c r="C23" t="s">
        <v>203</v>
      </c>
      <c r="D23" t="s">
        <v>317</v>
      </c>
      <c r="E23" t="s">
        <v>204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44</v>
      </c>
      <c r="B24" t="s">
        <v>318</v>
      </c>
      <c r="C24" t="s">
        <v>203</v>
      </c>
      <c r="D24" t="s">
        <v>319</v>
      </c>
      <c r="E24" t="s">
        <v>204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44</v>
      </c>
      <c r="B25" t="s">
        <v>320</v>
      </c>
      <c r="C25" t="s">
        <v>203</v>
      </c>
      <c r="D25" t="s">
        <v>321</v>
      </c>
      <c r="E25" t="s">
        <v>204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44</v>
      </c>
      <c r="B26" t="s">
        <v>322</v>
      </c>
      <c r="C26" t="s">
        <v>203</v>
      </c>
      <c r="D26" t="s">
        <v>323</v>
      </c>
      <c r="E26" t="s">
        <v>204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44</v>
      </c>
      <c r="B27" t="s">
        <v>324</v>
      </c>
      <c r="C27" t="s">
        <v>203</v>
      </c>
      <c r="D27" t="s">
        <v>325</v>
      </c>
      <c r="E27" t="s">
        <v>204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44</v>
      </c>
      <c r="B28" t="s">
        <v>326</v>
      </c>
      <c r="C28" t="s">
        <v>203</v>
      </c>
      <c r="D28" t="s">
        <v>327</v>
      </c>
      <c r="E28" t="s">
        <v>204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44</v>
      </c>
      <c r="B29" t="s">
        <v>328</v>
      </c>
      <c r="C29" t="s">
        <v>203</v>
      </c>
      <c r="D29" t="s">
        <v>329</v>
      </c>
      <c r="E29" t="s">
        <v>204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44</v>
      </c>
      <c r="B30" t="s">
        <v>330</v>
      </c>
      <c r="C30" t="s">
        <v>203</v>
      </c>
      <c r="D30" t="s">
        <v>331</v>
      </c>
      <c r="E30" t="s">
        <v>204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44</v>
      </c>
      <c r="B31" t="s">
        <v>332</v>
      </c>
      <c r="C31" t="s">
        <v>203</v>
      </c>
      <c r="D31" t="s">
        <v>333</v>
      </c>
      <c r="E31" t="s">
        <v>204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44</v>
      </c>
      <c r="B32" t="s">
        <v>334</v>
      </c>
      <c r="C32" t="s">
        <v>203</v>
      </c>
      <c r="D32" t="s">
        <v>335</v>
      </c>
      <c r="E32" t="s">
        <v>204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44</v>
      </c>
      <c r="B33" t="s">
        <v>336</v>
      </c>
      <c r="C33" t="s">
        <v>203</v>
      </c>
      <c r="D33" t="s">
        <v>337</v>
      </c>
      <c r="E33" t="s">
        <v>204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44</v>
      </c>
      <c r="B34" t="s">
        <v>338</v>
      </c>
      <c r="C34" t="s">
        <v>203</v>
      </c>
      <c r="D34" t="s">
        <v>339</v>
      </c>
      <c r="E34" t="s">
        <v>204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44</v>
      </c>
      <c r="B35" t="s">
        <v>340</v>
      </c>
      <c r="C35" t="s">
        <v>203</v>
      </c>
      <c r="D35" t="s">
        <v>341</v>
      </c>
      <c r="E35" t="s">
        <v>204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44</v>
      </c>
      <c r="B36" t="s">
        <v>342</v>
      </c>
      <c r="C36" t="s">
        <v>203</v>
      </c>
      <c r="D36" t="s">
        <v>343</v>
      </c>
      <c r="E36" t="s">
        <v>204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44</v>
      </c>
      <c r="B37" t="s">
        <v>344</v>
      </c>
      <c r="C37" t="s">
        <v>203</v>
      </c>
      <c r="D37" t="s">
        <v>345</v>
      </c>
      <c r="E37" t="s">
        <v>204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44</v>
      </c>
      <c r="B38" t="s">
        <v>346</v>
      </c>
      <c r="C38" t="s">
        <v>203</v>
      </c>
      <c r="D38" t="s">
        <v>347</v>
      </c>
      <c r="E38" t="s">
        <v>204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44</v>
      </c>
      <c r="B39" t="s">
        <v>348</v>
      </c>
      <c r="C39" t="s">
        <v>203</v>
      </c>
      <c r="D39" t="s">
        <v>349</v>
      </c>
      <c r="E39" t="s">
        <v>204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44</v>
      </c>
      <c r="B40" t="s">
        <v>350</v>
      </c>
      <c r="C40" t="s">
        <v>203</v>
      </c>
      <c r="D40" t="s">
        <v>351</v>
      </c>
      <c r="E40" t="s">
        <v>204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44</v>
      </c>
      <c r="B41" t="s">
        <v>352</v>
      </c>
      <c r="C41" t="s">
        <v>203</v>
      </c>
      <c r="D41" t="s">
        <v>353</v>
      </c>
      <c r="E41" t="s">
        <v>204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44</v>
      </c>
      <c r="B42" t="s">
        <v>354</v>
      </c>
      <c r="C42" t="s">
        <v>203</v>
      </c>
      <c r="D42" t="s">
        <v>355</v>
      </c>
      <c r="E42" t="s">
        <v>204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44</v>
      </c>
      <c r="B43" t="s">
        <v>356</v>
      </c>
      <c r="C43" t="s">
        <v>203</v>
      </c>
      <c r="D43" t="s">
        <v>357</v>
      </c>
      <c r="E43" t="s">
        <v>204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44</v>
      </c>
      <c r="B44" t="s">
        <v>358</v>
      </c>
      <c r="C44" t="s">
        <v>203</v>
      </c>
      <c r="D44" t="s">
        <v>359</v>
      </c>
      <c r="E44" t="s">
        <v>204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</row>
    <row r="45">
      <c r="A45" t="s">
        <v>44</v>
      </c>
      <c r="B45" t="s">
        <v>360</v>
      </c>
      <c r="C45" t="s">
        <v>203</v>
      </c>
      <c r="D45" t="s">
        <v>361</v>
      </c>
      <c r="E45" t="s">
        <v>204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44</v>
      </c>
      <c r="B46" t="s">
        <v>362</v>
      </c>
      <c r="C46" t="s">
        <v>203</v>
      </c>
      <c r="D46" t="s">
        <v>363</v>
      </c>
      <c r="E46" t="s">
        <v>204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44</v>
      </c>
      <c r="B47" t="s">
        <v>364</v>
      </c>
      <c r="C47" t="s">
        <v>203</v>
      </c>
      <c r="D47" t="s">
        <v>365</v>
      </c>
      <c r="E47" t="s">
        <v>204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44</v>
      </c>
      <c r="B48" t="s">
        <v>366</v>
      </c>
      <c r="C48" t="s">
        <v>203</v>
      </c>
      <c r="D48" t="s">
        <v>367</v>
      </c>
      <c r="E48" t="s">
        <v>204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44</v>
      </c>
      <c r="B49" t="s">
        <v>368</v>
      </c>
      <c r="C49" t="s">
        <v>203</v>
      </c>
      <c r="D49" t="s">
        <v>369</v>
      </c>
      <c r="E49" t="s">
        <v>204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44</v>
      </c>
      <c r="B50" t="s">
        <v>370</v>
      </c>
      <c r="C50" t="s">
        <v>203</v>
      </c>
      <c r="D50" t="s">
        <v>371</v>
      </c>
      <c r="E50" t="s">
        <v>204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44</v>
      </c>
      <c r="B51" t="s">
        <v>372</v>
      </c>
      <c r="C51" t="s">
        <v>203</v>
      </c>
      <c r="D51" t="s">
        <v>373</v>
      </c>
      <c r="E51" t="s">
        <v>204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44</v>
      </c>
      <c r="B52" t="s">
        <v>374</v>
      </c>
      <c r="C52" t="s">
        <v>203</v>
      </c>
      <c r="D52" t="s">
        <v>375</v>
      </c>
      <c r="E52" t="s">
        <v>204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44</v>
      </c>
      <c r="B53" t="s">
        <v>376</v>
      </c>
      <c r="C53" t="s">
        <v>203</v>
      </c>
      <c r="D53" t="s">
        <v>377</v>
      </c>
      <c r="E53" t="s">
        <v>204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44</v>
      </c>
      <c r="B54" t="s">
        <v>378</v>
      </c>
      <c r="C54" t="s">
        <v>203</v>
      </c>
      <c r="D54" t="s">
        <v>379</v>
      </c>
      <c r="E54" t="s">
        <v>204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44</v>
      </c>
      <c r="B55" t="s">
        <v>380</v>
      </c>
      <c r="C55" t="s">
        <v>203</v>
      </c>
      <c r="D55" t="s">
        <v>381</v>
      </c>
      <c r="E55" t="s">
        <v>204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44</v>
      </c>
      <c r="B56" t="s">
        <v>382</v>
      </c>
      <c r="C56" t="s">
        <v>203</v>
      </c>
      <c r="D56" t="s">
        <v>383</v>
      </c>
      <c r="E56" t="s">
        <v>204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44</v>
      </c>
      <c r="B57" t="s">
        <v>384</v>
      </c>
      <c r="C57" t="s">
        <v>203</v>
      </c>
      <c r="D57" t="s">
        <v>385</v>
      </c>
      <c r="E57" t="s">
        <v>204</v>
      </c>
      <c r="F57" t="n">
        <v>0</v>
      </c>
      <c r="G57" t="n">
        <v>0</v>
      </c>
      <c r="H57" t="n">
        <v>0</v>
      </c>
      <c r="I57" t="n">
        <v>11.7</v>
      </c>
      <c r="J57" t="n">
        <v>6.5</v>
      </c>
      <c r="K57" t="n">
        <v>77.9</v>
      </c>
      <c r="L57" t="n">
        <v>68.2</v>
      </c>
      <c r="M57" t="n">
        <v>71.2</v>
      </c>
      <c r="N57" t="n">
        <v>72</v>
      </c>
      <c r="O57" t="n">
        <v>75.6</v>
      </c>
      <c r="P57" t="n">
        <v>71.7</v>
      </c>
      <c r="Q57" t="n">
        <v>84.8</v>
      </c>
      <c r="R57" t="n">
        <v>97.1</v>
      </c>
      <c r="S57" t="n">
        <v>142.8</v>
      </c>
      <c r="T57" t="n">
        <v>149</v>
      </c>
      <c r="U57" t="n">
        <v>198.6</v>
      </c>
      <c r="V57" t="n">
        <v>180.4</v>
      </c>
      <c r="W57" t="n">
        <v>109.7</v>
      </c>
      <c r="X57" t="n">
        <v>111.6</v>
      </c>
      <c r="Y57" t="n">
        <v>197</v>
      </c>
      <c r="Z57" t="n">
        <v>262.6</v>
      </c>
      <c r="AA57" t="n">
        <v>401.6</v>
      </c>
      <c r="AB57" t="n">
        <v>642.5</v>
      </c>
      <c r="AC57" t="n">
        <v>900.3</v>
      </c>
      <c r="AD57" t="n">
        <v>720.8</v>
      </c>
      <c r="AE57" t="n">
        <v>419</v>
      </c>
      <c r="AF57" t="n">
        <v>381</v>
      </c>
    </row>
    <row r="58">
      <c r="A58" t="s">
        <v>44</v>
      </c>
      <c r="B58" t="s">
        <v>386</v>
      </c>
      <c r="C58" t="s">
        <v>203</v>
      </c>
      <c r="D58" t="s">
        <v>387</v>
      </c>
      <c r="E58" t="s">
        <v>204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</row>
    <row r="59">
      <c r="A59" t="s">
        <v>44</v>
      </c>
      <c r="B59" t="s">
        <v>388</v>
      </c>
      <c r="C59" t="s">
        <v>203</v>
      </c>
      <c r="D59" t="s">
        <v>389</v>
      </c>
      <c r="E59" t="s">
        <v>204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46</v>
      </c>
      <c r="B2" t="s">
        <v>197</v>
      </c>
      <c r="C2" t="s">
        <v>203</v>
      </c>
      <c r="D2" t="s">
        <v>199</v>
      </c>
      <c r="E2" t="s">
        <v>204</v>
      </c>
      <c r="F2" t="n">
        <v>30</v>
      </c>
      <c r="G2" t="n">
        <v>5.4</v>
      </c>
      <c r="H2" t="n">
        <v>19.1</v>
      </c>
      <c r="I2" t="n">
        <v>231</v>
      </c>
      <c r="J2" t="n">
        <v>337.7</v>
      </c>
      <c r="K2" t="n">
        <v>189.2</v>
      </c>
      <c r="L2" t="n">
        <v>481.7</v>
      </c>
      <c r="M2" t="n">
        <v>272.8</v>
      </c>
      <c r="N2" t="n">
        <v>375.3</v>
      </c>
      <c r="O2" t="n">
        <v>489.3</v>
      </c>
      <c r="P2" t="n">
        <v>342.9</v>
      </c>
      <c r="Q2" t="n">
        <v>347</v>
      </c>
      <c r="R2" t="n">
        <v>387.3</v>
      </c>
      <c r="S2" t="n">
        <v>934.7</v>
      </c>
      <c r="T2" t="n">
        <v>600</v>
      </c>
      <c r="U2" t="n">
        <v>708.1</v>
      </c>
      <c r="V2" t="n">
        <v>980.5</v>
      </c>
      <c r="W2" t="n">
        <v>1022.3</v>
      </c>
      <c r="X2" t="n">
        <v>1051.5</v>
      </c>
      <c r="Y2" t="n">
        <v>1295.8</v>
      </c>
      <c r="Z2" t="n">
        <v>1370.2</v>
      </c>
      <c r="AA2" t="n">
        <v>975.4</v>
      </c>
      <c r="AB2" t="n">
        <v>1145</v>
      </c>
      <c r="AC2" t="n">
        <v>1303.4</v>
      </c>
      <c r="AD2" t="n">
        <v>1107</v>
      </c>
      <c r="AE2" t="n">
        <v>1111.3</v>
      </c>
      <c r="AF2" t="n">
        <v>1142.9</v>
      </c>
    </row>
    <row r="3">
      <c r="A3" t="s">
        <v>46</v>
      </c>
      <c r="B3" t="s">
        <v>276</v>
      </c>
      <c r="C3" t="s">
        <v>203</v>
      </c>
      <c r="D3" t="s">
        <v>277</v>
      </c>
      <c r="E3" t="s">
        <v>204</v>
      </c>
      <c r="F3" t="n">
        <v>11</v>
      </c>
      <c r="G3" t="n">
        <v>2</v>
      </c>
      <c r="H3" t="n">
        <v>7</v>
      </c>
      <c r="I3" t="n">
        <v>65.4</v>
      </c>
      <c r="J3" t="n">
        <v>101.1</v>
      </c>
      <c r="K3" t="n">
        <v>281.1</v>
      </c>
      <c r="L3" t="n">
        <v>7</v>
      </c>
      <c r="M3" t="n">
        <v>93.6</v>
      </c>
      <c r="N3" t="n">
        <v>100.2</v>
      </c>
      <c r="O3" t="n">
        <v>139.2</v>
      </c>
      <c r="P3" t="n">
        <v>259.7</v>
      </c>
      <c r="Q3" t="n">
        <v>279.9</v>
      </c>
      <c r="R3" t="n">
        <v>282.5</v>
      </c>
      <c r="S3" t="n">
        <v>519.7</v>
      </c>
      <c r="T3" t="n">
        <v>281.2</v>
      </c>
      <c r="U3" t="n">
        <v>342.3</v>
      </c>
      <c r="V3" t="n">
        <v>377</v>
      </c>
      <c r="W3" t="n">
        <v>267.1</v>
      </c>
      <c r="X3" t="n">
        <v>274.3</v>
      </c>
      <c r="Y3" t="n">
        <v>520.3</v>
      </c>
      <c r="Z3" t="n">
        <v>119.6</v>
      </c>
      <c r="AA3" t="n">
        <v>363.3</v>
      </c>
      <c r="AB3" t="n">
        <v>222.1</v>
      </c>
      <c r="AC3" t="n">
        <v>421</v>
      </c>
      <c r="AD3" t="n">
        <v>647.9</v>
      </c>
      <c r="AE3" t="n">
        <v>450.7</v>
      </c>
      <c r="AF3" t="n">
        <v>182.9</v>
      </c>
    </row>
    <row r="4">
      <c r="A4" t="s">
        <v>46</v>
      </c>
      <c r="B4" t="s">
        <v>278</v>
      </c>
      <c r="C4" t="s">
        <v>203</v>
      </c>
      <c r="D4" t="s">
        <v>279</v>
      </c>
      <c r="E4" t="s">
        <v>204</v>
      </c>
      <c r="F4" t="n">
        <v>75.4</v>
      </c>
      <c r="G4" t="n">
        <v>13.4</v>
      </c>
      <c r="H4" t="n">
        <v>48</v>
      </c>
      <c r="I4" t="n">
        <v>486.9</v>
      </c>
      <c r="J4" t="n">
        <v>769.2</v>
      </c>
      <c r="K4" t="n">
        <v>766.3</v>
      </c>
      <c r="L4" t="n">
        <v>1070.1</v>
      </c>
      <c r="M4" t="n">
        <v>1392</v>
      </c>
      <c r="N4" t="n">
        <v>1546.8</v>
      </c>
      <c r="O4" t="n">
        <v>1481.2</v>
      </c>
      <c r="P4" t="n">
        <v>1984.1</v>
      </c>
      <c r="Q4" t="n">
        <v>2147.5</v>
      </c>
      <c r="R4" t="n">
        <v>2599.3</v>
      </c>
      <c r="S4" t="n">
        <v>3389.2</v>
      </c>
      <c r="T4" t="n">
        <v>2294.1</v>
      </c>
      <c r="U4" t="n">
        <v>1946.1</v>
      </c>
      <c r="V4" t="n">
        <v>2343.7</v>
      </c>
      <c r="W4" t="n">
        <v>2609.7</v>
      </c>
      <c r="X4" t="n">
        <v>2668.5</v>
      </c>
      <c r="Y4" t="n">
        <v>2722.3</v>
      </c>
      <c r="Z4" t="n">
        <v>5717.6</v>
      </c>
      <c r="AA4" t="n">
        <v>3456.4</v>
      </c>
      <c r="AB4" t="n">
        <v>3945.8</v>
      </c>
      <c r="AC4" t="n">
        <v>3869.2</v>
      </c>
      <c r="AD4" t="n">
        <v>3749.2</v>
      </c>
      <c r="AE4" t="n">
        <v>3278.5</v>
      </c>
      <c r="AF4" t="n">
        <v>3446.9</v>
      </c>
    </row>
    <row r="5">
      <c r="A5" t="s">
        <v>46</v>
      </c>
      <c r="B5" t="s">
        <v>280</v>
      </c>
      <c r="C5" t="s">
        <v>203</v>
      </c>
      <c r="D5" t="s">
        <v>281</v>
      </c>
      <c r="E5" t="s">
        <v>204</v>
      </c>
      <c r="F5" t="n">
        <v>21</v>
      </c>
      <c r="G5" t="n">
        <v>3.8</v>
      </c>
      <c r="H5" t="n">
        <v>13.4</v>
      </c>
      <c r="I5" t="n">
        <v>133.1</v>
      </c>
      <c r="J5" t="n">
        <v>213.4</v>
      </c>
      <c r="K5" t="n">
        <v>43.8</v>
      </c>
      <c r="L5" t="n">
        <v>222.7</v>
      </c>
      <c r="M5" t="n">
        <v>226.8</v>
      </c>
      <c r="N5" t="n">
        <v>391.8</v>
      </c>
      <c r="O5" t="n">
        <v>411.8</v>
      </c>
      <c r="P5" t="n">
        <v>481.8</v>
      </c>
      <c r="Q5" t="n">
        <v>417.3</v>
      </c>
      <c r="R5" t="n">
        <v>552.6</v>
      </c>
      <c r="S5" t="n">
        <v>709.5</v>
      </c>
      <c r="T5" t="n">
        <v>397</v>
      </c>
      <c r="U5" t="n">
        <v>455.5</v>
      </c>
      <c r="V5" t="n">
        <v>521.1</v>
      </c>
      <c r="W5" t="n">
        <v>450.3</v>
      </c>
      <c r="X5" t="n">
        <v>460.8</v>
      </c>
      <c r="Y5" t="n">
        <v>640</v>
      </c>
      <c r="Z5" t="n">
        <v>480.4</v>
      </c>
      <c r="AA5" t="n">
        <v>404.5</v>
      </c>
      <c r="AB5" t="n">
        <v>473.9</v>
      </c>
      <c r="AC5" t="n">
        <v>599.9</v>
      </c>
      <c r="AD5" t="n">
        <v>656.5</v>
      </c>
      <c r="AE5" t="n">
        <v>681.1</v>
      </c>
      <c r="AF5" t="n">
        <v>550.2</v>
      </c>
    </row>
    <row r="6">
      <c r="A6" t="s">
        <v>46</v>
      </c>
      <c r="B6" t="s">
        <v>282</v>
      </c>
      <c r="C6" t="s">
        <v>203</v>
      </c>
      <c r="D6" t="s">
        <v>283</v>
      </c>
      <c r="E6" t="s">
        <v>204</v>
      </c>
      <c r="F6" t="n">
        <v>7.2</v>
      </c>
      <c r="G6" t="n">
        <v>1.3</v>
      </c>
      <c r="H6" t="n">
        <v>4.6</v>
      </c>
      <c r="I6" t="n">
        <v>47</v>
      </c>
      <c r="J6" t="n">
        <v>69.4</v>
      </c>
      <c r="K6" t="n">
        <v>114.5</v>
      </c>
      <c r="L6" t="n">
        <v>115.2</v>
      </c>
      <c r="M6" t="n">
        <v>183.6</v>
      </c>
      <c r="N6" t="n">
        <v>214</v>
      </c>
      <c r="O6" t="n">
        <v>170.2</v>
      </c>
      <c r="P6" t="n">
        <v>188.5</v>
      </c>
      <c r="Q6" t="n">
        <v>280.5</v>
      </c>
      <c r="R6" t="n">
        <v>177.9</v>
      </c>
      <c r="S6" t="n">
        <v>180.9</v>
      </c>
      <c r="T6" t="n">
        <v>147</v>
      </c>
      <c r="U6" t="n">
        <v>88.7</v>
      </c>
      <c r="V6" t="n">
        <v>132.7</v>
      </c>
      <c r="W6" t="n">
        <v>113.7</v>
      </c>
      <c r="X6" t="n">
        <v>116.9</v>
      </c>
      <c r="Y6" t="n">
        <v>131</v>
      </c>
      <c r="Z6" t="n">
        <v>105.8</v>
      </c>
      <c r="AA6" t="n">
        <v>249.9</v>
      </c>
      <c r="AB6" t="n">
        <v>188.2</v>
      </c>
      <c r="AC6" t="n">
        <v>139.9</v>
      </c>
      <c r="AD6" t="n">
        <v>128.5</v>
      </c>
      <c r="AE6" t="n">
        <v>116</v>
      </c>
      <c r="AF6" t="n">
        <v>65.9</v>
      </c>
    </row>
    <row r="7">
      <c r="A7" t="s">
        <v>46</v>
      </c>
      <c r="B7" t="s">
        <v>284</v>
      </c>
      <c r="C7" t="s">
        <v>203</v>
      </c>
      <c r="D7" t="s">
        <v>285</v>
      </c>
      <c r="E7" t="s">
        <v>204</v>
      </c>
      <c r="F7" t="n">
        <v>3.6</v>
      </c>
      <c r="G7" t="n">
        <v>0.6</v>
      </c>
      <c r="H7" t="n">
        <v>2.3</v>
      </c>
      <c r="I7" t="n">
        <v>23.6</v>
      </c>
      <c r="J7" t="n">
        <v>97.8</v>
      </c>
      <c r="K7" t="n">
        <v>62.8</v>
      </c>
      <c r="L7" t="n">
        <v>106.3</v>
      </c>
      <c r="M7" t="n">
        <v>154.8</v>
      </c>
      <c r="N7" t="n">
        <v>102.3</v>
      </c>
      <c r="O7" t="n">
        <v>107.3</v>
      </c>
      <c r="P7" t="n">
        <v>123</v>
      </c>
      <c r="Q7" t="n">
        <v>145.5</v>
      </c>
      <c r="R7" t="n">
        <v>249.7</v>
      </c>
      <c r="S7" t="n">
        <v>212.4</v>
      </c>
      <c r="T7" t="n">
        <v>130</v>
      </c>
      <c r="U7" t="n">
        <v>122</v>
      </c>
      <c r="V7" t="n">
        <v>154.6</v>
      </c>
      <c r="W7" t="n">
        <v>260.1</v>
      </c>
      <c r="X7" t="n">
        <v>266.9</v>
      </c>
      <c r="Y7" t="n">
        <v>199.7</v>
      </c>
      <c r="Z7" t="n">
        <v>190.5</v>
      </c>
      <c r="AA7" t="n">
        <v>121.4</v>
      </c>
      <c r="AB7" t="n">
        <v>442.7</v>
      </c>
      <c r="AC7" t="n">
        <v>454.2</v>
      </c>
      <c r="AD7" t="n">
        <v>279.6</v>
      </c>
      <c r="AE7" t="n">
        <v>247.2</v>
      </c>
      <c r="AF7" t="n">
        <v>333.5</v>
      </c>
    </row>
    <row r="8">
      <c r="A8" t="s">
        <v>46</v>
      </c>
      <c r="B8" t="s">
        <v>286</v>
      </c>
      <c r="C8" t="s">
        <v>203</v>
      </c>
      <c r="D8" t="s">
        <v>287</v>
      </c>
      <c r="E8" t="s">
        <v>204</v>
      </c>
      <c r="F8" t="n">
        <v>6.3</v>
      </c>
      <c r="G8" t="n">
        <v>1.1</v>
      </c>
      <c r="H8" t="n">
        <v>4</v>
      </c>
      <c r="I8" t="n">
        <v>40.7</v>
      </c>
      <c r="J8" t="n">
        <v>31</v>
      </c>
      <c r="K8" t="n">
        <v>4.1</v>
      </c>
      <c r="L8" t="n">
        <v>2.4</v>
      </c>
      <c r="M8" t="n">
        <v>63.8</v>
      </c>
      <c r="N8" t="n">
        <v>108.5</v>
      </c>
      <c r="O8" t="n">
        <v>59.2</v>
      </c>
      <c r="P8" t="n">
        <v>89.4</v>
      </c>
      <c r="Q8" t="n">
        <v>91</v>
      </c>
      <c r="R8" t="n">
        <v>95.2</v>
      </c>
      <c r="S8" t="n">
        <v>180</v>
      </c>
      <c r="T8" t="n">
        <v>443.8</v>
      </c>
      <c r="U8" t="n">
        <v>88.7</v>
      </c>
      <c r="V8" t="n">
        <v>118.9</v>
      </c>
      <c r="W8" t="n">
        <v>308</v>
      </c>
      <c r="X8" t="n">
        <v>316.8</v>
      </c>
      <c r="Y8" t="n">
        <v>69</v>
      </c>
      <c r="Z8" t="n">
        <v>2809.3</v>
      </c>
      <c r="AA8" t="n">
        <v>387.7</v>
      </c>
      <c r="AB8" t="n">
        <v>155.2</v>
      </c>
      <c r="AC8" t="n">
        <v>84.8</v>
      </c>
      <c r="AD8" t="n">
        <v>57.3</v>
      </c>
      <c r="AE8" t="n">
        <v>153.2</v>
      </c>
      <c r="AF8" t="n">
        <v>208.7</v>
      </c>
    </row>
    <row r="9">
      <c r="A9" t="s">
        <v>46</v>
      </c>
      <c r="B9" t="s">
        <v>288</v>
      </c>
      <c r="C9" t="s">
        <v>203</v>
      </c>
      <c r="D9" t="s">
        <v>289</v>
      </c>
      <c r="E9" t="s">
        <v>204</v>
      </c>
      <c r="F9" t="n">
        <v>6.8</v>
      </c>
      <c r="G9" t="n">
        <v>1.2</v>
      </c>
      <c r="H9" t="n">
        <v>4.3</v>
      </c>
      <c r="I9" t="n">
        <v>43.8</v>
      </c>
      <c r="J9" t="n">
        <v>40.6</v>
      </c>
      <c r="K9" t="n">
        <v>36.1</v>
      </c>
      <c r="L9" t="n">
        <v>20.6</v>
      </c>
      <c r="M9" t="n">
        <v>93.8</v>
      </c>
      <c r="N9" t="n">
        <v>49.8</v>
      </c>
      <c r="O9" t="n">
        <v>57.8</v>
      </c>
      <c r="P9" t="n">
        <v>74.1</v>
      </c>
      <c r="Q9" t="n">
        <v>93.3</v>
      </c>
      <c r="R9" t="n">
        <v>146.5</v>
      </c>
      <c r="S9" t="n">
        <v>188.4</v>
      </c>
      <c r="T9" t="n">
        <v>137.2</v>
      </c>
      <c r="U9" t="n">
        <v>140.1</v>
      </c>
      <c r="V9" t="n">
        <v>130.4</v>
      </c>
      <c r="W9" t="n">
        <v>198.1</v>
      </c>
      <c r="X9" t="n">
        <v>203.7</v>
      </c>
      <c r="Y9" t="n">
        <v>257.9</v>
      </c>
      <c r="Z9" t="n">
        <v>166</v>
      </c>
      <c r="AA9" t="n">
        <v>225.6</v>
      </c>
      <c r="AB9" t="n">
        <v>510</v>
      </c>
      <c r="AC9" t="n">
        <v>201</v>
      </c>
      <c r="AD9" t="n">
        <v>201.9</v>
      </c>
      <c r="AE9" t="n">
        <v>176.4</v>
      </c>
      <c r="AF9" t="n">
        <v>200.5</v>
      </c>
    </row>
    <row r="10">
      <c r="A10" t="s">
        <v>46</v>
      </c>
      <c r="B10" t="s">
        <v>290</v>
      </c>
      <c r="C10" t="s">
        <v>203</v>
      </c>
      <c r="D10" t="s">
        <v>291</v>
      </c>
      <c r="E10" t="s">
        <v>204</v>
      </c>
      <c r="F10" t="n">
        <v>7.8</v>
      </c>
      <c r="G10" t="n">
        <v>1.4</v>
      </c>
      <c r="H10" t="n">
        <v>4.9</v>
      </c>
      <c r="I10" t="n">
        <v>50.6</v>
      </c>
      <c r="J10" t="n">
        <v>52.9</v>
      </c>
      <c r="K10" t="n">
        <v>37.3</v>
      </c>
      <c r="L10" t="n">
        <v>21.1</v>
      </c>
      <c r="M10" t="n">
        <v>163.1</v>
      </c>
      <c r="N10" t="n">
        <v>92.9</v>
      </c>
      <c r="O10" t="n">
        <v>97</v>
      </c>
      <c r="P10" t="n">
        <v>137.9</v>
      </c>
      <c r="Q10" t="n">
        <v>144.9</v>
      </c>
      <c r="R10" t="n">
        <v>204.5</v>
      </c>
      <c r="S10" t="n">
        <v>361.3</v>
      </c>
      <c r="T10" t="n">
        <v>155.9</v>
      </c>
      <c r="U10" t="n">
        <v>209.4</v>
      </c>
      <c r="V10" t="n">
        <v>256.8</v>
      </c>
      <c r="W10" t="n">
        <v>312.1</v>
      </c>
      <c r="X10" t="n">
        <v>320.9</v>
      </c>
      <c r="Y10" t="n">
        <v>336.4</v>
      </c>
      <c r="Z10" t="n">
        <v>252.1</v>
      </c>
      <c r="AA10" t="n">
        <v>357.5</v>
      </c>
      <c r="AB10" t="n">
        <v>672.7</v>
      </c>
      <c r="AC10" t="n">
        <v>439.3</v>
      </c>
      <c r="AD10" t="n">
        <v>382.2</v>
      </c>
      <c r="AE10" t="n">
        <v>280.4</v>
      </c>
      <c r="AF10" t="n">
        <v>361.4</v>
      </c>
    </row>
    <row r="11">
      <c r="A11" t="s">
        <v>46</v>
      </c>
      <c r="B11" t="s">
        <v>292</v>
      </c>
      <c r="C11" t="s">
        <v>203</v>
      </c>
      <c r="D11" t="s">
        <v>293</v>
      </c>
      <c r="E11" t="s">
        <v>204</v>
      </c>
      <c r="F11" t="n">
        <v>1</v>
      </c>
      <c r="G11" t="n">
        <v>0.2</v>
      </c>
      <c r="H11" t="n">
        <v>0.6</v>
      </c>
      <c r="I11" t="n">
        <v>6.8</v>
      </c>
      <c r="J11" t="n">
        <v>12.3</v>
      </c>
      <c r="K11" t="n">
        <v>1.2</v>
      </c>
      <c r="L11" t="n">
        <v>0.5</v>
      </c>
      <c r="M11" t="n">
        <v>69.3</v>
      </c>
      <c r="N11" t="n">
        <v>43.1</v>
      </c>
      <c r="O11" t="n">
        <v>39.2</v>
      </c>
      <c r="P11" t="n">
        <v>63.8</v>
      </c>
      <c r="Q11" t="n">
        <v>51.6</v>
      </c>
      <c r="R11" t="n">
        <v>58</v>
      </c>
      <c r="S11" t="n">
        <v>172.9</v>
      </c>
      <c r="T11" t="n">
        <v>18.7</v>
      </c>
      <c r="U11" t="n">
        <v>69.3</v>
      </c>
      <c r="V11" t="n">
        <v>126.4</v>
      </c>
      <c r="W11" t="n">
        <v>114</v>
      </c>
      <c r="X11" t="n">
        <v>117.2</v>
      </c>
      <c r="Y11" t="n">
        <v>78.5</v>
      </c>
      <c r="Z11" t="n">
        <v>86.1</v>
      </c>
      <c r="AA11" t="n">
        <v>131.9</v>
      </c>
      <c r="AB11" t="n">
        <v>162.7</v>
      </c>
      <c r="AC11" t="n">
        <v>238.3</v>
      </c>
      <c r="AD11" t="n">
        <v>180.3</v>
      </c>
      <c r="AE11" t="n">
        <v>104</v>
      </c>
      <c r="AF11" t="n">
        <v>160.9</v>
      </c>
    </row>
    <row r="12">
      <c r="A12" t="s">
        <v>46</v>
      </c>
      <c r="B12" t="s">
        <v>294</v>
      </c>
      <c r="C12" t="s">
        <v>203</v>
      </c>
      <c r="D12" t="s">
        <v>295</v>
      </c>
      <c r="E12" t="s">
        <v>204</v>
      </c>
      <c r="F12" t="n">
        <v>10.3</v>
      </c>
      <c r="G12" t="n">
        <v>1.8</v>
      </c>
      <c r="H12" t="n">
        <v>6.5</v>
      </c>
      <c r="I12" t="n">
        <v>65.5</v>
      </c>
      <c r="J12" t="n">
        <v>109.2</v>
      </c>
      <c r="K12" t="n">
        <v>97.3</v>
      </c>
      <c r="L12" t="n">
        <v>256.7</v>
      </c>
      <c r="M12" t="n">
        <v>148.4</v>
      </c>
      <c r="N12" t="n">
        <v>173.9</v>
      </c>
      <c r="O12" t="n">
        <v>238</v>
      </c>
      <c r="P12" t="n">
        <v>455.5</v>
      </c>
      <c r="Q12" t="n">
        <v>394.7</v>
      </c>
      <c r="R12" t="n">
        <v>456.7</v>
      </c>
      <c r="S12" t="n">
        <v>503.8</v>
      </c>
      <c r="T12" t="n">
        <v>421</v>
      </c>
      <c r="U12" t="n">
        <v>290.1</v>
      </c>
      <c r="V12" t="n">
        <v>374.9</v>
      </c>
      <c r="W12" t="n">
        <v>354.2</v>
      </c>
      <c r="X12" t="n">
        <v>363.7</v>
      </c>
      <c r="Y12" t="n">
        <v>387.9</v>
      </c>
      <c r="Z12" t="n">
        <v>774.9</v>
      </c>
      <c r="AA12" t="n">
        <v>497.3</v>
      </c>
      <c r="AB12" t="n">
        <v>452.6</v>
      </c>
      <c r="AC12" t="n">
        <v>528.5</v>
      </c>
      <c r="AD12" t="n">
        <v>501</v>
      </c>
      <c r="AE12" t="n">
        <v>386.3</v>
      </c>
      <c r="AF12" t="n">
        <v>512.1</v>
      </c>
    </row>
    <row r="13">
      <c r="A13" t="s">
        <v>46</v>
      </c>
      <c r="B13" t="s">
        <v>296</v>
      </c>
      <c r="C13" t="s">
        <v>203</v>
      </c>
      <c r="D13" t="s">
        <v>297</v>
      </c>
      <c r="E13" t="s">
        <v>204</v>
      </c>
      <c r="F13" t="n">
        <v>9.7</v>
      </c>
      <c r="G13" t="n">
        <v>1.7</v>
      </c>
      <c r="H13" t="n">
        <v>6.2</v>
      </c>
      <c r="I13" t="n">
        <v>63.8</v>
      </c>
      <c r="J13" t="n">
        <v>90.6</v>
      </c>
      <c r="K13" t="n">
        <v>138.5</v>
      </c>
      <c r="L13" t="n">
        <v>66.9</v>
      </c>
      <c r="M13" t="n">
        <v>270.5</v>
      </c>
      <c r="N13" t="n">
        <v>296.1</v>
      </c>
      <c r="O13" t="n">
        <v>221.1</v>
      </c>
      <c r="P13" t="n">
        <v>233.6</v>
      </c>
      <c r="Q13" t="n">
        <v>272.5</v>
      </c>
      <c r="R13" t="n">
        <v>469.9</v>
      </c>
      <c r="S13" t="n">
        <v>564.2</v>
      </c>
      <c r="T13" t="n">
        <v>255.4</v>
      </c>
      <c r="U13" t="n">
        <v>323.8</v>
      </c>
      <c r="V13" t="n">
        <v>305</v>
      </c>
      <c r="W13" t="n">
        <v>367.9</v>
      </c>
      <c r="X13" t="n">
        <v>374.7</v>
      </c>
      <c r="Y13" t="n">
        <v>364.9</v>
      </c>
      <c r="Z13" t="n">
        <v>483</v>
      </c>
      <c r="AA13" t="n">
        <v>495.9</v>
      </c>
      <c r="AB13" t="n">
        <v>584.4</v>
      </c>
      <c r="AC13" t="n">
        <v>555.3</v>
      </c>
      <c r="AD13" t="n">
        <v>640</v>
      </c>
      <c r="AE13" t="n">
        <v>422.2</v>
      </c>
      <c r="AF13" t="n">
        <v>479.1</v>
      </c>
    </row>
    <row r="14">
      <c r="A14" t="s">
        <v>46</v>
      </c>
      <c r="B14" t="s">
        <v>298</v>
      </c>
      <c r="C14" t="s">
        <v>203</v>
      </c>
      <c r="D14" t="s">
        <v>299</v>
      </c>
      <c r="E14" t="s">
        <v>204</v>
      </c>
      <c r="F14" t="n">
        <v>1.6</v>
      </c>
      <c r="G14" t="n">
        <v>0.3</v>
      </c>
      <c r="H14" t="n">
        <v>1</v>
      </c>
      <c r="I14" t="n">
        <v>10.4</v>
      </c>
      <c r="J14" t="n">
        <v>20.7</v>
      </c>
      <c r="K14" t="n">
        <v>28.3</v>
      </c>
      <c r="L14" t="n">
        <v>45.4</v>
      </c>
      <c r="M14" t="n">
        <v>37.6</v>
      </c>
      <c r="N14" t="n">
        <v>42</v>
      </c>
      <c r="O14" t="n">
        <v>32.8</v>
      </c>
      <c r="P14" t="n">
        <v>28</v>
      </c>
      <c r="Q14" t="n">
        <v>45.6</v>
      </c>
      <c r="R14" t="n">
        <v>31.5</v>
      </c>
      <c r="S14" t="n">
        <v>66</v>
      </c>
      <c r="T14" t="n">
        <v>15.4</v>
      </c>
      <c r="U14" t="n">
        <v>21.1</v>
      </c>
      <c r="V14" t="n">
        <v>49.4</v>
      </c>
      <c r="W14" t="n">
        <v>50.4</v>
      </c>
      <c r="X14" t="n">
        <v>51.3</v>
      </c>
      <c r="Y14" t="n">
        <v>92</v>
      </c>
      <c r="Z14" t="n">
        <v>81.7</v>
      </c>
      <c r="AA14" t="n">
        <v>95.6</v>
      </c>
      <c r="AB14" t="n">
        <v>128.1</v>
      </c>
      <c r="AC14" t="n">
        <v>178.4</v>
      </c>
      <c r="AD14" t="n">
        <v>102.7</v>
      </c>
      <c r="AE14" t="n">
        <v>124.8</v>
      </c>
      <c r="AF14" t="n">
        <v>102.3</v>
      </c>
    </row>
    <row r="15">
      <c r="A15" t="s">
        <v>46</v>
      </c>
      <c r="B15" t="s">
        <v>300</v>
      </c>
      <c r="C15" t="s">
        <v>203</v>
      </c>
      <c r="D15" t="s">
        <v>301</v>
      </c>
      <c r="E15" t="s">
        <v>204</v>
      </c>
      <c r="F15" t="n">
        <v>2.5</v>
      </c>
      <c r="G15" t="n">
        <v>0.5</v>
      </c>
      <c r="H15" t="n">
        <v>1.6</v>
      </c>
      <c r="I15" t="n">
        <v>16.4</v>
      </c>
      <c r="J15" t="n">
        <v>37.3</v>
      </c>
      <c r="K15" t="n">
        <v>35.2</v>
      </c>
      <c r="L15" t="n">
        <v>51.5</v>
      </c>
      <c r="M15" t="n">
        <v>56.9</v>
      </c>
      <c r="N15" t="n">
        <v>62.6</v>
      </c>
      <c r="O15" t="n">
        <v>52.5</v>
      </c>
      <c r="P15" t="n">
        <v>71.7</v>
      </c>
      <c r="Q15" t="n">
        <v>102</v>
      </c>
      <c r="R15" t="n">
        <v>113.2</v>
      </c>
      <c r="S15" t="n">
        <v>221.1</v>
      </c>
      <c r="T15" t="n">
        <v>81.3</v>
      </c>
      <c r="U15" t="n">
        <v>123.2</v>
      </c>
      <c r="V15" t="n">
        <v>160.6</v>
      </c>
      <c r="W15" t="n">
        <v>143.8</v>
      </c>
      <c r="X15" t="n">
        <v>145.7</v>
      </c>
      <c r="Y15" t="n">
        <v>190.1</v>
      </c>
      <c r="Z15" t="n">
        <v>258.8</v>
      </c>
      <c r="AA15" t="n">
        <v>410.7</v>
      </c>
      <c r="AB15" t="n">
        <v>380.7</v>
      </c>
      <c r="AC15" t="n">
        <v>431.6</v>
      </c>
      <c r="AD15" t="n">
        <v>302.5</v>
      </c>
      <c r="AE15" t="n">
        <v>263.8</v>
      </c>
      <c r="AF15" t="n">
        <v>281.6</v>
      </c>
    </row>
    <row r="16">
      <c r="A16" t="s">
        <v>46</v>
      </c>
      <c r="B16" t="s">
        <v>302</v>
      </c>
      <c r="C16" t="s">
        <v>203</v>
      </c>
      <c r="D16" t="s">
        <v>303</v>
      </c>
      <c r="E16" t="s">
        <v>204</v>
      </c>
      <c r="F16" t="n">
        <v>0.9</v>
      </c>
      <c r="G16" t="n">
        <v>0.2</v>
      </c>
      <c r="H16" t="n">
        <v>0.6</v>
      </c>
      <c r="I16" t="n">
        <v>6</v>
      </c>
      <c r="J16" t="n">
        <v>16.6</v>
      </c>
      <c r="K16" t="n">
        <v>6.9</v>
      </c>
      <c r="L16" t="n">
        <v>6.1</v>
      </c>
      <c r="M16" t="n">
        <v>19.3</v>
      </c>
      <c r="N16" t="n">
        <v>20.6</v>
      </c>
      <c r="O16" t="n">
        <v>19.7</v>
      </c>
      <c r="P16" t="n">
        <v>43.7</v>
      </c>
      <c r="Q16" t="n">
        <v>56.4</v>
      </c>
      <c r="R16" t="n">
        <v>81.7</v>
      </c>
      <c r="S16" t="n">
        <v>155.1</v>
      </c>
      <c r="T16" t="n">
        <v>65.9</v>
      </c>
      <c r="U16" t="n">
        <v>102.1</v>
      </c>
      <c r="V16" t="n">
        <v>111.2</v>
      </c>
      <c r="W16" t="n">
        <v>93.4</v>
      </c>
      <c r="X16" t="n">
        <v>94.4</v>
      </c>
      <c r="Y16" t="n">
        <v>98.1</v>
      </c>
      <c r="Z16" t="n">
        <v>177.1</v>
      </c>
      <c r="AA16" t="n">
        <v>315.1</v>
      </c>
      <c r="AB16" t="n">
        <v>252.6</v>
      </c>
      <c r="AC16" t="n">
        <v>253.2</v>
      </c>
      <c r="AD16" t="n">
        <v>199.8</v>
      </c>
      <c r="AE16" t="n">
        <v>139</v>
      </c>
      <c r="AF16" t="n">
        <v>179.3</v>
      </c>
    </row>
    <row r="17">
      <c r="A17" t="s">
        <v>46</v>
      </c>
      <c r="B17" t="s">
        <v>304</v>
      </c>
      <c r="C17" t="s">
        <v>203</v>
      </c>
      <c r="D17" t="s">
        <v>305</v>
      </c>
      <c r="E17" t="s">
        <v>204</v>
      </c>
      <c r="F17" t="n">
        <v>3.6</v>
      </c>
      <c r="G17" t="n">
        <v>0.6</v>
      </c>
      <c r="H17" t="n">
        <v>2.3</v>
      </c>
      <c r="I17" t="n">
        <v>23.8</v>
      </c>
      <c r="J17" t="n">
        <v>37.9</v>
      </c>
      <c r="K17" t="n">
        <v>65.7</v>
      </c>
      <c r="L17" t="n">
        <v>147.6</v>
      </c>
      <c r="M17" t="n">
        <v>91.4</v>
      </c>
      <c r="N17" t="n">
        <v>64.5</v>
      </c>
      <c r="O17" t="n">
        <v>67.7</v>
      </c>
      <c r="P17" t="n">
        <v>85.5</v>
      </c>
      <c r="Q17" t="n">
        <v>121.3</v>
      </c>
      <c r="R17" t="n">
        <v>124.2</v>
      </c>
      <c r="S17" t="n">
        <v>124.2</v>
      </c>
      <c r="T17" t="n">
        <v>84</v>
      </c>
      <c r="U17" t="n">
        <v>104.5</v>
      </c>
      <c r="V17" t="n">
        <v>90</v>
      </c>
      <c r="W17" t="n">
        <v>89</v>
      </c>
      <c r="X17" t="n">
        <v>87.4</v>
      </c>
      <c r="Y17" t="n">
        <v>163.5</v>
      </c>
      <c r="Z17" t="n">
        <v>195</v>
      </c>
      <c r="AA17" t="n">
        <v>209.8</v>
      </c>
      <c r="AB17" t="n">
        <v>226</v>
      </c>
      <c r="AC17" t="n">
        <v>281.1</v>
      </c>
      <c r="AD17" t="n">
        <v>310.1</v>
      </c>
      <c r="AE17" t="n">
        <v>262</v>
      </c>
      <c r="AF17" t="n">
        <v>301.5</v>
      </c>
    </row>
    <row r="18">
      <c r="A18" t="s">
        <v>46</v>
      </c>
      <c r="B18" t="s">
        <v>306</v>
      </c>
      <c r="C18" t="s">
        <v>203</v>
      </c>
      <c r="D18" t="s">
        <v>307</v>
      </c>
      <c r="E18" t="s">
        <v>204</v>
      </c>
      <c r="F18" t="n">
        <v>2.8</v>
      </c>
      <c r="G18" t="n">
        <v>0.5</v>
      </c>
      <c r="H18" t="n">
        <v>1.8</v>
      </c>
      <c r="I18" t="n">
        <v>18.5</v>
      </c>
      <c r="J18" t="n">
        <v>19.1</v>
      </c>
      <c r="K18" t="n">
        <v>33.8</v>
      </c>
      <c r="L18" t="n">
        <v>11.1</v>
      </c>
      <c r="M18" t="n">
        <v>14.5</v>
      </c>
      <c r="N18" t="n">
        <v>15.6</v>
      </c>
      <c r="O18" t="n">
        <v>24.6</v>
      </c>
      <c r="P18" t="n">
        <v>23.1</v>
      </c>
      <c r="Q18" t="n">
        <v>68.4</v>
      </c>
      <c r="R18" t="n">
        <v>40.6</v>
      </c>
      <c r="S18" t="n">
        <v>170.7</v>
      </c>
      <c r="T18" t="n">
        <v>49.7</v>
      </c>
      <c r="U18" t="n">
        <v>39</v>
      </c>
      <c r="V18" t="n">
        <v>110.7</v>
      </c>
      <c r="W18" t="n">
        <v>85.2</v>
      </c>
      <c r="X18" t="n">
        <v>86.7</v>
      </c>
      <c r="Y18" t="n">
        <v>115.2</v>
      </c>
      <c r="Z18" t="n">
        <v>48.8</v>
      </c>
      <c r="AA18" t="n">
        <v>126</v>
      </c>
      <c r="AB18" t="n">
        <v>183.7</v>
      </c>
      <c r="AC18" t="n">
        <v>188.6</v>
      </c>
      <c r="AD18" t="n">
        <v>212.3</v>
      </c>
      <c r="AE18" t="n">
        <v>321.6</v>
      </c>
      <c r="AF18" t="n">
        <v>156.9</v>
      </c>
    </row>
    <row r="19">
      <c r="A19" t="s">
        <v>46</v>
      </c>
      <c r="B19" t="s">
        <v>308</v>
      </c>
      <c r="C19" t="s">
        <v>203</v>
      </c>
      <c r="D19" t="s">
        <v>309</v>
      </c>
      <c r="E19" t="s">
        <v>204</v>
      </c>
      <c r="F19" t="n">
        <v>0.6</v>
      </c>
      <c r="G19" t="n">
        <v>0.1</v>
      </c>
      <c r="H19" t="n">
        <v>0.4</v>
      </c>
      <c r="I19" t="n">
        <v>3.9</v>
      </c>
      <c r="J19" t="n">
        <v>10.6</v>
      </c>
      <c r="K19" t="n">
        <v>133.3</v>
      </c>
      <c r="L19" t="n">
        <v>68.6</v>
      </c>
      <c r="M19" t="n">
        <v>18.2</v>
      </c>
      <c r="N19" t="n">
        <v>24.6</v>
      </c>
      <c r="O19" t="n">
        <v>31.8</v>
      </c>
      <c r="P19" t="n">
        <v>94.1</v>
      </c>
      <c r="Q19" t="n">
        <v>109.4</v>
      </c>
      <c r="R19" t="n">
        <v>114.8</v>
      </c>
      <c r="S19" t="n">
        <v>161.1</v>
      </c>
      <c r="T19" t="n">
        <v>129</v>
      </c>
      <c r="U19" t="n">
        <v>101.2</v>
      </c>
      <c r="V19" t="n">
        <v>118.4</v>
      </c>
      <c r="W19" t="n">
        <v>125.4</v>
      </c>
      <c r="X19" t="n">
        <v>128</v>
      </c>
      <c r="Y19" t="n">
        <v>124.6</v>
      </c>
      <c r="Z19" t="n">
        <v>119</v>
      </c>
      <c r="AA19" t="n">
        <v>195.7</v>
      </c>
      <c r="AB19" t="n">
        <v>185.7</v>
      </c>
      <c r="AC19" t="n">
        <v>166</v>
      </c>
      <c r="AD19" t="n">
        <v>279.2</v>
      </c>
      <c r="AE19" t="n">
        <v>144.7</v>
      </c>
      <c r="AF19" t="n">
        <v>196</v>
      </c>
    </row>
    <row r="20">
      <c r="A20" t="s">
        <v>46</v>
      </c>
      <c r="B20" t="s">
        <v>310</v>
      </c>
      <c r="C20" t="s">
        <v>203</v>
      </c>
      <c r="D20" t="s">
        <v>311</v>
      </c>
      <c r="E20" t="s">
        <v>204</v>
      </c>
      <c r="F20" t="n">
        <v>15.1</v>
      </c>
      <c r="G20" t="n">
        <v>2.7</v>
      </c>
      <c r="H20" t="n">
        <v>9.6</v>
      </c>
      <c r="I20" t="n">
        <v>95.8</v>
      </c>
      <c r="J20" t="n">
        <v>151.5</v>
      </c>
      <c r="K20" t="n">
        <v>36.9</v>
      </c>
      <c r="L20" t="n">
        <v>32.9</v>
      </c>
      <c r="M20" t="n">
        <v>377.5</v>
      </c>
      <c r="N20" t="n">
        <v>869.6</v>
      </c>
      <c r="O20" t="n">
        <v>842.5</v>
      </c>
      <c r="P20" t="n">
        <v>1148.3</v>
      </c>
      <c r="Q20" t="n">
        <v>1115.5</v>
      </c>
      <c r="R20" t="n">
        <v>1380.4</v>
      </c>
      <c r="S20" t="n">
        <v>2760.5</v>
      </c>
      <c r="T20" t="n">
        <v>2493.3</v>
      </c>
      <c r="U20" t="n">
        <v>2116.2</v>
      </c>
      <c r="V20" t="n">
        <v>2003.7</v>
      </c>
      <c r="W20" t="n">
        <v>3332.3</v>
      </c>
      <c r="X20" t="n">
        <v>3426.1</v>
      </c>
      <c r="Y20" t="n">
        <v>2277.5</v>
      </c>
      <c r="Z20" t="n">
        <v>311.6</v>
      </c>
      <c r="AA20" t="n">
        <v>2385.2</v>
      </c>
      <c r="AB20" t="n">
        <v>665.6</v>
      </c>
      <c r="AC20" t="n">
        <v>643.8</v>
      </c>
      <c r="AD20" t="n">
        <v>739.1</v>
      </c>
      <c r="AE20" t="n">
        <v>905.6</v>
      </c>
      <c r="AF20" t="n">
        <v>1025.5</v>
      </c>
    </row>
    <row r="21">
      <c r="A21" t="s">
        <v>46</v>
      </c>
      <c r="B21" t="s">
        <v>312</v>
      </c>
      <c r="C21" t="s">
        <v>203</v>
      </c>
      <c r="D21" t="s">
        <v>313</v>
      </c>
      <c r="E21" t="s">
        <v>204</v>
      </c>
      <c r="F21" t="n">
        <v>16.9</v>
      </c>
      <c r="G21" t="n">
        <v>3</v>
      </c>
      <c r="H21" t="n">
        <v>10.8</v>
      </c>
      <c r="I21" t="n">
        <v>107.8</v>
      </c>
      <c r="J21" t="n">
        <v>186.5</v>
      </c>
      <c r="K21" t="n">
        <v>48.1</v>
      </c>
      <c r="L21" t="n">
        <v>40.6</v>
      </c>
      <c r="M21" t="n">
        <v>432.8</v>
      </c>
      <c r="N21" t="n">
        <v>933.9</v>
      </c>
      <c r="O21" t="n">
        <v>901.3</v>
      </c>
      <c r="P21" t="n">
        <v>1245.6</v>
      </c>
      <c r="Q21" t="n">
        <v>1182</v>
      </c>
      <c r="R21" t="n">
        <v>1485.6</v>
      </c>
      <c r="S21" t="n">
        <v>2901.6</v>
      </c>
      <c r="T21" t="n">
        <v>2685.6</v>
      </c>
      <c r="U21" t="n">
        <v>2215.9</v>
      </c>
      <c r="V21" t="n">
        <v>2116.8</v>
      </c>
      <c r="W21" t="n">
        <v>3410.2</v>
      </c>
      <c r="X21" t="n">
        <v>3551.9</v>
      </c>
      <c r="Y21" t="n">
        <v>2713.2</v>
      </c>
      <c r="Z21" t="n">
        <v>1770.1</v>
      </c>
      <c r="AA21" t="n">
        <v>1964.1</v>
      </c>
      <c r="AB21" t="n">
        <v>876.2</v>
      </c>
      <c r="AC21" t="n">
        <v>837.2</v>
      </c>
      <c r="AD21" t="n">
        <v>971.2</v>
      </c>
      <c r="AE21" t="n">
        <v>1031.4</v>
      </c>
      <c r="AF21" t="n">
        <v>1269.6</v>
      </c>
    </row>
    <row r="22">
      <c r="A22" t="s">
        <v>46</v>
      </c>
      <c r="B22" t="s">
        <v>314</v>
      </c>
      <c r="C22" t="s">
        <v>203</v>
      </c>
      <c r="D22" t="s">
        <v>315</v>
      </c>
      <c r="E22" t="s">
        <v>204</v>
      </c>
      <c r="F22" t="n">
        <v>1.8</v>
      </c>
      <c r="G22" t="n">
        <v>0.3</v>
      </c>
      <c r="H22" t="n">
        <v>1.2</v>
      </c>
      <c r="I22" t="n">
        <v>12</v>
      </c>
      <c r="J22" t="n">
        <v>35</v>
      </c>
      <c r="K22" t="n">
        <v>11.2</v>
      </c>
      <c r="L22" t="n">
        <v>7.7</v>
      </c>
      <c r="M22" t="n">
        <v>55.3</v>
      </c>
      <c r="N22" t="n">
        <v>64.3</v>
      </c>
      <c r="O22" t="n">
        <v>58.8</v>
      </c>
      <c r="P22" t="n">
        <v>97.3</v>
      </c>
      <c r="Q22" t="n">
        <v>66.5</v>
      </c>
      <c r="R22" t="n">
        <v>105.2</v>
      </c>
      <c r="S22" t="n">
        <v>141.1</v>
      </c>
      <c r="T22" t="n">
        <v>192.3</v>
      </c>
      <c r="U22" t="n">
        <v>99.7</v>
      </c>
      <c r="V22" t="n">
        <v>113.1</v>
      </c>
      <c r="W22" t="n">
        <v>77.9</v>
      </c>
      <c r="X22" t="n">
        <v>125.8</v>
      </c>
      <c r="Y22" t="n">
        <v>435.7</v>
      </c>
      <c r="Z22" t="n">
        <v>1458.5</v>
      </c>
      <c r="AA22" t="n">
        <v>-421.1</v>
      </c>
      <c r="AB22" t="n">
        <v>210.6</v>
      </c>
      <c r="AC22" t="n">
        <v>193.4</v>
      </c>
      <c r="AD22" t="n">
        <v>232.1</v>
      </c>
      <c r="AE22" t="n">
        <v>125.8</v>
      </c>
      <c r="AF22" t="n">
        <v>244.1</v>
      </c>
    </row>
    <row r="23">
      <c r="A23" t="s">
        <v>46</v>
      </c>
      <c r="B23" t="s">
        <v>316</v>
      </c>
      <c r="C23" t="s">
        <v>203</v>
      </c>
      <c r="D23" t="s">
        <v>317</v>
      </c>
      <c r="E23" t="s">
        <v>204</v>
      </c>
      <c r="F23" t="n">
        <v>23.8</v>
      </c>
      <c r="G23" t="n">
        <v>4.3</v>
      </c>
      <c r="H23" t="n">
        <v>15.1</v>
      </c>
      <c r="I23" t="n">
        <v>142.8</v>
      </c>
      <c r="J23" t="n">
        <v>423.3</v>
      </c>
      <c r="K23" t="n">
        <v>658.2</v>
      </c>
      <c r="L23" t="n">
        <v>643.6</v>
      </c>
      <c r="M23" t="n">
        <v>685.7</v>
      </c>
      <c r="N23" t="n">
        <v>592.2</v>
      </c>
      <c r="O23" t="n">
        <v>892</v>
      </c>
      <c r="P23" t="n">
        <v>1584.4</v>
      </c>
      <c r="Q23" t="n">
        <v>2535.8</v>
      </c>
      <c r="R23" t="n">
        <v>2888</v>
      </c>
      <c r="S23" t="n">
        <v>3508.7</v>
      </c>
      <c r="T23" t="n">
        <v>3807.7</v>
      </c>
      <c r="U23" t="n">
        <v>2403.6</v>
      </c>
      <c r="V23" t="n">
        <v>1821.4</v>
      </c>
      <c r="W23" t="n">
        <v>1829.9</v>
      </c>
      <c r="X23" t="n">
        <v>1881</v>
      </c>
      <c r="Y23" t="n">
        <v>1857.4</v>
      </c>
      <c r="Z23" t="n">
        <v>2039.6</v>
      </c>
      <c r="AA23" t="n">
        <v>2932.9</v>
      </c>
      <c r="AB23" t="n">
        <v>2610</v>
      </c>
      <c r="AC23" t="n">
        <v>2805.6</v>
      </c>
      <c r="AD23" t="n">
        <v>3348.1</v>
      </c>
      <c r="AE23" t="n">
        <v>3548.2</v>
      </c>
      <c r="AF23" t="n">
        <v>3454.8</v>
      </c>
    </row>
    <row r="24">
      <c r="A24" t="s">
        <v>46</v>
      </c>
      <c r="B24" t="s">
        <v>318</v>
      </c>
      <c r="C24" t="s">
        <v>203</v>
      </c>
      <c r="D24" t="s">
        <v>319</v>
      </c>
      <c r="E24" t="s">
        <v>204</v>
      </c>
      <c r="F24" t="n">
        <v>27.8</v>
      </c>
      <c r="G24" t="n">
        <v>5</v>
      </c>
      <c r="H24" t="n">
        <v>17.6</v>
      </c>
      <c r="I24" t="n">
        <v>173.5</v>
      </c>
      <c r="J24" t="n">
        <v>296.5</v>
      </c>
      <c r="K24" t="n">
        <v>523.5</v>
      </c>
      <c r="L24" t="n">
        <v>1461.2</v>
      </c>
      <c r="M24" t="n">
        <v>733.6</v>
      </c>
      <c r="N24" t="n">
        <v>823.5</v>
      </c>
      <c r="O24" t="n">
        <v>832.2</v>
      </c>
      <c r="P24" t="n">
        <v>1098.8</v>
      </c>
      <c r="Q24" t="n">
        <v>1225.5</v>
      </c>
      <c r="R24" t="n">
        <v>1627.7</v>
      </c>
      <c r="S24" t="n">
        <v>1500</v>
      </c>
      <c r="T24" t="n">
        <v>1351.6</v>
      </c>
      <c r="U24" t="n">
        <v>1289.8</v>
      </c>
      <c r="V24" t="n">
        <v>1195.3</v>
      </c>
      <c r="W24" t="n">
        <v>1134.5</v>
      </c>
      <c r="X24" t="n">
        <v>1154.1</v>
      </c>
      <c r="Y24" t="n">
        <v>1259.5</v>
      </c>
      <c r="Z24" t="n">
        <v>946.9</v>
      </c>
      <c r="AA24" t="n">
        <v>1502.5</v>
      </c>
      <c r="AB24" t="n">
        <v>1552.7</v>
      </c>
      <c r="AC24" t="n">
        <v>1875.7</v>
      </c>
      <c r="AD24" t="n">
        <v>1615.5</v>
      </c>
      <c r="AE24" t="n">
        <v>1525.7</v>
      </c>
      <c r="AF24" t="n">
        <v>1688</v>
      </c>
    </row>
    <row r="25">
      <c r="A25" t="s">
        <v>46</v>
      </c>
      <c r="B25" t="s">
        <v>320</v>
      </c>
      <c r="C25" t="s">
        <v>203</v>
      </c>
      <c r="D25" t="s">
        <v>321</v>
      </c>
      <c r="E25" t="s">
        <v>204</v>
      </c>
      <c r="F25" t="n">
        <v>2.6</v>
      </c>
      <c r="G25" t="n">
        <v>0.5</v>
      </c>
      <c r="H25" t="n">
        <v>1.6</v>
      </c>
      <c r="I25" t="n">
        <v>16.3</v>
      </c>
      <c r="J25" t="n">
        <v>40.7</v>
      </c>
      <c r="K25" t="n">
        <v>76.1</v>
      </c>
      <c r="L25" t="n">
        <v>113.6</v>
      </c>
      <c r="M25" t="n">
        <v>65.3</v>
      </c>
      <c r="N25" t="n">
        <v>63.2</v>
      </c>
      <c r="O25" t="n">
        <v>87</v>
      </c>
      <c r="P25" t="n">
        <v>122.6</v>
      </c>
      <c r="Q25" t="n">
        <v>145.5</v>
      </c>
      <c r="R25" t="n">
        <v>155.9</v>
      </c>
      <c r="S25" t="n">
        <v>139.5</v>
      </c>
      <c r="T25" t="n">
        <v>164.4</v>
      </c>
      <c r="U25" t="n">
        <v>126.9</v>
      </c>
      <c r="V25" t="n">
        <v>131.4</v>
      </c>
      <c r="W25" t="n">
        <v>82</v>
      </c>
      <c r="X25" t="n">
        <v>84.2</v>
      </c>
      <c r="Y25" t="n">
        <v>64.6</v>
      </c>
      <c r="Z25" t="n">
        <v>167.3</v>
      </c>
      <c r="AA25" t="n">
        <v>118.2</v>
      </c>
      <c r="AB25" t="n">
        <v>153.1</v>
      </c>
      <c r="AC25" t="n">
        <v>101.4</v>
      </c>
      <c r="AD25" t="n">
        <v>135.5</v>
      </c>
      <c r="AE25" t="n">
        <v>108.8</v>
      </c>
      <c r="AF25" t="n">
        <v>138.7</v>
      </c>
    </row>
    <row r="26">
      <c r="A26" t="s">
        <v>46</v>
      </c>
      <c r="B26" t="s">
        <v>322</v>
      </c>
      <c r="C26" t="s">
        <v>203</v>
      </c>
      <c r="D26" t="s">
        <v>323</v>
      </c>
      <c r="E26" t="s">
        <v>204</v>
      </c>
      <c r="F26" t="n">
        <v>15.9</v>
      </c>
      <c r="G26" t="n">
        <v>2.8</v>
      </c>
      <c r="H26" t="n">
        <v>10.1</v>
      </c>
      <c r="I26" t="n">
        <v>100.8</v>
      </c>
      <c r="J26" t="n">
        <v>165.7</v>
      </c>
      <c r="K26" t="n">
        <v>123</v>
      </c>
      <c r="L26" t="n">
        <v>983.4</v>
      </c>
      <c r="M26" t="n">
        <v>421.2</v>
      </c>
      <c r="N26" t="n">
        <v>507.1</v>
      </c>
      <c r="O26" t="n">
        <v>490</v>
      </c>
      <c r="P26" t="n">
        <v>660.4</v>
      </c>
      <c r="Q26" t="n">
        <v>703.3</v>
      </c>
      <c r="R26" t="n">
        <v>973.6</v>
      </c>
      <c r="S26" t="n">
        <v>828.5</v>
      </c>
      <c r="T26" t="n">
        <v>724.1</v>
      </c>
      <c r="U26" t="n">
        <v>687</v>
      </c>
      <c r="V26" t="n">
        <v>673.5</v>
      </c>
      <c r="W26" t="n">
        <v>741.9</v>
      </c>
      <c r="X26" t="n">
        <v>751</v>
      </c>
      <c r="Y26" t="n">
        <v>840.1</v>
      </c>
      <c r="Z26" t="n">
        <v>465.3</v>
      </c>
      <c r="AA26" t="n">
        <v>888.9</v>
      </c>
      <c r="AB26" t="n">
        <v>675.7</v>
      </c>
      <c r="AC26" t="n">
        <v>845.9</v>
      </c>
      <c r="AD26" t="n">
        <v>762.2</v>
      </c>
      <c r="AE26" t="n">
        <v>812.4</v>
      </c>
      <c r="AF26" t="n">
        <v>896</v>
      </c>
    </row>
    <row r="27">
      <c r="A27" t="s">
        <v>46</v>
      </c>
      <c r="B27" t="s">
        <v>324</v>
      </c>
      <c r="C27" t="s">
        <v>203</v>
      </c>
      <c r="D27" t="s">
        <v>325</v>
      </c>
      <c r="E27" t="s">
        <v>204</v>
      </c>
      <c r="F27" t="n">
        <v>9.3</v>
      </c>
      <c r="G27" t="n">
        <v>1.7</v>
      </c>
      <c r="H27" t="n">
        <v>5.9</v>
      </c>
      <c r="I27" t="n">
        <v>56.4</v>
      </c>
      <c r="J27" t="n">
        <v>90.1</v>
      </c>
      <c r="K27" t="n">
        <v>324.4</v>
      </c>
      <c r="L27" t="n">
        <v>364.2</v>
      </c>
      <c r="M27" t="n">
        <v>247.1</v>
      </c>
      <c r="N27" t="n">
        <v>253.2</v>
      </c>
      <c r="O27" t="n">
        <v>255.2</v>
      </c>
      <c r="P27" t="n">
        <v>315.8</v>
      </c>
      <c r="Q27" t="n">
        <v>376.7</v>
      </c>
      <c r="R27" t="n">
        <v>498.2</v>
      </c>
      <c r="S27" t="n">
        <v>532</v>
      </c>
      <c r="T27" t="n">
        <v>463.1</v>
      </c>
      <c r="U27" t="n">
        <v>475.9</v>
      </c>
      <c r="V27" t="n">
        <v>390.4</v>
      </c>
      <c r="W27" t="n">
        <v>310.6</v>
      </c>
      <c r="X27" t="n">
        <v>318.9</v>
      </c>
      <c r="Y27" t="n">
        <v>354.8</v>
      </c>
      <c r="Z27" t="n">
        <v>314.3</v>
      </c>
      <c r="AA27" t="n">
        <v>495.4</v>
      </c>
      <c r="AB27" t="n">
        <v>723.9</v>
      </c>
      <c r="AC27" t="n">
        <v>928.4</v>
      </c>
      <c r="AD27" t="n">
        <v>717.8</v>
      </c>
      <c r="AE27" t="n">
        <v>604.5</v>
      </c>
      <c r="AF27" t="n">
        <v>653.3</v>
      </c>
    </row>
    <row r="28">
      <c r="A28" t="s">
        <v>46</v>
      </c>
      <c r="B28" t="s">
        <v>326</v>
      </c>
      <c r="C28" t="s">
        <v>203</v>
      </c>
      <c r="D28" t="s">
        <v>327</v>
      </c>
      <c r="E28" t="s">
        <v>204</v>
      </c>
      <c r="F28" t="n">
        <v>21.5</v>
      </c>
      <c r="G28" t="n">
        <v>3.9</v>
      </c>
      <c r="H28" t="n">
        <v>13.7</v>
      </c>
      <c r="I28" t="n">
        <v>139.6</v>
      </c>
      <c r="J28" t="n">
        <v>558.9</v>
      </c>
      <c r="K28" t="n">
        <v>165.8</v>
      </c>
      <c r="L28" t="n">
        <v>122.5</v>
      </c>
      <c r="M28" t="n">
        <v>459.8</v>
      </c>
      <c r="N28" t="n">
        <v>332.5</v>
      </c>
      <c r="O28" t="n">
        <v>500</v>
      </c>
      <c r="P28" t="n">
        <v>793.6</v>
      </c>
      <c r="Q28" t="n">
        <v>861</v>
      </c>
      <c r="R28" t="n">
        <v>1016.1</v>
      </c>
      <c r="S28" t="n">
        <v>920.6</v>
      </c>
      <c r="T28" t="n">
        <v>738.4</v>
      </c>
      <c r="U28" t="n">
        <v>921.4</v>
      </c>
      <c r="V28" t="n">
        <v>710.7</v>
      </c>
      <c r="W28" t="n">
        <v>408.9</v>
      </c>
      <c r="X28" t="n">
        <v>418</v>
      </c>
      <c r="Y28" t="n">
        <v>926.1</v>
      </c>
      <c r="Z28" t="n">
        <v>1866.3</v>
      </c>
      <c r="AA28" t="n">
        <v>1838.9</v>
      </c>
      <c r="AB28" t="n">
        <v>1133.5</v>
      </c>
      <c r="AC28" t="n">
        <v>1351.9</v>
      </c>
      <c r="AD28" t="n">
        <v>1270.6</v>
      </c>
      <c r="AE28" t="n">
        <v>3182.8</v>
      </c>
      <c r="AF28" t="n">
        <v>1574.8</v>
      </c>
    </row>
    <row r="29">
      <c r="A29" t="s">
        <v>46</v>
      </c>
      <c r="B29" t="s">
        <v>328</v>
      </c>
      <c r="C29" t="s">
        <v>203</v>
      </c>
      <c r="D29" t="s">
        <v>329</v>
      </c>
      <c r="E29" t="s">
        <v>204</v>
      </c>
      <c r="F29" t="n">
        <v>8.1</v>
      </c>
      <c r="G29" t="n">
        <v>1.5</v>
      </c>
      <c r="H29" t="n">
        <v>5.2</v>
      </c>
      <c r="I29" t="n">
        <v>53.1</v>
      </c>
      <c r="J29" t="n">
        <v>427.3</v>
      </c>
      <c r="K29" t="n">
        <v>114.3</v>
      </c>
      <c r="L29" t="n">
        <v>64</v>
      </c>
      <c r="M29" t="n">
        <v>211.3</v>
      </c>
      <c r="N29" t="n">
        <v>152.2</v>
      </c>
      <c r="O29" t="n">
        <v>235.8</v>
      </c>
      <c r="P29" t="n">
        <v>462.3</v>
      </c>
      <c r="Q29" t="n">
        <v>528</v>
      </c>
      <c r="R29" t="n">
        <v>694.5</v>
      </c>
      <c r="S29" t="n">
        <v>584.7</v>
      </c>
      <c r="T29" t="n">
        <v>394</v>
      </c>
      <c r="U29" t="n">
        <v>679.6</v>
      </c>
      <c r="V29" t="n">
        <v>498.3</v>
      </c>
      <c r="W29" t="n">
        <v>281</v>
      </c>
      <c r="X29" t="n">
        <v>287.6</v>
      </c>
      <c r="Y29" t="n">
        <v>640.8</v>
      </c>
      <c r="Z29" t="n">
        <v>1106.7</v>
      </c>
      <c r="AA29" t="n">
        <v>1275.7</v>
      </c>
      <c r="AB29" t="n">
        <v>775</v>
      </c>
      <c r="AC29" t="n">
        <v>919.6</v>
      </c>
      <c r="AD29" t="n">
        <v>782.9</v>
      </c>
      <c r="AE29" t="n">
        <v>2427</v>
      </c>
      <c r="AF29" t="n">
        <v>849.9</v>
      </c>
    </row>
    <row r="30">
      <c r="A30" t="s">
        <v>46</v>
      </c>
      <c r="B30" t="s">
        <v>330</v>
      </c>
      <c r="C30" t="s">
        <v>203</v>
      </c>
      <c r="D30" t="s">
        <v>331</v>
      </c>
      <c r="E30" t="s">
        <v>204</v>
      </c>
      <c r="F30" t="n">
        <v>2.6</v>
      </c>
      <c r="G30" t="n">
        <v>0.5</v>
      </c>
      <c r="H30" t="n">
        <v>1.6</v>
      </c>
      <c r="I30" t="n">
        <v>17.3</v>
      </c>
      <c r="J30" t="n">
        <v>13.2</v>
      </c>
      <c r="K30" t="n">
        <v>0.1</v>
      </c>
      <c r="L30" t="n">
        <v>2.6</v>
      </c>
      <c r="M30" t="n">
        <v>12.2</v>
      </c>
      <c r="N30" t="n">
        <v>34.1</v>
      </c>
      <c r="O30" t="n">
        <v>33.6</v>
      </c>
      <c r="P30" t="n">
        <v>52</v>
      </c>
      <c r="Q30" t="n">
        <v>83.8</v>
      </c>
      <c r="R30" t="n">
        <v>84.2</v>
      </c>
      <c r="S30" t="n">
        <v>5.5</v>
      </c>
      <c r="T30" t="n">
        <v>27.8</v>
      </c>
      <c r="U30" t="n">
        <v>3.8</v>
      </c>
      <c r="V30" t="n">
        <v>9.1</v>
      </c>
      <c r="W30" t="n">
        <v>7.1</v>
      </c>
      <c r="X30" t="n">
        <v>7.3</v>
      </c>
      <c r="Y30" t="n">
        <v>0.8</v>
      </c>
      <c r="Z30" t="n">
        <v>5.2</v>
      </c>
      <c r="AA30" t="n">
        <v>8.4</v>
      </c>
      <c r="AB30" t="n">
        <v>17.6</v>
      </c>
      <c r="AC30" t="n">
        <v>20.7</v>
      </c>
      <c r="AD30" t="n">
        <v>9.7</v>
      </c>
      <c r="AE30" t="n">
        <v>-8.9</v>
      </c>
      <c r="AF30" t="n">
        <v>9.5</v>
      </c>
    </row>
    <row r="31">
      <c r="A31" t="s">
        <v>46</v>
      </c>
      <c r="B31" t="s">
        <v>332</v>
      </c>
      <c r="C31" t="s">
        <v>203</v>
      </c>
      <c r="D31" t="s">
        <v>333</v>
      </c>
      <c r="E31" t="s">
        <v>204</v>
      </c>
      <c r="F31" t="n">
        <v>1</v>
      </c>
      <c r="G31" t="n">
        <v>0.2</v>
      </c>
      <c r="H31" t="n">
        <v>0.7</v>
      </c>
      <c r="I31" t="n">
        <v>7</v>
      </c>
      <c r="J31" t="n">
        <v>15.9</v>
      </c>
      <c r="K31" t="n">
        <v>0.3</v>
      </c>
      <c r="L31" t="n">
        <v>1.4</v>
      </c>
      <c r="M31" t="n">
        <v>9.2</v>
      </c>
      <c r="N31" t="n">
        <v>24.3</v>
      </c>
      <c r="O31" t="n">
        <v>40.3</v>
      </c>
      <c r="P31" t="n">
        <v>29.9</v>
      </c>
      <c r="Q31" t="n">
        <v>57.9</v>
      </c>
      <c r="R31" t="n">
        <v>73.7</v>
      </c>
      <c r="S31" t="n">
        <v>28</v>
      </c>
      <c r="T31" t="n">
        <v>61.6</v>
      </c>
      <c r="U31" t="n">
        <v>23</v>
      </c>
      <c r="V31" t="n">
        <v>25.9</v>
      </c>
      <c r="W31" t="n">
        <v>28</v>
      </c>
      <c r="X31" t="n">
        <v>28.8</v>
      </c>
      <c r="Y31" t="n">
        <v>-113.7</v>
      </c>
      <c r="Z31" t="n">
        <v>100.3</v>
      </c>
      <c r="AA31" t="n">
        <v>35.2</v>
      </c>
      <c r="AB31" t="n">
        <v>-19.1</v>
      </c>
      <c r="AC31" t="n">
        <v>35.4</v>
      </c>
      <c r="AD31" t="n">
        <v>54.9</v>
      </c>
      <c r="AE31" t="n">
        <v>211.5</v>
      </c>
      <c r="AF31" t="n">
        <v>128</v>
      </c>
    </row>
    <row r="32">
      <c r="A32" t="s">
        <v>46</v>
      </c>
      <c r="B32" t="s">
        <v>334</v>
      </c>
      <c r="C32" t="s">
        <v>203</v>
      </c>
      <c r="D32" t="s">
        <v>335</v>
      </c>
      <c r="E32" t="s">
        <v>204</v>
      </c>
      <c r="F32" t="n">
        <v>9.5</v>
      </c>
      <c r="G32" t="n">
        <v>1.7</v>
      </c>
      <c r="H32" t="n">
        <v>6</v>
      </c>
      <c r="I32" t="n">
        <v>60.4</v>
      </c>
      <c r="J32" t="n">
        <v>97.3</v>
      </c>
      <c r="K32" t="n">
        <v>49.5</v>
      </c>
      <c r="L32" t="n">
        <v>53.2</v>
      </c>
      <c r="M32" t="n">
        <v>222.7</v>
      </c>
      <c r="N32" t="n">
        <v>116.5</v>
      </c>
      <c r="O32" t="n">
        <v>186.1</v>
      </c>
      <c r="P32" t="n">
        <v>241</v>
      </c>
      <c r="Q32" t="n">
        <v>172.9</v>
      </c>
      <c r="R32" t="n">
        <v>140.8</v>
      </c>
      <c r="S32" t="n">
        <v>285.6</v>
      </c>
      <c r="T32" t="n">
        <v>236.2</v>
      </c>
      <c r="U32" t="n">
        <v>209</v>
      </c>
      <c r="V32" t="n">
        <v>165</v>
      </c>
      <c r="W32" t="n">
        <v>82.7</v>
      </c>
      <c r="X32" t="n">
        <v>84.4</v>
      </c>
      <c r="Y32" t="n">
        <v>379.8</v>
      </c>
      <c r="Z32" t="n">
        <v>629.3</v>
      </c>
      <c r="AA32" t="n">
        <v>490.2</v>
      </c>
      <c r="AB32" t="n">
        <v>352.6</v>
      </c>
      <c r="AC32" t="n">
        <v>339.4</v>
      </c>
      <c r="AD32" t="n">
        <v>385.1</v>
      </c>
      <c r="AE32" t="n">
        <v>524.6</v>
      </c>
      <c r="AF32" t="n">
        <v>537.2</v>
      </c>
    </row>
    <row r="33">
      <c r="A33" t="s">
        <v>46</v>
      </c>
      <c r="B33" t="s">
        <v>336</v>
      </c>
      <c r="C33" t="s">
        <v>203</v>
      </c>
      <c r="D33" t="s">
        <v>337</v>
      </c>
      <c r="E33" t="s">
        <v>204</v>
      </c>
      <c r="F33" t="n">
        <v>0.3</v>
      </c>
      <c r="G33" t="n">
        <v>0.1</v>
      </c>
      <c r="H33" t="n">
        <v>0.2</v>
      </c>
      <c r="I33" t="n">
        <v>1.8</v>
      </c>
      <c r="J33" t="n">
        <v>5.2</v>
      </c>
      <c r="K33" t="n">
        <v>1.6</v>
      </c>
      <c r="L33" t="n">
        <v>1.3</v>
      </c>
      <c r="M33" t="n">
        <v>4.4</v>
      </c>
      <c r="N33" t="n">
        <v>5.4</v>
      </c>
      <c r="O33" t="n">
        <v>4.2</v>
      </c>
      <c r="P33" t="n">
        <v>8.4</v>
      </c>
      <c r="Q33" t="n">
        <v>18.4</v>
      </c>
      <c r="R33" t="n">
        <v>22.9</v>
      </c>
      <c r="S33" t="n">
        <v>16.8</v>
      </c>
      <c r="T33" t="n">
        <v>18.8</v>
      </c>
      <c r="U33" t="n">
        <v>6</v>
      </c>
      <c r="V33" t="n">
        <v>12.4</v>
      </c>
      <c r="W33" t="n">
        <v>10.1</v>
      </c>
      <c r="X33" t="n">
        <v>9.9</v>
      </c>
      <c r="Y33" t="n">
        <v>18.4</v>
      </c>
      <c r="Z33" t="n">
        <v>24.8</v>
      </c>
      <c r="AA33" t="n">
        <v>29.4</v>
      </c>
      <c r="AB33" t="n">
        <v>7.4</v>
      </c>
      <c r="AC33" t="n">
        <v>36.8</v>
      </c>
      <c r="AD33" t="n">
        <v>38</v>
      </c>
      <c r="AE33" t="n">
        <v>28.6</v>
      </c>
      <c r="AF33" t="n">
        <v>50.2</v>
      </c>
    </row>
    <row r="34">
      <c r="A34" t="s">
        <v>46</v>
      </c>
      <c r="B34" t="s">
        <v>338</v>
      </c>
      <c r="C34" t="s">
        <v>203</v>
      </c>
      <c r="D34" t="s">
        <v>339</v>
      </c>
      <c r="E34" t="s">
        <v>204</v>
      </c>
      <c r="F34" t="n">
        <v>8.9</v>
      </c>
      <c r="G34" t="n">
        <v>1.6</v>
      </c>
      <c r="H34" t="n">
        <v>5.7</v>
      </c>
      <c r="I34" t="n">
        <v>53.1</v>
      </c>
      <c r="J34" t="n">
        <v>101</v>
      </c>
      <c r="K34" t="n">
        <v>101.3</v>
      </c>
      <c r="L34" t="n">
        <v>161.3</v>
      </c>
      <c r="M34" t="n">
        <v>256.7</v>
      </c>
      <c r="N34" t="n">
        <v>254.3</v>
      </c>
      <c r="O34" t="n">
        <v>307</v>
      </c>
      <c r="P34" t="n">
        <v>398.4</v>
      </c>
      <c r="Q34" t="n">
        <v>317.3</v>
      </c>
      <c r="R34" t="n">
        <v>396</v>
      </c>
      <c r="S34" t="n">
        <v>552</v>
      </c>
      <c r="T34" t="n">
        <v>412.4</v>
      </c>
      <c r="U34" t="n">
        <v>518.9</v>
      </c>
      <c r="V34" t="n">
        <v>352.5</v>
      </c>
      <c r="W34" t="n">
        <v>421.9</v>
      </c>
      <c r="X34" t="n">
        <v>433.9</v>
      </c>
      <c r="Y34" t="n">
        <v>292.5</v>
      </c>
      <c r="Z34" t="n">
        <v>442.5</v>
      </c>
      <c r="AA34" t="n">
        <v>380.1</v>
      </c>
      <c r="AB34" t="n">
        <v>639.2</v>
      </c>
      <c r="AC34" t="n">
        <v>654.8</v>
      </c>
      <c r="AD34" t="n">
        <v>563.4</v>
      </c>
      <c r="AE34" t="n">
        <v>447.2</v>
      </c>
      <c r="AF34" t="n">
        <v>358.3</v>
      </c>
    </row>
    <row r="35">
      <c r="A35" t="s">
        <v>46</v>
      </c>
      <c r="B35" t="s">
        <v>340</v>
      </c>
      <c r="C35" t="s">
        <v>203</v>
      </c>
      <c r="D35" t="s">
        <v>341</v>
      </c>
      <c r="E35" t="s">
        <v>204</v>
      </c>
      <c r="F35" t="n">
        <v>13.6</v>
      </c>
      <c r="G35" t="n">
        <v>2.4</v>
      </c>
      <c r="H35" t="n">
        <v>8.6</v>
      </c>
      <c r="I35" t="n">
        <v>89.8</v>
      </c>
      <c r="J35" t="n">
        <v>156</v>
      </c>
      <c r="K35" t="n">
        <v>166.6</v>
      </c>
      <c r="L35" t="n">
        <v>197.9</v>
      </c>
      <c r="M35" t="n">
        <v>442.9</v>
      </c>
      <c r="N35" t="n">
        <v>670.8</v>
      </c>
      <c r="O35" t="n">
        <v>688.4</v>
      </c>
      <c r="P35" t="n">
        <v>923.9</v>
      </c>
      <c r="Q35" t="n">
        <v>992.3</v>
      </c>
      <c r="R35" t="n">
        <v>1060.2</v>
      </c>
      <c r="S35" t="n">
        <v>1096.6</v>
      </c>
      <c r="T35" t="n">
        <v>794.8</v>
      </c>
      <c r="U35" t="n">
        <v>963</v>
      </c>
      <c r="V35" t="n">
        <v>917.9</v>
      </c>
      <c r="W35" t="n">
        <v>844.3</v>
      </c>
      <c r="X35" t="n">
        <v>792.5</v>
      </c>
      <c r="Y35" t="n">
        <v>374</v>
      </c>
      <c r="Z35" t="n">
        <v>-223.5</v>
      </c>
      <c r="AA35" t="n">
        <v>583.4</v>
      </c>
      <c r="AB35" t="n">
        <v>1125.1</v>
      </c>
      <c r="AC35" t="n">
        <v>1120.7</v>
      </c>
      <c r="AD35" t="n">
        <v>1954.7</v>
      </c>
      <c r="AE35" t="n">
        <v>937.4</v>
      </c>
      <c r="AF35" t="n">
        <v>1793.3</v>
      </c>
    </row>
    <row r="36">
      <c r="A36" t="s">
        <v>46</v>
      </c>
      <c r="B36" t="s">
        <v>342</v>
      </c>
      <c r="C36" t="s">
        <v>203</v>
      </c>
      <c r="D36" t="s">
        <v>343</v>
      </c>
      <c r="E36" t="s">
        <v>204</v>
      </c>
      <c r="F36" t="n">
        <v>9.1</v>
      </c>
      <c r="G36" t="n">
        <v>1.6</v>
      </c>
      <c r="H36" t="n">
        <v>5.8</v>
      </c>
      <c r="I36" t="n">
        <v>60.4</v>
      </c>
      <c r="J36" t="n">
        <v>143.2</v>
      </c>
      <c r="K36" t="n">
        <v>137.3</v>
      </c>
      <c r="L36" t="n">
        <v>153.4</v>
      </c>
      <c r="M36" t="n">
        <v>413.7</v>
      </c>
      <c r="N36" t="n">
        <v>476.8</v>
      </c>
      <c r="O36" t="n">
        <v>637.6</v>
      </c>
      <c r="P36" t="n">
        <v>156.2</v>
      </c>
      <c r="Q36" t="n">
        <v>149.2</v>
      </c>
      <c r="R36" t="n">
        <v>184.4</v>
      </c>
      <c r="S36" t="n">
        <v>209.7</v>
      </c>
      <c r="T36" t="n">
        <v>199.3</v>
      </c>
      <c r="U36" t="n">
        <v>281.3</v>
      </c>
      <c r="V36" t="n">
        <v>257.8</v>
      </c>
      <c r="W36" t="n">
        <v>180.3</v>
      </c>
      <c r="X36" t="n">
        <v>173.1</v>
      </c>
      <c r="Y36" t="n">
        <v>196.8</v>
      </c>
      <c r="Z36" t="n">
        <v>183.1</v>
      </c>
      <c r="AA36" t="n">
        <v>186.7</v>
      </c>
      <c r="AB36" t="n">
        <v>253.3</v>
      </c>
      <c r="AC36" t="n">
        <v>193.7</v>
      </c>
      <c r="AD36" t="n">
        <v>216.3</v>
      </c>
      <c r="AE36" t="n">
        <v>199.1</v>
      </c>
      <c r="AF36" t="n">
        <v>217.1</v>
      </c>
    </row>
    <row r="37">
      <c r="A37" t="s">
        <v>46</v>
      </c>
      <c r="B37" t="s">
        <v>344</v>
      </c>
      <c r="C37" t="s">
        <v>203</v>
      </c>
      <c r="D37" t="s">
        <v>345</v>
      </c>
      <c r="E37" t="s">
        <v>204</v>
      </c>
      <c r="F37" t="n">
        <v>1.2</v>
      </c>
      <c r="G37" t="n">
        <v>0.2</v>
      </c>
      <c r="H37" t="n">
        <v>0.8</v>
      </c>
      <c r="I37" t="n">
        <v>8.1</v>
      </c>
      <c r="J37" t="n">
        <v>4.8</v>
      </c>
      <c r="K37" t="n">
        <v>17.3</v>
      </c>
      <c r="L37" t="n">
        <v>13</v>
      </c>
      <c r="M37" t="n">
        <v>11.5</v>
      </c>
      <c r="N37" t="n">
        <v>18.1</v>
      </c>
      <c r="O37" t="n">
        <v>20.4</v>
      </c>
      <c r="P37" t="n">
        <v>710.8</v>
      </c>
      <c r="Q37" t="n">
        <v>783.7</v>
      </c>
      <c r="R37" t="n">
        <v>805.9</v>
      </c>
      <c r="S37" t="n">
        <v>733.8</v>
      </c>
      <c r="T37" t="n">
        <v>480.3</v>
      </c>
      <c r="U37" t="n">
        <v>539.5</v>
      </c>
      <c r="V37" t="n">
        <v>524.2</v>
      </c>
      <c r="W37" t="n">
        <v>542.6</v>
      </c>
      <c r="X37" t="n">
        <v>542.1</v>
      </c>
      <c r="Y37" t="n">
        <v>-161.6</v>
      </c>
      <c r="Z37" t="n">
        <v>-685.1</v>
      </c>
      <c r="AA37" t="n">
        <v>-90.7</v>
      </c>
      <c r="AB37" t="n">
        <v>300.6</v>
      </c>
      <c r="AC37" t="n">
        <v>308.1</v>
      </c>
      <c r="AD37" t="n">
        <v>654.2</v>
      </c>
      <c r="AE37" t="n">
        <v>-148.9</v>
      </c>
      <c r="AF37" t="n">
        <v>582.4</v>
      </c>
    </row>
    <row r="38">
      <c r="A38" t="s">
        <v>46</v>
      </c>
      <c r="B38" t="s">
        <v>346</v>
      </c>
      <c r="C38" t="s">
        <v>203</v>
      </c>
      <c r="D38" t="s">
        <v>347</v>
      </c>
      <c r="E38" t="s">
        <v>204</v>
      </c>
      <c r="F38" t="n">
        <v>3.3</v>
      </c>
      <c r="G38" t="n">
        <v>0.6</v>
      </c>
      <c r="H38" t="n">
        <v>2.1</v>
      </c>
      <c r="I38" t="n">
        <v>21.3</v>
      </c>
      <c r="J38" t="n">
        <v>8</v>
      </c>
      <c r="K38" t="n">
        <v>12</v>
      </c>
      <c r="L38" t="n">
        <v>31.5</v>
      </c>
      <c r="M38" t="n">
        <v>17.7</v>
      </c>
      <c r="N38" t="n">
        <v>175.9</v>
      </c>
      <c r="O38" t="n">
        <v>30.4</v>
      </c>
      <c r="P38" t="n">
        <v>56.9</v>
      </c>
      <c r="Q38" t="n">
        <v>59.4</v>
      </c>
      <c r="R38" t="n">
        <v>69.9</v>
      </c>
      <c r="S38" t="n">
        <v>153.1</v>
      </c>
      <c r="T38" t="n">
        <v>115.2</v>
      </c>
      <c r="U38" t="n">
        <v>142.2</v>
      </c>
      <c r="V38" t="n">
        <v>135.9</v>
      </c>
      <c r="W38" t="n">
        <v>121.4</v>
      </c>
      <c r="X38" t="n">
        <v>77.3</v>
      </c>
      <c r="Y38" t="n">
        <v>338.8</v>
      </c>
      <c r="Z38" t="n">
        <v>278.5</v>
      </c>
      <c r="AA38" t="n">
        <v>487.4</v>
      </c>
      <c r="AB38" t="n">
        <v>571.2</v>
      </c>
      <c r="AC38" t="n">
        <v>618.9</v>
      </c>
      <c r="AD38" t="n">
        <v>1084.2</v>
      </c>
      <c r="AE38" t="n">
        <v>887.2</v>
      </c>
      <c r="AF38" t="n">
        <v>993.8</v>
      </c>
    </row>
    <row r="39">
      <c r="A39" t="s">
        <v>46</v>
      </c>
      <c r="B39" t="s">
        <v>348</v>
      </c>
      <c r="C39" t="s">
        <v>203</v>
      </c>
      <c r="D39" t="s">
        <v>349</v>
      </c>
      <c r="E39" t="s">
        <v>204</v>
      </c>
      <c r="F39" t="n">
        <v>13.6</v>
      </c>
      <c r="G39" t="n">
        <v>2.4</v>
      </c>
      <c r="H39" t="n">
        <v>8.7</v>
      </c>
      <c r="I39" t="n">
        <v>81.3</v>
      </c>
      <c r="J39" t="n">
        <v>75.1</v>
      </c>
      <c r="K39" t="n">
        <v>219.5</v>
      </c>
      <c r="L39" t="n">
        <v>51.4</v>
      </c>
      <c r="M39" t="n">
        <v>130.5</v>
      </c>
      <c r="N39" t="n">
        <v>98.6</v>
      </c>
      <c r="O39" t="n">
        <v>136</v>
      </c>
      <c r="P39" t="n">
        <v>134.7</v>
      </c>
      <c r="Q39" t="n">
        <v>219.9</v>
      </c>
      <c r="R39" t="n">
        <v>249</v>
      </c>
      <c r="S39" t="n">
        <v>167.3</v>
      </c>
      <c r="T39" t="n">
        <v>277</v>
      </c>
      <c r="U39" t="n">
        <v>217.6</v>
      </c>
      <c r="V39" t="n">
        <v>321.9</v>
      </c>
      <c r="W39" t="n">
        <v>311.1</v>
      </c>
      <c r="X39" t="n">
        <v>310.9</v>
      </c>
      <c r="Y39" t="n">
        <v>293</v>
      </c>
      <c r="Z39" t="n">
        <v>16.7</v>
      </c>
      <c r="AA39" t="n">
        <v>187.6</v>
      </c>
      <c r="AB39" t="n">
        <v>257.4</v>
      </c>
      <c r="AC39" t="n">
        <v>262.5</v>
      </c>
      <c r="AD39" t="n">
        <v>298.5</v>
      </c>
      <c r="AE39" t="n">
        <v>509.2</v>
      </c>
      <c r="AF39" t="n">
        <v>331</v>
      </c>
    </row>
    <row r="40">
      <c r="A40" t="s">
        <v>46</v>
      </c>
      <c r="B40" t="s">
        <v>350</v>
      </c>
      <c r="C40" t="s">
        <v>203</v>
      </c>
      <c r="D40" t="s">
        <v>351</v>
      </c>
      <c r="E40" t="s">
        <v>204</v>
      </c>
      <c r="F40" t="n">
        <v>3.5</v>
      </c>
      <c r="G40" t="n">
        <v>0.6</v>
      </c>
      <c r="H40" t="n">
        <v>2.2</v>
      </c>
      <c r="I40" t="n">
        <v>16.6</v>
      </c>
      <c r="J40" t="n">
        <v>63.4</v>
      </c>
      <c r="K40" t="n">
        <v>32.9</v>
      </c>
      <c r="L40" t="n">
        <v>54.1</v>
      </c>
      <c r="M40" t="n">
        <v>112.2</v>
      </c>
      <c r="N40" t="n">
        <v>25.8</v>
      </c>
      <c r="O40" t="n">
        <v>159.1</v>
      </c>
      <c r="P40" t="n">
        <v>283.5</v>
      </c>
      <c r="Q40" t="n">
        <v>848.6</v>
      </c>
      <c r="R40" t="n">
        <v>642.8</v>
      </c>
      <c r="S40" t="n">
        <v>1883.1</v>
      </c>
      <c r="T40" t="n">
        <v>1917.6</v>
      </c>
      <c r="U40" t="n">
        <v>1054.3</v>
      </c>
      <c r="V40" t="n">
        <v>1346.8</v>
      </c>
      <c r="W40" t="n">
        <v>1312.4</v>
      </c>
      <c r="X40" t="n">
        <v>1348.9</v>
      </c>
      <c r="Y40" t="n">
        <v>517.2</v>
      </c>
      <c r="Z40" t="n">
        <v>258.5</v>
      </c>
      <c r="AA40" t="n">
        <v>437.6</v>
      </c>
      <c r="AB40" t="n">
        <v>1277.6</v>
      </c>
      <c r="AC40" t="n">
        <v>1492.8</v>
      </c>
      <c r="AD40" t="n">
        <v>1074.6</v>
      </c>
      <c r="AE40" t="n">
        <v>1198</v>
      </c>
      <c r="AF40" t="n">
        <v>1227.6</v>
      </c>
    </row>
    <row r="41">
      <c r="A41" t="s">
        <v>46</v>
      </c>
      <c r="B41" t="s">
        <v>352</v>
      </c>
      <c r="C41" t="s">
        <v>203</v>
      </c>
      <c r="D41" t="s">
        <v>353</v>
      </c>
      <c r="E41" t="s">
        <v>204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46</v>
      </c>
      <c r="B42" t="s">
        <v>354</v>
      </c>
      <c r="C42" t="s">
        <v>203</v>
      </c>
      <c r="D42" t="s">
        <v>355</v>
      </c>
      <c r="E42" t="s">
        <v>204</v>
      </c>
      <c r="F42" t="n">
        <v>20</v>
      </c>
      <c r="G42" t="n">
        <v>3.6</v>
      </c>
      <c r="H42" t="n">
        <v>12.7</v>
      </c>
      <c r="I42" t="n">
        <v>129.8</v>
      </c>
      <c r="J42" t="n">
        <v>118.4</v>
      </c>
      <c r="K42" t="n">
        <v>390.3</v>
      </c>
      <c r="L42" t="n">
        <v>223.6</v>
      </c>
      <c r="M42" t="n">
        <v>149.9</v>
      </c>
      <c r="N42" t="n">
        <v>121.5</v>
      </c>
      <c r="O42" t="n">
        <v>106.3</v>
      </c>
      <c r="P42" t="n">
        <v>162.4</v>
      </c>
      <c r="Q42" t="n">
        <v>193.8</v>
      </c>
      <c r="R42" t="n">
        <v>308.7</v>
      </c>
      <c r="S42" t="n">
        <v>507.5</v>
      </c>
      <c r="T42" t="n">
        <v>664.6</v>
      </c>
      <c r="U42" t="n">
        <v>324.7</v>
      </c>
      <c r="V42" t="n">
        <v>329.7</v>
      </c>
      <c r="W42" t="n">
        <v>315.2</v>
      </c>
      <c r="X42" t="n">
        <v>309.1</v>
      </c>
      <c r="Y42" t="n">
        <v>714.6</v>
      </c>
      <c r="Z42" t="n">
        <v>662.5</v>
      </c>
      <c r="AA42" t="n">
        <v>552.3</v>
      </c>
      <c r="AB42" t="n">
        <v>860.2</v>
      </c>
      <c r="AC42" t="n">
        <v>827.8</v>
      </c>
      <c r="AD42" t="n">
        <v>778.8</v>
      </c>
      <c r="AE42" t="n">
        <v>806.2</v>
      </c>
      <c r="AF42" t="n">
        <v>820.8</v>
      </c>
    </row>
    <row r="43">
      <c r="A43" t="s">
        <v>46</v>
      </c>
      <c r="B43" t="s">
        <v>356</v>
      </c>
      <c r="C43" t="s">
        <v>203</v>
      </c>
      <c r="D43" t="s">
        <v>357</v>
      </c>
      <c r="E43" t="s">
        <v>204</v>
      </c>
      <c r="F43" t="n">
        <v>25</v>
      </c>
      <c r="G43" t="n">
        <v>4.5</v>
      </c>
      <c r="H43" t="n">
        <v>15.9</v>
      </c>
      <c r="I43" t="n">
        <v>160.8</v>
      </c>
      <c r="J43" t="n">
        <v>466.7</v>
      </c>
      <c r="K43" t="n">
        <v>418.2</v>
      </c>
      <c r="L43" t="n">
        <v>264.2</v>
      </c>
      <c r="M43" t="n">
        <v>220.9</v>
      </c>
      <c r="N43" t="n">
        <v>325.7</v>
      </c>
      <c r="O43" t="n">
        <v>481.3</v>
      </c>
      <c r="P43" t="n">
        <v>347.4</v>
      </c>
      <c r="Q43" t="n">
        <v>628.4</v>
      </c>
      <c r="R43" t="n">
        <v>810</v>
      </c>
      <c r="S43" t="n">
        <v>759.9</v>
      </c>
      <c r="T43" t="n">
        <v>854.1</v>
      </c>
      <c r="U43" t="n">
        <v>556.3</v>
      </c>
      <c r="V43" t="n">
        <v>793</v>
      </c>
      <c r="W43" t="n">
        <v>615.8</v>
      </c>
      <c r="X43" t="n">
        <v>561.6</v>
      </c>
      <c r="Y43" t="n">
        <v>1153.5</v>
      </c>
      <c r="Z43" t="n">
        <v>1348.8</v>
      </c>
      <c r="AA43" t="n">
        <v>984</v>
      </c>
      <c r="AB43" t="n">
        <v>1374</v>
      </c>
      <c r="AC43" t="n">
        <v>1190.9</v>
      </c>
      <c r="AD43" t="n">
        <v>1202.1</v>
      </c>
      <c r="AE43" t="n">
        <v>1105.8</v>
      </c>
      <c r="AF43" t="n">
        <v>1190.7</v>
      </c>
    </row>
    <row r="44">
      <c r="A44" t="s">
        <v>46</v>
      </c>
      <c r="B44" t="s">
        <v>358</v>
      </c>
      <c r="C44" t="s">
        <v>203</v>
      </c>
      <c r="D44" t="s">
        <v>359</v>
      </c>
      <c r="E44" t="s">
        <v>204</v>
      </c>
      <c r="F44" t="n">
        <v>268.2</v>
      </c>
      <c r="G44" t="n">
        <v>48</v>
      </c>
      <c r="H44" t="n">
        <v>170.6</v>
      </c>
      <c r="I44" t="n">
        <v>1736.4</v>
      </c>
      <c r="J44" t="n">
        <v>3484.8</v>
      </c>
      <c r="K44" t="n">
        <v>3565.2</v>
      </c>
      <c r="L44" t="n">
        <v>4533.1</v>
      </c>
      <c r="M44" t="n">
        <v>5173.3</v>
      </c>
      <c r="N44" t="n">
        <v>6089.1</v>
      </c>
      <c r="O44" t="n">
        <v>6910.5</v>
      </c>
      <c r="P44" t="n">
        <v>9163.8</v>
      </c>
      <c r="Q44" t="n">
        <v>10809.6</v>
      </c>
      <c r="R44" t="n">
        <v>12974.5</v>
      </c>
      <c r="S44" t="n">
        <v>16393.9</v>
      </c>
      <c r="T44" t="n">
        <v>14201</v>
      </c>
      <c r="U44" t="n">
        <v>12307.8</v>
      </c>
      <c r="V44" t="n">
        <v>12014.5</v>
      </c>
      <c r="W44" t="n">
        <v>13105.6</v>
      </c>
      <c r="X44" t="n">
        <v>13329</v>
      </c>
      <c r="Y44" t="n">
        <v>13607.8</v>
      </c>
      <c r="Z44" t="n">
        <v>15912.5</v>
      </c>
      <c r="AA44" t="n">
        <v>15447.1</v>
      </c>
      <c r="AB44" t="n">
        <v>15106.9</v>
      </c>
      <c r="AC44" t="n">
        <v>15940.6</v>
      </c>
      <c r="AD44" t="n">
        <v>17000.4</v>
      </c>
      <c r="AE44" t="n">
        <v>17374.4</v>
      </c>
      <c r="AF44" t="n">
        <v>16681</v>
      </c>
    </row>
    <row r="45">
      <c r="A45" t="s">
        <v>46</v>
      </c>
      <c r="B45" t="s">
        <v>360</v>
      </c>
      <c r="C45" t="s">
        <v>203</v>
      </c>
      <c r="D45" t="s">
        <v>361</v>
      </c>
      <c r="E45" t="s">
        <v>204</v>
      </c>
      <c r="F45" t="n">
        <v>238.2</v>
      </c>
      <c r="G45" t="n">
        <v>42.6</v>
      </c>
      <c r="H45" t="n">
        <v>151.5</v>
      </c>
      <c r="I45" t="n">
        <v>1505.4</v>
      </c>
      <c r="J45" t="n">
        <v>3147.1</v>
      </c>
      <c r="K45" t="n">
        <v>3376</v>
      </c>
      <c r="L45" t="n">
        <v>4051.4</v>
      </c>
      <c r="M45" t="n">
        <v>4900.5</v>
      </c>
      <c r="N45" t="n">
        <v>5713.8</v>
      </c>
      <c r="O45" t="n">
        <v>6421.2</v>
      </c>
      <c r="P45" t="n">
        <v>8820.9</v>
      </c>
      <c r="Q45" t="n">
        <v>10462.6</v>
      </c>
      <c r="R45" t="n">
        <v>12587.2</v>
      </c>
      <c r="S45" t="n">
        <v>15459.2</v>
      </c>
      <c r="T45" t="n">
        <v>13601</v>
      </c>
      <c r="U45" t="n">
        <v>11599.7</v>
      </c>
      <c r="V45" t="n">
        <v>11034</v>
      </c>
      <c r="W45" t="n">
        <v>12083.3</v>
      </c>
      <c r="X45" t="n">
        <v>12277.5</v>
      </c>
      <c r="Y45" t="n">
        <v>12312</v>
      </c>
      <c r="Z45" t="n">
        <v>14542.3</v>
      </c>
      <c r="AA45" t="n">
        <v>14471.7</v>
      </c>
      <c r="AB45" t="n">
        <v>13961.9</v>
      </c>
      <c r="AC45" t="n">
        <v>14637.2</v>
      </c>
      <c r="AD45" t="n">
        <v>15893.4</v>
      </c>
      <c r="AE45" t="n">
        <v>16263.1</v>
      </c>
      <c r="AF45" t="n">
        <v>15538.1</v>
      </c>
    </row>
    <row r="46">
      <c r="A46" t="s">
        <v>46</v>
      </c>
      <c r="B46" t="s">
        <v>362</v>
      </c>
      <c r="C46" t="s">
        <v>203</v>
      </c>
      <c r="D46" t="s">
        <v>363</v>
      </c>
      <c r="E46" t="s">
        <v>204</v>
      </c>
      <c r="F46" t="n">
        <v>5</v>
      </c>
      <c r="G46" t="n">
        <v>0.9</v>
      </c>
      <c r="H46" t="n">
        <v>3.2</v>
      </c>
      <c r="I46" t="n">
        <v>31</v>
      </c>
      <c r="J46" t="n">
        <v>348.3</v>
      </c>
      <c r="K46" t="n">
        <v>27.9</v>
      </c>
      <c r="L46" t="n">
        <v>40.6</v>
      </c>
      <c r="M46" t="n">
        <v>71</v>
      </c>
      <c r="N46" t="n">
        <v>204.2</v>
      </c>
      <c r="O46" t="n">
        <v>375</v>
      </c>
      <c r="P46" t="n">
        <v>185</v>
      </c>
      <c r="Q46" t="n">
        <v>434.6</v>
      </c>
      <c r="R46" t="n">
        <v>501.3</v>
      </c>
      <c r="S46" t="n">
        <v>252.4</v>
      </c>
      <c r="T46" t="n">
        <v>189.5</v>
      </c>
      <c r="U46" t="n">
        <v>231.6</v>
      </c>
      <c r="V46" t="n">
        <v>463.3</v>
      </c>
      <c r="W46" t="n">
        <v>300.6</v>
      </c>
      <c r="X46" t="n">
        <v>252.5</v>
      </c>
      <c r="Y46" t="n">
        <v>438.9</v>
      </c>
      <c r="Z46" t="n">
        <v>686.3</v>
      </c>
      <c r="AA46" t="n">
        <v>431.7</v>
      </c>
      <c r="AB46" t="n">
        <v>513.8</v>
      </c>
      <c r="AC46" t="n">
        <v>363.1</v>
      </c>
      <c r="AD46" t="n">
        <v>423.3</v>
      </c>
      <c r="AE46" t="n">
        <v>299.6</v>
      </c>
      <c r="AF46" t="n">
        <v>369.9</v>
      </c>
    </row>
    <row r="47">
      <c r="A47" t="s">
        <v>46</v>
      </c>
      <c r="B47" t="s">
        <v>364</v>
      </c>
      <c r="C47" t="s">
        <v>203</v>
      </c>
      <c r="D47" t="s">
        <v>365</v>
      </c>
      <c r="E47" t="s">
        <v>204</v>
      </c>
      <c r="F47" t="n">
        <v>104.8</v>
      </c>
      <c r="G47" t="n">
        <v>18.8</v>
      </c>
      <c r="H47" t="n">
        <v>66.7</v>
      </c>
      <c r="I47" t="n">
        <v>650.2</v>
      </c>
      <c r="J47" t="n">
        <v>1169.2</v>
      </c>
      <c r="K47" t="n">
        <v>1051.1</v>
      </c>
      <c r="L47" t="n">
        <v>911.5</v>
      </c>
      <c r="M47" t="n">
        <v>934.8</v>
      </c>
      <c r="N47" t="n">
        <v>907.1</v>
      </c>
      <c r="O47" t="n">
        <v>840.5</v>
      </c>
      <c r="P47" t="n">
        <v>1046.4</v>
      </c>
      <c r="Q47" t="n">
        <v>1616.7</v>
      </c>
      <c r="R47" t="n">
        <v>2398.5</v>
      </c>
      <c r="S47" t="n">
        <v>2906.5</v>
      </c>
      <c r="T47" t="n">
        <v>2986.8</v>
      </c>
      <c r="U47" t="n">
        <v>3041.6</v>
      </c>
      <c r="V47" t="n">
        <v>2198.2</v>
      </c>
      <c r="W47" t="n">
        <v>2330.4</v>
      </c>
      <c r="X47" t="n">
        <v>2398.1</v>
      </c>
      <c r="Y47" t="n">
        <v>3546.7</v>
      </c>
      <c r="Z47" t="n">
        <v>1521.5</v>
      </c>
      <c r="AA47" t="n">
        <v>645.8</v>
      </c>
      <c r="AB47" t="n">
        <v>1428.8</v>
      </c>
      <c r="AC47" t="n">
        <v>1975.2</v>
      </c>
      <c r="AD47" t="n">
        <v>3026.4</v>
      </c>
      <c r="AE47" t="n">
        <v>3228.8</v>
      </c>
      <c r="AF47" t="n">
        <v>2677.6</v>
      </c>
    </row>
    <row r="48">
      <c r="A48" t="s">
        <v>46</v>
      </c>
      <c r="B48" t="s">
        <v>366</v>
      </c>
      <c r="C48" t="s">
        <v>203</v>
      </c>
      <c r="D48" t="s">
        <v>367</v>
      </c>
      <c r="E48" t="s">
        <v>204</v>
      </c>
      <c r="F48" t="n">
        <v>111.7</v>
      </c>
      <c r="G48" t="n">
        <v>20</v>
      </c>
      <c r="H48" t="n">
        <v>71</v>
      </c>
      <c r="I48" t="n">
        <v>690.9</v>
      </c>
      <c r="J48" t="n">
        <v>1177.6</v>
      </c>
      <c r="K48" t="n">
        <v>1143.4</v>
      </c>
      <c r="L48" t="n">
        <v>1051.6</v>
      </c>
      <c r="M48" t="n">
        <v>1169.9</v>
      </c>
      <c r="N48" t="n">
        <v>1181.3</v>
      </c>
      <c r="O48" t="n">
        <v>1187</v>
      </c>
      <c r="P48" t="n">
        <v>1492.5</v>
      </c>
      <c r="Q48" t="n">
        <v>1971.7</v>
      </c>
      <c r="R48" t="n">
        <v>3012</v>
      </c>
      <c r="S48" t="n">
        <v>3630.5</v>
      </c>
      <c r="T48" t="n">
        <v>3660.4</v>
      </c>
      <c r="U48" t="n">
        <v>3381.9</v>
      </c>
      <c r="V48" t="n">
        <v>2519.2</v>
      </c>
      <c r="W48" t="n">
        <v>2796</v>
      </c>
      <c r="X48" t="n">
        <v>2873.4</v>
      </c>
      <c r="Y48" t="n">
        <v>3904.5</v>
      </c>
      <c r="Z48" t="n">
        <v>2022.1</v>
      </c>
      <c r="AA48" t="n">
        <v>1561.8</v>
      </c>
      <c r="AB48" t="n">
        <v>1736.9</v>
      </c>
      <c r="AC48" t="n">
        <v>2377.2</v>
      </c>
      <c r="AD48" t="n">
        <v>3482.9</v>
      </c>
      <c r="AE48" t="n">
        <v>3964.4</v>
      </c>
      <c r="AF48" t="n">
        <v>3158.3</v>
      </c>
    </row>
    <row r="49">
      <c r="A49" t="s">
        <v>46</v>
      </c>
      <c r="B49" t="s">
        <v>368</v>
      </c>
      <c r="C49" t="s">
        <v>203</v>
      </c>
      <c r="D49" t="s">
        <v>369</v>
      </c>
      <c r="E49" t="s">
        <v>204</v>
      </c>
      <c r="F49" t="n">
        <v>5.2</v>
      </c>
      <c r="G49" t="n">
        <v>0.9</v>
      </c>
      <c r="H49" t="n">
        <v>3.3</v>
      </c>
      <c r="I49" t="n">
        <v>30.6</v>
      </c>
      <c r="J49" t="n">
        <v>3.2</v>
      </c>
      <c r="K49" t="n">
        <v>67.1</v>
      </c>
      <c r="L49" t="n">
        <v>46.8</v>
      </c>
      <c r="M49" t="n">
        <v>48.5</v>
      </c>
      <c r="N49" t="n">
        <v>170.3</v>
      </c>
      <c r="O49" t="n">
        <v>178</v>
      </c>
      <c r="P49" t="n">
        <v>230.4</v>
      </c>
      <c r="Q49" t="n">
        <v>176.7</v>
      </c>
      <c r="R49" t="n">
        <v>411.1</v>
      </c>
      <c r="S49" t="n">
        <v>453.9</v>
      </c>
      <c r="T49" t="n">
        <v>492.3</v>
      </c>
      <c r="U49" t="n">
        <v>143</v>
      </c>
      <c r="V49" t="n">
        <v>149.8</v>
      </c>
      <c r="W49" t="n">
        <v>112.4</v>
      </c>
      <c r="X49" t="n">
        <v>115.2</v>
      </c>
      <c r="Y49" t="n">
        <v>87.4</v>
      </c>
      <c r="Z49" t="n">
        <v>215.8</v>
      </c>
      <c r="AA49" t="n">
        <v>145.9</v>
      </c>
      <c r="AB49" t="n">
        <v>93.1</v>
      </c>
      <c r="AC49" t="n">
        <v>147.6</v>
      </c>
      <c r="AD49" t="n">
        <v>176.5</v>
      </c>
      <c r="AE49" t="n">
        <v>232.7</v>
      </c>
      <c r="AF49" t="n">
        <v>134.2</v>
      </c>
    </row>
    <row r="50">
      <c r="A50" t="s">
        <v>46</v>
      </c>
      <c r="B50" t="s">
        <v>370</v>
      </c>
      <c r="C50" t="s">
        <v>203</v>
      </c>
      <c r="D50" t="s">
        <v>371</v>
      </c>
      <c r="E50" t="s">
        <v>204</v>
      </c>
      <c r="F50" t="n">
        <v>1.6</v>
      </c>
      <c r="G50" t="n">
        <v>0.3</v>
      </c>
      <c r="H50" t="n">
        <v>1</v>
      </c>
      <c r="I50" t="n">
        <v>10.1</v>
      </c>
      <c r="J50" t="n">
        <v>5.2</v>
      </c>
      <c r="K50" t="n">
        <v>25.2</v>
      </c>
      <c r="L50" t="n">
        <v>93.4</v>
      </c>
      <c r="M50" t="n">
        <v>186.7</v>
      </c>
      <c r="N50" t="n">
        <v>104</v>
      </c>
      <c r="O50" t="n">
        <v>168.4</v>
      </c>
      <c r="P50" t="n">
        <v>215.6</v>
      </c>
      <c r="Q50" t="n">
        <v>178.2</v>
      </c>
      <c r="R50" t="n">
        <v>202.4</v>
      </c>
      <c r="S50" t="n">
        <v>270.1</v>
      </c>
      <c r="T50" t="n">
        <v>181.3</v>
      </c>
      <c r="U50" t="n">
        <v>197.4</v>
      </c>
      <c r="V50" t="n">
        <v>171.3</v>
      </c>
      <c r="W50" t="n">
        <v>353.2</v>
      </c>
      <c r="X50" t="n">
        <v>360.1</v>
      </c>
      <c r="Y50" t="n">
        <v>270.4</v>
      </c>
      <c r="Z50" t="n">
        <v>284.9</v>
      </c>
      <c r="AA50" t="n">
        <v>770</v>
      </c>
      <c r="AB50" t="n">
        <v>215</v>
      </c>
      <c r="AC50" t="n">
        <v>254.4</v>
      </c>
      <c r="AD50" t="n">
        <v>280</v>
      </c>
      <c r="AE50" t="n">
        <v>502.9</v>
      </c>
      <c r="AF50" t="n">
        <v>346.6</v>
      </c>
    </row>
    <row r="51">
      <c r="A51" t="s">
        <v>46</v>
      </c>
      <c r="B51" t="s">
        <v>372</v>
      </c>
      <c r="C51" t="s">
        <v>203</v>
      </c>
      <c r="D51" t="s">
        <v>373</v>
      </c>
      <c r="E51" t="s">
        <v>204</v>
      </c>
      <c r="F51" t="n">
        <v>1.1</v>
      </c>
      <c r="G51" t="n">
        <v>0.2</v>
      </c>
      <c r="H51" t="n">
        <v>0.7</v>
      </c>
      <c r="I51" t="n">
        <v>7.1</v>
      </c>
      <c r="J51" t="n">
        <v>4.7</v>
      </c>
      <c r="K51" t="n">
        <v>25</v>
      </c>
      <c r="L51" t="n">
        <v>93</v>
      </c>
      <c r="M51" t="n">
        <v>182.9</v>
      </c>
      <c r="N51" t="n">
        <v>96.8</v>
      </c>
      <c r="O51" t="n">
        <v>167.9</v>
      </c>
      <c r="P51" t="n">
        <v>211.7</v>
      </c>
      <c r="Q51" t="n">
        <v>174.6</v>
      </c>
      <c r="R51" t="n">
        <v>197.3</v>
      </c>
      <c r="S51" t="n">
        <v>265.6</v>
      </c>
      <c r="T51" t="n">
        <v>176.3</v>
      </c>
      <c r="U51" t="n">
        <v>164.6</v>
      </c>
      <c r="V51" t="n">
        <v>168.6</v>
      </c>
      <c r="W51" t="n">
        <v>349</v>
      </c>
      <c r="X51" t="n">
        <v>355.8</v>
      </c>
      <c r="Y51" t="n">
        <v>266.3</v>
      </c>
      <c r="Z51" t="n">
        <v>249.3</v>
      </c>
      <c r="AA51" t="n">
        <v>757.7</v>
      </c>
      <c r="AB51" t="n">
        <v>212</v>
      </c>
      <c r="AC51" t="n">
        <v>250.9</v>
      </c>
      <c r="AD51" t="n">
        <v>270.4</v>
      </c>
      <c r="AE51" t="n">
        <v>488.5</v>
      </c>
      <c r="AF51" t="n">
        <v>341.7</v>
      </c>
    </row>
    <row r="52">
      <c r="A52" t="s">
        <v>46</v>
      </c>
      <c r="B52" t="s">
        <v>374</v>
      </c>
      <c r="C52" t="s">
        <v>203</v>
      </c>
      <c r="D52" t="s">
        <v>375</v>
      </c>
      <c r="E52" t="s">
        <v>204</v>
      </c>
      <c r="F52" t="n">
        <v>0.5</v>
      </c>
      <c r="G52" t="n">
        <v>0.1</v>
      </c>
      <c r="H52" t="n">
        <v>0.3</v>
      </c>
      <c r="I52" t="n">
        <v>3</v>
      </c>
      <c r="J52" t="n">
        <v>0.5</v>
      </c>
      <c r="K52" t="n">
        <v>0.2</v>
      </c>
      <c r="L52" t="n">
        <v>0.4</v>
      </c>
      <c r="M52" t="n">
        <v>3.8</v>
      </c>
      <c r="N52" t="n">
        <v>7.2</v>
      </c>
      <c r="O52" t="n">
        <v>0.5</v>
      </c>
      <c r="P52" t="n">
        <v>3.9</v>
      </c>
      <c r="Q52" t="n">
        <v>3.6</v>
      </c>
      <c r="R52" t="n">
        <v>5.1</v>
      </c>
      <c r="S52" t="n">
        <v>4.5</v>
      </c>
      <c r="T52" t="n">
        <v>5</v>
      </c>
      <c r="U52" t="n">
        <v>32.8</v>
      </c>
      <c r="V52" t="n">
        <v>2.7</v>
      </c>
      <c r="W52" t="n">
        <v>4.2</v>
      </c>
      <c r="X52" t="n">
        <v>4.3</v>
      </c>
      <c r="Y52" t="n">
        <v>4.1</v>
      </c>
      <c r="Z52" t="n">
        <v>35.6</v>
      </c>
      <c r="AA52" t="n">
        <v>12.3</v>
      </c>
      <c r="AB52" t="n">
        <v>3</v>
      </c>
      <c r="AC52" t="n">
        <v>3.5</v>
      </c>
      <c r="AD52" t="n">
        <v>9.6</v>
      </c>
      <c r="AE52" t="n">
        <v>14.4</v>
      </c>
      <c r="AF52" t="n">
        <v>4.9</v>
      </c>
    </row>
    <row r="53">
      <c r="A53" t="s">
        <v>46</v>
      </c>
      <c r="B53" t="s">
        <v>376</v>
      </c>
      <c r="C53" t="s">
        <v>203</v>
      </c>
      <c r="D53" t="s">
        <v>377</v>
      </c>
      <c r="E53" t="s">
        <v>204</v>
      </c>
      <c r="F53" t="n">
        <v>0.7</v>
      </c>
      <c r="G53" t="n">
        <v>0.1</v>
      </c>
      <c r="H53" t="n">
        <v>0.4</v>
      </c>
      <c r="I53" t="n">
        <v>4.3</v>
      </c>
      <c r="J53" t="n">
        <v>12.3</v>
      </c>
      <c r="K53" t="n">
        <v>17.7</v>
      </c>
      <c r="L53" t="n">
        <v>17.4</v>
      </c>
      <c r="M53" t="n">
        <v>42.8</v>
      </c>
      <c r="N53" t="n">
        <v>35.3</v>
      </c>
      <c r="O53" t="n">
        <v>58.5</v>
      </c>
      <c r="P53" t="n">
        <v>40.5</v>
      </c>
      <c r="Q53" t="n">
        <v>59.6</v>
      </c>
      <c r="R53" t="n">
        <v>156</v>
      </c>
      <c r="S53" t="n">
        <v>136.4</v>
      </c>
      <c r="T53" t="n">
        <v>95.2</v>
      </c>
      <c r="U53" t="n">
        <v>156.7</v>
      </c>
      <c r="V53" t="n">
        <v>69.5</v>
      </c>
      <c r="W53" t="n">
        <v>176</v>
      </c>
      <c r="X53" t="n">
        <v>176</v>
      </c>
      <c r="Y53" t="n">
        <v>119.9</v>
      </c>
      <c r="Z53" t="n">
        <v>424.5</v>
      </c>
      <c r="AA53" t="n">
        <v>222.7</v>
      </c>
      <c r="AB53" t="n">
        <v>155.4</v>
      </c>
      <c r="AC53" t="n">
        <v>153</v>
      </c>
      <c r="AD53" t="n">
        <v>177.7</v>
      </c>
      <c r="AE53" t="n">
        <v>177.3</v>
      </c>
      <c r="AF53" t="n">
        <v>148.5</v>
      </c>
    </row>
    <row r="54">
      <c r="A54" t="s">
        <v>46</v>
      </c>
      <c r="B54" t="s">
        <v>378</v>
      </c>
      <c r="C54" t="s">
        <v>203</v>
      </c>
      <c r="D54" t="s">
        <v>379</v>
      </c>
      <c r="E54" t="s">
        <v>204</v>
      </c>
      <c r="F54" t="n">
        <v>0.7</v>
      </c>
      <c r="G54" t="n">
        <v>0.1</v>
      </c>
      <c r="H54" t="n">
        <v>0.4</v>
      </c>
      <c r="I54" t="n">
        <v>4.4</v>
      </c>
      <c r="J54" t="n">
        <v>12.8</v>
      </c>
      <c r="K54" t="n">
        <v>27.4</v>
      </c>
      <c r="L54" t="n">
        <v>31.6</v>
      </c>
      <c r="M54" t="n">
        <v>52</v>
      </c>
      <c r="N54" t="n">
        <v>35.3</v>
      </c>
      <c r="O54" t="n">
        <v>62.6</v>
      </c>
      <c r="P54" t="n">
        <v>50.3</v>
      </c>
      <c r="Q54" t="n">
        <v>73</v>
      </c>
      <c r="R54" t="n">
        <v>172.8</v>
      </c>
      <c r="S54" t="n">
        <v>143.6</v>
      </c>
      <c r="T54" t="n">
        <v>104.1</v>
      </c>
      <c r="U54" t="n">
        <v>224.8</v>
      </c>
      <c r="V54" t="n">
        <v>83.8</v>
      </c>
      <c r="W54" t="n">
        <v>229.9</v>
      </c>
      <c r="X54" t="n">
        <v>230.8</v>
      </c>
      <c r="Y54" t="n">
        <v>200.2</v>
      </c>
      <c r="Z54" t="n">
        <v>497.7</v>
      </c>
      <c r="AA54" t="n">
        <v>278.5</v>
      </c>
      <c r="AB54" t="n">
        <v>225.9</v>
      </c>
      <c r="AC54" t="n">
        <v>247.7</v>
      </c>
      <c r="AD54" t="n">
        <v>272.2</v>
      </c>
      <c r="AE54" t="n">
        <v>246.2</v>
      </c>
      <c r="AF54" t="n">
        <v>247.8</v>
      </c>
    </row>
    <row r="55">
      <c r="A55" t="s">
        <v>46</v>
      </c>
      <c r="B55" t="s">
        <v>380</v>
      </c>
      <c r="C55" t="s">
        <v>203</v>
      </c>
      <c r="D55" t="s">
        <v>381</v>
      </c>
      <c r="E55" t="s">
        <v>204</v>
      </c>
      <c r="F55" t="n">
        <v>0</v>
      </c>
      <c r="G55" t="n">
        <v>0</v>
      </c>
      <c r="H55" t="n">
        <v>0</v>
      </c>
      <c r="I55" t="n">
        <v>0.1</v>
      </c>
      <c r="J55" t="n">
        <v>0.5</v>
      </c>
      <c r="K55" t="n">
        <v>9.7</v>
      </c>
      <c r="L55" t="n">
        <v>14.2</v>
      </c>
      <c r="M55" t="n">
        <v>9.2</v>
      </c>
      <c r="N55" t="n">
        <v>0</v>
      </c>
      <c r="O55" t="n">
        <v>4.1</v>
      </c>
      <c r="P55" t="n">
        <v>9.8</v>
      </c>
      <c r="Q55" t="n">
        <v>13.4</v>
      </c>
      <c r="R55" t="n">
        <v>16.8</v>
      </c>
      <c r="S55" t="n">
        <v>7.2</v>
      </c>
      <c r="T55" t="n">
        <v>8.9</v>
      </c>
      <c r="U55" t="n">
        <v>68.1</v>
      </c>
      <c r="V55" t="n">
        <v>14.3</v>
      </c>
      <c r="W55" t="n">
        <v>53.9</v>
      </c>
      <c r="X55" t="n">
        <v>54.8</v>
      </c>
      <c r="Y55" t="n">
        <v>80.3</v>
      </c>
      <c r="Z55" t="n">
        <v>73.2</v>
      </c>
      <c r="AA55" t="n">
        <v>55.8</v>
      </c>
      <c r="AB55" t="n">
        <v>70.5</v>
      </c>
      <c r="AC55" t="n">
        <v>94.7</v>
      </c>
      <c r="AD55" t="n">
        <v>94.5</v>
      </c>
      <c r="AE55" t="n">
        <v>68.9</v>
      </c>
      <c r="AF55" t="n">
        <v>99.3</v>
      </c>
    </row>
    <row r="56">
      <c r="A56" t="s">
        <v>46</v>
      </c>
      <c r="B56" t="s">
        <v>382</v>
      </c>
      <c r="C56" t="s">
        <v>203</v>
      </c>
      <c r="D56" t="s">
        <v>383</v>
      </c>
      <c r="E56" t="s">
        <v>204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46</v>
      </c>
      <c r="B57" t="s">
        <v>384</v>
      </c>
      <c r="C57" t="s">
        <v>203</v>
      </c>
      <c r="D57" t="s">
        <v>385</v>
      </c>
      <c r="E57" t="s">
        <v>204</v>
      </c>
      <c r="F57" t="n">
        <v>383.3</v>
      </c>
      <c r="G57" t="n">
        <v>68.6</v>
      </c>
      <c r="H57" t="n">
        <v>243.8</v>
      </c>
      <c r="I57" t="n">
        <v>2443.9</v>
      </c>
      <c r="J57" t="n">
        <v>4725.8</v>
      </c>
      <c r="K57" t="n">
        <v>4741.5</v>
      </c>
      <c r="L57" t="n">
        <v>5638.9</v>
      </c>
      <c r="M57" t="n">
        <v>6455.5</v>
      </c>
      <c r="N57" t="n">
        <v>7296.3</v>
      </c>
      <c r="O57" t="n">
        <v>8256.5</v>
      </c>
      <c r="P57" t="n">
        <v>10939.7</v>
      </c>
      <c r="Q57" t="n">
        <v>13629.8</v>
      </c>
      <c r="R57" t="n">
        <v>16629.3</v>
      </c>
      <c r="S57" t="n">
        <v>21907.5</v>
      </c>
      <c r="T57" t="n">
        <v>19779</v>
      </c>
      <c r="U57" t="n">
        <v>16744.1</v>
      </c>
      <c r="V57" t="n">
        <v>15880.6</v>
      </c>
      <c r="W57" t="n">
        <v>17214</v>
      </c>
      <c r="X57" t="n">
        <v>17551.3</v>
      </c>
      <c r="Y57" t="n">
        <v>18029.5</v>
      </c>
      <c r="Z57" t="n">
        <v>18193.2</v>
      </c>
      <c r="AA57" t="n">
        <v>17446.4</v>
      </c>
      <c r="AB57" t="n">
        <v>18121.4</v>
      </c>
      <c r="AC57" t="n">
        <v>19810.6</v>
      </c>
      <c r="AD57" t="n">
        <v>21557.9</v>
      </c>
      <c r="AE57" t="n">
        <v>22536.8</v>
      </c>
      <c r="AF57" t="n">
        <v>21067</v>
      </c>
    </row>
    <row r="58">
      <c r="A58" t="s">
        <v>46</v>
      </c>
      <c r="B58" t="s">
        <v>386</v>
      </c>
      <c r="C58" t="s">
        <v>203</v>
      </c>
      <c r="D58" t="s">
        <v>387</v>
      </c>
      <c r="E58" t="s">
        <v>204</v>
      </c>
      <c r="F58" t="n">
        <v>383.3</v>
      </c>
      <c r="G58" t="n">
        <v>68.6</v>
      </c>
      <c r="H58" t="n">
        <v>243.8</v>
      </c>
      <c r="I58" t="n">
        <v>2443.9</v>
      </c>
      <c r="J58" t="n">
        <v>4725.8</v>
      </c>
      <c r="K58" t="n">
        <v>4741.5</v>
      </c>
      <c r="L58" t="n">
        <v>5638.9</v>
      </c>
      <c r="M58" t="n">
        <v>6455.5</v>
      </c>
      <c r="N58" t="n">
        <v>7296.3</v>
      </c>
      <c r="O58" t="n">
        <v>8256.5</v>
      </c>
      <c r="P58" t="n">
        <v>10939.7</v>
      </c>
      <c r="Q58" t="n">
        <v>13629.8</v>
      </c>
      <c r="R58" t="n">
        <v>16629.3</v>
      </c>
      <c r="S58" t="n">
        <v>21907.5</v>
      </c>
      <c r="T58" t="n">
        <v>19779</v>
      </c>
      <c r="U58" t="n">
        <v>16744.1</v>
      </c>
      <c r="V58" t="n">
        <v>15880.6</v>
      </c>
      <c r="W58" t="n">
        <v>17214</v>
      </c>
      <c r="X58" t="n">
        <v>17551.3</v>
      </c>
      <c r="Y58" t="n">
        <v>18029.5</v>
      </c>
      <c r="Z58" t="n">
        <v>18193.2</v>
      </c>
      <c r="AA58" t="n">
        <v>17446.4</v>
      </c>
      <c r="AB58" t="n">
        <v>18121.4</v>
      </c>
      <c r="AC58" t="n">
        <v>19810.6</v>
      </c>
      <c r="AD58" t="n">
        <v>21557.9</v>
      </c>
      <c r="AE58" t="n">
        <v>22536.8</v>
      </c>
      <c r="AF58" t="n">
        <v>21067</v>
      </c>
    </row>
    <row r="59">
      <c r="A59" t="s">
        <v>46</v>
      </c>
      <c r="B59" t="s">
        <v>388</v>
      </c>
      <c r="C59" t="s">
        <v>203</v>
      </c>
      <c r="D59" t="s">
        <v>389</v>
      </c>
      <c r="E59" t="s">
        <v>204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72</v>
      </c>
      <c r="B2" t="s">
        <v>197</v>
      </c>
      <c r="C2" t="s">
        <v>203</v>
      </c>
      <c r="D2" t="s">
        <v>199</v>
      </c>
      <c r="E2" t="s">
        <v>204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/>
      <c r="AE2"/>
      <c r="AF2"/>
    </row>
    <row r="3">
      <c r="A3" t="s">
        <v>72</v>
      </c>
      <c r="B3" t="s">
        <v>276</v>
      </c>
      <c r="C3" t="s">
        <v>203</v>
      </c>
      <c r="D3" t="s">
        <v>277</v>
      </c>
      <c r="E3" t="s">
        <v>204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/>
      <c r="AE3"/>
      <c r="AF3"/>
    </row>
    <row r="4">
      <c r="A4" t="s">
        <v>72</v>
      </c>
      <c r="B4" t="s">
        <v>278</v>
      </c>
      <c r="C4" t="s">
        <v>203</v>
      </c>
      <c r="D4" t="s">
        <v>279</v>
      </c>
      <c r="E4" t="s">
        <v>204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/>
      <c r="AE4"/>
      <c r="AF4"/>
    </row>
    <row r="5">
      <c r="A5" t="s">
        <v>72</v>
      </c>
      <c r="B5" t="s">
        <v>280</v>
      </c>
      <c r="C5" t="s">
        <v>203</v>
      </c>
      <c r="D5" t="s">
        <v>281</v>
      </c>
      <c r="E5" t="s">
        <v>204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/>
      <c r="AE5"/>
      <c r="AF5"/>
    </row>
    <row r="6">
      <c r="A6" t="s">
        <v>72</v>
      </c>
      <c r="B6" t="s">
        <v>282</v>
      </c>
      <c r="C6" t="s">
        <v>203</v>
      </c>
      <c r="D6" t="s">
        <v>283</v>
      </c>
      <c r="E6" t="s">
        <v>204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/>
      <c r="AE6"/>
      <c r="AF6"/>
    </row>
    <row r="7">
      <c r="A7" t="s">
        <v>72</v>
      </c>
      <c r="B7" t="s">
        <v>284</v>
      </c>
      <c r="C7" t="s">
        <v>203</v>
      </c>
      <c r="D7" t="s">
        <v>285</v>
      </c>
      <c r="E7" t="s">
        <v>204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/>
      <c r="AE7"/>
      <c r="AF7"/>
    </row>
    <row r="8">
      <c r="A8" t="s">
        <v>72</v>
      </c>
      <c r="B8" t="s">
        <v>286</v>
      </c>
      <c r="C8" t="s">
        <v>203</v>
      </c>
      <c r="D8" t="s">
        <v>287</v>
      </c>
      <c r="E8" t="s">
        <v>204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/>
      <c r="AE8"/>
      <c r="AF8"/>
    </row>
    <row r="9">
      <c r="A9" t="s">
        <v>72</v>
      </c>
      <c r="B9" t="s">
        <v>288</v>
      </c>
      <c r="C9" t="s">
        <v>203</v>
      </c>
      <c r="D9" t="s">
        <v>289</v>
      </c>
      <c r="E9" t="s">
        <v>204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/>
      <c r="AE9"/>
      <c r="AF9"/>
    </row>
    <row r="10">
      <c r="A10" t="s">
        <v>72</v>
      </c>
      <c r="B10" t="s">
        <v>290</v>
      </c>
      <c r="C10" t="s">
        <v>203</v>
      </c>
      <c r="D10" t="s">
        <v>291</v>
      </c>
      <c r="E10" t="s">
        <v>204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/>
      <c r="AE10"/>
      <c r="AF10"/>
    </row>
    <row r="11">
      <c r="A11" t="s">
        <v>72</v>
      </c>
      <c r="B11" t="s">
        <v>292</v>
      </c>
      <c r="C11" t="s">
        <v>203</v>
      </c>
      <c r="D11" t="s">
        <v>293</v>
      </c>
      <c r="E11" t="s">
        <v>204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/>
      <c r="AE11"/>
      <c r="AF11"/>
    </row>
    <row r="12">
      <c r="A12" t="s">
        <v>72</v>
      </c>
      <c r="B12" t="s">
        <v>294</v>
      </c>
      <c r="C12" t="s">
        <v>203</v>
      </c>
      <c r="D12" t="s">
        <v>295</v>
      </c>
      <c r="E12" t="s">
        <v>204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/>
      <c r="AE12"/>
      <c r="AF12"/>
    </row>
    <row r="13">
      <c r="A13" t="s">
        <v>72</v>
      </c>
      <c r="B13" t="s">
        <v>296</v>
      </c>
      <c r="C13" t="s">
        <v>203</v>
      </c>
      <c r="D13" t="s">
        <v>297</v>
      </c>
      <c r="E13" t="s">
        <v>204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/>
      <c r="AE13"/>
      <c r="AF13"/>
    </row>
    <row r="14">
      <c r="A14" t="s">
        <v>72</v>
      </c>
      <c r="B14" t="s">
        <v>298</v>
      </c>
      <c r="C14" t="s">
        <v>203</v>
      </c>
      <c r="D14" t="s">
        <v>299</v>
      </c>
      <c r="E14" t="s">
        <v>204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/>
      <c r="AE14"/>
      <c r="AF14"/>
    </row>
    <row r="15">
      <c r="A15" t="s">
        <v>72</v>
      </c>
      <c r="B15" t="s">
        <v>300</v>
      </c>
      <c r="C15" t="s">
        <v>203</v>
      </c>
      <c r="D15" t="s">
        <v>301</v>
      </c>
      <c r="E15" t="s">
        <v>204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/>
      <c r="AE15"/>
      <c r="AF15"/>
    </row>
    <row r="16">
      <c r="A16" t="s">
        <v>72</v>
      </c>
      <c r="B16" t="s">
        <v>302</v>
      </c>
      <c r="C16" t="s">
        <v>203</v>
      </c>
      <c r="D16" t="s">
        <v>303</v>
      </c>
      <c r="E16" t="s">
        <v>204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/>
      <c r="AE16"/>
      <c r="AF16"/>
    </row>
    <row r="17">
      <c r="A17" t="s">
        <v>72</v>
      </c>
      <c r="B17" t="s">
        <v>304</v>
      </c>
      <c r="C17" t="s">
        <v>203</v>
      </c>
      <c r="D17" t="s">
        <v>305</v>
      </c>
      <c r="E17" t="s">
        <v>204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/>
      <c r="AE17"/>
      <c r="AF17"/>
    </row>
    <row r="18">
      <c r="A18" t="s">
        <v>72</v>
      </c>
      <c r="B18" t="s">
        <v>306</v>
      </c>
      <c r="C18" t="s">
        <v>203</v>
      </c>
      <c r="D18" t="s">
        <v>307</v>
      </c>
      <c r="E18" t="s">
        <v>204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/>
      <c r="AE18"/>
      <c r="AF18"/>
    </row>
    <row r="19">
      <c r="A19" t="s">
        <v>72</v>
      </c>
      <c r="B19" t="s">
        <v>308</v>
      </c>
      <c r="C19" t="s">
        <v>203</v>
      </c>
      <c r="D19" t="s">
        <v>309</v>
      </c>
      <c r="E19" t="s">
        <v>204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/>
      <c r="AE19"/>
      <c r="AF19"/>
    </row>
    <row r="20">
      <c r="A20" t="s">
        <v>72</v>
      </c>
      <c r="B20" t="s">
        <v>310</v>
      </c>
      <c r="C20" t="s">
        <v>203</v>
      </c>
      <c r="D20" t="s">
        <v>311</v>
      </c>
      <c r="E20" t="s">
        <v>204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/>
      <c r="AE20"/>
      <c r="AF20"/>
    </row>
    <row r="21">
      <c r="A21" t="s">
        <v>72</v>
      </c>
      <c r="B21" t="s">
        <v>312</v>
      </c>
      <c r="C21" t="s">
        <v>203</v>
      </c>
      <c r="D21" t="s">
        <v>313</v>
      </c>
      <c r="E21" t="s">
        <v>204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/>
      <c r="AE21"/>
      <c r="AF21"/>
    </row>
    <row r="22">
      <c r="A22" t="s">
        <v>72</v>
      </c>
      <c r="B22" t="s">
        <v>314</v>
      </c>
      <c r="C22" t="s">
        <v>203</v>
      </c>
      <c r="D22" t="s">
        <v>315</v>
      </c>
      <c r="E22" t="s">
        <v>204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/>
      <c r="AE22"/>
      <c r="AF22"/>
    </row>
    <row r="23">
      <c r="A23" t="s">
        <v>72</v>
      </c>
      <c r="B23" t="s">
        <v>316</v>
      </c>
      <c r="C23" t="s">
        <v>203</v>
      </c>
      <c r="D23" t="s">
        <v>317</v>
      </c>
      <c r="E23" t="s">
        <v>204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/>
      <c r="AE23"/>
      <c r="AF23"/>
    </row>
    <row r="24">
      <c r="A24" t="s">
        <v>72</v>
      </c>
      <c r="B24" t="s">
        <v>318</v>
      </c>
      <c r="C24" t="s">
        <v>203</v>
      </c>
      <c r="D24" t="s">
        <v>319</v>
      </c>
      <c r="E24" t="s">
        <v>204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/>
      <c r="AE24"/>
      <c r="AF24"/>
    </row>
    <row r="25">
      <c r="A25" t="s">
        <v>72</v>
      </c>
      <c r="B25" t="s">
        <v>320</v>
      </c>
      <c r="C25" t="s">
        <v>203</v>
      </c>
      <c r="D25" t="s">
        <v>321</v>
      </c>
      <c r="E25" t="s">
        <v>204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/>
      <c r="AE25"/>
      <c r="AF25"/>
    </row>
    <row r="26">
      <c r="A26" t="s">
        <v>72</v>
      </c>
      <c r="B26" t="s">
        <v>322</v>
      </c>
      <c r="C26" t="s">
        <v>203</v>
      </c>
      <c r="D26" t="s">
        <v>323</v>
      </c>
      <c r="E26" t="s">
        <v>204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/>
      <c r="AE26"/>
      <c r="AF26"/>
    </row>
    <row r="27">
      <c r="A27" t="s">
        <v>72</v>
      </c>
      <c r="B27" t="s">
        <v>324</v>
      </c>
      <c r="C27" t="s">
        <v>203</v>
      </c>
      <c r="D27" t="s">
        <v>325</v>
      </c>
      <c r="E27" t="s">
        <v>204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/>
      <c r="AE27"/>
      <c r="AF27"/>
    </row>
    <row r="28">
      <c r="A28" t="s">
        <v>72</v>
      </c>
      <c r="B28" t="s">
        <v>326</v>
      </c>
      <c r="C28" t="s">
        <v>203</v>
      </c>
      <c r="D28" t="s">
        <v>327</v>
      </c>
      <c r="E28" t="s">
        <v>204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/>
      <c r="AE28"/>
      <c r="AF28"/>
    </row>
    <row r="29">
      <c r="A29" t="s">
        <v>72</v>
      </c>
      <c r="B29" t="s">
        <v>328</v>
      </c>
      <c r="C29" t="s">
        <v>203</v>
      </c>
      <c r="D29" t="s">
        <v>329</v>
      </c>
      <c r="E29" t="s">
        <v>204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/>
      <c r="AE29"/>
      <c r="AF29"/>
    </row>
    <row r="30">
      <c r="A30" t="s">
        <v>72</v>
      </c>
      <c r="B30" t="s">
        <v>330</v>
      </c>
      <c r="C30" t="s">
        <v>203</v>
      </c>
      <c r="D30" t="s">
        <v>331</v>
      </c>
      <c r="E30" t="s">
        <v>204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/>
      <c r="AE30"/>
      <c r="AF30"/>
    </row>
    <row r="31">
      <c r="A31" t="s">
        <v>72</v>
      </c>
      <c r="B31" t="s">
        <v>332</v>
      </c>
      <c r="C31" t="s">
        <v>203</v>
      </c>
      <c r="D31" t="s">
        <v>333</v>
      </c>
      <c r="E31" t="s">
        <v>204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/>
      <c r="AE31"/>
      <c r="AF31"/>
    </row>
    <row r="32">
      <c r="A32" t="s">
        <v>72</v>
      </c>
      <c r="B32" t="s">
        <v>334</v>
      </c>
      <c r="C32" t="s">
        <v>203</v>
      </c>
      <c r="D32" t="s">
        <v>335</v>
      </c>
      <c r="E32" t="s">
        <v>204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/>
      <c r="AE32"/>
      <c r="AF32"/>
    </row>
    <row r="33">
      <c r="A33" t="s">
        <v>72</v>
      </c>
      <c r="B33" t="s">
        <v>336</v>
      </c>
      <c r="C33" t="s">
        <v>203</v>
      </c>
      <c r="D33" t="s">
        <v>337</v>
      </c>
      <c r="E33" t="s">
        <v>204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/>
      <c r="AE33"/>
      <c r="AF33"/>
    </row>
    <row r="34">
      <c r="A34" t="s">
        <v>72</v>
      </c>
      <c r="B34" t="s">
        <v>338</v>
      </c>
      <c r="C34" t="s">
        <v>203</v>
      </c>
      <c r="D34" t="s">
        <v>339</v>
      </c>
      <c r="E34" t="s">
        <v>204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/>
      <c r="AE34"/>
      <c r="AF34"/>
    </row>
    <row r="35">
      <c r="A35" t="s">
        <v>72</v>
      </c>
      <c r="B35" t="s">
        <v>340</v>
      </c>
      <c r="C35" t="s">
        <v>203</v>
      </c>
      <c r="D35" t="s">
        <v>341</v>
      </c>
      <c r="E35" t="s">
        <v>204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/>
      <c r="AE35"/>
      <c r="AF35"/>
    </row>
    <row r="36">
      <c r="A36" t="s">
        <v>72</v>
      </c>
      <c r="B36" t="s">
        <v>342</v>
      </c>
      <c r="C36" t="s">
        <v>203</v>
      </c>
      <c r="D36" t="s">
        <v>343</v>
      </c>
      <c r="E36" t="s">
        <v>204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/>
      <c r="AE36"/>
      <c r="AF36"/>
    </row>
    <row r="37">
      <c r="A37" t="s">
        <v>72</v>
      </c>
      <c r="B37" t="s">
        <v>344</v>
      </c>
      <c r="C37" t="s">
        <v>203</v>
      </c>
      <c r="D37" t="s">
        <v>345</v>
      </c>
      <c r="E37" t="s">
        <v>204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/>
      <c r="AE37"/>
      <c r="AF37"/>
    </row>
    <row r="38">
      <c r="A38" t="s">
        <v>72</v>
      </c>
      <c r="B38" t="s">
        <v>346</v>
      </c>
      <c r="C38" t="s">
        <v>203</v>
      </c>
      <c r="D38" t="s">
        <v>347</v>
      </c>
      <c r="E38" t="s">
        <v>204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/>
      <c r="AE38"/>
      <c r="AF38"/>
    </row>
    <row r="39">
      <c r="A39" t="s">
        <v>72</v>
      </c>
      <c r="B39" t="s">
        <v>348</v>
      </c>
      <c r="C39" t="s">
        <v>203</v>
      </c>
      <c r="D39" t="s">
        <v>349</v>
      </c>
      <c r="E39" t="s">
        <v>204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/>
      <c r="AE39"/>
      <c r="AF39"/>
    </row>
    <row r="40">
      <c r="A40" t="s">
        <v>72</v>
      </c>
      <c r="B40" t="s">
        <v>350</v>
      </c>
      <c r="C40" t="s">
        <v>203</v>
      </c>
      <c r="D40" t="s">
        <v>351</v>
      </c>
      <c r="E40" t="s">
        <v>204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/>
      <c r="AE40"/>
      <c r="AF40"/>
    </row>
    <row r="41">
      <c r="A41" t="s">
        <v>72</v>
      </c>
      <c r="B41" t="s">
        <v>352</v>
      </c>
      <c r="C41" t="s">
        <v>203</v>
      </c>
      <c r="D41" t="s">
        <v>353</v>
      </c>
      <c r="E41" t="s">
        <v>204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/>
      <c r="AE41"/>
      <c r="AF41"/>
    </row>
    <row r="42">
      <c r="A42" t="s">
        <v>72</v>
      </c>
      <c r="B42" t="s">
        <v>354</v>
      </c>
      <c r="C42" t="s">
        <v>203</v>
      </c>
      <c r="D42" t="s">
        <v>355</v>
      </c>
      <c r="E42" t="s">
        <v>204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/>
      <c r="AE42"/>
      <c r="AF42"/>
    </row>
    <row r="43">
      <c r="A43" t="s">
        <v>72</v>
      </c>
      <c r="B43" t="s">
        <v>356</v>
      </c>
      <c r="C43" t="s">
        <v>203</v>
      </c>
      <c r="D43" t="s">
        <v>357</v>
      </c>
      <c r="E43" t="s">
        <v>204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/>
      <c r="AE43"/>
      <c r="AF43"/>
    </row>
    <row r="44">
      <c r="A44" t="s">
        <v>72</v>
      </c>
      <c r="B44" t="s">
        <v>358</v>
      </c>
      <c r="C44" t="s">
        <v>203</v>
      </c>
      <c r="D44" t="s">
        <v>359</v>
      </c>
      <c r="E44" t="s">
        <v>204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/>
      <c r="AE44"/>
      <c r="AF44"/>
    </row>
    <row r="45">
      <c r="A45" t="s">
        <v>72</v>
      </c>
      <c r="B45" t="s">
        <v>360</v>
      </c>
      <c r="C45" t="s">
        <v>203</v>
      </c>
      <c r="D45" t="s">
        <v>361</v>
      </c>
      <c r="E45" t="s">
        <v>204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/>
      <c r="AE45"/>
      <c r="AF45"/>
    </row>
    <row r="46">
      <c r="A46" t="s">
        <v>72</v>
      </c>
      <c r="B46" t="s">
        <v>362</v>
      </c>
      <c r="C46" t="s">
        <v>203</v>
      </c>
      <c r="D46" t="s">
        <v>363</v>
      </c>
      <c r="E46" t="s">
        <v>204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/>
      <c r="AE46"/>
      <c r="AF46"/>
    </row>
    <row r="47">
      <c r="A47" t="s">
        <v>72</v>
      </c>
      <c r="B47" t="s">
        <v>364</v>
      </c>
      <c r="C47" t="s">
        <v>203</v>
      </c>
      <c r="D47" t="s">
        <v>365</v>
      </c>
      <c r="E47" t="s">
        <v>204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/>
      <c r="AE47"/>
      <c r="AF47"/>
    </row>
    <row r="48">
      <c r="A48" t="s">
        <v>72</v>
      </c>
      <c r="B48" t="s">
        <v>366</v>
      </c>
      <c r="C48" t="s">
        <v>203</v>
      </c>
      <c r="D48" t="s">
        <v>367</v>
      </c>
      <c r="E48" t="s">
        <v>204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/>
      <c r="AE48"/>
      <c r="AF48"/>
    </row>
    <row r="49">
      <c r="A49" t="s">
        <v>72</v>
      </c>
      <c r="B49" t="s">
        <v>368</v>
      </c>
      <c r="C49" t="s">
        <v>203</v>
      </c>
      <c r="D49" t="s">
        <v>369</v>
      </c>
      <c r="E49" t="s">
        <v>204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/>
      <c r="AE49"/>
      <c r="AF49"/>
    </row>
    <row r="50">
      <c r="A50" t="s">
        <v>72</v>
      </c>
      <c r="B50" t="s">
        <v>370</v>
      </c>
      <c r="C50" t="s">
        <v>203</v>
      </c>
      <c r="D50" t="s">
        <v>371</v>
      </c>
      <c r="E50" t="s">
        <v>204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/>
      <c r="AE50"/>
      <c r="AF50"/>
    </row>
    <row r="51">
      <c r="A51" t="s">
        <v>72</v>
      </c>
      <c r="B51" t="s">
        <v>372</v>
      </c>
      <c r="C51" t="s">
        <v>203</v>
      </c>
      <c r="D51" t="s">
        <v>373</v>
      </c>
      <c r="E51" t="s">
        <v>204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/>
      <c r="AE51"/>
      <c r="AF51"/>
    </row>
    <row r="52">
      <c r="A52" t="s">
        <v>72</v>
      </c>
      <c r="B52" t="s">
        <v>374</v>
      </c>
      <c r="C52" t="s">
        <v>203</v>
      </c>
      <c r="D52" t="s">
        <v>375</v>
      </c>
      <c r="E52" t="s">
        <v>204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/>
      <c r="AE52"/>
      <c r="AF52"/>
    </row>
    <row r="53">
      <c r="A53" t="s">
        <v>72</v>
      </c>
      <c r="B53" t="s">
        <v>376</v>
      </c>
      <c r="C53" t="s">
        <v>203</v>
      </c>
      <c r="D53" t="s">
        <v>377</v>
      </c>
      <c r="E53" t="s">
        <v>204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/>
      <c r="AE53"/>
      <c r="AF53"/>
    </row>
    <row r="54">
      <c r="A54" t="s">
        <v>72</v>
      </c>
      <c r="B54" t="s">
        <v>378</v>
      </c>
      <c r="C54" t="s">
        <v>203</v>
      </c>
      <c r="D54" t="s">
        <v>379</v>
      </c>
      <c r="E54" t="s">
        <v>204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/>
      <c r="AE54"/>
      <c r="AF54"/>
    </row>
    <row r="55">
      <c r="A55" t="s">
        <v>72</v>
      </c>
      <c r="B55" t="s">
        <v>380</v>
      </c>
      <c r="C55" t="s">
        <v>203</v>
      </c>
      <c r="D55" t="s">
        <v>381</v>
      </c>
      <c r="E55" t="s">
        <v>204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/>
      <c r="AE55"/>
      <c r="AF55"/>
    </row>
    <row r="56">
      <c r="A56" t="s">
        <v>72</v>
      </c>
      <c r="B56" t="s">
        <v>382</v>
      </c>
      <c r="C56" t="s">
        <v>203</v>
      </c>
      <c r="D56" t="s">
        <v>383</v>
      </c>
      <c r="E56" t="s">
        <v>204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/>
      <c r="AE56"/>
      <c r="AF56"/>
    </row>
    <row r="57">
      <c r="A57" t="s">
        <v>72</v>
      </c>
      <c r="B57" t="s">
        <v>384</v>
      </c>
      <c r="C57" t="s">
        <v>203</v>
      </c>
      <c r="D57" t="s">
        <v>385</v>
      </c>
      <c r="E57" t="s">
        <v>204</v>
      </c>
      <c r="F57" t="n">
        <v>8.60796451184889</v>
      </c>
      <c r="G57" t="n">
        <v>12.5808712096253</v>
      </c>
      <c r="H57" t="n">
        <v>94.3565340721897</v>
      </c>
      <c r="I57" t="n">
        <v>79.669458779878</v>
      </c>
      <c r="J57" t="n">
        <v>66.8028411869277</v>
      </c>
      <c r="K57" t="n">
        <v>64.2157679661149</v>
      </c>
      <c r="L57" t="n">
        <v>64.2157679661149</v>
      </c>
      <c r="M57" t="n">
        <v>62.281448158099</v>
      </c>
      <c r="N57" t="n">
        <v>62.1325512533494</v>
      </c>
      <c r="O57" t="n">
        <v>72.9131258843069</v>
      </c>
      <c r="P57" t="n">
        <v>84.1973001283068</v>
      </c>
      <c r="Q57" t="n">
        <v>91.4109139158588</v>
      </c>
      <c r="R57" t="n">
        <v>93.4523487179499</v>
      </c>
      <c r="S57" t="n">
        <v>102.431158636675</v>
      </c>
      <c r="T57" t="n">
        <v>83.4313292720705</v>
      </c>
      <c r="U57" t="n">
        <v>82.9506757680773</v>
      </c>
      <c r="V57" t="n">
        <v>90.031348616187</v>
      </c>
      <c r="W57" t="n">
        <v>88.4979168735407</v>
      </c>
      <c r="X57" t="n">
        <v>83.9085343096536</v>
      </c>
      <c r="Y57" t="n">
        <v>81.5053038937159</v>
      </c>
      <c r="Z57" t="n">
        <v>82.7230992560553</v>
      </c>
      <c r="AA57" t="n">
        <v>81.8622155362667</v>
      </c>
      <c r="AB57" t="n">
        <v>84.2725533982941</v>
      </c>
      <c r="AC57" t="n">
        <v>91.7198953265155</v>
      </c>
      <c r="AD57" t="n">
        <v>95.1841359773371</v>
      </c>
      <c r="AE57" t="n">
        <v>100</v>
      </c>
      <c r="AF57" t="n">
        <v>109.255079006772</v>
      </c>
    </row>
    <row r="58">
      <c r="A58" t="s">
        <v>72</v>
      </c>
      <c r="B58" t="s">
        <v>386</v>
      </c>
      <c r="C58" t="s">
        <v>203</v>
      </c>
      <c r="D58" t="s">
        <v>387</v>
      </c>
      <c r="E58" t="s">
        <v>204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/>
      <c r="AE58"/>
      <c r="AF58"/>
    </row>
    <row r="59">
      <c r="A59" t="s">
        <v>72</v>
      </c>
      <c r="B59" t="s">
        <v>388</v>
      </c>
      <c r="C59" t="s">
        <v>203</v>
      </c>
      <c r="D59" t="s">
        <v>389</v>
      </c>
      <c r="E59" t="s">
        <v>204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74</v>
      </c>
      <c r="B2" t="s">
        <v>197</v>
      </c>
      <c r="C2" t="s">
        <v>203</v>
      </c>
      <c r="D2" t="s">
        <v>199</v>
      </c>
      <c r="E2" t="s">
        <v>204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/>
      <c r="AE2"/>
      <c r="AF2"/>
    </row>
    <row r="3">
      <c r="A3" t="s">
        <v>74</v>
      </c>
      <c r="B3" t="s">
        <v>276</v>
      </c>
      <c r="C3" t="s">
        <v>203</v>
      </c>
      <c r="D3" t="s">
        <v>277</v>
      </c>
      <c r="E3" t="s">
        <v>204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/>
      <c r="AE3"/>
      <c r="AF3"/>
    </row>
    <row r="4">
      <c r="A4" t="s">
        <v>74</v>
      </c>
      <c r="B4" t="s">
        <v>278</v>
      </c>
      <c r="C4" t="s">
        <v>203</v>
      </c>
      <c r="D4" t="s">
        <v>279</v>
      </c>
      <c r="E4" t="s">
        <v>204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/>
      <c r="AE4"/>
      <c r="AF4"/>
    </row>
    <row r="5">
      <c r="A5" t="s">
        <v>74</v>
      </c>
      <c r="B5" t="s">
        <v>280</v>
      </c>
      <c r="C5" t="s">
        <v>203</v>
      </c>
      <c r="D5" t="s">
        <v>281</v>
      </c>
      <c r="E5" t="s">
        <v>204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/>
      <c r="AE5"/>
      <c r="AF5"/>
    </row>
    <row r="6">
      <c r="A6" t="s">
        <v>74</v>
      </c>
      <c r="B6" t="s">
        <v>282</v>
      </c>
      <c r="C6" t="s">
        <v>203</v>
      </c>
      <c r="D6" t="s">
        <v>283</v>
      </c>
      <c r="E6" t="s">
        <v>204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/>
      <c r="AE6"/>
      <c r="AF6"/>
    </row>
    <row r="7">
      <c r="A7" t="s">
        <v>74</v>
      </c>
      <c r="B7" t="s">
        <v>284</v>
      </c>
      <c r="C7" t="s">
        <v>203</v>
      </c>
      <c r="D7" t="s">
        <v>285</v>
      </c>
      <c r="E7" t="s">
        <v>204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/>
      <c r="AE7"/>
      <c r="AF7"/>
    </row>
    <row r="8">
      <c r="A8" t="s">
        <v>74</v>
      </c>
      <c r="B8" t="s">
        <v>286</v>
      </c>
      <c r="C8" t="s">
        <v>203</v>
      </c>
      <c r="D8" t="s">
        <v>287</v>
      </c>
      <c r="E8" t="s">
        <v>204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/>
      <c r="AE8"/>
      <c r="AF8"/>
    </row>
    <row r="9">
      <c r="A9" t="s">
        <v>74</v>
      </c>
      <c r="B9" t="s">
        <v>288</v>
      </c>
      <c r="C9" t="s">
        <v>203</v>
      </c>
      <c r="D9" t="s">
        <v>289</v>
      </c>
      <c r="E9" t="s">
        <v>204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/>
      <c r="AE9"/>
      <c r="AF9"/>
    </row>
    <row r="10">
      <c r="A10" t="s">
        <v>74</v>
      </c>
      <c r="B10" t="s">
        <v>290</v>
      </c>
      <c r="C10" t="s">
        <v>203</v>
      </c>
      <c r="D10" t="s">
        <v>291</v>
      </c>
      <c r="E10" t="s">
        <v>204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/>
      <c r="AE10"/>
      <c r="AF10"/>
    </row>
    <row r="11">
      <c r="A11" t="s">
        <v>74</v>
      </c>
      <c r="B11" t="s">
        <v>292</v>
      </c>
      <c r="C11" t="s">
        <v>203</v>
      </c>
      <c r="D11" t="s">
        <v>293</v>
      </c>
      <c r="E11" t="s">
        <v>204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/>
      <c r="AE11"/>
      <c r="AF11"/>
    </row>
    <row r="12">
      <c r="A12" t="s">
        <v>74</v>
      </c>
      <c r="B12" t="s">
        <v>294</v>
      </c>
      <c r="C12" t="s">
        <v>203</v>
      </c>
      <c r="D12" t="s">
        <v>295</v>
      </c>
      <c r="E12" t="s">
        <v>204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/>
      <c r="AE12"/>
      <c r="AF12"/>
    </row>
    <row r="13">
      <c r="A13" t="s">
        <v>74</v>
      </c>
      <c r="B13" t="s">
        <v>296</v>
      </c>
      <c r="C13" t="s">
        <v>203</v>
      </c>
      <c r="D13" t="s">
        <v>297</v>
      </c>
      <c r="E13" t="s">
        <v>204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/>
      <c r="AE13"/>
      <c r="AF13"/>
    </row>
    <row r="14">
      <c r="A14" t="s">
        <v>74</v>
      </c>
      <c r="B14" t="s">
        <v>298</v>
      </c>
      <c r="C14" t="s">
        <v>203</v>
      </c>
      <c r="D14" t="s">
        <v>299</v>
      </c>
      <c r="E14" t="s">
        <v>204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/>
      <c r="AE14"/>
      <c r="AF14"/>
    </row>
    <row r="15">
      <c r="A15" t="s">
        <v>74</v>
      </c>
      <c r="B15" t="s">
        <v>300</v>
      </c>
      <c r="C15" t="s">
        <v>203</v>
      </c>
      <c r="D15" t="s">
        <v>301</v>
      </c>
      <c r="E15" t="s">
        <v>204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/>
      <c r="AE15"/>
      <c r="AF15"/>
    </row>
    <row r="16">
      <c r="A16" t="s">
        <v>74</v>
      </c>
      <c r="B16" t="s">
        <v>302</v>
      </c>
      <c r="C16" t="s">
        <v>203</v>
      </c>
      <c r="D16" t="s">
        <v>303</v>
      </c>
      <c r="E16" t="s">
        <v>204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/>
      <c r="AE16"/>
      <c r="AF16"/>
    </row>
    <row r="17">
      <c r="A17" t="s">
        <v>74</v>
      </c>
      <c r="B17" t="s">
        <v>304</v>
      </c>
      <c r="C17" t="s">
        <v>203</v>
      </c>
      <c r="D17" t="s">
        <v>305</v>
      </c>
      <c r="E17" t="s">
        <v>204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/>
      <c r="AE17"/>
      <c r="AF17"/>
    </row>
    <row r="18">
      <c r="A18" t="s">
        <v>74</v>
      </c>
      <c r="B18" t="s">
        <v>306</v>
      </c>
      <c r="C18" t="s">
        <v>203</v>
      </c>
      <c r="D18" t="s">
        <v>307</v>
      </c>
      <c r="E18" t="s">
        <v>204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/>
      <c r="AE18"/>
      <c r="AF18"/>
    </row>
    <row r="19">
      <c r="A19" t="s">
        <v>74</v>
      </c>
      <c r="B19" t="s">
        <v>308</v>
      </c>
      <c r="C19" t="s">
        <v>203</v>
      </c>
      <c r="D19" t="s">
        <v>309</v>
      </c>
      <c r="E19" t="s">
        <v>204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/>
      <c r="AE19"/>
      <c r="AF19"/>
    </row>
    <row r="20">
      <c r="A20" t="s">
        <v>74</v>
      </c>
      <c r="B20" t="s">
        <v>310</v>
      </c>
      <c r="C20" t="s">
        <v>203</v>
      </c>
      <c r="D20" t="s">
        <v>311</v>
      </c>
      <c r="E20" t="s">
        <v>204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/>
      <c r="AE20"/>
      <c r="AF20"/>
    </row>
    <row r="21">
      <c r="A21" t="s">
        <v>74</v>
      </c>
      <c r="B21" t="s">
        <v>312</v>
      </c>
      <c r="C21" t="s">
        <v>203</v>
      </c>
      <c r="D21" t="s">
        <v>313</v>
      </c>
      <c r="E21" t="s">
        <v>204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/>
      <c r="AE21"/>
      <c r="AF21"/>
    </row>
    <row r="22">
      <c r="A22" t="s">
        <v>74</v>
      </c>
      <c r="B22" t="s">
        <v>314</v>
      </c>
      <c r="C22" t="s">
        <v>203</v>
      </c>
      <c r="D22" t="s">
        <v>315</v>
      </c>
      <c r="E22" t="s">
        <v>204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/>
      <c r="AE22"/>
      <c r="AF22"/>
    </row>
    <row r="23">
      <c r="A23" t="s">
        <v>74</v>
      </c>
      <c r="B23" t="s">
        <v>316</v>
      </c>
      <c r="C23" t="s">
        <v>203</v>
      </c>
      <c r="D23" t="s">
        <v>317</v>
      </c>
      <c r="E23" t="s">
        <v>204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/>
      <c r="AE23"/>
      <c r="AF23"/>
    </row>
    <row r="24">
      <c r="A24" t="s">
        <v>74</v>
      </c>
      <c r="B24" t="s">
        <v>318</v>
      </c>
      <c r="C24" t="s">
        <v>203</v>
      </c>
      <c r="D24" t="s">
        <v>319</v>
      </c>
      <c r="E24" t="s">
        <v>204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/>
      <c r="AE24"/>
      <c r="AF24"/>
    </row>
    <row r="25">
      <c r="A25" t="s">
        <v>74</v>
      </c>
      <c r="B25" t="s">
        <v>320</v>
      </c>
      <c r="C25" t="s">
        <v>203</v>
      </c>
      <c r="D25" t="s">
        <v>321</v>
      </c>
      <c r="E25" t="s">
        <v>204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/>
      <c r="AE25"/>
      <c r="AF25"/>
    </row>
    <row r="26">
      <c r="A26" t="s">
        <v>74</v>
      </c>
      <c r="B26" t="s">
        <v>322</v>
      </c>
      <c r="C26" t="s">
        <v>203</v>
      </c>
      <c r="D26" t="s">
        <v>323</v>
      </c>
      <c r="E26" t="s">
        <v>204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/>
      <c r="AE26"/>
      <c r="AF26"/>
    </row>
    <row r="27">
      <c r="A27" t="s">
        <v>74</v>
      </c>
      <c r="B27" t="s">
        <v>324</v>
      </c>
      <c r="C27" t="s">
        <v>203</v>
      </c>
      <c r="D27" t="s">
        <v>325</v>
      </c>
      <c r="E27" t="s">
        <v>204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/>
      <c r="AE27"/>
      <c r="AF27"/>
    </row>
    <row r="28">
      <c r="A28" t="s">
        <v>74</v>
      </c>
      <c r="B28" t="s">
        <v>326</v>
      </c>
      <c r="C28" t="s">
        <v>203</v>
      </c>
      <c r="D28" t="s">
        <v>327</v>
      </c>
      <c r="E28" t="s">
        <v>204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/>
      <c r="AE28"/>
      <c r="AF28"/>
    </row>
    <row r="29">
      <c r="A29" t="s">
        <v>74</v>
      </c>
      <c r="B29" t="s">
        <v>328</v>
      </c>
      <c r="C29" t="s">
        <v>203</v>
      </c>
      <c r="D29" t="s">
        <v>329</v>
      </c>
      <c r="E29" t="s">
        <v>204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/>
      <c r="AE29"/>
      <c r="AF29"/>
    </row>
    <row r="30">
      <c r="A30" t="s">
        <v>74</v>
      </c>
      <c r="B30" t="s">
        <v>330</v>
      </c>
      <c r="C30" t="s">
        <v>203</v>
      </c>
      <c r="D30" t="s">
        <v>331</v>
      </c>
      <c r="E30" t="s">
        <v>204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/>
      <c r="AE30"/>
      <c r="AF30"/>
    </row>
    <row r="31">
      <c r="A31" t="s">
        <v>74</v>
      </c>
      <c r="B31" t="s">
        <v>332</v>
      </c>
      <c r="C31" t="s">
        <v>203</v>
      </c>
      <c r="D31" t="s">
        <v>333</v>
      </c>
      <c r="E31" t="s">
        <v>204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/>
      <c r="AE31"/>
      <c r="AF31"/>
    </row>
    <row r="32">
      <c r="A32" t="s">
        <v>74</v>
      </c>
      <c r="B32" t="s">
        <v>334</v>
      </c>
      <c r="C32" t="s">
        <v>203</v>
      </c>
      <c r="D32" t="s">
        <v>335</v>
      </c>
      <c r="E32" t="s">
        <v>204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/>
      <c r="AE32"/>
      <c r="AF32"/>
    </row>
    <row r="33">
      <c r="A33" t="s">
        <v>74</v>
      </c>
      <c r="B33" t="s">
        <v>336</v>
      </c>
      <c r="C33" t="s">
        <v>203</v>
      </c>
      <c r="D33" t="s">
        <v>337</v>
      </c>
      <c r="E33" t="s">
        <v>204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/>
      <c r="AE33"/>
      <c r="AF33"/>
    </row>
    <row r="34">
      <c r="A34" t="s">
        <v>74</v>
      </c>
      <c r="B34" t="s">
        <v>338</v>
      </c>
      <c r="C34" t="s">
        <v>203</v>
      </c>
      <c r="D34" t="s">
        <v>339</v>
      </c>
      <c r="E34" t="s">
        <v>204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/>
      <c r="AE34"/>
      <c r="AF34"/>
    </row>
    <row r="35">
      <c r="A35" t="s">
        <v>74</v>
      </c>
      <c r="B35" t="s">
        <v>340</v>
      </c>
      <c r="C35" t="s">
        <v>203</v>
      </c>
      <c r="D35" t="s">
        <v>341</v>
      </c>
      <c r="E35" t="s">
        <v>204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/>
      <c r="AE35"/>
      <c r="AF35"/>
    </row>
    <row r="36">
      <c r="A36" t="s">
        <v>74</v>
      </c>
      <c r="B36" t="s">
        <v>342</v>
      </c>
      <c r="C36" t="s">
        <v>203</v>
      </c>
      <c r="D36" t="s">
        <v>343</v>
      </c>
      <c r="E36" t="s">
        <v>204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/>
      <c r="AE36"/>
      <c r="AF36"/>
    </row>
    <row r="37">
      <c r="A37" t="s">
        <v>74</v>
      </c>
      <c r="B37" t="s">
        <v>344</v>
      </c>
      <c r="C37" t="s">
        <v>203</v>
      </c>
      <c r="D37" t="s">
        <v>345</v>
      </c>
      <c r="E37" t="s">
        <v>204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/>
      <c r="AE37"/>
      <c r="AF37"/>
    </row>
    <row r="38">
      <c r="A38" t="s">
        <v>74</v>
      </c>
      <c r="B38" t="s">
        <v>346</v>
      </c>
      <c r="C38" t="s">
        <v>203</v>
      </c>
      <c r="D38" t="s">
        <v>347</v>
      </c>
      <c r="E38" t="s">
        <v>204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/>
      <c r="AE38"/>
      <c r="AF38"/>
    </row>
    <row r="39">
      <c r="A39" t="s">
        <v>74</v>
      </c>
      <c r="B39" t="s">
        <v>348</v>
      </c>
      <c r="C39" t="s">
        <v>203</v>
      </c>
      <c r="D39" t="s">
        <v>349</v>
      </c>
      <c r="E39" t="s">
        <v>204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/>
      <c r="AE39"/>
      <c r="AF39"/>
    </row>
    <row r="40">
      <c r="A40" t="s">
        <v>74</v>
      </c>
      <c r="B40" t="s">
        <v>350</v>
      </c>
      <c r="C40" t="s">
        <v>203</v>
      </c>
      <c r="D40" t="s">
        <v>351</v>
      </c>
      <c r="E40" t="s">
        <v>204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/>
      <c r="AE40"/>
      <c r="AF40"/>
    </row>
    <row r="41">
      <c r="A41" t="s">
        <v>74</v>
      </c>
      <c r="B41" t="s">
        <v>352</v>
      </c>
      <c r="C41" t="s">
        <v>203</v>
      </c>
      <c r="D41" t="s">
        <v>353</v>
      </c>
      <c r="E41" t="s">
        <v>204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/>
      <c r="AE41"/>
      <c r="AF41"/>
    </row>
    <row r="42">
      <c r="A42" t="s">
        <v>74</v>
      </c>
      <c r="B42" t="s">
        <v>354</v>
      </c>
      <c r="C42" t="s">
        <v>203</v>
      </c>
      <c r="D42" t="s">
        <v>355</v>
      </c>
      <c r="E42" t="s">
        <v>204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/>
      <c r="AE42"/>
      <c r="AF42"/>
    </row>
    <row r="43">
      <c r="A43" t="s">
        <v>74</v>
      </c>
      <c r="B43" t="s">
        <v>356</v>
      </c>
      <c r="C43" t="s">
        <v>203</v>
      </c>
      <c r="D43" t="s">
        <v>357</v>
      </c>
      <c r="E43" t="s">
        <v>204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/>
      <c r="AE43"/>
      <c r="AF43"/>
    </row>
    <row r="44">
      <c r="A44" t="s">
        <v>74</v>
      </c>
      <c r="B44" t="s">
        <v>358</v>
      </c>
      <c r="C44" t="s">
        <v>203</v>
      </c>
      <c r="D44" t="s">
        <v>359</v>
      </c>
      <c r="E44" t="s">
        <v>204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/>
      <c r="AE44"/>
      <c r="AF44"/>
    </row>
    <row r="45">
      <c r="A45" t="s">
        <v>74</v>
      </c>
      <c r="B45" t="s">
        <v>360</v>
      </c>
      <c r="C45" t="s">
        <v>203</v>
      </c>
      <c r="D45" t="s">
        <v>361</v>
      </c>
      <c r="E45" t="s">
        <v>204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/>
      <c r="AE45"/>
      <c r="AF45"/>
    </row>
    <row r="46">
      <c r="A46" t="s">
        <v>74</v>
      </c>
      <c r="B46" t="s">
        <v>362</v>
      </c>
      <c r="C46" t="s">
        <v>203</v>
      </c>
      <c r="D46" t="s">
        <v>363</v>
      </c>
      <c r="E46" t="s">
        <v>204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/>
      <c r="AE46"/>
      <c r="AF46"/>
    </row>
    <row r="47">
      <c r="A47" t="s">
        <v>74</v>
      </c>
      <c r="B47" t="s">
        <v>364</v>
      </c>
      <c r="C47" t="s">
        <v>203</v>
      </c>
      <c r="D47" t="s">
        <v>365</v>
      </c>
      <c r="E47" t="s">
        <v>204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/>
      <c r="AE47"/>
      <c r="AF47"/>
    </row>
    <row r="48">
      <c r="A48" t="s">
        <v>74</v>
      </c>
      <c r="B48" t="s">
        <v>366</v>
      </c>
      <c r="C48" t="s">
        <v>203</v>
      </c>
      <c r="D48" t="s">
        <v>367</v>
      </c>
      <c r="E48" t="s">
        <v>204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/>
      <c r="AE48"/>
      <c r="AF48"/>
    </row>
    <row r="49">
      <c r="A49" t="s">
        <v>74</v>
      </c>
      <c r="B49" t="s">
        <v>368</v>
      </c>
      <c r="C49" t="s">
        <v>203</v>
      </c>
      <c r="D49" t="s">
        <v>369</v>
      </c>
      <c r="E49" t="s">
        <v>204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/>
      <c r="AE49"/>
      <c r="AF49"/>
    </row>
    <row r="50">
      <c r="A50" t="s">
        <v>74</v>
      </c>
      <c r="B50" t="s">
        <v>370</v>
      </c>
      <c r="C50" t="s">
        <v>203</v>
      </c>
      <c r="D50" t="s">
        <v>371</v>
      </c>
      <c r="E50" t="s">
        <v>204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/>
      <c r="AE50"/>
      <c r="AF50"/>
    </row>
    <row r="51">
      <c r="A51" t="s">
        <v>74</v>
      </c>
      <c r="B51" t="s">
        <v>372</v>
      </c>
      <c r="C51" t="s">
        <v>203</v>
      </c>
      <c r="D51" t="s">
        <v>373</v>
      </c>
      <c r="E51" t="s">
        <v>204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/>
      <c r="AE51"/>
      <c r="AF51"/>
    </row>
    <row r="52">
      <c r="A52" t="s">
        <v>74</v>
      </c>
      <c r="B52" t="s">
        <v>374</v>
      </c>
      <c r="C52" t="s">
        <v>203</v>
      </c>
      <c r="D52" t="s">
        <v>375</v>
      </c>
      <c r="E52" t="s">
        <v>204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/>
      <c r="AE52"/>
      <c r="AF52"/>
    </row>
    <row r="53">
      <c r="A53" t="s">
        <v>74</v>
      </c>
      <c r="B53" t="s">
        <v>376</v>
      </c>
      <c r="C53" t="s">
        <v>203</v>
      </c>
      <c r="D53" t="s">
        <v>377</v>
      </c>
      <c r="E53" t="s">
        <v>204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/>
      <c r="AE53"/>
      <c r="AF53"/>
    </row>
    <row r="54">
      <c r="A54" t="s">
        <v>74</v>
      </c>
      <c r="B54" t="s">
        <v>378</v>
      </c>
      <c r="C54" t="s">
        <v>203</v>
      </c>
      <c r="D54" t="s">
        <v>379</v>
      </c>
      <c r="E54" t="s">
        <v>204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/>
      <c r="AE54"/>
      <c r="AF54"/>
    </row>
    <row r="55">
      <c r="A55" t="s">
        <v>74</v>
      </c>
      <c r="B55" t="s">
        <v>380</v>
      </c>
      <c r="C55" t="s">
        <v>203</v>
      </c>
      <c r="D55" t="s">
        <v>381</v>
      </c>
      <c r="E55" t="s">
        <v>204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/>
      <c r="AE55"/>
      <c r="AF55"/>
    </row>
    <row r="56">
      <c r="A56" t="s">
        <v>74</v>
      </c>
      <c r="B56" t="s">
        <v>382</v>
      </c>
      <c r="C56" t="s">
        <v>203</v>
      </c>
      <c r="D56" t="s">
        <v>383</v>
      </c>
      <c r="E56" t="s">
        <v>204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/>
      <c r="AE56"/>
      <c r="AF56"/>
    </row>
    <row r="57">
      <c r="A57" t="s">
        <v>74</v>
      </c>
      <c r="B57" t="s">
        <v>384</v>
      </c>
      <c r="C57" t="s">
        <v>203</v>
      </c>
      <c r="D57" t="s">
        <v>385</v>
      </c>
      <c r="E57" t="s">
        <v>204</v>
      </c>
      <c r="F57" t="n">
        <v>1.66954762528198</v>
      </c>
      <c r="G57" t="n">
        <v>2.41156879207397</v>
      </c>
      <c r="H57" t="n">
        <v>18.226973428466</v>
      </c>
      <c r="I57" t="n">
        <v>84.8654525917644</v>
      </c>
      <c r="J57" t="n">
        <v>71.1912072525271</v>
      </c>
      <c r="K57" t="n">
        <v>68.4248002810812</v>
      </c>
      <c r="L57" t="n">
        <v>68.4248002810812</v>
      </c>
      <c r="M57" t="n">
        <v>66.3697407125715</v>
      </c>
      <c r="N57" t="n">
        <v>66.2049151975569</v>
      </c>
      <c r="O57" t="n">
        <v>77.7050877965875</v>
      </c>
      <c r="P57" t="n">
        <v>89.6835877524512</v>
      </c>
      <c r="Q57" t="n">
        <v>97.3871575344953</v>
      </c>
      <c r="R57" t="n">
        <v>99.5608380546343</v>
      </c>
      <c r="S57" t="n">
        <v>109.129563211554</v>
      </c>
      <c r="T57" t="n">
        <v>88.8947191311797</v>
      </c>
      <c r="U57" t="n">
        <v>88.3834246339952</v>
      </c>
      <c r="V57" t="n">
        <v>95.9226139879255</v>
      </c>
      <c r="W57" t="n">
        <v>91.3362835124092</v>
      </c>
      <c r="X57" t="n">
        <v>83.888652590687</v>
      </c>
      <c r="Y57" t="n">
        <v>81.4745906456312</v>
      </c>
      <c r="Z57" t="n">
        <v>82.7071865706786</v>
      </c>
      <c r="AA57" t="n">
        <v>81.8755786618326</v>
      </c>
      <c r="AB57" t="n">
        <v>84.2500583867193</v>
      </c>
      <c r="AC57" t="n">
        <v>91.6898010127542</v>
      </c>
      <c r="AD57" t="n">
        <v>95.1417004048583</v>
      </c>
      <c r="AE57" t="n">
        <v>100</v>
      </c>
      <c r="AF57" t="n">
        <v>109.403254972875</v>
      </c>
    </row>
    <row r="58">
      <c r="A58" t="s">
        <v>74</v>
      </c>
      <c r="B58" t="s">
        <v>386</v>
      </c>
      <c r="C58" t="s">
        <v>203</v>
      </c>
      <c r="D58" t="s">
        <v>387</v>
      </c>
      <c r="E58" t="s">
        <v>204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/>
      <c r="AE58"/>
      <c r="AF58"/>
    </row>
    <row r="59">
      <c r="A59" t="s">
        <v>74</v>
      </c>
      <c r="B59" t="s">
        <v>388</v>
      </c>
      <c r="C59" t="s">
        <v>203</v>
      </c>
      <c r="D59" t="s">
        <v>389</v>
      </c>
      <c r="E59" t="s">
        <v>204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76</v>
      </c>
      <c r="B2" t="s">
        <v>197</v>
      </c>
      <c r="C2" t="s">
        <v>203</v>
      </c>
      <c r="D2" t="s">
        <v>199</v>
      </c>
      <c r="E2" t="s">
        <v>204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/>
      <c r="AE2"/>
      <c r="AF2"/>
    </row>
    <row r="3">
      <c r="A3" t="s">
        <v>76</v>
      </c>
      <c r="B3" t="s">
        <v>276</v>
      </c>
      <c r="C3" t="s">
        <v>203</v>
      </c>
      <c r="D3" t="s">
        <v>277</v>
      </c>
      <c r="E3" t="s">
        <v>204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/>
      <c r="AE3"/>
      <c r="AF3"/>
    </row>
    <row r="4">
      <c r="A4" t="s">
        <v>76</v>
      </c>
      <c r="B4" t="s">
        <v>278</v>
      </c>
      <c r="C4" t="s">
        <v>203</v>
      </c>
      <c r="D4" t="s">
        <v>279</v>
      </c>
      <c r="E4" t="s">
        <v>204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/>
      <c r="AE4"/>
      <c r="AF4"/>
    </row>
    <row r="5">
      <c r="A5" t="s">
        <v>76</v>
      </c>
      <c r="B5" t="s">
        <v>280</v>
      </c>
      <c r="C5" t="s">
        <v>203</v>
      </c>
      <c r="D5" t="s">
        <v>281</v>
      </c>
      <c r="E5" t="s">
        <v>204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/>
      <c r="AE5"/>
      <c r="AF5"/>
    </row>
    <row r="6">
      <c r="A6" t="s">
        <v>76</v>
      </c>
      <c r="B6" t="s">
        <v>282</v>
      </c>
      <c r="C6" t="s">
        <v>203</v>
      </c>
      <c r="D6" t="s">
        <v>283</v>
      </c>
      <c r="E6" t="s">
        <v>204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/>
      <c r="AE6"/>
      <c r="AF6"/>
    </row>
    <row r="7">
      <c r="A7" t="s">
        <v>76</v>
      </c>
      <c r="B7" t="s">
        <v>284</v>
      </c>
      <c r="C7" t="s">
        <v>203</v>
      </c>
      <c r="D7" t="s">
        <v>285</v>
      </c>
      <c r="E7" t="s">
        <v>204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/>
      <c r="AE7"/>
      <c r="AF7"/>
    </row>
    <row r="8">
      <c r="A8" t="s">
        <v>76</v>
      </c>
      <c r="B8" t="s">
        <v>286</v>
      </c>
      <c r="C8" t="s">
        <v>203</v>
      </c>
      <c r="D8" t="s">
        <v>287</v>
      </c>
      <c r="E8" t="s">
        <v>204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/>
      <c r="AE8"/>
      <c r="AF8"/>
    </row>
    <row r="9">
      <c r="A9" t="s">
        <v>76</v>
      </c>
      <c r="B9" t="s">
        <v>288</v>
      </c>
      <c r="C9" t="s">
        <v>203</v>
      </c>
      <c r="D9" t="s">
        <v>289</v>
      </c>
      <c r="E9" t="s">
        <v>204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/>
      <c r="AE9"/>
      <c r="AF9"/>
    </row>
    <row r="10">
      <c r="A10" t="s">
        <v>76</v>
      </c>
      <c r="B10" t="s">
        <v>290</v>
      </c>
      <c r="C10" t="s">
        <v>203</v>
      </c>
      <c r="D10" t="s">
        <v>291</v>
      </c>
      <c r="E10" t="s">
        <v>204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/>
      <c r="AE10"/>
      <c r="AF10"/>
    </row>
    <row r="11">
      <c r="A11" t="s">
        <v>76</v>
      </c>
      <c r="B11" t="s">
        <v>292</v>
      </c>
      <c r="C11" t="s">
        <v>203</v>
      </c>
      <c r="D11" t="s">
        <v>293</v>
      </c>
      <c r="E11" t="s">
        <v>204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/>
      <c r="AE11"/>
      <c r="AF11"/>
    </row>
    <row r="12">
      <c r="A12" t="s">
        <v>76</v>
      </c>
      <c r="B12" t="s">
        <v>294</v>
      </c>
      <c r="C12" t="s">
        <v>203</v>
      </c>
      <c r="D12" t="s">
        <v>295</v>
      </c>
      <c r="E12" t="s">
        <v>204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/>
      <c r="AE12"/>
      <c r="AF12"/>
    </row>
    <row r="13">
      <c r="A13" t="s">
        <v>76</v>
      </c>
      <c r="B13" t="s">
        <v>296</v>
      </c>
      <c r="C13" t="s">
        <v>203</v>
      </c>
      <c r="D13" t="s">
        <v>297</v>
      </c>
      <c r="E13" t="s">
        <v>204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/>
      <c r="AE13"/>
      <c r="AF13"/>
    </row>
    <row r="14">
      <c r="A14" t="s">
        <v>76</v>
      </c>
      <c r="B14" t="s">
        <v>298</v>
      </c>
      <c r="C14" t="s">
        <v>203</v>
      </c>
      <c r="D14" t="s">
        <v>299</v>
      </c>
      <c r="E14" t="s">
        <v>204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/>
      <c r="AE14"/>
      <c r="AF14"/>
    </row>
    <row r="15">
      <c r="A15" t="s">
        <v>76</v>
      </c>
      <c r="B15" t="s">
        <v>300</v>
      </c>
      <c r="C15" t="s">
        <v>203</v>
      </c>
      <c r="D15" t="s">
        <v>301</v>
      </c>
      <c r="E15" t="s">
        <v>204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/>
      <c r="AE15"/>
      <c r="AF15"/>
    </row>
    <row r="16">
      <c r="A16" t="s">
        <v>76</v>
      </c>
      <c r="B16" t="s">
        <v>302</v>
      </c>
      <c r="C16" t="s">
        <v>203</v>
      </c>
      <c r="D16" t="s">
        <v>303</v>
      </c>
      <c r="E16" t="s">
        <v>204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/>
      <c r="AE16"/>
      <c r="AF16"/>
    </row>
    <row r="17">
      <c r="A17" t="s">
        <v>76</v>
      </c>
      <c r="B17" t="s">
        <v>304</v>
      </c>
      <c r="C17" t="s">
        <v>203</v>
      </c>
      <c r="D17" t="s">
        <v>305</v>
      </c>
      <c r="E17" t="s">
        <v>204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/>
      <c r="AE17"/>
      <c r="AF17"/>
    </row>
    <row r="18">
      <c r="A18" t="s">
        <v>76</v>
      </c>
      <c r="B18" t="s">
        <v>306</v>
      </c>
      <c r="C18" t="s">
        <v>203</v>
      </c>
      <c r="D18" t="s">
        <v>307</v>
      </c>
      <c r="E18" t="s">
        <v>204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/>
      <c r="AE18"/>
      <c r="AF18"/>
    </row>
    <row r="19">
      <c r="A19" t="s">
        <v>76</v>
      </c>
      <c r="B19" t="s">
        <v>308</v>
      </c>
      <c r="C19" t="s">
        <v>203</v>
      </c>
      <c r="D19" t="s">
        <v>309</v>
      </c>
      <c r="E19" t="s">
        <v>204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/>
      <c r="AE19"/>
      <c r="AF19"/>
    </row>
    <row r="20">
      <c r="A20" t="s">
        <v>76</v>
      </c>
      <c r="B20" t="s">
        <v>310</v>
      </c>
      <c r="C20" t="s">
        <v>203</v>
      </c>
      <c r="D20" t="s">
        <v>311</v>
      </c>
      <c r="E20" t="s">
        <v>204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/>
      <c r="AE20"/>
      <c r="AF20"/>
    </row>
    <row r="21">
      <c r="A21" t="s">
        <v>76</v>
      </c>
      <c r="B21" t="s">
        <v>312</v>
      </c>
      <c r="C21" t="s">
        <v>203</v>
      </c>
      <c r="D21" t="s">
        <v>313</v>
      </c>
      <c r="E21" t="s">
        <v>204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/>
      <c r="AE21"/>
      <c r="AF21"/>
    </row>
    <row r="22">
      <c r="A22" t="s">
        <v>76</v>
      </c>
      <c r="B22" t="s">
        <v>314</v>
      </c>
      <c r="C22" t="s">
        <v>203</v>
      </c>
      <c r="D22" t="s">
        <v>315</v>
      </c>
      <c r="E22" t="s">
        <v>204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/>
      <c r="AE22"/>
      <c r="AF22"/>
    </row>
    <row r="23">
      <c r="A23" t="s">
        <v>76</v>
      </c>
      <c r="B23" t="s">
        <v>316</v>
      </c>
      <c r="C23" t="s">
        <v>203</v>
      </c>
      <c r="D23" t="s">
        <v>317</v>
      </c>
      <c r="E23" t="s">
        <v>204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/>
      <c r="AE23"/>
      <c r="AF23"/>
    </row>
    <row r="24">
      <c r="A24" t="s">
        <v>76</v>
      </c>
      <c r="B24" t="s">
        <v>318</v>
      </c>
      <c r="C24" t="s">
        <v>203</v>
      </c>
      <c r="D24" t="s">
        <v>319</v>
      </c>
      <c r="E24" t="s">
        <v>204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/>
      <c r="AE24"/>
      <c r="AF24"/>
    </row>
    <row r="25">
      <c r="A25" t="s">
        <v>76</v>
      </c>
      <c r="B25" t="s">
        <v>320</v>
      </c>
      <c r="C25" t="s">
        <v>203</v>
      </c>
      <c r="D25" t="s">
        <v>321</v>
      </c>
      <c r="E25" t="s">
        <v>204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/>
      <c r="AE25"/>
      <c r="AF25"/>
    </row>
    <row r="26">
      <c r="A26" t="s">
        <v>76</v>
      </c>
      <c r="B26" t="s">
        <v>322</v>
      </c>
      <c r="C26" t="s">
        <v>203</v>
      </c>
      <c r="D26" t="s">
        <v>323</v>
      </c>
      <c r="E26" t="s">
        <v>204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/>
      <c r="AE26"/>
      <c r="AF26"/>
    </row>
    <row r="27">
      <c r="A27" t="s">
        <v>76</v>
      </c>
      <c r="B27" t="s">
        <v>324</v>
      </c>
      <c r="C27" t="s">
        <v>203</v>
      </c>
      <c r="D27" t="s">
        <v>325</v>
      </c>
      <c r="E27" t="s">
        <v>204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/>
      <c r="AE27"/>
      <c r="AF27"/>
    </row>
    <row r="28">
      <c r="A28" t="s">
        <v>76</v>
      </c>
      <c r="B28" t="s">
        <v>326</v>
      </c>
      <c r="C28" t="s">
        <v>203</v>
      </c>
      <c r="D28" t="s">
        <v>327</v>
      </c>
      <c r="E28" t="s">
        <v>204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/>
      <c r="AE28"/>
      <c r="AF28"/>
    </row>
    <row r="29">
      <c r="A29" t="s">
        <v>76</v>
      </c>
      <c r="B29" t="s">
        <v>328</v>
      </c>
      <c r="C29" t="s">
        <v>203</v>
      </c>
      <c r="D29" t="s">
        <v>329</v>
      </c>
      <c r="E29" t="s">
        <v>204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/>
      <c r="AE29"/>
      <c r="AF29"/>
    </row>
    <row r="30">
      <c r="A30" t="s">
        <v>76</v>
      </c>
      <c r="B30" t="s">
        <v>330</v>
      </c>
      <c r="C30" t="s">
        <v>203</v>
      </c>
      <c r="D30" t="s">
        <v>331</v>
      </c>
      <c r="E30" t="s">
        <v>204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/>
      <c r="AE30"/>
      <c r="AF30"/>
    </row>
    <row r="31">
      <c r="A31" t="s">
        <v>76</v>
      </c>
      <c r="B31" t="s">
        <v>332</v>
      </c>
      <c r="C31" t="s">
        <v>203</v>
      </c>
      <c r="D31" t="s">
        <v>333</v>
      </c>
      <c r="E31" t="s">
        <v>204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/>
      <c r="AE31"/>
      <c r="AF31"/>
    </row>
    <row r="32">
      <c r="A32" t="s">
        <v>76</v>
      </c>
      <c r="B32" t="s">
        <v>334</v>
      </c>
      <c r="C32" t="s">
        <v>203</v>
      </c>
      <c r="D32" t="s">
        <v>335</v>
      </c>
      <c r="E32" t="s">
        <v>204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/>
      <c r="AE32"/>
      <c r="AF32"/>
    </row>
    <row r="33">
      <c r="A33" t="s">
        <v>76</v>
      </c>
      <c r="B33" t="s">
        <v>336</v>
      </c>
      <c r="C33" t="s">
        <v>203</v>
      </c>
      <c r="D33" t="s">
        <v>337</v>
      </c>
      <c r="E33" t="s">
        <v>204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/>
      <c r="AE33"/>
      <c r="AF33"/>
    </row>
    <row r="34">
      <c r="A34" t="s">
        <v>76</v>
      </c>
      <c r="B34" t="s">
        <v>338</v>
      </c>
      <c r="C34" t="s">
        <v>203</v>
      </c>
      <c r="D34" t="s">
        <v>339</v>
      </c>
      <c r="E34" t="s">
        <v>204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/>
      <c r="AE34"/>
      <c r="AF34"/>
    </row>
    <row r="35">
      <c r="A35" t="s">
        <v>76</v>
      </c>
      <c r="B35" t="s">
        <v>340</v>
      </c>
      <c r="C35" t="s">
        <v>203</v>
      </c>
      <c r="D35" t="s">
        <v>341</v>
      </c>
      <c r="E35" t="s">
        <v>204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/>
      <c r="AE35"/>
      <c r="AF35"/>
    </row>
    <row r="36">
      <c r="A36" t="s">
        <v>76</v>
      </c>
      <c r="B36" t="s">
        <v>342</v>
      </c>
      <c r="C36" t="s">
        <v>203</v>
      </c>
      <c r="D36" t="s">
        <v>343</v>
      </c>
      <c r="E36" t="s">
        <v>204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/>
      <c r="AE36"/>
      <c r="AF36"/>
    </row>
    <row r="37">
      <c r="A37" t="s">
        <v>76</v>
      </c>
      <c r="B37" t="s">
        <v>344</v>
      </c>
      <c r="C37" t="s">
        <v>203</v>
      </c>
      <c r="D37" t="s">
        <v>345</v>
      </c>
      <c r="E37" t="s">
        <v>204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/>
      <c r="AE37"/>
      <c r="AF37"/>
    </row>
    <row r="38">
      <c r="A38" t="s">
        <v>76</v>
      </c>
      <c r="B38" t="s">
        <v>346</v>
      </c>
      <c r="C38" t="s">
        <v>203</v>
      </c>
      <c r="D38" t="s">
        <v>347</v>
      </c>
      <c r="E38" t="s">
        <v>204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/>
      <c r="AE38"/>
      <c r="AF38"/>
    </row>
    <row r="39">
      <c r="A39" t="s">
        <v>76</v>
      </c>
      <c r="B39" t="s">
        <v>348</v>
      </c>
      <c r="C39" t="s">
        <v>203</v>
      </c>
      <c r="D39" t="s">
        <v>349</v>
      </c>
      <c r="E39" t="s">
        <v>204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/>
      <c r="AE39"/>
      <c r="AF39"/>
    </row>
    <row r="40">
      <c r="A40" t="s">
        <v>76</v>
      </c>
      <c r="B40" t="s">
        <v>350</v>
      </c>
      <c r="C40" t="s">
        <v>203</v>
      </c>
      <c r="D40" t="s">
        <v>351</v>
      </c>
      <c r="E40" t="s">
        <v>204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/>
      <c r="AE40"/>
      <c r="AF40"/>
    </row>
    <row r="41">
      <c r="A41" t="s">
        <v>76</v>
      </c>
      <c r="B41" t="s">
        <v>352</v>
      </c>
      <c r="C41" t="s">
        <v>203</v>
      </c>
      <c r="D41" t="s">
        <v>353</v>
      </c>
      <c r="E41" t="s">
        <v>204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/>
      <c r="AE41"/>
      <c r="AF41"/>
    </row>
    <row r="42">
      <c r="A42" t="s">
        <v>76</v>
      </c>
      <c r="B42" t="s">
        <v>354</v>
      </c>
      <c r="C42" t="s">
        <v>203</v>
      </c>
      <c r="D42" t="s">
        <v>355</v>
      </c>
      <c r="E42" t="s">
        <v>204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/>
      <c r="AE42"/>
      <c r="AF42"/>
    </row>
    <row r="43">
      <c r="A43" t="s">
        <v>76</v>
      </c>
      <c r="B43" t="s">
        <v>356</v>
      </c>
      <c r="C43" t="s">
        <v>203</v>
      </c>
      <c r="D43" t="s">
        <v>357</v>
      </c>
      <c r="E43" t="s">
        <v>204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/>
      <c r="AE43"/>
      <c r="AF43"/>
    </row>
    <row r="44">
      <c r="A44" t="s">
        <v>76</v>
      </c>
      <c r="B44" t="s">
        <v>358</v>
      </c>
      <c r="C44" t="s">
        <v>203</v>
      </c>
      <c r="D44" t="s">
        <v>359</v>
      </c>
      <c r="E44" t="s">
        <v>204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/>
      <c r="AE44"/>
      <c r="AF44"/>
    </row>
    <row r="45">
      <c r="A45" t="s">
        <v>76</v>
      </c>
      <c r="B45" t="s">
        <v>360</v>
      </c>
      <c r="C45" t="s">
        <v>203</v>
      </c>
      <c r="D45" t="s">
        <v>361</v>
      </c>
      <c r="E45" t="s">
        <v>204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/>
      <c r="AE45"/>
      <c r="AF45"/>
    </row>
    <row r="46">
      <c r="A46" t="s">
        <v>76</v>
      </c>
      <c r="B46" t="s">
        <v>362</v>
      </c>
      <c r="C46" t="s">
        <v>203</v>
      </c>
      <c r="D46" t="s">
        <v>363</v>
      </c>
      <c r="E46" t="s">
        <v>204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/>
      <c r="AE46"/>
      <c r="AF46"/>
    </row>
    <row r="47">
      <c r="A47" t="s">
        <v>76</v>
      </c>
      <c r="B47" t="s">
        <v>364</v>
      </c>
      <c r="C47" t="s">
        <v>203</v>
      </c>
      <c r="D47" t="s">
        <v>365</v>
      </c>
      <c r="E47" t="s">
        <v>204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/>
      <c r="AE47"/>
      <c r="AF47"/>
    </row>
    <row r="48">
      <c r="A48" t="s">
        <v>76</v>
      </c>
      <c r="B48" t="s">
        <v>366</v>
      </c>
      <c r="C48" t="s">
        <v>203</v>
      </c>
      <c r="D48" t="s">
        <v>367</v>
      </c>
      <c r="E48" t="s">
        <v>204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/>
      <c r="AE48"/>
      <c r="AF48"/>
    </row>
    <row r="49">
      <c r="A49" t="s">
        <v>76</v>
      </c>
      <c r="B49" t="s">
        <v>368</v>
      </c>
      <c r="C49" t="s">
        <v>203</v>
      </c>
      <c r="D49" t="s">
        <v>369</v>
      </c>
      <c r="E49" t="s">
        <v>204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/>
      <c r="AE49"/>
      <c r="AF49"/>
    </row>
    <row r="50">
      <c r="A50" t="s">
        <v>76</v>
      </c>
      <c r="B50" t="s">
        <v>370</v>
      </c>
      <c r="C50" t="s">
        <v>203</v>
      </c>
      <c r="D50" t="s">
        <v>371</v>
      </c>
      <c r="E50" t="s">
        <v>204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/>
      <c r="AE50"/>
      <c r="AF50"/>
    </row>
    <row r="51">
      <c r="A51" t="s">
        <v>76</v>
      </c>
      <c r="B51" t="s">
        <v>372</v>
      </c>
      <c r="C51" t="s">
        <v>203</v>
      </c>
      <c r="D51" t="s">
        <v>373</v>
      </c>
      <c r="E51" t="s">
        <v>204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/>
      <c r="AE51"/>
      <c r="AF51"/>
    </row>
    <row r="52">
      <c r="A52" t="s">
        <v>76</v>
      </c>
      <c r="B52" t="s">
        <v>374</v>
      </c>
      <c r="C52" t="s">
        <v>203</v>
      </c>
      <c r="D52" t="s">
        <v>375</v>
      </c>
      <c r="E52" t="s">
        <v>204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/>
      <c r="AE52"/>
      <c r="AF52"/>
    </row>
    <row r="53">
      <c r="A53" t="s">
        <v>76</v>
      </c>
      <c r="B53" t="s">
        <v>376</v>
      </c>
      <c r="C53" t="s">
        <v>203</v>
      </c>
      <c r="D53" t="s">
        <v>377</v>
      </c>
      <c r="E53" t="s">
        <v>204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/>
      <c r="AE53"/>
      <c r="AF53"/>
    </row>
    <row r="54">
      <c r="A54" t="s">
        <v>76</v>
      </c>
      <c r="B54" t="s">
        <v>378</v>
      </c>
      <c r="C54" t="s">
        <v>203</v>
      </c>
      <c r="D54" t="s">
        <v>379</v>
      </c>
      <c r="E54" t="s">
        <v>204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/>
      <c r="AE54"/>
      <c r="AF54"/>
    </row>
    <row r="55">
      <c r="A55" t="s">
        <v>76</v>
      </c>
      <c r="B55" t="s">
        <v>380</v>
      </c>
      <c r="C55" t="s">
        <v>203</v>
      </c>
      <c r="D55" t="s">
        <v>381</v>
      </c>
      <c r="E55" t="s">
        <v>204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/>
      <c r="AE55"/>
      <c r="AF55"/>
    </row>
    <row r="56">
      <c r="A56" t="s">
        <v>76</v>
      </c>
      <c r="B56" t="s">
        <v>382</v>
      </c>
      <c r="C56" t="s">
        <v>203</v>
      </c>
      <c r="D56" t="s">
        <v>383</v>
      </c>
      <c r="E56" t="s">
        <v>204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/>
      <c r="AE56"/>
      <c r="AF56"/>
    </row>
    <row r="57">
      <c r="A57" t="s">
        <v>76</v>
      </c>
      <c r="B57" t="s">
        <v>384</v>
      </c>
      <c r="C57" t="s">
        <v>203</v>
      </c>
      <c r="D57" t="s">
        <v>385</v>
      </c>
      <c r="E57" t="s">
        <v>204</v>
      </c>
      <c r="F57" t="n">
        <v>3.97206219009538</v>
      </c>
      <c r="G57" t="n">
        <v>5.57980164799112</v>
      </c>
      <c r="H57" t="n">
        <v>42.2470696205042</v>
      </c>
      <c r="I57" t="n">
        <v>64.963940514278</v>
      </c>
      <c r="J57" t="n">
        <v>55.0684005219998</v>
      </c>
      <c r="K57" t="n">
        <v>57.8783244532388</v>
      </c>
      <c r="L57" t="n">
        <v>61.7368794167881</v>
      </c>
      <c r="M57" t="n">
        <v>63.0693300516828</v>
      </c>
      <c r="N57" t="n">
        <v>64.1303887672225</v>
      </c>
      <c r="O57" t="n">
        <v>67.5993420636621</v>
      </c>
      <c r="P57" t="n">
        <v>70.8347116437144</v>
      </c>
      <c r="Q57" t="n">
        <v>74.8324971241991</v>
      </c>
      <c r="R57" t="n">
        <v>79.0715239142406</v>
      </c>
      <c r="S57" t="n">
        <v>87.7296349126714</v>
      </c>
      <c r="T57" t="n">
        <v>90.316071146819</v>
      </c>
      <c r="U57" t="n">
        <v>92.1963502130262</v>
      </c>
      <c r="V57" t="n">
        <v>94.8887456020412</v>
      </c>
      <c r="W57" t="n">
        <v>90.5173482409727</v>
      </c>
      <c r="X57" t="n">
        <v>90.0244417486999</v>
      </c>
      <c r="Y57" t="n">
        <v>86.663676175462</v>
      </c>
      <c r="Z57" t="n">
        <v>86.4990728019094</v>
      </c>
      <c r="AA57" t="n">
        <v>86.3356614553063</v>
      </c>
      <c r="AB57" t="n">
        <v>89.0101660728413</v>
      </c>
      <c r="AC57" t="n">
        <v>92.4271095567157</v>
      </c>
      <c r="AD57" t="n">
        <v>95.4368733374258</v>
      </c>
      <c r="AE57" t="n">
        <v>100</v>
      </c>
      <c r="AF57" t="n">
        <v>105.203928033833</v>
      </c>
    </row>
    <row r="58">
      <c r="A58" t="s">
        <v>76</v>
      </c>
      <c r="B58" t="s">
        <v>386</v>
      </c>
      <c r="C58" t="s">
        <v>203</v>
      </c>
      <c r="D58" t="s">
        <v>387</v>
      </c>
      <c r="E58" t="s">
        <v>204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/>
      <c r="AE58"/>
      <c r="AF58"/>
    </row>
    <row r="59">
      <c r="A59" t="s">
        <v>76</v>
      </c>
      <c r="B59" t="s">
        <v>388</v>
      </c>
      <c r="C59" t="s">
        <v>203</v>
      </c>
      <c r="D59" t="s">
        <v>389</v>
      </c>
      <c r="E59" t="s">
        <v>204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78</v>
      </c>
      <c r="B2" t="s">
        <v>197</v>
      </c>
      <c r="C2" t="s">
        <v>203</v>
      </c>
      <c r="D2" t="s">
        <v>199</v>
      </c>
      <c r="E2" t="s">
        <v>204</v>
      </c>
      <c r="F2" t="n">
        <v>3.1508698402111</v>
      </c>
      <c r="G2" t="n">
        <v>6.3017396804222</v>
      </c>
      <c r="H2" t="n">
        <v>47.8932215712087</v>
      </c>
      <c r="I2" t="n">
        <v>72.2916552018245</v>
      </c>
      <c r="J2" t="n">
        <v>59.013596083122</v>
      </c>
      <c r="K2" t="n">
        <v>58.0962862994465</v>
      </c>
      <c r="L2" t="n">
        <v>60.3971293212068</v>
      </c>
      <c r="M2" t="n">
        <v>59.7476978231293</v>
      </c>
      <c r="N2" t="n">
        <v>56.284063166716</v>
      </c>
      <c r="O2" t="n">
        <v>60.5525194562553</v>
      </c>
      <c r="P2" t="n">
        <v>63.7394941644793</v>
      </c>
      <c r="Q2" t="n">
        <v>68.548091637562</v>
      </c>
      <c r="R2" t="n">
        <v>70.2689642309736</v>
      </c>
      <c r="S2" t="n">
        <v>76.6640563704153</v>
      </c>
      <c r="T2" t="n">
        <v>77.1964456507654</v>
      </c>
      <c r="U2" t="n">
        <v>71.9384834082984</v>
      </c>
      <c r="V2" t="n">
        <v>78.1375911969894</v>
      </c>
      <c r="W2" t="n">
        <v>82.3513417187497</v>
      </c>
      <c r="X2" t="n">
        <v>83.7761054163059</v>
      </c>
      <c r="Y2" t="n">
        <v>88.2970626469216</v>
      </c>
      <c r="Z2" t="n">
        <v>88.6494052752014</v>
      </c>
      <c r="AA2" t="n">
        <v>89.8006962528014</v>
      </c>
      <c r="AB2" t="n">
        <v>94.9485068660193</v>
      </c>
      <c r="AC2" t="n">
        <v>94.8633512544803</v>
      </c>
      <c r="AD2" t="n">
        <v>97.9166666666667</v>
      </c>
      <c r="AE2" t="n">
        <v>100</v>
      </c>
      <c r="AF2" t="n">
        <v>104.577114427861</v>
      </c>
    </row>
    <row r="3">
      <c r="A3" t="s">
        <v>78</v>
      </c>
      <c r="B3" t="s">
        <v>276</v>
      </c>
      <c r="C3" t="s">
        <v>203</v>
      </c>
      <c r="D3" t="s">
        <v>277</v>
      </c>
      <c r="E3" t="s">
        <v>204</v>
      </c>
      <c r="F3" t="e">
        <v>#NUM!</v>
      </c>
      <c r="G3" t="e">
        <v>#NUM!</v>
      </c>
      <c r="H3" t="e">
        <v>#NUM!</v>
      </c>
      <c r="I3" t="e">
        <v>#NUM!</v>
      </c>
      <c r="J3" t="e">
        <v>#NUM!</v>
      </c>
      <c r="K3" t="e">
        <v>#NUM!</v>
      </c>
      <c r="L3" t="e">
        <v>#NUM!</v>
      </c>
      <c r="M3" t="e">
        <v>#NUM!</v>
      </c>
      <c r="N3" t="e">
        <v>#NUM!</v>
      </c>
      <c r="O3" t="e">
        <v>#NUM!</v>
      </c>
      <c r="P3" t="e">
        <v>#NUM!</v>
      </c>
      <c r="Q3" t="e">
        <v>#NUM!</v>
      </c>
      <c r="R3" t="e">
        <v>#NUM!</v>
      </c>
      <c r="S3" t="e">
        <v>#NUM!</v>
      </c>
      <c r="T3" t="e">
        <v>#NUM!</v>
      </c>
      <c r="U3" t="e">
        <v>#NUM!</v>
      </c>
      <c r="V3" t="e">
        <v>#NUM!</v>
      </c>
      <c r="W3" t="e">
        <v>#NUM!</v>
      </c>
      <c r="X3" t="e">
        <v>#NUM!</v>
      </c>
      <c r="Y3" t="e">
        <v>#NUM!</v>
      </c>
      <c r="Z3" t="e">
        <v>#NUM!</v>
      </c>
      <c r="AA3" t="e">
        <v>#NUM!</v>
      </c>
      <c r="AB3" t="e">
        <v>#NUM!</v>
      </c>
      <c r="AC3" t="e">
        <v>#NUM!</v>
      </c>
      <c r="AD3" t="n">
        <v>0</v>
      </c>
      <c r="AE3" t="n">
        <v>100</v>
      </c>
      <c r="AF3" t="n">
        <v>111.111111111111</v>
      </c>
    </row>
    <row r="4">
      <c r="A4" t="s">
        <v>78</v>
      </c>
      <c r="B4" t="s">
        <v>278</v>
      </c>
      <c r="C4" t="s">
        <v>203</v>
      </c>
      <c r="D4" t="s">
        <v>279</v>
      </c>
      <c r="E4" t="s">
        <v>204</v>
      </c>
      <c r="F4" t="n">
        <v>4.22016620176827</v>
      </c>
      <c r="G4" t="n">
        <v>6.16793521796901</v>
      </c>
      <c r="H4" t="n">
        <v>46.9812937879341</v>
      </c>
      <c r="I4" t="n">
        <v>71.1837784665669</v>
      </c>
      <c r="J4" t="n">
        <v>58.667949285632</v>
      </c>
      <c r="K4" t="n">
        <v>57.841640140764</v>
      </c>
      <c r="L4" t="n">
        <v>60.1466619147421</v>
      </c>
      <c r="M4" t="n">
        <v>59.5271486034841</v>
      </c>
      <c r="N4" t="n">
        <v>56.1017026003198</v>
      </c>
      <c r="O4" t="n">
        <v>60.398633989886</v>
      </c>
      <c r="P4" t="n">
        <v>63.5960070353341</v>
      </c>
      <c r="Q4" t="n">
        <v>68.4548237099366</v>
      </c>
      <c r="R4" t="n">
        <v>70.1901481679023</v>
      </c>
      <c r="S4" t="n">
        <v>76.5824652331934</v>
      </c>
      <c r="T4" t="n">
        <v>77.0671643802389</v>
      </c>
      <c r="U4" t="n">
        <v>71.9041680737197</v>
      </c>
      <c r="V4" t="n">
        <v>77.828856079794</v>
      </c>
      <c r="W4" t="n">
        <v>82.0650051300282</v>
      </c>
      <c r="X4" t="n">
        <v>83.6199210167024</v>
      </c>
      <c r="Y4" t="n">
        <v>88.2415876024584</v>
      </c>
      <c r="Z4" t="n">
        <v>88.4049979498704</v>
      </c>
      <c r="AA4" t="n">
        <v>89.7188726540086</v>
      </c>
      <c r="AB4" t="n">
        <v>95.0977019498125</v>
      </c>
      <c r="AC4" t="n">
        <v>95.0125652426058</v>
      </c>
      <c r="AD4" t="n">
        <v>98.105548037889</v>
      </c>
      <c r="AE4" t="n">
        <v>100</v>
      </c>
      <c r="AF4" t="n">
        <v>104.814814814815</v>
      </c>
    </row>
    <row r="5">
      <c r="A5" t="s">
        <v>78</v>
      </c>
      <c r="B5" t="s">
        <v>280</v>
      </c>
      <c r="C5" t="s">
        <v>203</v>
      </c>
      <c r="D5" t="s">
        <v>281</v>
      </c>
      <c r="E5" t="s">
        <v>204</v>
      </c>
      <c r="F5" t="n">
        <v>4.82854667982132</v>
      </c>
      <c r="G5" t="n">
        <v>6.43806223976176</v>
      </c>
      <c r="H5" t="n">
        <v>47.4075492200639</v>
      </c>
      <c r="I5" t="n">
        <v>71.9578872090255</v>
      </c>
      <c r="J5" t="n">
        <v>59.2058565643881</v>
      </c>
      <c r="K5" t="n">
        <v>58.2352687518571</v>
      </c>
      <c r="L5" t="n">
        <v>60.6234658931005</v>
      </c>
      <c r="M5" t="n">
        <v>59.9882957033008</v>
      </c>
      <c r="N5" t="n">
        <v>56.5310263247617</v>
      </c>
      <c r="O5" t="n">
        <v>60.840566448174</v>
      </c>
      <c r="P5" t="n">
        <v>64.0839054683891</v>
      </c>
      <c r="Q5" t="n">
        <v>69.0021433451155</v>
      </c>
      <c r="R5" t="n">
        <v>70.724663810412</v>
      </c>
      <c r="S5" t="n">
        <v>77.1761037317369</v>
      </c>
      <c r="T5" t="n">
        <v>77.6072551492327</v>
      </c>
      <c r="U5" t="n">
        <v>72.3798234552429</v>
      </c>
      <c r="V5" t="n">
        <v>78.271204434158</v>
      </c>
      <c r="W5" t="n">
        <v>82.5977534229808</v>
      </c>
      <c r="X5" t="n">
        <v>84.2333525006636</v>
      </c>
      <c r="Y5" t="n">
        <v>88.9833535815281</v>
      </c>
      <c r="Z5" t="n">
        <v>89.2443018325004</v>
      </c>
      <c r="AA5" t="n">
        <v>90.2470467969105</v>
      </c>
      <c r="AB5" t="n">
        <v>95.2394366197183</v>
      </c>
      <c r="AC5" t="n">
        <v>95.2394366197183</v>
      </c>
      <c r="AD5" t="n">
        <v>98</v>
      </c>
      <c r="AE5" t="n">
        <v>100</v>
      </c>
      <c r="AF5" t="n">
        <v>104.268292682927</v>
      </c>
    </row>
    <row r="6">
      <c r="A6" t="s">
        <v>78</v>
      </c>
      <c r="B6" t="s">
        <v>282</v>
      </c>
      <c r="C6" t="s">
        <v>203</v>
      </c>
      <c r="D6" t="s">
        <v>283</v>
      </c>
      <c r="E6" t="s">
        <v>204</v>
      </c>
      <c r="F6" t="n">
        <v>2.76990668386915</v>
      </c>
      <c r="G6" t="n">
        <v>5.5398133677383</v>
      </c>
      <c r="H6" t="n">
        <v>45.703460283841</v>
      </c>
      <c r="I6" t="n">
        <v>69.5487439101928</v>
      </c>
      <c r="J6" t="n">
        <v>56.7744848246472</v>
      </c>
      <c r="K6" t="n">
        <v>55.9748441933142</v>
      </c>
      <c r="L6" t="n">
        <v>58.1159584520748</v>
      </c>
      <c r="M6" t="n">
        <v>57.5405529228463</v>
      </c>
      <c r="N6" t="n">
        <v>54.1861709138912</v>
      </c>
      <c r="O6" t="n">
        <v>58.2646999074099</v>
      </c>
      <c r="P6" t="n">
        <v>61.3312630604314</v>
      </c>
      <c r="Q6" t="n">
        <v>66.0490525266185</v>
      </c>
      <c r="R6" t="n">
        <v>67.7922826519544</v>
      </c>
      <c r="S6" t="n">
        <v>73.8762054540529</v>
      </c>
      <c r="T6" t="n">
        <v>74.5539688068424</v>
      </c>
      <c r="U6" t="n">
        <v>69.5837042197196</v>
      </c>
      <c r="V6" t="n">
        <v>75.9094955124213</v>
      </c>
      <c r="W6" t="n">
        <v>79.5242333939652</v>
      </c>
      <c r="X6" t="n">
        <v>80.7667995407459</v>
      </c>
      <c r="Y6" t="n">
        <v>85.4625437000916</v>
      </c>
      <c r="Z6" t="n">
        <v>85.4625437000916</v>
      </c>
      <c r="AA6" t="n">
        <v>87.9043306629513</v>
      </c>
      <c r="AB6" t="n">
        <v>92.9757343550447</v>
      </c>
      <c r="AC6" t="n">
        <v>92.9757343550447</v>
      </c>
      <c r="AD6" t="n">
        <v>96.2962962962963</v>
      </c>
      <c r="AE6" t="n">
        <v>100</v>
      </c>
      <c r="AF6" t="n">
        <v>108.333333333333</v>
      </c>
    </row>
    <row r="7">
      <c r="A7" t="s">
        <v>78</v>
      </c>
      <c r="B7" t="s">
        <v>284</v>
      </c>
      <c r="C7" t="s">
        <v>203</v>
      </c>
      <c r="D7" t="s">
        <v>285</v>
      </c>
      <c r="E7" t="s">
        <v>204</v>
      </c>
      <c r="F7" t="n">
        <v>6.61121988038487</v>
      </c>
      <c r="G7" t="n">
        <v>6.61121988038487</v>
      </c>
      <c r="H7" t="n">
        <v>46.2785391626941</v>
      </c>
      <c r="I7" t="n">
        <v>69.4178087440411</v>
      </c>
      <c r="J7" t="n">
        <v>57.8481739533676</v>
      </c>
      <c r="K7" t="n">
        <v>56.8998432328206</v>
      </c>
      <c r="L7" t="n">
        <v>59.0882987417752</v>
      </c>
      <c r="M7" t="n">
        <v>58.4142877295116</v>
      </c>
      <c r="N7" t="n">
        <v>55.1106519196164</v>
      </c>
      <c r="O7" t="n">
        <v>59.4129704709619</v>
      </c>
      <c r="P7" t="n">
        <v>62.539968916802</v>
      </c>
      <c r="Q7" t="n">
        <v>67.3075898656165</v>
      </c>
      <c r="R7" t="n">
        <v>69.0599768206976</v>
      </c>
      <c r="S7" t="n">
        <v>75.4295863332863</v>
      </c>
      <c r="T7" t="n">
        <v>76.1915013467538</v>
      </c>
      <c r="U7" t="n">
        <v>71.4295325125817</v>
      </c>
      <c r="V7" t="n">
        <v>77.7788242914778</v>
      </c>
      <c r="W7" t="n">
        <v>82.2233285367052</v>
      </c>
      <c r="X7" t="n">
        <v>83.3814035865179</v>
      </c>
      <c r="Y7" t="n">
        <v>88.0137037857689</v>
      </c>
      <c r="Z7" t="n">
        <v>88.9600876974438</v>
      </c>
      <c r="AA7" t="n">
        <v>88.9600876974438</v>
      </c>
      <c r="AB7" t="n">
        <v>93.9578454332553</v>
      </c>
      <c r="AC7" t="n">
        <v>93.9578454332553</v>
      </c>
      <c r="AD7" t="n">
        <v>97.1428571428572</v>
      </c>
      <c r="AE7" t="n">
        <v>100</v>
      </c>
      <c r="AF7" t="n">
        <v>104.411764705882</v>
      </c>
    </row>
    <row r="8">
      <c r="A8" t="s">
        <v>78</v>
      </c>
      <c r="B8" t="s">
        <v>286</v>
      </c>
      <c r="C8" t="s">
        <v>203</v>
      </c>
      <c r="D8" t="s">
        <v>287</v>
      </c>
      <c r="E8" t="s">
        <v>204</v>
      </c>
      <c r="F8" t="e">
        <v>#NUM!</v>
      </c>
      <c r="G8" t="e">
        <v>#NUM!</v>
      </c>
      <c r="H8" t="e">
        <v>#NUM!</v>
      </c>
      <c r="I8" t="e">
        <v>#NUM!</v>
      </c>
      <c r="J8" t="n">
        <v>0</v>
      </c>
      <c r="K8" t="n">
        <v>0</v>
      </c>
      <c r="L8" t="n">
        <v>0</v>
      </c>
      <c r="M8" t="n">
        <v>36.3100998832097</v>
      </c>
      <c r="N8" t="n">
        <v>34.2548112105752</v>
      </c>
      <c r="O8" t="n">
        <v>36.8331303339518</v>
      </c>
      <c r="P8" t="n">
        <v>38.7717161410019</v>
      </c>
      <c r="Q8" t="n">
        <v>41.8126350540216</v>
      </c>
      <c r="R8" t="n">
        <v>42.8847539015606</v>
      </c>
      <c r="S8" t="n">
        <v>46.7226890756303</v>
      </c>
      <c r="T8" t="n">
        <v>47.0588235294118</v>
      </c>
      <c r="U8" t="n">
        <v>47.0588235294118</v>
      </c>
      <c r="V8" t="n">
        <v>47.0588235294118</v>
      </c>
      <c r="W8" t="n">
        <v>47.0588235294118</v>
      </c>
      <c r="X8" t="n">
        <v>47.0588235294118</v>
      </c>
      <c r="Y8" t="n">
        <v>47.0588235294118</v>
      </c>
      <c r="Z8" t="n">
        <v>47.0588235294118</v>
      </c>
      <c r="AA8" t="n">
        <v>47.0588235294118</v>
      </c>
      <c r="AB8" t="n">
        <v>50</v>
      </c>
      <c r="AC8" t="n">
        <v>50</v>
      </c>
      <c r="AD8" t="n">
        <v>100</v>
      </c>
      <c r="AE8" t="n">
        <v>100</v>
      </c>
      <c r="AF8" t="n">
        <v>120</v>
      </c>
    </row>
    <row r="9">
      <c r="A9" t="s">
        <v>78</v>
      </c>
      <c r="B9" t="s">
        <v>288</v>
      </c>
      <c r="C9" t="s">
        <v>203</v>
      </c>
      <c r="D9" t="s">
        <v>289</v>
      </c>
      <c r="E9" t="s">
        <v>204</v>
      </c>
      <c r="F9" t="n">
        <v>2.99253715005521</v>
      </c>
      <c r="G9" t="n">
        <v>5.98507430011043</v>
      </c>
      <c r="H9" t="n">
        <v>45.4865646808392</v>
      </c>
      <c r="I9" t="n">
        <v>68.6589655559837</v>
      </c>
      <c r="J9" t="n">
        <v>57.2158046299864</v>
      </c>
      <c r="K9" t="n">
        <v>57.2158046299864</v>
      </c>
      <c r="L9" t="n">
        <v>60.2271627684068</v>
      </c>
      <c r="M9" t="n">
        <v>59.6105023987644</v>
      </c>
      <c r="N9" t="n">
        <v>56.1040022576606</v>
      </c>
      <c r="O9" t="n">
        <v>60.245908464602</v>
      </c>
      <c r="P9" t="n">
        <v>63.4167457522126</v>
      </c>
      <c r="Q9" t="n">
        <v>68.2949569639213</v>
      </c>
      <c r="R9" t="n">
        <v>70.046109706586</v>
      </c>
      <c r="S9" t="n">
        <v>76.5209601836653</v>
      </c>
      <c r="T9" t="n">
        <v>77.2938991754195</v>
      </c>
      <c r="U9" t="n">
        <v>70.6687078175264</v>
      </c>
      <c r="V9" t="n">
        <v>76.2478163294364</v>
      </c>
      <c r="W9" t="n">
        <v>80.7091247316907</v>
      </c>
      <c r="X9" t="n">
        <v>82.399368181569</v>
      </c>
      <c r="Y9" t="n">
        <v>87.1079035062301</v>
      </c>
      <c r="Z9" t="n">
        <v>87.1079035062301</v>
      </c>
      <c r="AA9" t="n">
        <v>88.6916835699797</v>
      </c>
      <c r="AB9" t="n">
        <v>95.2614379084967</v>
      </c>
      <c r="AC9" t="n">
        <v>95.2614379084967</v>
      </c>
      <c r="AD9" t="n">
        <v>98.1481481481481</v>
      </c>
      <c r="AE9" t="n">
        <v>100</v>
      </c>
      <c r="AF9" t="n">
        <v>104.444444444444</v>
      </c>
    </row>
    <row r="10">
      <c r="A10" t="s">
        <v>78</v>
      </c>
      <c r="B10" t="s">
        <v>290</v>
      </c>
      <c r="C10" t="s">
        <v>203</v>
      </c>
      <c r="D10" t="s">
        <v>291</v>
      </c>
      <c r="E10" t="s">
        <v>204</v>
      </c>
      <c r="F10" t="n">
        <v>3.2160582517559</v>
      </c>
      <c r="G10" t="n">
        <v>6.4321165035118</v>
      </c>
      <c r="H10" t="n">
        <v>46.0968349418346</v>
      </c>
      <c r="I10" t="n">
        <v>69.1452524127519</v>
      </c>
      <c r="J10" t="n">
        <v>57.6210436772932</v>
      </c>
      <c r="K10" t="n">
        <v>57.6210436772932</v>
      </c>
      <c r="L10" t="n">
        <v>60.6537301866244</v>
      </c>
      <c r="M10" t="n">
        <v>60.0015395394565</v>
      </c>
      <c r="N10" t="n">
        <v>56.5231894212271</v>
      </c>
      <c r="O10" t="n">
        <v>60.6590325496096</v>
      </c>
      <c r="P10" t="n">
        <v>63.8516132101153</v>
      </c>
      <c r="Q10" t="n">
        <v>68.8056176833139</v>
      </c>
      <c r="R10" t="n">
        <v>70.6083849588593</v>
      </c>
      <c r="S10" t="n">
        <v>77.0685421701835</v>
      </c>
      <c r="T10" t="n">
        <v>77.7161769783363</v>
      </c>
      <c r="U10" t="n">
        <v>70.9582485454375</v>
      </c>
      <c r="V10" t="n">
        <v>76.5236013725306</v>
      </c>
      <c r="W10" t="n">
        <v>81.0249896885618</v>
      </c>
      <c r="X10" t="n">
        <v>82.8335832083958</v>
      </c>
      <c r="Y10" t="n">
        <v>85.7919254658385</v>
      </c>
      <c r="Z10" t="n">
        <v>85.7919254658385</v>
      </c>
      <c r="AA10" t="n">
        <v>87.6984126984127</v>
      </c>
      <c r="AB10" t="n">
        <v>94.4444444444444</v>
      </c>
      <c r="AC10" t="n">
        <v>94.4444444444444</v>
      </c>
      <c r="AD10" t="n">
        <v>98.0769230769231</v>
      </c>
      <c r="AE10" t="n">
        <v>100</v>
      </c>
      <c r="AF10" t="n">
        <v>104.950495049505</v>
      </c>
    </row>
    <row r="11">
      <c r="A11" t="s">
        <v>78</v>
      </c>
      <c r="B11" t="s">
        <v>292</v>
      </c>
      <c r="C11" t="s">
        <v>203</v>
      </c>
      <c r="D11" t="s">
        <v>293</v>
      </c>
      <c r="E11" t="s">
        <v>204</v>
      </c>
      <c r="F11" t="e">
        <v>#NUM!</v>
      </c>
      <c r="G11" t="n">
        <v>0</v>
      </c>
      <c r="H11" t="e">
        <v>#NUM!</v>
      </c>
      <c r="I11" t="e">
        <v>#NUM!</v>
      </c>
      <c r="J11" t="n">
        <v>0</v>
      </c>
      <c r="K11" t="n">
        <v>0</v>
      </c>
      <c r="L11" t="n">
        <v>0</v>
      </c>
      <c r="M11" t="n">
        <v>58.6677437703042</v>
      </c>
      <c r="N11" t="n">
        <v>55.3469280851927</v>
      </c>
      <c r="O11" t="n">
        <v>59.3002800912779</v>
      </c>
      <c r="P11" t="n">
        <v>62.421347464503</v>
      </c>
      <c r="Q11" t="n">
        <v>67.3611663286004</v>
      </c>
      <c r="R11" t="n">
        <v>69.2497971602434</v>
      </c>
      <c r="S11" t="n">
        <v>75.4978991596638</v>
      </c>
      <c r="T11" t="n">
        <v>75.4978991596639</v>
      </c>
      <c r="U11" t="n">
        <v>68.6344537815126</v>
      </c>
      <c r="V11" t="n">
        <v>73.9140271493212</v>
      </c>
      <c r="W11" t="n">
        <v>78.393665158371</v>
      </c>
      <c r="X11" t="n">
        <v>80.7692307692307</v>
      </c>
      <c r="Y11" t="n">
        <v>92.3076923076923</v>
      </c>
      <c r="Z11" t="n">
        <v>92.3076923076923</v>
      </c>
      <c r="AA11" t="n">
        <v>92.3076923076923</v>
      </c>
      <c r="AB11" t="n">
        <v>92.3076923076923</v>
      </c>
      <c r="AC11" t="n">
        <v>92.3076923076923</v>
      </c>
      <c r="AD11" t="n">
        <v>100</v>
      </c>
      <c r="AE11" t="n">
        <v>100</v>
      </c>
      <c r="AF11" t="n">
        <v>109.090909090909</v>
      </c>
    </row>
    <row r="12">
      <c r="A12" t="s">
        <v>78</v>
      </c>
      <c r="B12" t="s">
        <v>294</v>
      </c>
      <c r="C12" t="s">
        <v>203</v>
      </c>
      <c r="D12" t="s">
        <v>295</v>
      </c>
      <c r="E12" t="s">
        <v>204</v>
      </c>
      <c r="F12" t="n">
        <v>4.08528476710132</v>
      </c>
      <c r="G12" t="n">
        <v>6.12792715065198</v>
      </c>
      <c r="H12" t="n">
        <v>49.0234172052159</v>
      </c>
      <c r="I12" t="n">
        <v>74.2779048563877</v>
      </c>
      <c r="J12" t="n">
        <v>60.8835285708096</v>
      </c>
      <c r="K12" t="n">
        <v>60.0260140838968</v>
      </c>
      <c r="L12" t="n">
        <v>62.4270546472526</v>
      </c>
      <c r="M12" t="n">
        <v>61.8381201694484</v>
      </c>
      <c r="N12" t="n">
        <v>58.2332073344581</v>
      </c>
      <c r="O12" t="n">
        <v>62.7126848217241</v>
      </c>
      <c r="P12" t="n">
        <v>66.0133524439201</v>
      </c>
      <c r="Q12" t="n">
        <v>71.0408594181259</v>
      </c>
      <c r="R12" t="n">
        <v>72.8168809035791</v>
      </c>
      <c r="S12" t="n">
        <v>79.4680076290543</v>
      </c>
      <c r="T12" t="n">
        <v>79.9525686511827</v>
      </c>
      <c r="U12" t="n">
        <v>74.1023807010961</v>
      </c>
      <c r="V12" t="n">
        <v>79.6950132068392</v>
      </c>
      <c r="W12" t="n">
        <v>83.8273472249716</v>
      </c>
      <c r="X12" t="n">
        <v>85.0511041187668</v>
      </c>
      <c r="Y12" t="n">
        <v>89.3757365315855</v>
      </c>
      <c r="Z12" t="n">
        <v>89.3757365315855</v>
      </c>
      <c r="AA12" t="n">
        <v>90.4656845380682</v>
      </c>
      <c r="AB12" t="n">
        <v>95.7355302393149</v>
      </c>
      <c r="AC12" t="n">
        <v>95.4363567073171</v>
      </c>
      <c r="AD12" t="n">
        <v>98.4375</v>
      </c>
      <c r="AE12" t="n">
        <v>100</v>
      </c>
      <c r="AF12" t="n">
        <v>104.807692307692</v>
      </c>
    </row>
    <row r="13">
      <c r="A13" t="s">
        <v>78</v>
      </c>
      <c r="B13" t="s">
        <v>296</v>
      </c>
      <c r="C13" t="s">
        <v>203</v>
      </c>
      <c r="D13" t="s">
        <v>297</v>
      </c>
      <c r="E13" t="s">
        <v>204</v>
      </c>
      <c r="F13" t="n">
        <v>4.26198684632503</v>
      </c>
      <c r="G13" t="n">
        <v>6.39298026948755</v>
      </c>
      <c r="H13" t="n">
        <v>45.5499844200988</v>
      </c>
      <c r="I13" t="n">
        <v>69.1898497520487</v>
      </c>
      <c r="J13" t="n">
        <v>57.6582081267073</v>
      </c>
      <c r="K13" t="n">
        <v>56.9877638461642</v>
      </c>
      <c r="L13" t="n">
        <v>59.2080663336771</v>
      </c>
      <c r="M13" t="n">
        <v>58.5574282420982</v>
      </c>
      <c r="N13" t="n">
        <v>55.1669588934389</v>
      </c>
      <c r="O13" t="n">
        <v>59.4278215722005</v>
      </c>
      <c r="P13" t="n">
        <v>62.5556016549479</v>
      </c>
      <c r="Q13" t="n">
        <v>67.3533764131445</v>
      </c>
      <c r="R13" t="n">
        <v>69.0662186352999</v>
      </c>
      <c r="S13" t="n">
        <v>75.313844360674</v>
      </c>
      <c r="T13" t="n">
        <v>75.7345920945325</v>
      </c>
      <c r="U13" t="n">
        <v>71.3441809586176</v>
      </c>
      <c r="V13" t="n">
        <v>77.3902979890089</v>
      </c>
      <c r="W13" t="n">
        <v>81.7380675389532</v>
      </c>
      <c r="X13" t="n">
        <v>82.6362880613593</v>
      </c>
      <c r="Y13" t="n">
        <v>87.227192953657</v>
      </c>
      <c r="Z13" t="n">
        <v>87.227192953657</v>
      </c>
      <c r="AA13" t="n">
        <v>89.2557323246723</v>
      </c>
      <c r="AB13" t="n">
        <v>94.7995666305526</v>
      </c>
      <c r="AC13" t="n">
        <v>94.7995666305525</v>
      </c>
      <c r="AD13" t="n">
        <v>98.5915492957746</v>
      </c>
      <c r="AE13" t="n">
        <v>100</v>
      </c>
      <c r="AF13" t="n">
        <v>104.761904761905</v>
      </c>
    </row>
    <row r="14">
      <c r="A14" t="s">
        <v>78</v>
      </c>
      <c r="B14" t="s">
        <v>298</v>
      </c>
      <c r="C14" t="s">
        <v>203</v>
      </c>
      <c r="D14" t="s">
        <v>299</v>
      </c>
      <c r="E14" t="s">
        <v>204</v>
      </c>
      <c r="F14" t="n">
        <v>0</v>
      </c>
      <c r="G14" t="n">
        <v>4.68343870355945</v>
      </c>
      <c r="H14" t="n">
        <v>46.8343870355945</v>
      </c>
      <c r="I14" t="n">
        <v>72.0529031316839</v>
      </c>
      <c r="J14" t="n">
        <v>60.0440859430699</v>
      </c>
      <c r="K14" t="n">
        <v>58.5795960420194</v>
      </c>
      <c r="L14" t="n">
        <v>60.8619179657345</v>
      </c>
      <c r="M14" t="n">
        <v>60.259324718549</v>
      </c>
      <c r="N14" t="n">
        <v>56.8484195458009</v>
      </c>
      <c r="O14" t="n">
        <v>60.9090209419296</v>
      </c>
      <c r="P14" t="n">
        <v>64.4230029193486</v>
      </c>
      <c r="Q14" t="n">
        <v>69.21479652492</v>
      </c>
      <c r="R14" t="n">
        <v>70.3879286694101</v>
      </c>
      <c r="S14" t="n">
        <v>76.7868312757201</v>
      </c>
      <c r="T14" t="n">
        <v>76.7868312757201</v>
      </c>
      <c r="U14" t="n">
        <v>76.7868312757201</v>
      </c>
      <c r="V14" t="n">
        <v>76.7868312757201</v>
      </c>
      <c r="W14" t="n">
        <v>82.2716049382716</v>
      </c>
      <c r="X14" t="n">
        <v>88.1481481481482</v>
      </c>
      <c r="Y14" t="n">
        <v>94.4444444444445</v>
      </c>
      <c r="Z14" t="n">
        <v>94.4444444444445</v>
      </c>
      <c r="AA14" t="n">
        <v>94.4444444444445</v>
      </c>
      <c r="AB14" t="n">
        <v>100</v>
      </c>
      <c r="AC14" t="n">
        <v>100</v>
      </c>
      <c r="AD14" t="n">
        <v>100</v>
      </c>
      <c r="AE14" t="n">
        <v>100</v>
      </c>
      <c r="AF14" t="n">
        <v>110</v>
      </c>
    </row>
    <row r="15">
      <c r="A15" t="s">
        <v>78</v>
      </c>
      <c r="B15" t="s">
        <v>300</v>
      </c>
      <c r="C15" t="s">
        <v>203</v>
      </c>
      <c r="D15" t="s">
        <v>301</v>
      </c>
      <c r="E15" t="s">
        <v>204</v>
      </c>
      <c r="F15" t="n">
        <v>0</v>
      </c>
      <c r="G15" t="n">
        <v>6.60719960285237</v>
      </c>
      <c r="H15" t="n">
        <v>49.5539970213928</v>
      </c>
      <c r="I15" t="n">
        <v>74.3309955320892</v>
      </c>
      <c r="J15" t="n">
        <v>61.942496276741</v>
      </c>
      <c r="K15" t="n">
        <v>60.7279375262167</v>
      </c>
      <c r="L15" t="n">
        <v>63.0195578102248</v>
      </c>
      <c r="M15" t="n">
        <v>62.1903531021956</v>
      </c>
      <c r="N15" t="n">
        <v>58.7205050750344</v>
      </c>
      <c r="O15" t="n">
        <v>63.2374670038832</v>
      </c>
      <c r="P15" t="n">
        <v>66.6957659806581</v>
      </c>
      <c r="Q15" t="n">
        <v>71.656608078393</v>
      </c>
      <c r="R15" t="n">
        <v>73.3230408244021</v>
      </c>
      <c r="S15" t="n">
        <v>79.9887718084387</v>
      </c>
      <c r="T15" t="n">
        <v>79.9887718084387</v>
      </c>
      <c r="U15" t="n">
        <v>76.7892209361011</v>
      </c>
      <c r="V15" t="n">
        <v>80.6286819829062</v>
      </c>
      <c r="W15" t="n">
        <v>84.7634861871578</v>
      </c>
      <c r="X15" t="n">
        <v>89.1103316326531</v>
      </c>
      <c r="Y15" t="n">
        <v>92.4107142857143</v>
      </c>
      <c r="Z15" t="n">
        <v>92.4107142857143</v>
      </c>
      <c r="AA15" t="n">
        <v>92.4107142857143</v>
      </c>
      <c r="AB15" t="n">
        <v>96.4285714285714</v>
      </c>
      <c r="AC15" t="n">
        <v>96.4285714285714</v>
      </c>
      <c r="AD15" t="n">
        <v>100</v>
      </c>
      <c r="AE15" t="n">
        <v>100</v>
      </c>
      <c r="AF15" t="n">
        <v>105.405405405405</v>
      </c>
    </row>
    <row r="16">
      <c r="A16" t="s">
        <v>78</v>
      </c>
      <c r="B16" t="s">
        <v>302</v>
      </c>
      <c r="C16" t="s">
        <v>203</v>
      </c>
      <c r="D16" t="s">
        <v>303</v>
      </c>
      <c r="E16" t="s">
        <v>204</v>
      </c>
      <c r="F16" t="e">
        <v>#NUM!</v>
      </c>
      <c r="G16" t="n">
        <v>0</v>
      </c>
      <c r="H16" t="e">
        <v>#NUM!</v>
      </c>
      <c r="I16" t="e">
        <v>#NUM!</v>
      </c>
      <c r="J16" t="n">
        <v>0</v>
      </c>
      <c r="K16" t="n">
        <v>66.3903404244868</v>
      </c>
      <c r="L16" t="n">
        <v>68.6796625080898</v>
      </c>
      <c r="M16" t="n">
        <v>67.3330024589116</v>
      </c>
      <c r="N16" t="n">
        <v>63.6933807043758</v>
      </c>
      <c r="O16" t="n">
        <v>69.2319355482346</v>
      </c>
      <c r="P16" t="n">
        <v>72.8757216297206</v>
      </c>
      <c r="Q16" t="n">
        <v>78.2962298501131</v>
      </c>
      <c r="R16" t="n">
        <v>80.3038254872955</v>
      </c>
      <c r="S16" t="n">
        <v>87.6041732588678</v>
      </c>
      <c r="T16" t="n">
        <v>87.6041732588678</v>
      </c>
      <c r="U16" t="n">
        <v>82.7372747444863</v>
      </c>
      <c r="V16" t="n">
        <v>88.2530930607853</v>
      </c>
      <c r="W16" t="n">
        <v>91.7832167832168</v>
      </c>
      <c r="X16" t="n">
        <v>95.4545454545454</v>
      </c>
      <c r="Y16" t="n">
        <v>95.4545454545454</v>
      </c>
      <c r="Z16" t="n">
        <v>95.4545454545455</v>
      </c>
      <c r="AA16" t="n">
        <v>95.4545454545455</v>
      </c>
      <c r="AB16" t="n">
        <v>95.4545454545455</v>
      </c>
      <c r="AC16" t="n">
        <v>95.4545454545455</v>
      </c>
      <c r="AD16" t="n">
        <v>100</v>
      </c>
      <c r="AE16" t="n">
        <v>100</v>
      </c>
      <c r="AF16" t="n">
        <v>103.703703703704</v>
      </c>
    </row>
    <row r="17">
      <c r="A17" t="s">
        <v>78</v>
      </c>
      <c r="B17" t="s">
        <v>304</v>
      </c>
      <c r="C17" t="s">
        <v>203</v>
      </c>
      <c r="D17" t="s">
        <v>305</v>
      </c>
      <c r="E17" t="s">
        <v>204</v>
      </c>
      <c r="F17" t="n">
        <v>5.98909695231175</v>
      </c>
      <c r="G17" t="n">
        <v>5.98909695231175</v>
      </c>
      <c r="H17" t="n">
        <v>47.912775618494</v>
      </c>
      <c r="I17" t="n">
        <v>72.5951145734757</v>
      </c>
      <c r="J17" t="n">
        <v>60.4959288112298</v>
      </c>
      <c r="K17" t="n">
        <v>59.6438734758604</v>
      </c>
      <c r="L17" t="n">
        <v>62.0456401930091</v>
      </c>
      <c r="M17" t="n">
        <v>61.5107639844487</v>
      </c>
      <c r="N17" t="n">
        <v>57.9249346938754</v>
      </c>
      <c r="O17" t="n">
        <v>62.5089223315202</v>
      </c>
      <c r="P17" t="n">
        <v>65.7988656121266</v>
      </c>
      <c r="Q17" t="n">
        <v>70.7962478105159</v>
      </c>
      <c r="R17" t="n">
        <v>72.6115362159138</v>
      </c>
      <c r="S17" t="n">
        <v>79.270236043574</v>
      </c>
      <c r="T17" t="n">
        <v>79.270236043574</v>
      </c>
      <c r="U17" t="n">
        <v>73.8033232129827</v>
      </c>
      <c r="V17" t="n">
        <v>79.4805019216736</v>
      </c>
      <c r="W17" t="n">
        <v>84.155825564125</v>
      </c>
      <c r="X17" t="n">
        <v>86.6309969042464</v>
      </c>
      <c r="Y17" t="n">
        <v>89.724961079398</v>
      </c>
      <c r="Z17" t="n">
        <v>89.724961079398</v>
      </c>
      <c r="AA17" t="n">
        <v>89.724961079398</v>
      </c>
      <c r="AB17" t="n">
        <v>96.8085106382979</v>
      </c>
      <c r="AC17" t="n">
        <v>96.8085106382979</v>
      </c>
      <c r="AD17" t="n">
        <v>100</v>
      </c>
      <c r="AE17" t="n">
        <v>100</v>
      </c>
      <c r="AF17" t="n">
        <v>103.333333333333</v>
      </c>
    </row>
    <row r="18">
      <c r="A18" t="s">
        <v>78</v>
      </c>
      <c r="B18" t="s">
        <v>306</v>
      </c>
      <c r="C18" t="s">
        <v>203</v>
      </c>
      <c r="D18" t="s">
        <v>307</v>
      </c>
      <c r="E18" t="s">
        <v>204</v>
      </c>
      <c r="F18" t="n">
        <v>5.34819873646747</v>
      </c>
      <c r="G18" t="n">
        <v>5.34819873646747</v>
      </c>
      <c r="H18" t="n">
        <v>37.4373911552723</v>
      </c>
      <c r="I18" t="n">
        <v>56.1560867329084</v>
      </c>
      <c r="J18" t="n">
        <v>46.7967389440903</v>
      </c>
      <c r="K18" t="n">
        <v>45.9610828915173</v>
      </c>
      <c r="L18" t="n">
        <v>48.3800872542287</v>
      </c>
      <c r="M18" t="n">
        <v>48.3800872542287</v>
      </c>
      <c r="N18" t="n">
        <v>46.0762735754559</v>
      </c>
      <c r="O18" t="n">
        <v>49.6206023120295</v>
      </c>
      <c r="P18" t="n">
        <v>52.232212960031</v>
      </c>
      <c r="Q18" t="n">
        <v>56.0684771887339</v>
      </c>
      <c r="R18" t="n">
        <v>57.0187903614243</v>
      </c>
      <c r="S18" t="n">
        <v>62.3053007260596</v>
      </c>
      <c r="T18" t="n">
        <v>62.3053007260596</v>
      </c>
      <c r="U18" t="n">
        <v>58.151614010989</v>
      </c>
      <c r="V18" t="n">
        <v>64.2728365384615</v>
      </c>
      <c r="W18" t="n">
        <v>66.84375</v>
      </c>
      <c r="X18" t="n">
        <v>66.84375</v>
      </c>
      <c r="Y18" t="n">
        <v>72.65625</v>
      </c>
      <c r="Z18" t="n">
        <v>72.65625</v>
      </c>
      <c r="AA18" t="n">
        <v>72.65625</v>
      </c>
      <c r="AB18" t="n">
        <v>96.875</v>
      </c>
      <c r="AC18" t="n">
        <v>96.875</v>
      </c>
      <c r="AD18" t="n">
        <v>100</v>
      </c>
      <c r="AE18" t="n">
        <v>100</v>
      </c>
      <c r="AF18" t="n">
        <v>100</v>
      </c>
    </row>
    <row r="19">
      <c r="A19" t="s">
        <v>78</v>
      </c>
      <c r="B19" t="s">
        <v>308</v>
      </c>
      <c r="C19" t="s">
        <v>203</v>
      </c>
      <c r="D19" t="s">
        <v>309</v>
      </c>
      <c r="E19" t="s">
        <v>204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56.4901681561855</v>
      </c>
      <c r="L19" t="n">
        <v>58.7497748824329</v>
      </c>
      <c r="M19" t="n">
        <v>58.7497748824329</v>
      </c>
      <c r="N19" t="n">
        <v>55.5741113752744</v>
      </c>
      <c r="O19" t="n">
        <v>60.080120405702</v>
      </c>
      <c r="P19" t="n">
        <v>63.3432579357242</v>
      </c>
      <c r="Q19" t="n">
        <v>68.1110300384131</v>
      </c>
      <c r="R19" t="n">
        <v>69.9354326287277</v>
      </c>
      <c r="S19" t="n">
        <v>76.1942456655399</v>
      </c>
      <c r="T19" t="n">
        <v>76.9638845106464</v>
      </c>
      <c r="U19" t="n">
        <v>70.9275014117722</v>
      </c>
      <c r="V19" t="n">
        <v>77.6825015462267</v>
      </c>
      <c r="W19" t="n">
        <v>81.8440641290602</v>
      </c>
      <c r="X19" t="n">
        <v>83.2799249032543</v>
      </c>
      <c r="Y19" t="n">
        <v>87.9065873978795</v>
      </c>
      <c r="Z19" t="n">
        <v>87.9065873978795</v>
      </c>
      <c r="AA19" t="n">
        <v>89.1190920516434</v>
      </c>
      <c r="AB19" t="n">
        <v>94.1826768273049</v>
      </c>
      <c r="AC19" t="n">
        <v>94.1826768273049</v>
      </c>
      <c r="AD19" t="n">
        <v>97.4025974025974</v>
      </c>
      <c r="AE19" t="n">
        <v>100</v>
      </c>
      <c r="AF19" t="n">
        <v>105.102040816327</v>
      </c>
    </row>
    <row r="20">
      <c r="A20" t="s">
        <v>78</v>
      </c>
      <c r="B20" t="s">
        <v>310</v>
      </c>
      <c r="C20" t="s">
        <v>203</v>
      </c>
      <c r="D20" t="s">
        <v>311</v>
      </c>
      <c r="E20" t="s">
        <v>204</v>
      </c>
      <c r="F20" t="e">
        <v>#NUM!</v>
      </c>
      <c r="G20" t="e">
        <v>#NUM!</v>
      </c>
      <c r="H20" t="e">
        <v>#NUM!</v>
      </c>
      <c r="I20" t="e">
        <v>#NUM!</v>
      </c>
      <c r="J20" t="e">
        <v>#NUM!</v>
      </c>
      <c r="K20" t="n">
        <v>0</v>
      </c>
      <c r="L20" t="n">
        <v>59.2168618778428</v>
      </c>
      <c r="M20" t="n">
        <v>58.593526489655</v>
      </c>
      <c r="N20" t="n">
        <v>55.2076779620718</v>
      </c>
      <c r="O20" t="n">
        <v>59.4310315393417</v>
      </c>
      <c r="P20" t="n">
        <v>62.5904991646089</v>
      </c>
      <c r="Q20" t="n">
        <v>67.3336127714367</v>
      </c>
      <c r="R20" t="n">
        <v>69.0229865685695</v>
      </c>
      <c r="S20" t="n">
        <v>75.3088995805612</v>
      </c>
      <c r="T20" t="n">
        <v>75.8242097438691</v>
      </c>
      <c r="U20" t="n">
        <v>70.6543772613325</v>
      </c>
      <c r="V20" t="n">
        <v>75.9534555559325</v>
      </c>
      <c r="W20" t="n">
        <v>80.6516074459901</v>
      </c>
      <c r="X20" t="n">
        <v>82.2809328489394</v>
      </c>
      <c r="Y20" t="n">
        <v>87.2676560519054</v>
      </c>
      <c r="Z20" t="n">
        <v>87.9948865190047</v>
      </c>
      <c r="AA20" t="n">
        <v>89.2579710144928</v>
      </c>
      <c r="AB20" t="n">
        <v>94.4173913043478</v>
      </c>
      <c r="AC20" t="n">
        <v>94.4173913043478</v>
      </c>
      <c r="AD20" t="n">
        <v>97.6</v>
      </c>
      <c r="AE20" t="n">
        <v>100</v>
      </c>
      <c r="AF20" t="n">
        <v>105.084745762712</v>
      </c>
    </row>
    <row r="21">
      <c r="A21" t="s">
        <v>78</v>
      </c>
      <c r="B21" t="s">
        <v>312</v>
      </c>
      <c r="C21" t="s">
        <v>203</v>
      </c>
      <c r="D21" t="s">
        <v>313</v>
      </c>
      <c r="E21" t="s">
        <v>204</v>
      </c>
      <c r="F21" t="n">
        <v>6.91624125922509</v>
      </c>
      <c r="G21" t="n">
        <v>6.91624125922509</v>
      </c>
      <c r="H21" t="n">
        <v>47.425654348972</v>
      </c>
      <c r="I21" t="n">
        <v>71.857052043897</v>
      </c>
      <c r="J21" t="n">
        <v>58.658817995018</v>
      </c>
      <c r="K21" t="n">
        <v>58.658817995018</v>
      </c>
      <c r="L21" t="n">
        <v>60.1628902513005</v>
      </c>
      <c r="M21" t="n">
        <v>59.5506869277442</v>
      </c>
      <c r="N21" t="n">
        <v>56.1115895063851</v>
      </c>
      <c r="O21" t="n">
        <v>60.4203328541704</v>
      </c>
      <c r="P21" t="n">
        <v>63.6293323049418</v>
      </c>
      <c r="Q21" t="n">
        <v>68.4532167035114</v>
      </c>
      <c r="R21" t="n">
        <v>70.1604544279243</v>
      </c>
      <c r="S21" t="n">
        <v>76.5603599026527</v>
      </c>
      <c r="T21" t="n">
        <v>77.0552098743227</v>
      </c>
      <c r="U21" t="n">
        <v>71.8184480382037</v>
      </c>
      <c r="V21" t="n">
        <v>77.2500953688241</v>
      </c>
      <c r="W21" t="n">
        <v>82.0186197743071</v>
      </c>
      <c r="X21" t="n">
        <v>83.5098674065673</v>
      </c>
      <c r="Y21" t="n">
        <v>88.2579200684791</v>
      </c>
      <c r="Z21" t="n">
        <v>88.2579200684791</v>
      </c>
      <c r="AA21" t="n">
        <v>89.4710873546438</v>
      </c>
      <c r="AB21" t="n">
        <v>94.617654326371</v>
      </c>
      <c r="AC21" t="n">
        <v>94.617654326371</v>
      </c>
      <c r="AD21" t="n">
        <v>97.8328173374613</v>
      </c>
      <c r="AE21" t="n">
        <v>100</v>
      </c>
      <c r="AF21" t="n">
        <v>104.956268221574</v>
      </c>
    </row>
    <row r="22">
      <c r="A22" t="s">
        <v>78</v>
      </c>
      <c r="B22" t="s">
        <v>314</v>
      </c>
      <c r="C22" t="s">
        <v>203</v>
      </c>
      <c r="D22" t="s">
        <v>315</v>
      </c>
      <c r="E22" t="s">
        <v>204</v>
      </c>
      <c r="F22" t="e">
        <v>#NUM!</v>
      </c>
      <c r="G22" t="n">
        <v>0</v>
      </c>
      <c r="H22" t="n">
        <v>50.2909947743263</v>
      </c>
      <c r="I22" t="n">
        <v>71.8442782490375</v>
      </c>
      <c r="J22" t="n">
        <v>58.2521174992196</v>
      </c>
      <c r="K22" t="n">
        <v>58.2521174992196</v>
      </c>
      <c r="L22" t="n">
        <v>60.2608112060893</v>
      </c>
      <c r="M22" t="n">
        <v>59.8008050136764</v>
      </c>
      <c r="N22" t="n">
        <v>56.4158537864871</v>
      </c>
      <c r="O22" t="n">
        <v>61.0618652747861</v>
      </c>
      <c r="P22" t="n">
        <v>64.2756476576696</v>
      </c>
      <c r="Q22" t="n">
        <v>69.1573424164799</v>
      </c>
      <c r="R22" t="n">
        <v>70.6717367759649</v>
      </c>
      <c r="S22" t="n">
        <v>77.3778139882827</v>
      </c>
      <c r="T22" t="n">
        <v>77.3778139882827</v>
      </c>
      <c r="U22" t="n">
        <v>72.1318604975517</v>
      </c>
      <c r="V22" t="n">
        <v>77.6102296492645</v>
      </c>
      <c r="W22" t="n">
        <v>82.3862437815269</v>
      </c>
      <c r="X22" t="n">
        <v>83.6345202024591</v>
      </c>
      <c r="Y22" t="n">
        <v>88.2344188135944</v>
      </c>
      <c r="Z22" t="n">
        <v>88.522766587495</v>
      </c>
      <c r="AA22" t="n">
        <v>89.6023125214889</v>
      </c>
      <c r="AB22" t="n">
        <v>94.7407963936889</v>
      </c>
      <c r="AC22" t="n">
        <v>94.7407963936889</v>
      </c>
      <c r="AD22" t="n">
        <v>97.979797979798</v>
      </c>
      <c r="AE22" t="n">
        <v>100</v>
      </c>
      <c r="AF22" t="n">
        <v>104.819277108434</v>
      </c>
    </row>
    <row r="23">
      <c r="A23" t="s">
        <v>78</v>
      </c>
      <c r="B23" t="s">
        <v>316</v>
      </c>
      <c r="C23" t="s">
        <v>203</v>
      </c>
      <c r="D23" t="s">
        <v>317</v>
      </c>
      <c r="E23" t="s">
        <v>204</v>
      </c>
      <c r="F23" t="n">
        <v>3.12118185960439</v>
      </c>
      <c r="G23" t="n">
        <v>6.24236371920879</v>
      </c>
      <c r="H23" t="n">
        <v>45.2571369642637</v>
      </c>
      <c r="I23" t="n">
        <v>69.6263645604057</v>
      </c>
      <c r="J23" t="n">
        <v>57.1559709077957</v>
      </c>
      <c r="K23" t="n">
        <v>56.3753886040474</v>
      </c>
      <c r="L23" t="n">
        <v>58.5604811855996</v>
      </c>
      <c r="M23" t="n">
        <v>57.9806744411877</v>
      </c>
      <c r="N23" t="n">
        <v>54.6583067745023</v>
      </c>
      <c r="O23" t="n">
        <v>58.803469369394</v>
      </c>
      <c r="P23" t="n">
        <v>61.8983888098884</v>
      </c>
      <c r="Q23" t="n">
        <v>66.6037267172782</v>
      </c>
      <c r="R23" t="n">
        <v>68.5472108565048</v>
      </c>
      <c r="S23" t="n">
        <v>74.7959897467386</v>
      </c>
      <c r="T23" t="n">
        <v>75.2002923940183</v>
      </c>
      <c r="U23" t="n">
        <v>69.904497155003</v>
      </c>
      <c r="V23" t="n">
        <v>75.757744524441</v>
      </c>
      <c r="W23" t="n">
        <v>79.9979167926</v>
      </c>
      <c r="X23" t="n">
        <v>81.4657684768679</v>
      </c>
      <c r="Y23" t="n">
        <v>85.8178629530946</v>
      </c>
      <c r="Z23" t="n">
        <v>86.1808826779385</v>
      </c>
      <c r="AA23" t="n">
        <v>87.1859075488182</v>
      </c>
      <c r="AB23" t="n">
        <v>95.1118991441653</v>
      </c>
      <c r="AC23" t="n">
        <v>95.0018159275633</v>
      </c>
      <c r="AD23" t="n">
        <v>97.9963570127505</v>
      </c>
      <c r="AE23" t="n">
        <v>100</v>
      </c>
      <c r="AF23" t="n">
        <v>104.696449026346</v>
      </c>
    </row>
    <row r="24">
      <c r="A24" t="s">
        <v>78</v>
      </c>
      <c r="B24" t="s">
        <v>318</v>
      </c>
      <c r="C24" t="s">
        <v>203</v>
      </c>
      <c r="D24" t="s">
        <v>319</v>
      </c>
      <c r="E24" t="s">
        <v>204</v>
      </c>
      <c r="F24" t="n">
        <v>4.7972726134017</v>
      </c>
      <c r="G24" t="n">
        <v>5.99659076675213</v>
      </c>
      <c r="H24" t="n">
        <v>46.9732943395584</v>
      </c>
      <c r="I24" t="n">
        <v>71.7344107356046</v>
      </c>
      <c r="J24" t="n">
        <v>58.8952469093634</v>
      </c>
      <c r="K24" t="n">
        <v>58.0517598011417</v>
      </c>
      <c r="L24" t="n">
        <v>60.3302998753517</v>
      </c>
      <c r="M24" t="n">
        <v>59.7018592516501</v>
      </c>
      <c r="N24" t="n">
        <v>56.2425871546881</v>
      </c>
      <c r="O24" t="n">
        <v>60.5335747305226</v>
      </c>
      <c r="P24" t="n">
        <v>63.7509103953339</v>
      </c>
      <c r="Q24" t="n">
        <v>68.6150602117121</v>
      </c>
      <c r="R24" t="n">
        <v>70.3427775551725</v>
      </c>
      <c r="S24" t="n">
        <v>76.7476144440265</v>
      </c>
      <c r="T24" t="n">
        <v>77.269707059292</v>
      </c>
      <c r="U24" t="n">
        <v>72.0120587960833</v>
      </c>
      <c r="V24" t="n">
        <v>78.1066205650168</v>
      </c>
      <c r="W24" t="n">
        <v>82.3769125984507</v>
      </c>
      <c r="X24" t="n">
        <v>83.8194101298807</v>
      </c>
      <c r="Y24" t="n">
        <v>88.2937558663512</v>
      </c>
      <c r="Z24" t="n">
        <v>88.6223926747867</v>
      </c>
      <c r="AA24" t="n">
        <v>89.7928771063405</v>
      </c>
      <c r="AB24" t="n">
        <v>95.0040708669763</v>
      </c>
      <c r="AC24" t="n">
        <v>94.8976833296113</v>
      </c>
      <c r="AD24" t="n">
        <v>97.986577181208</v>
      </c>
      <c r="AE24" t="n">
        <v>100</v>
      </c>
      <c r="AF24" t="n">
        <v>104.746835443038</v>
      </c>
    </row>
    <row r="25">
      <c r="A25" t="s">
        <v>78</v>
      </c>
      <c r="B25" t="s">
        <v>320</v>
      </c>
      <c r="C25" t="s">
        <v>203</v>
      </c>
      <c r="D25" t="s">
        <v>321</v>
      </c>
      <c r="E25" t="s">
        <v>204</v>
      </c>
      <c r="F25" t="n">
        <v>0</v>
      </c>
      <c r="G25" t="n">
        <v>4.67653019157617</v>
      </c>
      <c r="H25" t="n">
        <v>46.7653019157617</v>
      </c>
      <c r="I25" t="n">
        <v>71.946618331941</v>
      </c>
      <c r="J25" t="n">
        <v>59.2501562733632</v>
      </c>
      <c r="K25" t="n">
        <v>58.1921177684817</v>
      </c>
      <c r="L25" t="n">
        <v>60.3652673946906</v>
      </c>
      <c r="M25" t="n">
        <v>59.6200171799413</v>
      </c>
      <c r="N25" t="n">
        <v>56.0782339811329</v>
      </c>
      <c r="O25" t="n">
        <v>60.1969743300297</v>
      </c>
      <c r="P25" t="n">
        <v>63.3652361368733</v>
      </c>
      <c r="Q25" t="n">
        <v>68.177785716889</v>
      </c>
      <c r="R25" t="n">
        <v>69.9259340686041</v>
      </c>
      <c r="S25" t="n">
        <v>76.5612416809534</v>
      </c>
      <c r="T25" t="n">
        <v>77.421480351526</v>
      </c>
      <c r="U25" t="n">
        <v>72.142743054831</v>
      </c>
      <c r="V25" t="n">
        <v>78.1811224294645</v>
      </c>
      <c r="W25" t="n">
        <v>82.2959183468047</v>
      </c>
      <c r="X25" t="n">
        <v>83.6074070853992</v>
      </c>
      <c r="Y25" t="n">
        <v>88.1267263873127</v>
      </c>
      <c r="Z25" t="n">
        <v>88.3840306979325</v>
      </c>
      <c r="AA25" t="n">
        <v>89.4510411288935</v>
      </c>
      <c r="AB25" t="n">
        <v>94.5262775050009</v>
      </c>
      <c r="AC25" t="n">
        <v>94.5262775050009</v>
      </c>
      <c r="AD25" t="n">
        <v>97.8723404255319</v>
      </c>
      <c r="AE25" t="n">
        <v>100</v>
      </c>
      <c r="AF25" t="n">
        <v>104.772234273319</v>
      </c>
    </row>
    <row r="26">
      <c r="A26" t="s">
        <v>78</v>
      </c>
      <c r="B26" t="s">
        <v>322</v>
      </c>
      <c r="C26" t="s">
        <v>203</v>
      </c>
      <c r="D26" t="s">
        <v>323</v>
      </c>
      <c r="E26" t="s">
        <v>204</v>
      </c>
      <c r="F26" t="n">
        <v>4.3551665127345</v>
      </c>
      <c r="G26" t="n">
        <v>6.53274976910174</v>
      </c>
      <c r="H26" t="n">
        <v>47.1809705546237</v>
      </c>
      <c r="I26" t="n">
        <v>71.8199218442605</v>
      </c>
      <c r="J26" t="n">
        <v>58.8999359040232</v>
      </c>
      <c r="K26" t="n">
        <v>58.0703593419947</v>
      </c>
      <c r="L26" t="n">
        <v>60.350482056342</v>
      </c>
      <c r="M26" t="n">
        <v>59.7496476110908</v>
      </c>
      <c r="N26" t="n">
        <v>56.3011991623942</v>
      </c>
      <c r="O26" t="n">
        <v>60.5932188294825</v>
      </c>
      <c r="P26" t="n">
        <v>63.8162623842422</v>
      </c>
      <c r="Q26" t="n">
        <v>68.684563890787</v>
      </c>
      <c r="R26" t="n">
        <v>70.4187571642346</v>
      </c>
      <c r="S26" t="n">
        <v>76.7837237371855</v>
      </c>
      <c r="T26" t="n">
        <v>77.189986825742</v>
      </c>
      <c r="U26" t="n">
        <v>71.8831752314723</v>
      </c>
      <c r="V26" t="n">
        <v>78.0008922724486</v>
      </c>
      <c r="W26" t="n">
        <v>82.2636447743945</v>
      </c>
      <c r="X26" t="n">
        <v>83.7381818033695</v>
      </c>
      <c r="Y26" t="n">
        <v>88.2174901910683</v>
      </c>
      <c r="Z26" t="n">
        <v>88.6055436669821</v>
      </c>
      <c r="AA26" t="n">
        <v>89.8257471284978</v>
      </c>
      <c r="AB26" t="n">
        <v>95.0913943739614</v>
      </c>
      <c r="AC26" t="n">
        <v>94.9632388559372</v>
      </c>
      <c r="AD26" t="n">
        <v>98.0069324090121</v>
      </c>
      <c r="AE26" t="n">
        <v>100</v>
      </c>
      <c r="AF26" t="n">
        <v>104.731355252606</v>
      </c>
    </row>
    <row r="27">
      <c r="A27" t="s">
        <v>78</v>
      </c>
      <c r="B27" t="s">
        <v>324</v>
      </c>
      <c r="C27" t="s">
        <v>203</v>
      </c>
      <c r="D27" t="s">
        <v>325</v>
      </c>
      <c r="E27" t="s">
        <v>204</v>
      </c>
      <c r="F27" t="n">
        <v>7.27915563055917</v>
      </c>
      <c r="G27" t="n">
        <v>7.27915563055917</v>
      </c>
      <c r="H27" t="n">
        <v>46.1013189935414</v>
      </c>
      <c r="I27" t="n">
        <v>70.9251061439099</v>
      </c>
      <c r="J27" t="n">
        <v>58.294607789515</v>
      </c>
      <c r="K27" t="n">
        <v>57.489751271711</v>
      </c>
      <c r="L27" t="n">
        <v>59.7775334147444</v>
      </c>
      <c r="M27" t="n">
        <v>59.1438493149415</v>
      </c>
      <c r="N27" t="n">
        <v>55.7084922903688</v>
      </c>
      <c r="O27" t="n">
        <v>60.0367210146831</v>
      </c>
      <c r="P27" t="n">
        <v>63.2376385200173</v>
      </c>
      <c r="Q27" t="n">
        <v>68.0745117212651</v>
      </c>
      <c r="R27" t="n">
        <v>69.7741381637146</v>
      </c>
      <c r="S27" t="n">
        <v>76.1172416331432</v>
      </c>
      <c r="T27" t="n">
        <v>76.6852807498084</v>
      </c>
      <c r="U27" t="n">
        <v>71.5865253808052</v>
      </c>
      <c r="V27" t="n">
        <v>77.6169120297317</v>
      </c>
      <c r="W27" t="n">
        <v>82.0051473388332</v>
      </c>
      <c r="X27" t="n">
        <v>83.4288478134657</v>
      </c>
      <c r="Y27" t="n">
        <v>87.8198398036481</v>
      </c>
      <c r="Z27" t="n">
        <v>88.1782881293773</v>
      </c>
      <c r="AA27" t="n">
        <v>89.3618893123219</v>
      </c>
      <c r="AB27" t="n">
        <v>94.7651663405088</v>
      </c>
      <c r="AC27" t="n">
        <v>94.7651663405088</v>
      </c>
      <c r="AD27" t="n">
        <v>97.9452054794521</v>
      </c>
      <c r="AE27" t="n">
        <v>100</v>
      </c>
      <c r="AF27" t="n">
        <v>104.6875</v>
      </c>
    </row>
    <row r="28">
      <c r="A28" t="s">
        <v>78</v>
      </c>
      <c r="B28" t="s">
        <v>326</v>
      </c>
      <c r="C28" t="s">
        <v>203</v>
      </c>
      <c r="D28" t="s">
        <v>327</v>
      </c>
      <c r="E28" t="s">
        <v>204</v>
      </c>
      <c r="F28" t="n">
        <v>4.33411126214151</v>
      </c>
      <c r="G28" t="n">
        <v>6.06775576699811</v>
      </c>
      <c r="H28" t="n">
        <v>47.0251071942353</v>
      </c>
      <c r="I28" t="n">
        <v>71.5001629853871</v>
      </c>
      <c r="J28" t="n">
        <v>58.632494688072</v>
      </c>
      <c r="K28" t="n">
        <v>57.8066849037329</v>
      </c>
      <c r="L28" t="n">
        <v>60.0588934064757</v>
      </c>
      <c r="M28" t="n">
        <v>59.4923000724524</v>
      </c>
      <c r="N28" t="n">
        <v>56.0241390816816</v>
      </c>
      <c r="O28" t="n">
        <v>60.3422051373843</v>
      </c>
      <c r="P28" t="n">
        <v>63.569190776014</v>
      </c>
      <c r="Q28" t="n">
        <v>68.4511806405678</v>
      </c>
      <c r="R28" t="n">
        <v>70.1838442966411</v>
      </c>
      <c r="S28" t="n">
        <v>76.8436251423077</v>
      </c>
      <c r="T28" t="n">
        <v>77.2895262553192</v>
      </c>
      <c r="U28" t="n">
        <v>72.0567850093472</v>
      </c>
      <c r="V28" t="n">
        <v>78.1183442109748</v>
      </c>
      <c r="W28" t="n">
        <v>82.415551875532</v>
      </c>
      <c r="X28" t="n">
        <v>83.828389907684</v>
      </c>
      <c r="Y28" t="n">
        <v>88.3625040787914</v>
      </c>
      <c r="Z28" t="n">
        <v>88.7266089535468</v>
      </c>
      <c r="AA28" t="n">
        <v>89.9043957980629</v>
      </c>
      <c r="AB28" t="n">
        <v>95.0371709234187</v>
      </c>
      <c r="AC28" t="n">
        <v>94.9553128950609</v>
      </c>
      <c r="AD28" t="n">
        <v>97.9623287671233</v>
      </c>
      <c r="AE28" t="n">
        <v>100</v>
      </c>
      <c r="AF28" t="n">
        <v>104.65626523647</v>
      </c>
    </row>
    <row r="29">
      <c r="A29" t="s">
        <v>78</v>
      </c>
      <c r="B29" t="s">
        <v>328</v>
      </c>
      <c r="C29" t="s">
        <v>203</v>
      </c>
      <c r="D29" t="s">
        <v>329</v>
      </c>
      <c r="E29" t="s">
        <v>204</v>
      </c>
      <c r="F29" t="n">
        <v>3.15046675189402</v>
      </c>
      <c r="G29" t="n">
        <v>6.30093350378803</v>
      </c>
      <c r="H29" t="n">
        <v>46.9069494170887</v>
      </c>
      <c r="I29" t="n">
        <v>71.3801404173089</v>
      </c>
      <c r="J29" t="n">
        <v>58.5483038282779</v>
      </c>
      <c r="K29" t="n">
        <v>57.9686176517603</v>
      </c>
      <c r="L29" t="n">
        <v>60.3141686550108</v>
      </c>
      <c r="M29" t="n">
        <v>59.6996138069975</v>
      </c>
      <c r="N29" t="n">
        <v>56.1878718183506</v>
      </c>
      <c r="O29" t="n">
        <v>60.4712521811845</v>
      </c>
      <c r="P29" t="n">
        <v>63.6707893336282</v>
      </c>
      <c r="Q29" t="n">
        <v>68.5397320473762</v>
      </c>
      <c r="R29" t="n">
        <v>70.2621106349249</v>
      </c>
      <c r="S29" t="n">
        <v>76.8491835069491</v>
      </c>
      <c r="T29" t="n">
        <v>77.290845481127</v>
      </c>
      <c r="U29" t="n">
        <v>72.0281104743336</v>
      </c>
      <c r="V29" t="n">
        <v>78.1618911716613</v>
      </c>
      <c r="W29" t="n">
        <v>82.4363695951115</v>
      </c>
      <c r="X29" t="n">
        <v>83.8381948597568</v>
      </c>
      <c r="Y29" t="n">
        <v>88.3563164720492</v>
      </c>
      <c r="Z29" t="n">
        <v>88.7062424778791</v>
      </c>
      <c r="AA29" t="n">
        <v>89.8920774767682</v>
      </c>
      <c r="AB29" t="n">
        <v>95.039726198209</v>
      </c>
      <c r="AC29" t="n">
        <v>94.9480332641056</v>
      </c>
      <c r="AD29" t="n">
        <v>97.9765277215702</v>
      </c>
      <c r="AE29" t="n">
        <v>100</v>
      </c>
      <c r="AF29" t="n">
        <v>104.673913043478</v>
      </c>
    </row>
    <row r="30">
      <c r="A30" t="s">
        <v>78</v>
      </c>
      <c r="B30" t="s">
        <v>330</v>
      </c>
      <c r="C30" t="s">
        <v>203</v>
      </c>
      <c r="D30" t="s">
        <v>331</v>
      </c>
      <c r="E30" t="s">
        <v>204</v>
      </c>
      <c r="F30" t="e">
        <v>#NUM!</v>
      </c>
      <c r="G30" t="e">
        <v>#NUM!</v>
      </c>
      <c r="H30" t="e">
        <v>#NUM!</v>
      </c>
      <c r="I30" t="e">
        <v>#NUM!</v>
      </c>
      <c r="J30" t="e">
        <v>#NUM!</v>
      </c>
      <c r="K30" t="n">
        <v>0</v>
      </c>
      <c r="L30" t="n">
        <v>62.471456555744</v>
      </c>
      <c r="M30" t="n">
        <v>62.471456555744</v>
      </c>
      <c r="N30" t="n">
        <v>58.6980128711688</v>
      </c>
      <c r="O30" t="n">
        <v>63.3017785865546</v>
      </c>
      <c r="P30" t="n">
        <v>66.7740280448889</v>
      </c>
      <c r="Q30" t="n">
        <v>71.8000301557945</v>
      </c>
      <c r="R30" t="n">
        <v>73.6410565700456</v>
      </c>
      <c r="S30" t="n">
        <v>81.8233961889396</v>
      </c>
      <c r="T30" t="n">
        <v>81.8233961889396</v>
      </c>
      <c r="U30" t="n">
        <v>76.3685031096769</v>
      </c>
      <c r="V30" t="n">
        <v>82.0254292659493</v>
      </c>
      <c r="W30" t="n">
        <v>87.6180721704458</v>
      </c>
      <c r="X30" t="n">
        <v>89.5651404409002</v>
      </c>
      <c r="Y30" t="n">
        <v>89.5651404409002</v>
      </c>
      <c r="Z30" t="n">
        <v>89.5651404409002</v>
      </c>
      <c r="AA30" t="n">
        <v>90.5493727534376</v>
      </c>
      <c r="AB30" t="n">
        <v>95.707248416608</v>
      </c>
      <c r="AC30" t="n">
        <v>95.707248416608</v>
      </c>
      <c r="AD30" t="n">
        <v>97.9591836734694</v>
      </c>
      <c r="AE30" t="n">
        <v>100</v>
      </c>
      <c r="AF30" t="n">
        <v>103.75</v>
      </c>
    </row>
    <row r="31">
      <c r="A31" t="s">
        <v>78</v>
      </c>
      <c r="B31" t="s">
        <v>332</v>
      </c>
      <c r="C31" t="s">
        <v>203</v>
      </c>
      <c r="D31" t="s">
        <v>333</v>
      </c>
      <c r="E31" t="s">
        <v>204</v>
      </c>
      <c r="F31" t="e">
        <v>#NUM!</v>
      </c>
      <c r="G31" t="n">
        <v>0</v>
      </c>
      <c r="H31" t="e">
        <v>#NUM!</v>
      </c>
      <c r="I31" t="e">
        <v>#NUM!</v>
      </c>
      <c r="J31" t="e">
        <v>#NUM!</v>
      </c>
      <c r="K31" t="n">
        <v>0</v>
      </c>
      <c r="L31" t="n">
        <v>0</v>
      </c>
      <c r="M31" t="n">
        <v>55.2161769136849</v>
      </c>
      <c r="N31" t="n">
        <v>52.0907329374386</v>
      </c>
      <c r="O31" t="n">
        <v>56.1762806188063</v>
      </c>
      <c r="P31" t="n">
        <v>59.3733047190636</v>
      </c>
      <c r="Q31" t="n">
        <v>64.030034500951</v>
      </c>
      <c r="R31" t="n">
        <v>65.5917426595107</v>
      </c>
      <c r="S31" t="n">
        <v>71.5546283558299</v>
      </c>
      <c r="T31" t="n">
        <v>72.4603831451442</v>
      </c>
      <c r="U31" t="n">
        <v>67.8742829460844</v>
      </c>
      <c r="V31" t="n">
        <v>73.2327789681437</v>
      </c>
      <c r="W31" t="n">
        <v>77.5405894956816</v>
      </c>
      <c r="X31" t="n">
        <v>79.0317546782909</v>
      </c>
      <c r="Y31" t="n">
        <v>83.2315097578136</v>
      </c>
      <c r="Z31" t="n">
        <v>83.5479793766646</v>
      </c>
      <c r="AA31" t="n">
        <v>89.5156921892835</v>
      </c>
      <c r="AB31" t="n">
        <v>94.7658794144614</v>
      </c>
      <c r="AC31" t="n">
        <v>94.7658794144614</v>
      </c>
      <c r="AD31" t="n">
        <v>97.9038224414303</v>
      </c>
      <c r="AE31" t="n">
        <v>100</v>
      </c>
      <c r="AF31" t="n">
        <v>104.651162790698</v>
      </c>
    </row>
    <row r="32">
      <c r="A32" t="s">
        <v>78</v>
      </c>
      <c r="B32" t="s">
        <v>334</v>
      </c>
      <c r="C32" t="s">
        <v>203</v>
      </c>
      <c r="D32" t="s">
        <v>335</v>
      </c>
      <c r="E32" t="s">
        <v>204</v>
      </c>
      <c r="F32" t="n">
        <v>7.42767541597878</v>
      </c>
      <c r="G32" t="n">
        <v>7.42767541597878</v>
      </c>
      <c r="H32" t="n">
        <v>47.0419443011989</v>
      </c>
      <c r="I32" t="n">
        <v>72.3722220018445</v>
      </c>
      <c r="J32" t="n">
        <v>59.3678383608881</v>
      </c>
      <c r="K32" t="n">
        <v>57.9198423033054</v>
      </c>
      <c r="L32" t="n">
        <v>60.3331690659432</v>
      </c>
      <c r="M32" t="n">
        <v>59.7154233075888</v>
      </c>
      <c r="N32" t="n">
        <v>56.2763151589842</v>
      </c>
      <c r="O32" t="n">
        <v>60.6052624789061</v>
      </c>
      <c r="P32" t="n">
        <v>63.7950131356906</v>
      </c>
      <c r="Q32" t="n">
        <v>68.7446262238045</v>
      </c>
      <c r="R32" t="n">
        <v>70.6280406408951</v>
      </c>
      <c r="S32" t="n">
        <v>77.4005924831727</v>
      </c>
      <c r="T32" t="n">
        <v>77.4005924831727</v>
      </c>
      <c r="U32" t="n">
        <v>72.3664076062184</v>
      </c>
      <c r="V32" t="n">
        <v>78.0422042812159</v>
      </c>
      <c r="W32" t="n">
        <v>82.3038946173915</v>
      </c>
      <c r="X32" t="n">
        <v>83.6848324465424</v>
      </c>
      <c r="Y32" t="n">
        <v>88.172662577745</v>
      </c>
      <c r="Z32" t="n">
        <v>88.5370124231075</v>
      </c>
      <c r="AA32" t="n">
        <v>89.7582125944608</v>
      </c>
      <c r="AB32" t="n">
        <v>95.1798495968107</v>
      </c>
      <c r="AC32" t="n">
        <v>95.1798495968107</v>
      </c>
      <c r="AD32" t="n">
        <v>97.948717948718</v>
      </c>
      <c r="AE32" t="n">
        <v>100</v>
      </c>
      <c r="AF32" t="n">
        <v>104.458598726115</v>
      </c>
    </row>
    <row r="33">
      <c r="A33" t="s">
        <v>78</v>
      </c>
      <c r="B33" t="s">
        <v>336</v>
      </c>
      <c r="C33" t="s">
        <v>203</v>
      </c>
      <c r="D33" t="s">
        <v>337</v>
      </c>
      <c r="E33" t="s">
        <v>204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56.2053466569968</v>
      </c>
      <c r="N33" t="n">
        <v>53.5289015780922</v>
      </c>
      <c r="O33" t="n">
        <v>59.4765573089913</v>
      </c>
      <c r="P33" t="n">
        <v>63.7248828310621</v>
      </c>
      <c r="Q33" t="n">
        <v>69.266176990285</v>
      </c>
      <c r="R33" t="n">
        <v>71.6546658520189</v>
      </c>
      <c r="S33" t="n">
        <v>79.6162953911321</v>
      </c>
      <c r="T33" t="n">
        <v>79.6162953911321</v>
      </c>
      <c r="U33" t="n">
        <v>74.1255163986403</v>
      </c>
      <c r="V33" t="n">
        <v>79.8274791985357</v>
      </c>
      <c r="W33" t="n">
        <v>84.1039512984572</v>
      </c>
      <c r="X33" t="n">
        <v>85.579459215974</v>
      </c>
      <c r="Y33" t="n">
        <v>90.4008371999726</v>
      </c>
      <c r="Z33" t="n">
        <v>92.0444887854266</v>
      </c>
      <c r="AA33" t="n">
        <v>93.7811772530762</v>
      </c>
      <c r="AB33" t="n">
        <v>96.9072164948454</v>
      </c>
      <c r="AC33" t="n">
        <v>96.9072164948454</v>
      </c>
      <c r="AD33" t="n">
        <v>100</v>
      </c>
      <c r="AE33" t="n">
        <v>100</v>
      </c>
      <c r="AF33" t="n">
        <v>104.929577464789</v>
      </c>
    </row>
    <row r="34">
      <c r="A34" t="s">
        <v>78</v>
      </c>
      <c r="B34" t="s">
        <v>338</v>
      </c>
      <c r="C34" t="s">
        <v>203</v>
      </c>
      <c r="D34" t="s">
        <v>339</v>
      </c>
      <c r="E34" t="s">
        <v>204</v>
      </c>
      <c r="F34" t="n">
        <v>0</v>
      </c>
      <c r="G34" t="n">
        <v>4.55626726274625</v>
      </c>
      <c r="H34" t="n">
        <v>45.5626726274625</v>
      </c>
      <c r="I34" t="n">
        <v>70.0964194268654</v>
      </c>
      <c r="J34" t="n">
        <v>58.4136828557212</v>
      </c>
      <c r="K34" t="n">
        <v>57.4560814974307</v>
      </c>
      <c r="L34" t="n">
        <v>59.7808940435695</v>
      </c>
      <c r="M34" t="n">
        <v>59.1890040035341</v>
      </c>
      <c r="N34" t="n">
        <v>55.7929136098887</v>
      </c>
      <c r="O34" t="n">
        <v>60.1688284028212</v>
      </c>
      <c r="P34" t="n">
        <v>63.4211975056764</v>
      </c>
      <c r="Q34" t="n">
        <v>68.3326033731193</v>
      </c>
      <c r="R34" t="n">
        <v>70.0562085029539</v>
      </c>
      <c r="S34" t="n">
        <v>76.3258302755918</v>
      </c>
      <c r="T34" t="n">
        <v>77.0967982581735</v>
      </c>
      <c r="U34" t="n">
        <v>71.4555691173316</v>
      </c>
      <c r="V34" t="n">
        <v>77.4940679159793</v>
      </c>
      <c r="W34" t="n">
        <v>81.3687713117783</v>
      </c>
      <c r="X34" t="n">
        <v>82.1665043638545</v>
      </c>
      <c r="Y34" t="n">
        <v>86.880975925715</v>
      </c>
      <c r="Z34" t="n">
        <v>87.5441894823999</v>
      </c>
      <c r="AA34" t="n">
        <v>89.4473240363651</v>
      </c>
      <c r="AB34" t="n">
        <v>94.558599695586</v>
      </c>
      <c r="AC34" t="n">
        <v>94.558599695586</v>
      </c>
      <c r="AD34" t="n">
        <v>97.2222222222222</v>
      </c>
      <c r="AE34" t="n">
        <v>100</v>
      </c>
      <c r="AF34" t="n">
        <v>104.807692307692</v>
      </c>
    </row>
    <row r="35">
      <c r="A35" t="s">
        <v>78</v>
      </c>
      <c r="B35" t="s">
        <v>340</v>
      </c>
      <c r="C35" t="s">
        <v>203</v>
      </c>
      <c r="D35" t="s">
        <v>341</v>
      </c>
      <c r="E35" t="s">
        <v>204</v>
      </c>
      <c r="F35" t="n">
        <v>4.5116856381165</v>
      </c>
      <c r="G35" t="n">
        <v>6.76752845717475</v>
      </c>
      <c r="H35" t="n">
        <v>48.2186402573701</v>
      </c>
      <c r="I35" t="n">
        <v>73.2435041884102</v>
      </c>
      <c r="J35" t="n">
        <v>59.3866250176299</v>
      </c>
      <c r="K35" t="n">
        <v>58.7340247427109</v>
      </c>
      <c r="L35" t="n">
        <v>61.0497031375848</v>
      </c>
      <c r="M35" t="n">
        <v>60.4226753742669</v>
      </c>
      <c r="N35" t="n">
        <v>56.9732731239079</v>
      </c>
      <c r="O35" t="n">
        <v>61.3267125984922</v>
      </c>
      <c r="P35" t="n">
        <v>64.5864025055101</v>
      </c>
      <c r="Q35" t="n">
        <v>69.4916988983337</v>
      </c>
      <c r="R35" t="n">
        <v>71.237721483719</v>
      </c>
      <c r="S35" t="n">
        <v>77.7138779822389</v>
      </c>
      <c r="T35" t="n">
        <v>78.085714718996</v>
      </c>
      <c r="U35" t="n">
        <v>72.5081636676391</v>
      </c>
      <c r="V35" t="n">
        <v>78.6233100010545</v>
      </c>
      <c r="W35" t="n">
        <v>83.7509171750363</v>
      </c>
      <c r="X35" t="n">
        <v>84.9388734470226</v>
      </c>
      <c r="Y35" t="n">
        <v>89.332263452903</v>
      </c>
      <c r="Z35" t="n">
        <v>90.1298729480182</v>
      </c>
      <c r="AA35" t="n">
        <v>90.1298729480183</v>
      </c>
      <c r="AB35" t="n">
        <v>95.4614992350841</v>
      </c>
      <c r="AC35" t="n">
        <v>95.4614992350841</v>
      </c>
      <c r="AD35" t="n">
        <v>98.1132075471698</v>
      </c>
      <c r="AE35" t="n">
        <v>100</v>
      </c>
      <c r="AF35" t="n">
        <v>105.454545454545</v>
      </c>
    </row>
    <row r="36">
      <c r="A36" t="s">
        <v>78</v>
      </c>
      <c r="B36" t="s">
        <v>342</v>
      </c>
      <c r="C36" t="s">
        <v>203</v>
      </c>
      <c r="D36" t="s">
        <v>343</v>
      </c>
      <c r="E36" t="s">
        <v>204</v>
      </c>
      <c r="F36" t="n">
        <v>4.70368429573145</v>
      </c>
      <c r="G36" t="n">
        <v>7.05552644359717</v>
      </c>
      <c r="H36" t="n">
        <v>50.2706259106299</v>
      </c>
      <c r="I36" t="n">
        <v>76.3604444212099</v>
      </c>
      <c r="J36" t="n">
        <v>61.913873855035</v>
      </c>
      <c r="K36" t="n">
        <v>61.2335016148698</v>
      </c>
      <c r="L36" t="n">
        <v>63.6192224570076</v>
      </c>
      <c r="M36" t="n">
        <v>62.9533695102644</v>
      </c>
      <c r="N36" t="n">
        <v>59.3305317319423</v>
      </c>
      <c r="O36" t="n">
        <v>63.8571118095836</v>
      </c>
      <c r="P36" t="n">
        <v>67.3721821844231</v>
      </c>
      <c r="Q36" t="n">
        <v>72.6167233125519</v>
      </c>
      <c r="R36" t="n">
        <v>74.2671033878371</v>
      </c>
      <c r="S36" t="n">
        <v>81.1321297514187</v>
      </c>
      <c r="T36" t="n">
        <v>81.1321297514187</v>
      </c>
      <c r="U36" t="n">
        <v>74.3711189388005</v>
      </c>
      <c r="V36" t="n">
        <v>81.8082308326806</v>
      </c>
      <c r="W36" t="n">
        <v>86.9212452597231</v>
      </c>
      <c r="X36" t="n">
        <v>86.9212452597231</v>
      </c>
      <c r="Y36" t="n">
        <v>86.9212452597231</v>
      </c>
      <c r="Z36" t="n">
        <v>86.9212452597231</v>
      </c>
      <c r="AA36" t="n">
        <v>86.9212452597231</v>
      </c>
      <c r="AB36" t="n">
        <v>92.3538230884558</v>
      </c>
      <c r="AC36" t="n">
        <v>92.3538230884558</v>
      </c>
      <c r="AD36" t="n">
        <v>95.6521739130435</v>
      </c>
      <c r="AE36" t="n">
        <v>100</v>
      </c>
      <c r="AF36" t="n">
        <v>106.25</v>
      </c>
    </row>
    <row r="37">
      <c r="A37" t="s">
        <v>78</v>
      </c>
      <c r="B37" t="s">
        <v>344</v>
      </c>
      <c r="C37" t="s">
        <v>203</v>
      </c>
      <c r="D37" t="s">
        <v>345</v>
      </c>
      <c r="E37" t="s">
        <v>204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e">
        <v>#NUM!</v>
      </c>
      <c r="N37" t="e">
        <v>#NUM!</v>
      </c>
      <c r="O37" t="n">
        <v>0</v>
      </c>
      <c r="P37" t="e">
        <v>#NUM!</v>
      </c>
      <c r="Q37" t="e">
        <v>#NUM!</v>
      </c>
      <c r="R37" t="e">
        <v>#NUM!</v>
      </c>
      <c r="S37" t="e">
        <v>#NUM!</v>
      </c>
      <c r="T37" t="e">
        <v>#NUM!</v>
      </c>
      <c r="U37" t="e">
        <v>#NUM!</v>
      </c>
      <c r="V37" t="e">
        <v>#NUM!</v>
      </c>
      <c r="W37" t="e">
        <v>#NUM!</v>
      </c>
      <c r="X37" t="e">
        <v>#NUM!</v>
      </c>
      <c r="Y37" t="e">
        <v>#NUM!</v>
      </c>
      <c r="Z37" t="e">
        <v>#NUM!</v>
      </c>
      <c r="AA37" t="e">
        <v>#NUM!</v>
      </c>
      <c r="AB37" t="n">
        <v>0</v>
      </c>
      <c r="AC37" t="n">
        <v>100</v>
      </c>
      <c r="AD37" t="n">
        <v>100</v>
      </c>
      <c r="AE37" t="n">
        <v>100</v>
      </c>
      <c r="AF37" t="n">
        <v>103.571428571429</v>
      </c>
    </row>
    <row r="38">
      <c r="A38" t="s">
        <v>78</v>
      </c>
      <c r="B38" t="s">
        <v>346</v>
      </c>
      <c r="C38" t="s">
        <v>203</v>
      </c>
      <c r="D38" t="s">
        <v>347</v>
      </c>
      <c r="E38" t="s">
        <v>204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60.1503505840451</v>
      </c>
      <c r="M38" t="n">
        <v>60.1503505840451</v>
      </c>
      <c r="N38" t="n">
        <v>56.7456137585331</v>
      </c>
      <c r="O38" t="n">
        <v>61.3466094686844</v>
      </c>
      <c r="P38" t="n">
        <v>64.8027564810047</v>
      </c>
      <c r="Q38" t="n">
        <v>69.4315248010764</v>
      </c>
      <c r="R38" t="n">
        <v>71.2118203087963</v>
      </c>
      <c r="S38" t="n">
        <v>77.7421619091663</v>
      </c>
      <c r="T38" t="n">
        <v>77.7421619091663</v>
      </c>
      <c r="U38" t="n">
        <v>71.0785480312378</v>
      </c>
      <c r="V38" t="n">
        <v>76.7648318737368</v>
      </c>
      <c r="W38" t="n">
        <v>81.8824873319859</v>
      </c>
      <c r="X38" t="n">
        <v>82.9458962583754</v>
      </c>
      <c r="Y38" t="n">
        <v>87.2547739860832</v>
      </c>
      <c r="Z38" t="n">
        <v>88.1361353394779</v>
      </c>
      <c r="AA38" t="n">
        <v>90.5843613211301</v>
      </c>
      <c r="AB38" t="n">
        <v>95.9285714285714</v>
      </c>
      <c r="AC38" t="n">
        <v>95.9285714285714</v>
      </c>
      <c r="AD38" t="n">
        <v>98.75</v>
      </c>
      <c r="AE38" t="n">
        <v>100</v>
      </c>
      <c r="AF38" t="n">
        <v>104.716981132075</v>
      </c>
    </row>
    <row r="39">
      <c r="A39" t="s">
        <v>78</v>
      </c>
      <c r="B39" t="s">
        <v>348</v>
      </c>
      <c r="C39" t="s">
        <v>203</v>
      </c>
      <c r="D39" t="s">
        <v>349</v>
      </c>
      <c r="E39" t="s">
        <v>204</v>
      </c>
      <c r="F39" t="n">
        <v>3.11586184413966</v>
      </c>
      <c r="G39" t="n">
        <v>6.23172368827931</v>
      </c>
      <c r="H39" t="n">
        <v>47.3611000309228</v>
      </c>
      <c r="I39" t="n">
        <v>71.4884528768646</v>
      </c>
      <c r="J39" t="n">
        <v>58.5970925220201</v>
      </c>
      <c r="K39" t="n">
        <v>58.5970925220201</v>
      </c>
      <c r="L39" t="n">
        <v>61.038638043771</v>
      </c>
      <c r="M39" t="n">
        <v>60.3288864386109</v>
      </c>
      <c r="N39" t="n">
        <v>56.6848597409766</v>
      </c>
      <c r="O39" t="n">
        <v>60.9900389618103</v>
      </c>
      <c r="P39" t="n">
        <v>64.1583526741122</v>
      </c>
      <c r="Q39" t="n">
        <v>69.0445848314121</v>
      </c>
      <c r="R39" t="n">
        <v>70.7477719335152</v>
      </c>
      <c r="S39" t="n">
        <v>77.2080361857961</v>
      </c>
      <c r="T39" t="n">
        <v>77.8623415772012</v>
      </c>
      <c r="U39" t="n">
        <v>72.5753924577616</v>
      </c>
      <c r="V39" t="n">
        <v>78.8149058364832</v>
      </c>
      <c r="W39" t="n">
        <v>82.9850066743923</v>
      </c>
      <c r="X39" t="n">
        <v>84.4977541918943</v>
      </c>
      <c r="Y39" t="n">
        <v>88.7462446261236</v>
      </c>
      <c r="Z39" t="n">
        <v>88.7462446261236</v>
      </c>
      <c r="AA39" t="n">
        <v>90.0080395734144</v>
      </c>
      <c r="AB39" t="n">
        <v>95.1242860333769</v>
      </c>
      <c r="AC39" t="n">
        <v>95.1242860333769</v>
      </c>
      <c r="AD39" t="n">
        <v>98.034398034398</v>
      </c>
      <c r="AE39" t="n">
        <v>100</v>
      </c>
      <c r="AF39" t="n">
        <v>104.473684210526</v>
      </c>
    </row>
    <row r="40">
      <c r="A40" t="s">
        <v>78</v>
      </c>
      <c r="B40" t="s">
        <v>350</v>
      </c>
      <c r="C40" t="s">
        <v>203</v>
      </c>
      <c r="D40" t="s">
        <v>351</v>
      </c>
      <c r="E40" t="s">
        <v>204</v>
      </c>
      <c r="F40" t="e">
        <v>#NUM!</v>
      </c>
      <c r="G40" t="n">
        <v>0</v>
      </c>
      <c r="H40" t="e">
        <v>#NUM!</v>
      </c>
      <c r="I40" t="e">
        <v>#NUM!</v>
      </c>
      <c r="J40" t="n">
        <v>0</v>
      </c>
      <c r="K40" t="n">
        <v>56.4292041888954</v>
      </c>
      <c r="L40" t="n">
        <v>58.5770285697876</v>
      </c>
      <c r="M40" t="n">
        <v>58.0493075916814</v>
      </c>
      <c r="N40" t="n">
        <v>55.2850548492204</v>
      </c>
      <c r="O40" t="n">
        <v>59.4462955367961</v>
      </c>
      <c r="P40" t="n">
        <v>62.6972648239646</v>
      </c>
      <c r="Q40" t="n">
        <v>67.394454045304</v>
      </c>
      <c r="R40" t="n">
        <v>69.0293599385863</v>
      </c>
      <c r="S40" t="n">
        <v>75.4294330454751</v>
      </c>
      <c r="T40" t="n">
        <v>75.9720908371691</v>
      </c>
      <c r="U40" t="n">
        <v>70.8089390327013</v>
      </c>
      <c r="V40" t="n">
        <v>76.8352317163355</v>
      </c>
      <c r="W40" t="n">
        <v>81.0724687595158</v>
      </c>
      <c r="X40" t="n">
        <v>82.5358707226839</v>
      </c>
      <c r="Y40" t="n">
        <v>88.884783855198</v>
      </c>
      <c r="Z40" t="n">
        <v>88.884783855198</v>
      </c>
      <c r="AA40" t="n">
        <v>89.7002405878145</v>
      </c>
      <c r="AB40" t="n">
        <v>94.792899408284</v>
      </c>
      <c r="AC40" t="n">
        <v>94.792899408284</v>
      </c>
      <c r="AD40" t="n">
        <v>97.8021978021978</v>
      </c>
      <c r="AE40" t="n">
        <v>100</v>
      </c>
      <c r="AF40" t="n">
        <v>104.081632653061</v>
      </c>
    </row>
    <row r="41">
      <c r="A41" t="s">
        <v>78</v>
      </c>
      <c r="B41" t="s">
        <v>352</v>
      </c>
      <c r="C41" t="s">
        <v>203</v>
      </c>
      <c r="D41" t="s">
        <v>353</v>
      </c>
      <c r="E41" t="s">
        <v>204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78</v>
      </c>
      <c r="B42" t="s">
        <v>354</v>
      </c>
      <c r="C42" t="s">
        <v>203</v>
      </c>
      <c r="D42" t="s">
        <v>355</v>
      </c>
      <c r="E42" t="s">
        <v>204</v>
      </c>
      <c r="F42" t="n">
        <v>4.38171455416738</v>
      </c>
      <c r="G42" t="n">
        <v>5.84228607222317</v>
      </c>
      <c r="H42" t="n">
        <v>44.4013741488961</v>
      </c>
      <c r="I42" t="n">
        <v>67.6592367983179</v>
      </c>
      <c r="J42" t="n">
        <v>55.4583908182933</v>
      </c>
      <c r="K42" t="n">
        <v>54.7563858712263</v>
      </c>
      <c r="L42" t="n">
        <v>56.9036951210783</v>
      </c>
      <c r="M42" t="n">
        <v>56.1549622905378</v>
      </c>
      <c r="N42" t="n">
        <v>52.8731787800519</v>
      </c>
      <c r="O42" t="n">
        <v>57.0573871727178</v>
      </c>
      <c r="P42" t="n">
        <v>60.0604075502293</v>
      </c>
      <c r="Q42" t="n">
        <v>64.7059639353299</v>
      </c>
      <c r="R42" t="n">
        <v>66.4137459746788</v>
      </c>
      <c r="S42" t="n">
        <v>72.4137417169395</v>
      </c>
      <c r="T42" t="n">
        <v>72.8917202101206</v>
      </c>
      <c r="U42" t="n">
        <v>67.8838921040818</v>
      </c>
      <c r="V42" t="n">
        <v>73.4380287307794</v>
      </c>
      <c r="W42" t="n">
        <v>77.5060244913765</v>
      </c>
      <c r="X42" t="n">
        <v>78.8385062877898</v>
      </c>
      <c r="Y42" t="n">
        <v>82.8472438956436</v>
      </c>
      <c r="Z42" t="n">
        <v>83.2832820214101</v>
      </c>
      <c r="AA42" t="n">
        <v>90.2235555231943</v>
      </c>
      <c r="AB42" t="n">
        <v>95.3665920758194</v>
      </c>
      <c r="AC42" t="n">
        <v>95.3665920758194</v>
      </c>
      <c r="AD42" t="n">
        <v>98.1308411214953</v>
      </c>
      <c r="AE42" t="n">
        <v>100</v>
      </c>
      <c r="AF42" t="n">
        <v>104.534606205251</v>
      </c>
    </row>
    <row r="43">
      <c r="A43" t="s">
        <v>78</v>
      </c>
      <c r="B43" t="s">
        <v>356</v>
      </c>
      <c r="C43" t="s">
        <v>203</v>
      </c>
      <c r="D43" t="s">
        <v>357</v>
      </c>
      <c r="E43" t="s">
        <v>204</v>
      </c>
      <c r="F43" t="n">
        <v>3.6106061766548</v>
      </c>
      <c r="G43" t="n">
        <v>6.01767696109133</v>
      </c>
      <c r="H43" t="n">
        <v>47.0472926048958</v>
      </c>
      <c r="I43" t="n">
        <v>71.7670565159428</v>
      </c>
      <c r="J43" t="n">
        <v>58.9132553489083</v>
      </c>
      <c r="K43" t="n">
        <v>58.2201582271564</v>
      </c>
      <c r="L43" t="n">
        <v>60.5259070678359</v>
      </c>
      <c r="M43" t="n">
        <v>59.7295135537854</v>
      </c>
      <c r="N43" t="n">
        <v>56.2659086258144</v>
      </c>
      <c r="O43" t="n">
        <v>60.6143277936174</v>
      </c>
      <c r="P43" t="n">
        <v>63.8045555722288</v>
      </c>
      <c r="Q43" t="n">
        <v>68.7125983085541</v>
      </c>
      <c r="R43" t="n">
        <v>70.4167798142226</v>
      </c>
      <c r="S43" t="n">
        <v>76.7946397234591</v>
      </c>
      <c r="T43" t="n">
        <v>77.3170522385846</v>
      </c>
      <c r="U43" t="n">
        <v>72.0594926863609</v>
      </c>
      <c r="V43" t="n">
        <v>78.1807908728326</v>
      </c>
      <c r="W43" t="n">
        <v>82.5439557393119</v>
      </c>
      <c r="X43" t="n">
        <v>83.928921439636</v>
      </c>
      <c r="Y43" t="n">
        <v>88.4122009881059</v>
      </c>
      <c r="Z43" t="n">
        <v>88.7642404687184</v>
      </c>
      <c r="AA43" t="n">
        <v>90.0013727400594</v>
      </c>
      <c r="AB43" t="n">
        <v>95.1472488258261</v>
      </c>
      <c r="AC43" t="n">
        <v>95.019534397872</v>
      </c>
      <c r="AD43" t="n">
        <v>98.0484522207268</v>
      </c>
      <c r="AE43" t="n">
        <v>100</v>
      </c>
      <c r="AF43" t="n">
        <v>104.639392661324</v>
      </c>
    </row>
    <row r="44">
      <c r="A44" t="s">
        <v>78</v>
      </c>
      <c r="B44" t="s">
        <v>358</v>
      </c>
      <c r="C44" t="s">
        <v>203</v>
      </c>
      <c r="D44" t="s">
        <v>359</v>
      </c>
      <c r="E44" t="s">
        <v>204</v>
      </c>
      <c r="F44" t="n">
        <v>4.19678666857633</v>
      </c>
      <c r="G44" t="n">
        <v>6.23159232606789</v>
      </c>
      <c r="H44" t="n">
        <v>47.1820561830855</v>
      </c>
      <c r="I44" t="n">
        <v>71.6848148288907</v>
      </c>
      <c r="J44" t="n">
        <v>58.8294832942264</v>
      </c>
      <c r="K44" t="n">
        <v>58.0340921830876</v>
      </c>
      <c r="L44" t="n">
        <v>60.324816529002</v>
      </c>
      <c r="M44" t="n">
        <v>59.7017570183337</v>
      </c>
      <c r="N44" t="n">
        <v>56.2554570141535</v>
      </c>
      <c r="O44" t="n">
        <v>60.565630894007</v>
      </c>
      <c r="P44" t="n">
        <v>63.7785606550118</v>
      </c>
      <c r="Q44" t="n">
        <v>68.6418495938471</v>
      </c>
      <c r="R44" t="n">
        <v>70.3966522105029</v>
      </c>
      <c r="S44" t="n">
        <v>76.8100305506211</v>
      </c>
      <c r="T44" t="n">
        <v>77.3023236482056</v>
      </c>
      <c r="U44" t="n">
        <v>72.0410477201519</v>
      </c>
      <c r="V44" t="n">
        <v>78.1000088404338</v>
      </c>
      <c r="W44" t="n">
        <v>82.3917602105183</v>
      </c>
      <c r="X44" t="n">
        <v>83.8248384102291</v>
      </c>
      <c r="Y44" t="n">
        <v>88.3506497148162</v>
      </c>
      <c r="Z44" t="n">
        <v>88.6963440651823</v>
      </c>
      <c r="AA44" t="n">
        <v>89.8911949835489</v>
      </c>
      <c r="AB44" t="n">
        <v>95.0442456863941</v>
      </c>
      <c r="AC44" t="n">
        <v>94.955495320801</v>
      </c>
      <c r="AD44" t="n">
        <v>97.9789748186782</v>
      </c>
      <c r="AE44" t="n">
        <v>100</v>
      </c>
      <c r="AF44" t="n">
        <v>104.684601113173</v>
      </c>
    </row>
    <row r="45">
      <c r="A45" t="s">
        <v>78</v>
      </c>
      <c r="B45" t="s">
        <v>360</v>
      </c>
      <c r="C45" t="s">
        <v>203</v>
      </c>
      <c r="D45" t="s">
        <v>361</v>
      </c>
      <c r="E45" t="s">
        <v>204</v>
      </c>
      <c r="F45" t="n">
        <v>4.24147720768533</v>
      </c>
      <c r="G45" t="n">
        <v>6.22966964878783</v>
      </c>
      <c r="H45" t="n">
        <v>47.1596921658236</v>
      </c>
      <c r="I45" t="n">
        <v>71.6716263613485</v>
      </c>
      <c r="J45" t="n">
        <v>58.823365048191</v>
      </c>
      <c r="K45" t="n">
        <v>58.0341012709066</v>
      </c>
      <c r="L45" t="n">
        <v>60.3242011594421</v>
      </c>
      <c r="M45" t="n">
        <v>59.7021457651923</v>
      </c>
      <c r="N45" t="n">
        <v>56.2562048056262</v>
      </c>
      <c r="O45" t="n">
        <v>60.5687454246004</v>
      </c>
      <c r="P45" t="n">
        <v>63.7828234068756</v>
      </c>
      <c r="Q45" t="n">
        <v>68.6482091448808</v>
      </c>
      <c r="R45" t="n">
        <v>70.4037775078923</v>
      </c>
      <c r="S45" t="n">
        <v>76.8186148351066</v>
      </c>
      <c r="T45" t="n">
        <v>77.3089738748738</v>
      </c>
      <c r="U45" t="n">
        <v>72.0474738380177</v>
      </c>
      <c r="V45" t="n">
        <v>78.0933231850566</v>
      </c>
      <c r="W45" t="n">
        <v>82.3943712834549</v>
      </c>
      <c r="X45" t="n">
        <v>83.8284142255924</v>
      </c>
      <c r="Y45" t="n">
        <v>88.3546328360545</v>
      </c>
      <c r="Z45" t="n">
        <v>88.6995435693118</v>
      </c>
      <c r="AA45" t="n">
        <v>89.8969648146438</v>
      </c>
      <c r="AB45" t="n">
        <v>95.0503503099179</v>
      </c>
      <c r="AC45" t="n">
        <v>94.9612608541059</v>
      </c>
      <c r="AD45" t="n">
        <v>97.9825847055781</v>
      </c>
      <c r="AE45" t="n">
        <v>100</v>
      </c>
      <c r="AF45" t="n">
        <v>104.693655183975</v>
      </c>
    </row>
    <row r="46">
      <c r="A46" t="s">
        <v>78</v>
      </c>
      <c r="B46" t="s">
        <v>362</v>
      </c>
      <c r="C46" t="s">
        <v>203</v>
      </c>
      <c r="D46" t="s">
        <v>363</v>
      </c>
      <c r="E46" t="s">
        <v>204</v>
      </c>
      <c r="F46" t="n">
        <v>0</v>
      </c>
      <c r="G46" t="n">
        <v>4.58486846652861</v>
      </c>
      <c r="H46" t="n">
        <v>45.8486846652861</v>
      </c>
      <c r="I46" t="n">
        <v>70.536437946594</v>
      </c>
      <c r="J46" t="n">
        <v>57.9751544766526</v>
      </c>
      <c r="K46" t="n">
        <v>57.9751544766526</v>
      </c>
      <c r="L46" t="n">
        <v>60.3907859131798</v>
      </c>
      <c r="M46" t="n">
        <v>59.596170309059</v>
      </c>
      <c r="N46" t="n">
        <v>56.1557954867484</v>
      </c>
      <c r="O46" t="n">
        <v>60.4454743086527</v>
      </c>
      <c r="P46" t="n">
        <v>63.6268150617397</v>
      </c>
      <c r="Q46" t="n">
        <v>68.500918907049</v>
      </c>
      <c r="R46" t="n">
        <v>70.1441193605914</v>
      </c>
      <c r="S46" t="n">
        <v>76.5208574842815</v>
      </c>
      <c r="T46" t="n">
        <v>77.1140424260201</v>
      </c>
      <c r="U46" t="n">
        <v>71.9299051200692</v>
      </c>
      <c r="V46" t="n">
        <v>78.1500077801195</v>
      </c>
      <c r="W46" t="n">
        <v>82.5322512070421</v>
      </c>
      <c r="X46" t="n">
        <v>83.8951691168831</v>
      </c>
      <c r="Y46" t="n">
        <v>88.4104572886224</v>
      </c>
      <c r="Z46" t="n">
        <v>88.7487626098798</v>
      </c>
      <c r="AA46" t="n">
        <v>89.9486707673494</v>
      </c>
      <c r="AB46" t="n">
        <v>95.0948325830959</v>
      </c>
      <c r="AC46" t="n">
        <v>94.9907900966811</v>
      </c>
      <c r="AD46" t="n">
        <v>98.0257510729614</v>
      </c>
      <c r="AE46" t="n">
        <v>100</v>
      </c>
      <c r="AF46" t="n">
        <v>104.661885245902</v>
      </c>
    </row>
    <row r="47">
      <c r="A47" t="s">
        <v>78</v>
      </c>
      <c r="B47" t="s">
        <v>364</v>
      </c>
      <c r="C47" t="s">
        <v>203</v>
      </c>
      <c r="D47" t="s">
        <v>365</v>
      </c>
      <c r="E47" t="s">
        <v>204</v>
      </c>
      <c r="F47" t="n">
        <v>4.29666632180874</v>
      </c>
      <c r="G47" t="n">
        <v>6.4449994827131</v>
      </c>
      <c r="H47" t="n">
        <v>49.4116627008004</v>
      </c>
      <c r="I47" t="n">
        <v>75.055690178431</v>
      </c>
      <c r="J47" t="n">
        <v>58.3766479165575</v>
      </c>
      <c r="K47" t="n">
        <v>57.5930687498923</v>
      </c>
      <c r="L47" t="n">
        <v>60.6242828946234</v>
      </c>
      <c r="M47" t="n">
        <v>59.8265949617995</v>
      </c>
      <c r="N47" t="n">
        <v>56.3537166187148</v>
      </c>
      <c r="O47" t="n">
        <v>60.6431071225014</v>
      </c>
      <c r="P47" t="n">
        <v>63.8623251476558</v>
      </c>
      <c r="Q47" t="n">
        <v>68.7327947063152</v>
      </c>
      <c r="R47" t="n">
        <v>70.3455961797035</v>
      </c>
      <c r="S47" t="n">
        <v>76.7601698107409</v>
      </c>
      <c r="T47" t="n">
        <v>77.2805777416612</v>
      </c>
      <c r="U47" t="n">
        <v>71.9440672582217</v>
      </c>
      <c r="V47" t="n">
        <v>78.1107015946407</v>
      </c>
      <c r="W47" t="n">
        <v>82.562606866874</v>
      </c>
      <c r="X47" t="n">
        <v>84.0331876507624</v>
      </c>
      <c r="Y47" t="n">
        <v>88.561088063003</v>
      </c>
      <c r="Z47" t="n">
        <v>88.8155739482415</v>
      </c>
      <c r="AA47" t="n">
        <v>89.987626976884</v>
      </c>
      <c r="AB47" t="n">
        <v>95.0412799411655</v>
      </c>
      <c r="AC47" t="n">
        <v>94.9551918252768</v>
      </c>
      <c r="AD47" t="n">
        <v>97.9525862068966</v>
      </c>
      <c r="AE47" t="n">
        <v>100</v>
      </c>
      <c r="AF47" t="n">
        <v>104.694048616932</v>
      </c>
    </row>
    <row r="48">
      <c r="A48" t="s">
        <v>78</v>
      </c>
      <c r="B48" t="s">
        <v>366</v>
      </c>
      <c r="C48" t="s">
        <v>203</v>
      </c>
      <c r="D48" t="s">
        <v>367</v>
      </c>
      <c r="E48" t="s">
        <v>204</v>
      </c>
      <c r="F48" t="n">
        <v>6.01934800510022</v>
      </c>
      <c r="G48" t="n">
        <v>8.42708720714031</v>
      </c>
      <c r="H48" t="n">
        <v>65.3099258553374</v>
      </c>
      <c r="I48" t="n">
        <v>99.3016416513901</v>
      </c>
      <c r="J48" t="n">
        <v>77.2346101733034</v>
      </c>
      <c r="K48" t="n">
        <v>76.2721851244149</v>
      </c>
      <c r="L48" t="n">
        <v>79.391122062588</v>
      </c>
      <c r="M48" t="n">
        <v>78.4855199097828</v>
      </c>
      <c r="N48" t="n">
        <v>73.9560073179745</v>
      </c>
      <c r="O48" t="n">
        <v>79.6094306542939</v>
      </c>
      <c r="P48" t="n">
        <v>83.8039060328535</v>
      </c>
      <c r="Q48" t="n">
        <v>90.1876719705263</v>
      </c>
      <c r="R48" t="n">
        <v>92.3191584223361</v>
      </c>
      <c r="S48" t="n">
        <v>100.711809188003</v>
      </c>
      <c r="T48" t="n">
        <v>101.366632394687</v>
      </c>
      <c r="U48" t="n">
        <v>94.4426820945035</v>
      </c>
      <c r="V48" t="n">
        <v>102.52457420528</v>
      </c>
      <c r="W48" t="n">
        <v>94.4354793597259</v>
      </c>
      <c r="X48" t="n">
        <v>83.8668878068324</v>
      </c>
      <c r="Y48" t="n">
        <v>88.4014710361477</v>
      </c>
      <c r="Z48" t="n">
        <v>88.7637721469516</v>
      </c>
      <c r="AA48" t="n">
        <v>89.9603426048149</v>
      </c>
      <c r="AB48" t="n">
        <v>95.1580512886487</v>
      </c>
      <c r="AC48" t="n">
        <v>95.0331719562489</v>
      </c>
      <c r="AD48" t="n">
        <v>98.0392156862745</v>
      </c>
      <c r="AE48" t="n">
        <v>100</v>
      </c>
      <c r="AF48" t="n">
        <v>104.605263157895</v>
      </c>
    </row>
    <row r="49">
      <c r="A49" t="s">
        <v>78</v>
      </c>
      <c r="B49" t="s">
        <v>368</v>
      </c>
      <c r="C49" t="s">
        <v>203</v>
      </c>
      <c r="D49" t="s">
        <v>369</v>
      </c>
      <c r="E49" t="s">
        <v>204</v>
      </c>
      <c r="F49" t="e">
        <v>#NUM!</v>
      </c>
      <c r="G49" t="n">
        <v>0</v>
      </c>
      <c r="H49" t="e">
        <v>#NUM!</v>
      </c>
      <c r="I49" t="e">
        <v>#NUM!</v>
      </c>
      <c r="J49" t="n">
        <v>0</v>
      </c>
      <c r="K49" t="n">
        <v>53.468877516648</v>
      </c>
      <c r="L49" t="n">
        <v>55.696747413175</v>
      </c>
      <c r="M49" t="n">
        <v>55.696747413175</v>
      </c>
      <c r="N49" t="n">
        <v>52.544101333184</v>
      </c>
      <c r="O49" t="n">
        <v>56.2972514284114</v>
      </c>
      <c r="P49" t="n">
        <v>59.7092060604364</v>
      </c>
      <c r="Q49" t="n">
        <v>64.9013109352569</v>
      </c>
      <c r="R49" t="n">
        <v>66.6205509600319</v>
      </c>
      <c r="S49" t="n">
        <v>72.8662276125349</v>
      </c>
      <c r="T49" t="n">
        <v>72.8662276125349</v>
      </c>
      <c r="U49" t="n">
        <v>68.01827295283</v>
      </c>
      <c r="V49" t="n">
        <v>74.2017523121781</v>
      </c>
      <c r="W49" t="n">
        <v>78.8393618316893</v>
      </c>
      <c r="X49" t="n">
        <v>83.7668219461698</v>
      </c>
      <c r="Y49" t="n">
        <v>87.9551630434783</v>
      </c>
      <c r="Z49" t="n">
        <v>87.9551630434783</v>
      </c>
      <c r="AA49" t="n">
        <v>87.9551630434783</v>
      </c>
      <c r="AB49" t="n">
        <v>95.9510869565218</v>
      </c>
      <c r="AC49" t="n">
        <v>95.6521739130435</v>
      </c>
      <c r="AD49" t="n">
        <v>100</v>
      </c>
      <c r="AE49" t="n">
        <v>100</v>
      </c>
      <c r="AF49" t="n">
        <v>105.405405405405</v>
      </c>
    </row>
    <row r="50">
      <c r="A50" t="s">
        <v>78</v>
      </c>
      <c r="B50" t="s">
        <v>370</v>
      </c>
      <c r="C50" t="s">
        <v>203</v>
      </c>
      <c r="D50" t="s">
        <v>371</v>
      </c>
      <c r="E50" t="s">
        <v>204</v>
      </c>
      <c r="F50" t="e">
        <v>#NUM!</v>
      </c>
      <c r="G50" t="n">
        <v>0</v>
      </c>
      <c r="H50" t="e">
        <v>#NUM!</v>
      </c>
      <c r="I50" t="e">
        <v>#NUM!</v>
      </c>
      <c r="J50" t="n">
        <v>0</v>
      </c>
      <c r="K50" t="n">
        <v>216.393111937145</v>
      </c>
      <c r="L50" t="n">
        <v>224.670444087746</v>
      </c>
      <c r="M50" t="n">
        <v>221.979780086696</v>
      </c>
      <c r="N50" t="n">
        <v>211.409314368282</v>
      </c>
      <c r="O50" t="n">
        <v>226.936552146743</v>
      </c>
      <c r="P50" t="n">
        <v>238.880581207098</v>
      </c>
      <c r="Q50" t="n">
        <v>257.4144194042</v>
      </c>
      <c r="R50" t="n">
        <v>263.617176498277</v>
      </c>
      <c r="S50" t="n">
        <v>287.68912357273</v>
      </c>
      <c r="T50" t="n">
        <v>289.619923059796</v>
      </c>
      <c r="U50" t="n">
        <v>270.403435273838</v>
      </c>
      <c r="V50" t="n">
        <v>294.316664243633</v>
      </c>
      <c r="W50" t="n">
        <v>159.594247512392</v>
      </c>
      <c r="X50" t="n">
        <v>83.0764576091906</v>
      </c>
      <c r="Y50" t="n">
        <v>87.080142313248</v>
      </c>
      <c r="Z50" t="n">
        <v>87.8440032107326</v>
      </c>
      <c r="AA50" t="n">
        <v>88.6727202221546</v>
      </c>
      <c r="AB50" t="n">
        <v>93.9404065719855</v>
      </c>
      <c r="AC50" t="n">
        <v>93.9404065719855</v>
      </c>
      <c r="AD50" t="n">
        <v>97.6608187134503</v>
      </c>
      <c r="AE50" t="n">
        <v>100</v>
      </c>
      <c r="AF50" t="n">
        <v>104.379562043796</v>
      </c>
    </row>
    <row r="51">
      <c r="A51" t="s">
        <v>78</v>
      </c>
      <c r="B51" t="s">
        <v>372</v>
      </c>
      <c r="C51" t="s">
        <v>203</v>
      </c>
      <c r="D51" t="s">
        <v>373</v>
      </c>
      <c r="E51" t="s">
        <v>204</v>
      </c>
      <c r="F51" t="e">
        <v>#NUM!</v>
      </c>
      <c r="G51" t="n">
        <v>0</v>
      </c>
      <c r="H51" t="e">
        <v>#NUM!</v>
      </c>
      <c r="I51" t="e">
        <v>#NUM!</v>
      </c>
      <c r="J51" t="n">
        <v>0</v>
      </c>
      <c r="K51" t="e">
        <v>#NUM!</v>
      </c>
      <c r="L51" t="e">
        <v>#NUM!</v>
      </c>
      <c r="M51" t="e">
        <v>#NUM!</v>
      </c>
      <c r="N51" t="n">
        <v>0</v>
      </c>
      <c r="O51" t="n">
        <v>227.559009751696</v>
      </c>
      <c r="P51" t="n">
        <v>239.843686370682</v>
      </c>
      <c r="Q51" t="n">
        <v>258.1277342106</v>
      </c>
      <c r="R51" t="n">
        <v>264.540845619559</v>
      </c>
      <c r="S51" t="n">
        <v>288.590013403155</v>
      </c>
      <c r="T51" t="n">
        <v>290.526859130693</v>
      </c>
      <c r="U51" t="n">
        <v>271.065729810934</v>
      </c>
      <c r="V51" t="n">
        <v>295.368174552604</v>
      </c>
      <c r="W51" t="n">
        <v>159.541933699946</v>
      </c>
      <c r="X51" t="n">
        <v>83.1897225721149</v>
      </c>
      <c r="Y51" t="n">
        <v>87.2978570201206</v>
      </c>
      <c r="Z51" t="n">
        <v>88.1621922381416</v>
      </c>
      <c r="AA51" t="n">
        <v>89.2924767540152</v>
      </c>
      <c r="AB51" t="n">
        <v>94.7041420118343</v>
      </c>
      <c r="AC51" t="n">
        <v>94.7041420118343</v>
      </c>
      <c r="AD51" t="n">
        <v>97.6331360946746</v>
      </c>
      <c r="AE51" t="n">
        <v>100</v>
      </c>
      <c r="AF51" t="n">
        <v>104.615384615385</v>
      </c>
    </row>
    <row r="52">
      <c r="A52" t="s">
        <v>78</v>
      </c>
      <c r="B52" t="s">
        <v>374</v>
      </c>
      <c r="C52" t="s">
        <v>203</v>
      </c>
      <c r="D52" t="s">
        <v>375</v>
      </c>
      <c r="E52" t="s">
        <v>204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e">
        <v>#NUM!</v>
      </c>
      <c r="O52" t="n">
        <v>0</v>
      </c>
      <c r="P52" t="e">
        <v>#NUM!</v>
      </c>
      <c r="Q52" t="e">
        <v>#NUM!</v>
      </c>
      <c r="R52" t="e">
        <v>#NUM!</v>
      </c>
      <c r="S52" t="e">
        <v>#NUM!</v>
      </c>
      <c r="T52" t="n">
        <v>0</v>
      </c>
      <c r="U52" t="n">
        <v>266.666666666667</v>
      </c>
      <c r="V52" t="n">
        <v>266.666666666667</v>
      </c>
      <c r="W52" t="n">
        <v>160</v>
      </c>
      <c r="X52" t="n">
        <v>80</v>
      </c>
      <c r="Y52" t="n">
        <v>80</v>
      </c>
      <c r="Z52" t="n">
        <v>80</v>
      </c>
      <c r="AA52" t="n">
        <v>80</v>
      </c>
      <c r="AB52" t="n">
        <v>80</v>
      </c>
      <c r="AC52" t="n">
        <v>80</v>
      </c>
      <c r="AD52" t="n">
        <v>100</v>
      </c>
      <c r="AE52" t="n">
        <v>100</v>
      </c>
      <c r="AF52" t="n">
        <v>100</v>
      </c>
    </row>
    <row r="53">
      <c r="A53" t="s">
        <v>78</v>
      </c>
      <c r="B53" t="s">
        <v>376</v>
      </c>
      <c r="C53" t="s">
        <v>203</v>
      </c>
      <c r="D53" t="s">
        <v>377</v>
      </c>
      <c r="E53" t="s">
        <v>204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60.2789533958036</v>
      </c>
      <c r="L53" t="n">
        <v>62.6274840475881</v>
      </c>
      <c r="M53" t="n">
        <v>62.0632724795918</v>
      </c>
      <c r="N53" t="n">
        <v>58.5502570562187</v>
      </c>
      <c r="O53" t="n">
        <v>63.2975751959121</v>
      </c>
      <c r="P53" t="n">
        <v>66.6290265220128</v>
      </c>
      <c r="Q53" t="n">
        <v>71.3882427021565</v>
      </c>
      <c r="R53" t="n">
        <v>73.0107027635692</v>
      </c>
      <c r="S53" t="n">
        <v>79.5629453192741</v>
      </c>
      <c r="T53" t="n">
        <v>79.5629453192741</v>
      </c>
      <c r="U53" t="n">
        <v>75.3754218814176</v>
      </c>
      <c r="V53" t="n">
        <v>81.1735312569112</v>
      </c>
      <c r="W53" t="n">
        <v>86.7717058263534</v>
      </c>
      <c r="X53" t="n">
        <v>86.7717058263534</v>
      </c>
      <c r="Y53" t="n">
        <v>86.7717058263534</v>
      </c>
      <c r="Z53" t="n">
        <v>86.7717058263534</v>
      </c>
      <c r="AA53" t="n">
        <v>90.109079127367</v>
      </c>
      <c r="AB53" t="n">
        <v>94.5046439628483</v>
      </c>
      <c r="AC53" t="n">
        <v>94.5046439628483</v>
      </c>
      <c r="AD53" t="n">
        <v>97.3684210526316</v>
      </c>
      <c r="AE53" t="n">
        <v>100</v>
      </c>
      <c r="AF53" t="n">
        <v>105.405405405405</v>
      </c>
    </row>
    <row r="54">
      <c r="A54" t="s">
        <v>78</v>
      </c>
      <c r="B54" t="s">
        <v>378</v>
      </c>
      <c r="C54" t="s">
        <v>203</v>
      </c>
      <c r="D54" t="s">
        <v>379</v>
      </c>
      <c r="E54" t="s">
        <v>204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58.0655367440547</v>
      </c>
      <c r="L54" t="n">
        <v>60.4849341083903</v>
      </c>
      <c r="M54" t="n">
        <v>59.9850586198912</v>
      </c>
      <c r="N54" t="n">
        <v>56.5896779432936</v>
      </c>
      <c r="O54" t="n">
        <v>61.51051950358</v>
      </c>
      <c r="P54" t="n">
        <v>65.1287853567317</v>
      </c>
      <c r="Q54" t="n">
        <v>69.5550134877717</v>
      </c>
      <c r="R54" t="n">
        <v>71.3384753720736</v>
      </c>
      <c r="S54" t="n">
        <v>77.6221752753132</v>
      </c>
      <c r="T54" t="n">
        <v>77.6221752753132</v>
      </c>
      <c r="U54" t="n">
        <v>73.0561649650007</v>
      </c>
      <c r="V54" t="n">
        <v>78.6758699623084</v>
      </c>
      <c r="W54" t="n">
        <v>82.6763379264936</v>
      </c>
      <c r="X54" t="n">
        <v>84.0542768919352</v>
      </c>
      <c r="Y54" t="n">
        <v>87.4850637038509</v>
      </c>
      <c r="Z54" t="n">
        <v>88.5023318864538</v>
      </c>
      <c r="AA54" t="n">
        <v>90.1412639584252</v>
      </c>
      <c r="AB54" t="n">
        <v>94.3932103715584</v>
      </c>
      <c r="AC54" t="n">
        <v>94.3932103715584</v>
      </c>
      <c r="AD54" t="n">
        <v>97.4137931034483</v>
      </c>
      <c r="AE54" t="n">
        <v>100</v>
      </c>
      <c r="AF54" t="n">
        <v>104.838709677419</v>
      </c>
    </row>
    <row r="55">
      <c r="A55" t="s">
        <v>78</v>
      </c>
      <c r="B55" t="s">
        <v>380</v>
      </c>
      <c r="C55" t="s">
        <v>203</v>
      </c>
      <c r="D55" t="s">
        <v>381</v>
      </c>
      <c r="E55" t="s">
        <v>204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e">
        <v>#NUM!</v>
      </c>
      <c r="M55" t="e">
        <v>#NUM!</v>
      </c>
      <c r="N55" t="n">
        <v>0</v>
      </c>
      <c r="O55" t="e">
        <v>#NUM!</v>
      </c>
      <c r="P55" t="e">
        <v>#NUM!</v>
      </c>
      <c r="Q55" t="e">
        <v>#NUM!</v>
      </c>
      <c r="R55" t="e">
        <v>#NUM!</v>
      </c>
      <c r="S55" t="e">
        <v>#NUM!</v>
      </c>
      <c r="T55" t="e">
        <v>#NUM!</v>
      </c>
      <c r="U55" t="e">
        <v>#NUM!</v>
      </c>
      <c r="V55" t="n">
        <v>0</v>
      </c>
      <c r="W55" t="n">
        <v>80.9804842062907</v>
      </c>
      <c r="X55" t="n">
        <v>83.6798336798337</v>
      </c>
      <c r="Y55" t="n">
        <v>88.4615384615385</v>
      </c>
      <c r="Z55" t="n">
        <v>90.1960784313726</v>
      </c>
      <c r="AA55" t="n">
        <v>90.1960784313726</v>
      </c>
      <c r="AB55" t="n">
        <v>94.3589743589744</v>
      </c>
      <c r="AC55" t="n">
        <v>94.3589743589744</v>
      </c>
      <c r="AD55" t="n">
        <v>97.4358974358974</v>
      </c>
      <c r="AE55" t="n">
        <v>100</v>
      </c>
      <c r="AF55" t="n">
        <v>104.597701149425</v>
      </c>
    </row>
    <row r="56">
      <c r="A56" t="s">
        <v>78</v>
      </c>
      <c r="B56" t="s">
        <v>382</v>
      </c>
      <c r="C56" t="s">
        <v>203</v>
      </c>
      <c r="D56" t="s">
        <v>383</v>
      </c>
      <c r="E56" t="s">
        <v>204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78</v>
      </c>
      <c r="B57" t="s">
        <v>384</v>
      </c>
      <c r="C57" t="s">
        <v>203</v>
      </c>
      <c r="D57" t="s">
        <v>385</v>
      </c>
      <c r="E57" t="s">
        <v>204</v>
      </c>
      <c r="F57" t="n">
        <v>4.48767873082082</v>
      </c>
      <c r="G57" t="n">
        <v>6.3772276701138</v>
      </c>
      <c r="H57" t="n">
        <v>47.9921294006374</v>
      </c>
      <c r="I57" t="n">
        <v>72.8494180979415</v>
      </c>
      <c r="J57" t="n">
        <v>59.7682347998226</v>
      </c>
      <c r="K57" t="n">
        <v>58.9568390673814</v>
      </c>
      <c r="L57" t="n">
        <v>61.2838117584796</v>
      </c>
      <c r="M57" t="n">
        <v>60.6488681984339</v>
      </c>
      <c r="N57" t="n">
        <v>57.1486885125658</v>
      </c>
      <c r="O57" t="n">
        <v>61.5210813407194</v>
      </c>
      <c r="P57" t="n">
        <v>64.7865969251541</v>
      </c>
      <c r="Q57" t="n">
        <v>69.7279969787881</v>
      </c>
      <c r="R57" t="n">
        <v>71.4820255638379</v>
      </c>
      <c r="S57" t="n">
        <v>77.9976999863481</v>
      </c>
      <c r="T57" t="n">
        <v>78.4995735629843</v>
      </c>
      <c r="U57" t="n">
        <v>73.1650844866257</v>
      </c>
      <c r="V57" t="n">
        <v>79.339163066649</v>
      </c>
      <c r="W57" t="n">
        <v>83.0462609286729</v>
      </c>
      <c r="X57" t="n">
        <v>83.8223942083801</v>
      </c>
      <c r="Y57" t="n">
        <v>88.3473569421563</v>
      </c>
      <c r="Z57" t="n">
        <v>88.693180595309</v>
      </c>
      <c r="AA57" t="n">
        <v>89.8843705919226</v>
      </c>
      <c r="AB57" t="n">
        <v>95.0430958686401</v>
      </c>
      <c r="AC57" t="n">
        <v>94.9507697971607</v>
      </c>
      <c r="AD57" t="n">
        <v>97.9778997218673</v>
      </c>
      <c r="AE57" t="n">
        <v>100</v>
      </c>
      <c r="AF57" t="n">
        <v>104.680230539546</v>
      </c>
    </row>
    <row r="58">
      <c r="A58" t="s">
        <v>78</v>
      </c>
      <c r="B58" t="s">
        <v>386</v>
      </c>
      <c r="C58" t="s">
        <v>203</v>
      </c>
      <c r="D58" t="s">
        <v>387</v>
      </c>
      <c r="E58" t="s">
        <v>204</v>
      </c>
      <c r="F58" t="n">
        <v>4.29013497807655</v>
      </c>
      <c r="G58" t="n">
        <v>6.3772276701138</v>
      </c>
      <c r="H58" t="n">
        <v>47.9921294006374</v>
      </c>
      <c r="I58" t="n">
        <v>72.8494180979415</v>
      </c>
      <c r="J58" t="n">
        <v>59.7682347998226</v>
      </c>
      <c r="K58" t="n">
        <v>58.9568390673814</v>
      </c>
      <c r="L58" t="n">
        <v>61.2838117584796</v>
      </c>
      <c r="M58" t="n">
        <v>60.6488681984339</v>
      </c>
      <c r="N58" t="n">
        <v>57.1486885125658</v>
      </c>
      <c r="O58" t="n">
        <v>61.5210813407194</v>
      </c>
      <c r="P58" t="n">
        <v>64.7865969251541</v>
      </c>
      <c r="Q58" t="n">
        <v>69.7279969787881</v>
      </c>
      <c r="R58" t="n">
        <v>71.4820255638379</v>
      </c>
      <c r="S58" t="n">
        <v>77.9976999863481</v>
      </c>
      <c r="T58" t="n">
        <v>78.4995735629843</v>
      </c>
      <c r="U58" t="n">
        <v>73.1650844866257</v>
      </c>
      <c r="V58" t="n">
        <v>79.339163066649</v>
      </c>
      <c r="W58" t="n">
        <v>83.0462609286729</v>
      </c>
      <c r="X58" t="n">
        <v>83.8223942083801</v>
      </c>
      <c r="Y58" t="n">
        <v>88.3473569421563</v>
      </c>
      <c r="Z58" t="n">
        <v>88.693180595309</v>
      </c>
      <c r="AA58" t="n">
        <v>89.8843705919226</v>
      </c>
      <c r="AB58" t="n">
        <v>95.0430958686401</v>
      </c>
      <c r="AC58" t="n">
        <v>94.9507697971607</v>
      </c>
      <c r="AD58" t="n">
        <v>97.9778997218673</v>
      </c>
      <c r="AE58" t="n">
        <v>100</v>
      </c>
      <c r="AF58" t="n">
        <v>104.680230539546</v>
      </c>
    </row>
    <row r="59">
      <c r="A59" t="s">
        <v>78</v>
      </c>
      <c r="B59" t="s">
        <v>388</v>
      </c>
      <c r="C59" t="s">
        <v>203</v>
      </c>
      <c r="D59" t="s">
        <v>389</v>
      </c>
      <c r="E59" t="s">
        <v>204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80</v>
      </c>
      <c r="B2" t="s">
        <v>197</v>
      </c>
      <c r="C2" t="s">
        <v>203</v>
      </c>
      <c r="D2" t="s">
        <v>199</v>
      </c>
      <c r="E2" t="s">
        <v>204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/>
      <c r="AE2"/>
      <c r="AF2"/>
    </row>
    <row r="3">
      <c r="A3" t="s">
        <v>80</v>
      </c>
      <c r="B3" t="s">
        <v>276</v>
      </c>
      <c r="C3" t="s">
        <v>203</v>
      </c>
      <c r="D3" t="s">
        <v>277</v>
      </c>
      <c r="E3" t="s">
        <v>204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/>
      <c r="AE3"/>
      <c r="AF3"/>
    </row>
    <row r="4">
      <c r="A4" t="s">
        <v>80</v>
      </c>
      <c r="B4" t="s">
        <v>278</v>
      </c>
      <c r="C4" t="s">
        <v>203</v>
      </c>
      <c r="D4" t="s">
        <v>279</v>
      </c>
      <c r="E4" t="s">
        <v>204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/>
      <c r="AE4"/>
      <c r="AF4"/>
    </row>
    <row r="5">
      <c r="A5" t="s">
        <v>80</v>
      </c>
      <c r="B5" t="s">
        <v>280</v>
      </c>
      <c r="C5" t="s">
        <v>203</v>
      </c>
      <c r="D5" t="s">
        <v>281</v>
      </c>
      <c r="E5" t="s">
        <v>204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/>
      <c r="AE5"/>
      <c r="AF5"/>
    </row>
    <row r="6">
      <c r="A6" t="s">
        <v>80</v>
      </c>
      <c r="B6" t="s">
        <v>282</v>
      </c>
      <c r="C6" t="s">
        <v>203</v>
      </c>
      <c r="D6" t="s">
        <v>283</v>
      </c>
      <c r="E6" t="s">
        <v>204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/>
      <c r="AE6"/>
      <c r="AF6"/>
    </row>
    <row r="7">
      <c r="A7" t="s">
        <v>80</v>
      </c>
      <c r="B7" t="s">
        <v>284</v>
      </c>
      <c r="C7" t="s">
        <v>203</v>
      </c>
      <c r="D7" t="s">
        <v>285</v>
      </c>
      <c r="E7" t="s">
        <v>204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/>
      <c r="AE7"/>
      <c r="AF7"/>
    </row>
    <row r="8">
      <c r="A8" t="s">
        <v>80</v>
      </c>
      <c r="B8" t="s">
        <v>286</v>
      </c>
      <c r="C8" t="s">
        <v>203</v>
      </c>
      <c r="D8" t="s">
        <v>287</v>
      </c>
      <c r="E8" t="s">
        <v>204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/>
      <c r="AE8"/>
      <c r="AF8"/>
    </row>
    <row r="9">
      <c r="A9" t="s">
        <v>80</v>
      </c>
      <c r="B9" t="s">
        <v>288</v>
      </c>
      <c r="C9" t="s">
        <v>203</v>
      </c>
      <c r="D9" t="s">
        <v>289</v>
      </c>
      <c r="E9" t="s">
        <v>204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/>
      <c r="AE9"/>
      <c r="AF9"/>
    </row>
    <row r="10">
      <c r="A10" t="s">
        <v>80</v>
      </c>
      <c r="B10" t="s">
        <v>290</v>
      </c>
      <c r="C10" t="s">
        <v>203</v>
      </c>
      <c r="D10" t="s">
        <v>291</v>
      </c>
      <c r="E10" t="s">
        <v>204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/>
      <c r="AE10"/>
      <c r="AF10"/>
    </row>
    <row r="11">
      <c r="A11" t="s">
        <v>80</v>
      </c>
      <c r="B11" t="s">
        <v>292</v>
      </c>
      <c r="C11" t="s">
        <v>203</v>
      </c>
      <c r="D11" t="s">
        <v>293</v>
      </c>
      <c r="E11" t="s">
        <v>204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/>
      <c r="AE11"/>
      <c r="AF11"/>
    </row>
    <row r="12">
      <c r="A12" t="s">
        <v>80</v>
      </c>
      <c r="B12" t="s">
        <v>294</v>
      </c>
      <c r="C12" t="s">
        <v>203</v>
      </c>
      <c r="D12" t="s">
        <v>295</v>
      </c>
      <c r="E12" t="s">
        <v>204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/>
      <c r="AE12"/>
      <c r="AF12"/>
    </row>
    <row r="13">
      <c r="A13" t="s">
        <v>80</v>
      </c>
      <c r="B13" t="s">
        <v>296</v>
      </c>
      <c r="C13" t="s">
        <v>203</v>
      </c>
      <c r="D13" t="s">
        <v>297</v>
      </c>
      <c r="E13" t="s">
        <v>204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/>
      <c r="AE13"/>
      <c r="AF13"/>
    </row>
    <row r="14">
      <c r="A14" t="s">
        <v>80</v>
      </c>
      <c r="B14" t="s">
        <v>298</v>
      </c>
      <c r="C14" t="s">
        <v>203</v>
      </c>
      <c r="D14" t="s">
        <v>299</v>
      </c>
      <c r="E14" t="s">
        <v>204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/>
      <c r="AE14"/>
      <c r="AF14"/>
    </row>
    <row r="15">
      <c r="A15" t="s">
        <v>80</v>
      </c>
      <c r="B15" t="s">
        <v>300</v>
      </c>
      <c r="C15" t="s">
        <v>203</v>
      </c>
      <c r="D15" t="s">
        <v>301</v>
      </c>
      <c r="E15" t="s">
        <v>204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/>
      <c r="AE15"/>
      <c r="AF15"/>
    </row>
    <row r="16">
      <c r="A16" t="s">
        <v>80</v>
      </c>
      <c r="B16" t="s">
        <v>302</v>
      </c>
      <c r="C16" t="s">
        <v>203</v>
      </c>
      <c r="D16" t="s">
        <v>303</v>
      </c>
      <c r="E16" t="s">
        <v>204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/>
      <c r="AE16"/>
      <c r="AF16"/>
    </row>
    <row r="17">
      <c r="A17" t="s">
        <v>80</v>
      </c>
      <c r="B17" t="s">
        <v>304</v>
      </c>
      <c r="C17" t="s">
        <v>203</v>
      </c>
      <c r="D17" t="s">
        <v>305</v>
      </c>
      <c r="E17" t="s">
        <v>204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/>
      <c r="AE17"/>
      <c r="AF17"/>
    </row>
    <row r="18">
      <c r="A18" t="s">
        <v>80</v>
      </c>
      <c r="B18" t="s">
        <v>306</v>
      </c>
      <c r="C18" t="s">
        <v>203</v>
      </c>
      <c r="D18" t="s">
        <v>307</v>
      </c>
      <c r="E18" t="s">
        <v>204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/>
      <c r="AE18"/>
      <c r="AF18"/>
    </row>
    <row r="19">
      <c r="A19" t="s">
        <v>80</v>
      </c>
      <c r="B19" t="s">
        <v>308</v>
      </c>
      <c r="C19" t="s">
        <v>203</v>
      </c>
      <c r="D19" t="s">
        <v>309</v>
      </c>
      <c r="E19" t="s">
        <v>204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/>
      <c r="AE19"/>
      <c r="AF19"/>
    </row>
    <row r="20">
      <c r="A20" t="s">
        <v>80</v>
      </c>
      <c r="B20" t="s">
        <v>310</v>
      </c>
      <c r="C20" t="s">
        <v>203</v>
      </c>
      <c r="D20" t="s">
        <v>311</v>
      </c>
      <c r="E20" t="s">
        <v>204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/>
      <c r="AE20"/>
      <c r="AF20"/>
    </row>
    <row r="21">
      <c r="A21" t="s">
        <v>80</v>
      </c>
      <c r="B21" t="s">
        <v>312</v>
      </c>
      <c r="C21" t="s">
        <v>203</v>
      </c>
      <c r="D21" t="s">
        <v>313</v>
      </c>
      <c r="E21" t="s">
        <v>204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/>
      <c r="AE21"/>
      <c r="AF21"/>
    </row>
    <row r="22">
      <c r="A22" t="s">
        <v>80</v>
      </c>
      <c r="B22" t="s">
        <v>314</v>
      </c>
      <c r="C22" t="s">
        <v>203</v>
      </c>
      <c r="D22" t="s">
        <v>315</v>
      </c>
      <c r="E22" t="s">
        <v>204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/>
      <c r="AE22"/>
      <c r="AF22"/>
    </row>
    <row r="23">
      <c r="A23" t="s">
        <v>80</v>
      </c>
      <c r="B23" t="s">
        <v>316</v>
      </c>
      <c r="C23" t="s">
        <v>203</v>
      </c>
      <c r="D23" t="s">
        <v>317</v>
      </c>
      <c r="E23" t="s">
        <v>204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/>
      <c r="AE23"/>
      <c r="AF23"/>
    </row>
    <row r="24">
      <c r="A24" t="s">
        <v>80</v>
      </c>
      <c r="B24" t="s">
        <v>318</v>
      </c>
      <c r="C24" t="s">
        <v>203</v>
      </c>
      <c r="D24" t="s">
        <v>319</v>
      </c>
      <c r="E24" t="s">
        <v>204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/>
      <c r="AE24"/>
      <c r="AF24"/>
    </row>
    <row r="25">
      <c r="A25" t="s">
        <v>80</v>
      </c>
      <c r="B25" t="s">
        <v>320</v>
      </c>
      <c r="C25" t="s">
        <v>203</v>
      </c>
      <c r="D25" t="s">
        <v>321</v>
      </c>
      <c r="E25" t="s">
        <v>204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/>
      <c r="AE25"/>
      <c r="AF25"/>
    </row>
    <row r="26">
      <c r="A26" t="s">
        <v>80</v>
      </c>
      <c r="B26" t="s">
        <v>322</v>
      </c>
      <c r="C26" t="s">
        <v>203</v>
      </c>
      <c r="D26" t="s">
        <v>323</v>
      </c>
      <c r="E26" t="s">
        <v>204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/>
      <c r="AE26"/>
      <c r="AF26"/>
    </row>
    <row r="27">
      <c r="A27" t="s">
        <v>80</v>
      </c>
      <c r="B27" t="s">
        <v>324</v>
      </c>
      <c r="C27" t="s">
        <v>203</v>
      </c>
      <c r="D27" t="s">
        <v>325</v>
      </c>
      <c r="E27" t="s">
        <v>204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/>
      <c r="AE27"/>
      <c r="AF27"/>
    </row>
    <row r="28">
      <c r="A28" t="s">
        <v>80</v>
      </c>
      <c r="B28" t="s">
        <v>326</v>
      </c>
      <c r="C28" t="s">
        <v>203</v>
      </c>
      <c r="D28" t="s">
        <v>327</v>
      </c>
      <c r="E28" t="s">
        <v>204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/>
      <c r="AE28"/>
      <c r="AF28"/>
    </row>
    <row r="29">
      <c r="A29" t="s">
        <v>80</v>
      </c>
      <c r="B29" t="s">
        <v>328</v>
      </c>
      <c r="C29" t="s">
        <v>203</v>
      </c>
      <c r="D29" t="s">
        <v>329</v>
      </c>
      <c r="E29" t="s">
        <v>204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/>
      <c r="AE29"/>
      <c r="AF29"/>
    </row>
    <row r="30">
      <c r="A30" t="s">
        <v>80</v>
      </c>
      <c r="B30" t="s">
        <v>330</v>
      </c>
      <c r="C30" t="s">
        <v>203</v>
      </c>
      <c r="D30" t="s">
        <v>331</v>
      </c>
      <c r="E30" t="s">
        <v>204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/>
      <c r="AE30"/>
      <c r="AF30"/>
    </row>
    <row r="31">
      <c r="A31" t="s">
        <v>80</v>
      </c>
      <c r="B31" t="s">
        <v>332</v>
      </c>
      <c r="C31" t="s">
        <v>203</v>
      </c>
      <c r="D31" t="s">
        <v>333</v>
      </c>
      <c r="E31" t="s">
        <v>204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/>
      <c r="AE31"/>
      <c r="AF31"/>
    </row>
    <row r="32">
      <c r="A32" t="s">
        <v>80</v>
      </c>
      <c r="B32" t="s">
        <v>334</v>
      </c>
      <c r="C32" t="s">
        <v>203</v>
      </c>
      <c r="D32" t="s">
        <v>335</v>
      </c>
      <c r="E32" t="s">
        <v>204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/>
      <c r="AE32"/>
      <c r="AF32"/>
    </row>
    <row r="33">
      <c r="A33" t="s">
        <v>80</v>
      </c>
      <c r="B33" t="s">
        <v>336</v>
      </c>
      <c r="C33" t="s">
        <v>203</v>
      </c>
      <c r="D33" t="s">
        <v>337</v>
      </c>
      <c r="E33" t="s">
        <v>204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/>
      <c r="AE33"/>
      <c r="AF33"/>
    </row>
    <row r="34">
      <c r="A34" t="s">
        <v>80</v>
      </c>
      <c r="B34" t="s">
        <v>338</v>
      </c>
      <c r="C34" t="s">
        <v>203</v>
      </c>
      <c r="D34" t="s">
        <v>339</v>
      </c>
      <c r="E34" t="s">
        <v>204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/>
      <c r="AE34"/>
      <c r="AF34"/>
    </row>
    <row r="35">
      <c r="A35" t="s">
        <v>80</v>
      </c>
      <c r="B35" t="s">
        <v>340</v>
      </c>
      <c r="C35" t="s">
        <v>203</v>
      </c>
      <c r="D35" t="s">
        <v>341</v>
      </c>
      <c r="E35" t="s">
        <v>204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/>
      <c r="AE35"/>
      <c r="AF35"/>
    </row>
    <row r="36">
      <c r="A36" t="s">
        <v>80</v>
      </c>
      <c r="B36" t="s">
        <v>342</v>
      </c>
      <c r="C36" t="s">
        <v>203</v>
      </c>
      <c r="D36" t="s">
        <v>343</v>
      </c>
      <c r="E36" t="s">
        <v>204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/>
      <c r="AE36"/>
      <c r="AF36"/>
    </row>
    <row r="37">
      <c r="A37" t="s">
        <v>80</v>
      </c>
      <c r="B37" t="s">
        <v>344</v>
      </c>
      <c r="C37" t="s">
        <v>203</v>
      </c>
      <c r="D37" t="s">
        <v>345</v>
      </c>
      <c r="E37" t="s">
        <v>204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/>
      <c r="AE37"/>
      <c r="AF37"/>
    </row>
    <row r="38">
      <c r="A38" t="s">
        <v>80</v>
      </c>
      <c r="B38" t="s">
        <v>346</v>
      </c>
      <c r="C38" t="s">
        <v>203</v>
      </c>
      <c r="D38" t="s">
        <v>347</v>
      </c>
      <c r="E38" t="s">
        <v>204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/>
      <c r="AE38"/>
      <c r="AF38"/>
    </row>
    <row r="39">
      <c r="A39" t="s">
        <v>80</v>
      </c>
      <c r="B39" t="s">
        <v>348</v>
      </c>
      <c r="C39" t="s">
        <v>203</v>
      </c>
      <c r="D39" t="s">
        <v>349</v>
      </c>
      <c r="E39" t="s">
        <v>204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/>
      <c r="AE39"/>
      <c r="AF39"/>
    </row>
    <row r="40">
      <c r="A40" t="s">
        <v>80</v>
      </c>
      <c r="B40" t="s">
        <v>350</v>
      </c>
      <c r="C40" t="s">
        <v>203</v>
      </c>
      <c r="D40" t="s">
        <v>351</v>
      </c>
      <c r="E40" t="s">
        <v>204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/>
      <c r="AE40"/>
      <c r="AF40"/>
    </row>
    <row r="41">
      <c r="A41" t="s">
        <v>80</v>
      </c>
      <c r="B41" t="s">
        <v>352</v>
      </c>
      <c r="C41" t="s">
        <v>203</v>
      </c>
      <c r="D41" t="s">
        <v>353</v>
      </c>
      <c r="E41" t="s">
        <v>204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/>
      <c r="AE41"/>
      <c r="AF41"/>
    </row>
    <row r="42">
      <c r="A42" t="s">
        <v>80</v>
      </c>
      <c r="B42" t="s">
        <v>354</v>
      </c>
      <c r="C42" t="s">
        <v>203</v>
      </c>
      <c r="D42" t="s">
        <v>355</v>
      </c>
      <c r="E42" t="s">
        <v>204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/>
      <c r="AE42"/>
      <c r="AF42"/>
    </row>
    <row r="43">
      <c r="A43" t="s">
        <v>80</v>
      </c>
      <c r="B43" t="s">
        <v>356</v>
      </c>
      <c r="C43" t="s">
        <v>203</v>
      </c>
      <c r="D43" t="s">
        <v>357</v>
      </c>
      <c r="E43" t="s">
        <v>204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/>
      <c r="AE43"/>
      <c r="AF43"/>
    </row>
    <row r="44">
      <c r="A44" t="s">
        <v>80</v>
      </c>
      <c r="B44" t="s">
        <v>358</v>
      </c>
      <c r="C44" t="s">
        <v>203</v>
      </c>
      <c r="D44" t="s">
        <v>359</v>
      </c>
      <c r="E44" t="s">
        <v>204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/>
      <c r="AE44"/>
      <c r="AF44"/>
    </row>
    <row r="45">
      <c r="A45" t="s">
        <v>80</v>
      </c>
      <c r="B45" t="s">
        <v>360</v>
      </c>
      <c r="C45" t="s">
        <v>203</v>
      </c>
      <c r="D45" t="s">
        <v>361</v>
      </c>
      <c r="E45" t="s">
        <v>204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/>
      <c r="AE45"/>
      <c r="AF45"/>
    </row>
    <row r="46">
      <c r="A46" t="s">
        <v>80</v>
      </c>
      <c r="B46" t="s">
        <v>362</v>
      </c>
      <c r="C46" t="s">
        <v>203</v>
      </c>
      <c r="D46" t="s">
        <v>363</v>
      </c>
      <c r="E46" t="s">
        <v>204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/>
      <c r="AE46"/>
      <c r="AF46"/>
    </row>
    <row r="47">
      <c r="A47" t="s">
        <v>80</v>
      </c>
      <c r="B47" t="s">
        <v>364</v>
      </c>
      <c r="C47" t="s">
        <v>203</v>
      </c>
      <c r="D47" t="s">
        <v>365</v>
      </c>
      <c r="E47" t="s">
        <v>204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/>
      <c r="AE47"/>
      <c r="AF47"/>
    </row>
    <row r="48">
      <c r="A48" t="s">
        <v>80</v>
      </c>
      <c r="B48" t="s">
        <v>366</v>
      </c>
      <c r="C48" t="s">
        <v>203</v>
      </c>
      <c r="D48" t="s">
        <v>367</v>
      </c>
      <c r="E48" t="s">
        <v>204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/>
      <c r="AE48"/>
      <c r="AF48"/>
    </row>
    <row r="49">
      <c r="A49" t="s">
        <v>80</v>
      </c>
      <c r="B49" t="s">
        <v>368</v>
      </c>
      <c r="C49" t="s">
        <v>203</v>
      </c>
      <c r="D49" t="s">
        <v>369</v>
      </c>
      <c r="E49" t="s">
        <v>204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/>
      <c r="AE49"/>
      <c r="AF49"/>
    </row>
    <row r="50">
      <c r="A50" t="s">
        <v>80</v>
      </c>
      <c r="B50" t="s">
        <v>370</v>
      </c>
      <c r="C50" t="s">
        <v>203</v>
      </c>
      <c r="D50" t="s">
        <v>371</v>
      </c>
      <c r="E50" t="s">
        <v>204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/>
      <c r="AE50"/>
      <c r="AF50"/>
    </row>
    <row r="51">
      <c r="A51" t="s">
        <v>80</v>
      </c>
      <c r="B51" t="s">
        <v>372</v>
      </c>
      <c r="C51" t="s">
        <v>203</v>
      </c>
      <c r="D51" t="s">
        <v>373</v>
      </c>
      <c r="E51" t="s">
        <v>204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/>
      <c r="AE51"/>
      <c r="AF51"/>
    </row>
    <row r="52">
      <c r="A52" t="s">
        <v>80</v>
      </c>
      <c r="B52" t="s">
        <v>374</v>
      </c>
      <c r="C52" t="s">
        <v>203</v>
      </c>
      <c r="D52" t="s">
        <v>375</v>
      </c>
      <c r="E52" t="s">
        <v>204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/>
      <c r="AE52"/>
      <c r="AF52"/>
    </row>
    <row r="53">
      <c r="A53" t="s">
        <v>80</v>
      </c>
      <c r="B53" t="s">
        <v>376</v>
      </c>
      <c r="C53" t="s">
        <v>203</v>
      </c>
      <c r="D53" t="s">
        <v>377</v>
      </c>
      <c r="E53" t="s">
        <v>204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/>
      <c r="AE53"/>
      <c r="AF53"/>
    </row>
    <row r="54">
      <c r="A54" t="s">
        <v>80</v>
      </c>
      <c r="B54" t="s">
        <v>378</v>
      </c>
      <c r="C54" t="s">
        <v>203</v>
      </c>
      <c r="D54" t="s">
        <v>379</v>
      </c>
      <c r="E54" t="s">
        <v>204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/>
      <c r="AE54"/>
      <c r="AF54"/>
    </row>
    <row r="55">
      <c r="A55" t="s">
        <v>80</v>
      </c>
      <c r="B55" t="s">
        <v>380</v>
      </c>
      <c r="C55" t="s">
        <v>203</v>
      </c>
      <c r="D55" t="s">
        <v>381</v>
      </c>
      <c r="E55" t="s">
        <v>204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/>
      <c r="AE55"/>
      <c r="AF55"/>
    </row>
    <row r="56">
      <c r="A56" t="s">
        <v>80</v>
      </c>
      <c r="B56" t="s">
        <v>382</v>
      </c>
      <c r="C56" t="s">
        <v>203</v>
      </c>
      <c r="D56" t="s">
        <v>383</v>
      </c>
      <c r="E56" t="s">
        <v>204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/>
      <c r="AE56"/>
      <c r="AF56"/>
    </row>
    <row r="57">
      <c r="A57" t="s">
        <v>80</v>
      </c>
      <c r="B57" t="s">
        <v>384</v>
      </c>
      <c r="C57" t="s">
        <v>203</v>
      </c>
      <c r="D57" t="s">
        <v>385</v>
      </c>
      <c r="E57" t="s">
        <v>204</v>
      </c>
      <c r="F57" t="n">
        <v>4.83920336676398</v>
      </c>
      <c r="G57" t="n">
        <v>6.86643720959754</v>
      </c>
      <c r="H57" t="n">
        <v>51.9029550292012</v>
      </c>
      <c r="I57" t="n">
        <v>72.2042666913353</v>
      </c>
      <c r="J57" t="n">
        <v>62.2518113090134</v>
      </c>
      <c r="K57" t="n">
        <v>59.7619260660696</v>
      </c>
      <c r="L57" t="n">
        <v>57.9367771885624</v>
      </c>
      <c r="M57" t="n">
        <v>56.1929388788468</v>
      </c>
      <c r="N57" t="n">
        <v>55.9457140363543</v>
      </c>
      <c r="O57" t="n">
        <v>55.3901992589273</v>
      </c>
      <c r="P57" t="n">
        <v>64.0326097726927</v>
      </c>
      <c r="Q57" t="n">
        <v>69.5640518638</v>
      </c>
      <c r="R57" t="n">
        <v>71.1604817610418</v>
      </c>
      <c r="S57" t="n">
        <v>77.9747205289654</v>
      </c>
      <c r="T57" t="n">
        <v>88.5245749394563</v>
      </c>
      <c r="U57" t="n">
        <v>87.8992432985504</v>
      </c>
      <c r="V57" t="n">
        <v>95.5365885177886</v>
      </c>
      <c r="W57" t="n">
        <v>95.6648205602678</v>
      </c>
      <c r="X57" t="n">
        <v>92.4177638675685</v>
      </c>
      <c r="Y57" t="n">
        <v>90.0655645077896</v>
      </c>
      <c r="Z57" t="n">
        <v>90.6590596715864</v>
      </c>
      <c r="AA57" t="n">
        <v>90.9913632405021</v>
      </c>
      <c r="AB57" t="n">
        <v>93.4559034058008</v>
      </c>
      <c r="AC57" t="n">
        <v>97.0081984448196</v>
      </c>
      <c r="AD57" t="n">
        <v>99.1555595113593</v>
      </c>
      <c r="AE57" t="n">
        <v>100</v>
      </c>
      <c r="AF57" t="n">
        <v>106.782406592246</v>
      </c>
    </row>
    <row r="58">
      <c r="A58" t="s">
        <v>80</v>
      </c>
      <c r="B58" t="s">
        <v>386</v>
      </c>
      <c r="C58" t="s">
        <v>203</v>
      </c>
      <c r="D58" t="s">
        <v>387</v>
      </c>
      <c r="E58" t="s">
        <v>204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/>
      <c r="AE58"/>
      <c r="AF58"/>
    </row>
    <row r="59">
      <c r="A59" t="s">
        <v>80</v>
      </c>
      <c r="B59" t="s">
        <v>388</v>
      </c>
      <c r="C59" t="s">
        <v>203</v>
      </c>
      <c r="D59" t="s">
        <v>389</v>
      </c>
      <c r="E59" t="s">
        <v>204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82</v>
      </c>
      <c r="B2" t="s">
        <v>197</v>
      </c>
      <c r="C2" t="s">
        <v>203</v>
      </c>
      <c r="D2" t="s">
        <v>199</v>
      </c>
      <c r="E2" t="s">
        <v>204</v>
      </c>
      <c r="F2" t="n">
        <v>2.18137424734373</v>
      </c>
      <c r="G2" t="n">
        <v>2.90849899645831</v>
      </c>
      <c r="H2" t="n">
        <v>22.9448254165044</v>
      </c>
      <c r="I2" t="n">
        <v>41.1901082778212</v>
      </c>
      <c r="J2" t="n">
        <v>36.5912126934042</v>
      </c>
      <c r="K2" t="n">
        <v>37.0137440178084</v>
      </c>
      <c r="L2" t="n">
        <v>42.646270281388</v>
      </c>
      <c r="M2" t="n">
        <v>44.4671222709304</v>
      </c>
      <c r="N2" t="n">
        <v>45.6407413337995</v>
      </c>
      <c r="O2" t="n">
        <v>48.3164966883774</v>
      </c>
      <c r="P2" t="n">
        <v>53.5495890596705</v>
      </c>
      <c r="Q2" t="n">
        <v>57.7702463254573</v>
      </c>
      <c r="R2" t="n">
        <v>66.2458136615699</v>
      </c>
      <c r="S2" t="n">
        <v>72.7719560090774</v>
      </c>
      <c r="T2" t="n">
        <v>73.5091538268249</v>
      </c>
      <c r="U2" t="n">
        <v>72.9715203879319</v>
      </c>
      <c r="V2" t="n">
        <v>76.6033341897815</v>
      </c>
      <c r="W2" t="n">
        <v>78.270406392984</v>
      </c>
      <c r="X2" t="n">
        <v>77.1173523528208</v>
      </c>
      <c r="Y2" t="n">
        <v>75.7048156415124</v>
      </c>
      <c r="Z2" t="n">
        <v>79.6289089562639</v>
      </c>
      <c r="AA2" t="n">
        <v>80.1408653442122</v>
      </c>
      <c r="AB2" t="n">
        <v>88.3981100035716</v>
      </c>
      <c r="AC2" t="n">
        <v>92.4066161851178</v>
      </c>
      <c r="AD2" t="n">
        <v>97.7272727272727</v>
      </c>
      <c r="AE2" t="n">
        <v>100</v>
      </c>
      <c r="AF2" t="n">
        <v>110.182623132263</v>
      </c>
    </row>
    <row r="3">
      <c r="A3" t="s">
        <v>82</v>
      </c>
      <c r="B3" t="s">
        <v>276</v>
      </c>
      <c r="C3" t="s">
        <v>203</v>
      </c>
      <c r="D3" t="s">
        <v>277</v>
      </c>
      <c r="E3" t="s">
        <v>204</v>
      </c>
      <c r="F3" t="n">
        <v>2.33638624260904</v>
      </c>
      <c r="G3" t="n">
        <v>3.21253108358743</v>
      </c>
      <c r="H3" t="n">
        <v>24.3568265791992</v>
      </c>
      <c r="I3" t="n">
        <v>43.5334691824543</v>
      </c>
      <c r="J3" t="n">
        <v>38.6470593762604</v>
      </c>
      <c r="K3" t="n">
        <v>39.0790895115642</v>
      </c>
      <c r="L3" t="n">
        <v>44.4080562631411</v>
      </c>
      <c r="M3" t="n">
        <v>46.3058364453266</v>
      </c>
      <c r="N3" t="n">
        <v>47.4999697634009</v>
      </c>
      <c r="O3" t="n">
        <v>50.242053678979</v>
      </c>
      <c r="P3" t="n">
        <v>55.6043146284756</v>
      </c>
      <c r="Q3" t="n">
        <v>59.9912428042922</v>
      </c>
      <c r="R3" t="n">
        <v>68.770449068335</v>
      </c>
      <c r="S3" t="n">
        <v>75.5402496101496</v>
      </c>
      <c r="T3" t="n">
        <v>76.3410296413526</v>
      </c>
      <c r="U3" t="n">
        <v>75.7707124508622</v>
      </c>
      <c r="V3" t="n">
        <v>79.5543971955276</v>
      </c>
      <c r="W3" t="n">
        <v>81.2826286692917</v>
      </c>
      <c r="X3" t="n">
        <v>80.1062432784887</v>
      </c>
      <c r="Y3" t="n">
        <v>78.6206365849604</v>
      </c>
      <c r="Z3" t="n">
        <v>80.6896007056172</v>
      </c>
      <c r="AA3" t="n">
        <v>81.1628534956795</v>
      </c>
      <c r="AB3" t="n">
        <v>87.9852382822728</v>
      </c>
      <c r="AC3" t="n">
        <v>91.8106834249804</v>
      </c>
      <c r="AD3" t="n">
        <v>96.9298245614035</v>
      </c>
      <c r="AE3" t="n">
        <v>100</v>
      </c>
      <c r="AF3" t="n">
        <v>110.212765957447</v>
      </c>
    </row>
    <row r="4">
      <c r="A4" t="s">
        <v>82</v>
      </c>
      <c r="B4" t="s">
        <v>278</v>
      </c>
      <c r="C4" t="s">
        <v>203</v>
      </c>
      <c r="D4" t="s">
        <v>279</v>
      </c>
      <c r="E4" t="s">
        <v>204</v>
      </c>
      <c r="F4" t="n">
        <v>2.2505542421537</v>
      </c>
      <c r="G4" t="n">
        <v>3.19433505337945</v>
      </c>
      <c r="H4" t="n">
        <v>23.9575129003459</v>
      </c>
      <c r="I4" t="n">
        <v>42.7336893340876</v>
      </c>
      <c r="J4" t="n">
        <v>37.9251305215424</v>
      </c>
      <c r="K4" t="n">
        <v>38.3488749966435</v>
      </c>
      <c r="L4" t="n">
        <v>44.2378875725028</v>
      </c>
      <c r="M4" t="n">
        <v>46.1187753266735</v>
      </c>
      <c r="N4" t="n">
        <v>47.282258108471</v>
      </c>
      <c r="O4" t="n">
        <v>50.0022645810985</v>
      </c>
      <c r="P4" t="n">
        <v>55.3815550598614</v>
      </c>
      <c r="Q4" t="n">
        <v>59.7705831986112</v>
      </c>
      <c r="R4" t="n">
        <v>68.615988540604</v>
      </c>
      <c r="S4" t="n">
        <v>75.3509017285882</v>
      </c>
      <c r="T4" t="n">
        <v>76.1457273573893</v>
      </c>
      <c r="U4" t="n">
        <v>75.6238635543003</v>
      </c>
      <c r="V4" t="n">
        <v>79.3378579998296</v>
      </c>
      <c r="W4" t="n">
        <v>81.045562920718</v>
      </c>
      <c r="X4" t="n">
        <v>79.8430540229199</v>
      </c>
      <c r="Y4" t="n">
        <v>78.3792646991663</v>
      </c>
      <c r="Z4" t="n">
        <v>82.4417697803256</v>
      </c>
      <c r="AA4" t="n">
        <v>82.9912864244639</v>
      </c>
      <c r="AB4" t="n">
        <v>88.3854726023211</v>
      </c>
      <c r="AC4" t="n">
        <v>92.3794062038728</v>
      </c>
      <c r="AD4" t="n">
        <v>97.6443550703821</v>
      </c>
      <c r="AE4" t="n">
        <v>100</v>
      </c>
      <c r="AF4" t="n">
        <v>110.143841774049</v>
      </c>
    </row>
    <row r="5">
      <c r="A5" t="s">
        <v>82</v>
      </c>
      <c r="B5" t="s">
        <v>280</v>
      </c>
      <c r="C5" t="s">
        <v>203</v>
      </c>
      <c r="D5" t="s">
        <v>281</v>
      </c>
      <c r="E5" t="s">
        <v>204</v>
      </c>
      <c r="F5" t="n">
        <v>1.9917701644204</v>
      </c>
      <c r="G5" t="n">
        <v>3.1299245440892</v>
      </c>
      <c r="H5" t="n">
        <v>23.1846262525126</v>
      </c>
      <c r="I5" t="n">
        <v>41.4363533023629</v>
      </c>
      <c r="J5" t="n">
        <v>36.7580553488703</v>
      </c>
      <c r="K5" t="n">
        <v>37.1554397310203</v>
      </c>
      <c r="L5" t="n">
        <v>42.8846231816084</v>
      </c>
      <c r="M5" t="n">
        <v>44.7150644149698</v>
      </c>
      <c r="N5" t="n">
        <v>45.8764946595145</v>
      </c>
      <c r="O5" t="n">
        <v>48.5011772709774</v>
      </c>
      <c r="P5" t="n">
        <v>53.7184353837917</v>
      </c>
      <c r="Q5" t="n">
        <v>57.9573901312557</v>
      </c>
      <c r="R5" t="n">
        <v>66.5335174547321</v>
      </c>
      <c r="S5" t="n">
        <v>73.0564113228431</v>
      </c>
      <c r="T5" t="n">
        <v>73.7962230830744</v>
      </c>
      <c r="U5" t="n">
        <v>73.3175919192101</v>
      </c>
      <c r="V5" t="n">
        <v>76.9069764353191</v>
      </c>
      <c r="W5" t="n">
        <v>78.530342692529</v>
      </c>
      <c r="X5" t="n">
        <v>77.3485160510743</v>
      </c>
      <c r="Y5" t="n">
        <v>75.9319744647899</v>
      </c>
      <c r="Z5" t="n">
        <v>79.8824893524851</v>
      </c>
      <c r="AA5" t="n">
        <v>80.471435319561</v>
      </c>
      <c r="AB5" t="n">
        <v>88.5360157822473</v>
      </c>
      <c r="AC5" t="n">
        <v>92.5544239973271</v>
      </c>
      <c r="AD5" t="n">
        <v>97.7991746905089</v>
      </c>
      <c r="AE5" t="n">
        <v>100</v>
      </c>
      <c r="AF5" t="n">
        <v>110.286458333333</v>
      </c>
    </row>
    <row r="6">
      <c r="A6" t="s">
        <v>82</v>
      </c>
      <c r="B6" t="s">
        <v>282</v>
      </c>
      <c r="C6" t="s">
        <v>203</v>
      </c>
      <c r="D6" t="s">
        <v>283</v>
      </c>
      <c r="E6" t="s">
        <v>204</v>
      </c>
      <c r="F6" t="n">
        <v>2.29094274404487</v>
      </c>
      <c r="G6" t="n">
        <v>3.43641411606731</v>
      </c>
      <c r="H6" t="n">
        <v>25.0367314170618</v>
      </c>
      <c r="I6" t="n">
        <v>44.2315588368092</v>
      </c>
      <c r="J6" t="n">
        <v>39.3842647177068</v>
      </c>
      <c r="K6" t="n">
        <v>39.8878998163987</v>
      </c>
      <c r="L6" t="n">
        <v>45.9413480270175</v>
      </c>
      <c r="M6" t="n">
        <v>47.9439196076824</v>
      </c>
      <c r="N6" t="n">
        <v>49.2076802563198</v>
      </c>
      <c r="O6" t="n">
        <v>52.0465848864921</v>
      </c>
      <c r="P6" t="n">
        <v>57.6704791276651</v>
      </c>
      <c r="Q6" t="n">
        <v>62.2273434110687</v>
      </c>
      <c r="R6" t="n">
        <v>71.4619948305195</v>
      </c>
      <c r="S6" t="n">
        <v>78.407150338345</v>
      </c>
      <c r="T6" t="n">
        <v>79.3104585219664</v>
      </c>
      <c r="U6" t="n">
        <v>78.6585917395941</v>
      </c>
      <c r="V6" t="n">
        <v>82.5165063208276</v>
      </c>
      <c r="W6" t="n">
        <v>84.2391891250203</v>
      </c>
      <c r="X6" t="n">
        <v>83.0283588911904</v>
      </c>
      <c r="Y6" t="n">
        <v>81.3239644271484</v>
      </c>
      <c r="Z6" t="n">
        <v>85.5213303330657</v>
      </c>
      <c r="AA6" t="n">
        <v>86.0161499878375</v>
      </c>
      <c r="AB6" t="n">
        <v>88.2069098400747</v>
      </c>
      <c r="AC6" t="n">
        <v>92.7572663000785</v>
      </c>
      <c r="AD6" t="n">
        <v>97.910447761194</v>
      </c>
      <c r="AE6" t="n">
        <v>100</v>
      </c>
      <c r="AF6" t="n">
        <v>109.756097560976</v>
      </c>
    </row>
    <row r="7">
      <c r="A7" t="s">
        <v>82</v>
      </c>
      <c r="B7" t="s">
        <v>284</v>
      </c>
      <c r="C7" t="s">
        <v>203</v>
      </c>
      <c r="D7" t="s">
        <v>285</v>
      </c>
      <c r="E7" t="s">
        <v>204</v>
      </c>
      <c r="F7" t="n">
        <v>1.68674816074498</v>
      </c>
      <c r="G7" t="n">
        <v>3.37349632148997</v>
      </c>
      <c r="H7" t="n">
        <v>23.6144742504298</v>
      </c>
      <c r="I7" t="n">
        <v>42.0452834214969</v>
      </c>
      <c r="J7" t="n">
        <v>37.1400003556556</v>
      </c>
      <c r="K7" t="n">
        <v>37.5701934099682</v>
      </c>
      <c r="L7" t="n">
        <v>43.3069594695742</v>
      </c>
      <c r="M7" t="n">
        <v>45.1368309964576</v>
      </c>
      <c r="N7" t="n">
        <v>46.0643001265218</v>
      </c>
      <c r="O7" t="n">
        <v>48.8171467476287</v>
      </c>
      <c r="P7" t="n">
        <v>54.0946761257507</v>
      </c>
      <c r="Q7" t="n">
        <v>58.4222502158107</v>
      </c>
      <c r="R7" t="n">
        <v>67.0605595862419</v>
      </c>
      <c r="S7" t="n">
        <v>73.7033508660112</v>
      </c>
      <c r="T7" t="n">
        <v>74.413744609298</v>
      </c>
      <c r="U7" t="n">
        <v>73.9627522177265</v>
      </c>
      <c r="V7" t="n">
        <v>77.5883773264386</v>
      </c>
      <c r="W7" t="n">
        <v>79.239193865299</v>
      </c>
      <c r="X7" t="n">
        <v>78.0907997513091</v>
      </c>
      <c r="Y7" t="n">
        <v>76.7700251254942</v>
      </c>
      <c r="Z7" t="n">
        <v>80.7789037221258</v>
      </c>
      <c r="AA7" t="n">
        <v>81.343791160742</v>
      </c>
      <c r="AB7" t="n">
        <v>88.0055671609752</v>
      </c>
      <c r="AC7" t="n">
        <v>91.8091573137996</v>
      </c>
      <c r="AD7" t="n">
        <v>97.2714870395634</v>
      </c>
      <c r="AE7" t="n">
        <v>100</v>
      </c>
      <c r="AF7" t="n">
        <v>110.260115606936</v>
      </c>
    </row>
    <row r="8">
      <c r="A8" t="s">
        <v>82</v>
      </c>
      <c r="B8" t="s">
        <v>286</v>
      </c>
      <c r="C8" t="s">
        <v>203</v>
      </c>
      <c r="D8" t="s">
        <v>287</v>
      </c>
      <c r="E8" t="s">
        <v>204</v>
      </c>
      <c r="F8" t="n">
        <v>1.31547779450271</v>
      </c>
      <c r="G8" t="n">
        <v>2.19246299083785</v>
      </c>
      <c r="H8" t="n">
        <v>16.6261776805203</v>
      </c>
      <c r="I8" t="n">
        <v>29.6785040839195</v>
      </c>
      <c r="J8" t="n">
        <v>26.1869153681643</v>
      </c>
      <c r="K8" t="n">
        <v>26.1869153681643</v>
      </c>
      <c r="L8" t="n">
        <v>39.2803730522464</v>
      </c>
      <c r="M8" t="n">
        <v>40.8147626245998</v>
      </c>
      <c r="N8" t="n">
        <v>41.8266988880196</v>
      </c>
      <c r="O8" t="n">
        <v>44.1734113668854</v>
      </c>
      <c r="P8" t="n">
        <v>48.8864740859464</v>
      </c>
      <c r="Q8" t="n">
        <v>52.6577163725766</v>
      </c>
      <c r="R8" t="n">
        <v>60.5430089258304</v>
      </c>
      <c r="S8" t="n">
        <v>66.5496381578419</v>
      </c>
      <c r="T8" t="n">
        <v>67.2430641994287</v>
      </c>
      <c r="U8" t="n">
        <v>66.8631598819178</v>
      </c>
      <c r="V8" t="n">
        <v>70.238463625957</v>
      </c>
      <c r="W8" t="n">
        <v>71.7670482532901</v>
      </c>
      <c r="X8" t="n">
        <v>70.6924614345242</v>
      </c>
      <c r="Y8" t="n">
        <v>69.4630273226195</v>
      </c>
      <c r="Z8" t="n">
        <v>73.0621479092837</v>
      </c>
      <c r="AA8" t="n">
        <v>73.6383856844473</v>
      </c>
      <c r="AB8" t="n">
        <v>88.4824871465296</v>
      </c>
      <c r="AC8" t="n">
        <v>92.03125</v>
      </c>
      <c r="AD8" t="n">
        <v>96.875</v>
      </c>
      <c r="AE8" t="n">
        <v>100</v>
      </c>
      <c r="AF8" t="n">
        <v>110.344827586207</v>
      </c>
    </row>
    <row r="9">
      <c r="A9" t="s">
        <v>82</v>
      </c>
      <c r="B9" t="s">
        <v>288</v>
      </c>
      <c r="C9" t="s">
        <v>203</v>
      </c>
      <c r="D9" t="s">
        <v>289</v>
      </c>
      <c r="E9" t="s">
        <v>204</v>
      </c>
      <c r="F9" t="n">
        <v>2.70063802555696</v>
      </c>
      <c r="G9" t="n">
        <v>3.37579753194619</v>
      </c>
      <c r="H9" t="n">
        <v>24.6692896565299</v>
      </c>
      <c r="I9" t="n">
        <v>43.8320414432986</v>
      </c>
      <c r="J9" t="n">
        <v>39.0858968284192</v>
      </c>
      <c r="K9" t="n">
        <v>39.7838592717838</v>
      </c>
      <c r="L9" t="n">
        <v>47.0172882302899</v>
      </c>
      <c r="M9" t="n">
        <v>48.9074304707036</v>
      </c>
      <c r="N9" t="n">
        <v>50.1832764829828</v>
      </c>
      <c r="O9" t="n">
        <v>52.9972919867015</v>
      </c>
      <c r="P9" t="n">
        <v>58.4222116388835</v>
      </c>
      <c r="Q9" t="n">
        <v>63.3732465235347</v>
      </c>
      <c r="R9" t="n">
        <v>72.8792335020649</v>
      </c>
      <c r="S9" t="n">
        <v>79.8600029945998</v>
      </c>
      <c r="T9" t="n">
        <v>80.6962333924491</v>
      </c>
      <c r="U9" t="n">
        <v>80.2086428583557</v>
      </c>
      <c r="V9" t="n">
        <v>84.1651229993508</v>
      </c>
      <c r="W9" t="n">
        <v>85.9442231603127</v>
      </c>
      <c r="X9" t="n">
        <v>84.5713122472087</v>
      </c>
      <c r="Y9" t="n">
        <v>82.9877994658809</v>
      </c>
      <c r="Z9" t="n">
        <v>87.2371747397363</v>
      </c>
      <c r="AA9" t="n">
        <v>87.8536918757061</v>
      </c>
      <c r="AB9" t="n">
        <v>87.7812650893288</v>
      </c>
      <c r="AC9" t="n">
        <v>92.0086914534041</v>
      </c>
      <c r="AD9" t="n">
        <v>97.3684210526316</v>
      </c>
      <c r="AE9" t="n">
        <v>100</v>
      </c>
      <c r="AF9" t="n">
        <v>110.161662817552</v>
      </c>
    </row>
    <row r="10">
      <c r="A10" t="s">
        <v>82</v>
      </c>
      <c r="B10" t="s">
        <v>290</v>
      </c>
      <c r="C10" t="s">
        <v>203</v>
      </c>
      <c r="D10" t="s">
        <v>291</v>
      </c>
      <c r="E10" t="s">
        <v>204</v>
      </c>
      <c r="F10" t="n">
        <v>2.43085667421941</v>
      </c>
      <c r="G10" t="n">
        <v>3.03857084277426</v>
      </c>
      <c r="H10" t="n">
        <v>22.9061494301444</v>
      </c>
      <c r="I10" t="n">
        <v>40.6781619190496</v>
      </c>
      <c r="J10" t="n">
        <v>36.3041660137755</v>
      </c>
      <c r="K10" t="n">
        <v>36.9143200644272</v>
      </c>
      <c r="L10" t="n">
        <v>44.2971840773126</v>
      </c>
      <c r="M10" t="n">
        <v>46.1238720805007</v>
      </c>
      <c r="N10" t="n">
        <v>47.3456965064743</v>
      </c>
      <c r="O10" t="n">
        <v>50.1216656827496</v>
      </c>
      <c r="P10" t="n">
        <v>55.5093365867586</v>
      </c>
      <c r="Q10" t="n">
        <v>60.213517653433</v>
      </c>
      <c r="R10" t="n">
        <v>69.2054029563457</v>
      </c>
      <c r="S10" t="n">
        <v>75.8910424064365</v>
      </c>
      <c r="T10" t="n">
        <v>76.7590772052029</v>
      </c>
      <c r="U10" t="n">
        <v>76.2540832762213</v>
      </c>
      <c r="V10" t="n">
        <v>79.9875918045823</v>
      </c>
      <c r="W10" t="n">
        <v>81.7447884610977</v>
      </c>
      <c r="X10" t="n">
        <v>80.4741440808734</v>
      </c>
      <c r="Y10" t="n">
        <v>78.9749262524437</v>
      </c>
      <c r="Z10" t="n">
        <v>83.0249224705177</v>
      </c>
      <c r="AA10" t="n">
        <v>83.5871679951488</v>
      </c>
      <c r="AB10" t="n">
        <v>88.3185171269496</v>
      </c>
      <c r="AC10" t="n">
        <v>92.1824522512537</v>
      </c>
      <c r="AD10" t="n">
        <v>97.7426636568849</v>
      </c>
      <c r="AE10" t="n">
        <v>100</v>
      </c>
      <c r="AF10" t="n">
        <v>110.067763794773</v>
      </c>
    </row>
    <row r="11">
      <c r="A11" t="s">
        <v>82</v>
      </c>
      <c r="B11" t="s">
        <v>292</v>
      </c>
      <c r="C11" t="s">
        <v>203</v>
      </c>
      <c r="D11" t="s">
        <v>293</v>
      </c>
      <c r="E11" t="s">
        <v>204</v>
      </c>
      <c r="F11" t="n">
        <v>0</v>
      </c>
      <c r="G11" t="n">
        <v>0</v>
      </c>
      <c r="H11" t="n">
        <v>16.8086076596815</v>
      </c>
      <c r="I11" t="n">
        <v>29.4150634044426</v>
      </c>
      <c r="J11" t="n">
        <v>26.3721258108796</v>
      </c>
      <c r="K11" t="n">
        <v>26.3721258108796</v>
      </c>
      <c r="L11" t="n">
        <v>39.5581887163194</v>
      </c>
      <c r="M11" t="n">
        <v>41.2326094027245</v>
      </c>
      <c r="N11" t="n">
        <v>42.3350855899631</v>
      </c>
      <c r="O11" t="n">
        <v>44.8751907253609</v>
      </c>
      <c r="P11" t="n">
        <v>49.8613230281788</v>
      </c>
      <c r="Q11" t="n">
        <v>54.0868588780244</v>
      </c>
      <c r="R11" t="n">
        <v>62.1226207684737</v>
      </c>
      <c r="S11" t="n">
        <v>68.1503602093752</v>
      </c>
      <c r="T11" t="n">
        <v>69.8978053429489</v>
      </c>
      <c r="U11" t="n">
        <v>69.3931280480539</v>
      </c>
      <c r="V11" t="n">
        <v>72.7781586845444</v>
      </c>
      <c r="W11" t="n">
        <v>74.4480208340941</v>
      </c>
      <c r="X11" t="n">
        <v>73.328501723807</v>
      </c>
      <c r="Y11" t="n">
        <v>72.0072674585132</v>
      </c>
      <c r="Z11" t="n">
        <v>75.713523871819</v>
      </c>
      <c r="AA11" t="n">
        <v>76.1867333960179</v>
      </c>
      <c r="AB11" t="n">
        <v>88.7658513710614</v>
      </c>
      <c r="AC11" t="n">
        <v>92.4692506459948</v>
      </c>
      <c r="AD11" t="n">
        <v>98.1395348837209</v>
      </c>
      <c r="AE11" t="n">
        <v>100</v>
      </c>
      <c r="AF11" t="n">
        <v>110</v>
      </c>
    </row>
    <row r="12">
      <c r="A12" t="s">
        <v>82</v>
      </c>
      <c r="B12" t="s">
        <v>294</v>
      </c>
      <c r="C12" t="s">
        <v>203</v>
      </c>
      <c r="D12" t="s">
        <v>295</v>
      </c>
      <c r="E12" t="s">
        <v>204</v>
      </c>
      <c r="F12" t="n">
        <v>2.25778124315375</v>
      </c>
      <c r="G12" t="n">
        <v>3.22540177593393</v>
      </c>
      <c r="H12" t="n">
        <v>24.8624720228241</v>
      </c>
      <c r="I12" t="n">
        <v>44.3399846674328</v>
      </c>
      <c r="J12" t="n">
        <v>39.363047612925</v>
      </c>
      <c r="K12" t="n">
        <v>39.8123974715201</v>
      </c>
      <c r="L12" t="n">
        <v>45.905899768703</v>
      </c>
      <c r="M12" t="n">
        <v>47.9925315763713</v>
      </c>
      <c r="N12" t="n">
        <v>49.1573988476425</v>
      </c>
      <c r="O12" t="n">
        <v>51.9504328730767</v>
      </c>
      <c r="P12" t="n">
        <v>57.5165506809064</v>
      </c>
      <c r="Q12" t="n">
        <v>62.0591701149998</v>
      </c>
      <c r="R12" t="n">
        <v>71.1752064030789</v>
      </c>
      <c r="S12" t="n">
        <v>78.2198514054315</v>
      </c>
      <c r="T12" t="n">
        <v>79.0213809255594</v>
      </c>
      <c r="U12" t="n">
        <v>78.4064285448158</v>
      </c>
      <c r="V12" t="n">
        <v>82.2266953648648</v>
      </c>
      <c r="W12" t="n">
        <v>83.9843802357237</v>
      </c>
      <c r="X12" t="n">
        <v>82.7704141613571</v>
      </c>
      <c r="Y12" t="n">
        <v>81.2087082337843</v>
      </c>
      <c r="Z12" t="n">
        <v>85.4195301422028</v>
      </c>
      <c r="AA12" t="n">
        <v>86.0509311041832</v>
      </c>
      <c r="AB12" t="n">
        <v>88.0283296794774</v>
      </c>
      <c r="AC12" t="n">
        <v>92.2440535637853</v>
      </c>
      <c r="AD12" t="n">
        <v>97.5083056478405</v>
      </c>
      <c r="AE12" t="n">
        <v>100</v>
      </c>
      <c r="AF12" t="n">
        <v>110.173501577287</v>
      </c>
    </row>
    <row r="13">
      <c r="A13" t="s">
        <v>82</v>
      </c>
      <c r="B13" t="s">
        <v>296</v>
      </c>
      <c r="C13" t="s">
        <v>203</v>
      </c>
      <c r="D13" t="s">
        <v>297</v>
      </c>
      <c r="E13" t="s">
        <v>204</v>
      </c>
      <c r="F13" t="n">
        <v>2.31203071623764</v>
      </c>
      <c r="G13" t="n">
        <v>2.89003839529705</v>
      </c>
      <c r="H13" t="n">
        <v>22.6386340964936</v>
      </c>
      <c r="I13" t="n">
        <v>40.3824283883399</v>
      </c>
      <c r="J13" t="n">
        <v>35.9335167862347</v>
      </c>
      <c r="K13" t="n">
        <v>36.3130961889062</v>
      </c>
      <c r="L13" t="n">
        <v>41.951775721345</v>
      </c>
      <c r="M13" t="n">
        <v>43.7605449109996</v>
      </c>
      <c r="N13" t="n">
        <v>44.8983190786856</v>
      </c>
      <c r="O13" t="n">
        <v>47.4250643082221</v>
      </c>
      <c r="P13" t="n">
        <v>52.5697951503369</v>
      </c>
      <c r="Q13" t="n">
        <v>56.7638090687957</v>
      </c>
      <c r="R13" t="n">
        <v>65.1442926911572</v>
      </c>
      <c r="S13" t="n">
        <v>71.5738038878636</v>
      </c>
      <c r="T13" t="n">
        <v>72.3466107404734</v>
      </c>
      <c r="U13" t="n">
        <v>71.8335142103991</v>
      </c>
      <c r="V13" t="n">
        <v>75.3298356985159</v>
      </c>
      <c r="W13" t="n">
        <v>76.9597380701677</v>
      </c>
      <c r="X13" t="n">
        <v>75.8206485150126</v>
      </c>
      <c r="Y13" t="n">
        <v>74.4395802360506</v>
      </c>
      <c r="Z13" t="n">
        <v>78.4030853401332</v>
      </c>
      <c r="AA13" t="n">
        <v>78.8228020710761</v>
      </c>
      <c r="AB13" t="n">
        <v>88.6324759484581</v>
      </c>
      <c r="AC13" t="n">
        <v>92.6760473309484</v>
      </c>
      <c r="AD13" t="n">
        <v>97.9814970563499</v>
      </c>
      <c r="AE13" t="n">
        <v>100</v>
      </c>
      <c r="AF13" t="n">
        <v>110.137275607181</v>
      </c>
    </row>
    <row r="14">
      <c r="A14" t="s">
        <v>82</v>
      </c>
      <c r="B14" t="s">
        <v>298</v>
      </c>
      <c r="C14" t="s">
        <v>203</v>
      </c>
      <c r="D14" t="s">
        <v>299</v>
      </c>
      <c r="E14" t="s">
        <v>204</v>
      </c>
      <c r="F14" t="n">
        <v>0</v>
      </c>
      <c r="G14" t="n">
        <v>4.02551336235494</v>
      </c>
      <c r="H14" t="n">
        <v>24.1530801741296</v>
      </c>
      <c r="I14" t="n">
        <v>43.1305003109457</v>
      </c>
      <c r="J14" t="n">
        <v>38.4424024510603</v>
      </c>
      <c r="K14" t="n">
        <v>38.9618943760747</v>
      </c>
      <c r="L14" t="n">
        <v>44.7483143329174</v>
      </c>
      <c r="M14" t="n">
        <v>46.469403345722</v>
      </c>
      <c r="N14" t="n">
        <v>47.3143015883714</v>
      </c>
      <c r="O14" t="n">
        <v>50.2714454376446</v>
      </c>
      <c r="P14" t="n">
        <v>55.9841096919225</v>
      </c>
      <c r="Q14" t="n">
        <v>60.4184946180153</v>
      </c>
      <c r="R14" t="n">
        <v>69.1747981858436</v>
      </c>
      <c r="S14" t="n">
        <v>75.762874203543</v>
      </c>
      <c r="T14" t="n">
        <v>77.0469907154675</v>
      </c>
      <c r="U14" t="n">
        <v>76.1812941905746</v>
      </c>
      <c r="V14" t="n">
        <v>80.1908359900785</v>
      </c>
      <c r="W14" t="n">
        <v>81.9436411483316</v>
      </c>
      <c r="X14" t="n">
        <v>81.0625267273818</v>
      </c>
      <c r="Y14" t="n">
        <v>79.7479992669378</v>
      </c>
      <c r="Z14" t="n">
        <v>83.8664405436341</v>
      </c>
      <c r="AA14" t="n">
        <v>83.866440543634</v>
      </c>
      <c r="AB14" t="n">
        <v>88.4350404176063</v>
      </c>
      <c r="AC14" t="n">
        <v>92.2920203735144</v>
      </c>
      <c r="AD14" t="n">
        <v>97.4193548387097</v>
      </c>
      <c r="AE14" t="n">
        <v>100</v>
      </c>
      <c r="AF14" t="n">
        <v>110.179640718563</v>
      </c>
    </row>
    <row r="15">
      <c r="A15" t="s">
        <v>82</v>
      </c>
      <c r="B15" t="s">
        <v>300</v>
      </c>
      <c r="C15" t="s">
        <v>203</v>
      </c>
      <c r="D15" t="s">
        <v>301</v>
      </c>
      <c r="E15" t="s">
        <v>204</v>
      </c>
      <c r="F15" t="n">
        <v>0</v>
      </c>
      <c r="G15" t="n">
        <v>3.27742511086437</v>
      </c>
      <c r="H15" t="n">
        <v>25.1269258499602</v>
      </c>
      <c r="I15" t="n">
        <v>44.6700903999292</v>
      </c>
      <c r="J15" t="n">
        <v>39.5158491999374</v>
      </c>
      <c r="K15" t="n">
        <v>39.8319759935369</v>
      </c>
      <c r="L15" t="n">
        <v>45.7330094740608</v>
      </c>
      <c r="M15" t="n">
        <v>47.3376764731507</v>
      </c>
      <c r="N15" t="n">
        <v>48.3780649670661</v>
      </c>
      <c r="O15" t="n">
        <v>51.3399873119885</v>
      </c>
      <c r="P15" t="n">
        <v>56.7632254083253</v>
      </c>
      <c r="Q15" t="n">
        <v>61.3347603405395</v>
      </c>
      <c r="R15" t="n">
        <v>70.5141122282393</v>
      </c>
      <c r="S15" t="n">
        <v>77.43574287641</v>
      </c>
      <c r="T15" t="n">
        <v>78.3603487615014</v>
      </c>
      <c r="U15" t="n">
        <v>77.6565132935838</v>
      </c>
      <c r="V15" t="n">
        <v>81.5760849424713</v>
      </c>
      <c r="W15" t="n">
        <v>83.279134732502</v>
      </c>
      <c r="X15" t="n">
        <v>82.0821040484619</v>
      </c>
      <c r="Y15" t="n">
        <v>80.6882569985823</v>
      </c>
      <c r="Z15" t="n">
        <v>84.7910497273238</v>
      </c>
      <c r="AA15" t="n">
        <v>85.1140632500945</v>
      </c>
      <c r="AB15" t="n">
        <v>88.3999112709575</v>
      </c>
      <c r="AC15" t="n">
        <v>92.3312923312923</v>
      </c>
      <c r="AD15" t="n">
        <v>97.3544973544974</v>
      </c>
      <c r="AE15" t="n">
        <v>100</v>
      </c>
      <c r="AF15" t="n">
        <v>110.050251256281</v>
      </c>
    </row>
    <row r="16">
      <c r="A16" t="s">
        <v>82</v>
      </c>
      <c r="B16" t="s">
        <v>302</v>
      </c>
      <c r="C16" t="s">
        <v>203</v>
      </c>
      <c r="D16" t="s">
        <v>303</v>
      </c>
      <c r="E16" t="s">
        <v>204</v>
      </c>
      <c r="F16" t="n">
        <v>0</v>
      </c>
      <c r="G16" t="n">
        <v>2.37538922479125</v>
      </c>
      <c r="H16" t="n">
        <v>26.1292814727038</v>
      </c>
      <c r="I16" t="n">
        <v>46.228728759399</v>
      </c>
      <c r="J16" t="n">
        <v>40.6493994263681</v>
      </c>
      <c r="K16" t="n">
        <v>40.6493994263681</v>
      </c>
      <c r="L16" t="n">
        <v>46.4564564872778</v>
      </c>
      <c r="M16" t="n">
        <v>47.7469136119245</v>
      </c>
      <c r="N16" t="n">
        <v>49.0732167678113</v>
      </c>
      <c r="O16" t="n">
        <v>51.9598765776825</v>
      </c>
      <c r="P16" t="n">
        <v>57.261904799895</v>
      </c>
      <c r="Q16" t="n">
        <v>61.9126178800895</v>
      </c>
      <c r="R16" t="n">
        <v>71.2683023597475</v>
      </c>
      <c r="S16" t="n">
        <v>78.434947289778</v>
      </c>
      <c r="T16" t="n">
        <v>79.2875010646669</v>
      </c>
      <c r="U16" t="n">
        <v>78.6402561580165</v>
      </c>
      <c r="V16" t="n">
        <v>82.4531170626476</v>
      </c>
      <c r="W16" t="n">
        <v>84.1244640301337</v>
      </c>
      <c r="X16" t="n">
        <v>82.7270476841182</v>
      </c>
      <c r="Y16" t="n">
        <v>81.175915540041</v>
      </c>
      <c r="Z16" t="n">
        <v>85.2830303143883</v>
      </c>
      <c r="AA16" t="n">
        <v>85.6787752346407</v>
      </c>
      <c r="AB16" t="n">
        <v>88.346429408613</v>
      </c>
      <c r="AC16" t="n">
        <v>92.3277062703745</v>
      </c>
      <c r="AD16" t="n">
        <v>97.3094170403587</v>
      </c>
      <c r="AE16" t="n">
        <v>100</v>
      </c>
      <c r="AF16" t="n">
        <v>110</v>
      </c>
    </row>
    <row r="17">
      <c r="A17" t="s">
        <v>82</v>
      </c>
      <c r="B17" t="s">
        <v>304</v>
      </c>
      <c r="C17" t="s">
        <v>203</v>
      </c>
      <c r="D17" t="s">
        <v>305</v>
      </c>
      <c r="E17" t="s">
        <v>204</v>
      </c>
      <c r="F17" t="n">
        <v>1.87281948298321</v>
      </c>
      <c r="G17" t="n">
        <v>3.74563896596641</v>
      </c>
      <c r="H17" t="n">
        <v>26.2194727617649</v>
      </c>
      <c r="I17" t="n">
        <v>47.6717686577543</v>
      </c>
      <c r="J17" t="n">
        <v>42.187405891818</v>
      </c>
      <c r="K17" t="n">
        <v>42.6856823393591</v>
      </c>
      <c r="L17" t="n">
        <v>49.2376656537625</v>
      </c>
      <c r="M17" t="n">
        <v>51.2473662926916</v>
      </c>
      <c r="N17" t="n">
        <v>52.5842541090227</v>
      </c>
      <c r="O17" t="n">
        <v>55.5354112273862</v>
      </c>
      <c r="P17" t="n">
        <v>61.4856338588918</v>
      </c>
      <c r="Q17" t="n">
        <v>66.2823854365359</v>
      </c>
      <c r="R17" t="n">
        <v>76.15423007602</v>
      </c>
      <c r="S17" t="n">
        <v>83.4070138927838</v>
      </c>
      <c r="T17" t="n">
        <v>84.3136118698792</v>
      </c>
      <c r="U17" t="n">
        <v>83.7765824949118</v>
      </c>
      <c r="V17" t="n">
        <v>87.7389884237252</v>
      </c>
      <c r="W17" t="n">
        <v>89.6546868609245</v>
      </c>
      <c r="X17" t="n">
        <v>88.1155506058013</v>
      </c>
      <c r="Y17" t="n">
        <v>86.4078848963865</v>
      </c>
      <c r="Z17" t="n">
        <v>90.9690049202427</v>
      </c>
      <c r="AA17" t="n">
        <v>91.3148946727912</v>
      </c>
      <c r="AB17" t="n">
        <v>88.3331838263327</v>
      </c>
      <c r="AC17" t="n">
        <v>92.5034199726402</v>
      </c>
      <c r="AD17" t="n">
        <v>97.6744186046512</v>
      </c>
      <c r="AE17" t="n">
        <v>100</v>
      </c>
      <c r="AF17" t="n">
        <v>110.278745644599</v>
      </c>
    </row>
    <row r="18">
      <c r="A18" t="s">
        <v>82</v>
      </c>
      <c r="B18" t="s">
        <v>306</v>
      </c>
      <c r="C18" t="s">
        <v>203</v>
      </c>
      <c r="D18" t="s">
        <v>307</v>
      </c>
      <c r="E18" t="s">
        <v>204</v>
      </c>
      <c r="F18" t="n">
        <v>0</v>
      </c>
      <c r="G18" t="n">
        <v>4.52863105386052</v>
      </c>
      <c r="H18" t="n">
        <v>24.9074707962329</v>
      </c>
      <c r="I18" t="n">
        <v>45.9830230084299</v>
      </c>
      <c r="J18" t="n">
        <v>40.5732555956734</v>
      </c>
      <c r="K18" t="n">
        <v>40.5732555956734</v>
      </c>
      <c r="L18" t="n">
        <v>46.7207185647149</v>
      </c>
      <c r="M18" t="n">
        <v>48.667415171578</v>
      </c>
      <c r="N18" t="n">
        <v>49.5522772656067</v>
      </c>
      <c r="O18" t="n">
        <v>53.4642991549967</v>
      </c>
      <c r="P18" t="n">
        <v>59.7542167026433</v>
      </c>
      <c r="Q18" t="n">
        <v>64.5731051464049</v>
      </c>
      <c r="R18" t="n">
        <v>74.125339635518</v>
      </c>
      <c r="S18" t="n">
        <v>81.7279385724942</v>
      </c>
      <c r="T18" t="n">
        <v>82.7624694405005</v>
      </c>
      <c r="U18" t="n">
        <v>82.1755015721282</v>
      </c>
      <c r="V18" t="n">
        <v>86.5005279706612</v>
      </c>
      <c r="W18" t="n">
        <v>88.5044012055028</v>
      </c>
      <c r="X18" t="n">
        <v>87.4948452982157</v>
      </c>
      <c r="Y18" t="n">
        <v>86.0118818185849</v>
      </c>
      <c r="Z18" t="n">
        <v>91.3876244322465</v>
      </c>
      <c r="AA18" t="n">
        <v>91.689233753805</v>
      </c>
      <c r="AB18" t="n">
        <v>88.2602054995977</v>
      </c>
      <c r="AC18" t="n">
        <v>92.6862335040023</v>
      </c>
      <c r="AD18" t="n">
        <v>97.8798586572438</v>
      </c>
      <c r="AE18" t="n">
        <v>100</v>
      </c>
      <c r="AF18" t="n">
        <v>109.278350515464</v>
      </c>
    </row>
    <row r="19">
      <c r="A19" t="s">
        <v>82</v>
      </c>
      <c r="B19" t="s">
        <v>308</v>
      </c>
      <c r="C19" t="s">
        <v>203</v>
      </c>
      <c r="D19" t="s">
        <v>309</v>
      </c>
      <c r="E19" t="s">
        <v>204</v>
      </c>
      <c r="F19" t="e">
        <v>#NUM!</v>
      </c>
      <c r="G19" t="n">
        <v>0</v>
      </c>
      <c r="H19" t="n">
        <v>26.1179444344939</v>
      </c>
      <c r="I19" t="n">
        <v>45.1128131141258</v>
      </c>
      <c r="J19" t="n">
        <v>39.9074885240344</v>
      </c>
      <c r="K19" t="n">
        <v>40.3530266734255</v>
      </c>
      <c r="L19" t="n">
        <v>46.5611846231833</v>
      </c>
      <c r="M19" t="n">
        <v>48.928702485379</v>
      </c>
      <c r="N19" t="n">
        <v>49.7723008040924</v>
      </c>
      <c r="O19" t="n">
        <v>52.819584526792</v>
      </c>
      <c r="P19" t="n">
        <v>58.4627025317911</v>
      </c>
      <c r="Q19" t="n">
        <v>62.9930226541808</v>
      </c>
      <c r="R19" t="n">
        <v>72.1224462272505</v>
      </c>
      <c r="S19" t="n">
        <v>79.0462010650665</v>
      </c>
      <c r="T19" t="n">
        <v>79.8466689239533</v>
      </c>
      <c r="U19" t="n">
        <v>79.3568120593892</v>
      </c>
      <c r="V19" t="n">
        <v>83.135707871741</v>
      </c>
      <c r="W19" t="n">
        <v>85.0081337247082</v>
      </c>
      <c r="X19" t="n">
        <v>83.6916360785291</v>
      </c>
      <c r="Y19" t="n">
        <v>82.1580197105979</v>
      </c>
      <c r="Z19" t="n">
        <v>86.3497554101182</v>
      </c>
      <c r="AA19" t="n">
        <v>86.8354120772167</v>
      </c>
      <c r="AB19" t="n">
        <v>87.5614606731801</v>
      </c>
      <c r="AC19" t="n">
        <v>91.6787707361822</v>
      </c>
      <c r="AD19" t="n">
        <v>96.8503937007874</v>
      </c>
      <c r="AE19" t="n">
        <v>100</v>
      </c>
      <c r="AF19" t="n">
        <v>110.040983606557</v>
      </c>
    </row>
    <row r="20">
      <c r="A20" t="s">
        <v>82</v>
      </c>
      <c r="B20" t="s">
        <v>310</v>
      </c>
      <c r="C20" t="s">
        <v>203</v>
      </c>
      <c r="D20" t="s">
        <v>311</v>
      </c>
      <c r="E20" t="s">
        <v>204</v>
      </c>
      <c r="F20" t="n">
        <v>2.12839598613985</v>
      </c>
      <c r="G20" t="n">
        <v>2.83786131485313</v>
      </c>
      <c r="H20" t="n">
        <v>21.3297318180896</v>
      </c>
      <c r="I20" t="n">
        <v>38.1278722609075</v>
      </c>
      <c r="J20" t="n">
        <v>33.8161581118549</v>
      </c>
      <c r="K20" t="n">
        <v>33.8161581118549</v>
      </c>
      <c r="L20" t="n">
        <v>38.7758613015936</v>
      </c>
      <c r="M20" t="n">
        <v>40.4424455982237</v>
      </c>
      <c r="N20" t="n">
        <v>41.4974659181774</v>
      </c>
      <c r="O20" t="n">
        <v>43.8645877125447</v>
      </c>
      <c r="P20" t="n">
        <v>48.578632657973</v>
      </c>
      <c r="Q20" t="n">
        <v>52.415368560326</v>
      </c>
      <c r="R20" t="n">
        <v>60.153091075541</v>
      </c>
      <c r="S20" t="n">
        <v>66.0709036540243</v>
      </c>
      <c r="T20" t="n">
        <v>66.7628921715292</v>
      </c>
      <c r="U20" t="n">
        <v>66.3022192992965</v>
      </c>
      <c r="V20" t="n">
        <v>69.563641012472</v>
      </c>
      <c r="W20" t="n">
        <v>71.0650599442728</v>
      </c>
      <c r="X20" t="n">
        <v>70.019426370989</v>
      </c>
      <c r="Y20" t="n">
        <v>68.7309762118889</v>
      </c>
      <c r="Z20" t="n">
        <v>72.2821999558832</v>
      </c>
      <c r="AA20" t="n">
        <v>72.8393797464006</v>
      </c>
      <c r="AB20" t="n">
        <v>87.63311423753</v>
      </c>
      <c r="AC20" t="n">
        <v>91.3083147414339</v>
      </c>
      <c r="AD20" t="n">
        <v>96.8172888015717</v>
      </c>
      <c r="AE20" t="n">
        <v>100</v>
      </c>
      <c r="AF20" t="n">
        <v>110.026155187446</v>
      </c>
    </row>
    <row r="21">
      <c r="A21" t="s">
        <v>82</v>
      </c>
      <c r="B21" t="s">
        <v>312</v>
      </c>
      <c r="C21" t="s">
        <v>203</v>
      </c>
      <c r="D21" t="s">
        <v>313</v>
      </c>
      <c r="E21" t="s">
        <v>204</v>
      </c>
      <c r="F21" t="n">
        <v>2.21586994159995</v>
      </c>
      <c r="G21" t="n">
        <v>2.88063092407993</v>
      </c>
      <c r="H21" t="n">
        <v>21.4352830527124</v>
      </c>
      <c r="I21" t="n">
        <v>38.3807433038432</v>
      </c>
      <c r="J21" t="n">
        <v>34.0474335759899</v>
      </c>
      <c r="K21" t="n">
        <v>34.0474335759899</v>
      </c>
      <c r="L21" t="n">
        <v>39.0126843058218</v>
      </c>
      <c r="M21" t="n">
        <v>40.6839437997412</v>
      </c>
      <c r="N21" t="n">
        <v>41.7382533189418</v>
      </c>
      <c r="O21" t="n">
        <v>44.1223758551068</v>
      </c>
      <c r="P21" t="n">
        <v>48.8687081042543</v>
      </c>
      <c r="Q21" t="n">
        <v>52.7256106272806</v>
      </c>
      <c r="R21" t="n">
        <v>60.5027427261499</v>
      </c>
      <c r="S21" t="n">
        <v>66.4588886216661</v>
      </c>
      <c r="T21" t="n">
        <v>67.1530533564221</v>
      </c>
      <c r="U21" t="n">
        <v>66.6891702788282</v>
      </c>
      <c r="V21" t="n">
        <v>69.9724460867569</v>
      </c>
      <c r="W21" t="n">
        <v>71.4839298895479</v>
      </c>
      <c r="X21" t="n">
        <v>70.4365235993335</v>
      </c>
      <c r="Y21" t="n">
        <v>69.1407137039449</v>
      </c>
      <c r="Z21" t="n">
        <v>72.7176478663522</v>
      </c>
      <c r="AA21" t="n">
        <v>73.2680934846634</v>
      </c>
      <c r="AB21" t="n">
        <v>87.5465128408495</v>
      </c>
      <c r="AC21" t="n">
        <v>91.3502578815209</v>
      </c>
      <c r="AD21" t="n">
        <v>96.8040046207162</v>
      </c>
      <c r="AE21" t="n">
        <v>100</v>
      </c>
      <c r="AF21" t="n">
        <v>110.011990407674</v>
      </c>
    </row>
    <row r="22">
      <c r="A22" t="s">
        <v>82</v>
      </c>
      <c r="B22" t="s">
        <v>314</v>
      </c>
      <c r="C22" t="s">
        <v>203</v>
      </c>
      <c r="D22" t="s">
        <v>315</v>
      </c>
      <c r="E22" t="s">
        <v>204</v>
      </c>
      <c r="F22" t="n">
        <v>3.39870524310859</v>
      </c>
      <c r="G22" t="n">
        <v>3.39870524310859</v>
      </c>
      <c r="H22" t="n">
        <v>22.6580349540573</v>
      </c>
      <c r="I22" t="n">
        <v>41.3755420900176</v>
      </c>
      <c r="J22" t="n">
        <v>36.7414813759356</v>
      </c>
      <c r="K22" t="n">
        <v>36.7414813759356</v>
      </c>
      <c r="L22" t="n">
        <v>41.9902644296407</v>
      </c>
      <c r="M22" t="n">
        <v>43.7398587808757</v>
      </c>
      <c r="N22" t="n">
        <v>44.8198552939838</v>
      </c>
      <c r="O22" t="n">
        <v>47.405616176329</v>
      </c>
      <c r="P22" t="n">
        <v>52.5857000631464</v>
      </c>
      <c r="Q22" t="n">
        <v>56.6491405225714</v>
      </c>
      <c r="R22" t="n">
        <v>64.9286302912549</v>
      </c>
      <c r="S22" t="n">
        <v>71.3790563071181</v>
      </c>
      <c r="T22" t="n">
        <v>72.1020042102962</v>
      </c>
      <c r="U22" t="n">
        <v>71.5906424783083</v>
      </c>
      <c r="V22" t="n">
        <v>75.1633040991068</v>
      </c>
      <c r="W22" t="n">
        <v>76.8335997457536</v>
      </c>
      <c r="X22" t="n">
        <v>75.8731797489317</v>
      </c>
      <c r="Y22" t="n">
        <v>74.4786614414682</v>
      </c>
      <c r="Z22" t="n">
        <v>78.3332864564516</v>
      </c>
      <c r="AA22" t="n">
        <v>78.6076587382605</v>
      </c>
      <c r="AB22" t="n">
        <v>86.7394855042875</v>
      </c>
      <c r="AC22" t="n">
        <v>90.8808933002481</v>
      </c>
      <c r="AD22" t="n">
        <v>96.1538461538461</v>
      </c>
      <c r="AE22" t="n">
        <v>100</v>
      </c>
      <c r="AF22" t="n">
        <v>109.980806142035</v>
      </c>
    </row>
    <row r="23">
      <c r="A23" t="s">
        <v>82</v>
      </c>
      <c r="B23" t="s">
        <v>316</v>
      </c>
      <c r="C23" t="s">
        <v>203</v>
      </c>
      <c r="D23" t="s">
        <v>317</v>
      </c>
      <c r="E23" t="s">
        <v>204</v>
      </c>
      <c r="F23" t="n">
        <v>2.23796658257485</v>
      </c>
      <c r="G23" t="n">
        <v>3.13315321560479</v>
      </c>
      <c r="H23" t="n">
        <v>23.0378912912117</v>
      </c>
      <c r="I23" t="n">
        <v>41.18417552744</v>
      </c>
      <c r="J23" t="n">
        <v>36.5832185884072</v>
      </c>
      <c r="K23" t="n">
        <v>36.9799040911731</v>
      </c>
      <c r="L23" t="n">
        <v>42.6871620164493</v>
      </c>
      <c r="M23" t="n">
        <v>44.4845162066156</v>
      </c>
      <c r="N23" t="n">
        <v>45.6206629859594</v>
      </c>
      <c r="O23" t="n">
        <v>48.2189259109875</v>
      </c>
      <c r="P23" t="n">
        <v>53.4037566541045</v>
      </c>
      <c r="Q23" t="n">
        <v>57.6172640598412</v>
      </c>
      <c r="R23" t="n">
        <v>66.1335357631699</v>
      </c>
      <c r="S23" t="n">
        <v>72.6505115288674</v>
      </c>
      <c r="T23" t="n">
        <v>73.4022210212537</v>
      </c>
      <c r="U23" t="n">
        <v>72.9011381191307</v>
      </c>
      <c r="V23" t="n">
        <v>76.479787105748</v>
      </c>
      <c r="W23" t="n">
        <v>78.2050424929066</v>
      </c>
      <c r="X23" t="n">
        <v>77.1404918766684</v>
      </c>
      <c r="Y23" t="n">
        <v>75.7212591340417</v>
      </c>
      <c r="Z23" t="n">
        <v>79.6444657014082</v>
      </c>
      <c r="AA23" t="n">
        <v>80.2333342093669</v>
      </c>
      <c r="AB23" t="n">
        <v>87.512887214556</v>
      </c>
      <c r="AC23" t="n">
        <v>91.3146765771555</v>
      </c>
      <c r="AD23" t="n">
        <v>96.8247588424437</v>
      </c>
      <c r="AE23" t="n">
        <v>100</v>
      </c>
      <c r="AF23" t="n">
        <v>110.119276644863</v>
      </c>
    </row>
    <row r="24">
      <c r="A24" t="s">
        <v>82</v>
      </c>
      <c r="B24" t="s">
        <v>318</v>
      </c>
      <c r="C24" t="s">
        <v>203</v>
      </c>
      <c r="D24" t="s">
        <v>319</v>
      </c>
      <c r="E24" t="s">
        <v>204</v>
      </c>
      <c r="F24" t="n">
        <v>2.2796971806638</v>
      </c>
      <c r="G24" t="n">
        <v>3.33186511020094</v>
      </c>
      <c r="H24" t="n">
        <v>24.988988326507</v>
      </c>
      <c r="I24" t="n">
        <v>44.5893559475351</v>
      </c>
      <c r="J24" t="n">
        <v>39.5385262472833</v>
      </c>
      <c r="K24" t="n">
        <v>39.9642438919378</v>
      </c>
      <c r="L24" t="n">
        <v>46.0893479386059</v>
      </c>
      <c r="M24" t="n">
        <v>48.0794852386183</v>
      </c>
      <c r="N24" t="n">
        <v>49.3179632392451</v>
      </c>
      <c r="O24" t="n">
        <v>52.145107628756</v>
      </c>
      <c r="P24" t="n">
        <v>57.7278109690765</v>
      </c>
      <c r="Q24" t="n">
        <v>62.2975795082866</v>
      </c>
      <c r="R24" t="n">
        <v>71.4943604940659</v>
      </c>
      <c r="S24" t="n">
        <v>78.5272999995172</v>
      </c>
      <c r="T24" t="n">
        <v>79.3611384555316</v>
      </c>
      <c r="U24" t="n">
        <v>78.8164755717994</v>
      </c>
      <c r="V24" t="n">
        <v>82.7062854503429</v>
      </c>
      <c r="W24" t="n">
        <v>84.4922792748104</v>
      </c>
      <c r="X24" t="n">
        <v>83.2511345050064</v>
      </c>
      <c r="Y24" t="n">
        <v>81.7205381072325</v>
      </c>
      <c r="Z24" t="n">
        <v>85.9512354088268</v>
      </c>
      <c r="AA24" t="n">
        <v>86.4790363471269</v>
      </c>
      <c r="AB24" t="n">
        <v>88.6359754474664</v>
      </c>
      <c r="AC24" t="n">
        <v>92.6551792770562</v>
      </c>
      <c r="AD24" t="n">
        <v>97.8462837837838</v>
      </c>
      <c r="AE24" t="n">
        <v>100</v>
      </c>
      <c r="AF24" t="n">
        <v>110.177281680893</v>
      </c>
    </row>
    <row r="25">
      <c r="A25" t="s">
        <v>82</v>
      </c>
      <c r="B25" t="s">
        <v>320</v>
      </c>
      <c r="C25" t="s">
        <v>203</v>
      </c>
      <c r="D25" t="s">
        <v>321</v>
      </c>
      <c r="E25" t="s">
        <v>204</v>
      </c>
      <c r="F25" t="n">
        <v>2.13759421924887</v>
      </c>
      <c r="G25" t="n">
        <v>3.20639132887331</v>
      </c>
      <c r="H25" t="n">
        <v>23.8189070144874</v>
      </c>
      <c r="I25" t="n">
        <v>42.5616535176907</v>
      </c>
      <c r="J25" t="n">
        <v>37.7251019815894</v>
      </c>
      <c r="K25" t="n">
        <v>38.039477831436</v>
      </c>
      <c r="L25" t="n">
        <v>43.8109848127573</v>
      </c>
      <c r="M25" t="n">
        <v>45.715810239399</v>
      </c>
      <c r="N25" t="n">
        <v>47.1534143349775</v>
      </c>
      <c r="O25" t="n">
        <v>49.8478951541191</v>
      </c>
      <c r="P25" t="n">
        <v>55.1029443420534</v>
      </c>
      <c r="Q25" t="n">
        <v>59.519592552676</v>
      </c>
      <c r="R25" t="n">
        <v>68.2768393372343</v>
      </c>
      <c r="S25" t="n">
        <v>74.9647753541856</v>
      </c>
      <c r="T25" t="n">
        <v>75.7594549515798</v>
      </c>
      <c r="U25" t="n">
        <v>75.1468448037233</v>
      </c>
      <c r="V25" t="n">
        <v>78.8731346287013</v>
      </c>
      <c r="W25" t="n">
        <v>80.6863101374071</v>
      </c>
      <c r="X25" t="n">
        <v>79.5466729885737</v>
      </c>
      <c r="Y25" t="n">
        <v>77.9450621230319</v>
      </c>
      <c r="Z25" t="n">
        <v>81.9053193209689</v>
      </c>
      <c r="AA25" t="n">
        <v>82.507564315976</v>
      </c>
      <c r="AB25" t="n">
        <v>88.1946283771429</v>
      </c>
      <c r="AC25" t="n">
        <v>92.4111046342174</v>
      </c>
      <c r="AD25" t="n">
        <v>97.6027397260274</v>
      </c>
      <c r="AE25" t="n">
        <v>100</v>
      </c>
      <c r="AF25" t="n">
        <v>110.094637223975</v>
      </c>
    </row>
    <row r="26">
      <c r="A26" t="s">
        <v>82</v>
      </c>
      <c r="B26" t="s">
        <v>322</v>
      </c>
      <c r="C26" t="s">
        <v>203</v>
      </c>
      <c r="D26" t="s">
        <v>323</v>
      </c>
      <c r="E26" t="s">
        <v>204</v>
      </c>
      <c r="F26" t="n">
        <v>2.13346515550208</v>
      </c>
      <c r="G26" t="n">
        <v>3.20019773325311</v>
      </c>
      <c r="H26" t="n">
        <v>24.1081562571735</v>
      </c>
      <c r="I26" t="n">
        <v>43.0307845646908</v>
      </c>
      <c r="J26" t="n">
        <v>38.1751707422159</v>
      </c>
      <c r="K26" t="n">
        <v>38.5387437969037</v>
      </c>
      <c r="L26" t="n">
        <v>44.4588520307654</v>
      </c>
      <c r="M26" t="n">
        <v>46.3726436744738</v>
      </c>
      <c r="N26" t="n">
        <v>47.5516091916215</v>
      </c>
      <c r="O26" t="n">
        <v>50.2725459573546</v>
      </c>
      <c r="P26" t="n">
        <v>55.6597303393079</v>
      </c>
      <c r="Q26" t="n">
        <v>60.043809789501</v>
      </c>
      <c r="R26" t="n">
        <v>68.9099999142838</v>
      </c>
      <c r="S26" t="n">
        <v>75.6842739530443</v>
      </c>
      <c r="T26" t="n">
        <v>76.4780972408608</v>
      </c>
      <c r="U26" t="n">
        <v>75.9658882755063</v>
      </c>
      <c r="V26" t="n">
        <v>79.7274841925302</v>
      </c>
      <c r="W26" t="n">
        <v>81.432994807989</v>
      </c>
      <c r="X26" t="n">
        <v>80.2357543266548</v>
      </c>
      <c r="Y26" t="n">
        <v>78.7612062433386</v>
      </c>
      <c r="Z26" t="n">
        <v>82.864628341553</v>
      </c>
      <c r="AA26" t="n">
        <v>83.4020640766531</v>
      </c>
      <c r="AB26" t="n">
        <v>88.4751152469355</v>
      </c>
      <c r="AC26" t="n">
        <v>92.4497666924115</v>
      </c>
      <c r="AD26" t="n">
        <v>97.8561857972309</v>
      </c>
      <c r="AE26" t="n">
        <v>100</v>
      </c>
      <c r="AF26" t="n">
        <v>110.19792016102</v>
      </c>
    </row>
    <row r="27">
      <c r="A27" t="s">
        <v>82</v>
      </c>
      <c r="B27" t="s">
        <v>324</v>
      </c>
      <c r="C27" t="s">
        <v>203</v>
      </c>
      <c r="D27" t="s">
        <v>325</v>
      </c>
      <c r="E27" t="s">
        <v>204</v>
      </c>
      <c r="F27" t="n">
        <v>2.63628390761317</v>
      </c>
      <c r="G27" t="n">
        <v>3.51504521015089</v>
      </c>
      <c r="H27" t="n">
        <v>26.2030642938521</v>
      </c>
      <c r="I27" t="n">
        <v>46.674208273424</v>
      </c>
      <c r="J27" t="n">
        <v>41.3703209696259</v>
      </c>
      <c r="K27" t="n">
        <v>41.8416743198495</v>
      </c>
      <c r="L27" t="n">
        <v>48.2539432945632</v>
      </c>
      <c r="M27" t="n">
        <v>50.3467413308826</v>
      </c>
      <c r="N27" t="n">
        <v>51.6106762596914</v>
      </c>
      <c r="O27" t="n">
        <v>54.5814371370785</v>
      </c>
      <c r="P27" t="n">
        <v>60.4374922907128</v>
      </c>
      <c r="Q27" t="n">
        <v>65.2367455120454</v>
      </c>
      <c r="R27" t="n">
        <v>74.8720960320469</v>
      </c>
      <c r="S27" t="n">
        <v>82.2514534878211</v>
      </c>
      <c r="T27" t="n">
        <v>83.1442779490186</v>
      </c>
      <c r="U27" t="n">
        <v>82.5783358380901</v>
      </c>
      <c r="V27" t="n">
        <v>86.6293485395813</v>
      </c>
      <c r="W27" t="n">
        <v>88.5135705171382</v>
      </c>
      <c r="X27" t="n">
        <v>87.2065982437182</v>
      </c>
      <c r="Y27" t="n">
        <v>85.6175567305309</v>
      </c>
      <c r="Z27" t="n">
        <v>90.0496470606741</v>
      </c>
      <c r="AA27" t="n">
        <v>90.5430697842942</v>
      </c>
      <c r="AB27" t="n">
        <v>88.7904493149735</v>
      </c>
      <c r="AC27" t="n">
        <v>92.815997017035</v>
      </c>
      <c r="AD27" t="n">
        <v>97.8684807256236</v>
      </c>
      <c r="AE27" t="n">
        <v>100</v>
      </c>
      <c r="AF27" t="n">
        <v>110.164638511095</v>
      </c>
    </row>
    <row r="28">
      <c r="A28" t="s">
        <v>82</v>
      </c>
      <c r="B28" t="s">
        <v>326</v>
      </c>
      <c r="C28" t="s">
        <v>203</v>
      </c>
      <c r="D28" t="s">
        <v>327</v>
      </c>
      <c r="E28" t="s">
        <v>204</v>
      </c>
      <c r="F28" t="n">
        <v>2.42139307049086</v>
      </c>
      <c r="G28" t="n">
        <v>3.32941547192493</v>
      </c>
      <c r="H28" t="n">
        <v>25.4022069339457</v>
      </c>
      <c r="I28" t="n">
        <v>45.2640148246852</v>
      </c>
      <c r="J28" t="n">
        <v>40.1351786125356</v>
      </c>
      <c r="K28" t="n">
        <v>40.6816485180013</v>
      </c>
      <c r="L28" t="n">
        <v>47.289835079301</v>
      </c>
      <c r="M28" t="n">
        <v>49.3600592541297</v>
      </c>
      <c r="N28" t="n">
        <v>50.594060735483</v>
      </c>
      <c r="O28" t="n">
        <v>53.4131725962627</v>
      </c>
      <c r="P28" t="n">
        <v>59.1646553597384</v>
      </c>
      <c r="Q28" t="n">
        <v>63.8852395639728</v>
      </c>
      <c r="R28" t="n">
        <v>73.2408185796174</v>
      </c>
      <c r="S28" t="n">
        <v>80.4569581831223</v>
      </c>
      <c r="T28" t="n">
        <v>81.2974392277703</v>
      </c>
      <c r="U28" t="n">
        <v>80.7347344737218</v>
      </c>
      <c r="V28" t="n">
        <v>84.6950104241083</v>
      </c>
      <c r="W28" t="n">
        <v>86.6218009678813</v>
      </c>
      <c r="X28" t="n">
        <v>85.3578641833305</v>
      </c>
      <c r="Y28" t="n">
        <v>84.1821360265353</v>
      </c>
      <c r="Z28" t="n">
        <v>88.5450325648414</v>
      </c>
      <c r="AA28" t="n">
        <v>89.1668640342264</v>
      </c>
      <c r="AB28" t="n">
        <v>87.7424732349576</v>
      </c>
      <c r="AC28" t="n">
        <v>91.6233045371647</v>
      </c>
      <c r="AD28" t="n">
        <v>97.0456245325355</v>
      </c>
      <c r="AE28" t="n">
        <v>100</v>
      </c>
      <c r="AF28" t="n">
        <v>110.13431013431</v>
      </c>
    </row>
    <row r="29">
      <c r="A29" t="s">
        <v>82</v>
      </c>
      <c r="B29" t="s">
        <v>328</v>
      </c>
      <c r="C29" t="s">
        <v>203</v>
      </c>
      <c r="D29" t="s">
        <v>329</v>
      </c>
      <c r="E29" t="s">
        <v>204</v>
      </c>
      <c r="F29" t="n">
        <v>2.38790555316847</v>
      </c>
      <c r="G29" t="n">
        <v>3.1838740708913</v>
      </c>
      <c r="H29" t="n">
        <v>24.3132201777154</v>
      </c>
      <c r="I29" t="n">
        <v>43.2235025381606</v>
      </c>
      <c r="J29" t="n">
        <v>38.3532487310439</v>
      </c>
      <c r="K29" t="n">
        <v>38.8418251479999</v>
      </c>
      <c r="L29" t="n">
        <v>44.8560432354322</v>
      </c>
      <c r="M29" t="n">
        <v>46.8949542915882</v>
      </c>
      <c r="N29" t="n">
        <v>48.0318016683539</v>
      </c>
      <c r="O29" t="n">
        <v>50.6392423303503</v>
      </c>
      <c r="P29" t="n">
        <v>56.1326512616506</v>
      </c>
      <c r="Q29" t="n">
        <v>60.5463073084336</v>
      </c>
      <c r="R29" t="n">
        <v>69.5276009756693</v>
      </c>
      <c r="S29" t="n">
        <v>76.3670955578623</v>
      </c>
      <c r="T29" t="n">
        <v>77.1816779104795</v>
      </c>
      <c r="U29" t="n">
        <v>76.644370024734</v>
      </c>
      <c r="V29" t="n">
        <v>80.4151090847744</v>
      </c>
      <c r="W29" t="n">
        <v>82.1691299205161</v>
      </c>
      <c r="X29" t="n">
        <v>80.9487963078352</v>
      </c>
      <c r="Y29" t="n">
        <v>79.4589411610652</v>
      </c>
      <c r="Z29" t="n">
        <v>83.5771812696794</v>
      </c>
      <c r="AA29" t="n">
        <v>84.2016371966794</v>
      </c>
      <c r="AB29" t="n">
        <v>87.4716036897543</v>
      </c>
      <c r="AC29" t="n">
        <v>91.6369181511712</v>
      </c>
      <c r="AD29" t="n">
        <v>97.0845481049563</v>
      </c>
      <c r="AE29" t="n">
        <v>100</v>
      </c>
      <c r="AF29" t="n">
        <v>110.36717062635</v>
      </c>
    </row>
    <row r="30">
      <c r="A30" t="s">
        <v>82</v>
      </c>
      <c r="B30" t="s">
        <v>330</v>
      </c>
      <c r="C30" t="s">
        <v>203</v>
      </c>
      <c r="D30" t="s">
        <v>331</v>
      </c>
      <c r="E30" t="s">
        <v>204</v>
      </c>
      <c r="F30" t="n">
        <v>0</v>
      </c>
      <c r="G30" t="n">
        <v>0</v>
      </c>
      <c r="H30" t="e">
        <v>#NUM!</v>
      </c>
      <c r="I30" t="e">
        <v>#NUM!</v>
      </c>
      <c r="J30" t="n">
        <v>0</v>
      </c>
      <c r="K30" t="n">
        <v>0</v>
      </c>
      <c r="L30" t="e">
        <v>#NUM!</v>
      </c>
      <c r="M30" t="e">
        <v>#NUM!</v>
      </c>
      <c r="N30" t="e">
        <v>#NUM!</v>
      </c>
      <c r="O30" t="e">
        <v>#NUM!</v>
      </c>
      <c r="P30" t="e">
        <v>#NUM!</v>
      </c>
      <c r="Q30" t="e">
        <v>#NUM!</v>
      </c>
      <c r="R30" t="e">
        <v>#NUM!</v>
      </c>
      <c r="S30" t="e">
        <v>#NUM!</v>
      </c>
      <c r="T30" t="n">
        <v>0</v>
      </c>
      <c r="U30" t="e">
        <v>#NUM!</v>
      </c>
      <c r="V30" t="e">
        <v>#NUM!</v>
      </c>
      <c r="W30" t="e">
        <v>#NUM!</v>
      </c>
      <c r="X30" t="e">
        <v>#NUM!</v>
      </c>
      <c r="Y30" t="e">
        <v>#NUM!</v>
      </c>
      <c r="Z30" t="e">
        <v>#NUM!</v>
      </c>
      <c r="AA30" t="e">
        <v>#NUM!</v>
      </c>
      <c r="AB30" t="e">
        <v>#NUM!</v>
      </c>
      <c r="AC30" t="e">
        <v>#NUM!</v>
      </c>
      <c r="AD30" t="n">
        <v>0</v>
      </c>
      <c r="AE30" t="n">
        <v>0</v>
      </c>
      <c r="AF30" t="e">
        <v>#NUM!</v>
      </c>
    </row>
    <row r="31">
      <c r="A31" t="s">
        <v>82</v>
      </c>
      <c r="B31" t="s">
        <v>332</v>
      </c>
      <c r="C31" t="s">
        <v>203</v>
      </c>
      <c r="D31" t="s">
        <v>333</v>
      </c>
      <c r="E31" t="s">
        <v>204</v>
      </c>
      <c r="F31" t="n">
        <v>0</v>
      </c>
      <c r="G31" t="n">
        <v>0</v>
      </c>
      <c r="H31" t="e">
        <v>#NUM!</v>
      </c>
      <c r="I31" t="e">
        <v>#NUM!</v>
      </c>
      <c r="J31" t="e">
        <v>#NUM!</v>
      </c>
      <c r="K31" t="e">
        <v>#NUM!</v>
      </c>
      <c r="L31" t="e">
        <v>#NUM!</v>
      </c>
      <c r="M31" t="e">
        <v>#NUM!</v>
      </c>
      <c r="N31" t="e">
        <v>#NUM!</v>
      </c>
      <c r="O31" t="e">
        <v>#NUM!</v>
      </c>
      <c r="P31" t="e">
        <v>#NUM!</v>
      </c>
      <c r="Q31" t="e">
        <v>#NUM!</v>
      </c>
      <c r="R31" t="n">
        <v>0</v>
      </c>
      <c r="S31" t="e">
        <v>#NUM!</v>
      </c>
      <c r="T31" t="e">
        <v>#NUM!</v>
      </c>
      <c r="U31" t="e">
        <v>#NUM!</v>
      </c>
      <c r="V31" t="e">
        <v>#NUM!</v>
      </c>
      <c r="W31" t="e">
        <v>#NUM!</v>
      </c>
      <c r="X31" t="e">
        <v>#NUM!</v>
      </c>
      <c r="Y31" t="e">
        <v>#NUM!</v>
      </c>
      <c r="Z31" t="e">
        <v>#NUM!</v>
      </c>
      <c r="AA31" t="e">
        <v>#NUM!</v>
      </c>
      <c r="AB31" t="e">
        <v>#NUM!</v>
      </c>
      <c r="AC31" t="e">
        <v>#NUM!</v>
      </c>
      <c r="AD31" t="n">
        <v>0</v>
      </c>
      <c r="AE31" t="n">
        <v>100</v>
      </c>
      <c r="AF31" t="n">
        <v>110.197368421053</v>
      </c>
    </row>
    <row r="32">
      <c r="A32" t="s">
        <v>82</v>
      </c>
      <c r="B32" t="s">
        <v>334</v>
      </c>
      <c r="C32" t="s">
        <v>203</v>
      </c>
      <c r="D32" t="s">
        <v>335</v>
      </c>
      <c r="E32" t="s">
        <v>204</v>
      </c>
      <c r="F32" t="n">
        <v>2.32027913328755</v>
      </c>
      <c r="G32" t="n">
        <v>3.48041869993133</v>
      </c>
      <c r="H32" t="n">
        <v>25.9871262928206</v>
      </c>
      <c r="I32" t="n">
        <v>46.4618318568611</v>
      </c>
      <c r="J32" t="n">
        <v>41.1877860785147</v>
      </c>
      <c r="K32" t="n">
        <v>41.1877860785147</v>
      </c>
      <c r="L32" t="n">
        <v>48.6764744564264</v>
      </c>
      <c r="M32" t="n">
        <v>50.7781572394333</v>
      </c>
      <c r="N32" t="n">
        <v>52.0841007690405</v>
      </c>
      <c r="O32" t="n">
        <v>55.0386283653394</v>
      </c>
      <c r="P32" t="n">
        <v>60.9456702512276</v>
      </c>
      <c r="Q32" t="n">
        <v>65.7991365966041</v>
      </c>
      <c r="R32" t="n">
        <v>75.504024000233</v>
      </c>
      <c r="S32" t="n">
        <v>82.9215294280087</v>
      </c>
      <c r="T32" t="n">
        <v>83.778599499616</v>
      </c>
      <c r="U32" t="n">
        <v>83.1931073811308</v>
      </c>
      <c r="V32" t="n">
        <v>87.3223014822284</v>
      </c>
      <c r="W32" t="n">
        <v>89.2627970707223</v>
      </c>
      <c r="X32" t="n">
        <v>88.0433599522699</v>
      </c>
      <c r="Y32" t="n">
        <v>86.4866011318957</v>
      </c>
      <c r="Z32" t="n">
        <v>90.9647907768507</v>
      </c>
      <c r="AA32" t="n">
        <v>91.4787161484713</v>
      </c>
      <c r="AB32" t="n">
        <v>88.145224039347</v>
      </c>
      <c r="AC32" t="n">
        <v>91.9228764981761</v>
      </c>
      <c r="AD32" t="n">
        <v>97.029702970297</v>
      </c>
      <c r="AE32" t="n">
        <v>100</v>
      </c>
      <c r="AF32" t="n">
        <v>110.035842293907</v>
      </c>
    </row>
    <row r="33">
      <c r="A33" t="s">
        <v>82</v>
      </c>
      <c r="B33" t="s">
        <v>336</v>
      </c>
      <c r="C33" t="s">
        <v>203</v>
      </c>
      <c r="D33" t="s">
        <v>337</v>
      </c>
      <c r="E33" t="s">
        <v>204</v>
      </c>
      <c r="F33" t="e">
        <v>#NUM!</v>
      </c>
      <c r="G33" t="n">
        <v>0</v>
      </c>
      <c r="H33" t="e">
        <v>#NUM!</v>
      </c>
      <c r="I33" t="e">
        <v>#NUM!</v>
      </c>
      <c r="J33" t="e">
        <v>#NUM!</v>
      </c>
      <c r="K33" t="n">
        <v>0</v>
      </c>
      <c r="L33" t="e">
        <v>#NUM!</v>
      </c>
      <c r="M33" t="e">
        <v>#NUM!</v>
      </c>
      <c r="N33" t="e">
        <v>#NUM!</v>
      </c>
      <c r="O33" t="e">
        <v>#NUM!</v>
      </c>
      <c r="P33" t="e">
        <v>#NUM!</v>
      </c>
      <c r="Q33" t="e">
        <v>#NUM!</v>
      </c>
      <c r="R33" t="e">
        <v>#NUM!</v>
      </c>
      <c r="S33" t="e">
        <v>#NUM!</v>
      </c>
      <c r="T33" t="e">
        <v>#NUM!</v>
      </c>
      <c r="U33" t="e">
        <v>#NUM!</v>
      </c>
      <c r="V33" t="e">
        <v>#NUM!</v>
      </c>
      <c r="W33" t="e">
        <v>#NUM!</v>
      </c>
      <c r="X33" t="e">
        <v>#NUM!</v>
      </c>
      <c r="Y33" t="n">
        <v>0</v>
      </c>
      <c r="Z33" t="n">
        <v>80.2814425221069</v>
      </c>
      <c r="AA33" t="n">
        <v>81.0533794694348</v>
      </c>
      <c r="AB33" t="n">
        <v>86.8429065743945</v>
      </c>
      <c r="AC33" t="n">
        <v>90.9333333333333</v>
      </c>
      <c r="AD33" t="n">
        <v>96.8</v>
      </c>
      <c r="AE33" t="n">
        <v>100</v>
      </c>
      <c r="AF33" t="n">
        <v>116.666666666667</v>
      </c>
    </row>
    <row r="34">
      <c r="A34" t="s">
        <v>82</v>
      </c>
      <c r="B34" t="s">
        <v>338</v>
      </c>
      <c r="C34" t="s">
        <v>203</v>
      </c>
      <c r="D34" t="s">
        <v>339</v>
      </c>
      <c r="E34" t="s">
        <v>204</v>
      </c>
      <c r="F34" t="n">
        <v>2.62582607698509</v>
      </c>
      <c r="G34" t="n">
        <v>3.28228259623137</v>
      </c>
      <c r="H34" t="n">
        <v>24.3826707148616</v>
      </c>
      <c r="I34" t="n">
        <v>43.5690345560641</v>
      </c>
      <c r="J34" t="n">
        <v>38.6827876899635</v>
      </c>
      <c r="K34" t="n">
        <v>39.080554144359</v>
      </c>
      <c r="L34" t="n">
        <v>45.092947089645</v>
      </c>
      <c r="M34" t="n">
        <v>47.0288746610329</v>
      </c>
      <c r="N34" t="n">
        <v>48.2389361091958</v>
      </c>
      <c r="O34" t="n">
        <v>50.9854166325361</v>
      </c>
      <c r="P34" t="n">
        <v>56.472402023465</v>
      </c>
      <c r="Q34" t="n">
        <v>60.9549218978064</v>
      </c>
      <c r="R34" t="n">
        <v>69.9364082947597</v>
      </c>
      <c r="S34" t="n">
        <v>76.8226701261864</v>
      </c>
      <c r="T34" t="n">
        <v>77.6324663678538</v>
      </c>
      <c r="U34" t="n">
        <v>77.0832636162784</v>
      </c>
      <c r="V34" t="n">
        <v>80.8779340821611</v>
      </c>
      <c r="W34" t="n">
        <v>82.6294608957637</v>
      </c>
      <c r="X34" t="n">
        <v>81.4167695272215</v>
      </c>
      <c r="Y34" t="n">
        <v>79.8752177900301</v>
      </c>
      <c r="Z34" t="n">
        <v>84.0041879124124</v>
      </c>
      <c r="AA34" t="n">
        <v>84.4573225360064</v>
      </c>
      <c r="AB34" t="n">
        <v>88.6755225123903</v>
      </c>
      <c r="AC34" t="n">
        <v>92.6927022235221</v>
      </c>
      <c r="AD34" t="n">
        <v>97.9335793357934</v>
      </c>
      <c r="AE34" t="n">
        <v>100</v>
      </c>
      <c r="AF34" t="n">
        <v>110.15037593985</v>
      </c>
    </row>
    <row r="35">
      <c r="A35" t="s">
        <v>82</v>
      </c>
      <c r="B35" t="s">
        <v>340</v>
      </c>
      <c r="C35" t="s">
        <v>203</v>
      </c>
      <c r="D35" t="s">
        <v>341</v>
      </c>
      <c r="E35" t="s">
        <v>204</v>
      </c>
      <c r="F35" t="n">
        <v>2.2186821486951</v>
      </c>
      <c r="G35" t="n">
        <v>3.32802322304265</v>
      </c>
      <c r="H35" t="n">
        <v>23.7715944503046</v>
      </c>
      <c r="I35" t="n">
        <v>42.6249279798566</v>
      </c>
      <c r="J35" t="n">
        <v>37.6642682580629</v>
      </c>
      <c r="K35" t="n">
        <v>37.9517817562161</v>
      </c>
      <c r="L35" t="n">
        <v>43.7993372533974</v>
      </c>
      <c r="M35" t="n">
        <v>45.6647264038828</v>
      </c>
      <c r="N35" t="n">
        <v>46.8267882445094</v>
      </c>
      <c r="O35" t="n">
        <v>49.5158513318179</v>
      </c>
      <c r="P35" t="n">
        <v>54.9282191287965</v>
      </c>
      <c r="Q35" t="n">
        <v>59.2668116978371</v>
      </c>
      <c r="R35" t="n">
        <v>68.0740585758397</v>
      </c>
      <c r="S35" t="n">
        <v>74.7613030099974</v>
      </c>
      <c r="T35" t="n">
        <v>75.5945090212537</v>
      </c>
      <c r="U35" t="n">
        <v>75.0684054351988</v>
      </c>
      <c r="V35" t="n">
        <v>78.7266121086098</v>
      </c>
      <c r="W35" t="n">
        <v>80.429913971626</v>
      </c>
      <c r="X35" t="n">
        <v>79.2325311604789</v>
      </c>
      <c r="Y35" t="n">
        <v>77.8232568908261</v>
      </c>
      <c r="Z35" t="n">
        <v>81.6758933705699</v>
      </c>
      <c r="AA35" t="n">
        <v>82.0514147194001</v>
      </c>
      <c r="AB35" t="n">
        <v>87.4789402066756</v>
      </c>
      <c r="AC35" t="n">
        <v>91.2562447887107</v>
      </c>
      <c r="AD35" t="n">
        <v>96.6745843230404</v>
      </c>
      <c r="AE35" t="n">
        <v>100</v>
      </c>
      <c r="AF35" t="n">
        <v>109.964412811388</v>
      </c>
    </row>
    <row r="36">
      <c r="A36" t="s">
        <v>82</v>
      </c>
      <c r="B36" t="s">
        <v>342</v>
      </c>
      <c r="C36" t="s">
        <v>203</v>
      </c>
      <c r="D36" t="s">
        <v>343</v>
      </c>
      <c r="E36" t="s">
        <v>204</v>
      </c>
      <c r="F36" t="n">
        <v>2.01690031646652</v>
      </c>
      <c r="G36" t="n">
        <v>3.02535047469978</v>
      </c>
      <c r="H36" t="n">
        <v>21.6096462478556</v>
      </c>
      <c r="I36" t="n">
        <v>38.7483312030514</v>
      </c>
      <c r="J36" t="n">
        <v>34.3101963516006</v>
      </c>
      <c r="K36" t="n">
        <v>34.5782447605975</v>
      </c>
      <c r="L36" t="n">
        <v>39.9195996423158</v>
      </c>
      <c r="M36" t="n">
        <v>41.6198788863403</v>
      </c>
      <c r="N36" t="n">
        <v>42.6544973445319</v>
      </c>
      <c r="O36" t="n">
        <v>45.1018865364312</v>
      </c>
      <c r="P36" t="n">
        <v>50.1132072627014</v>
      </c>
      <c r="Q36" t="n">
        <v>54.3600892341167</v>
      </c>
      <c r="R36" t="n">
        <v>62.5513355570658</v>
      </c>
      <c r="S36" t="n">
        <v>68.5086056101197</v>
      </c>
      <c r="T36" t="n">
        <v>69.2532643667515</v>
      </c>
      <c r="U36" t="n">
        <v>68.785336904814</v>
      </c>
      <c r="V36" t="n">
        <v>72.0222939356287</v>
      </c>
      <c r="W36" t="n">
        <v>73.4822052991888</v>
      </c>
      <c r="X36" t="n">
        <v>72.5089310568154</v>
      </c>
      <c r="Y36" t="n">
        <v>71.344128951485</v>
      </c>
      <c r="Z36" t="n">
        <v>71.344128951485</v>
      </c>
      <c r="AA36" t="n">
        <v>71.344128951485</v>
      </c>
      <c r="AB36" t="n">
        <v>86.6321565839461</v>
      </c>
      <c r="AC36" t="n">
        <v>91.4450541719431</v>
      </c>
      <c r="AD36" t="n">
        <v>97.1014492753623</v>
      </c>
      <c r="AE36" t="n">
        <v>100</v>
      </c>
      <c r="AF36" t="n">
        <v>110.714285714286</v>
      </c>
    </row>
    <row r="37">
      <c r="A37" t="s">
        <v>82</v>
      </c>
      <c r="B37" t="s">
        <v>344</v>
      </c>
      <c r="C37" t="s">
        <v>203</v>
      </c>
      <c r="D37" t="s">
        <v>345</v>
      </c>
      <c r="E37" t="s">
        <v>204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e">
        <v>#NUM!</v>
      </c>
      <c r="M37" t="e">
        <v>#NUM!</v>
      </c>
      <c r="N37" t="e">
        <v>#NUM!</v>
      </c>
      <c r="O37" t="n">
        <v>0</v>
      </c>
      <c r="P37" t="n">
        <v>56.2321387999992</v>
      </c>
      <c r="Q37" t="n">
        <v>60.6882705539614</v>
      </c>
      <c r="R37" t="n">
        <v>69.6640147703456</v>
      </c>
      <c r="S37" t="n">
        <v>76.5389471894436</v>
      </c>
      <c r="T37" t="n">
        <v>77.3693878461103</v>
      </c>
      <c r="U37" t="n">
        <v>76.8593721055295</v>
      </c>
      <c r="V37" t="n">
        <v>80.6342688031441</v>
      </c>
      <c r="W37" t="n">
        <v>82.3795992967186</v>
      </c>
      <c r="X37" t="n">
        <v>81.1715730061802</v>
      </c>
      <c r="Y37" t="n">
        <v>79.6585064040913</v>
      </c>
      <c r="Z37" t="n">
        <v>83.7997743211236</v>
      </c>
      <c r="AA37" t="n">
        <v>84.3070368775468</v>
      </c>
      <c r="AB37" t="n">
        <v>86.6963051291372</v>
      </c>
      <c r="AC37" t="n">
        <v>90.3390070253194</v>
      </c>
      <c r="AD37" t="n">
        <v>95.8083832335329</v>
      </c>
      <c r="AE37" t="n">
        <v>100</v>
      </c>
      <c r="AF37" t="n">
        <v>109.913793103448</v>
      </c>
    </row>
    <row r="38">
      <c r="A38" t="s">
        <v>82</v>
      </c>
      <c r="B38" t="s">
        <v>346</v>
      </c>
      <c r="C38" t="s">
        <v>203</v>
      </c>
      <c r="D38" t="s">
        <v>347</v>
      </c>
      <c r="E38" t="s">
        <v>204</v>
      </c>
      <c r="F38" t="n">
        <v>0</v>
      </c>
      <c r="G38" t="n">
        <v>0</v>
      </c>
      <c r="H38" t="n">
        <v>0</v>
      </c>
      <c r="I38" t="n">
        <v>0</v>
      </c>
      <c r="J38" t="n">
        <v>40.8296406804428</v>
      </c>
      <c r="K38" t="n">
        <v>40.8296406804428</v>
      </c>
      <c r="L38" t="n">
        <v>46.8989115924005</v>
      </c>
      <c r="M38" t="n">
        <v>46.8989115924005</v>
      </c>
      <c r="N38" t="n">
        <v>48.1170651402551</v>
      </c>
      <c r="O38" t="n">
        <v>50.9474807367407</v>
      </c>
      <c r="P38" t="n">
        <v>56.9413019998866</v>
      </c>
      <c r="Q38" t="n">
        <v>59.4170107824904</v>
      </c>
      <c r="R38" t="n">
        <v>68.2195308984149</v>
      </c>
      <c r="S38" t="n">
        <v>74.4845898584734</v>
      </c>
      <c r="T38" t="n">
        <v>75.4274327680743</v>
      </c>
      <c r="U38" t="n">
        <v>74.6334597915683</v>
      </c>
      <c r="V38" t="n">
        <v>78.104783502804</v>
      </c>
      <c r="W38" t="n">
        <v>79.9644212052518</v>
      </c>
      <c r="X38" t="n">
        <v>78.104783502804</v>
      </c>
      <c r="Y38" t="n">
        <v>76.7920980657821</v>
      </c>
      <c r="Z38" t="n">
        <v>80.538054068991</v>
      </c>
      <c r="AA38" t="n">
        <v>81.046715463111</v>
      </c>
      <c r="AB38" t="n">
        <v>88.1679749807902</v>
      </c>
      <c r="AC38" t="n">
        <v>91.9118380372993</v>
      </c>
      <c r="AD38" t="n">
        <v>97.2972972972973</v>
      </c>
      <c r="AE38" t="n">
        <v>100</v>
      </c>
      <c r="AF38" t="n">
        <v>109.756097560976</v>
      </c>
    </row>
    <row r="39">
      <c r="A39" t="s">
        <v>82</v>
      </c>
      <c r="B39" t="s">
        <v>348</v>
      </c>
      <c r="C39" t="s">
        <v>203</v>
      </c>
      <c r="D39" t="s">
        <v>349</v>
      </c>
      <c r="E39" t="s">
        <v>204</v>
      </c>
      <c r="F39" t="n">
        <v>2.56731706728809</v>
      </c>
      <c r="G39" t="n">
        <v>3.3008362293704</v>
      </c>
      <c r="H39" t="n">
        <v>24.4812020344971</v>
      </c>
      <c r="I39" t="n">
        <v>43.7836882540045</v>
      </c>
      <c r="J39" t="n">
        <v>38.97507509316</v>
      </c>
      <c r="K39" t="n">
        <v>39.408131483084</v>
      </c>
      <c r="L39" t="n">
        <v>45.5231863683902</v>
      </c>
      <c r="M39" t="n">
        <v>47.3563348127549</v>
      </c>
      <c r="N39" t="n">
        <v>48.632403714895</v>
      </c>
      <c r="O39" t="n">
        <v>51.4186351777275</v>
      </c>
      <c r="P39" t="n">
        <v>56.7788789993439</v>
      </c>
      <c r="Q39" t="n">
        <v>61.2051894589702</v>
      </c>
      <c r="R39" t="n">
        <v>70.2618046056436</v>
      </c>
      <c r="S39" t="n">
        <v>77.593471173189</v>
      </c>
      <c r="T39" t="n">
        <v>78.4175848376101</v>
      </c>
      <c r="U39" t="n">
        <v>77.908379741262</v>
      </c>
      <c r="V39" t="n">
        <v>81.7399394006683</v>
      </c>
      <c r="W39" t="n">
        <v>83.4977875598225</v>
      </c>
      <c r="X39" t="n">
        <v>82.2713218201071</v>
      </c>
      <c r="Y39" t="n">
        <v>80.7844907028763</v>
      </c>
      <c r="Z39" t="n">
        <v>84.9593997831283</v>
      </c>
      <c r="AA39" t="n">
        <v>85.4236587983366</v>
      </c>
      <c r="AB39" t="n">
        <v>88.8520330644906</v>
      </c>
      <c r="AC39" t="n">
        <v>92.632970641703</v>
      </c>
      <c r="AD39" t="n">
        <v>98.0365605958023</v>
      </c>
      <c r="AE39" t="n">
        <v>100</v>
      </c>
      <c r="AF39" t="n">
        <v>110.065645514223</v>
      </c>
    </row>
    <row r="40">
      <c r="A40" t="s">
        <v>82</v>
      </c>
      <c r="B40" t="s">
        <v>350</v>
      </c>
      <c r="C40" t="s">
        <v>203</v>
      </c>
      <c r="D40" t="s">
        <v>351</v>
      </c>
      <c r="E40" t="s">
        <v>204</v>
      </c>
      <c r="F40" t="n">
        <v>2.02878599555396</v>
      </c>
      <c r="G40" t="n">
        <v>3.04317899333094</v>
      </c>
      <c r="H40" t="n">
        <v>23.3310389488706</v>
      </c>
      <c r="I40" t="n">
        <v>41.4774025757699</v>
      </c>
      <c r="J40" t="n">
        <v>36.9050904808031</v>
      </c>
      <c r="K40" t="n">
        <v>37.3971583538805</v>
      </c>
      <c r="L40" t="n">
        <v>42.8509106138214</v>
      </c>
      <c r="M40" t="n">
        <v>44.7469686055834</v>
      </c>
      <c r="N40" t="n">
        <v>45.9813677395306</v>
      </c>
      <c r="O40" t="n">
        <v>48.5666655240825</v>
      </c>
      <c r="P40" t="n">
        <v>53.7672411069722</v>
      </c>
      <c r="Q40" t="n">
        <v>58.018069997908</v>
      </c>
      <c r="R40" t="n">
        <v>66.5449681642672</v>
      </c>
      <c r="S40" t="n">
        <v>73.0920176548703</v>
      </c>
      <c r="T40" t="n">
        <v>73.8564815819147</v>
      </c>
      <c r="U40" t="n">
        <v>73.3545043811909</v>
      </c>
      <c r="V40" t="n">
        <v>76.964725030831</v>
      </c>
      <c r="W40" t="n">
        <v>78.6250968510097</v>
      </c>
      <c r="X40" t="n">
        <v>77.4651106993012</v>
      </c>
      <c r="Y40" t="n">
        <v>76.0296952902935</v>
      </c>
      <c r="Z40" t="n">
        <v>80.000524230186</v>
      </c>
      <c r="AA40" t="n">
        <v>80.4559684233073</v>
      </c>
      <c r="AB40" t="n">
        <v>88.1505281482433</v>
      </c>
      <c r="AC40" t="n">
        <v>92.2097524688259</v>
      </c>
      <c r="AD40" t="n">
        <v>97.5192061459667</v>
      </c>
      <c r="AE40" t="n">
        <v>100</v>
      </c>
      <c r="AF40" t="n">
        <v>110.190725504862</v>
      </c>
    </row>
    <row r="41">
      <c r="A41" t="s">
        <v>82</v>
      </c>
      <c r="B41" t="s">
        <v>352</v>
      </c>
      <c r="C41" t="s">
        <v>203</v>
      </c>
      <c r="D41" t="s">
        <v>353</v>
      </c>
      <c r="E41" t="s">
        <v>204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82</v>
      </c>
      <c r="B42" t="s">
        <v>354</v>
      </c>
      <c r="C42" t="s">
        <v>203</v>
      </c>
      <c r="D42" t="s">
        <v>355</v>
      </c>
      <c r="E42" t="s">
        <v>204</v>
      </c>
      <c r="F42" t="n">
        <v>1.8353072062254</v>
      </c>
      <c r="G42" t="n">
        <v>2.62186743746486</v>
      </c>
      <c r="H42" t="n">
        <v>19.9917392106696</v>
      </c>
      <c r="I42" t="n">
        <v>35.7796080265721</v>
      </c>
      <c r="J42" t="n">
        <v>31.7335769637003</v>
      </c>
      <c r="K42" t="n">
        <v>32.0943810331306</v>
      </c>
      <c r="L42" t="n">
        <v>36.9818502259931</v>
      </c>
      <c r="M42" t="n">
        <v>38.5704176755633</v>
      </c>
      <c r="N42" t="n">
        <v>39.6368808370996</v>
      </c>
      <c r="O42" t="n">
        <v>41.8762526358058</v>
      </c>
      <c r="P42" t="n">
        <v>46.3846690686462</v>
      </c>
      <c r="Q42" t="n">
        <v>50.0406035765198</v>
      </c>
      <c r="R42" t="n">
        <v>57.3822414251876</v>
      </c>
      <c r="S42" t="n">
        <v>63.0323721319556</v>
      </c>
      <c r="T42" t="n">
        <v>63.7018336006774</v>
      </c>
      <c r="U42" t="n">
        <v>63.2599711710773</v>
      </c>
      <c r="V42" t="n">
        <v>66.3697205956488</v>
      </c>
      <c r="W42" t="n">
        <v>67.7770128928205</v>
      </c>
      <c r="X42" t="n">
        <v>66.7742595077217</v>
      </c>
      <c r="Y42" t="n">
        <v>65.5474358422255</v>
      </c>
      <c r="Z42" t="n">
        <v>68.8874325730395</v>
      </c>
      <c r="AA42" t="n">
        <v>69.1750627716743</v>
      </c>
      <c r="AB42" t="n">
        <v>88.014228803109</v>
      </c>
      <c r="AC42" t="n">
        <v>91.986786773159</v>
      </c>
      <c r="AD42" t="n">
        <v>97.172619047619</v>
      </c>
      <c r="AE42" t="n">
        <v>100</v>
      </c>
      <c r="AF42" t="n">
        <v>110.096670247046</v>
      </c>
    </row>
    <row r="43">
      <c r="A43" t="s">
        <v>82</v>
      </c>
      <c r="B43" t="s">
        <v>356</v>
      </c>
      <c r="C43" t="s">
        <v>203</v>
      </c>
      <c r="D43" t="s">
        <v>357</v>
      </c>
      <c r="E43" t="s">
        <v>204</v>
      </c>
      <c r="F43" t="n">
        <v>2.0638325687308</v>
      </c>
      <c r="G43" t="n">
        <v>3.09574885309619</v>
      </c>
      <c r="H43" t="n">
        <v>23.7340745404041</v>
      </c>
      <c r="I43" t="n">
        <v>42.398021702208</v>
      </c>
      <c r="J43" t="n">
        <v>37.6012375732065</v>
      </c>
      <c r="K43" t="n">
        <v>38.0377690912068</v>
      </c>
      <c r="L43" t="n">
        <v>43.8312139220213</v>
      </c>
      <c r="M43" t="n">
        <v>45.6874538558774</v>
      </c>
      <c r="N43" t="n">
        <v>46.8495176085704</v>
      </c>
      <c r="O43" t="n">
        <v>49.5116031616943</v>
      </c>
      <c r="P43" t="n">
        <v>54.8605021182209</v>
      </c>
      <c r="Q43" t="n">
        <v>59.2004938953815</v>
      </c>
      <c r="R43" t="n">
        <v>67.9195159794105</v>
      </c>
      <c r="S43" t="n">
        <v>74.5923105317736</v>
      </c>
      <c r="T43" t="n">
        <v>75.3898647805658</v>
      </c>
      <c r="U43" t="n">
        <v>74.8541851130898</v>
      </c>
      <c r="V43" t="n">
        <v>78.5235079127511</v>
      </c>
      <c r="W43" t="n">
        <v>80.2008296798748</v>
      </c>
      <c r="X43" t="n">
        <v>79.0154420766716</v>
      </c>
      <c r="Y43" t="n">
        <v>77.5514980191941</v>
      </c>
      <c r="Z43" t="n">
        <v>81.5537817613964</v>
      </c>
      <c r="AA43" t="n">
        <v>82.0136715081712</v>
      </c>
      <c r="AB43" t="n">
        <v>88.1155714060048</v>
      </c>
      <c r="AC43" t="n">
        <v>92.0069426780184</v>
      </c>
      <c r="AD43" t="n">
        <v>97.1698113207547</v>
      </c>
      <c r="AE43" t="n">
        <v>100</v>
      </c>
      <c r="AF43" t="n">
        <v>110.162601626016</v>
      </c>
    </row>
    <row r="44">
      <c r="A44" t="s">
        <v>82</v>
      </c>
      <c r="B44" t="s">
        <v>358</v>
      </c>
      <c r="C44" t="s">
        <v>203</v>
      </c>
      <c r="D44" t="s">
        <v>359</v>
      </c>
      <c r="E44" t="s">
        <v>204</v>
      </c>
      <c r="F44" t="n">
        <v>2.26110703473947</v>
      </c>
      <c r="G44" t="n">
        <v>3.17384748912971</v>
      </c>
      <c r="H44" t="n">
        <v>23.8494336128337</v>
      </c>
      <c r="I44" t="n">
        <v>42.5842375053796</v>
      </c>
      <c r="J44" t="n">
        <v>37.7780404925217</v>
      </c>
      <c r="K44" t="n">
        <v>38.199748851508</v>
      </c>
      <c r="L44" t="n">
        <v>44.0608044011217</v>
      </c>
      <c r="M44" t="n">
        <v>45.9492643721225</v>
      </c>
      <c r="N44" t="n">
        <v>47.1266015968065</v>
      </c>
      <c r="O44" t="n">
        <v>49.8161133908836</v>
      </c>
      <c r="P44" t="n">
        <v>55.1724597422911</v>
      </c>
      <c r="Q44" t="n">
        <v>59.5342806971494</v>
      </c>
      <c r="R44" t="n">
        <v>68.3186215159126</v>
      </c>
      <c r="S44" t="n">
        <v>75.0415854292734</v>
      </c>
      <c r="T44" t="n">
        <v>75.8290976113092</v>
      </c>
      <c r="U44" t="n">
        <v>75.3036594338061</v>
      </c>
      <c r="V44" t="n">
        <v>79.0059102808167</v>
      </c>
      <c r="W44" t="n">
        <v>80.7202004893143</v>
      </c>
      <c r="X44" t="n">
        <v>79.5396000583409</v>
      </c>
      <c r="Y44" t="n">
        <v>78.0791896827779</v>
      </c>
      <c r="Z44" t="n">
        <v>82.1226826085762</v>
      </c>
      <c r="AA44" t="n">
        <v>82.6838818901173</v>
      </c>
      <c r="AB44" t="n">
        <v>88.2177807944728</v>
      </c>
      <c r="AC44" t="n">
        <v>92.1800762172127</v>
      </c>
      <c r="AD44" t="n">
        <v>97.4669909659486</v>
      </c>
      <c r="AE44" t="n">
        <v>100</v>
      </c>
      <c r="AF44" t="n">
        <v>110.139056596424</v>
      </c>
    </row>
    <row r="45">
      <c r="A45" t="s">
        <v>82</v>
      </c>
      <c r="B45" t="s">
        <v>360</v>
      </c>
      <c r="C45" t="s">
        <v>203</v>
      </c>
      <c r="D45" t="s">
        <v>361</v>
      </c>
      <c r="E45" t="s">
        <v>204</v>
      </c>
      <c r="F45" t="n">
        <v>2.26787031552934</v>
      </c>
      <c r="G45" t="n">
        <v>3.18785544352709</v>
      </c>
      <c r="H45" t="n">
        <v>23.9259631817661</v>
      </c>
      <c r="I45" t="n">
        <v>42.7150736549053</v>
      </c>
      <c r="J45" t="n">
        <v>37.8926808477424</v>
      </c>
      <c r="K45" t="n">
        <v>38.3151150531202</v>
      </c>
      <c r="L45" t="n">
        <v>44.1962481014258</v>
      </c>
      <c r="M45" t="n">
        <v>46.0907596550693</v>
      </c>
      <c r="N45" t="n">
        <v>47.2707255961894</v>
      </c>
      <c r="O45" t="n">
        <v>49.9662844019422</v>
      </c>
      <c r="P45" t="n">
        <v>55.3376329780231</v>
      </c>
      <c r="Q45" t="n">
        <v>59.7128173973917</v>
      </c>
      <c r="R45" t="n">
        <v>68.5245895063713</v>
      </c>
      <c r="S45" t="n">
        <v>75.2675216999619</v>
      </c>
      <c r="T45" t="n">
        <v>76.0581115267731</v>
      </c>
      <c r="U45" t="n">
        <v>75.531904651288</v>
      </c>
      <c r="V45" t="n">
        <v>79.243692577458</v>
      </c>
      <c r="W45" t="n">
        <v>80.9628222718036</v>
      </c>
      <c r="X45" t="n">
        <v>79.7792127860378</v>
      </c>
      <c r="Y45" t="n">
        <v>78.3140453588194</v>
      </c>
      <c r="Z45" t="n">
        <v>82.369544469048</v>
      </c>
      <c r="AA45" t="n">
        <v>82.9337641076743</v>
      </c>
      <c r="AB45" t="n">
        <v>88.2038436959325</v>
      </c>
      <c r="AC45" t="n">
        <v>92.1616744225163</v>
      </c>
      <c r="AD45" t="n">
        <v>97.4459134615385</v>
      </c>
      <c r="AE45" t="n">
        <v>100</v>
      </c>
      <c r="AF45" t="n">
        <v>110.135757982067</v>
      </c>
    </row>
    <row r="46">
      <c r="A46" t="s">
        <v>82</v>
      </c>
      <c r="B46" t="s">
        <v>362</v>
      </c>
      <c r="C46" t="s">
        <v>203</v>
      </c>
      <c r="D46" t="s">
        <v>363</v>
      </c>
      <c r="E46" t="s">
        <v>204</v>
      </c>
      <c r="F46" t="n">
        <v>1.98508837589449</v>
      </c>
      <c r="G46" t="n">
        <v>3.30848062649082</v>
      </c>
      <c r="H46" t="n">
        <v>25.6407248553038</v>
      </c>
      <c r="I46" t="n">
        <v>45.6357855222839</v>
      </c>
      <c r="J46" t="n">
        <v>40.4720206912672</v>
      </c>
      <c r="K46" t="n">
        <v>41.3151877890019</v>
      </c>
      <c r="L46" t="n">
        <v>47.6175045703751</v>
      </c>
      <c r="M46" t="n">
        <v>49.5222047531901</v>
      </c>
      <c r="N46" t="n">
        <v>50.7369003414759</v>
      </c>
      <c r="O46" t="n">
        <v>53.6221321984186</v>
      </c>
      <c r="P46" t="n">
        <v>59.4555022283721</v>
      </c>
      <c r="Q46" t="n">
        <v>64.1618049107293</v>
      </c>
      <c r="R46" t="n">
        <v>73.6247139043833</v>
      </c>
      <c r="S46" t="n">
        <v>80.8262988232304</v>
      </c>
      <c r="T46" t="n">
        <v>81.7032568574788</v>
      </c>
      <c r="U46" t="n">
        <v>81.0974064358662</v>
      </c>
      <c r="V46" t="n">
        <v>85.0668043214374</v>
      </c>
      <c r="W46" t="n">
        <v>86.9022044146766</v>
      </c>
      <c r="X46" t="n">
        <v>85.6195150506224</v>
      </c>
      <c r="Y46" t="n">
        <v>84.0257042715713</v>
      </c>
      <c r="Z46" t="n">
        <v>88.3789421272832</v>
      </c>
      <c r="AA46" t="n">
        <v>89.0715670655848</v>
      </c>
      <c r="AB46" t="n">
        <v>88.2734347442086</v>
      </c>
      <c r="AC46" t="n">
        <v>92.0412033003639</v>
      </c>
      <c r="AD46" t="n">
        <v>97.165991902834</v>
      </c>
      <c r="AE46" t="n">
        <v>100</v>
      </c>
      <c r="AF46" t="n">
        <v>110.367892976589</v>
      </c>
    </row>
    <row r="47">
      <c r="A47" t="s">
        <v>82</v>
      </c>
      <c r="B47" t="s">
        <v>364</v>
      </c>
      <c r="C47" t="s">
        <v>203</v>
      </c>
      <c r="D47" t="s">
        <v>365</v>
      </c>
      <c r="E47" t="s">
        <v>204</v>
      </c>
      <c r="F47" t="n">
        <v>1.99886917138873</v>
      </c>
      <c r="G47" t="n">
        <v>2.82193294784291</v>
      </c>
      <c r="H47" t="n">
        <v>21.3369485667456</v>
      </c>
      <c r="I47" t="n">
        <v>38.0926305554669</v>
      </c>
      <c r="J47" t="n">
        <v>33.7067105017006</v>
      </c>
      <c r="K47" t="n">
        <v>34.08798759329</v>
      </c>
      <c r="L47" t="n">
        <v>39.3145665455332</v>
      </c>
      <c r="M47" t="n">
        <v>40.9841205640463</v>
      </c>
      <c r="N47" t="n">
        <v>42.0446173143102</v>
      </c>
      <c r="O47" t="n">
        <v>44.43871260604</v>
      </c>
      <c r="P47" t="n">
        <v>49.2206771492612</v>
      </c>
      <c r="Q47" t="n">
        <v>53.112387518235</v>
      </c>
      <c r="R47" t="n">
        <v>60.9555868316766</v>
      </c>
      <c r="S47" t="n">
        <v>66.950884025492</v>
      </c>
      <c r="T47" t="n">
        <v>67.6528911896797</v>
      </c>
      <c r="U47" t="n">
        <v>67.1865875169192</v>
      </c>
      <c r="V47" t="n">
        <v>70.4962906555063</v>
      </c>
      <c r="W47" t="n">
        <v>73.1226564489537</v>
      </c>
      <c r="X47" t="n">
        <v>73.1504531347029</v>
      </c>
      <c r="Y47" t="n">
        <v>71.8071806060302</v>
      </c>
      <c r="Z47" t="n">
        <v>75.5303021085133</v>
      </c>
      <c r="AA47" t="n">
        <v>76.0413325693286</v>
      </c>
      <c r="AB47" t="n">
        <v>87.5806227719023</v>
      </c>
      <c r="AC47" t="n">
        <v>91.4023226746762</v>
      </c>
      <c r="AD47" t="n">
        <v>96.9816744520302</v>
      </c>
      <c r="AE47" t="n">
        <v>100</v>
      </c>
      <c r="AF47" t="n">
        <v>110.049204052098</v>
      </c>
    </row>
    <row r="48">
      <c r="A48" t="s">
        <v>82</v>
      </c>
      <c r="B48" t="s">
        <v>366</v>
      </c>
      <c r="C48" t="s">
        <v>203</v>
      </c>
      <c r="D48" t="s">
        <v>367</v>
      </c>
      <c r="E48" t="s">
        <v>204</v>
      </c>
      <c r="F48" t="n">
        <v>2.15628464073737</v>
      </c>
      <c r="G48" t="n">
        <v>3.06627632398434</v>
      </c>
      <c r="H48" t="n">
        <v>23.1472251364694</v>
      </c>
      <c r="I48" t="n">
        <v>41.3256741965239</v>
      </c>
      <c r="J48" t="n">
        <v>36.6450430826732</v>
      </c>
      <c r="K48" t="n">
        <v>37.0601592612429</v>
      </c>
      <c r="L48" t="n">
        <v>42.7460285973981</v>
      </c>
      <c r="M48" t="n">
        <v>44.5657390517452</v>
      </c>
      <c r="N48" t="n">
        <v>45.7189989454874</v>
      </c>
      <c r="O48" t="n">
        <v>48.3227799922776</v>
      </c>
      <c r="P48" t="n">
        <v>53.5142517103794</v>
      </c>
      <c r="Q48" t="n">
        <v>57.7420222720585</v>
      </c>
      <c r="R48" t="n">
        <v>66.2625685604922</v>
      </c>
      <c r="S48" t="n">
        <v>72.7795329094438</v>
      </c>
      <c r="T48" t="n">
        <v>73.5395509199423</v>
      </c>
      <c r="U48" t="n">
        <v>73.0349666654435</v>
      </c>
      <c r="V48" t="n">
        <v>76.6304988340728</v>
      </c>
      <c r="W48" t="n">
        <v>76.6636765189817</v>
      </c>
      <c r="X48" t="n">
        <v>73.9709171044653</v>
      </c>
      <c r="Y48" t="n">
        <v>72.6118713833859</v>
      </c>
      <c r="Z48" t="n">
        <v>76.3743295873951</v>
      </c>
      <c r="AA48" t="n">
        <v>76.8449908456785</v>
      </c>
      <c r="AB48" t="n">
        <v>87.6290746711032</v>
      </c>
      <c r="AC48" t="n">
        <v>91.4730654417093</v>
      </c>
      <c r="AD48" t="n">
        <v>97.0401848952509</v>
      </c>
      <c r="AE48" t="n">
        <v>100</v>
      </c>
      <c r="AF48" t="n">
        <v>110.058662074162</v>
      </c>
    </row>
    <row r="49">
      <c r="A49" t="s">
        <v>82</v>
      </c>
      <c r="B49" t="s">
        <v>368</v>
      </c>
      <c r="C49" t="s">
        <v>203</v>
      </c>
      <c r="D49" t="s">
        <v>369</v>
      </c>
      <c r="E49" t="s">
        <v>204</v>
      </c>
      <c r="F49" t="n">
        <v>2.40006585510358</v>
      </c>
      <c r="G49" t="n">
        <v>3.60009878265537</v>
      </c>
      <c r="H49" t="n">
        <v>26.7659518188725</v>
      </c>
      <c r="I49" t="n">
        <v>47.7772239966874</v>
      </c>
      <c r="J49" t="n">
        <v>39.8143533305729</v>
      </c>
      <c r="K49" t="n">
        <v>40.2290861777663</v>
      </c>
      <c r="L49" t="n">
        <v>46.1523872100755</v>
      </c>
      <c r="M49" t="n">
        <v>48.2313235708897</v>
      </c>
      <c r="N49" t="n">
        <v>49.4919149824016</v>
      </c>
      <c r="O49" t="n">
        <v>52.3276200485374</v>
      </c>
      <c r="P49" t="n">
        <v>57.9663722089401</v>
      </c>
      <c r="Q49" t="n">
        <v>62.5397991959949</v>
      </c>
      <c r="R49" t="n">
        <v>71.780077219438</v>
      </c>
      <c r="S49" t="n">
        <v>78.8294468101641</v>
      </c>
      <c r="T49" t="n">
        <v>79.6390303262823</v>
      </c>
      <c r="U49" t="n">
        <v>79.0357043389619</v>
      </c>
      <c r="V49" t="n">
        <v>82.8791736038982</v>
      </c>
      <c r="W49" t="n">
        <v>84.5684306455063</v>
      </c>
      <c r="X49" t="n">
        <v>83.2967249215137</v>
      </c>
      <c r="Y49" t="n">
        <v>81.7541929785227</v>
      </c>
      <c r="Z49" t="n">
        <v>86.0135482892234</v>
      </c>
      <c r="AA49" t="n">
        <v>86.4518338856016</v>
      </c>
      <c r="AB49" t="n">
        <v>88.3477074357244</v>
      </c>
      <c r="AC49" t="n">
        <v>92.5547411231399</v>
      </c>
      <c r="AD49" t="n">
        <v>97.6588628762542</v>
      </c>
      <c r="AE49" t="n">
        <v>100</v>
      </c>
      <c r="AF49" t="n">
        <v>110.16548463357</v>
      </c>
    </row>
    <row r="50">
      <c r="A50" t="s">
        <v>82</v>
      </c>
      <c r="B50" t="s">
        <v>370</v>
      </c>
      <c r="C50" t="s">
        <v>203</v>
      </c>
      <c r="D50" t="s">
        <v>371</v>
      </c>
      <c r="E50" t="s">
        <v>204</v>
      </c>
      <c r="F50" t="n">
        <v>5.43111774442631</v>
      </c>
      <c r="G50" t="n">
        <v>10.8622354888526</v>
      </c>
      <c r="H50" t="n">
        <v>78.2080955197388</v>
      </c>
      <c r="I50" t="n">
        <v>138.228261848841</v>
      </c>
      <c r="J50" t="n">
        <v>156.835912482338</v>
      </c>
      <c r="K50" t="n">
        <v>158.955316705073</v>
      </c>
      <c r="L50" t="n">
        <v>183.525696889769</v>
      </c>
      <c r="M50" t="n">
        <v>191.601941517695</v>
      </c>
      <c r="N50" t="n">
        <v>196.507823377323</v>
      </c>
      <c r="O50" t="n">
        <v>207.903609457196</v>
      </c>
      <c r="P50" t="n">
        <v>230.324586947678</v>
      </c>
      <c r="Q50" t="n">
        <v>248.442343787142</v>
      </c>
      <c r="R50" t="n">
        <v>285.159044152145</v>
      </c>
      <c r="S50" t="n">
        <v>313.01718686443</v>
      </c>
      <c r="T50" t="n">
        <v>315.988869018207</v>
      </c>
      <c r="U50" t="n">
        <v>313.410871252324</v>
      </c>
      <c r="V50" t="n">
        <v>328.92626091828</v>
      </c>
      <c r="W50" t="n">
        <v>171.074202493676</v>
      </c>
      <c r="X50" t="n">
        <v>85.693095960358</v>
      </c>
      <c r="Y50" t="n">
        <v>83.991992318465</v>
      </c>
      <c r="Z50" t="n">
        <v>88.2790835930533</v>
      </c>
      <c r="AA50" t="n">
        <v>88.7862104541712</v>
      </c>
      <c r="AB50" t="n">
        <v>88.2364506371175</v>
      </c>
      <c r="AC50" t="n">
        <v>92.491507901344</v>
      </c>
      <c r="AD50" t="n">
        <v>97.8378378378378</v>
      </c>
      <c r="AE50" t="n">
        <v>100</v>
      </c>
      <c r="AF50" t="n">
        <v>110.180995475113</v>
      </c>
    </row>
    <row r="51">
      <c r="A51" t="s">
        <v>82</v>
      </c>
      <c r="B51" t="s">
        <v>372</v>
      </c>
      <c r="C51" t="s">
        <v>203</v>
      </c>
      <c r="D51" t="s">
        <v>373</v>
      </c>
      <c r="E51" t="s">
        <v>204</v>
      </c>
      <c r="F51" t="n">
        <v>0</v>
      </c>
      <c r="G51" t="n">
        <v>7.69359442253171</v>
      </c>
      <c r="H51" t="n">
        <v>76.9359442253171</v>
      </c>
      <c r="I51" t="n">
        <v>134.637902394305</v>
      </c>
      <c r="J51" t="n">
        <v>157.554992163548</v>
      </c>
      <c r="K51" t="n">
        <v>159.698597499107</v>
      </c>
      <c r="L51" t="n">
        <v>184.111121957569</v>
      </c>
      <c r="M51" t="n">
        <v>192.103083843187</v>
      </c>
      <c r="N51" t="n">
        <v>196.856726383702</v>
      </c>
      <c r="O51" t="n">
        <v>208.05767809828</v>
      </c>
      <c r="P51" t="n">
        <v>230.508712555343</v>
      </c>
      <c r="Q51" t="n">
        <v>248.73985618472</v>
      </c>
      <c r="R51" t="n">
        <v>285.457530725039</v>
      </c>
      <c r="S51" t="n">
        <v>313.171854096402</v>
      </c>
      <c r="T51" t="n">
        <v>316.242166391465</v>
      </c>
      <c r="U51" t="n">
        <v>313.95882945001</v>
      </c>
      <c r="V51" t="n">
        <v>329.399427619683</v>
      </c>
      <c r="W51" t="n">
        <v>171.229658410232</v>
      </c>
      <c r="X51" t="n">
        <v>85.826747099188</v>
      </c>
      <c r="Y51" t="n">
        <v>84.1719897643707</v>
      </c>
      <c r="Z51" t="n">
        <v>88.5257133728726</v>
      </c>
      <c r="AA51" t="n">
        <v>89.0455120512138</v>
      </c>
      <c r="AB51" t="n">
        <v>88.3432603788856</v>
      </c>
      <c r="AC51" t="n">
        <v>92.4628942825642</v>
      </c>
      <c r="AD51" t="n">
        <v>97.84327821711</v>
      </c>
      <c r="AE51" t="n">
        <v>100</v>
      </c>
      <c r="AF51" t="n">
        <v>110.229885057471</v>
      </c>
    </row>
    <row r="52">
      <c r="A52" t="s">
        <v>82</v>
      </c>
      <c r="B52" t="s">
        <v>374</v>
      </c>
      <c r="C52" t="s">
        <v>203</v>
      </c>
      <c r="D52" t="s">
        <v>375</v>
      </c>
      <c r="E52" t="s">
        <v>204</v>
      </c>
      <c r="F52" t="n">
        <v>8.4329466673901</v>
      </c>
      <c r="G52" t="n">
        <v>8.4329466673901</v>
      </c>
      <c r="H52" t="n">
        <v>73.0855377840475</v>
      </c>
      <c r="I52" t="n">
        <v>129.667889616859</v>
      </c>
      <c r="J52" t="n">
        <v>103.734311693487</v>
      </c>
      <c r="K52" t="n">
        <v>103.734311693487</v>
      </c>
      <c r="L52" t="n">
        <v>138.312415591316</v>
      </c>
      <c r="M52" t="n">
        <v>145.788762380036</v>
      </c>
      <c r="N52" t="n">
        <v>154.900560028788</v>
      </c>
      <c r="O52" t="n">
        <v>193.625700035985</v>
      </c>
      <c r="P52" t="n">
        <v>212.988270039583</v>
      </c>
      <c r="Q52" t="n">
        <v>212.988270039583</v>
      </c>
      <c r="R52" t="n">
        <v>246.617996887938</v>
      </c>
      <c r="S52" t="n">
        <v>277.445246498931</v>
      </c>
      <c r="T52" t="n">
        <v>277.445246498931</v>
      </c>
      <c r="U52" t="n">
        <v>274.707299987428</v>
      </c>
      <c r="V52" t="n">
        <v>290.866552927865</v>
      </c>
      <c r="W52" t="n">
        <v>155.821367639928</v>
      </c>
      <c r="X52" t="n">
        <v>75.2241085158272</v>
      </c>
      <c r="Y52" t="n">
        <v>72.5375332116905</v>
      </c>
      <c r="Z52" t="n">
        <v>76.0587726879861</v>
      </c>
      <c r="AA52" t="n">
        <v>76.0587726879861</v>
      </c>
      <c r="AB52" t="n">
        <v>82.3970037453183</v>
      </c>
      <c r="AC52" t="n">
        <v>92.6966292134831</v>
      </c>
      <c r="AD52" t="n">
        <v>97.752808988764</v>
      </c>
      <c r="AE52" t="n">
        <v>100</v>
      </c>
      <c r="AF52" t="n">
        <v>107.142857142857</v>
      </c>
    </row>
    <row r="53">
      <c r="A53" t="s">
        <v>82</v>
      </c>
      <c r="B53" t="s">
        <v>376</v>
      </c>
      <c r="C53" t="s">
        <v>203</v>
      </c>
      <c r="D53" t="s">
        <v>377</v>
      </c>
      <c r="E53" t="s">
        <v>204</v>
      </c>
      <c r="F53" t="n">
        <v>0</v>
      </c>
      <c r="G53" t="n">
        <v>3.87325876105181</v>
      </c>
      <c r="H53" t="n">
        <v>23.2395525663108</v>
      </c>
      <c r="I53" t="n">
        <v>39.8392329708186</v>
      </c>
      <c r="J53" t="n">
        <v>35.3005861766747</v>
      </c>
      <c r="K53" t="n">
        <v>36.3703009093012</v>
      </c>
      <c r="L53" t="n">
        <v>41.692783969199</v>
      </c>
      <c r="M53" t="n">
        <v>43.7365478892577</v>
      </c>
      <c r="N53" t="n">
        <v>45.1323951623191</v>
      </c>
      <c r="O53" t="n">
        <v>47.6281958164566</v>
      </c>
      <c r="P53" t="n">
        <v>52.7166782754797</v>
      </c>
      <c r="Q53" t="n">
        <v>56.7436467548567</v>
      </c>
      <c r="R53" t="n">
        <v>65.0852717768955</v>
      </c>
      <c r="S53" t="n">
        <v>71.4838238409835</v>
      </c>
      <c r="T53" t="n">
        <v>72.203804800533</v>
      </c>
      <c r="U53" t="n">
        <v>71.7082884930784</v>
      </c>
      <c r="V53" t="n">
        <v>75.1463571194588</v>
      </c>
      <c r="W53" t="n">
        <v>76.755486822231</v>
      </c>
      <c r="X53" t="n">
        <v>75.6243533322192</v>
      </c>
      <c r="Y53" t="n">
        <v>74.1327487300058</v>
      </c>
      <c r="Z53" t="n">
        <v>77.9789035471271</v>
      </c>
      <c r="AA53" t="n">
        <v>78.4477145904966</v>
      </c>
      <c r="AB53" t="n">
        <v>88.1942488274977</v>
      </c>
      <c r="AC53" t="n">
        <v>92.3323954000489</v>
      </c>
      <c r="AD53" t="n">
        <v>97.3880597014925</v>
      </c>
      <c r="AE53" t="n">
        <v>100</v>
      </c>
      <c r="AF53" t="n">
        <v>110.059171597633</v>
      </c>
    </row>
    <row r="54">
      <c r="A54" t="s">
        <v>82</v>
      </c>
      <c r="B54" t="s">
        <v>378</v>
      </c>
      <c r="C54" t="s">
        <v>203</v>
      </c>
      <c r="D54" t="s">
        <v>379</v>
      </c>
      <c r="E54" t="s">
        <v>204</v>
      </c>
      <c r="F54" t="n">
        <v>0</v>
      </c>
      <c r="G54" t="n">
        <v>3.89137987952588</v>
      </c>
      <c r="H54" t="n">
        <v>25.2939692169182</v>
      </c>
      <c r="I54" t="n">
        <v>42.1566153615304</v>
      </c>
      <c r="J54" t="n">
        <v>37.1379706756339</v>
      </c>
      <c r="K54" t="n">
        <v>37.7569368535612</v>
      </c>
      <c r="L54" t="n">
        <v>43.3346661614736</v>
      </c>
      <c r="M54" t="n">
        <v>45.2424816528593</v>
      </c>
      <c r="N54" t="n">
        <v>46.6863906417803</v>
      </c>
      <c r="O54" t="n">
        <v>49.2156759135698</v>
      </c>
      <c r="P54" t="n">
        <v>54.4472635106815</v>
      </c>
      <c r="Q54" t="n">
        <v>58.5054446419124</v>
      </c>
      <c r="R54" t="n">
        <v>67.0600222618223</v>
      </c>
      <c r="S54" t="n">
        <v>73.6527126224316</v>
      </c>
      <c r="T54" t="n">
        <v>74.3945385049597</v>
      </c>
      <c r="U54" t="n">
        <v>73.8696251479651</v>
      </c>
      <c r="V54" t="n">
        <v>77.213517644375</v>
      </c>
      <c r="W54" t="n">
        <v>78.894958143221</v>
      </c>
      <c r="X54" t="n">
        <v>77.7393136859119</v>
      </c>
      <c r="Y54" t="n">
        <v>76.2341105735423</v>
      </c>
      <c r="Z54" t="n">
        <v>80.1988407767283</v>
      </c>
      <c r="AA54" t="n">
        <v>80.6541464421274</v>
      </c>
      <c r="AB54" t="n">
        <v>87.8472107358276</v>
      </c>
      <c r="AC54" t="n">
        <v>92.0175989943432</v>
      </c>
      <c r="AD54" t="n">
        <v>97.2972972972973</v>
      </c>
      <c r="AE54" t="n">
        <v>100</v>
      </c>
      <c r="AF54" t="n">
        <v>110.142348754448</v>
      </c>
    </row>
    <row r="55">
      <c r="A55" t="s">
        <v>82</v>
      </c>
      <c r="B55" t="s">
        <v>380</v>
      </c>
      <c r="C55" t="s">
        <v>203</v>
      </c>
      <c r="D55" t="s">
        <v>381</v>
      </c>
      <c r="E55" t="s">
        <v>204</v>
      </c>
      <c r="F55" t="n">
        <v>0</v>
      </c>
      <c r="G55" t="n">
        <v>0</v>
      </c>
      <c r="H55" t="e">
        <v>#NUM!</v>
      </c>
      <c r="I55" t="e">
        <v>#NUM!</v>
      </c>
      <c r="J55" t="e">
        <v>#NUM!</v>
      </c>
      <c r="K55" t="e">
        <v>#NUM!</v>
      </c>
      <c r="L55" t="e">
        <v>#NUM!</v>
      </c>
      <c r="M55" t="e">
        <v>#NUM!</v>
      </c>
      <c r="N55" t="n">
        <v>0</v>
      </c>
      <c r="O55" t="e">
        <v>#NUM!</v>
      </c>
      <c r="P55" t="e">
        <v>#NUM!</v>
      </c>
      <c r="Q55" t="e">
        <v>#NUM!</v>
      </c>
      <c r="R55" t="e">
        <v>#NUM!</v>
      </c>
      <c r="S55" t="n">
        <v>0</v>
      </c>
      <c r="T55" t="n">
        <v>0</v>
      </c>
      <c r="U55" t="n">
        <v>77.8384668170198</v>
      </c>
      <c r="V55" t="n">
        <v>81.0483005001959</v>
      </c>
      <c r="W55" t="n">
        <v>82.9331446978749</v>
      </c>
      <c r="X55" t="n">
        <v>81.7483854879052</v>
      </c>
      <c r="Y55" t="n">
        <v>80.2059631202089</v>
      </c>
      <c r="Z55" t="n">
        <v>84.4646868257067</v>
      </c>
      <c r="AA55" t="n">
        <v>84.824111024965</v>
      </c>
      <c r="AB55" t="n">
        <v>87.4075864876543</v>
      </c>
      <c r="AC55" t="n">
        <v>91.6098742995608</v>
      </c>
      <c r="AD55" t="n">
        <v>97.1830985915493</v>
      </c>
      <c r="AE55" t="n">
        <v>100</v>
      </c>
      <c r="AF55" t="n">
        <v>110.178117048346</v>
      </c>
    </row>
    <row r="56">
      <c r="A56" t="s">
        <v>82</v>
      </c>
      <c r="B56" t="s">
        <v>382</v>
      </c>
      <c r="C56" t="s">
        <v>203</v>
      </c>
      <c r="D56" t="s">
        <v>383</v>
      </c>
      <c r="E56" t="s">
        <v>204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82</v>
      </c>
      <c r="B57" t="s">
        <v>384</v>
      </c>
      <c r="C57" t="s">
        <v>203</v>
      </c>
      <c r="D57" t="s">
        <v>385</v>
      </c>
      <c r="E57" t="s">
        <v>204</v>
      </c>
      <c r="F57" t="n">
        <v>2.21924279900401</v>
      </c>
      <c r="G57" t="n">
        <v>3.13892900399666</v>
      </c>
      <c r="H57" t="n">
        <v>23.6497933354558</v>
      </c>
      <c r="I57" t="n">
        <v>42.2184035582572</v>
      </c>
      <c r="J57" t="n">
        <v>37.4456141826123</v>
      </c>
      <c r="K57" t="n">
        <v>37.8655911626653</v>
      </c>
      <c r="L57" t="n">
        <v>43.6709267933485</v>
      </c>
      <c r="M57" t="n">
        <v>45.5455889288354</v>
      </c>
      <c r="N57" t="n">
        <v>46.7173090327684</v>
      </c>
      <c r="O57" t="n">
        <v>49.3823063505647</v>
      </c>
      <c r="P57" t="n">
        <v>54.692838080198</v>
      </c>
      <c r="Q57" t="n">
        <v>59.0158731022998</v>
      </c>
      <c r="R57" t="n">
        <v>67.7256051101199</v>
      </c>
      <c r="S57" t="n">
        <v>74.388121806042</v>
      </c>
      <c r="T57" t="n">
        <v>75.1672680575356</v>
      </c>
      <c r="U57" t="n">
        <v>74.6469318723831</v>
      </c>
      <c r="V57" t="n">
        <v>78.318896317747</v>
      </c>
      <c r="W57" t="n">
        <v>79.5470031847968</v>
      </c>
      <c r="X57" t="n">
        <v>77.9211523306761</v>
      </c>
      <c r="Y57" t="n">
        <v>76.4883334102226</v>
      </c>
      <c r="Z57" t="n">
        <v>80.4500442054947</v>
      </c>
      <c r="AA57" t="n">
        <v>80.9880351516119</v>
      </c>
      <c r="AB57" t="n">
        <v>87.9352179023283</v>
      </c>
      <c r="AC57" t="n">
        <v>91.8788259917757</v>
      </c>
      <c r="AD57" t="n">
        <v>97.2855433763378</v>
      </c>
      <c r="AE57" t="n">
        <v>100</v>
      </c>
      <c r="AF57" t="n">
        <v>110.114307602363</v>
      </c>
    </row>
    <row r="58">
      <c r="A58" t="s">
        <v>82</v>
      </c>
      <c r="B58" t="s">
        <v>386</v>
      </c>
      <c r="C58" t="s">
        <v>203</v>
      </c>
      <c r="D58" t="s">
        <v>387</v>
      </c>
      <c r="E58" t="s">
        <v>204</v>
      </c>
      <c r="F58" t="n">
        <v>2.21924279900401</v>
      </c>
      <c r="G58" t="n">
        <v>3.13892900399666</v>
      </c>
      <c r="H58" t="n">
        <v>23.6497933354558</v>
      </c>
      <c r="I58" t="n">
        <v>42.2184035582572</v>
      </c>
      <c r="J58" t="n">
        <v>37.4456141826123</v>
      </c>
      <c r="K58" t="n">
        <v>37.8655911626653</v>
      </c>
      <c r="L58" t="n">
        <v>43.6709267933485</v>
      </c>
      <c r="M58" t="n">
        <v>45.5455889288354</v>
      </c>
      <c r="N58" t="n">
        <v>46.7173090327684</v>
      </c>
      <c r="O58" t="n">
        <v>49.3823063505647</v>
      </c>
      <c r="P58" t="n">
        <v>54.692838080198</v>
      </c>
      <c r="Q58" t="n">
        <v>59.0158731022998</v>
      </c>
      <c r="R58" t="n">
        <v>67.7256051101199</v>
      </c>
      <c r="S58" t="n">
        <v>74.388121806042</v>
      </c>
      <c r="T58" t="n">
        <v>75.1672680575356</v>
      </c>
      <c r="U58" t="n">
        <v>74.6469318723831</v>
      </c>
      <c r="V58" t="n">
        <v>78.318896317747</v>
      </c>
      <c r="W58" t="n">
        <v>79.5470031847968</v>
      </c>
      <c r="X58" t="n">
        <v>77.9211523306761</v>
      </c>
      <c r="Y58" t="n">
        <v>76.4883334102226</v>
      </c>
      <c r="Z58" t="n">
        <v>80.4500442054947</v>
      </c>
      <c r="AA58" t="n">
        <v>80.9880351516119</v>
      </c>
      <c r="AB58" t="n">
        <v>87.9352179023283</v>
      </c>
      <c r="AC58" t="n">
        <v>91.8788259917757</v>
      </c>
      <c r="AD58" t="n">
        <v>97.2855433763378</v>
      </c>
      <c r="AE58" t="n">
        <v>100</v>
      </c>
      <c r="AF58" t="n">
        <v>110.114307602363</v>
      </c>
    </row>
    <row r="59">
      <c r="A59" t="s">
        <v>82</v>
      </c>
      <c r="B59" t="s">
        <v>388</v>
      </c>
      <c r="C59" t="s">
        <v>203</v>
      </c>
      <c r="D59" t="s">
        <v>389</v>
      </c>
      <c r="E59" t="s">
        <v>204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84</v>
      </c>
      <c r="B2" t="s">
        <v>197</v>
      </c>
      <c r="C2" t="s">
        <v>203</v>
      </c>
      <c r="D2" t="s">
        <v>199</v>
      </c>
      <c r="E2" t="s">
        <v>204</v>
      </c>
      <c r="F2" t="e">
        <v>#NUM!</v>
      </c>
      <c r="G2" t="n">
        <v>0</v>
      </c>
      <c r="H2" t="e">
        <v>#NUM!</v>
      </c>
      <c r="I2" t="e">
        <v>#NUM!</v>
      </c>
      <c r="J2" t="n">
        <v>0</v>
      </c>
      <c r="K2" t="n">
        <v>44.8796667276898</v>
      </c>
      <c r="L2" t="n">
        <v>52.0924703089257</v>
      </c>
      <c r="M2" t="n">
        <v>53.8887623885438</v>
      </c>
      <c r="N2" t="n">
        <v>55.7469955743557</v>
      </c>
      <c r="O2" t="n">
        <v>58.681047973006</v>
      </c>
      <c r="P2" t="n">
        <v>65.2011644144511</v>
      </c>
      <c r="Q2" t="n">
        <v>69.8583904440548</v>
      </c>
      <c r="R2" t="n">
        <v>79.8381605074912</v>
      </c>
      <c r="S2" t="n">
        <v>87.8219765582403</v>
      </c>
      <c r="T2" t="n">
        <v>87.8219765582403</v>
      </c>
      <c r="U2" t="n">
        <v>87.8219765582403</v>
      </c>
      <c r="V2" t="n">
        <v>90.3311758884757</v>
      </c>
      <c r="W2" t="n">
        <v>90.3311758884757</v>
      </c>
      <c r="X2" t="n">
        <v>90.3311758884757</v>
      </c>
      <c r="Y2" t="n">
        <v>88.3238164242874</v>
      </c>
      <c r="Z2" t="n">
        <v>92.431900909138</v>
      </c>
      <c r="AA2" t="n">
        <v>92.431900909138</v>
      </c>
      <c r="AB2" t="n">
        <v>89.9994824641606</v>
      </c>
      <c r="AC2" t="n">
        <v>93.8292476754015</v>
      </c>
      <c r="AD2" t="n">
        <v>98.9010989010989</v>
      </c>
      <c r="AE2" t="n">
        <v>100</v>
      </c>
      <c r="AF2" t="n">
        <v>109.756097560976</v>
      </c>
    </row>
    <row r="3">
      <c r="A3" t="s">
        <v>84</v>
      </c>
      <c r="B3" t="s">
        <v>276</v>
      </c>
      <c r="C3" t="s">
        <v>203</v>
      </c>
      <c r="D3" t="s">
        <v>277</v>
      </c>
      <c r="E3" t="s">
        <v>204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e">
        <v>#NUM!</v>
      </c>
      <c r="L3" t="e">
        <v>#NUM!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e">
        <v>#NUM!</v>
      </c>
      <c r="S3" t="e">
        <v>#NUM!</v>
      </c>
      <c r="T3" t="e">
        <v>#NUM!</v>
      </c>
      <c r="U3" t="e">
        <v>#NUM!</v>
      </c>
      <c r="V3" t="e">
        <v>#NUM!</v>
      </c>
      <c r="W3" t="e">
        <v>#NUM!</v>
      </c>
      <c r="X3" t="e">
        <v>#NUM!</v>
      </c>
      <c r="Y3" t="e">
        <v>#NUM!</v>
      </c>
      <c r="Z3" t="e">
        <v>#NUM!</v>
      </c>
      <c r="AA3" t="e">
        <v>#NUM!</v>
      </c>
      <c r="AB3" t="e">
        <v>#NUM!</v>
      </c>
      <c r="AC3" t="e">
        <v>#NUM!</v>
      </c>
      <c r="AD3" t="e">
        <v>#NUM!</v>
      </c>
      <c r="AE3" t="n">
        <v>0</v>
      </c>
      <c r="AF3" t="e">
        <v>#NUM!</v>
      </c>
    </row>
    <row r="4">
      <c r="A4" t="s">
        <v>84</v>
      </c>
      <c r="B4" t="s">
        <v>278</v>
      </c>
      <c r="C4" t="s">
        <v>203</v>
      </c>
      <c r="D4" t="s">
        <v>279</v>
      </c>
      <c r="E4" t="s">
        <v>204</v>
      </c>
      <c r="F4" t="n">
        <v>2.65904531267481</v>
      </c>
      <c r="G4" t="n">
        <v>3.54539375023308</v>
      </c>
      <c r="H4" t="n">
        <v>27.2995318767947</v>
      </c>
      <c r="I4" t="n">
        <v>48.7168441779264</v>
      </c>
      <c r="J4" t="n">
        <v>42.9854507452292</v>
      </c>
      <c r="K4" t="n">
        <v>43.49718230172</v>
      </c>
      <c r="L4" t="n">
        <v>50.2790010476871</v>
      </c>
      <c r="M4" t="n">
        <v>52.2379231664282</v>
      </c>
      <c r="N4" t="n">
        <v>53.6789693227434</v>
      </c>
      <c r="O4" t="n">
        <v>56.9322401907885</v>
      </c>
      <c r="P4" t="n">
        <v>62.6254642098674</v>
      </c>
      <c r="Q4" t="n">
        <v>67.6509644242394</v>
      </c>
      <c r="R4" t="n">
        <v>77.632254257324</v>
      </c>
      <c r="S4" t="n">
        <v>85.4206033899357</v>
      </c>
      <c r="T4" t="n">
        <v>85.6653615658381</v>
      </c>
      <c r="U4" t="n">
        <v>84.6077645094698</v>
      </c>
      <c r="V4" t="n">
        <v>88.675445495502</v>
      </c>
      <c r="W4" t="n">
        <v>90.6907965294906</v>
      </c>
      <c r="X4" t="n">
        <v>88.675445495502</v>
      </c>
      <c r="Y4" t="n">
        <v>88.675445495502</v>
      </c>
      <c r="Z4" t="n">
        <v>93.1092177702771</v>
      </c>
      <c r="AA4" t="n">
        <v>93.1092177702771</v>
      </c>
      <c r="AB4" t="n">
        <v>89.6284993489583</v>
      </c>
      <c r="AC4" t="n">
        <v>93.525390625</v>
      </c>
      <c r="AD4" t="n">
        <v>98.125</v>
      </c>
      <c r="AE4" t="n">
        <v>100</v>
      </c>
      <c r="AF4" t="n">
        <v>111.142857142857</v>
      </c>
    </row>
    <row r="5">
      <c r="A5" t="s">
        <v>84</v>
      </c>
      <c r="B5" t="s">
        <v>280</v>
      </c>
      <c r="C5" t="s">
        <v>203</v>
      </c>
      <c r="D5" t="s">
        <v>281</v>
      </c>
      <c r="E5" t="s">
        <v>204</v>
      </c>
      <c r="F5" t="e">
        <v>#NUM!</v>
      </c>
      <c r="G5" t="e">
        <v>#NUM!</v>
      </c>
      <c r="H5" t="e">
        <v>#NUM!</v>
      </c>
      <c r="I5" t="e">
        <v>#NUM!</v>
      </c>
      <c r="J5" t="e">
        <v>#NUM!</v>
      </c>
      <c r="K5" t="n">
        <v>0</v>
      </c>
      <c r="L5" t="n">
        <v>53.6466532933733</v>
      </c>
      <c r="M5" t="n">
        <v>53.6466532933733</v>
      </c>
      <c r="N5" t="n">
        <v>55.2244960372961</v>
      </c>
      <c r="O5" t="n">
        <v>61.3605511525512</v>
      </c>
      <c r="P5" t="n">
        <v>68.1783901695013</v>
      </c>
      <c r="Q5" t="n">
        <v>73.0482751816085</v>
      </c>
      <c r="R5" t="n">
        <v>84.0378387045054</v>
      </c>
      <c r="S5" t="n">
        <v>92.2366522366523</v>
      </c>
      <c r="T5" t="n">
        <v>92.2366522366523</v>
      </c>
      <c r="U5" t="n">
        <v>92.2366522366522</v>
      </c>
      <c r="V5" t="n">
        <v>95.1190476190476</v>
      </c>
      <c r="W5" t="n">
        <v>95.1190476190476</v>
      </c>
      <c r="X5" t="n">
        <v>95.1190476190476</v>
      </c>
      <c r="Y5" t="n">
        <v>95.1190476190476</v>
      </c>
      <c r="Z5" t="n">
        <v>95.1190476190476</v>
      </c>
      <c r="AA5" t="n">
        <v>95.1190476190476</v>
      </c>
      <c r="AB5" t="n">
        <v>95.1190476190476</v>
      </c>
      <c r="AC5" t="n">
        <v>97.9166666666667</v>
      </c>
      <c r="AD5" t="n">
        <v>97.9166666666667</v>
      </c>
      <c r="AE5" t="n">
        <v>100</v>
      </c>
      <c r="AF5" t="n">
        <v>110.434782608696</v>
      </c>
    </row>
    <row r="6">
      <c r="A6" t="s">
        <v>84</v>
      </c>
      <c r="B6" t="s">
        <v>282</v>
      </c>
      <c r="C6" t="s">
        <v>203</v>
      </c>
      <c r="D6" t="s">
        <v>283</v>
      </c>
      <c r="E6" t="s">
        <v>204</v>
      </c>
      <c r="F6" t="e">
        <v>#NUM!</v>
      </c>
      <c r="G6" t="n">
        <v>0</v>
      </c>
      <c r="H6" t="e">
        <v>#NUM!</v>
      </c>
      <c r="I6" t="e">
        <v>#NUM!</v>
      </c>
      <c r="J6" t="n">
        <v>0</v>
      </c>
      <c r="K6" t="e">
        <v>#NUM!</v>
      </c>
      <c r="L6" t="e">
        <v>#NUM!</v>
      </c>
      <c r="M6" t="e">
        <v>#NUM!</v>
      </c>
      <c r="N6" t="n">
        <v>0</v>
      </c>
      <c r="O6" t="n">
        <v>61.6384894681148</v>
      </c>
      <c r="P6" t="n">
        <v>66.998358117516</v>
      </c>
      <c r="Q6" t="n">
        <v>72.6488220551379</v>
      </c>
      <c r="R6" t="n">
        <v>83.8255639097745</v>
      </c>
      <c r="S6" t="n">
        <v>93.139515455305</v>
      </c>
      <c r="T6" t="n">
        <v>93.139515455305</v>
      </c>
      <c r="U6" t="n">
        <v>93.139515455305</v>
      </c>
      <c r="V6" t="n">
        <v>93.139515455305</v>
      </c>
      <c r="W6" t="n">
        <v>93.139515455305</v>
      </c>
      <c r="X6" t="n">
        <v>93.139515455305</v>
      </c>
      <c r="Y6" t="n">
        <v>85.9749373433584</v>
      </c>
      <c r="Z6" t="n">
        <v>96.7218045112782</v>
      </c>
      <c r="AA6" t="n">
        <v>96.7218045112782</v>
      </c>
      <c r="AB6" t="n">
        <v>91.8857142857143</v>
      </c>
      <c r="AC6" t="n">
        <v>95.7142857142857</v>
      </c>
      <c r="AD6" t="n">
        <v>100</v>
      </c>
      <c r="AE6" t="n">
        <v>100</v>
      </c>
      <c r="AF6" t="n">
        <v>110.204081632653</v>
      </c>
    </row>
    <row r="7">
      <c r="A7" t="s">
        <v>84</v>
      </c>
      <c r="B7" t="s">
        <v>284</v>
      </c>
      <c r="C7" t="s">
        <v>203</v>
      </c>
      <c r="D7" t="s">
        <v>285</v>
      </c>
      <c r="E7" t="s">
        <v>204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e">
        <v>#NUM!</v>
      </c>
      <c r="L7" t="e">
        <v>#NUM!</v>
      </c>
      <c r="M7" t="e">
        <v>#NUM!</v>
      </c>
      <c r="N7" t="n">
        <v>0</v>
      </c>
      <c r="O7" t="n">
        <v>0</v>
      </c>
      <c r="P7" t="e">
        <v>#NUM!</v>
      </c>
      <c r="Q7" t="e">
        <v>#NUM!</v>
      </c>
      <c r="R7" t="e">
        <v>#NUM!</v>
      </c>
      <c r="S7" t="e">
        <v>#NUM!</v>
      </c>
      <c r="T7" t="n">
        <v>0</v>
      </c>
      <c r="U7" t="n">
        <v>0</v>
      </c>
      <c r="V7" t="n">
        <v>74.7109974424552</v>
      </c>
      <c r="W7" t="n">
        <v>74.7109974424552</v>
      </c>
      <c r="X7" t="n">
        <v>74.7109974424552</v>
      </c>
      <c r="Y7" t="n">
        <v>74.7109974424552</v>
      </c>
      <c r="Z7" t="n">
        <v>74.7109974424552</v>
      </c>
      <c r="AA7" t="n">
        <v>74.7109974424552</v>
      </c>
      <c r="AB7" t="n">
        <v>71.3657289002558</v>
      </c>
      <c r="AC7" t="n">
        <v>75.2941176470588</v>
      </c>
      <c r="AD7" t="n">
        <v>94.1176470588235</v>
      </c>
      <c r="AE7" t="n">
        <v>100</v>
      </c>
      <c r="AF7" t="n">
        <v>108.333333333333</v>
      </c>
    </row>
    <row r="8">
      <c r="A8" t="s">
        <v>84</v>
      </c>
      <c r="B8" t="s">
        <v>286</v>
      </c>
      <c r="C8" t="s">
        <v>203</v>
      </c>
      <c r="D8" t="s">
        <v>287</v>
      </c>
      <c r="E8" t="s">
        <v>204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e">
        <v>#NUM!</v>
      </c>
      <c r="AD8" t="n">
        <v>0</v>
      </c>
      <c r="AE8" t="n">
        <v>0</v>
      </c>
      <c r="AF8" t="e">
        <v>#NUM!</v>
      </c>
    </row>
    <row r="9">
      <c r="A9" t="s">
        <v>84</v>
      </c>
      <c r="B9" t="s">
        <v>288</v>
      </c>
      <c r="C9" t="s">
        <v>203</v>
      </c>
      <c r="D9" t="s">
        <v>289</v>
      </c>
      <c r="E9" t="s">
        <v>204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e">
        <v>#NUM!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e">
        <v>#NUM!</v>
      </c>
      <c r="T9" t="n">
        <v>0</v>
      </c>
      <c r="U9" t="n">
        <v>95</v>
      </c>
      <c r="V9" t="n">
        <v>95</v>
      </c>
      <c r="W9" t="n">
        <v>95</v>
      </c>
      <c r="X9" t="n">
        <v>95</v>
      </c>
      <c r="Y9" t="n">
        <v>95</v>
      </c>
      <c r="Z9" t="n">
        <v>95</v>
      </c>
      <c r="AA9" t="n">
        <v>95</v>
      </c>
      <c r="AB9" t="n">
        <v>95</v>
      </c>
      <c r="AC9" t="n">
        <v>100</v>
      </c>
      <c r="AD9" t="n">
        <v>100</v>
      </c>
      <c r="AE9" t="n">
        <v>100</v>
      </c>
      <c r="AF9" t="n">
        <v>111.627906976744</v>
      </c>
    </row>
    <row r="10">
      <c r="A10" t="s">
        <v>84</v>
      </c>
      <c r="B10" t="s">
        <v>290</v>
      </c>
      <c r="C10" t="s">
        <v>203</v>
      </c>
      <c r="D10" t="s">
        <v>291</v>
      </c>
      <c r="E10" t="s">
        <v>204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e">
        <v>#NUM!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e">
        <v>#NUM!</v>
      </c>
      <c r="T10" t="n">
        <v>0</v>
      </c>
      <c r="U10" t="n">
        <v>91.5739268680445</v>
      </c>
      <c r="V10" t="n">
        <v>91.5739268680445</v>
      </c>
      <c r="W10" t="n">
        <v>91.5739268680445</v>
      </c>
      <c r="X10" t="n">
        <v>91.5739268680445</v>
      </c>
      <c r="Y10" t="n">
        <v>91.5739268680445</v>
      </c>
      <c r="Z10" t="n">
        <v>91.5739268680445</v>
      </c>
      <c r="AA10" t="n">
        <v>91.5739268680445</v>
      </c>
      <c r="AB10" t="n">
        <v>88.1822999470058</v>
      </c>
      <c r="AC10" t="n">
        <v>92.3418423973363</v>
      </c>
      <c r="AD10" t="n">
        <v>98.1132075471698</v>
      </c>
      <c r="AE10" t="n">
        <v>100</v>
      </c>
      <c r="AF10" t="n">
        <v>112.307692307692</v>
      </c>
    </row>
    <row r="11">
      <c r="A11" t="s">
        <v>84</v>
      </c>
      <c r="B11" t="s">
        <v>292</v>
      </c>
      <c r="C11" t="s">
        <v>203</v>
      </c>
      <c r="D11" t="s">
        <v>293</v>
      </c>
      <c r="E11" t="s">
        <v>204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88.9258110310742</v>
      </c>
      <c r="AC11" t="n">
        <v>93.0143540669857</v>
      </c>
      <c r="AD11" t="n">
        <v>98.1818181818182</v>
      </c>
      <c r="AE11" t="n">
        <v>100</v>
      </c>
      <c r="AF11" t="n">
        <v>113.636363636364</v>
      </c>
    </row>
    <row r="12">
      <c r="A12" t="s">
        <v>84</v>
      </c>
      <c r="B12" t="s">
        <v>294</v>
      </c>
      <c r="C12" t="s">
        <v>203</v>
      </c>
      <c r="D12" t="s">
        <v>295</v>
      </c>
      <c r="E12" t="s">
        <v>204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e">
        <v>#NUM!</v>
      </c>
      <c r="L12" t="e">
        <v>#NUM!</v>
      </c>
      <c r="M12" t="e">
        <v>#NUM!</v>
      </c>
      <c r="N12" t="n">
        <v>0</v>
      </c>
      <c r="O12" t="n">
        <v>58.1922525107604</v>
      </c>
      <c r="P12" t="n">
        <v>63.4824572844659</v>
      </c>
      <c r="Q12" t="n">
        <v>68.3657232294248</v>
      </c>
      <c r="R12" t="n">
        <v>78.1322551193427</v>
      </c>
      <c r="S12" t="n">
        <v>85.457154036781</v>
      </c>
      <c r="T12" t="n">
        <v>85.457154036781</v>
      </c>
      <c r="U12" t="n">
        <v>85.457154036781</v>
      </c>
      <c r="V12" t="n">
        <v>89.5265423242468</v>
      </c>
      <c r="W12" t="n">
        <v>89.5265423242468</v>
      </c>
      <c r="X12" t="n">
        <v>89.5265423242468</v>
      </c>
      <c r="Y12" t="n">
        <v>87.3949579831933</v>
      </c>
      <c r="Z12" t="n">
        <v>92.8571428571429</v>
      </c>
      <c r="AA12" t="n">
        <v>92.8571428571429</v>
      </c>
      <c r="AB12" t="n">
        <v>92.8571428571429</v>
      </c>
      <c r="AC12" t="n">
        <v>92.8571428571429</v>
      </c>
      <c r="AD12" t="n">
        <v>92.8571428571429</v>
      </c>
      <c r="AE12" t="n">
        <v>100</v>
      </c>
      <c r="AF12" t="n">
        <v>150</v>
      </c>
    </row>
    <row r="13">
      <c r="A13" t="s">
        <v>84</v>
      </c>
      <c r="B13" t="s">
        <v>296</v>
      </c>
      <c r="C13" t="s">
        <v>203</v>
      </c>
      <c r="D13" t="s">
        <v>297</v>
      </c>
      <c r="E13" t="s">
        <v>204</v>
      </c>
      <c r="F13" t="n">
        <v>0</v>
      </c>
      <c r="G13" t="n">
        <v>0</v>
      </c>
      <c r="H13" t="n">
        <v>0</v>
      </c>
      <c r="I13" t="n">
        <v>0</v>
      </c>
      <c r="J13" t="e">
        <v>#NUM!</v>
      </c>
      <c r="K13" t="n">
        <v>0</v>
      </c>
      <c r="L13" t="e">
        <v>#NUM!</v>
      </c>
      <c r="M13" t="e">
        <v>#NUM!</v>
      </c>
      <c r="N13" t="e">
        <v>#NUM!</v>
      </c>
      <c r="O13" t="e">
        <v>#NUM!</v>
      </c>
      <c r="P13" t="n">
        <v>0</v>
      </c>
      <c r="Q13" t="e">
        <v>#NUM!</v>
      </c>
      <c r="R13" t="e">
        <v>#NUM!</v>
      </c>
      <c r="S13" t="e">
        <v>#NUM!</v>
      </c>
      <c r="T13" t="e">
        <v>#NUM!</v>
      </c>
      <c r="U13" t="n">
        <v>0</v>
      </c>
      <c r="V13" t="n">
        <v>62.4373538255931</v>
      </c>
      <c r="W13" t="n">
        <v>62.4373538255931</v>
      </c>
      <c r="X13" t="n">
        <v>62.4373538255931</v>
      </c>
      <c r="Y13" t="n">
        <v>62.4373538255931</v>
      </c>
      <c r="Z13" t="n">
        <v>93.6560307383896</v>
      </c>
      <c r="AA13" t="n">
        <v>93.6560307383896</v>
      </c>
      <c r="AB13" t="n">
        <v>89.909789508854</v>
      </c>
      <c r="AC13" t="n">
        <v>95.1219512195122</v>
      </c>
      <c r="AD13" t="n">
        <v>100</v>
      </c>
      <c r="AE13" t="n">
        <v>100</v>
      </c>
      <c r="AF13" t="n">
        <v>112.121212121212</v>
      </c>
    </row>
    <row r="14">
      <c r="A14" t="s">
        <v>84</v>
      </c>
      <c r="B14" t="s">
        <v>298</v>
      </c>
      <c r="C14" t="s">
        <v>203</v>
      </c>
      <c r="D14" t="s">
        <v>299</v>
      </c>
      <c r="E14" t="s">
        <v>204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e">
        <v>#NUM!</v>
      </c>
      <c r="M14" t="n">
        <v>0</v>
      </c>
      <c r="N14" t="n">
        <v>0</v>
      </c>
      <c r="O14" t="n">
        <v>0</v>
      </c>
      <c r="P14" t="n">
        <v>0</v>
      </c>
      <c r="Q14" t="e">
        <v>#NUM!</v>
      </c>
      <c r="R14" t="e">
        <v>#NUM!</v>
      </c>
      <c r="S14" t="e">
        <v>#NUM!</v>
      </c>
      <c r="T14" t="n">
        <v>0</v>
      </c>
      <c r="U14" t="n">
        <v>0</v>
      </c>
      <c r="V14" t="e">
        <v>#NUM!</v>
      </c>
      <c r="W14" t="e">
        <v>#NUM!</v>
      </c>
      <c r="X14" t="e">
        <v>#NUM!</v>
      </c>
      <c r="Y14" t="n">
        <v>0</v>
      </c>
      <c r="Z14" t="e">
        <v>#NUM!</v>
      </c>
      <c r="AA14" t="e">
        <v>#NUM!</v>
      </c>
      <c r="AB14" t="e">
        <v>#NUM!</v>
      </c>
      <c r="AC14" t="n">
        <v>0</v>
      </c>
      <c r="AD14" t="n">
        <v>97.7777777777778</v>
      </c>
      <c r="AE14" t="n">
        <v>100</v>
      </c>
      <c r="AF14" t="n">
        <v>0</v>
      </c>
    </row>
    <row r="15">
      <c r="A15" t="s">
        <v>84</v>
      </c>
      <c r="B15" t="s">
        <v>300</v>
      </c>
      <c r="C15" t="s">
        <v>203</v>
      </c>
      <c r="D15" t="s">
        <v>301</v>
      </c>
      <c r="E15" t="s">
        <v>204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e">
        <v>#NUM!</v>
      </c>
      <c r="M15" t="n">
        <v>0</v>
      </c>
      <c r="N15" t="n">
        <v>0</v>
      </c>
      <c r="O15" t="n">
        <v>0</v>
      </c>
      <c r="P15" t="n">
        <v>0</v>
      </c>
      <c r="Q15" t="e">
        <v>#NUM!</v>
      </c>
      <c r="R15" t="e">
        <v>#NUM!</v>
      </c>
      <c r="S15" t="e">
        <v>#NUM!</v>
      </c>
      <c r="T15" t="e">
        <v>#NUM!</v>
      </c>
      <c r="U15" t="n">
        <v>0</v>
      </c>
      <c r="V15" t="n">
        <v>98.5074626865672</v>
      </c>
      <c r="W15" t="n">
        <v>98.5074626865672</v>
      </c>
      <c r="X15" t="n">
        <v>98.5074626865672</v>
      </c>
      <c r="Y15" t="n">
        <v>98.5074626865672</v>
      </c>
      <c r="Z15" t="n">
        <v>98.5074626865672</v>
      </c>
      <c r="AA15" t="n">
        <v>98.5074626865672</v>
      </c>
      <c r="AB15" t="n">
        <v>98.5074626865672</v>
      </c>
      <c r="AC15" t="n">
        <v>98.5074626865672</v>
      </c>
      <c r="AD15" t="n">
        <v>98.5074626865672</v>
      </c>
      <c r="AE15" t="n">
        <v>100</v>
      </c>
      <c r="AF15" t="n">
        <v>100</v>
      </c>
    </row>
    <row r="16">
      <c r="A16" t="s">
        <v>84</v>
      </c>
      <c r="B16" t="s">
        <v>302</v>
      </c>
      <c r="C16" t="s">
        <v>203</v>
      </c>
      <c r="D16" t="s">
        <v>303</v>
      </c>
      <c r="E16" t="s">
        <v>204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e">
        <v>#NUM!</v>
      </c>
      <c r="R16" t="e">
        <v>#NUM!</v>
      </c>
      <c r="S16" t="e">
        <v>#NUM!</v>
      </c>
      <c r="T16" t="e">
        <v>#NUM!</v>
      </c>
      <c r="U16" t="n">
        <v>0</v>
      </c>
      <c r="V16" t="e">
        <v>#NUM!</v>
      </c>
      <c r="W16" t="n">
        <v>0</v>
      </c>
      <c r="X16" t="n">
        <v>0</v>
      </c>
      <c r="Y16" t="n">
        <v>102.857142857143</v>
      </c>
      <c r="Z16" t="n">
        <v>102.857142857143</v>
      </c>
      <c r="AA16" t="n">
        <v>102.857142857143</v>
      </c>
      <c r="AB16" t="n">
        <v>100</v>
      </c>
      <c r="AC16" t="n">
        <v>100</v>
      </c>
      <c r="AD16" t="n">
        <v>100</v>
      </c>
      <c r="AE16" t="n">
        <v>100</v>
      </c>
      <c r="AF16" t="n">
        <v>100</v>
      </c>
    </row>
    <row r="17">
      <c r="A17" t="s">
        <v>84</v>
      </c>
      <c r="B17" t="s">
        <v>304</v>
      </c>
      <c r="C17" t="s">
        <v>203</v>
      </c>
      <c r="D17" t="s">
        <v>305</v>
      </c>
      <c r="E17" t="s">
        <v>204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e">
        <v>#NUM!</v>
      </c>
      <c r="L17" t="e">
        <v>#NUM!</v>
      </c>
      <c r="M17" t="e">
        <v>#NUM!</v>
      </c>
      <c r="N17" t="e">
        <v>#NUM!</v>
      </c>
      <c r="O17" t="e">
        <v>#NUM!</v>
      </c>
      <c r="P17" t="e">
        <v>#NUM!</v>
      </c>
      <c r="Q17" t="e">
        <v>#NUM!</v>
      </c>
      <c r="R17" t="e">
        <v>#NUM!</v>
      </c>
      <c r="S17" t="e">
        <v>#NUM!</v>
      </c>
      <c r="T17" t="e">
        <v>#NUM!</v>
      </c>
      <c r="U17" t="n">
        <v>0</v>
      </c>
      <c r="V17" t="e">
        <v>#NUM!</v>
      </c>
      <c r="W17" t="n">
        <v>0</v>
      </c>
      <c r="X17" t="n">
        <v>0</v>
      </c>
      <c r="Y17" t="n">
        <v>58.1196581196581</v>
      </c>
      <c r="Z17" t="n">
        <v>65.3846153846154</v>
      </c>
      <c r="AA17" t="n">
        <v>65.3846153846154</v>
      </c>
      <c r="AB17" t="n">
        <v>65.3846153846154</v>
      </c>
      <c r="AC17" t="n">
        <v>69.2307692307692</v>
      </c>
      <c r="AD17" t="n">
        <v>92.3076923076923</v>
      </c>
      <c r="AE17" t="n">
        <v>100</v>
      </c>
      <c r="AF17" t="n">
        <v>116.666666666667</v>
      </c>
    </row>
    <row r="18">
      <c r="A18" t="s">
        <v>84</v>
      </c>
      <c r="B18" t="s">
        <v>306</v>
      </c>
      <c r="C18" t="s">
        <v>203</v>
      </c>
      <c r="D18" t="s">
        <v>307</v>
      </c>
      <c r="E18" t="s">
        <v>204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e">
        <v>#NUM!</v>
      </c>
      <c r="R18" t="e">
        <v>#NUM!</v>
      </c>
      <c r="S18" t="n">
        <v>0</v>
      </c>
      <c r="T18" t="n">
        <v>0</v>
      </c>
      <c r="U18" t="n">
        <v>0</v>
      </c>
      <c r="V18" t="e">
        <v>#NUM!</v>
      </c>
      <c r="W18" t="n">
        <v>0</v>
      </c>
      <c r="X18" t="n">
        <v>0</v>
      </c>
      <c r="Y18" t="e">
        <v>#NUM!</v>
      </c>
      <c r="Z18" t="e">
        <v>#NUM!</v>
      </c>
      <c r="AA18" t="n">
        <v>0</v>
      </c>
      <c r="AB18" t="n">
        <v>0</v>
      </c>
      <c r="AC18" t="n">
        <v>0</v>
      </c>
      <c r="AD18" t="n">
        <v>0</v>
      </c>
      <c r="AE18" t="n">
        <v>100</v>
      </c>
      <c r="AF18" t="n">
        <v>115.384615384615</v>
      </c>
    </row>
    <row r="19">
      <c r="A19" t="s">
        <v>84</v>
      </c>
      <c r="B19" t="s">
        <v>308</v>
      </c>
      <c r="C19" t="s">
        <v>203</v>
      </c>
      <c r="D19" t="s">
        <v>309</v>
      </c>
      <c r="E19" t="s">
        <v>204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e">
        <v>#NUM!</v>
      </c>
      <c r="M19" t="n">
        <v>0</v>
      </c>
      <c r="N19" t="e">
        <v>#NUM!</v>
      </c>
      <c r="O19" t="n">
        <v>0</v>
      </c>
      <c r="P19" t="e">
        <v>#NUM!</v>
      </c>
      <c r="Q19" t="e">
        <v>#NUM!</v>
      </c>
      <c r="R19" t="e">
        <v>#NUM!</v>
      </c>
      <c r="S19" t="e">
        <v>#NUM!</v>
      </c>
      <c r="T19" t="e">
        <v>#NUM!</v>
      </c>
      <c r="U19" t="n">
        <v>0</v>
      </c>
      <c r="V19" t="e">
        <v>#NUM!</v>
      </c>
      <c r="W19" t="e">
        <v>#NUM!</v>
      </c>
      <c r="X19" t="e">
        <v>#NUM!</v>
      </c>
      <c r="Y19" t="e">
        <v>#NUM!</v>
      </c>
      <c r="Z19" t="e">
        <v>#NUM!</v>
      </c>
      <c r="AA19" t="n">
        <v>0</v>
      </c>
      <c r="AB19" t="n">
        <v>84.8484848484848</v>
      </c>
      <c r="AC19" t="n">
        <v>93.3333333333333</v>
      </c>
      <c r="AD19" t="n">
        <v>100</v>
      </c>
      <c r="AE19" t="n">
        <v>100</v>
      </c>
      <c r="AF19" t="n">
        <v>109.090909090909</v>
      </c>
    </row>
    <row r="20">
      <c r="A20" t="s">
        <v>84</v>
      </c>
      <c r="B20" t="s">
        <v>310</v>
      </c>
      <c r="C20" t="s">
        <v>203</v>
      </c>
      <c r="D20" t="s">
        <v>311</v>
      </c>
      <c r="E20" t="s">
        <v>204</v>
      </c>
      <c r="F20" t="e">
        <v>#NUM!</v>
      </c>
      <c r="G20" t="e">
        <v>#NUM!</v>
      </c>
      <c r="H20" t="e">
        <v>#NUM!</v>
      </c>
      <c r="I20" t="e">
        <v>#NUM!</v>
      </c>
      <c r="J20" t="e">
        <v>#NUM!</v>
      </c>
      <c r="K20" t="n">
        <v>0</v>
      </c>
      <c r="L20" t="n">
        <v>0</v>
      </c>
      <c r="M20" t="e">
        <v>#NUM!</v>
      </c>
      <c r="N20" t="e">
        <v>#NUM!</v>
      </c>
      <c r="O20" t="e">
        <v>#NUM!</v>
      </c>
      <c r="P20" t="e">
        <v>#NUM!</v>
      </c>
      <c r="Q20" t="e">
        <v>#NUM!</v>
      </c>
      <c r="R20" t="e">
        <v>#NUM!</v>
      </c>
      <c r="S20" t="e">
        <v>#NUM!</v>
      </c>
      <c r="T20" t="e">
        <v>#NUM!</v>
      </c>
      <c r="U20" t="n">
        <v>0</v>
      </c>
      <c r="V20" t="n">
        <v>91.0262417994377</v>
      </c>
      <c r="W20" t="n">
        <v>91.0262417994377</v>
      </c>
      <c r="X20" t="n">
        <v>91.0262417994377</v>
      </c>
      <c r="Y20" t="n">
        <v>91.0262417994377</v>
      </c>
      <c r="Z20" t="n">
        <v>91.0262417994377</v>
      </c>
      <c r="AA20" t="n">
        <v>91.0262417994377</v>
      </c>
      <c r="AB20" t="n">
        <v>91.0262417994377</v>
      </c>
      <c r="AC20" t="n">
        <v>95.4545454545455</v>
      </c>
      <c r="AD20" t="n">
        <v>100</v>
      </c>
      <c r="AE20" t="n">
        <v>100</v>
      </c>
      <c r="AF20" t="n">
        <v>111.627906976744</v>
      </c>
    </row>
    <row r="21">
      <c r="A21" t="s">
        <v>84</v>
      </c>
      <c r="B21" t="s">
        <v>312</v>
      </c>
      <c r="C21" t="s">
        <v>203</v>
      </c>
      <c r="D21" t="s">
        <v>313</v>
      </c>
      <c r="E21" t="s">
        <v>204</v>
      </c>
      <c r="F21" t="e">
        <v>#NUM!</v>
      </c>
      <c r="G21" t="e">
        <v>#NUM!</v>
      </c>
      <c r="H21" t="e">
        <v>#NUM!</v>
      </c>
      <c r="I21" t="e">
        <v>#NUM!</v>
      </c>
      <c r="J21" t="e">
        <v>#NUM!</v>
      </c>
      <c r="K21" t="n">
        <v>0</v>
      </c>
      <c r="L21" t="n">
        <v>0</v>
      </c>
      <c r="M21" t="e">
        <v>#NUM!</v>
      </c>
      <c r="N21" t="e">
        <v>#NUM!</v>
      </c>
      <c r="O21" t="e">
        <v>#NUM!</v>
      </c>
      <c r="P21" t="e">
        <v>#NUM!</v>
      </c>
      <c r="Q21" t="e">
        <v>#NUM!</v>
      </c>
      <c r="R21" t="e">
        <v>#NUM!</v>
      </c>
      <c r="S21" t="e">
        <v>#NUM!</v>
      </c>
      <c r="T21" t="e">
        <v>#NUM!</v>
      </c>
      <c r="U21" t="n">
        <v>0</v>
      </c>
      <c r="V21" t="n">
        <v>85.8883248730965</v>
      </c>
      <c r="W21" t="n">
        <v>85.8883248730965</v>
      </c>
      <c r="X21" t="n">
        <v>85.8883248730965</v>
      </c>
      <c r="Y21" t="n">
        <v>85.8883248730965</v>
      </c>
      <c r="Z21" t="n">
        <v>95.4314720812183</v>
      </c>
      <c r="AA21" t="n">
        <v>95.4314720812183</v>
      </c>
      <c r="AB21" t="n">
        <v>95.4314720812183</v>
      </c>
      <c r="AC21" t="n">
        <v>100</v>
      </c>
      <c r="AD21" t="n">
        <v>100</v>
      </c>
      <c r="AE21" t="n">
        <v>100</v>
      </c>
      <c r="AF21" t="n">
        <v>112.820512820513</v>
      </c>
    </row>
    <row r="22">
      <c r="A22" t="s">
        <v>84</v>
      </c>
      <c r="B22" t="s">
        <v>314</v>
      </c>
      <c r="C22" t="s">
        <v>203</v>
      </c>
      <c r="D22" t="s">
        <v>315</v>
      </c>
      <c r="E22" t="s">
        <v>204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e">
        <v>#NUM!</v>
      </c>
      <c r="N22" t="e">
        <v>#NUM!</v>
      </c>
      <c r="O22" t="n">
        <v>0</v>
      </c>
      <c r="P22" t="n">
        <v>0</v>
      </c>
      <c r="Q22" t="n">
        <v>0</v>
      </c>
      <c r="R22" t="e">
        <v>#NUM!</v>
      </c>
      <c r="S22" t="n">
        <v>0</v>
      </c>
      <c r="T22" t="n">
        <v>0</v>
      </c>
      <c r="U22" t="n">
        <v>0</v>
      </c>
      <c r="V22" t="e">
        <v>#NUM!</v>
      </c>
      <c r="W22" t="n">
        <v>0</v>
      </c>
      <c r="X22" t="n">
        <v>0</v>
      </c>
      <c r="Y22" t="n">
        <v>82.6446280991735</v>
      </c>
      <c r="Z22" t="n">
        <v>90.9090909090909</v>
      </c>
      <c r="AA22" t="n">
        <v>90.9090909090909</v>
      </c>
      <c r="AB22" t="n">
        <v>90.9090909090909</v>
      </c>
      <c r="AC22" t="n">
        <v>90.9090909090909</v>
      </c>
      <c r="AD22" t="n">
        <v>100</v>
      </c>
      <c r="AE22" t="n">
        <v>100</v>
      </c>
      <c r="AF22" t="n">
        <v>100</v>
      </c>
    </row>
    <row r="23">
      <c r="A23" t="s">
        <v>84</v>
      </c>
      <c r="B23" t="s">
        <v>316</v>
      </c>
      <c r="C23" t="s">
        <v>203</v>
      </c>
      <c r="D23" t="s">
        <v>317</v>
      </c>
      <c r="E23" t="s">
        <v>204</v>
      </c>
      <c r="F23" t="n">
        <v>2.25564672408637</v>
      </c>
      <c r="G23" t="n">
        <v>3.19549952578902</v>
      </c>
      <c r="H23" t="n">
        <v>24.1148743283381</v>
      </c>
      <c r="I23" t="n">
        <v>43.0713175339477</v>
      </c>
      <c r="J23" t="n">
        <v>38.1895983343943</v>
      </c>
      <c r="K23" t="n">
        <v>38.7234199493565</v>
      </c>
      <c r="L23" t="n">
        <v>44.7876051570859</v>
      </c>
      <c r="M23" t="n">
        <v>46.8205558410808</v>
      </c>
      <c r="N23" t="n">
        <v>48.1280605738858</v>
      </c>
      <c r="O23" t="n">
        <v>50.8759793728541</v>
      </c>
      <c r="P23" t="n">
        <v>55.7871563882281</v>
      </c>
      <c r="Q23" t="n">
        <v>60.2539801124254</v>
      </c>
      <c r="R23" t="n">
        <v>69.2126133599607</v>
      </c>
      <c r="S23" t="n">
        <v>76.0573542568418</v>
      </c>
      <c r="T23" t="n">
        <v>76.5056131206541</v>
      </c>
      <c r="U23" t="n">
        <v>75.9836929899559</v>
      </c>
      <c r="V23" t="n">
        <v>79.7271367063722</v>
      </c>
      <c r="W23" t="n">
        <v>84.7969579995004</v>
      </c>
      <c r="X23" t="n">
        <v>89.1863980152108</v>
      </c>
      <c r="Y23" t="n">
        <v>87.3346747776224</v>
      </c>
      <c r="Z23" t="n">
        <v>91.8521336165475</v>
      </c>
      <c r="AA23" t="n">
        <v>92.2942898209342</v>
      </c>
      <c r="AB23" t="n">
        <v>88.6895530767163</v>
      </c>
      <c r="AC23" t="n">
        <v>92.9888368619823</v>
      </c>
      <c r="AD23" t="n">
        <v>98.0339054586382</v>
      </c>
      <c r="AE23" t="n">
        <v>100</v>
      </c>
      <c r="AF23" t="n">
        <v>110.260764557153</v>
      </c>
    </row>
    <row r="24">
      <c r="A24" t="s">
        <v>84</v>
      </c>
      <c r="B24" t="s">
        <v>318</v>
      </c>
      <c r="C24" t="s">
        <v>203</v>
      </c>
      <c r="D24" t="s">
        <v>319</v>
      </c>
      <c r="E24" t="s">
        <v>204</v>
      </c>
      <c r="F24" t="n">
        <v>2.49523911871027</v>
      </c>
      <c r="G24" t="n">
        <v>3.56462731244324</v>
      </c>
      <c r="H24" t="n">
        <v>26.7347048433243</v>
      </c>
      <c r="I24" t="n">
        <v>47.5153924507991</v>
      </c>
      <c r="J24" t="n">
        <v>42.3404487185338</v>
      </c>
      <c r="K24" t="n">
        <v>42.9540784101068</v>
      </c>
      <c r="L24" t="n">
        <v>49.5623981655078</v>
      </c>
      <c r="M24" t="n">
        <v>51.8152344457582</v>
      </c>
      <c r="N24" t="n">
        <v>53.1998890933945</v>
      </c>
      <c r="O24" t="n">
        <v>56.1752743894456</v>
      </c>
      <c r="P24" t="n">
        <v>61.6115912658436</v>
      </c>
      <c r="Q24" t="n">
        <v>66.5557313056952</v>
      </c>
      <c r="R24" t="n">
        <v>76.4221764778335</v>
      </c>
      <c r="S24" t="n">
        <v>83.9804137119049</v>
      </c>
      <c r="T24" t="n">
        <v>84.3887463555608</v>
      </c>
      <c r="U24" t="n">
        <v>83.864592651489</v>
      </c>
      <c r="V24" t="n">
        <v>87.9374867758439</v>
      </c>
      <c r="W24" t="n">
        <v>89.7888022869143</v>
      </c>
      <c r="X24" t="n">
        <v>88.8535022630923</v>
      </c>
      <c r="Y24" t="n">
        <v>87.1642721820449</v>
      </c>
      <c r="Z24" t="n">
        <v>91.6727690190472</v>
      </c>
      <c r="AA24" t="n">
        <v>92.4630515105907</v>
      </c>
      <c r="AB24" t="n">
        <v>88.8319639337372</v>
      </c>
      <c r="AC24" t="n">
        <v>92.8697804761798</v>
      </c>
      <c r="AD24" t="n">
        <v>97.9966611018364</v>
      </c>
      <c r="AE24" t="n">
        <v>100</v>
      </c>
      <c r="AF24" t="n">
        <v>110.227272727273</v>
      </c>
    </row>
    <row r="25">
      <c r="A25" t="s">
        <v>84</v>
      </c>
      <c r="B25" t="s">
        <v>320</v>
      </c>
      <c r="C25" t="s">
        <v>203</v>
      </c>
      <c r="D25" t="s">
        <v>321</v>
      </c>
      <c r="E25" t="s">
        <v>204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56.1764912792295</v>
      </c>
      <c r="M25" t="n">
        <v>56.1764912792295</v>
      </c>
      <c r="N25" t="n">
        <v>56.1764912792295</v>
      </c>
      <c r="O25" t="n">
        <v>59.1331487149785</v>
      </c>
      <c r="P25" t="n">
        <v>65.7034985721983</v>
      </c>
      <c r="Q25" t="n">
        <v>71.0308092672414</v>
      </c>
      <c r="R25" t="n">
        <v>81.1780677339902</v>
      </c>
      <c r="S25" t="n">
        <v>88.9622660098522</v>
      </c>
      <c r="T25" t="n">
        <v>88.9622660098522</v>
      </c>
      <c r="U25" t="n">
        <v>88.9622660098522</v>
      </c>
      <c r="V25" t="n">
        <v>92.3838916256158</v>
      </c>
      <c r="W25" t="n">
        <v>92.3838916256158</v>
      </c>
      <c r="X25" t="n">
        <v>92.3838916256158</v>
      </c>
      <c r="Y25" t="n">
        <v>92.3838916256158</v>
      </c>
      <c r="Z25" t="n">
        <v>92.3838916256158</v>
      </c>
      <c r="AA25" t="n">
        <v>92.3838916256158</v>
      </c>
      <c r="AB25" t="n">
        <v>88.8306650246305</v>
      </c>
      <c r="AC25" t="n">
        <v>92.1206896551724</v>
      </c>
      <c r="AD25" t="n">
        <v>97.5</v>
      </c>
      <c r="AE25" t="n">
        <v>100</v>
      </c>
      <c r="AF25" t="n">
        <v>110.10101010101</v>
      </c>
    </row>
    <row r="26">
      <c r="A26" t="s">
        <v>84</v>
      </c>
      <c r="B26" t="s">
        <v>322</v>
      </c>
      <c r="C26" t="s">
        <v>203</v>
      </c>
      <c r="D26" t="s">
        <v>323</v>
      </c>
      <c r="E26" t="s">
        <v>204</v>
      </c>
      <c r="F26" t="n">
        <v>1.94702322421461</v>
      </c>
      <c r="G26" t="n">
        <v>3.89404644842923</v>
      </c>
      <c r="H26" t="n">
        <v>28.2318367511119</v>
      </c>
      <c r="I26" t="n">
        <v>49.8208883843151</v>
      </c>
      <c r="J26" t="n">
        <v>44.2852341193912</v>
      </c>
      <c r="K26" t="n">
        <v>45.4207529429654</v>
      </c>
      <c r="L26" t="n">
        <v>52.408561088037</v>
      </c>
      <c r="M26" t="n">
        <v>54.8461685805038</v>
      </c>
      <c r="N26" t="n">
        <v>56.328497461058</v>
      </c>
      <c r="O26" t="n">
        <v>59.4291486974465</v>
      </c>
      <c r="P26" t="n">
        <v>65.0684109826056</v>
      </c>
      <c r="Q26" t="n">
        <v>70.2616644413112</v>
      </c>
      <c r="R26" t="n">
        <v>80.6600020557238</v>
      </c>
      <c r="S26" t="n">
        <v>88.6547618276847</v>
      </c>
      <c r="T26" t="n">
        <v>89.150039826722</v>
      </c>
      <c r="U26" t="n">
        <v>88.6286945645774</v>
      </c>
      <c r="V26" t="n">
        <v>93.089870465479</v>
      </c>
      <c r="W26" t="n">
        <v>94.7088247344438</v>
      </c>
      <c r="X26" t="n">
        <v>93.8923693488021</v>
      </c>
      <c r="Y26" t="n">
        <v>91.6299026175056</v>
      </c>
      <c r="Z26" t="n">
        <v>91.6299026175056</v>
      </c>
      <c r="AA26" t="n">
        <v>92.5371293760948</v>
      </c>
      <c r="AB26" t="n">
        <v>88.9082223417381</v>
      </c>
      <c r="AC26" t="n">
        <v>92.872283210478</v>
      </c>
      <c r="AD26" t="n">
        <v>98.0821917808219</v>
      </c>
      <c r="AE26" t="n">
        <v>100</v>
      </c>
      <c r="AF26" t="n">
        <v>110.290237467018</v>
      </c>
    </row>
    <row r="27">
      <c r="A27" t="s">
        <v>84</v>
      </c>
      <c r="B27" t="s">
        <v>324</v>
      </c>
      <c r="C27" t="s">
        <v>203</v>
      </c>
      <c r="D27" t="s">
        <v>325</v>
      </c>
      <c r="E27" t="s">
        <v>204</v>
      </c>
      <c r="F27" t="n">
        <v>2.31000628921996</v>
      </c>
      <c r="G27" t="n">
        <v>3.46500943382994</v>
      </c>
      <c r="H27" t="n">
        <v>26.145071182535</v>
      </c>
      <c r="I27" t="n">
        <v>46.5248189761007</v>
      </c>
      <c r="J27" t="n">
        <v>42.2952899782734</v>
      </c>
      <c r="K27" t="n">
        <v>42.2952899782734</v>
      </c>
      <c r="L27" t="n">
        <v>48.9734936590534</v>
      </c>
      <c r="M27" t="n">
        <v>51.5510459568983</v>
      </c>
      <c r="N27" t="n">
        <v>52.9527360282339</v>
      </c>
      <c r="O27" t="n">
        <v>55.9786066584187</v>
      </c>
      <c r="P27" t="n">
        <v>62.1984518426874</v>
      </c>
      <c r="Q27" t="n">
        <v>67.2415695596621</v>
      </c>
      <c r="R27" t="n">
        <v>77.2702633081691</v>
      </c>
      <c r="S27" t="n">
        <v>84.9123772617243</v>
      </c>
      <c r="T27" t="n">
        <v>85.3390726248486</v>
      </c>
      <c r="U27" t="n">
        <v>84.4941313117313</v>
      </c>
      <c r="V27" t="n">
        <v>88.4240909076258</v>
      </c>
      <c r="W27" t="n">
        <v>91.4731974906473</v>
      </c>
      <c r="X27" t="n">
        <v>89.9228043128397</v>
      </c>
      <c r="Y27" t="n">
        <v>88.3812705246197</v>
      </c>
      <c r="Z27" t="n">
        <v>92.8003340508506</v>
      </c>
      <c r="AA27" t="n">
        <v>92.8003340508506</v>
      </c>
      <c r="AB27" t="n">
        <v>89.1467775921557</v>
      </c>
      <c r="AC27" t="n">
        <v>93.7419723134009</v>
      </c>
      <c r="AD27" t="n">
        <v>98.051948051948</v>
      </c>
      <c r="AE27" t="n">
        <v>100</v>
      </c>
      <c r="AF27" t="n">
        <v>110.176991150442</v>
      </c>
    </row>
    <row r="28">
      <c r="A28" t="s">
        <v>84</v>
      </c>
      <c r="B28" t="s">
        <v>326</v>
      </c>
      <c r="C28" t="s">
        <v>203</v>
      </c>
      <c r="D28" t="s">
        <v>327</v>
      </c>
      <c r="E28" t="s">
        <v>204</v>
      </c>
      <c r="F28" t="e">
        <v>#NUM!</v>
      </c>
      <c r="G28" t="e">
        <v>#NUM!</v>
      </c>
      <c r="H28" t="e">
        <v>#NUM!</v>
      </c>
      <c r="I28" t="e">
        <v>#NUM!</v>
      </c>
      <c r="J28" t="n">
        <v>0</v>
      </c>
      <c r="K28" t="n">
        <v>43.5315830837928</v>
      </c>
      <c r="L28" t="n">
        <v>50.4413581764584</v>
      </c>
      <c r="M28" t="n">
        <v>53.0961665015351</v>
      </c>
      <c r="N28" t="n">
        <v>55.8907015805633</v>
      </c>
      <c r="O28" t="n">
        <v>59.8828945506035</v>
      </c>
      <c r="P28" t="n">
        <v>66.5365495006706</v>
      </c>
      <c r="Q28" t="n">
        <v>72.1480657236187</v>
      </c>
      <c r="R28" t="n">
        <v>82.4549322555642</v>
      </c>
      <c r="S28" t="n">
        <v>90.3615695951389</v>
      </c>
      <c r="T28" t="n">
        <v>91.1905748207824</v>
      </c>
      <c r="U28" t="n">
        <v>90.4944635626084</v>
      </c>
      <c r="V28" t="n">
        <v>97.1977571598387</v>
      </c>
      <c r="W28" t="n">
        <v>97.1977571598387</v>
      </c>
      <c r="X28" t="n">
        <v>97.1977571598387</v>
      </c>
      <c r="Y28" t="n">
        <v>87.4779814438549</v>
      </c>
      <c r="Z28" t="n">
        <v>92.6237450581993</v>
      </c>
      <c r="AA28" t="n">
        <v>92.6237450581993</v>
      </c>
      <c r="AB28" t="n">
        <v>88.812068306833</v>
      </c>
      <c r="AC28" t="n">
        <v>93.215972520395</v>
      </c>
      <c r="AD28" t="n">
        <v>98.2352941176471</v>
      </c>
      <c r="AE28" t="n">
        <v>100</v>
      </c>
      <c r="AF28" t="n">
        <v>116.666666666667</v>
      </c>
    </row>
    <row r="29">
      <c r="A29" t="s">
        <v>84</v>
      </c>
      <c r="B29" t="s">
        <v>328</v>
      </c>
      <c r="C29" t="s">
        <v>203</v>
      </c>
      <c r="D29" t="s">
        <v>329</v>
      </c>
      <c r="E29" t="s">
        <v>204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43.9170072115384</v>
      </c>
      <c r="L29" t="n">
        <v>51.6670673076923</v>
      </c>
      <c r="M29" t="n">
        <v>51.6670673076923</v>
      </c>
      <c r="N29" t="n">
        <v>51.6670673076923</v>
      </c>
      <c r="O29" t="n">
        <v>55.3575721153846</v>
      </c>
      <c r="P29" t="n">
        <v>61.5084134615384</v>
      </c>
      <c r="Q29" t="n">
        <v>66.8569711538461</v>
      </c>
      <c r="R29" t="n">
        <v>76.407967032967</v>
      </c>
      <c r="S29" t="n">
        <v>83.3541458541458</v>
      </c>
      <c r="T29" t="n">
        <v>84.2907092907093</v>
      </c>
      <c r="U29" t="n">
        <v>84.2907092907093</v>
      </c>
      <c r="V29" t="n">
        <v>92.7197802197802</v>
      </c>
      <c r="W29" t="n">
        <v>92.7197802197802</v>
      </c>
      <c r="X29" t="n">
        <v>92.7197802197802</v>
      </c>
      <c r="Y29" t="n">
        <v>92.7197802197802</v>
      </c>
      <c r="Z29" t="n">
        <v>98.9010989010989</v>
      </c>
      <c r="AA29" t="n">
        <v>98.9010989010989</v>
      </c>
      <c r="AB29" t="n">
        <v>95.2380952380952</v>
      </c>
      <c r="AC29" t="n">
        <v>100</v>
      </c>
      <c r="AD29" t="n">
        <v>100</v>
      </c>
      <c r="AE29" t="n">
        <v>100</v>
      </c>
      <c r="AF29" t="n">
        <v>110.280373831776</v>
      </c>
    </row>
    <row r="30">
      <c r="A30" t="s">
        <v>84</v>
      </c>
      <c r="B30" t="s">
        <v>330</v>
      </c>
      <c r="C30" t="s">
        <v>203</v>
      </c>
      <c r="D30" t="s">
        <v>331</v>
      </c>
      <c r="E30" t="s">
        <v>204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e">
        <v>#NUM!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e">
        <v>#NUM!</v>
      </c>
      <c r="AE30" t="n">
        <v>0</v>
      </c>
      <c r="AF30" t="n">
        <v>0</v>
      </c>
    </row>
    <row r="31">
      <c r="A31" t="s">
        <v>84</v>
      </c>
      <c r="B31" t="s">
        <v>332</v>
      </c>
      <c r="C31" t="s">
        <v>203</v>
      </c>
      <c r="D31" t="s">
        <v>333</v>
      </c>
      <c r="E31" t="s">
        <v>204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e">
        <v>#NUM!</v>
      </c>
      <c r="S31" t="n">
        <v>0</v>
      </c>
      <c r="T31" t="n">
        <v>0</v>
      </c>
      <c r="U31" t="n">
        <v>0</v>
      </c>
      <c r="V31" t="n">
        <v>0</v>
      </c>
      <c r="W31" t="e">
        <v>#NUM!</v>
      </c>
      <c r="X31" t="e">
        <v>#NUM!</v>
      </c>
      <c r="Y31" t="n">
        <v>0</v>
      </c>
      <c r="Z31" t="e">
        <v>#NUM!</v>
      </c>
      <c r="AA31" t="e">
        <v>#NUM!</v>
      </c>
      <c r="AB31" t="e">
        <v>#NUM!</v>
      </c>
      <c r="AC31" t="n">
        <v>0</v>
      </c>
      <c r="AD31" t="n">
        <v>98.4375</v>
      </c>
      <c r="AE31" t="n">
        <v>100</v>
      </c>
      <c r="AF31" t="n">
        <v>0</v>
      </c>
    </row>
    <row r="32">
      <c r="A32" t="s">
        <v>84</v>
      </c>
      <c r="B32" t="s">
        <v>334</v>
      </c>
      <c r="C32" t="s">
        <v>203</v>
      </c>
      <c r="D32" t="s">
        <v>335</v>
      </c>
      <c r="E32" t="s">
        <v>204</v>
      </c>
      <c r="F32" t="e">
        <v>#NUM!</v>
      </c>
      <c r="G32" t="e">
        <v>#NUM!</v>
      </c>
      <c r="H32" t="e">
        <v>#NUM!</v>
      </c>
      <c r="I32" t="e">
        <v>#NUM!</v>
      </c>
      <c r="J32" t="n">
        <v>0</v>
      </c>
      <c r="K32" t="e">
        <v>#NUM!</v>
      </c>
      <c r="L32" t="e">
        <v>#NUM!</v>
      </c>
      <c r="M32" t="e">
        <v>#NUM!</v>
      </c>
      <c r="N32" t="e">
        <v>#NUM!</v>
      </c>
      <c r="O32" t="n">
        <v>0</v>
      </c>
      <c r="P32" t="n">
        <v>68.3834839164841</v>
      </c>
      <c r="Q32" t="n">
        <v>73.9280907205233</v>
      </c>
      <c r="R32" t="n">
        <v>85.3016431390654</v>
      </c>
      <c r="S32" t="n">
        <v>94.7796034878504</v>
      </c>
      <c r="T32" t="n">
        <v>94.7796034878504</v>
      </c>
      <c r="U32" t="n">
        <v>93.7380693835883</v>
      </c>
      <c r="V32" t="n">
        <v>93.7380693835883</v>
      </c>
      <c r="W32" t="n">
        <v>93.7380693835883</v>
      </c>
      <c r="X32" t="n">
        <v>93.7380693835883</v>
      </c>
      <c r="Y32" t="n">
        <v>89.6625011495193</v>
      </c>
      <c r="Z32" t="n">
        <v>89.6625011495193</v>
      </c>
      <c r="AA32" t="n">
        <v>89.6625011495193</v>
      </c>
      <c r="AB32" t="n">
        <v>83.6850010728846</v>
      </c>
      <c r="AC32" t="n">
        <v>87.9765395894428</v>
      </c>
      <c r="AD32" t="n">
        <v>96.7741935483871</v>
      </c>
      <c r="AE32" t="n">
        <v>100</v>
      </c>
      <c r="AF32" t="n">
        <v>112.5</v>
      </c>
    </row>
    <row r="33">
      <c r="A33" t="s">
        <v>84</v>
      </c>
      <c r="B33" t="s">
        <v>336</v>
      </c>
      <c r="C33" t="s">
        <v>203</v>
      </c>
      <c r="D33" t="s">
        <v>337</v>
      </c>
      <c r="E33" t="s">
        <v>204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100</v>
      </c>
      <c r="AA33" t="n">
        <v>100</v>
      </c>
      <c r="AB33" t="n">
        <v>100</v>
      </c>
      <c r="AC33" t="n">
        <v>100</v>
      </c>
      <c r="AD33" t="n">
        <v>100</v>
      </c>
      <c r="AE33" t="n">
        <v>100</v>
      </c>
      <c r="AF33" t="n">
        <v>109.473684210526</v>
      </c>
    </row>
    <row r="34">
      <c r="A34" t="s">
        <v>84</v>
      </c>
      <c r="B34" t="s">
        <v>338</v>
      </c>
      <c r="C34" t="s">
        <v>203</v>
      </c>
      <c r="D34" t="s">
        <v>339</v>
      </c>
      <c r="E34" t="s">
        <v>204</v>
      </c>
      <c r="F34" t="e">
        <v>#NUM!</v>
      </c>
      <c r="G34" t="e">
        <v>#NUM!</v>
      </c>
      <c r="H34" t="e">
        <v>#NUM!</v>
      </c>
      <c r="I34" t="e">
        <v>#NUM!</v>
      </c>
      <c r="J34" t="e">
        <v>#NUM!</v>
      </c>
      <c r="K34" t="n">
        <v>0</v>
      </c>
      <c r="L34" t="n">
        <v>50.3566945183886</v>
      </c>
      <c r="M34" t="n">
        <v>53.0070468614617</v>
      </c>
      <c r="N34" t="n">
        <v>54.4736449959685</v>
      </c>
      <c r="O34" t="n">
        <v>57.3406789431248</v>
      </c>
      <c r="P34" t="n">
        <v>62.7163675940427</v>
      </c>
      <c r="Q34" t="n">
        <v>67.7336770015662</v>
      </c>
      <c r="R34" t="n">
        <v>77.7464814278846</v>
      </c>
      <c r="S34" t="n">
        <v>85.4510876955128</v>
      </c>
      <c r="T34" t="n">
        <v>86.0000240190386</v>
      </c>
      <c r="U34" t="n">
        <v>85.2892800188813</v>
      </c>
      <c r="V34" t="n">
        <v>89.3331682956386</v>
      </c>
      <c r="W34" t="n">
        <v>90.8345660821199</v>
      </c>
      <c r="X34" t="n">
        <v>89.3331682956386</v>
      </c>
      <c r="Y34" t="n">
        <v>87.6315841376264</v>
      </c>
      <c r="Z34" t="n">
        <v>92.1420333211807</v>
      </c>
      <c r="AA34" t="n">
        <v>92.3994133025248</v>
      </c>
      <c r="AB34" t="n">
        <v>88.9290128028995</v>
      </c>
      <c r="AC34" t="n">
        <v>93.2383482250664</v>
      </c>
      <c r="AD34" t="n">
        <v>98.019801980198</v>
      </c>
      <c r="AE34" t="n">
        <v>100</v>
      </c>
      <c r="AF34" t="n">
        <v>110.213414634146</v>
      </c>
    </row>
    <row r="35">
      <c r="A35" t="s">
        <v>84</v>
      </c>
      <c r="B35" t="s">
        <v>340</v>
      </c>
      <c r="C35" t="s">
        <v>203</v>
      </c>
      <c r="D35" t="s">
        <v>341</v>
      </c>
      <c r="E35" t="s">
        <v>204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e">
        <v>#NUM!</v>
      </c>
      <c r="M35" t="e">
        <v>#NUM!</v>
      </c>
      <c r="N35" t="e">
        <v>#NUM!</v>
      </c>
      <c r="O35" t="n">
        <v>0</v>
      </c>
      <c r="P35" t="n">
        <v>61.9632479012922</v>
      </c>
      <c r="Q35" t="n">
        <v>66.389194179956</v>
      </c>
      <c r="R35" t="n">
        <v>75.8733647770925</v>
      </c>
      <c r="S35" t="n">
        <v>82.986492724945</v>
      </c>
      <c r="T35" t="n">
        <v>82.986492724945</v>
      </c>
      <c r="U35" t="n">
        <v>82.986492724945</v>
      </c>
      <c r="V35" t="n">
        <v>89.9020337853571</v>
      </c>
      <c r="W35" t="n">
        <v>92.7114723411494</v>
      </c>
      <c r="X35" t="n">
        <v>89.902033785357</v>
      </c>
      <c r="Y35" t="n">
        <v>87.8588057447808</v>
      </c>
      <c r="Z35" t="n">
        <v>92.6729868814811</v>
      </c>
      <c r="AA35" t="n">
        <v>92.672986881481</v>
      </c>
      <c r="AB35" t="n">
        <v>89.9473107967316</v>
      </c>
      <c r="AC35" t="n">
        <v>93.7748559370181</v>
      </c>
      <c r="AD35" t="n">
        <v>98.1981981981982</v>
      </c>
      <c r="AE35" t="n">
        <v>100</v>
      </c>
      <c r="AF35" t="n">
        <v>110.211267605634</v>
      </c>
    </row>
    <row r="36">
      <c r="A36" t="s">
        <v>84</v>
      </c>
      <c r="B36" t="s">
        <v>342</v>
      </c>
      <c r="C36" t="s">
        <v>203</v>
      </c>
      <c r="D36" t="s">
        <v>343</v>
      </c>
      <c r="E36" t="s">
        <v>204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e">
        <v>#NUM!</v>
      </c>
      <c r="M36" t="e">
        <v>#NUM!</v>
      </c>
      <c r="N36" t="n">
        <v>0</v>
      </c>
      <c r="O36" t="n">
        <v>0</v>
      </c>
      <c r="P36" t="e">
        <v>#NUM!</v>
      </c>
      <c r="Q36" t="e">
        <v>#NUM!</v>
      </c>
      <c r="R36" t="e">
        <v>#NUM!</v>
      </c>
      <c r="S36" t="n">
        <v>0</v>
      </c>
      <c r="T36" t="e">
        <v>#NUM!</v>
      </c>
      <c r="U36" t="n">
        <v>0</v>
      </c>
      <c r="V36" t="n">
        <v>0</v>
      </c>
      <c r="W36" t="n">
        <v>95.5882352941177</v>
      </c>
      <c r="X36" t="n">
        <v>95.5882352941177</v>
      </c>
      <c r="Y36" t="n">
        <v>95.5882352941177</v>
      </c>
      <c r="Z36" t="n">
        <v>95.5882352941177</v>
      </c>
      <c r="AA36" t="n">
        <v>95.5882352941177</v>
      </c>
      <c r="AB36" t="n">
        <v>95.5882352941177</v>
      </c>
      <c r="AC36" t="n">
        <v>95.5882352941177</v>
      </c>
      <c r="AD36" t="n">
        <v>100</v>
      </c>
      <c r="AE36" t="n">
        <v>100</v>
      </c>
      <c r="AF36" t="n">
        <v>109.090909090909</v>
      </c>
    </row>
    <row r="37">
      <c r="A37" t="s">
        <v>84</v>
      </c>
      <c r="B37" t="s">
        <v>344</v>
      </c>
      <c r="C37" t="s">
        <v>203</v>
      </c>
      <c r="D37" t="s">
        <v>345</v>
      </c>
      <c r="E37" t="s">
        <v>204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e">
        <v>#NUM!</v>
      </c>
      <c r="O37" t="n">
        <v>0</v>
      </c>
      <c r="P37" t="n">
        <v>0</v>
      </c>
      <c r="Q37" t="n">
        <v>0</v>
      </c>
      <c r="R37" t="e">
        <v>#NUM!</v>
      </c>
      <c r="S37" t="n">
        <v>0</v>
      </c>
      <c r="T37" t="n">
        <v>0</v>
      </c>
      <c r="U37" t="e">
        <v>#NUM!</v>
      </c>
      <c r="V37" t="n">
        <v>0</v>
      </c>
      <c r="W37" t="n">
        <v>93</v>
      </c>
      <c r="X37" t="n">
        <v>93</v>
      </c>
      <c r="Y37" t="n">
        <v>87.1875</v>
      </c>
      <c r="Z37" t="n">
        <v>87.1875</v>
      </c>
      <c r="AA37" t="n">
        <v>87.1875</v>
      </c>
      <c r="AB37" t="n">
        <v>87.1875</v>
      </c>
      <c r="AC37" t="n">
        <v>96.875</v>
      </c>
      <c r="AD37" t="n">
        <v>96.875</v>
      </c>
      <c r="AE37" t="n">
        <v>100</v>
      </c>
      <c r="AF37" t="n">
        <v>0</v>
      </c>
    </row>
    <row r="38">
      <c r="A38" t="s">
        <v>84</v>
      </c>
      <c r="B38" t="s">
        <v>346</v>
      </c>
      <c r="C38" t="s">
        <v>203</v>
      </c>
      <c r="D38" t="s">
        <v>347</v>
      </c>
      <c r="E38" t="s">
        <v>204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e">
        <v>#NUM!</v>
      </c>
      <c r="M38" t="n">
        <v>0</v>
      </c>
      <c r="N38" t="e">
        <v>#NUM!</v>
      </c>
      <c r="O38" t="n">
        <v>0</v>
      </c>
      <c r="P38" t="n">
        <v>67.4195360085228</v>
      </c>
      <c r="Q38" t="n">
        <v>70.9679326405503</v>
      </c>
      <c r="R38" t="n">
        <v>81.1062087320576</v>
      </c>
      <c r="S38" t="n">
        <v>88.7099158006879</v>
      </c>
      <c r="T38" t="n">
        <v>88.7099158006879</v>
      </c>
      <c r="U38" t="n">
        <v>88.7099158006879</v>
      </c>
      <c r="V38" t="n">
        <v>92.4061622923833</v>
      </c>
      <c r="W38" t="n">
        <v>92.4061622923833</v>
      </c>
      <c r="X38" t="n">
        <v>92.4061622923833</v>
      </c>
      <c r="Y38" t="n">
        <v>88.9837118371098</v>
      </c>
      <c r="Z38" t="n">
        <v>94.068495370659</v>
      </c>
      <c r="AA38" t="n">
        <v>94.068495370659</v>
      </c>
      <c r="AB38" t="n">
        <v>91.3808240743544</v>
      </c>
      <c r="AC38" t="n">
        <v>94.6444249341528</v>
      </c>
      <c r="AD38" t="n">
        <v>98.5074626865672</v>
      </c>
      <c r="AE38" t="n">
        <v>100</v>
      </c>
      <c r="AF38" t="n">
        <v>110.30534351145</v>
      </c>
    </row>
    <row r="39">
      <c r="A39" t="s">
        <v>84</v>
      </c>
      <c r="B39" t="s">
        <v>348</v>
      </c>
      <c r="C39" t="s">
        <v>203</v>
      </c>
      <c r="D39" t="s">
        <v>349</v>
      </c>
      <c r="E39" t="s">
        <v>204</v>
      </c>
      <c r="F39" t="e">
        <v>#NUM!</v>
      </c>
      <c r="G39" t="e">
        <v>#NUM!</v>
      </c>
      <c r="H39" t="e">
        <v>#NUM!</v>
      </c>
      <c r="I39" t="e">
        <v>#NUM!</v>
      </c>
      <c r="J39" t="e">
        <v>#NUM!</v>
      </c>
      <c r="K39" t="n">
        <v>0</v>
      </c>
      <c r="L39" t="n">
        <v>49.8612291923122</v>
      </c>
      <c r="M39" t="n">
        <v>52.0938215442068</v>
      </c>
      <c r="N39" t="n">
        <v>53.4803491138245</v>
      </c>
      <c r="O39" t="n">
        <v>56.2951043303416</v>
      </c>
      <c r="P39" t="n">
        <v>62.5501159226018</v>
      </c>
      <c r="Q39" t="n">
        <v>67.9892564376106</v>
      </c>
      <c r="R39" t="n">
        <v>77.260518679103</v>
      </c>
      <c r="S39" t="n">
        <v>84.9016688781351</v>
      </c>
      <c r="T39" t="n">
        <v>84.9016688781351</v>
      </c>
      <c r="U39" t="n">
        <v>84.9016688781351</v>
      </c>
      <c r="V39" t="n">
        <v>89.0432137014588</v>
      </c>
      <c r="W39" t="n">
        <v>90.8982806535725</v>
      </c>
      <c r="X39" t="n">
        <v>89.0432137014588</v>
      </c>
      <c r="Y39" t="n">
        <v>87.3390373626749</v>
      </c>
      <c r="Z39" t="n">
        <v>91.8344289916361</v>
      </c>
      <c r="AA39" t="n">
        <v>92.203241959474</v>
      </c>
      <c r="AB39" t="n">
        <v>88.4684270952928</v>
      </c>
      <c r="AC39" t="n">
        <v>92.5832376578645</v>
      </c>
      <c r="AD39" t="n">
        <v>96.9230769230769</v>
      </c>
      <c r="AE39" t="n">
        <v>100</v>
      </c>
      <c r="AF39" t="n">
        <v>110.227272727273</v>
      </c>
    </row>
    <row r="40">
      <c r="A40" t="s">
        <v>84</v>
      </c>
      <c r="B40" t="s">
        <v>350</v>
      </c>
      <c r="C40" t="s">
        <v>203</v>
      </c>
      <c r="D40" t="s">
        <v>351</v>
      </c>
      <c r="E40" t="s">
        <v>204</v>
      </c>
      <c r="F40" t="e">
        <v>#NUM!</v>
      </c>
      <c r="G40" t="e">
        <v>#NUM!</v>
      </c>
      <c r="H40" t="e">
        <v>#NUM!</v>
      </c>
      <c r="I40" t="e">
        <v>#NUM!</v>
      </c>
      <c r="J40" t="e">
        <v>#NUM!</v>
      </c>
      <c r="K40" t="n">
        <v>0</v>
      </c>
      <c r="L40" t="n">
        <v>50.1821443385628</v>
      </c>
      <c r="M40" t="n">
        <v>52.5717702594468</v>
      </c>
      <c r="N40" t="n">
        <v>53.6446635300477</v>
      </c>
      <c r="O40" t="n">
        <v>56.681153918541</v>
      </c>
      <c r="P40" t="n">
        <v>62.151409019509</v>
      </c>
      <c r="Q40" t="n">
        <v>67.1302891509571</v>
      </c>
      <c r="R40" t="n">
        <v>77.0922296816317</v>
      </c>
      <c r="S40" t="n">
        <v>84.7171141980333</v>
      </c>
      <c r="T40" t="n">
        <v>85.2310704014592</v>
      </c>
      <c r="U40" t="n">
        <v>84.7003663516369</v>
      </c>
      <c r="V40" t="n">
        <v>88.8714725579923</v>
      </c>
      <c r="W40" t="n">
        <v>90.8611323913802</v>
      </c>
      <c r="X40" t="n">
        <v>89.5282062438294</v>
      </c>
      <c r="Y40" t="n">
        <v>87.6434019018541</v>
      </c>
      <c r="Z40" t="n">
        <v>92.2659441962557</v>
      </c>
      <c r="AA40" t="n">
        <v>92.2659441962557</v>
      </c>
      <c r="AB40" t="n">
        <v>88.6716270456435</v>
      </c>
      <c r="AC40" t="n">
        <v>92.9700382347464</v>
      </c>
      <c r="AD40" t="n">
        <v>98.0343300110742</v>
      </c>
      <c r="AE40" t="n">
        <v>100</v>
      </c>
      <c r="AF40" t="n">
        <v>110.258266956312</v>
      </c>
    </row>
    <row r="41">
      <c r="A41" t="s">
        <v>84</v>
      </c>
      <c r="B41" t="s">
        <v>352</v>
      </c>
      <c r="C41" t="s">
        <v>203</v>
      </c>
      <c r="D41" t="s">
        <v>353</v>
      </c>
      <c r="E41" t="s">
        <v>204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84</v>
      </c>
      <c r="B42" t="s">
        <v>354</v>
      </c>
      <c r="C42" t="s">
        <v>203</v>
      </c>
      <c r="D42" t="s">
        <v>355</v>
      </c>
      <c r="E42" t="s">
        <v>204</v>
      </c>
      <c r="F42" t="n">
        <v>1.76302227163176</v>
      </c>
      <c r="G42" t="n">
        <v>3.52604454326351</v>
      </c>
      <c r="H42" t="n">
        <v>26.7979385288027</v>
      </c>
      <c r="I42" t="n">
        <v>47.6407796067603</v>
      </c>
      <c r="J42" t="n">
        <v>42.1599819528852</v>
      </c>
      <c r="K42" t="n">
        <v>42.762267409355</v>
      </c>
      <c r="L42" t="n">
        <v>49.5794404746145</v>
      </c>
      <c r="M42" t="n">
        <v>51.8390932576398</v>
      </c>
      <c r="N42" t="n">
        <v>53.2401498321706</v>
      </c>
      <c r="O42" t="n">
        <v>56.2700770583917</v>
      </c>
      <c r="P42" t="n">
        <v>61.545396782616</v>
      </c>
      <c r="Q42" t="n">
        <v>66.5355640893146</v>
      </c>
      <c r="R42" t="n">
        <v>76.3801118372234</v>
      </c>
      <c r="S42" t="n">
        <v>83.9232098669295</v>
      </c>
      <c r="T42" t="n">
        <v>84.4864528861707</v>
      </c>
      <c r="U42" t="n">
        <v>83.8872581848503</v>
      </c>
      <c r="V42" t="n">
        <v>88.1697908849778</v>
      </c>
      <c r="W42" t="n">
        <v>90.2607740680207</v>
      </c>
      <c r="X42" t="n">
        <v>88.8613822220049</v>
      </c>
      <c r="Y42" t="n">
        <v>86.990616280489</v>
      </c>
      <c r="Z42" t="n">
        <v>91.7140886577101</v>
      </c>
      <c r="AA42" t="n">
        <v>92.2767517783095</v>
      </c>
      <c r="AB42" t="n">
        <v>88.730817617034</v>
      </c>
      <c r="AC42" t="n">
        <v>93.1048720066061</v>
      </c>
      <c r="AD42" t="n">
        <v>98.2142857142857</v>
      </c>
      <c r="AE42" t="n">
        <v>100</v>
      </c>
      <c r="AF42" t="n">
        <v>110.10752688172</v>
      </c>
    </row>
    <row r="43">
      <c r="A43" t="s">
        <v>84</v>
      </c>
      <c r="B43" t="s">
        <v>356</v>
      </c>
      <c r="C43" t="s">
        <v>203</v>
      </c>
      <c r="D43" t="s">
        <v>357</v>
      </c>
      <c r="E43" t="s">
        <v>204</v>
      </c>
      <c r="F43" t="n">
        <v>1.76692114674456</v>
      </c>
      <c r="G43" t="n">
        <v>3.53384229348912</v>
      </c>
      <c r="H43" t="n">
        <v>26.8572014305173</v>
      </c>
      <c r="I43" t="n">
        <v>47.7461358764752</v>
      </c>
      <c r="J43" t="n">
        <v>42.2948054023894</v>
      </c>
      <c r="K43" t="n">
        <v>42.8990169081379</v>
      </c>
      <c r="L43" t="n">
        <v>49.6725458936333</v>
      </c>
      <c r="M43" t="n">
        <v>51.8773325259878</v>
      </c>
      <c r="N43" t="n">
        <v>53.242525487198</v>
      </c>
      <c r="O43" t="n">
        <v>56.2421043878852</v>
      </c>
      <c r="P43" t="n">
        <v>61.5148016742495</v>
      </c>
      <c r="Q43" t="n">
        <v>66.5340359664557</v>
      </c>
      <c r="R43" t="n">
        <v>76.3887704785776</v>
      </c>
      <c r="S43" t="n">
        <v>83.9437038226127</v>
      </c>
      <c r="T43" t="n">
        <v>84.4716516453965</v>
      </c>
      <c r="U43" t="n">
        <v>83.9627862740386</v>
      </c>
      <c r="V43" t="n">
        <v>88.2169007785899</v>
      </c>
      <c r="W43" t="n">
        <v>90.5210735601203</v>
      </c>
      <c r="X43" t="n">
        <v>88.8692291520889</v>
      </c>
      <c r="Y43" t="n">
        <v>87.4123565430382</v>
      </c>
      <c r="Z43" t="n">
        <v>92.0434747704839</v>
      </c>
      <c r="AA43" t="n">
        <v>92.4756037600167</v>
      </c>
      <c r="AB43" t="n">
        <v>88.9330849195815</v>
      </c>
      <c r="AC43" t="n">
        <v>93.2293692152135</v>
      </c>
      <c r="AD43" t="n">
        <v>98.211091234347</v>
      </c>
      <c r="AE43" t="n">
        <v>100</v>
      </c>
      <c r="AF43" t="n">
        <v>110.144927536232</v>
      </c>
    </row>
    <row r="44">
      <c r="A44" t="s">
        <v>84</v>
      </c>
      <c r="B44" t="s">
        <v>358</v>
      </c>
      <c r="C44" t="s">
        <v>203</v>
      </c>
      <c r="D44" t="s">
        <v>359</v>
      </c>
      <c r="E44" t="s">
        <v>204</v>
      </c>
      <c r="F44" t="n">
        <v>2.27204735718169</v>
      </c>
      <c r="G44" t="n">
        <v>3.23977123153685</v>
      </c>
      <c r="H44" t="n">
        <v>24.3398197651359</v>
      </c>
      <c r="I44" t="n">
        <v>43.4074253767318</v>
      </c>
      <c r="J44" t="n">
        <v>38.4850567110014</v>
      </c>
      <c r="K44" t="n">
        <v>39.0174042638843</v>
      </c>
      <c r="L44" t="n">
        <v>45.1113269999238</v>
      </c>
      <c r="M44" t="n">
        <v>47.1560116657507</v>
      </c>
      <c r="N44" t="n">
        <v>48.4562557599341</v>
      </c>
      <c r="O44" t="n">
        <v>51.2226222974816</v>
      </c>
      <c r="P44" t="n">
        <v>56.1735077240039</v>
      </c>
      <c r="Q44" t="n">
        <v>60.6731151149673</v>
      </c>
      <c r="R44" t="n">
        <v>69.6833060572993</v>
      </c>
      <c r="S44" t="n">
        <v>76.5753561208955</v>
      </c>
      <c r="T44" t="n">
        <v>77.0235822309553</v>
      </c>
      <c r="U44" t="n">
        <v>76.4970989371354</v>
      </c>
      <c r="V44" t="n">
        <v>80.2739431524416</v>
      </c>
      <c r="W44" t="n">
        <v>85.1495429054736</v>
      </c>
      <c r="X44" t="n">
        <v>89.1691960550714</v>
      </c>
      <c r="Y44" t="n">
        <v>87.3461752420505</v>
      </c>
      <c r="Z44" t="n">
        <v>91.8746608059558</v>
      </c>
      <c r="AA44" t="n">
        <v>92.3112782032616</v>
      </c>
      <c r="AB44" t="n">
        <v>88.7108503191036</v>
      </c>
      <c r="AC44" t="n">
        <v>92.998761585383</v>
      </c>
      <c r="AD44" t="n">
        <v>98.0413991877375</v>
      </c>
      <c r="AE44" t="n">
        <v>100</v>
      </c>
      <c r="AF44" t="n">
        <v>110.262458471761</v>
      </c>
    </row>
    <row r="45">
      <c r="A45" t="s">
        <v>84</v>
      </c>
      <c r="B45" t="s">
        <v>360</v>
      </c>
      <c r="C45" t="s">
        <v>203</v>
      </c>
      <c r="D45" t="s">
        <v>361</v>
      </c>
      <c r="E45" t="s">
        <v>204</v>
      </c>
      <c r="F45" t="n">
        <v>2.26717703903662</v>
      </c>
      <c r="G45" t="n">
        <v>3.23282651862629</v>
      </c>
      <c r="H45" t="n">
        <v>24.3295191607958</v>
      </c>
      <c r="I45" t="n">
        <v>43.3989849365944</v>
      </c>
      <c r="J45" t="n">
        <v>38.4775734102864</v>
      </c>
      <c r="K45" t="n">
        <v>39.0063449712622</v>
      </c>
      <c r="L45" t="n">
        <v>45.0938255421882</v>
      </c>
      <c r="M45" t="n">
        <v>47.1400999785564</v>
      </c>
      <c r="N45" t="n">
        <v>48.4384187535403</v>
      </c>
      <c r="O45" t="n">
        <v>51.2067278640039</v>
      </c>
      <c r="P45" t="n">
        <v>56.1555136886894</v>
      </c>
      <c r="Q45" t="n">
        <v>60.6543011961956</v>
      </c>
      <c r="R45" t="n">
        <v>69.6627674993637</v>
      </c>
      <c r="S45" t="n">
        <v>76.5525599051613</v>
      </c>
      <c r="T45" t="n">
        <v>77.0011001056842</v>
      </c>
      <c r="U45" t="n">
        <v>76.4738220295161</v>
      </c>
      <c r="V45" t="n">
        <v>80.2534090392936</v>
      </c>
      <c r="W45" t="n">
        <v>85.1369708111092</v>
      </c>
      <c r="X45" t="n">
        <v>89.1634967934289</v>
      </c>
      <c r="Y45" t="n">
        <v>87.3411468045672</v>
      </c>
      <c r="Z45" t="n">
        <v>91.872961841743</v>
      </c>
      <c r="AA45" t="n">
        <v>92.3097294779109</v>
      </c>
      <c r="AB45" t="n">
        <v>88.7075789766495</v>
      </c>
      <c r="AC45" t="n">
        <v>92.9963042666899</v>
      </c>
      <c r="AD45" t="n">
        <v>98.0388292106041</v>
      </c>
      <c r="AE45" t="n">
        <v>100</v>
      </c>
      <c r="AF45" t="n">
        <v>110.263149140025</v>
      </c>
    </row>
    <row r="46">
      <c r="A46" t="s">
        <v>84</v>
      </c>
      <c r="B46" t="s">
        <v>362</v>
      </c>
      <c r="C46" t="s">
        <v>203</v>
      </c>
      <c r="D46" t="s">
        <v>363</v>
      </c>
      <c r="E46" t="s">
        <v>204</v>
      </c>
      <c r="F46" t="n">
        <v>0</v>
      </c>
      <c r="G46" t="n">
        <v>0</v>
      </c>
      <c r="H46" t="n">
        <v>0</v>
      </c>
      <c r="I46" t="n">
        <v>0</v>
      </c>
      <c r="J46" t="e">
        <v>#NUM!</v>
      </c>
      <c r="K46" t="n">
        <v>0</v>
      </c>
      <c r="L46" t="n">
        <v>51.5375090904834</v>
      </c>
      <c r="M46" t="n">
        <v>51.5375090904834</v>
      </c>
      <c r="N46" t="n">
        <v>52.8367740255376</v>
      </c>
      <c r="O46" t="n">
        <v>55.6176568689869</v>
      </c>
      <c r="P46" t="n">
        <v>60.8318122004544</v>
      </c>
      <c r="Q46" t="n">
        <v>65.8688412361609</v>
      </c>
      <c r="R46" t="n">
        <v>75.6476888146385</v>
      </c>
      <c r="S46" t="n">
        <v>83.2818592454736</v>
      </c>
      <c r="T46" t="n">
        <v>83.7003610507272</v>
      </c>
      <c r="U46" t="n">
        <v>83.7003610507272</v>
      </c>
      <c r="V46" t="n">
        <v>87.6860925293333</v>
      </c>
      <c r="W46" t="n">
        <v>93.5318320312889</v>
      </c>
      <c r="X46" t="n">
        <v>87.6860925293333</v>
      </c>
      <c r="Y46" t="n">
        <v>87.6860925293333</v>
      </c>
      <c r="Z46" t="n">
        <v>92.0162699381893</v>
      </c>
      <c r="AA46" t="n">
        <v>92.0162699381893</v>
      </c>
      <c r="AB46" t="n">
        <v>88.5108882262583</v>
      </c>
      <c r="AC46" t="n">
        <v>92.5960061443932</v>
      </c>
      <c r="AD46" t="n">
        <v>98.2078853046595</v>
      </c>
      <c r="AE46" t="n">
        <v>100</v>
      </c>
      <c r="AF46" t="n">
        <v>110.25641025641</v>
      </c>
    </row>
    <row r="47">
      <c r="A47" t="s">
        <v>84</v>
      </c>
      <c r="B47" t="s">
        <v>364</v>
      </c>
      <c r="C47" t="s">
        <v>203</v>
      </c>
      <c r="D47" t="s">
        <v>365</v>
      </c>
      <c r="E47" t="s">
        <v>204</v>
      </c>
      <c r="F47" t="e">
        <v>#NUM!</v>
      </c>
      <c r="G47" t="e">
        <v>#NUM!</v>
      </c>
      <c r="H47" t="e">
        <v>#NUM!</v>
      </c>
      <c r="I47" t="e">
        <v>#NUM!</v>
      </c>
      <c r="J47" t="e">
        <v>#NUM!</v>
      </c>
      <c r="K47" t="n">
        <v>0</v>
      </c>
      <c r="L47" t="n">
        <v>50.6118503192804</v>
      </c>
      <c r="M47" t="n">
        <v>53.0029613579865</v>
      </c>
      <c r="N47" t="n">
        <v>54.4827394669658</v>
      </c>
      <c r="O47" t="n">
        <v>57.5395268297989</v>
      </c>
      <c r="P47" t="n">
        <v>63.0291636651507</v>
      </c>
      <c r="Q47" t="n">
        <v>68.08028131079</v>
      </c>
      <c r="R47" t="n">
        <v>78.225098813116</v>
      </c>
      <c r="S47" t="n">
        <v>86.0066531453108</v>
      </c>
      <c r="T47" t="n">
        <v>86.5469576482225</v>
      </c>
      <c r="U47" t="n">
        <v>85.9599775285284</v>
      </c>
      <c r="V47" t="n">
        <v>90.1327919716609</v>
      </c>
      <c r="W47" t="n">
        <v>92.6364806375404</v>
      </c>
      <c r="X47" t="n">
        <v>91.3846363046006</v>
      </c>
      <c r="Y47" t="n">
        <v>89.4807897149214</v>
      </c>
      <c r="Z47" t="n">
        <v>92.5663341878498</v>
      </c>
      <c r="AA47" t="n">
        <v>92.5663341878498</v>
      </c>
      <c r="AB47" t="n">
        <v>88.971525093176</v>
      </c>
      <c r="AC47" t="n">
        <v>93.2321333370746</v>
      </c>
      <c r="AD47" t="n">
        <v>98.2378854625551</v>
      </c>
      <c r="AE47" t="n">
        <v>100</v>
      </c>
      <c r="AF47" t="n">
        <v>110.148514851485</v>
      </c>
    </row>
    <row r="48">
      <c r="A48" t="s">
        <v>84</v>
      </c>
      <c r="B48" t="s">
        <v>366</v>
      </c>
      <c r="C48" t="s">
        <v>203</v>
      </c>
      <c r="D48" t="s">
        <v>367</v>
      </c>
      <c r="E48" t="s">
        <v>204</v>
      </c>
      <c r="F48" t="e">
        <v>#NUM!</v>
      </c>
      <c r="G48" t="e">
        <v>#NUM!</v>
      </c>
      <c r="H48" t="e">
        <v>#NUM!</v>
      </c>
      <c r="I48" t="e">
        <v>#NUM!</v>
      </c>
      <c r="J48" t="e">
        <v>#NUM!</v>
      </c>
      <c r="K48" t="n">
        <v>0</v>
      </c>
      <c r="L48" t="n">
        <v>56.7537768168126</v>
      </c>
      <c r="M48" t="n">
        <v>59.320530542196</v>
      </c>
      <c r="N48" t="n">
        <v>60.9766874862675</v>
      </c>
      <c r="O48" t="n">
        <v>64.3853221904688</v>
      </c>
      <c r="P48" t="n">
        <v>70.5344821749518</v>
      </c>
      <c r="Q48" t="n">
        <v>76.2534942431911</v>
      </c>
      <c r="R48" t="n">
        <v>87.5795745625597</v>
      </c>
      <c r="S48" t="n">
        <v>96.1494136009009</v>
      </c>
      <c r="T48" t="n">
        <v>96.7399460127434</v>
      </c>
      <c r="U48" t="n">
        <v>96.0887421876763</v>
      </c>
      <c r="V48" t="n">
        <v>100.863338072778</v>
      </c>
      <c r="W48" t="n">
        <v>97.3034555525625</v>
      </c>
      <c r="X48" t="n">
        <v>89.4744418874138</v>
      </c>
      <c r="Y48" t="n">
        <v>87.6136216055265</v>
      </c>
      <c r="Z48" t="n">
        <v>92.1811563811701</v>
      </c>
      <c r="AA48" t="n">
        <v>92.5213082497353</v>
      </c>
      <c r="AB48" t="n">
        <v>88.689064712764</v>
      </c>
      <c r="AC48" t="n">
        <v>92.843119266055</v>
      </c>
      <c r="AD48" t="n">
        <v>97.9357798165138</v>
      </c>
      <c r="AE48" t="n">
        <v>100</v>
      </c>
      <c r="AF48" t="n">
        <v>110.326086956522</v>
      </c>
    </row>
    <row r="49">
      <c r="A49" t="s">
        <v>84</v>
      </c>
      <c r="B49" t="s">
        <v>368</v>
      </c>
      <c r="C49" t="s">
        <v>203</v>
      </c>
      <c r="D49" t="s">
        <v>369</v>
      </c>
      <c r="E49" t="s">
        <v>204</v>
      </c>
      <c r="F49" t="e">
        <v>#NUM!</v>
      </c>
      <c r="G49" t="e">
        <v>#NUM!</v>
      </c>
      <c r="H49" t="e">
        <v>#NUM!</v>
      </c>
      <c r="I49" t="e">
        <v>#NUM!</v>
      </c>
      <c r="J49" t="n">
        <v>0</v>
      </c>
      <c r="K49" t="n">
        <v>0</v>
      </c>
      <c r="L49" t="e">
        <v>#NUM!</v>
      </c>
      <c r="M49" t="e">
        <v>#NUM!</v>
      </c>
      <c r="N49" t="n">
        <v>0</v>
      </c>
      <c r="O49" t="n">
        <v>57.772866960908</v>
      </c>
      <c r="P49" t="n">
        <v>64.1920744010089</v>
      </c>
      <c r="Q49" t="n">
        <v>68.7772225725095</v>
      </c>
      <c r="R49" t="n">
        <v>78.602540082868</v>
      </c>
      <c r="S49" t="n">
        <v>87.3361556476311</v>
      </c>
      <c r="T49" t="n">
        <v>87.3361556476311</v>
      </c>
      <c r="U49" t="n">
        <v>87.3361556476311</v>
      </c>
      <c r="V49" t="n">
        <v>87.3361556476311</v>
      </c>
      <c r="W49" t="n">
        <v>87.3361556476311</v>
      </c>
      <c r="X49" t="n">
        <v>87.3361556476311</v>
      </c>
      <c r="Y49" t="n">
        <v>87.3361556476311</v>
      </c>
      <c r="Z49" t="n">
        <v>91.5451270041434</v>
      </c>
      <c r="AA49" t="n">
        <v>91.5451270041434</v>
      </c>
      <c r="AB49" t="n">
        <v>88.1545667447307</v>
      </c>
      <c r="AC49" t="n">
        <v>93.4972677595629</v>
      </c>
      <c r="AD49" t="n">
        <v>98.3333333333333</v>
      </c>
      <c r="AE49" t="n">
        <v>100</v>
      </c>
      <c r="AF49" t="n">
        <v>110.204081632653</v>
      </c>
    </row>
    <row r="50">
      <c r="A50" t="s">
        <v>84</v>
      </c>
      <c r="B50" t="s">
        <v>370</v>
      </c>
      <c r="C50" t="s">
        <v>203</v>
      </c>
      <c r="D50" t="s">
        <v>371</v>
      </c>
      <c r="E50" t="s">
        <v>204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e">
        <v>#NUM!</v>
      </c>
      <c r="M50" t="e">
        <v>#NUM!</v>
      </c>
      <c r="N50" t="n">
        <v>0</v>
      </c>
      <c r="O50" t="n">
        <v>0</v>
      </c>
      <c r="P50" t="n">
        <v>256.740636501407</v>
      </c>
      <c r="Q50" t="n">
        <v>270.253301580429</v>
      </c>
      <c r="R50" t="n">
        <v>300.281446200476</v>
      </c>
      <c r="S50" t="n">
        <v>333.646051333862</v>
      </c>
      <c r="T50" t="n">
        <v>333.646051333862</v>
      </c>
      <c r="U50" t="n">
        <v>333.646051333862</v>
      </c>
      <c r="V50" t="n">
        <v>333.646051333862</v>
      </c>
      <c r="W50" t="n">
        <v>166.823025666931</v>
      </c>
      <c r="X50" t="n">
        <v>83.4115128334656</v>
      </c>
      <c r="Y50" t="n">
        <v>83.4115128334656</v>
      </c>
      <c r="Z50" t="n">
        <v>87.5820884751389</v>
      </c>
      <c r="AA50" t="n">
        <v>88.0555051695991</v>
      </c>
      <c r="AB50" t="n">
        <v>88.0555051695991</v>
      </c>
      <c r="AC50" t="n">
        <v>92.6900054416833</v>
      </c>
      <c r="AD50" t="n">
        <v>97.9865771812081</v>
      </c>
      <c r="AE50" t="n">
        <v>100</v>
      </c>
      <c r="AF50" t="n">
        <v>109.803921568627</v>
      </c>
    </row>
    <row r="51">
      <c r="A51" t="s">
        <v>84</v>
      </c>
      <c r="B51" t="s">
        <v>372</v>
      </c>
      <c r="C51" t="s">
        <v>203</v>
      </c>
      <c r="D51" t="s">
        <v>373</v>
      </c>
      <c r="E51" t="s">
        <v>204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e">
        <v>#NUM!</v>
      </c>
      <c r="M51" t="e">
        <v>#NUM!</v>
      </c>
      <c r="N51" t="n">
        <v>0</v>
      </c>
      <c r="O51" t="n">
        <v>0</v>
      </c>
      <c r="P51" t="n">
        <v>496.083369523948</v>
      </c>
      <c r="Q51" t="n">
        <v>551.203743915498</v>
      </c>
      <c r="R51" t="n">
        <v>612.448604350553</v>
      </c>
      <c r="S51" t="n">
        <v>680.498449278392</v>
      </c>
      <c r="T51" t="n">
        <v>680.498449278392</v>
      </c>
      <c r="U51" t="n">
        <v>680.498449278392</v>
      </c>
      <c r="V51" t="n">
        <v>680.498449278392</v>
      </c>
      <c r="W51" t="n">
        <v>340.249224639196</v>
      </c>
      <c r="X51" t="n">
        <v>170.124612319598</v>
      </c>
      <c r="Y51" t="n">
        <v>85.062306159799</v>
      </c>
      <c r="Z51" t="n">
        <v>85.062306159799</v>
      </c>
      <c r="AA51" t="n">
        <v>85.5456147175251</v>
      </c>
      <c r="AB51" t="n">
        <v>85.5456147175251</v>
      </c>
      <c r="AC51" t="n">
        <v>91.0646866347848</v>
      </c>
      <c r="AD51" t="n">
        <v>97.8102189781022</v>
      </c>
      <c r="AE51" t="n">
        <v>100</v>
      </c>
      <c r="AF51" t="n">
        <v>108.888888888889</v>
      </c>
    </row>
    <row r="52">
      <c r="A52" t="s">
        <v>84</v>
      </c>
      <c r="B52" t="s">
        <v>374</v>
      </c>
      <c r="C52" t="s">
        <v>203</v>
      </c>
      <c r="D52" t="s">
        <v>375</v>
      </c>
      <c r="E52" t="s">
        <v>204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e">
        <v>#NUM!</v>
      </c>
      <c r="R52" t="n">
        <v>0</v>
      </c>
      <c r="S52" t="n">
        <v>0</v>
      </c>
      <c r="T52" t="e">
        <v>#NUM!</v>
      </c>
      <c r="U52" t="n">
        <v>0</v>
      </c>
      <c r="V52" t="e">
        <v>#NUM!</v>
      </c>
      <c r="W52" t="n">
        <v>0</v>
      </c>
      <c r="X52" t="n">
        <v>0</v>
      </c>
      <c r="Y52" t="n">
        <v>0</v>
      </c>
      <c r="Z52" t="n">
        <v>111.111111111111</v>
      </c>
      <c r="AA52" t="n">
        <v>111.111111111111</v>
      </c>
      <c r="AB52" t="n">
        <v>100</v>
      </c>
      <c r="AC52" t="n">
        <v>100</v>
      </c>
      <c r="AD52" t="n">
        <v>100</v>
      </c>
      <c r="AE52" t="n">
        <v>100</v>
      </c>
      <c r="AF52" t="n">
        <v>100</v>
      </c>
    </row>
    <row r="53">
      <c r="A53" t="s">
        <v>84</v>
      </c>
      <c r="B53" t="s">
        <v>376</v>
      </c>
      <c r="C53" t="s">
        <v>203</v>
      </c>
      <c r="D53" t="s">
        <v>377</v>
      </c>
      <c r="E53" t="s">
        <v>204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e">
        <v>#NUM!</v>
      </c>
      <c r="L53" t="n">
        <v>0</v>
      </c>
      <c r="M53" t="n">
        <v>0</v>
      </c>
      <c r="N53" t="n">
        <v>51.9202787275641</v>
      </c>
      <c r="O53" t="n">
        <v>57.6891985861823</v>
      </c>
      <c r="P53" t="n">
        <v>64.0991095402025</v>
      </c>
      <c r="Q53" t="n">
        <v>68.6776173645027</v>
      </c>
      <c r="R53" t="n">
        <v>78.9014697876973</v>
      </c>
      <c r="S53" t="n">
        <v>87.6682997641081</v>
      </c>
      <c r="T53" t="n">
        <v>87.6682997641081</v>
      </c>
      <c r="U53" t="n">
        <v>87.6682997641081</v>
      </c>
      <c r="V53" t="n">
        <v>87.6682997641081</v>
      </c>
      <c r="W53" t="n">
        <v>87.6682997641081</v>
      </c>
      <c r="X53" t="n">
        <v>87.6682997641081</v>
      </c>
      <c r="Y53" t="n">
        <v>87.6682997641081</v>
      </c>
      <c r="Z53" t="n">
        <v>92.8252585737615</v>
      </c>
      <c r="AA53" t="n">
        <v>92.8252585737615</v>
      </c>
      <c r="AB53" t="n">
        <v>89.0909090909091</v>
      </c>
      <c r="AC53" t="n">
        <v>93.3333333333333</v>
      </c>
      <c r="AD53" t="n">
        <v>100</v>
      </c>
      <c r="AE53" t="n">
        <v>100</v>
      </c>
      <c r="AF53" t="n">
        <v>100</v>
      </c>
    </row>
    <row r="54">
      <c r="A54" t="s">
        <v>84</v>
      </c>
      <c r="B54" t="s">
        <v>378</v>
      </c>
      <c r="C54" t="s">
        <v>203</v>
      </c>
      <c r="D54" t="s">
        <v>379</v>
      </c>
      <c r="E54" t="s">
        <v>204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e">
        <v>#NUM!</v>
      </c>
      <c r="L54" t="e">
        <v>#NUM!</v>
      </c>
      <c r="M54" t="n">
        <v>0</v>
      </c>
      <c r="N54" t="n">
        <v>50.3637186170442</v>
      </c>
      <c r="O54" t="n">
        <v>55.9596873522714</v>
      </c>
      <c r="P54" t="n">
        <v>62.1774303914127</v>
      </c>
      <c r="Q54" t="n">
        <v>66.6186754193707</v>
      </c>
      <c r="R54" t="n">
        <v>76.5852489073081</v>
      </c>
      <c r="S54" t="n">
        <v>85.0947210081201</v>
      </c>
      <c r="T54" t="n">
        <v>85.0947210081201</v>
      </c>
      <c r="U54" t="n">
        <v>85.0947210081201</v>
      </c>
      <c r="V54" t="n">
        <v>88.029021732538</v>
      </c>
      <c r="W54" t="n">
        <v>90.124950821408</v>
      </c>
      <c r="X54" t="n">
        <v>88.029021732538</v>
      </c>
      <c r="Y54" t="n">
        <v>88.029021732538</v>
      </c>
      <c r="Z54" t="n">
        <v>92.7873472315941</v>
      </c>
      <c r="AA54" t="n">
        <v>92.7873472315941</v>
      </c>
      <c r="AB54" t="n">
        <v>88.921207763611</v>
      </c>
      <c r="AC54" t="n">
        <v>92.8953399541635</v>
      </c>
      <c r="AD54" t="n">
        <v>98.7012987012987</v>
      </c>
      <c r="AE54" t="n">
        <v>100</v>
      </c>
      <c r="AF54" t="n">
        <v>110.44776119403</v>
      </c>
    </row>
    <row r="55">
      <c r="A55" t="s">
        <v>84</v>
      </c>
      <c r="B55" t="s">
        <v>380</v>
      </c>
      <c r="C55" t="s">
        <v>203</v>
      </c>
      <c r="D55" t="s">
        <v>381</v>
      </c>
      <c r="E55" t="s">
        <v>204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e">
        <v>#NUM!</v>
      </c>
      <c r="M55" t="n">
        <v>0</v>
      </c>
      <c r="N55" t="n">
        <v>0</v>
      </c>
      <c r="O55" t="n">
        <v>0</v>
      </c>
      <c r="P55" t="e">
        <v>#NUM!</v>
      </c>
      <c r="Q55" t="e">
        <v>#NUM!</v>
      </c>
      <c r="R55" t="e">
        <v>#NUM!</v>
      </c>
      <c r="S55" t="e">
        <v>#NUM!</v>
      </c>
      <c r="T55" t="n">
        <v>0</v>
      </c>
      <c r="U55" t="n">
        <v>85.4162896338257</v>
      </c>
      <c r="V55" t="n">
        <v>89.687104115517</v>
      </c>
      <c r="W55" t="n">
        <v>92.4048951493206</v>
      </c>
      <c r="X55" t="n">
        <v>89.687104115517</v>
      </c>
      <c r="Y55" t="n">
        <v>89.687104115517</v>
      </c>
      <c r="Z55" t="n">
        <v>94.1714593212929</v>
      </c>
      <c r="AA55" t="n">
        <v>94.1714593212929</v>
      </c>
      <c r="AB55" t="n">
        <v>89.687104115517</v>
      </c>
      <c r="AC55" t="n">
        <v>92.4898261191269</v>
      </c>
      <c r="AD55" t="n">
        <v>98.0392156862745</v>
      </c>
      <c r="AE55" t="n">
        <v>100</v>
      </c>
      <c r="AF55" t="n">
        <v>110.9375</v>
      </c>
    </row>
    <row r="56">
      <c r="A56" t="s">
        <v>84</v>
      </c>
      <c r="B56" t="s">
        <v>382</v>
      </c>
      <c r="C56" t="s">
        <v>203</v>
      </c>
      <c r="D56" t="s">
        <v>383</v>
      </c>
      <c r="E56" t="s">
        <v>204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84</v>
      </c>
      <c r="B57" t="s">
        <v>384</v>
      </c>
      <c r="C57" t="s">
        <v>203</v>
      </c>
      <c r="D57" t="s">
        <v>385</v>
      </c>
      <c r="E57" t="s">
        <v>204</v>
      </c>
      <c r="F57" t="n">
        <v>2.29723431861559</v>
      </c>
      <c r="G57" t="n">
        <v>3.24781403666342</v>
      </c>
      <c r="H57" t="n">
        <v>24.4298987538292</v>
      </c>
      <c r="I57" t="n">
        <v>43.5882244321909</v>
      </c>
      <c r="J57" t="n">
        <v>38.6489898204628</v>
      </c>
      <c r="K57" t="n">
        <v>39.1836049908866</v>
      </c>
      <c r="L57" t="n">
        <v>45.2992550662232</v>
      </c>
      <c r="M57" t="n">
        <v>47.3626890959632</v>
      </c>
      <c r="N57" t="n">
        <v>48.6681150142591</v>
      </c>
      <c r="O57" t="n">
        <v>51.4433038089232</v>
      </c>
      <c r="P57" t="n">
        <v>56.4135733227596</v>
      </c>
      <c r="Q57" t="n">
        <v>60.9309340340214</v>
      </c>
      <c r="R57" t="n">
        <v>69.9785699123152</v>
      </c>
      <c r="S57" t="n">
        <v>76.9010177926248</v>
      </c>
      <c r="T57" t="n">
        <v>77.3531495189442</v>
      </c>
      <c r="U57" t="n">
        <v>76.827616095483</v>
      </c>
      <c r="V57" t="n">
        <v>80.6153338389565</v>
      </c>
      <c r="W57" t="n">
        <v>85.3678194648492</v>
      </c>
      <c r="X57" t="n">
        <v>89.1728141712593</v>
      </c>
      <c r="Y57" t="n">
        <v>87.3473324084014</v>
      </c>
      <c r="Z57" t="n">
        <v>91.8717353443155</v>
      </c>
      <c r="AA57" t="n">
        <v>92.3064425026026</v>
      </c>
      <c r="AB57" t="n">
        <v>88.7087458825788</v>
      </c>
      <c r="AC57" t="n">
        <v>92.9992504902852</v>
      </c>
      <c r="AD57" t="n">
        <v>98.0422209369578</v>
      </c>
      <c r="AE57" t="n">
        <v>100</v>
      </c>
      <c r="AF57" t="n">
        <v>110.259799977009</v>
      </c>
    </row>
    <row r="58">
      <c r="A58" t="s">
        <v>84</v>
      </c>
      <c r="B58" t="s">
        <v>386</v>
      </c>
      <c r="C58" t="s">
        <v>203</v>
      </c>
      <c r="D58" t="s">
        <v>387</v>
      </c>
      <c r="E58" t="s">
        <v>204</v>
      </c>
      <c r="F58" t="n">
        <v>2.28549876654092</v>
      </c>
      <c r="G58" t="n">
        <v>3.24781403666342</v>
      </c>
      <c r="H58" t="n">
        <v>24.4298987538292</v>
      </c>
      <c r="I58" t="n">
        <v>43.5882244321909</v>
      </c>
      <c r="J58" t="n">
        <v>38.6489898204628</v>
      </c>
      <c r="K58" t="n">
        <v>39.1836049908866</v>
      </c>
      <c r="L58" t="n">
        <v>45.2992550662232</v>
      </c>
      <c r="M58" t="n">
        <v>47.3626890959632</v>
      </c>
      <c r="N58" t="n">
        <v>48.6681150142591</v>
      </c>
      <c r="O58" t="n">
        <v>51.4433038089232</v>
      </c>
      <c r="P58" t="n">
        <v>56.4135733227596</v>
      </c>
      <c r="Q58" t="n">
        <v>60.9309340340214</v>
      </c>
      <c r="R58" t="n">
        <v>69.9785699123152</v>
      </c>
      <c r="S58" t="n">
        <v>76.9010177926248</v>
      </c>
      <c r="T58" t="n">
        <v>77.3531495189442</v>
      </c>
      <c r="U58" t="n">
        <v>76.827616095483</v>
      </c>
      <c r="V58" t="n">
        <v>80.6153338389565</v>
      </c>
      <c r="W58" t="n">
        <v>85.3678194648492</v>
      </c>
      <c r="X58" t="n">
        <v>89.1728141712593</v>
      </c>
      <c r="Y58" t="n">
        <v>87.3473324084014</v>
      </c>
      <c r="Z58" t="n">
        <v>91.8717353443155</v>
      </c>
      <c r="AA58" t="n">
        <v>92.3064425026026</v>
      </c>
      <c r="AB58" t="n">
        <v>88.7087458825788</v>
      </c>
      <c r="AC58" t="n">
        <v>92.9992504902852</v>
      </c>
      <c r="AD58" t="n">
        <v>98.0422209369578</v>
      </c>
      <c r="AE58" t="n">
        <v>100</v>
      </c>
      <c r="AF58" t="n">
        <v>110.259799977009</v>
      </c>
    </row>
    <row r="59">
      <c r="A59" t="s">
        <v>84</v>
      </c>
      <c r="B59" t="s">
        <v>388</v>
      </c>
      <c r="C59" t="s">
        <v>203</v>
      </c>
      <c r="D59" t="s">
        <v>389</v>
      </c>
      <c r="E59" t="s">
        <v>204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86</v>
      </c>
      <c r="B2" t="s">
        <v>197</v>
      </c>
      <c r="C2" t="s">
        <v>203</v>
      </c>
      <c r="D2" t="s">
        <v>199</v>
      </c>
      <c r="E2" t="s">
        <v>204</v>
      </c>
      <c r="F2" t="n">
        <v>2.05422576094878</v>
      </c>
      <c r="G2" t="n">
        <v>2.92571547771493</v>
      </c>
      <c r="H2" t="n">
        <v>22.1054058316239</v>
      </c>
      <c r="I2" t="n">
        <v>27.7327806404868</v>
      </c>
      <c r="J2" t="n">
        <v>21.2178485523501</v>
      </c>
      <c r="K2" t="n">
        <v>22.9835502349312</v>
      </c>
      <c r="L2" t="n">
        <v>25.0948298495354</v>
      </c>
      <c r="M2" t="n">
        <v>22.8115047765707</v>
      </c>
      <c r="N2" t="n">
        <v>23.2347874629966</v>
      </c>
      <c r="O2" t="n">
        <v>23.7605003840807</v>
      </c>
      <c r="P2" t="n">
        <v>24.6239772150811</v>
      </c>
      <c r="Q2" t="n">
        <v>24.7694898841131</v>
      </c>
      <c r="R2" t="n">
        <v>28.7579426436144</v>
      </c>
      <c r="S2" t="n">
        <v>29.5795981477177</v>
      </c>
      <c r="T2" t="n">
        <v>26.3964129663389</v>
      </c>
      <c r="U2" t="n">
        <v>28.116179265661</v>
      </c>
      <c r="V2" t="n">
        <v>32.1621660380366</v>
      </c>
      <c r="W2" t="n">
        <v>36.099715172323</v>
      </c>
      <c r="X2" t="n">
        <v>42.9254449369583</v>
      </c>
      <c r="Y2" t="n">
        <v>40.3699967621146</v>
      </c>
      <c r="Z2" t="n">
        <v>38.2186176243217</v>
      </c>
      <c r="AA2" t="n">
        <v>47.7603077774766</v>
      </c>
      <c r="AB2" t="n">
        <v>71.7955276005573</v>
      </c>
      <c r="AC2" t="n">
        <v>99.7925050301811</v>
      </c>
      <c r="AD2" t="n">
        <v>106.841046277666</v>
      </c>
      <c r="AE2" t="n">
        <v>100</v>
      </c>
      <c r="AF2" t="n">
        <v>89.321608040201</v>
      </c>
    </row>
    <row r="3">
      <c r="A3" t="s">
        <v>86</v>
      </c>
      <c r="B3" t="s">
        <v>276</v>
      </c>
      <c r="C3" t="s">
        <v>203</v>
      </c>
      <c r="D3" t="s">
        <v>277</v>
      </c>
      <c r="E3" t="s">
        <v>204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86</v>
      </c>
      <c r="B4" t="s">
        <v>278</v>
      </c>
      <c r="C4" t="s">
        <v>203</v>
      </c>
      <c r="D4" t="s">
        <v>279</v>
      </c>
      <c r="E4" t="s">
        <v>204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86</v>
      </c>
      <c r="B5" t="s">
        <v>280</v>
      </c>
      <c r="C5" t="s">
        <v>203</v>
      </c>
      <c r="D5" t="s">
        <v>281</v>
      </c>
      <c r="E5" t="s">
        <v>204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86</v>
      </c>
      <c r="B6" t="s">
        <v>282</v>
      </c>
      <c r="C6" t="s">
        <v>203</v>
      </c>
      <c r="D6" t="s">
        <v>283</v>
      </c>
      <c r="E6" t="s">
        <v>204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86</v>
      </c>
      <c r="B7" t="s">
        <v>284</v>
      </c>
      <c r="C7" t="s">
        <v>203</v>
      </c>
      <c r="D7" t="s">
        <v>285</v>
      </c>
      <c r="E7" t="s">
        <v>204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86</v>
      </c>
      <c r="B8" t="s">
        <v>286</v>
      </c>
      <c r="C8" t="s">
        <v>203</v>
      </c>
      <c r="D8" t="s">
        <v>287</v>
      </c>
      <c r="E8" t="s">
        <v>204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86</v>
      </c>
      <c r="B9" t="s">
        <v>288</v>
      </c>
      <c r="C9" t="s">
        <v>203</v>
      </c>
      <c r="D9" t="s">
        <v>289</v>
      </c>
      <c r="E9" t="s">
        <v>204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86</v>
      </c>
      <c r="B10" t="s">
        <v>290</v>
      </c>
      <c r="C10" t="s">
        <v>203</v>
      </c>
      <c r="D10" t="s">
        <v>291</v>
      </c>
      <c r="E10" t="s">
        <v>204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86</v>
      </c>
      <c r="B11" t="s">
        <v>292</v>
      </c>
      <c r="C11" t="s">
        <v>203</v>
      </c>
      <c r="D11" t="s">
        <v>293</v>
      </c>
      <c r="E11" t="s">
        <v>204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86</v>
      </c>
      <c r="B12" t="s">
        <v>294</v>
      </c>
      <c r="C12" t="s">
        <v>203</v>
      </c>
      <c r="D12" t="s">
        <v>295</v>
      </c>
      <c r="E12" t="s">
        <v>204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86</v>
      </c>
      <c r="B13" t="s">
        <v>296</v>
      </c>
      <c r="C13" t="s">
        <v>203</v>
      </c>
      <c r="D13" t="s">
        <v>297</v>
      </c>
      <c r="E13" t="s">
        <v>204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86</v>
      </c>
      <c r="B14" t="s">
        <v>298</v>
      </c>
      <c r="C14" t="s">
        <v>203</v>
      </c>
      <c r="D14" t="s">
        <v>299</v>
      </c>
      <c r="E14" t="s">
        <v>204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86</v>
      </c>
      <c r="B15" t="s">
        <v>300</v>
      </c>
      <c r="C15" t="s">
        <v>203</v>
      </c>
      <c r="D15" t="s">
        <v>301</v>
      </c>
      <c r="E15" t="s">
        <v>204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86</v>
      </c>
      <c r="B16" t="s">
        <v>302</v>
      </c>
      <c r="C16" t="s">
        <v>203</v>
      </c>
      <c r="D16" t="s">
        <v>303</v>
      </c>
      <c r="E16" t="s">
        <v>204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86</v>
      </c>
      <c r="B17" t="s">
        <v>304</v>
      </c>
      <c r="C17" t="s">
        <v>203</v>
      </c>
      <c r="D17" t="s">
        <v>305</v>
      </c>
      <c r="E17" t="s">
        <v>204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86</v>
      </c>
      <c r="B18" t="s">
        <v>306</v>
      </c>
      <c r="C18" t="s">
        <v>203</v>
      </c>
      <c r="D18" t="s">
        <v>307</v>
      </c>
      <c r="E18" t="s">
        <v>204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86</v>
      </c>
      <c r="B19" t="s">
        <v>308</v>
      </c>
      <c r="C19" t="s">
        <v>203</v>
      </c>
      <c r="D19" t="s">
        <v>309</v>
      </c>
      <c r="E19" t="s">
        <v>204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86</v>
      </c>
      <c r="B20" t="s">
        <v>310</v>
      </c>
      <c r="C20" t="s">
        <v>203</v>
      </c>
      <c r="D20" t="s">
        <v>311</v>
      </c>
      <c r="E20" t="s">
        <v>204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86</v>
      </c>
      <c r="B21" t="s">
        <v>312</v>
      </c>
      <c r="C21" t="s">
        <v>203</v>
      </c>
      <c r="D21" t="s">
        <v>313</v>
      </c>
      <c r="E21" t="s">
        <v>204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86</v>
      </c>
      <c r="B22" t="s">
        <v>314</v>
      </c>
      <c r="C22" t="s">
        <v>203</v>
      </c>
      <c r="D22" t="s">
        <v>315</v>
      </c>
      <c r="E22" t="s">
        <v>204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86</v>
      </c>
      <c r="B23" t="s">
        <v>316</v>
      </c>
      <c r="C23" t="s">
        <v>203</v>
      </c>
      <c r="D23" t="s">
        <v>317</v>
      </c>
      <c r="E23" t="s">
        <v>204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86</v>
      </c>
      <c r="B24" t="s">
        <v>318</v>
      </c>
      <c r="C24" t="s">
        <v>203</v>
      </c>
      <c r="D24" t="s">
        <v>319</v>
      </c>
      <c r="E24" t="s">
        <v>204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86</v>
      </c>
      <c r="B25" t="s">
        <v>320</v>
      </c>
      <c r="C25" t="s">
        <v>203</v>
      </c>
      <c r="D25" t="s">
        <v>321</v>
      </c>
      <c r="E25" t="s">
        <v>204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86</v>
      </c>
      <c r="B26" t="s">
        <v>322</v>
      </c>
      <c r="C26" t="s">
        <v>203</v>
      </c>
      <c r="D26" t="s">
        <v>323</v>
      </c>
      <c r="E26" t="s">
        <v>204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86</v>
      </c>
      <c r="B27" t="s">
        <v>324</v>
      </c>
      <c r="C27" t="s">
        <v>203</v>
      </c>
      <c r="D27" t="s">
        <v>325</v>
      </c>
      <c r="E27" t="s">
        <v>204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86</v>
      </c>
      <c r="B28" t="s">
        <v>326</v>
      </c>
      <c r="C28" t="s">
        <v>203</v>
      </c>
      <c r="D28" t="s">
        <v>327</v>
      </c>
      <c r="E28" t="s">
        <v>204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86</v>
      </c>
      <c r="B29" t="s">
        <v>328</v>
      </c>
      <c r="C29" t="s">
        <v>203</v>
      </c>
      <c r="D29" t="s">
        <v>329</v>
      </c>
      <c r="E29" t="s">
        <v>204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86</v>
      </c>
      <c r="B30" t="s">
        <v>330</v>
      </c>
      <c r="C30" t="s">
        <v>203</v>
      </c>
      <c r="D30" t="s">
        <v>331</v>
      </c>
      <c r="E30" t="s">
        <v>204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86</v>
      </c>
      <c r="B31" t="s">
        <v>332</v>
      </c>
      <c r="C31" t="s">
        <v>203</v>
      </c>
      <c r="D31" t="s">
        <v>333</v>
      </c>
      <c r="E31" t="s">
        <v>204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86</v>
      </c>
      <c r="B32" t="s">
        <v>334</v>
      </c>
      <c r="C32" t="s">
        <v>203</v>
      </c>
      <c r="D32" t="s">
        <v>335</v>
      </c>
      <c r="E32" t="s">
        <v>204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86</v>
      </c>
      <c r="B33" t="s">
        <v>336</v>
      </c>
      <c r="C33" t="s">
        <v>203</v>
      </c>
      <c r="D33" t="s">
        <v>337</v>
      </c>
      <c r="E33" t="s">
        <v>204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86</v>
      </c>
      <c r="B34" t="s">
        <v>338</v>
      </c>
      <c r="C34" t="s">
        <v>203</v>
      </c>
      <c r="D34" t="s">
        <v>339</v>
      </c>
      <c r="E34" t="s">
        <v>204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86</v>
      </c>
      <c r="B35" t="s">
        <v>340</v>
      </c>
      <c r="C35" t="s">
        <v>203</v>
      </c>
      <c r="D35" t="s">
        <v>341</v>
      </c>
      <c r="E35" t="s">
        <v>204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86</v>
      </c>
      <c r="B36" t="s">
        <v>342</v>
      </c>
      <c r="C36" t="s">
        <v>203</v>
      </c>
      <c r="D36" t="s">
        <v>343</v>
      </c>
      <c r="E36" t="s">
        <v>204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86</v>
      </c>
      <c r="B37" t="s">
        <v>344</v>
      </c>
      <c r="C37" t="s">
        <v>203</v>
      </c>
      <c r="D37" t="s">
        <v>345</v>
      </c>
      <c r="E37" t="s">
        <v>204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86</v>
      </c>
      <c r="B38" t="s">
        <v>346</v>
      </c>
      <c r="C38" t="s">
        <v>203</v>
      </c>
      <c r="D38" t="s">
        <v>347</v>
      </c>
      <c r="E38" t="s">
        <v>204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86</v>
      </c>
      <c r="B39" t="s">
        <v>348</v>
      </c>
      <c r="C39" t="s">
        <v>203</v>
      </c>
      <c r="D39" t="s">
        <v>349</v>
      </c>
      <c r="E39" t="s">
        <v>204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86</v>
      </c>
      <c r="B40" t="s">
        <v>350</v>
      </c>
      <c r="C40" t="s">
        <v>203</v>
      </c>
      <c r="D40" t="s">
        <v>351</v>
      </c>
      <c r="E40" t="s">
        <v>204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86</v>
      </c>
      <c r="B41" t="s">
        <v>352</v>
      </c>
      <c r="C41" t="s">
        <v>203</v>
      </c>
      <c r="D41" t="s">
        <v>353</v>
      </c>
      <c r="E41" t="s">
        <v>204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86</v>
      </c>
      <c r="B42" t="s">
        <v>354</v>
      </c>
      <c r="C42" t="s">
        <v>203</v>
      </c>
      <c r="D42" t="s">
        <v>355</v>
      </c>
      <c r="E42" t="s">
        <v>204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86</v>
      </c>
      <c r="B43" t="s">
        <v>356</v>
      </c>
      <c r="C43" t="s">
        <v>203</v>
      </c>
      <c r="D43" t="s">
        <v>357</v>
      </c>
      <c r="E43" t="s">
        <v>204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86</v>
      </c>
      <c r="B44" t="s">
        <v>358</v>
      </c>
      <c r="C44" t="s">
        <v>203</v>
      </c>
      <c r="D44" t="s">
        <v>359</v>
      </c>
      <c r="E44" t="s">
        <v>204</v>
      </c>
      <c r="F44" t="n">
        <v>2.3370595759098</v>
      </c>
      <c r="G44" t="n">
        <v>3.32853939599275</v>
      </c>
      <c r="H44" t="n">
        <v>25.1489643252785</v>
      </c>
      <c r="I44" t="n">
        <v>31.5511380465411</v>
      </c>
      <c r="J44" t="n">
        <v>24.1392046980128</v>
      </c>
      <c r="K44" t="n">
        <v>26.1480150751013</v>
      </c>
      <c r="L44" t="n">
        <v>28.5499839017676</v>
      </c>
      <c r="M44" t="n">
        <v>25.9522817269967</v>
      </c>
      <c r="N44" t="n">
        <v>26.4338436246391</v>
      </c>
      <c r="O44" t="n">
        <v>27.0319387511609</v>
      </c>
      <c r="P44" t="n">
        <v>28.0143024401129</v>
      </c>
      <c r="Q44" t="n">
        <v>28.1798498609671</v>
      </c>
      <c r="R44" t="n">
        <v>32.7174483527469</v>
      </c>
      <c r="S44" t="n">
        <v>33.6522325913968</v>
      </c>
      <c r="T44" t="n">
        <v>30.0307740587186</v>
      </c>
      <c r="U44" t="n">
        <v>31.9873244898169</v>
      </c>
      <c r="V44" t="n">
        <v>36.5903785017662</v>
      </c>
      <c r="W44" t="n">
        <v>41.0700647586697</v>
      </c>
      <c r="X44" t="n">
        <v>48.8355876200157</v>
      </c>
      <c r="Y44" t="n">
        <v>45.8504452448911</v>
      </c>
      <c r="Z44" t="n">
        <v>43.2015224628858</v>
      </c>
      <c r="AA44" t="n">
        <v>54.397871520903</v>
      </c>
      <c r="AB44" t="n">
        <v>73.0045508864407</v>
      </c>
      <c r="AC44" t="n">
        <v>99.2837837837838</v>
      </c>
      <c r="AD44" t="n">
        <v>106.756756756757</v>
      </c>
      <c r="AE44" t="n">
        <v>100</v>
      </c>
      <c r="AF44" t="n">
        <v>89.042675893887</v>
      </c>
    </row>
    <row r="45">
      <c r="A45" t="s">
        <v>86</v>
      </c>
      <c r="B45" t="s">
        <v>360</v>
      </c>
      <c r="C45" t="s">
        <v>203</v>
      </c>
      <c r="D45" t="s">
        <v>361</v>
      </c>
      <c r="E45" t="s">
        <v>204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86</v>
      </c>
      <c r="B46" t="s">
        <v>362</v>
      </c>
      <c r="C46" t="s">
        <v>203</v>
      </c>
      <c r="D46" t="s">
        <v>363</v>
      </c>
      <c r="E46" t="s">
        <v>204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86</v>
      </c>
      <c r="B47" t="s">
        <v>364</v>
      </c>
      <c r="C47" t="s">
        <v>203</v>
      </c>
      <c r="D47" t="s">
        <v>365</v>
      </c>
      <c r="E47" t="s">
        <v>204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86</v>
      </c>
      <c r="B48" t="s">
        <v>366</v>
      </c>
      <c r="C48" t="s">
        <v>203</v>
      </c>
      <c r="D48" t="s">
        <v>367</v>
      </c>
      <c r="E48" t="s">
        <v>204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86</v>
      </c>
      <c r="B49" t="s">
        <v>368</v>
      </c>
      <c r="C49" t="s">
        <v>203</v>
      </c>
      <c r="D49" t="s">
        <v>369</v>
      </c>
      <c r="E49" t="s">
        <v>204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86</v>
      </c>
      <c r="B50" t="s">
        <v>370</v>
      </c>
      <c r="C50" t="s">
        <v>203</v>
      </c>
      <c r="D50" t="s">
        <v>371</v>
      </c>
      <c r="E50" t="s">
        <v>204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86</v>
      </c>
      <c r="B51" t="s">
        <v>372</v>
      </c>
      <c r="C51" t="s">
        <v>203</v>
      </c>
      <c r="D51" t="s">
        <v>373</v>
      </c>
      <c r="E51" t="s">
        <v>204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86</v>
      </c>
      <c r="B52" t="s">
        <v>374</v>
      </c>
      <c r="C52" t="s">
        <v>203</v>
      </c>
      <c r="D52" t="s">
        <v>375</v>
      </c>
      <c r="E52" t="s">
        <v>204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86</v>
      </c>
      <c r="B53" t="s">
        <v>376</v>
      </c>
      <c r="C53" t="s">
        <v>203</v>
      </c>
      <c r="D53" t="s">
        <v>377</v>
      </c>
      <c r="E53" t="s">
        <v>204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86</v>
      </c>
      <c r="B54" t="s">
        <v>378</v>
      </c>
      <c r="C54" t="s">
        <v>203</v>
      </c>
      <c r="D54" t="s">
        <v>379</v>
      </c>
      <c r="E54" t="s">
        <v>204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86</v>
      </c>
      <c r="B55" t="s">
        <v>380</v>
      </c>
      <c r="C55" t="s">
        <v>203</v>
      </c>
      <c r="D55" t="s">
        <v>381</v>
      </c>
      <c r="E55" t="s">
        <v>204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86</v>
      </c>
      <c r="B56" t="s">
        <v>382</v>
      </c>
      <c r="C56" t="s">
        <v>203</v>
      </c>
      <c r="D56" t="s">
        <v>383</v>
      </c>
      <c r="E56" t="s">
        <v>204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86</v>
      </c>
      <c r="B57" t="s">
        <v>384</v>
      </c>
      <c r="C57" t="s">
        <v>203</v>
      </c>
      <c r="D57" t="s">
        <v>385</v>
      </c>
      <c r="E57" t="s">
        <v>204</v>
      </c>
      <c r="F57" t="n">
        <v>2.35377343446879</v>
      </c>
      <c r="G57" t="n">
        <v>3.35234398242525</v>
      </c>
      <c r="H57" t="n">
        <v>25.3288212005463</v>
      </c>
      <c r="I57" t="n">
        <v>31.7767810999407</v>
      </c>
      <c r="J57" t="n">
        <v>24.3118401144172</v>
      </c>
      <c r="K57" t="n">
        <v>26.3350168229679</v>
      </c>
      <c r="L57" t="n">
        <v>28.7541637171708</v>
      </c>
      <c r="M57" t="n">
        <v>26.1378836562497</v>
      </c>
      <c r="N57" t="n">
        <v>26.622889521486</v>
      </c>
      <c r="O57" t="n">
        <v>27.2252620217867</v>
      </c>
      <c r="P57" t="n">
        <v>28.2146512431298</v>
      </c>
      <c r="Q57" t="n">
        <v>28.3813826030695</v>
      </c>
      <c r="R57" t="n">
        <v>32.9514324624442</v>
      </c>
      <c r="S57" t="n">
        <v>33.8929019613712</v>
      </c>
      <c r="T57" t="n">
        <v>30.2455439838023</v>
      </c>
      <c r="U57" t="n">
        <v>32.2160870009289</v>
      </c>
      <c r="V57" t="n">
        <v>36.8520604961845</v>
      </c>
      <c r="W57" t="n">
        <v>41.3637839519931</v>
      </c>
      <c r="X57" t="n">
        <v>49.1848432027743</v>
      </c>
      <c r="Y57" t="n">
        <v>46.1804155809165</v>
      </c>
      <c r="Z57" t="n">
        <v>43.5291391122835</v>
      </c>
      <c r="AA57" t="n">
        <v>54.7378924336965</v>
      </c>
      <c r="AB57" t="n">
        <v>73.2192883736757</v>
      </c>
      <c r="AC57" t="n">
        <v>99.3604885528393</v>
      </c>
      <c r="AD57" t="n">
        <v>106.704980842912</v>
      </c>
      <c r="AE57" t="n">
        <v>100</v>
      </c>
      <c r="AF57" t="n">
        <v>88.9791183294664</v>
      </c>
    </row>
    <row r="58">
      <c r="A58" t="s">
        <v>86</v>
      </c>
      <c r="B58" t="s">
        <v>386</v>
      </c>
      <c r="C58" t="s">
        <v>203</v>
      </c>
      <c r="D58" t="s">
        <v>387</v>
      </c>
      <c r="E58" t="s">
        <v>204</v>
      </c>
      <c r="F58" t="n">
        <v>2.35377343446879</v>
      </c>
      <c r="G58" t="n">
        <v>3.35234398242525</v>
      </c>
      <c r="H58" t="n">
        <v>25.3288212005463</v>
      </c>
      <c r="I58" t="n">
        <v>31.7767810999407</v>
      </c>
      <c r="J58" t="n">
        <v>24.3118401144172</v>
      </c>
      <c r="K58" t="n">
        <v>26.3350168229679</v>
      </c>
      <c r="L58" t="n">
        <v>28.7541637171708</v>
      </c>
      <c r="M58" t="n">
        <v>26.1378836562497</v>
      </c>
      <c r="N58" t="n">
        <v>26.622889521486</v>
      </c>
      <c r="O58" t="n">
        <v>27.2252620217867</v>
      </c>
      <c r="P58" t="n">
        <v>28.2146512431298</v>
      </c>
      <c r="Q58" t="n">
        <v>28.3813826030695</v>
      </c>
      <c r="R58" t="n">
        <v>32.9514324624442</v>
      </c>
      <c r="S58" t="n">
        <v>33.8929019613712</v>
      </c>
      <c r="T58" t="n">
        <v>30.2455439838023</v>
      </c>
      <c r="U58" t="n">
        <v>32.2160870009289</v>
      </c>
      <c r="V58" t="n">
        <v>36.8520604961845</v>
      </c>
      <c r="W58" t="n">
        <v>41.3637839519931</v>
      </c>
      <c r="X58" t="n">
        <v>49.1848432027743</v>
      </c>
      <c r="Y58" t="n">
        <v>46.1804155809165</v>
      </c>
      <c r="Z58" t="n">
        <v>43.5291391122835</v>
      </c>
      <c r="AA58" t="n">
        <v>54.7378924336965</v>
      </c>
      <c r="AB58" t="n">
        <v>73.2192883736757</v>
      </c>
      <c r="AC58" t="n">
        <v>99.3604885528393</v>
      </c>
      <c r="AD58" t="n">
        <v>106.704980842912</v>
      </c>
      <c r="AE58" t="n">
        <v>100</v>
      </c>
      <c r="AF58" t="n">
        <v>88.9791183294664</v>
      </c>
    </row>
    <row r="59">
      <c r="A59" t="s">
        <v>86</v>
      </c>
      <c r="B59" t="s">
        <v>388</v>
      </c>
      <c r="C59" t="s">
        <v>203</v>
      </c>
      <c r="D59" t="s">
        <v>389</v>
      </c>
      <c r="E59" t="s">
        <v>204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88</v>
      </c>
      <c r="B2" t="s">
        <v>197</v>
      </c>
      <c r="C2" t="s">
        <v>203</v>
      </c>
      <c r="D2" t="s">
        <v>199</v>
      </c>
      <c r="E2" t="s">
        <v>204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/>
      <c r="AE2"/>
      <c r="AF2"/>
    </row>
    <row r="3">
      <c r="A3" t="s">
        <v>88</v>
      </c>
      <c r="B3" t="s">
        <v>276</v>
      </c>
      <c r="C3" t="s">
        <v>203</v>
      </c>
      <c r="D3" t="s">
        <v>277</v>
      </c>
      <c r="E3" t="s">
        <v>204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/>
      <c r="AE3"/>
      <c r="AF3"/>
    </row>
    <row r="4">
      <c r="A4" t="s">
        <v>88</v>
      </c>
      <c r="B4" t="s">
        <v>278</v>
      </c>
      <c r="C4" t="s">
        <v>203</v>
      </c>
      <c r="D4" t="s">
        <v>279</v>
      </c>
      <c r="E4" t="s">
        <v>204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/>
      <c r="AE4"/>
      <c r="AF4"/>
    </row>
    <row r="5">
      <c r="A5" t="s">
        <v>88</v>
      </c>
      <c r="B5" t="s">
        <v>280</v>
      </c>
      <c r="C5" t="s">
        <v>203</v>
      </c>
      <c r="D5" t="s">
        <v>281</v>
      </c>
      <c r="E5" t="s">
        <v>204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/>
      <c r="AE5"/>
      <c r="AF5"/>
    </row>
    <row r="6">
      <c r="A6" t="s">
        <v>88</v>
      </c>
      <c r="B6" t="s">
        <v>282</v>
      </c>
      <c r="C6" t="s">
        <v>203</v>
      </c>
      <c r="D6" t="s">
        <v>283</v>
      </c>
      <c r="E6" t="s">
        <v>204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/>
      <c r="AE6"/>
      <c r="AF6"/>
    </row>
    <row r="7">
      <c r="A7" t="s">
        <v>88</v>
      </c>
      <c r="B7" t="s">
        <v>284</v>
      </c>
      <c r="C7" t="s">
        <v>203</v>
      </c>
      <c r="D7" t="s">
        <v>285</v>
      </c>
      <c r="E7" t="s">
        <v>204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/>
      <c r="AE7"/>
      <c r="AF7"/>
    </row>
    <row r="8">
      <c r="A8" t="s">
        <v>88</v>
      </c>
      <c r="B8" t="s">
        <v>286</v>
      </c>
      <c r="C8" t="s">
        <v>203</v>
      </c>
      <c r="D8" t="s">
        <v>287</v>
      </c>
      <c r="E8" t="s">
        <v>204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/>
      <c r="AE8"/>
      <c r="AF8"/>
    </row>
    <row r="9">
      <c r="A9" t="s">
        <v>88</v>
      </c>
      <c r="B9" t="s">
        <v>288</v>
      </c>
      <c r="C9" t="s">
        <v>203</v>
      </c>
      <c r="D9" t="s">
        <v>289</v>
      </c>
      <c r="E9" t="s">
        <v>204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/>
      <c r="AE9"/>
      <c r="AF9"/>
    </row>
    <row r="10">
      <c r="A10" t="s">
        <v>88</v>
      </c>
      <c r="B10" t="s">
        <v>290</v>
      </c>
      <c r="C10" t="s">
        <v>203</v>
      </c>
      <c r="D10" t="s">
        <v>291</v>
      </c>
      <c r="E10" t="s">
        <v>204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/>
      <c r="AE10"/>
      <c r="AF10"/>
    </row>
    <row r="11">
      <c r="A11" t="s">
        <v>88</v>
      </c>
      <c r="B11" t="s">
        <v>292</v>
      </c>
      <c r="C11" t="s">
        <v>203</v>
      </c>
      <c r="D11" t="s">
        <v>293</v>
      </c>
      <c r="E11" t="s">
        <v>204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/>
      <c r="AE11"/>
      <c r="AF11"/>
    </row>
    <row r="12">
      <c r="A12" t="s">
        <v>88</v>
      </c>
      <c r="B12" t="s">
        <v>294</v>
      </c>
      <c r="C12" t="s">
        <v>203</v>
      </c>
      <c r="D12" t="s">
        <v>295</v>
      </c>
      <c r="E12" t="s">
        <v>204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/>
      <c r="AE12"/>
      <c r="AF12"/>
    </row>
    <row r="13">
      <c r="A13" t="s">
        <v>88</v>
      </c>
      <c r="B13" t="s">
        <v>296</v>
      </c>
      <c r="C13" t="s">
        <v>203</v>
      </c>
      <c r="D13" t="s">
        <v>297</v>
      </c>
      <c r="E13" t="s">
        <v>204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/>
      <c r="AE13"/>
      <c r="AF13"/>
    </row>
    <row r="14">
      <c r="A14" t="s">
        <v>88</v>
      </c>
      <c r="B14" t="s">
        <v>298</v>
      </c>
      <c r="C14" t="s">
        <v>203</v>
      </c>
      <c r="D14" t="s">
        <v>299</v>
      </c>
      <c r="E14" t="s">
        <v>204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/>
      <c r="AE14"/>
      <c r="AF14"/>
    </row>
    <row r="15">
      <c r="A15" t="s">
        <v>88</v>
      </c>
      <c r="B15" t="s">
        <v>300</v>
      </c>
      <c r="C15" t="s">
        <v>203</v>
      </c>
      <c r="D15" t="s">
        <v>301</v>
      </c>
      <c r="E15" t="s">
        <v>204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/>
      <c r="AE15"/>
      <c r="AF15"/>
    </row>
    <row r="16">
      <c r="A16" t="s">
        <v>88</v>
      </c>
      <c r="B16" t="s">
        <v>302</v>
      </c>
      <c r="C16" t="s">
        <v>203</v>
      </c>
      <c r="D16" t="s">
        <v>303</v>
      </c>
      <c r="E16" t="s">
        <v>204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/>
      <c r="AE16"/>
      <c r="AF16"/>
    </row>
    <row r="17">
      <c r="A17" t="s">
        <v>88</v>
      </c>
      <c r="B17" t="s">
        <v>304</v>
      </c>
      <c r="C17" t="s">
        <v>203</v>
      </c>
      <c r="D17" t="s">
        <v>305</v>
      </c>
      <c r="E17" t="s">
        <v>204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/>
      <c r="AE17"/>
      <c r="AF17"/>
    </row>
    <row r="18">
      <c r="A18" t="s">
        <v>88</v>
      </c>
      <c r="B18" t="s">
        <v>306</v>
      </c>
      <c r="C18" t="s">
        <v>203</v>
      </c>
      <c r="D18" t="s">
        <v>307</v>
      </c>
      <c r="E18" t="s">
        <v>204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/>
      <c r="AE18"/>
      <c r="AF18"/>
    </row>
    <row r="19">
      <c r="A19" t="s">
        <v>88</v>
      </c>
      <c r="B19" t="s">
        <v>308</v>
      </c>
      <c r="C19" t="s">
        <v>203</v>
      </c>
      <c r="D19" t="s">
        <v>309</v>
      </c>
      <c r="E19" t="s">
        <v>204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/>
      <c r="AE19"/>
      <c r="AF19"/>
    </row>
    <row r="20">
      <c r="A20" t="s">
        <v>88</v>
      </c>
      <c r="B20" t="s">
        <v>310</v>
      </c>
      <c r="C20" t="s">
        <v>203</v>
      </c>
      <c r="D20" t="s">
        <v>311</v>
      </c>
      <c r="E20" t="s">
        <v>204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/>
      <c r="AE20"/>
      <c r="AF20"/>
    </row>
    <row r="21">
      <c r="A21" t="s">
        <v>88</v>
      </c>
      <c r="B21" t="s">
        <v>312</v>
      </c>
      <c r="C21" t="s">
        <v>203</v>
      </c>
      <c r="D21" t="s">
        <v>313</v>
      </c>
      <c r="E21" t="s">
        <v>204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/>
      <c r="AE21"/>
      <c r="AF21"/>
    </row>
    <row r="22">
      <c r="A22" t="s">
        <v>88</v>
      </c>
      <c r="B22" t="s">
        <v>314</v>
      </c>
      <c r="C22" t="s">
        <v>203</v>
      </c>
      <c r="D22" t="s">
        <v>315</v>
      </c>
      <c r="E22" t="s">
        <v>204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/>
      <c r="AE22"/>
      <c r="AF22"/>
    </row>
    <row r="23">
      <c r="A23" t="s">
        <v>88</v>
      </c>
      <c r="B23" t="s">
        <v>316</v>
      </c>
      <c r="C23" t="s">
        <v>203</v>
      </c>
      <c r="D23" t="s">
        <v>317</v>
      </c>
      <c r="E23" t="s">
        <v>204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/>
      <c r="AE23"/>
      <c r="AF23"/>
    </row>
    <row r="24">
      <c r="A24" t="s">
        <v>88</v>
      </c>
      <c r="B24" t="s">
        <v>318</v>
      </c>
      <c r="C24" t="s">
        <v>203</v>
      </c>
      <c r="D24" t="s">
        <v>319</v>
      </c>
      <c r="E24" t="s">
        <v>204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/>
      <c r="AE24"/>
      <c r="AF24"/>
    </row>
    <row r="25">
      <c r="A25" t="s">
        <v>88</v>
      </c>
      <c r="B25" t="s">
        <v>320</v>
      </c>
      <c r="C25" t="s">
        <v>203</v>
      </c>
      <c r="D25" t="s">
        <v>321</v>
      </c>
      <c r="E25" t="s">
        <v>204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/>
      <c r="AE25"/>
      <c r="AF25"/>
    </row>
    <row r="26">
      <c r="A26" t="s">
        <v>88</v>
      </c>
      <c r="B26" t="s">
        <v>322</v>
      </c>
      <c r="C26" t="s">
        <v>203</v>
      </c>
      <c r="D26" t="s">
        <v>323</v>
      </c>
      <c r="E26" t="s">
        <v>204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/>
      <c r="AE26"/>
      <c r="AF26"/>
    </row>
    <row r="27">
      <c r="A27" t="s">
        <v>88</v>
      </c>
      <c r="B27" t="s">
        <v>324</v>
      </c>
      <c r="C27" t="s">
        <v>203</v>
      </c>
      <c r="D27" t="s">
        <v>325</v>
      </c>
      <c r="E27" t="s">
        <v>204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/>
      <c r="AE27"/>
      <c r="AF27"/>
    </row>
    <row r="28">
      <c r="A28" t="s">
        <v>88</v>
      </c>
      <c r="B28" t="s">
        <v>326</v>
      </c>
      <c r="C28" t="s">
        <v>203</v>
      </c>
      <c r="D28" t="s">
        <v>327</v>
      </c>
      <c r="E28" t="s">
        <v>204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/>
      <c r="AE28"/>
      <c r="AF28"/>
    </row>
    <row r="29">
      <c r="A29" t="s">
        <v>88</v>
      </c>
      <c r="B29" t="s">
        <v>328</v>
      </c>
      <c r="C29" t="s">
        <v>203</v>
      </c>
      <c r="D29" t="s">
        <v>329</v>
      </c>
      <c r="E29" t="s">
        <v>204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/>
      <c r="AE29"/>
      <c r="AF29"/>
    </row>
    <row r="30">
      <c r="A30" t="s">
        <v>88</v>
      </c>
      <c r="B30" t="s">
        <v>330</v>
      </c>
      <c r="C30" t="s">
        <v>203</v>
      </c>
      <c r="D30" t="s">
        <v>331</v>
      </c>
      <c r="E30" t="s">
        <v>204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/>
      <c r="AE30"/>
      <c r="AF30"/>
    </row>
    <row r="31">
      <c r="A31" t="s">
        <v>88</v>
      </c>
      <c r="B31" t="s">
        <v>332</v>
      </c>
      <c r="C31" t="s">
        <v>203</v>
      </c>
      <c r="D31" t="s">
        <v>333</v>
      </c>
      <c r="E31" t="s">
        <v>204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/>
      <c r="AE31"/>
      <c r="AF31"/>
    </row>
    <row r="32">
      <c r="A32" t="s">
        <v>88</v>
      </c>
      <c r="B32" t="s">
        <v>334</v>
      </c>
      <c r="C32" t="s">
        <v>203</v>
      </c>
      <c r="D32" t="s">
        <v>335</v>
      </c>
      <c r="E32" t="s">
        <v>204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/>
      <c r="AE32"/>
      <c r="AF32"/>
    </row>
    <row r="33">
      <c r="A33" t="s">
        <v>88</v>
      </c>
      <c r="B33" t="s">
        <v>336</v>
      </c>
      <c r="C33" t="s">
        <v>203</v>
      </c>
      <c r="D33" t="s">
        <v>337</v>
      </c>
      <c r="E33" t="s">
        <v>204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/>
      <c r="AE33"/>
      <c r="AF33"/>
    </row>
    <row r="34">
      <c r="A34" t="s">
        <v>88</v>
      </c>
      <c r="B34" t="s">
        <v>338</v>
      </c>
      <c r="C34" t="s">
        <v>203</v>
      </c>
      <c r="D34" t="s">
        <v>339</v>
      </c>
      <c r="E34" t="s">
        <v>204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/>
      <c r="AE34"/>
      <c r="AF34"/>
    </row>
    <row r="35">
      <c r="A35" t="s">
        <v>88</v>
      </c>
      <c r="B35" t="s">
        <v>340</v>
      </c>
      <c r="C35" t="s">
        <v>203</v>
      </c>
      <c r="D35" t="s">
        <v>341</v>
      </c>
      <c r="E35" t="s">
        <v>204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/>
      <c r="AE35"/>
      <c r="AF35"/>
    </row>
    <row r="36">
      <c r="A36" t="s">
        <v>88</v>
      </c>
      <c r="B36" t="s">
        <v>342</v>
      </c>
      <c r="C36" t="s">
        <v>203</v>
      </c>
      <c r="D36" t="s">
        <v>343</v>
      </c>
      <c r="E36" t="s">
        <v>204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/>
      <c r="AE36"/>
      <c r="AF36"/>
    </row>
    <row r="37">
      <c r="A37" t="s">
        <v>88</v>
      </c>
      <c r="B37" t="s">
        <v>344</v>
      </c>
      <c r="C37" t="s">
        <v>203</v>
      </c>
      <c r="D37" t="s">
        <v>345</v>
      </c>
      <c r="E37" t="s">
        <v>204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/>
      <c r="AE37"/>
      <c r="AF37"/>
    </row>
    <row r="38">
      <c r="A38" t="s">
        <v>88</v>
      </c>
      <c r="B38" t="s">
        <v>346</v>
      </c>
      <c r="C38" t="s">
        <v>203</v>
      </c>
      <c r="D38" t="s">
        <v>347</v>
      </c>
      <c r="E38" t="s">
        <v>204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/>
      <c r="AE38"/>
      <c r="AF38"/>
    </row>
    <row r="39">
      <c r="A39" t="s">
        <v>88</v>
      </c>
      <c r="B39" t="s">
        <v>348</v>
      </c>
      <c r="C39" t="s">
        <v>203</v>
      </c>
      <c r="D39" t="s">
        <v>349</v>
      </c>
      <c r="E39" t="s">
        <v>204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/>
      <c r="AE39"/>
      <c r="AF39"/>
    </row>
    <row r="40">
      <c r="A40" t="s">
        <v>88</v>
      </c>
      <c r="B40" t="s">
        <v>350</v>
      </c>
      <c r="C40" t="s">
        <v>203</v>
      </c>
      <c r="D40" t="s">
        <v>351</v>
      </c>
      <c r="E40" t="s">
        <v>204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/>
      <c r="AE40"/>
      <c r="AF40"/>
    </row>
    <row r="41">
      <c r="A41" t="s">
        <v>88</v>
      </c>
      <c r="B41" t="s">
        <v>352</v>
      </c>
      <c r="C41" t="s">
        <v>203</v>
      </c>
      <c r="D41" t="s">
        <v>353</v>
      </c>
      <c r="E41" t="s">
        <v>204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/>
      <c r="AE41"/>
      <c r="AF41"/>
    </row>
    <row r="42">
      <c r="A42" t="s">
        <v>88</v>
      </c>
      <c r="B42" t="s">
        <v>354</v>
      </c>
      <c r="C42" t="s">
        <v>203</v>
      </c>
      <c r="D42" t="s">
        <v>355</v>
      </c>
      <c r="E42" t="s">
        <v>204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/>
      <c r="AE42"/>
      <c r="AF42"/>
    </row>
    <row r="43">
      <c r="A43" t="s">
        <v>88</v>
      </c>
      <c r="B43" t="s">
        <v>356</v>
      </c>
      <c r="C43" t="s">
        <v>203</v>
      </c>
      <c r="D43" t="s">
        <v>357</v>
      </c>
      <c r="E43" t="s">
        <v>204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/>
      <c r="AE43"/>
      <c r="AF43"/>
    </row>
    <row r="44">
      <c r="A44" t="s">
        <v>88</v>
      </c>
      <c r="B44" t="s">
        <v>358</v>
      </c>
      <c r="C44" t="s">
        <v>203</v>
      </c>
      <c r="D44" t="s">
        <v>359</v>
      </c>
      <c r="E44" t="s">
        <v>204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/>
      <c r="AE44"/>
      <c r="AF44"/>
    </row>
    <row r="45">
      <c r="A45" t="s">
        <v>88</v>
      </c>
      <c r="B45" t="s">
        <v>360</v>
      </c>
      <c r="C45" t="s">
        <v>203</v>
      </c>
      <c r="D45" t="s">
        <v>361</v>
      </c>
      <c r="E45" t="s">
        <v>204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/>
      <c r="AE45"/>
      <c r="AF45"/>
    </row>
    <row r="46">
      <c r="A46" t="s">
        <v>88</v>
      </c>
      <c r="B46" t="s">
        <v>362</v>
      </c>
      <c r="C46" t="s">
        <v>203</v>
      </c>
      <c r="D46" t="s">
        <v>363</v>
      </c>
      <c r="E46" t="s">
        <v>204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/>
      <c r="AE46"/>
      <c r="AF46"/>
    </row>
    <row r="47">
      <c r="A47" t="s">
        <v>88</v>
      </c>
      <c r="B47" t="s">
        <v>364</v>
      </c>
      <c r="C47" t="s">
        <v>203</v>
      </c>
      <c r="D47" t="s">
        <v>365</v>
      </c>
      <c r="E47" t="s">
        <v>204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/>
      <c r="AE47"/>
      <c r="AF47"/>
    </row>
    <row r="48">
      <c r="A48" t="s">
        <v>88</v>
      </c>
      <c r="B48" t="s">
        <v>366</v>
      </c>
      <c r="C48" t="s">
        <v>203</v>
      </c>
      <c r="D48" t="s">
        <v>367</v>
      </c>
      <c r="E48" t="s">
        <v>204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/>
      <c r="AE48"/>
      <c r="AF48"/>
    </row>
    <row r="49">
      <c r="A49" t="s">
        <v>88</v>
      </c>
      <c r="B49" t="s">
        <v>368</v>
      </c>
      <c r="C49" t="s">
        <v>203</v>
      </c>
      <c r="D49" t="s">
        <v>369</v>
      </c>
      <c r="E49" t="s">
        <v>204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/>
      <c r="AE49"/>
      <c r="AF49"/>
    </row>
    <row r="50">
      <c r="A50" t="s">
        <v>88</v>
      </c>
      <c r="B50" t="s">
        <v>370</v>
      </c>
      <c r="C50" t="s">
        <v>203</v>
      </c>
      <c r="D50" t="s">
        <v>371</v>
      </c>
      <c r="E50" t="s">
        <v>204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/>
      <c r="AE50"/>
      <c r="AF50"/>
    </row>
    <row r="51">
      <c r="A51" t="s">
        <v>88</v>
      </c>
      <c r="B51" t="s">
        <v>372</v>
      </c>
      <c r="C51" t="s">
        <v>203</v>
      </c>
      <c r="D51" t="s">
        <v>373</v>
      </c>
      <c r="E51" t="s">
        <v>204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/>
      <c r="AE51"/>
      <c r="AF51"/>
    </row>
    <row r="52">
      <c r="A52" t="s">
        <v>88</v>
      </c>
      <c r="B52" t="s">
        <v>374</v>
      </c>
      <c r="C52" t="s">
        <v>203</v>
      </c>
      <c r="D52" t="s">
        <v>375</v>
      </c>
      <c r="E52" t="s">
        <v>204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/>
      <c r="AE52"/>
      <c r="AF52"/>
    </row>
    <row r="53">
      <c r="A53" t="s">
        <v>88</v>
      </c>
      <c r="B53" t="s">
        <v>376</v>
      </c>
      <c r="C53" t="s">
        <v>203</v>
      </c>
      <c r="D53" t="s">
        <v>377</v>
      </c>
      <c r="E53" t="s">
        <v>204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/>
      <c r="AE53"/>
      <c r="AF53"/>
    </row>
    <row r="54">
      <c r="A54" t="s">
        <v>88</v>
      </c>
      <c r="B54" t="s">
        <v>378</v>
      </c>
      <c r="C54" t="s">
        <v>203</v>
      </c>
      <c r="D54" t="s">
        <v>379</v>
      </c>
      <c r="E54" t="s">
        <v>204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/>
      <c r="AE54"/>
      <c r="AF54"/>
    </row>
    <row r="55">
      <c r="A55" t="s">
        <v>88</v>
      </c>
      <c r="B55" t="s">
        <v>380</v>
      </c>
      <c r="C55" t="s">
        <v>203</v>
      </c>
      <c r="D55" t="s">
        <v>381</v>
      </c>
      <c r="E55" t="s">
        <v>204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/>
      <c r="AE55"/>
      <c r="AF55"/>
    </row>
    <row r="56">
      <c r="A56" t="s">
        <v>88</v>
      </c>
      <c r="B56" t="s">
        <v>382</v>
      </c>
      <c r="C56" t="s">
        <v>203</v>
      </c>
      <c r="D56" t="s">
        <v>383</v>
      </c>
      <c r="E56" t="s">
        <v>204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/>
      <c r="AE56"/>
      <c r="AF56"/>
    </row>
    <row r="57">
      <c r="A57" t="s">
        <v>88</v>
      </c>
      <c r="B57" t="s">
        <v>384</v>
      </c>
      <c r="C57" t="s">
        <v>203</v>
      </c>
      <c r="D57" t="s">
        <v>385</v>
      </c>
      <c r="E57" t="s">
        <v>204</v>
      </c>
      <c r="F57" t="n">
        <v>4.21857534055533</v>
      </c>
      <c r="G57" t="n">
        <v>6.01537594856963</v>
      </c>
      <c r="H57" t="n">
        <v>45.5509158036514</v>
      </c>
      <c r="I57" t="n">
        <v>70.0610030412245</v>
      </c>
      <c r="J57" t="n">
        <v>59.4240589099656</v>
      </c>
      <c r="K57" t="n">
        <v>62.4666308263419</v>
      </c>
      <c r="L57" t="n">
        <v>66.629172177618</v>
      </c>
      <c r="M57" t="n">
        <v>68.0651457159287</v>
      </c>
      <c r="N57" t="n">
        <v>69.1825841294205</v>
      </c>
      <c r="O57" t="n">
        <v>72.9141507196948</v>
      </c>
      <c r="P57" t="n">
        <v>76.3799659417717</v>
      </c>
      <c r="Q57" t="n">
        <v>80.7081640118055</v>
      </c>
      <c r="R57" t="n">
        <v>85.2559136244536</v>
      </c>
      <c r="S57" t="n">
        <v>94.576180361304</v>
      </c>
      <c r="T57" t="n">
        <v>97.3722603823592</v>
      </c>
      <c r="U57" t="n">
        <v>99.3876886942585</v>
      </c>
      <c r="V57" t="n">
        <v>102.276865691185</v>
      </c>
      <c r="W57" t="n">
        <v>100.041437134362</v>
      </c>
      <c r="X57" t="n">
        <v>90.1921992745889</v>
      </c>
      <c r="Y57" t="n">
        <v>86.8181750694536</v>
      </c>
      <c r="Z57" t="n">
        <v>86.6334912702341</v>
      </c>
      <c r="AA57" t="n">
        <v>86.4755610653663</v>
      </c>
      <c r="AB57" t="n">
        <v>89.1594551872698</v>
      </c>
      <c r="AC57" t="n">
        <v>92.5943898933416</v>
      </c>
      <c r="AD57" t="n">
        <v>95.6200093940817</v>
      </c>
      <c r="AE57" t="n">
        <v>100</v>
      </c>
      <c r="AF57" t="n">
        <v>107.560526688376</v>
      </c>
    </row>
    <row r="58">
      <c r="A58" t="s">
        <v>88</v>
      </c>
      <c r="B58" t="s">
        <v>386</v>
      </c>
      <c r="C58" t="s">
        <v>203</v>
      </c>
      <c r="D58" t="s">
        <v>387</v>
      </c>
      <c r="E58" t="s">
        <v>204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/>
      <c r="AE58"/>
      <c r="AF58"/>
    </row>
    <row r="59">
      <c r="A59" t="s">
        <v>88</v>
      </c>
      <c r="B59" t="s">
        <v>388</v>
      </c>
      <c r="C59" t="s">
        <v>203</v>
      </c>
      <c r="D59" t="s">
        <v>389</v>
      </c>
      <c r="E59" t="s">
        <v>204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90</v>
      </c>
      <c r="B2" t="s">
        <v>197</v>
      </c>
      <c r="C2" t="s">
        <v>203</v>
      </c>
      <c r="D2" t="s">
        <v>199</v>
      </c>
      <c r="E2" t="s">
        <v>204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90</v>
      </c>
      <c r="B3" t="s">
        <v>276</v>
      </c>
      <c r="C3" t="s">
        <v>203</v>
      </c>
      <c r="D3" t="s">
        <v>277</v>
      </c>
      <c r="E3" t="s">
        <v>204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90</v>
      </c>
      <c r="B4" t="s">
        <v>278</v>
      </c>
      <c r="C4" t="s">
        <v>203</v>
      </c>
      <c r="D4" t="s">
        <v>279</v>
      </c>
      <c r="E4" t="s">
        <v>204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90</v>
      </c>
      <c r="B5" t="s">
        <v>280</v>
      </c>
      <c r="C5" t="s">
        <v>203</v>
      </c>
      <c r="D5" t="s">
        <v>281</v>
      </c>
      <c r="E5" t="s">
        <v>204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90</v>
      </c>
      <c r="B6" t="s">
        <v>282</v>
      </c>
      <c r="C6" t="s">
        <v>203</v>
      </c>
      <c r="D6" t="s">
        <v>283</v>
      </c>
      <c r="E6" t="s">
        <v>204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90</v>
      </c>
      <c r="B7" t="s">
        <v>284</v>
      </c>
      <c r="C7" t="s">
        <v>203</v>
      </c>
      <c r="D7" t="s">
        <v>285</v>
      </c>
      <c r="E7" t="s">
        <v>204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90</v>
      </c>
      <c r="B8" t="s">
        <v>286</v>
      </c>
      <c r="C8" t="s">
        <v>203</v>
      </c>
      <c r="D8" t="s">
        <v>287</v>
      </c>
      <c r="E8" t="s">
        <v>204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90</v>
      </c>
      <c r="B9" t="s">
        <v>288</v>
      </c>
      <c r="C9" t="s">
        <v>203</v>
      </c>
      <c r="D9" t="s">
        <v>289</v>
      </c>
      <c r="E9" t="s">
        <v>204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90</v>
      </c>
      <c r="B10" t="s">
        <v>290</v>
      </c>
      <c r="C10" t="s">
        <v>203</v>
      </c>
      <c r="D10" t="s">
        <v>291</v>
      </c>
      <c r="E10" t="s">
        <v>204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90</v>
      </c>
      <c r="B11" t="s">
        <v>292</v>
      </c>
      <c r="C11" t="s">
        <v>203</v>
      </c>
      <c r="D11" t="s">
        <v>293</v>
      </c>
      <c r="E11" t="s">
        <v>204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90</v>
      </c>
      <c r="B12" t="s">
        <v>294</v>
      </c>
      <c r="C12" t="s">
        <v>203</v>
      </c>
      <c r="D12" t="s">
        <v>295</v>
      </c>
      <c r="E12" t="s">
        <v>204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90</v>
      </c>
      <c r="B13" t="s">
        <v>296</v>
      </c>
      <c r="C13" t="s">
        <v>203</v>
      </c>
      <c r="D13" t="s">
        <v>297</v>
      </c>
      <c r="E13" t="s">
        <v>204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90</v>
      </c>
      <c r="B14" t="s">
        <v>298</v>
      </c>
      <c r="C14" t="s">
        <v>203</v>
      </c>
      <c r="D14" t="s">
        <v>299</v>
      </c>
      <c r="E14" t="s">
        <v>204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90</v>
      </c>
      <c r="B15" t="s">
        <v>300</v>
      </c>
      <c r="C15" t="s">
        <v>203</v>
      </c>
      <c r="D15" t="s">
        <v>301</v>
      </c>
      <c r="E15" t="s">
        <v>204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90</v>
      </c>
      <c r="B16" t="s">
        <v>302</v>
      </c>
      <c r="C16" t="s">
        <v>203</v>
      </c>
      <c r="D16" t="s">
        <v>303</v>
      </c>
      <c r="E16" t="s">
        <v>204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90</v>
      </c>
      <c r="B17" t="s">
        <v>304</v>
      </c>
      <c r="C17" t="s">
        <v>203</v>
      </c>
      <c r="D17" t="s">
        <v>305</v>
      </c>
      <c r="E17" t="s">
        <v>204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90</v>
      </c>
      <c r="B18" t="s">
        <v>306</v>
      </c>
      <c r="C18" t="s">
        <v>203</v>
      </c>
      <c r="D18" t="s">
        <v>307</v>
      </c>
      <c r="E18" t="s">
        <v>204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90</v>
      </c>
      <c r="B19" t="s">
        <v>308</v>
      </c>
      <c r="C19" t="s">
        <v>203</v>
      </c>
      <c r="D19" t="s">
        <v>309</v>
      </c>
      <c r="E19" t="s">
        <v>204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90</v>
      </c>
      <c r="B20" t="s">
        <v>310</v>
      </c>
      <c r="C20" t="s">
        <v>203</v>
      </c>
      <c r="D20" t="s">
        <v>311</v>
      </c>
      <c r="E20" t="s">
        <v>204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90</v>
      </c>
      <c r="B21" t="s">
        <v>312</v>
      </c>
      <c r="C21" t="s">
        <v>203</v>
      </c>
      <c r="D21" t="s">
        <v>313</v>
      </c>
      <c r="E21" t="s">
        <v>204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90</v>
      </c>
      <c r="B22" t="s">
        <v>314</v>
      </c>
      <c r="C22" t="s">
        <v>203</v>
      </c>
      <c r="D22" t="s">
        <v>315</v>
      </c>
      <c r="E22" t="s">
        <v>204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90</v>
      </c>
      <c r="B23" t="s">
        <v>316</v>
      </c>
      <c r="C23" t="s">
        <v>203</v>
      </c>
      <c r="D23" t="s">
        <v>317</v>
      </c>
      <c r="E23" t="s">
        <v>204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90</v>
      </c>
      <c r="B24" t="s">
        <v>318</v>
      </c>
      <c r="C24" t="s">
        <v>203</v>
      </c>
      <c r="D24" t="s">
        <v>319</v>
      </c>
      <c r="E24" t="s">
        <v>204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90</v>
      </c>
      <c r="B25" t="s">
        <v>320</v>
      </c>
      <c r="C25" t="s">
        <v>203</v>
      </c>
      <c r="D25" t="s">
        <v>321</v>
      </c>
      <c r="E25" t="s">
        <v>204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90</v>
      </c>
      <c r="B26" t="s">
        <v>322</v>
      </c>
      <c r="C26" t="s">
        <v>203</v>
      </c>
      <c r="D26" t="s">
        <v>323</v>
      </c>
      <c r="E26" t="s">
        <v>204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90</v>
      </c>
      <c r="B27" t="s">
        <v>324</v>
      </c>
      <c r="C27" t="s">
        <v>203</v>
      </c>
      <c r="D27" t="s">
        <v>325</v>
      </c>
      <c r="E27" t="s">
        <v>204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90</v>
      </c>
      <c r="B28" t="s">
        <v>326</v>
      </c>
      <c r="C28" t="s">
        <v>203</v>
      </c>
      <c r="D28" t="s">
        <v>327</v>
      </c>
      <c r="E28" t="s">
        <v>204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90</v>
      </c>
      <c r="B29" t="s">
        <v>328</v>
      </c>
      <c r="C29" t="s">
        <v>203</v>
      </c>
      <c r="D29" t="s">
        <v>329</v>
      </c>
      <c r="E29" t="s">
        <v>204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90</v>
      </c>
      <c r="B30" t="s">
        <v>330</v>
      </c>
      <c r="C30" t="s">
        <v>203</v>
      </c>
      <c r="D30" t="s">
        <v>331</v>
      </c>
      <c r="E30" t="s">
        <v>204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90</v>
      </c>
      <c r="B31" t="s">
        <v>332</v>
      </c>
      <c r="C31" t="s">
        <v>203</v>
      </c>
      <c r="D31" t="s">
        <v>333</v>
      </c>
      <c r="E31" t="s">
        <v>204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90</v>
      </c>
      <c r="B32" t="s">
        <v>334</v>
      </c>
      <c r="C32" t="s">
        <v>203</v>
      </c>
      <c r="D32" t="s">
        <v>335</v>
      </c>
      <c r="E32" t="s">
        <v>204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90</v>
      </c>
      <c r="B33" t="s">
        <v>336</v>
      </c>
      <c r="C33" t="s">
        <v>203</v>
      </c>
      <c r="D33" t="s">
        <v>337</v>
      </c>
      <c r="E33" t="s">
        <v>204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90</v>
      </c>
      <c r="B34" t="s">
        <v>338</v>
      </c>
      <c r="C34" t="s">
        <v>203</v>
      </c>
      <c r="D34" t="s">
        <v>339</v>
      </c>
      <c r="E34" t="s">
        <v>204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90</v>
      </c>
      <c r="B35" t="s">
        <v>340</v>
      </c>
      <c r="C35" t="s">
        <v>203</v>
      </c>
      <c r="D35" t="s">
        <v>341</v>
      </c>
      <c r="E35" t="s">
        <v>204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90</v>
      </c>
      <c r="B36" t="s">
        <v>342</v>
      </c>
      <c r="C36" t="s">
        <v>203</v>
      </c>
      <c r="D36" t="s">
        <v>343</v>
      </c>
      <c r="E36" t="s">
        <v>204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90</v>
      </c>
      <c r="B37" t="s">
        <v>344</v>
      </c>
      <c r="C37" t="s">
        <v>203</v>
      </c>
      <c r="D37" t="s">
        <v>345</v>
      </c>
      <c r="E37" t="s">
        <v>204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90</v>
      </c>
      <c r="B38" t="s">
        <v>346</v>
      </c>
      <c r="C38" t="s">
        <v>203</v>
      </c>
      <c r="D38" t="s">
        <v>347</v>
      </c>
      <c r="E38" t="s">
        <v>204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90</v>
      </c>
      <c r="B39" t="s">
        <v>348</v>
      </c>
      <c r="C39" t="s">
        <v>203</v>
      </c>
      <c r="D39" t="s">
        <v>349</v>
      </c>
      <c r="E39" t="s">
        <v>204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90</v>
      </c>
      <c r="B40" t="s">
        <v>350</v>
      </c>
      <c r="C40" t="s">
        <v>203</v>
      </c>
      <c r="D40" t="s">
        <v>351</v>
      </c>
      <c r="E40" t="s">
        <v>204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90</v>
      </c>
      <c r="B41" t="s">
        <v>352</v>
      </c>
      <c r="C41" t="s">
        <v>203</v>
      </c>
      <c r="D41" t="s">
        <v>353</v>
      </c>
      <c r="E41" t="s">
        <v>204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90</v>
      </c>
      <c r="B42" t="s">
        <v>354</v>
      </c>
      <c r="C42" t="s">
        <v>203</v>
      </c>
      <c r="D42" t="s">
        <v>355</v>
      </c>
      <c r="E42" t="s">
        <v>204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90</v>
      </c>
      <c r="B43" t="s">
        <v>356</v>
      </c>
      <c r="C43" t="s">
        <v>203</v>
      </c>
      <c r="D43" t="s">
        <v>357</v>
      </c>
      <c r="E43" t="s">
        <v>204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90</v>
      </c>
      <c r="B44" t="s">
        <v>358</v>
      </c>
      <c r="C44" t="s">
        <v>203</v>
      </c>
      <c r="D44" t="s">
        <v>359</v>
      </c>
      <c r="E44" t="s">
        <v>204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</row>
    <row r="45">
      <c r="A45" t="s">
        <v>90</v>
      </c>
      <c r="B45" t="s">
        <v>360</v>
      </c>
      <c r="C45" t="s">
        <v>203</v>
      </c>
      <c r="D45" t="s">
        <v>361</v>
      </c>
      <c r="E45" t="s">
        <v>204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90</v>
      </c>
      <c r="B46" t="s">
        <v>362</v>
      </c>
      <c r="C46" t="s">
        <v>203</v>
      </c>
      <c r="D46" t="s">
        <v>363</v>
      </c>
      <c r="E46" t="s">
        <v>204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90</v>
      </c>
      <c r="B47" t="s">
        <v>364</v>
      </c>
      <c r="C47" t="s">
        <v>203</v>
      </c>
      <c r="D47" t="s">
        <v>365</v>
      </c>
      <c r="E47" t="s">
        <v>204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90</v>
      </c>
      <c r="B48" t="s">
        <v>366</v>
      </c>
      <c r="C48" t="s">
        <v>203</v>
      </c>
      <c r="D48" t="s">
        <v>367</v>
      </c>
      <c r="E48" t="s">
        <v>204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90</v>
      </c>
      <c r="B49" t="s">
        <v>368</v>
      </c>
      <c r="C49" t="s">
        <v>203</v>
      </c>
      <c r="D49" t="s">
        <v>369</v>
      </c>
      <c r="E49" t="s">
        <v>204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90</v>
      </c>
      <c r="B50" t="s">
        <v>370</v>
      </c>
      <c r="C50" t="s">
        <v>203</v>
      </c>
      <c r="D50" t="s">
        <v>371</v>
      </c>
      <c r="E50" t="s">
        <v>204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90</v>
      </c>
      <c r="B51" t="s">
        <v>372</v>
      </c>
      <c r="C51" t="s">
        <v>203</v>
      </c>
      <c r="D51" t="s">
        <v>373</v>
      </c>
      <c r="E51" t="s">
        <v>204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90</v>
      </c>
      <c r="B52" t="s">
        <v>374</v>
      </c>
      <c r="C52" t="s">
        <v>203</v>
      </c>
      <c r="D52" t="s">
        <v>375</v>
      </c>
      <c r="E52" t="s">
        <v>204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90</v>
      </c>
      <c r="B53" t="s">
        <v>376</v>
      </c>
      <c r="C53" t="s">
        <v>203</v>
      </c>
      <c r="D53" t="s">
        <v>377</v>
      </c>
      <c r="E53" t="s">
        <v>204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90</v>
      </c>
      <c r="B54" t="s">
        <v>378</v>
      </c>
      <c r="C54" t="s">
        <v>203</v>
      </c>
      <c r="D54" t="s">
        <v>379</v>
      </c>
      <c r="E54" t="s">
        <v>204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90</v>
      </c>
      <c r="B55" t="s">
        <v>380</v>
      </c>
      <c r="C55" t="s">
        <v>203</v>
      </c>
      <c r="D55" t="s">
        <v>381</v>
      </c>
      <c r="E55" t="s">
        <v>204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90</v>
      </c>
      <c r="B56" t="s">
        <v>382</v>
      </c>
      <c r="C56" t="s">
        <v>203</v>
      </c>
      <c r="D56" t="s">
        <v>383</v>
      </c>
      <c r="E56" t="s">
        <v>204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90</v>
      </c>
      <c r="B57" t="s">
        <v>384</v>
      </c>
      <c r="C57" t="s">
        <v>203</v>
      </c>
      <c r="D57" t="s">
        <v>385</v>
      </c>
      <c r="E57" t="s">
        <v>204</v>
      </c>
      <c r="F57" t="n">
        <v>0</v>
      </c>
      <c r="G57" t="n">
        <v>0</v>
      </c>
      <c r="H57" t="n">
        <v>0</v>
      </c>
      <c r="I57" t="n">
        <v>18.6067767839655</v>
      </c>
      <c r="J57" t="n">
        <v>17.4619986831935</v>
      </c>
      <c r="K57" t="n">
        <v>16.0945408572697</v>
      </c>
      <c r="L57" t="n">
        <v>16.1653443336338</v>
      </c>
      <c r="M57" t="n">
        <v>15.3026009880849</v>
      </c>
      <c r="N57" t="n">
        <v>14.3036583784795</v>
      </c>
      <c r="O57" t="n">
        <v>14.625304615012</v>
      </c>
      <c r="P57" t="n">
        <v>17.7665906504082</v>
      </c>
      <c r="Q57" t="n">
        <v>19.7779174523361</v>
      </c>
      <c r="R57" t="n">
        <v>21.8962342550799</v>
      </c>
      <c r="S57" t="n">
        <v>23.7209181083986</v>
      </c>
      <c r="T57" t="n">
        <v>24.278143143932</v>
      </c>
      <c r="U57" t="n">
        <v>23.5324319698785</v>
      </c>
      <c r="V57" t="n">
        <v>25.8413100931122</v>
      </c>
      <c r="W57" t="n">
        <v>31.4948388039028</v>
      </c>
      <c r="X57" t="n">
        <v>93.0451764387149</v>
      </c>
      <c r="Y57" t="n">
        <v>89.5501239815799</v>
      </c>
      <c r="Z57" t="n">
        <v>89.3456962314531</v>
      </c>
      <c r="AA57" t="n">
        <v>89.1897724314836</v>
      </c>
      <c r="AB57" t="n">
        <v>91.9661176000244</v>
      </c>
      <c r="AC57" t="n">
        <v>95.5107886330925</v>
      </c>
      <c r="AD57" t="n">
        <v>98.6114626218564</v>
      </c>
      <c r="AE57" t="n">
        <v>100</v>
      </c>
      <c r="AF57" t="n">
        <v>106.089238845144</v>
      </c>
    </row>
    <row r="58">
      <c r="A58" t="s">
        <v>90</v>
      </c>
      <c r="B58" t="s">
        <v>386</v>
      </c>
      <c r="C58" t="s">
        <v>203</v>
      </c>
      <c r="D58" t="s">
        <v>387</v>
      </c>
      <c r="E58" t="s">
        <v>204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</row>
    <row r="59">
      <c r="A59" t="s">
        <v>90</v>
      </c>
      <c r="B59" t="s">
        <v>388</v>
      </c>
      <c r="C59" t="s">
        <v>203</v>
      </c>
      <c r="D59" t="s">
        <v>389</v>
      </c>
      <c r="E59" t="s">
        <v>204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92</v>
      </c>
      <c r="B2" t="s">
        <v>197</v>
      </c>
      <c r="C2" t="s">
        <v>203</v>
      </c>
      <c r="D2" t="s">
        <v>199</v>
      </c>
      <c r="E2" t="s">
        <v>204</v>
      </c>
      <c r="F2" t="n">
        <v>4.60909303598265</v>
      </c>
      <c r="G2" t="n">
        <v>6.48687168027188</v>
      </c>
      <c r="H2" t="n">
        <v>49.0081457310593</v>
      </c>
      <c r="I2" t="n">
        <v>64.1561180479321</v>
      </c>
      <c r="J2" t="n">
        <v>50.211613858657</v>
      </c>
      <c r="K2" t="n">
        <v>51.6977927043677</v>
      </c>
      <c r="L2" t="n">
        <v>54.4452776394556</v>
      </c>
      <c r="M2" t="n">
        <v>52.2299455947417</v>
      </c>
      <c r="N2" t="n">
        <v>52.5221994869585</v>
      </c>
      <c r="O2" t="n">
        <v>54.2611319040619</v>
      </c>
      <c r="P2" t="n">
        <v>59.1349810223037</v>
      </c>
      <c r="Q2" t="n">
        <v>61.8957495887628</v>
      </c>
      <c r="R2" t="n">
        <v>67.9526793832738</v>
      </c>
      <c r="S2" t="n">
        <v>73.6741684893653</v>
      </c>
      <c r="T2" t="n">
        <v>75.9949047967803</v>
      </c>
      <c r="U2" t="n">
        <v>76.3490683129918</v>
      </c>
      <c r="V2" t="n">
        <v>83.0534587074319</v>
      </c>
      <c r="W2" t="n">
        <v>85.3363523684696</v>
      </c>
      <c r="X2" t="n">
        <v>84.5653629747459</v>
      </c>
      <c r="Y2" t="n">
        <v>83.1230921600046</v>
      </c>
      <c r="Z2" t="n">
        <v>83.9663347384778</v>
      </c>
      <c r="AA2" t="n">
        <v>85.9290499650898</v>
      </c>
      <c r="AB2" t="n">
        <v>91.3174392991452</v>
      </c>
      <c r="AC2" t="n">
        <v>96.6280591386996</v>
      </c>
      <c r="AD2" t="n">
        <v>99.9100961970691</v>
      </c>
      <c r="AE2" t="n">
        <v>100</v>
      </c>
      <c r="AF2" t="n">
        <v>106.028523930353</v>
      </c>
    </row>
    <row r="3">
      <c r="A3" t="s">
        <v>92</v>
      </c>
      <c r="B3" t="s">
        <v>276</v>
      </c>
      <c r="C3" t="s">
        <v>203</v>
      </c>
      <c r="D3" t="s">
        <v>277</v>
      </c>
      <c r="E3" t="s">
        <v>204</v>
      </c>
      <c r="F3" t="n">
        <v>3.45297557311512</v>
      </c>
      <c r="G3" t="n">
        <v>4.83416580236117</v>
      </c>
      <c r="H3" t="n">
        <v>36.6015410750203</v>
      </c>
      <c r="I3" t="n">
        <v>62.1218816410895</v>
      </c>
      <c r="J3" t="n">
        <v>53.9495668455753</v>
      </c>
      <c r="K3" t="n">
        <v>52.9515670319965</v>
      </c>
      <c r="L3" t="n">
        <v>57.4902727775962</v>
      </c>
      <c r="M3" t="n">
        <v>57.1831666195962</v>
      </c>
      <c r="N3" t="n">
        <v>56.6124763339715</v>
      </c>
      <c r="O3" t="n">
        <v>59.0933391618252</v>
      </c>
      <c r="P3" t="n">
        <v>65.3053074295103</v>
      </c>
      <c r="Q3" t="n">
        <v>70.6249251836826</v>
      </c>
      <c r="R3" t="n">
        <v>73.7249218997098</v>
      </c>
      <c r="S3" t="n">
        <v>80.7753906671055</v>
      </c>
      <c r="T3" t="n">
        <v>84.9980017723916</v>
      </c>
      <c r="U3" t="n">
        <v>84.3523844641584</v>
      </c>
      <c r="V3" t="n">
        <v>90.8857786985176</v>
      </c>
      <c r="W3" t="n">
        <v>92.4169879989419</v>
      </c>
      <c r="X3" t="n">
        <v>90.7997749388073</v>
      </c>
      <c r="Y3" t="n">
        <v>89.2465979313974</v>
      </c>
      <c r="Z3" t="n">
        <v>89.4704606352387</v>
      </c>
      <c r="AA3" t="n">
        <v>89.8398679871596</v>
      </c>
      <c r="AB3" t="n">
        <v>93.1163332311757</v>
      </c>
      <c r="AC3" t="n">
        <v>96.3013099497717</v>
      </c>
      <c r="AD3" t="n">
        <v>98.6646234676007</v>
      </c>
      <c r="AE3" t="n">
        <v>100</v>
      </c>
      <c r="AF3" t="n">
        <v>106.88901038819</v>
      </c>
    </row>
    <row r="4">
      <c r="A4" t="s">
        <v>92</v>
      </c>
      <c r="B4" t="s">
        <v>278</v>
      </c>
      <c r="C4" t="s">
        <v>203</v>
      </c>
      <c r="D4" t="s">
        <v>279</v>
      </c>
      <c r="E4" t="s">
        <v>204</v>
      </c>
      <c r="F4" t="n">
        <v>3.71985737161644</v>
      </c>
      <c r="G4" t="n">
        <v>5.30218476103538</v>
      </c>
      <c r="H4" t="n">
        <v>40.0425411640692</v>
      </c>
      <c r="I4" t="n">
        <v>62.493996776702</v>
      </c>
      <c r="J4" t="n">
        <v>53.881979540183</v>
      </c>
      <c r="K4" t="n">
        <v>53.2983694264109</v>
      </c>
      <c r="L4" t="n">
        <v>57.4721880956318</v>
      </c>
      <c r="M4" t="n">
        <v>57.1129869200341</v>
      </c>
      <c r="N4" t="n">
        <v>56.2231349774605</v>
      </c>
      <c r="O4" t="n">
        <v>58.6182739303891</v>
      </c>
      <c r="P4" t="n">
        <v>64.7102491758133</v>
      </c>
      <c r="Q4" t="n">
        <v>69.9593878982472</v>
      </c>
      <c r="R4" t="n">
        <v>73.6117131157258</v>
      </c>
      <c r="S4" t="n">
        <v>80.659689306583</v>
      </c>
      <c r="T4" t="n">
        <v>84.1053322829332</v>
      </c>
      <c r="U4" t="n">
        <v>83.4441064549034</v>
      </c>
      <c r="V4" t="n">
        <v>89.8278280435727</v>
      </c>
      <c r="W4" t="n">
        <v>91.1840055447861</v>
      </c>
      <c r="X4" t="n">
        <v>89.8821091193575</v>
      </c>
      <c r="Y4" t="n">
        <v>88.3402164198482</v>
      </c>
      <c r="Z4" t="n">
        <v>89.8033860180992</v>
      </c>
      <c r="AA4" t="n">
        <v>90.2242906742423</v>
      </c>
      <c r="AB4" t="n">
        <v>93.7479267411745</v>
      </c>
      <c r="AC4" t="n">
        <v>95.5772373141505</v>
      </c>
      <c r="AD4" t="n">
        <v>98.5955731986046</v>
      </c>
      <c r="AE4" t="n">
        <v>100</v>
      </c>
      <c r="AF4" t="n">
        <v>107.589428181845</v>
      </c>
    </row>
    <row r="5">
      <c r="A5" t="s">
        <v>92</v>
      </c>
      <c r="B5" t="s">
        <v>280</v>
      </c>
      <c r="C5" t="s">
        <v>203</v>
      </c>
      <c r="D5" t="s">
        <v>281</v>
      </c>
      <c r="E5" t="s">
        <v>204</v>
      </c>
      <c r="F5" t="n">
        <v>3.56518205866159</v>
      </c>
      <c r="G5" t="n">
        <v>4.972490766028</v>
      </c>
      <c r="H5" t="n">
        <v>37.4792214454349</v>
      </c>
      <c r="I5" t="n">
        <v>59.6401134646365</v>
      </c>
      <c r="J5" t="n">
        <v>51.2837901628904</v>
      </c>
      <c r="K5" t="n">
        <v>50.9325313261582</v>
      </c>
      <c r="L5" t="n">
        <v>54.3631014648757</v>
      </c>
      <c r="M5" t="n">
        <v>54.3631014648757</v>
      </c>
      <c r="N5" t="n">
        <v>53.5722140775613</v>
      </c>
      <c r="O5" t="n">
        <v>55.8358287568948</v>
      </c>
      <c r="P5" t="n">
        <v>61.7462215891938</v>
      </c>
      <c r="Q5" t="n">
        <v>66.7622697844338</v>
      </c>
      <c r="R5" t="n">
        <v>70.7370773774629</v>
      </c>
      <c r="S5" t="n">
        <v>77.5266404069276</v>
      </c>
      <c r="T5" t="n">
        <v>81.0612303096112</v>
      </c>
      <c r="U5" t="n">
        <v>80.384978552912</v>
      </c>
      <c r="V5" t="n">
        <v>86.4936815862939</v>
      </c>
      <c r="W5" t="n">
        <v>87.9150745326376</v>
      </c>
      <c r="X5" t="n">
        <v>86.6940318307954</v>
      </c>
      <c r="Y5" t="n">
        <v>85.2175241011772</v>
      </c>
      <c r="Z5" t="n">
        <v>86.9381943421876</v>
      </c>
      <c r="AA5" t="n">
        <v>87.7549190356371</v>
      </c>
      <c r="AB5" t="n">
        <v>92.7731893582067</v>
      </c>
      <c r="AC5" t="n">
        <v>95.4949898794677</v>
      </c>
      <c r="AD5" t="n">
        <v>98.7387648593795</v>
      </c>
      <c r="AE5" t="n">
        <v>100</v>
      </c>
      <c r="AF5" t="n">
        <v>107.342784442021</v>
      </c>
    </row>
    <row r="6">
      <c r="A6" t="s">
        <v>92</v>
      </c>
      <c r="B6" t="s">
        <v>282</v>
      </c>
      <c r="C6" t="s">
        <v>203</v>
      </c>
      <c r="D6" t="s">
        <v>283</v>
      </c>
      <c r="E6" t="s">
        <v>204</v>
      </c>
      <c r="F6" t="n">
        <v>3.87558538492036</v>
      </c>
      <c r="G6" t="n">
        <v>5.36619514835126</v>
      </c>
      <c r="H6" t="n">
        <v>40.4797764451715</v>
      </c>
      <c r="I6" t="n">
        <v>62.5283355302011</v>
      </c>
      <c r="J6" t="n">
        <v>53.788784310562</v>
      </c>
      <c r="K6" t="n">
        <v>53.3190132685484</v>
      </c>
      <c r="L6" t="n">
        <v>56.4663161350946</v>
      </c>
      <c r="M6" t="n">
        <v>56.0665001711751</v>
      </c>
      <c r="N6" t="n">
        <v>55.3591190942491</v>
      </c>
      <c r="O6" t="n">
        <v>57.7660373157382</v>
      </c>
      <c r="P6" t="n">
        <v>63.8031245047039</v>
      </c>
      <c r="Q6" t="n">
        <v>68.9665146161363</v>
      </c>
      <c r="R6" t="n">
        <v>72.9982838798115</v>
      </c>
      <c r="S6" t="n">
        <v>79.9793248478642</v>
      </c>
      <c r="T6" t="n">
        <v>84.1143103502027</v>
      </c>
      <c r="U6" t="n">
        <v>83.3556694451276</v>
      </c>
      <c r="V6" t="n">
        <v>89.5743667134529</v>
      </c>
      <c r="W6" t="n">
        <v>91.0712118916021</v>
      </c>
      <c r="X6" t="n">
        <v>89.3572968688345</v>
      </c>
      <c r="Y6" t="n">
        <v>87.788428297855</v>
      </c>
      <c r="Z6" t="n">
        <v>89.447944900839</v>
      </c>
      <c r="AA6" t="n">
        <v>89.8416733497822</v>
      </c>
      <c r="AB6" t="n">
        <v>92.2285403356957</v>
      </c>
      <c r="AC6" t="n">
        <v>94.9973742843013</v>
      </c>
      <c r="AD6" t="n">
        <v>98.471986417657</v>
      </c>
      <c r="AE6" t="n">
        <v>100</v>
      </c>
      <c r="AF6" t="n">
        <v>107.738998482549</v>
      </c>
    </row>
    <row r="7">
      <c r="A7" t="s">
        <v>92</v>
      </c>
      <c r="B7" t="s">
        <v>284</v>
      </c>
      <c r="C7" t="s">
        <v>203</v>
      </c>
      <c r="D7" t="s">
        <v>285</v>
      </c>
      <c r="E7" t="s">
        <v>204</v>
      </c>
      <c r="F7" t="n">
        <v>3.751260174161</v>
      </c>
      <c r="G7" t="n">
        <v>5.6268902612415</v>
      </c>
      <c r="H7" t="n">
        <v>42.3240006606426</v>
      </c>
      <c r="I7" t="n">
        <v>65.1000518636155</v>
      </c>
      <c r="J7" t="n">
        <v>55.9807194450927</v>
      </c>
      <c r="K7" t="n">
        <v>55.535013080084</v>
      </c>
      <c r="L7" t="n">
        <v>59.0353384576622</v>
      </c>
      <c r="M7" t="n">
        <v>58.1581984159786</v>
      </c>
      <c r="N7" t="n">
        <v>56.9643351053867</v>
      </c>
      <c r="O7" t="n">
        <v>59.353333315771</v>
      </c>
      <c r="P7" t="n">
        <v>65.578195102547</v>
      </c>
      <c r="Q7" t="n">
        <v>70.9416351143704</v>
      </c>
      <c r="R7" t="n">
        <v>73.6406560738679</v>
      </c>
      <c r="S7" t="n">
        <v>80.6788167061632</v>
      </c>
      <c r="T7" t="n">
        <v>84.8368787979423</v>
      </c>
      <c r="U7" t="n">
        <v>84.071956120256</v>
      </c>
      <c r="V7" t="n">
        <v>90.8151143084266</v>
      </c>
      <c r="W7" t="n">
        <v>92.0022399856609</v>
      </c>
      <c r="X7" t="n">
        <v>90.1408233654939</v>
      </c>
      <c r="Y7" t="n">
        <v>88.6061273242186</v>
      </c>
      <c r="Z7" t="n">
        <v>89.86196219968</v>
      </c>
      <c r="AA7" t="n">
        <v>89.86196219968</v>
      </c>
      <c r="AB7" t="n">
        <v>94.2464627271548</v>
      </c>
      <c r="AC7" t="n">
        <v>95.7612121280976</v>
      </c>
      <c r="AD7" t="n">
        <v>98.603909054647</v>
      </c>
      <c r="AE7" t="n">
        <v>100</v>
      </c>
      <c r="AF7" t="n">
        <v>107.556221889055</v>
      </c>
    </row>
    <row r="8">
      <c r="A8" t="s">
        <v>92</v>
      </c>
      <c r="B8" t="s">
        <v>286</v>
      </c>
      <c r="C8" t="s">
        <v>203</v>
      </c>
      <c r="D8" t="s">
        <v>287</v>
      </c>
      <c r="E8" t="s">
        <v>204</v>
      </c>
      <c r="F8" t="n">
        <v>3.12840059177509</v>
      </c>
      <c r="G8" t="n">
        <v>4.55040086076377</v>
      </c>
      <c r="H8" t="n">
        <v>34.4692865202856</v>
      </c>
      <c r="I8" t="n">
        <v>53.7788622613792</v>
      </c>
      <c r="J8" t="n">
        <v>46.6661740268097</v>
      </c>
      <c r="K8" t="n">
        <v>47.8043733933172</v>
      </c>
      <c r="L8" t="n">
        <v>47.8043733933172</v>
      </c>
      <c r="M8" t="n">
        <v>47.4297309686047</v>
      </c>
      <c r="N8" t="n">
        <v>46.9488765532548</v>
      </c>
      <c r="O8" t="n">
        <v>49.0901259906499</v>
      </c>
      <c r="P8" t="n">
        <v>54.3066382603498</v>
      </c>
      <c r="Q8" t="n">
        <v>58.7227824705321</v>
      </c>
      <c r="R8" t="n">
        <v>63.1023177178092</v>
      </c>
      <c r="S8" t="n">
        <v>69.2022084305308</v>
      </c>
      <c r="T8" t="n">
        <v>70.8082984414241</v>
      </c>
      <c r="U8" t="n">
        <v>70.3293246075475</v>
      </c>
      <c r="V8" t="n">
        <v>75.3570727922755</v>
      </c>
      <c r="W8" t="n">
        <v>76.3112694932166</v>
      </c>
      <c r="X8" t="n">
        <v>74.5528343060307</v>
      </c>
      <c r="Y8" t="n">
        <v>73.2562632746215</v>
      </c>
      <c r="Z8" t="n">
        <v>74.5001047149089</v>
      </c>
      <c r="AA8" t="n">
        <v>75.0189344356473</v>
      </c>
      <c r="AB8" t="n">
        <v>83.477899336574</v>
      </c>
      <c r="AC8" t="n">
        <v>95.7830142151963</v>
      </c>
      <c r="AD8" t="n">
        <v>98.4575835475578</v>
      </c>
      <c r="AE8" t="n">
        <v>100</v>
      </c>
      <c r="AF8" t="n">
        <v>106.851940584571</v>
      </c>
    </row>
    <row r="9">
      <c r="A9" t="s">
        <v>92</v>
      </c>
      <c r="B9" t="s">
        <v>288</v>
      </c>
      <c r="C9" t="s">
        <v>203</v>
      </c>
      <c r="D9" t="s">
        <v>289</v>
      </c>
      <c r="E9" t="s">
        <v>204</v>
      </c>
      <c r="F9" t="n">
        <v>3.86344771192618</v>
      </c>
      <c r="G9" t="n">
        <v>5.47321759189542</v>
      </c>
      <c r="H9" t="n">
        <v>41.4946263943699</v>
      </c>
      <c r="I9" t="n">
        <v>64.7998275199749</v>
      </c>
      <c r="J9" t="n">
        <v>56.1811312488452</v>
      </c>
      <c r="K9" t="n">
        <v>54.9361200300343</v>
      </c>
      <c r="L9" t="n">
        <v>59.2030031391631</v>
      </c>
      <c r="M9" t="n">
        <v>58.6980734748632</v>
      </c>
      <c r="N9" t="n">
        <v>57.755132535508</v>
      </c>
      <c r="O9" t="n">
        <v>60.0533471519729</v>
      </c>
      <c r="P9" t="n">
        <v>66.3747521153385</v>
      </c>
      <c r="Q9" t="n">
        <v>71.7814843348087</v>
      </c>
      <c r="R9" t="n">
        <v>74.6723427482925</v>
      </c>
      <c r="S9" t="n">
        <v>81.7670080094094</v>
      </c>
      <c r="T9" t="n">
        <v>85.7004063538854</v>
      </c>
      <c r="U9" t="n">
        <v>85.0275266466101</v>
      </c>
      <c r="V9" t="n">
        <v>91.7436579691567</v>
      </c>
      <c r="W9" t="n">
        <v>93.3182588631251</v>
      </c>
      <c r="X9" t="n">
        <v>91.5774175097629</v>
      </c>
      <c r="Y9" t="n">
        <v>90.0150265169635</v>
      </c>
      <c r="Z9" t="n">
        <v>91.3164485870883</v>
      </c>
      <c r="AA9" t="n">
        <v>91.8021743774452</v>
      </c>
      <c r="AB9" t="n">
        <v>93.6922191440396</v>
      </c>
      <c r="AC9" t="n">
        <v>95.6499670067509</v>
      </c>
      <c r="AD9" t="n">
        <v>98.4924623115578</v>
      </c>
      <c r="AE9" t="n">
        <v>100</v>
      </c>
      <c r="AF9" t="n">
        <v>107.531172069825</v>
      </c>
    </row>
    <row r="10">
      <c r="A10" t="s">
        <v>92</v>
      </c>
      <c r="B10" t="s">
        <v>290</v>
      </c>
      <c r="C10" t="s">
        <v>203</v>
      </c>
      <c r="D10" t="s">
        <v>291</v>
      </c>
      <c r="E10" t="s">
        <v>204</v>
      </c>
      <c r="F10" t="n">
        <v>3.69268832432476</v>
      </c>
      <c r="G10" t="n">
        <v>5.27526903474966</v>
      </c>
      <c r="H10" t="n">
        <v>40.3719568985943</v>
      </c>
      <c r="I10" t="n">
        <v>62.7121702021643</v>
      </c>
      <c r="J10" t="n">
        <v>54.4137733890235</v>
      </c>
      <c r="K10" t="n">
        <v>53.2467219490444</v>
      </c>
      <c r="L10" t="n">
        <v>57.5367422008631</v>
      </c>
      <c r="M10" t="n">
        <v>57.1486955030033</v>
      </c>
      <c r="N10" t="n">
        <v>56.5335319346179</v>
      </c>
      <c r="O10" t="n">
        <v>58.92309359371</v>
      </c>
      <c r="P10" t="n">
        <v>65.1187778367034</v>
      </c>
      <c r="Q10" t="n">
        <v>70.4217562940747</v>
      </c>
      <c r="R10" t="n">
        <v>73.6587465589368</v>
      </c>
      <c r="S10" t="n">
        <v>80.6923107888934</v>
      </c>
      <c r="T10" t="n">
        <v>84.6777552601858</v>
      </c>
      <c r="U10" t="n">
        <v>84.0307428035654</v>
      </c>
      <c r="V10" t="n">
        <v>90.3788596664516</v>
      </c>
      <c r="W10" t="n">
        <v>91.9136496575833</v>
      </c>
      <c r="X10" t="n">
        <v>90.1951021413929</v>
      </c>
      <c r="Y10" t="n">
        <v>88.6668260349543</v>
      </c>
      <c r="Z10" t="n">
        <v>89.8626499481588</v>
      </c>
      <c r="AA10" t="n">
        <v>90.2648324374372</v>
      </c>
      <c r="AB10" t="n">
        <v>93.4449670126822</v>
      </c>
      <c r="AC10" t="n">
        <v>95.0828596737285</v>
      </c>
      <c r="AD10" t="n">
        <v>98.3169705469846</v>
      </c>
      <c r="AE10" t="n">
        <v>100</v>
      </c>
      <c r="AF10" t="n">
        <v>107.858328721638</v>
      </c>
    </row>
    <row r="11">
      <c r="A11" t="s">
        <v>92</v>
      </c>
      <c r="B11" t="s">
        <v>292</v>
      </c>
      <c r="C11" t="s">
        <v>203</v>
      </c>
      <c r="D11" t="s">
        <v>293</v>
      </c>
      <c r="E11" t="s">
        <v>204</v>
      </c>
      <c r="F11" t="n">
        <v>2.77697928182568</v>
      </c>
      <c r="G11" t="n">
        <v>4.16546892273853</v>
      </c>
      <c r="H11" t="n">
        <v>34.0179962023646</v>
      </c>
      <c r="I11" t="n">
        <v>51.026994303547</v>
      </c>
      <c r="J11" t="n">
        <v>44.3893365079636</v>
      </c>
      <c r="K11" t="n">
        <v>44.3893365079636</v>
      </c>
      <c r="L11" t="n">
        <v>53.2672038095563</v>
      </c>
      <c r="M11" t="n">
        <v>53.0366098536708</v>
      </c>
      <c r="N11" t="n">
        <v>52.7905002951851</v>
      </c>
      <c r="O11" t="n">
        <v>55.2145538801681</v>
      </c>
      <c r="P11" t="n">
        <v>61.0129474694647</v>
      </c>
      <c r="Q11" t="n">
        <v>65.9791176123281</v>
      </c>
      <c r="R11" t="n">
        <v>69.9606160889341</v>
      </c>
      <c r="S11" t="n">
        <v>76.6774826422962</v>
      </c>
      <c r="T11" t="n">
        <v>81.1879227977254</v>
      </c>
      <c r="U11" t="n">
        <v>80.6021513489684</v>
      </c>
      <c r="V11" t="n">
        <v>86.4049961058957</v>
      </c>
      <c r="W11" t="n">
        <v>87.8450793743273</v>
      </c>
      <c r="X11" t="n">
        <v>86.1961103075737</v>
      </c>
      <c r="Y11" t="n">
        <v>84.7686587992954</v>
      </c>
      <c r="Z11" t="n">
        <v>85.7531960675799</v>
      </c>
      <c r="AA11" t="n">
        <v>86.0132512489827</v>
      </c>
      <c r="AB11" t="n">
        <v>92.9915850933993</v>
      </c>
      <c r="AC11" t="n">
        <v>94.3573868048004</v>
      </c>
      <c r="AD11" t="n">
        <v>98.0207351555137</v>
      </c>
      <c r="AE11" t="n">
        <v>100</v>
      </c>
      <c r="AF11" t="n">
        <v>108.266003729024</v>
      </c>
    </row>
    <row r="12">
      <c r="A12" t="s">
        <v>92</v>
      </c>
      <c r="B12" t="s">
        <v>294</v>
      </c>
      <c r="C12" t="s">
        <v>203</v>
      </c>
      <c r="D12" t="s">
        <v>295</v>
      </c>
      <c r="E12" t="s">
        <v>204</v>
      </c>
      <c r="F12" t="n">
        <v>3.68855529613248</v>
      </c>
      <c r="G12" t="n">
        <v>5.32791320552469</v>
      </c>
      <c r="H12" t="n">
        <v>40.4921403619876</v>
      </c>
      <c r="I12" t="n">
        <v>63.9837637781026</v>
      </c>
      <c r="J12" t="n">
        <v>55.0775988566085</v>
      </c>
      <c r="K12" t="n">
        <v>54.5681452186748</v>
      </c>
      <c r="L12" t="n">
        <v>60.3076852299885</v>
      </c>
      <c r="M12" t="n">
        <v>59.6168289975694</v>
      </c>
      <c r="N12" t="n">
        <v>58.3483858274084</v>
      </c>
      <c r="O12" t="n">
        <v>60.8980631912952</v>
      </c>
      <c r="P12" t="n">
        <v>66.927706769621</v>
      </c>
      <c r="Q12" t="n">
        <v>72.353819302248</v>
      </c>
      <c r="R12" t="n">
        <v>75.5065256830554</v>
      </c>
      <c r="S12" t="n">
        <v>82.7304529119622</v>
      </c>
      <c r="T12" t="n">
        <v>86.6802916376877</v>
      </c>
      <c r="U12" t="n">
        <v>86.0229436831792</v>
      </c>
      <c r="V12" t="n">
        <v>92.6083224073917</v>
      </c>
      <c r="W12" t="n">
        <v>94.1247771503699</v>
      </c>
      <c r="X12" t="n">
        <v>92.4425911413586</v>
      </c>
      <c r="Y12" t="n">
        <v>90.8697086934778</v>
      </c>
      <c r="Z12" t="n">
        <v>92.5583443950987</v>
      </c>
      <c r="AA12" t="n">
        <v>93.0236487606482</v>
      </c>
      <c r="AB12" t="n">
        <v>95.5105823664896</v>
      </c>
      <c r="AC12" t="n">
        <v>95.9623826615061</v>
      </c>
      <c r="AD12" t="n">
        <v>98.8738162272844</v>
      </c>
      <c r="AE12" t="n">
        <v>100</v>
      </c>
      <c r="AF12" t="n">
        <v>107.791446983011</v>
      </c>
    </row>
    <row r="13">
      <c r="A13" t="s">
        <v>92</v>
      </c>
      <c r="B13" t="s">
        <v>296</v>
      </c>
      <c r="C13" t="s">
        <v>203</v>
      </c>
      <c r="D13" t="s">
        <v>297</v>
      </c>
      <c r="E13" t="s">
        <v>204</v>
      </c>
      <c r="F13" t="n">
        <v>3.7583993324637</v>
      </c>
      <c r="G13" t="n">
        <v>5.52705784185839</v>
      </c>
      <c r="H13" t="n">
        <v>41.7203720966085</v>
      </c>
      <c r="I13" t="n">
        <v>64.0845840982387</v>
      </c>
      <c r="J13" t="n">
        <v>55.596559714366</v>
      </c>
      <c r="K13" t="n">
        <v>54.8338632273097</v>
      </c>
      <c r="L13" t="n">
        <v>57.0468890974702</v>
      </c>
      <c r="M13" t="n">
        <v>56.9203525597309</v>
      </c>
      <c r="N13" t="n">
        <v>55.9784081911301</v>
      </c>
      <c r="O13" t="n">
        <v>58.3836315191072</v>
      </c>
      <c r="P13" t="n">
        <v>64.5569007764786</v>
      </c>
      <c r="Q13" t="n">
        <v>69.7925246559655</v>
      </c>
      <c r="R13" t="n">
        <v>73.4165672216296</v>
      </c>
      <c r="S13" t="n">
        <v>80.4303087552096</v>
      </c>
      <c r="T13" t="n">
        <v>83.8944175896156</v>
      </c>
      <c r="U13" t="n">
        <v>83.272593617364</v>
      </c>
      <c r="V13" t="n">
        <v>89.8524936376213</v>
      </c>
      <c r="W13" t="n">
        <v>91.0980704725</v>
      </c>
      <c r="X13" t="n">
        <v>90.1012674595903</v>
      </c>
      <c r="Y13" t="n">
        <v>88.5456687065199</v>
      </c>
      <c r="Z13" t="n">
        <v>89.5172878455355</v>
      </c>
      <c r="AA13" t="n">
        <v>89.8783174395889</v>
      </c>
      <c r="AB13" t="n">
        <v>94.0461860272221</v>
      </c>
      <c r="AC13" t="n">
        <v>95.688988124222</v>
      </c>
      <c r="AD13" t="n">
        <v>98.5297549591599</v>
      </c>
      <c r="AE13" t="n">
        <v>100</v>
      </c>
      <c r="AF13" t="n">
        <v>107.701941139637</v>
      </c>
    </row>
    <row r="14">
      <c r="A14" t="s">
        <v>92</v>
      </c>
      <c r="B14" t="s">
        <v>298</v>
      </c>
      <c r="C14" t="s">
        <v>203</v>
      </c>
      <c r="D14" t="s">
        <v>299</v>
      </c>
      <c r="E14" t="s">
        <v>204</v>
      </c>
      <c r="F14" t="n">
        <v>4.0575035126377</v>
      </c>
      <c r="G14" t="n">
        <v>5.41000468351694</v>
      </c>
      <c r="H14" t="n">
        <v>41.1160355947287</v>
      </c>
      <c r="I14" t="n">
        <v>63.2554393765057</v>
      </c>
      <c r="J14" t="n">
        <v>54.3935662271402</v>
      </c>
      <c r="K14" t="n">
        <v>53.2403457417591</v>
      </c>
      <c r="L14" t="n">
        <v>57.2275081981904</v>
      </c>
      <c r="M14" t="n">
        <v>56.7709057391623</v>
      </c>
      <c r="N14" t="n">
        <v>55.554386330466</v>
      </c>
      <c r="O14" t="n">
        <v>57.7562370081979</v>
      </c>
      <c r="P14" t="n">
        <v>63.7381329840469</v>
      </c>
      <c r="Q14" t="n">
        <v>68.9098674586297</v>
      </c>
      <c r="R14" t="n">
        <v>72.6288126865557</v>
      </c>
      <c r="S14" t="n">
        <v>79.5615629884542</v>
      </c>
      <c r="T14" t="n">
        <v>83.1779976697476</v>
      </c>
      <c r="U14" t="n">
        <v>82.7837891499858</v>
      </c>
      <c r="V14" t="n">
        <v>88.8166158896609</v>
      </c>
      <c r="W14" t="n">
        <v>90.226403443465</v>
      </c>
      <c r="X14" t="n">
        <v>89.3470037997665</v>
      </c>
      <c r="Y14" t="n">
        <v>87.7931428641184</v>
      </c>
      <c r="Z14" t="n">
        <v>89.2975541249479</v>
      </c>
      <c r="AA14" t="n">
        <v>89.4843690917365</v>
      </c>
      <c r="AB14" t="n">
        <v>92.6977031887075</v>
      </c>
      <c r="AC14" t="n">
        <v>94.3604422593569</v>
      </c>
      <c r="AD14" t="n">
        <v>97.5762314308053</v>
      </c>
      <c r="AE14" t="n">
        <v>100</v>
      </c>
      <c r="AF14" t="n">
        <v>107.233626588465</v>
      </c>
    </row>
    <row r="15">
      <c r="A15" t="s">
        <v>92</v>
      </c>
      <c r="B15" t="s">
        <v>300</v>
      </c>
      <c r="C15" t="s">
        <v>203</v>
      </c>
      <c r="D15" t="s">
        <v>301</v>
      </c>
      <c r="E15" t="s">
        <v>204</v>
      </c>
      <c r="F15" t="n">
        <v>4.50955711538032</v>
      </c>
      <c r="G15" t="n">
        <v>5.41146853845638</v>
      </c>
      <c r="H15" t="n">
        <v>40.5860140384229</v>
      </c>
      <c r="I15" t="n">
        <v>62.611350925128</v>
      </c>
      <c r="J15" t="n">
        <v>54.0505495922016</v>
      </c>
      <c r="K15" t="n">
        <v>53.282786103676</v>
      </c>
      <c r="L15" t="n">
        <v>57.2143314860832</v>
      </c>
      <c r="M15" t="n">
        <v>56.7115693464867</v>
      </c>
      <c r="N15" t="n">
        <v>55.5338530501539</v>
      </c>
      <c r="O15" t="n">
        <v>57.6494284044454</v>
      </c>
      <c r="P15" t="n">
        <v>63.6797033421489</v>
      </c>
      <c r="Q15" t="n">
        <v>68.799052042204</v>
      </c>
      <c r="R15" t="n">
        <v>72.8103041930746</v>
      </c>
      <c r="S15" t="n">
        <v>79.7916630754499</v>
      </c>
      <c r="T15" t="n">
        <v>83.3248732485326</v>
      </c>
      <c r="U15" t="n">
        <v>82.7838026430226</v>
      </c>
      <c r="V15" t="n">
        <v>89.1240316125692</v>
      </c>
      <c r="W15" t="n">
        <v>90.4255647585107</v>
      </c>
      <c r="X15" t="n">
        <v>89.9911248454637</v>
      </c>
      <c r="Y15" t="n">
        <v>88.4289432989617</v>
      </c>
      <c r="Z15" t="n">
        <v>90.3082291882364</v>
      </c>
      <c r="AA15" t="n">
        <v>90.4401623207246</v>
      </c>
      <c r="AB15" t="n">
        <v>93.1958909335967</v>
      </c>
      <c r="AC15" t="n">
        <v>94.7721884401196</v>
      </c>
      <c r="AD15" t="n">
        <v>98.0304719435154</v>
      </c>
      <c r="AE15" t="n">
        <v>100</v>
      </c>
      <c r="AF15" t="n">
        <v>107.776988636364</v>
      </c>
    </row>
    <row r="16">
      <c r="A16" t="s">
        <v>92</v>
      </c>
      <c r="B16" t="s">
        <v>302</v>
      </c>
      <c r="C16" t="s">
        <v>203</v>
      </c>
      <c r="D16" t="s">
        <v>303</v>
      </c>
      <c r="E16" t="s">
        <v>204</v>
      </c>
      <c r="F16" t="n">
        <v>5.38761349376252</v>
      </c>
      <c r="G16" t="n">
        <v>5.38761349376252</v>
      </c>
      <c r="H16" t="n">
        <v>39.5091656209252</v>
      </c>
      <c r="I16" t="n">
        <v>61.239206712434</v>
      </c>
      <c r="J16" t="n">
        <v>53.1231672686175</v>
      </c>
      <c r="K16" t="n">
        <v>53.8930682435249</v>
      </c>
      <c r="L16" t="n">
        <v>57.427039931625</v>
      </c>
      <c r="M16" t="n">
        <v>56.8319410722299</v>
      </c>
      <c r="N16" t="n">
        <v>55.7284082358759</v>
      </c>
      <c r="O16" t="n">
        <v>57.708605482836</v>
      </c>
      <c r="P16" t="n">
        <v>63.7831955336608</v>
      </c>
      <c r="Q16" t="n">
        <v>68.8722802836869</v>
      </c>
      <c r="R16" t="n">
        <v>73.0029311207746</v>
      </c>
      <c r="S16" t="n">
        <v>80.0161076114228</v>
      </c>
      <c r="T16" t="n">
        <v>83.537302028314</v>
      </c>
      <c r="U16" t="n">
        <v>82.9645683219494</v>
      </c>
      <c r="V16" t="n">
        <v>89.4555012751955</v>
      </c>
      <c r="W16" t="n">
        <v>90.7005992586832</v>
      </c>
      <c r="X16" t="n">
        <v>90.5084369721182</v>
      </c>
      <c r="Y16" t="n">
        <v>88.939993110216</v>
      </c>
      <c r="Z16" t="n">
        <v>90.999021748002</v>
      </c>
      <c r="AA16" t="n">
        <v>91.1145393890657</v>
      </c>
      <c r="AB16" t="n">
        <v>93.639487036427</v>
      </c>
      <c r="AC16" t="n">
        <v>95.1557662498921</v>
      </c>
      <c r="AD16" t="n">
        <v>98.4419263456091</v>
      </c>
      <c r="AE16" t="n">
        <v>100</v>
      </c>
      <c r="AF16" t="n">
        <v>108.08700501952</v>
      </c>
    </row>
    <row r="17">
      <c r="A17" t="s">
        <v>92</v>
      </c>
      <c r="B17" t="s">
        <v>304</v>
      </c>
      <c r="C17" t="s">
        <v>203</v>
      </c>
      <c r="D17" t="s">
        <v>305</v>
      </c>
      <c r="E17" t="s">
        <v>204</v>
      </c>
      <c r="F17" t="n">
        <v>3.54099362343444</v>
      </c>
      <c r="G17" t="n">
        <v>5.31149043515166</v>
      </c>
      <c r="H17" t="n">
        <v>39.9516454470103</v>
      </c>
      <c r="I17" t="n">
        <v>60.9346525095157</v>
      </c>
      <c r="J17" t="n">
        <v>52.5742252522734</v>
      </c>
      <c r="K17" t="n">
        <v>52.4141819486135</v>
      </c>
      <c r="L17" t="n">
        <v>57.8118483823461</v>
      </c>
      <c r="M17" t="n">
        <v>57.4955910060751</v>
      </c>
      <c r="N17" t="n">
        <v>56.5150460431808</v>
      </c>
      <c r="O17" t="n">
        <v>58.8524482428987</v>
      </c>
      <c r="P17" t="n">
        <v>65.0474427947828</v>
      </c>
      <c r="Q17" t="n">
        <v>70.3027184698766</v>
      </c>
      <c r="R17" t="n">
        <v>73.4159628465619</v>
      </c>
      <c r="S17" t="n">
        <v>80.3910704277972</v>
      </c>
      <c r="T17" t="n">
        <v>83.83640201756</v>
      </c>
      <c r="U17" t="n">
        <v>83.194592241349</v>
      </c>
      <c r="V17" t="n">
        <v>89.7577211848332</v>
      </c>
      <c r="W17" t="n">
        <v>91.0687890223644</v>
      </c>
      <c r="X17" t="n">
        <v>93.9863245974516</v>
      </c>
      <c r="Y17" t="n">
        <v>92.3767728612261</v>
      </c>
      <c r="Z17" t="n">
        <v>93.5137177579797</v>
      </c>
      <c r="AA17" t="n">
        <v>93.7811545103857</v>
      </c>
      <c r="AB17" t="n">
        <v>95.1505253505816</v>
      </c>
      <c r="AC17" t="n">
        <v>95.6582656139252</v>
      </c>
      <c r="AD17" t="n">
        <v>98.4962406015038</v>
      </c>
      <c r="AE17" t="n">
        <v>100</v>
      </c>
      <c r="AF17" t="n">
        <v>107.661691542289</v>
      </c>
    </row>
    <row r="18">
      <c r="A18" t="s">
        <v>92</v>
      </c>
      <c r="B18" t="s">
        <v>306</v>
      </c>
      <c r="C18" t="s">
        <v>203</v>
      </c>
      <c r="D18" t="s">
        <v>307</v>
      </c>
      <c r="E18" t="s">
        <v>204</v>
      </c>
      <c r="F18" t="n">
        <v>4.13598048862797</v>
      </c>
      <c r="G18" t="n">
        <v>5.79037268407916</v>
      </c>
      <c r="H18" t="n">
        <v>42.7844203879183</v>
      </c>
      <c r="I18" t="n">
        <v>64.5235312877254</v>
      </c>
      <c r="J18" t="n">
        <v>55.402403828204</v>
      </c>
      <c r="K18" t="n">
        <v>54.0911043293116</v>
      </c>
      <c r="L18" t="n">
        <v>59.4514840376217</v>
      </c>
      <c r="M18" t="n">
        <v>58.6314635681373</v>
      </c>
      <c r="N18" t="n">
        <v>57.8797781377766</v>
      </c>
      <c r="O18" t="n">
        <v>59.9973309964757</v>
      </c>
      <c r="P18" t="n">
        <v>66.2308199311745</v>
      </c>
      <c r="Q18" t="n">
        <v>71.5563975572192</v>
      </c>
      <c r="R18" t="n">
        <v>77.1963106651774</v>
      </c>
      <c r="S18" t="n">
        <v>84.5677217011609</v>
      </c>
      <c r="T18" t="n">
        <v>88.9917876251653</v>
      </c>
      <c r="U18" t="n">
        <v>88.307235412664</v>
      </c>
      <c r="V18" t="n">
        <v>95.1675987780562</v>
      </c>
      <c r="W18" t="n">
        <v>96.50798749324</v>
      </c>
      <c r="X18" t="n">
        <v>95.6174870319414</v>
      </c>
      <c r="Y18" t="n">
        <v>93.9574612154147</v>
      </c>
      <c r="Z18" t="n">
        <v>94.1499969965938</v>
      </c>
      <c r="AA18" t="n">
        <v>94.448885875948</v>
      </c>
      <c r="AB18" t="n">
        <v>95.014448066822</v>
      </c>
      <c r="AC18" t="n">
        <v>95.8708879486544</v>
      </c>
      <c r="AD18" t="n">
        <v>99.1674375578168</v>
      </c>
      <c r="AE18" t="n">
        <v>100</v>
      </c>
      <c r="AF18" t="n">
        <v>107.393244104525</v>
      </c>
    </row>
    <row r="19">
      <c r="A19" t="s">
        <v>92</v>
      </c>
      <c r="B19" t="s">
        <v>308</v>
      </c>
      <c r="C19" t="s">
        <v>203</v>
      </c>
      <c r="D19" t="s">
        <v>309</v>
      </c>
      <c r="E19" t="s">
        <v>204</v>
      </c>
      <c r="F19" t="n">
        <v>2.77556036247661</v>
      </c>
      <c r="G19" t="n">
        <v>5.55112072495321</v>
      </c>
      <c r="H19" t="n">
        <v>40.2456252559108</v>
      </c>
      <c r="I19" t="n">
        <v>62.948285656681</v>
      </c>
      <c r="J19" t="n">
        <v>54.6343611359873</v>
      </c>
      <c r="K19" t="n">
        <v>54.0195708756423</v>
      </c>
      <c r="L19" t="n">
        <v>57.0119086209403</v>
      </c>
      <c r="M19" t="n">
        <v>57.0119086209403</v>
      </c>
      <c r="N19" t="n">
        <v>56.3166414426362</v>
      </c>
      <c r="O19" t="n">
        <v>58.7959904369661</v>
      </c>
      <c r="P19" t="n">
        <v>64.9817535116309</v>
      </c>
      <c r="Q19" t="n">
        <v>70.2682032945698</v>
      </c>
      <c r="R19" t="n">
        <v>74.430431364283</v>
      </c>
      <c r="S19" t="n">
        <v>81.5916460517218</v>
      </c>
      <c r="T19" t="n">
        <v>85.8293516993694</v>
      </c>
      <c r="U19" t="n">
        <v>85.066047188209</v>
      </c>
      <c r="V19" t="n">
        <v>91.316677344775</v>
      </c>
      <c r="W19" t="n">
        <v>92.7730836820122</v>
      </c>
      <c r="X19" t="n">
        <v>91.6858991076136</v>
      </c>
      <c r="Y19" t="n">
        <v>90.0670469564359</v>
      </c>
      <c r="Z19" t="n">
        <v>91.2023458676514</v>
      </c>
      <c r="AA19" t="n">
        <v>91.6217741317337</v>
      </c>
      <c r="AB19" t="n">
        <v>93.5953180010225</v>
      </c>
      <c r="AC19" t="n">
        <v>95.5687132600802</v>
      </c>
      <c r="AD19" t="n">
        <v>98.1016949152542</v>
      </c>
      <c r="AE19" t="n">
        <v>100</v>
      </c>
      <c r="AF19" t="n">
        <v>107.551020408163</v>
      </c>
    </row>
    <row r="20">
      <c r="A20" t="s">
        <v>92</v>
      </c>
      <c r="B20" t="s">
        <v>310</v>
      </c>
      <c r="C20" t="s">
        <v>203</v>
      </c>
      <c r="D20" t="s">
        <v>311</v>
      </c>
      <c r="E20" t="s">
        <v>204</v>
      </c>
      <c r="F20" t="n">
        <v>3.04535445084736</v>
      </c>
      <c r="G20" t="n">
        <v>4.2860544123037</v>
      </c>
      <c r="H20" t="n">
        <v>32.4132864930467</v>
      </c>
      <c r="I20" t="n">
        <v>51.4958476434416</v>
      </c>
      <c r="J20" t="n">
        <v>44.7996879168687</v>
      </c>
      <c r="K20" t="n">
        <v>46.8636301786215</v>
      </c>
      <c r="L20" t="n">
        <v>50.7095815914567</v>
      </c>
      <c r="M20" t="n">
        <v>50.9916746281244</v>
      </c>
      <c r="N20" t="n">
        <v>49.8658234863811</v>
      </c>
      <c r="O20" t="n">
        <v>51.9255631389936</v>
      </c>
      <c r="P20" t="n">
        <v>57.374514073635</v>
      </c>
      <c r="Q20" t="n">
        <v>61.9881347929582</v>
      </c>
      <c r="R20" t="n">
        <v>66.7257095688617</v>
      </c>
      <c r="S20" t="n">
        <v>73.1577730777456</v>
      </c>
      <c r="T20" t="n">
        <v>75.4376266726362</v>
      </c>
      <c r="U20" t="n">
        <v>74.9421238795403</v>
      </c>
      <c r="V20" t="n">
        <v>80.1634247197778</v>
      </c>
      <c r="W20" t="n">
        <v>81.2243157050258</v>
      </c>
      <c r="X20" t="n">
        <v>79.4106908396003</v>
      </c>
      <c r="Y20" t="n">
        <v>78.0578325280409</v>
      </c>
      <c r="Z20" t="n">
        <v>82.9176590718278</v>
      </c>
      <c r="AA20" t="n">
        <v>83.4877788138947</v>
      </c>
      <c r="AB20" t="n">
        <v>91.5029066176925</v>
      </c>
      <c r="AC20" t="n">
        <v>95.9231309044435</v>
      </c>
      <c r="AD20" t="n">
        <v>98.4668913776231</v>
      </c>
      <c r="AE20" t="n">
        <v>100</v>
      </c>
      <c r="AF20" t="n">
        <v>106.611409068747</v>
      </c>
    </row>
    <row r="21">
      <c r="A21" t="s">
        <v>92</v>
      </c>
      <c r="B21" t="s">
        <v>312</v>
      </c>
      <c r="C21" t="s">
        <v>203</v>
      </c>
      <c r="D21" t="s">
        <v>313</v>
      </c>
      <c r="E21" t="s">
        <v>204</v>
      </c>
      <c r="F21" t="n">
        <v>3.0876633514785</v>
      </c>
      <c r="G21" t="n">
        <v>4.42565080378585</v>
      </c>
      <c r="H21" t="n">
        <v>33.3562940211267</v>
      </c>
      <c r="I21" t="n">
        <v>52.8192893265892</v>
      </c>
      <c r="J21" t="n">
        <v>45.9088836452553</v>
      </c>
      <c r="K21" t="n">
        <v>47.4359982779457</v>
      </c>
      <c r="L21" t="n">
        <v>51.0579587375919</v>
      </c>
      <c r="M21" t="n">
        <v>51.3056983710229</v>
      </c>
      <c r="N21" t="n">
        <v>50.2728820851516</v>
      </c>
      <c r="O21" t="n">
        <v>52.364564186775</v>
      </c>
      <c r="P21" t="n">
        <v>57.8633479019566</v>
      </c>
      <c r="Q21" t="n">
        <v>62.5188507661495</v>
      </c>
      <c r="R21" t="n">
        <v>67.3500059007443</v>
      </c>
      <c r="S21" t="n">
        <v>73.8422159401839</v>
      </c>
      <c r="T21" t="n">
        <v>76.1078543798142</v>
      </c>
      <c r="U21" t="n">
        <v>75.5823567616857</v>
      </c>
      <c r="V21" t="n">
        <v>80.8347021318878</v>
      </c>
      <c r="W21" t="n">
        <v>81.9155954569755</v>
      </c>
      <c r="X21" t="n">
        <v>80.123641357196</v>
      </c>
      <c r="Y21" t="n">
        <v>78.7593069068412</v>
      </c>
      <c r="Z21" t="n">
        <v>82.5279715557365</v>
      </c>
      <c r="AA21" t="n">
        <v>83.1876574950599</v>
      </c>
      <c r="AB21" t="n">
        <v>90.1183799295947</v>
      </c>
      <c r="AC21" t="n">
        <v>95.8880229828989</v>
      </c>
      <c r="AD21" t="n">
        <v>98.4254222731177</v>
      </c>
      <c r="AE21" t="n">
        <v>100</v>
      </c>
      <c r="AF21" t="n">
        <v>106.647763074984</v>
      </c>
    </row>
    <row r="22">
      <c r="A22" t="s">
        <v>92</v>
      </c>
      <c r="B22" t="s">
        <v>314</v>
      </c>
      <c r="C22" t="s">
        <v>203</v>
      </c>
      <c r="D22" t="s">
        <v>315</v>
      </c>
      <c r="E22" t="s">
        <v>204</v>
      </c>
      <c r="F22" t="n">
        <v>2.87434563196072</v>
      </c>
      <c r="G22" t="n">
        <v>4.79057605326787</v>
      </c>
      <c r="H22" t="n">
        <v>35.1308910572977</v>
      </c>
      <c r="I22" t="n">
        <v>54.160123713334</v>
      </c>
      <c r="J22" t="n">
        <v>46.8871928146863</v>
      </c>
      <c r="K22" t="n">
        <v>46.4685571645551</v>
      </c>
      <c r="L22" t="n">
        <v>48.8825081860905</v>
      </c>
      <c r="M22" t="n">
        <v>48.8825081860905</v>
      </c>
      <c r="N22" t="n">
        <v>49.1865984391921</v>
      </c>
      <c r="O22" t="n">
        <v>51.4451667348693</v>
      </c>
      <c r="P22" t="n">
        <v>56.8910579719624</v>
      </c>
      <c r="Q22" t="n">
        <v>61.510782980212</v>
      </c>
      <c r="R22" t="n">
        <v>66.948523300706</v>
      </c>
      <c r="S22" t="n">
        <v>73.4013930164367</v>
      </c>
      <c r="T22" t="n">
        <v>75.1953948218306</v>
      </c>
      <c r="U22" t="n">
        <v>74.1394915846133</v>
      </c>
      <c r="V22" t="n">
        <v>79.0559034934073</v>
      </c>
      <c r="W22" t="n">
        <v>80.5781609419325</v>
      </c>
      <c r="X22" t="n">
        <v>79.8095298359681</v>
      </c>
      <c r="Y22" t="n">
        <v>78.4540317391442</v>
      </c>
      <c r="Z22" t="n">
        <v>81.9665776922235</v>
      </c>
      <c r="AA22" t="n">
        <v>82.1028317990498</v>
      </c>
      <c r="AB22" t="n">
        <v>85.6504850249346</v>
      </c>
      <c r="AC22" t="n">
        <v>95.6149933654777</v>
      </c>
      <c r="AD22" t="n">
        <v>98.1279251170047</v>
      </c>
      <c r="AE22" t="n">
        <v>100</v>
      </c>
      <c r="AF22" t="n">
        <v>106.800491601803</v>
      </c>
    </row>
    <row r="23">
      <c r="A23" t="s">
        <v>92</v>
      </c>
      <c r="B23" t="s">
        <v>316</v>
      </c>
      <c r="C23" t="s">
        <v>203</v>
      </c>
      <c r="D23" t="s">
        <v>317</v>
      </c>
      <c r="E23" t="s">
        <v>204</v>
      </c>
      <c r="F23" t="n">
        <v>2.80333106095465</v>
      </c>
      <c r="G23" t="n">
        <v>3.91162473621578</v>
      </c>
      <c r="H23" t="n">
        <v>29.6091859171831</v>
      </c>
      <c r="I23" t="n">
        <v>49.6803987798114</v>
      </c>
      <c r="J23" t="n">
        <v>43.7534908223805</v>
      </c>
      <c r="K23" t="n">
        <v>43.8133178380902</v>
      </c>
      <c r="L23" t="n">
        <v>47.652769556655</v>
      </c>
      <c r="M23" t="n">
        <v>49.3831968017487</v>
      </c>
      <c r="N23" t="n">
        <v>50.1753960074505</v>
      </c>
      <c r="O23" t="n">
        <v>52.8360420065002</v>
      </c>
      <c r="P23" t="n">
        <v>58.0916341677123</v>
      </c>
      <c r="Q23" t="n">
        <v>62.7512439120584</v>
      </c>
      <c r="R23" t="n">
        <v>70.1497198649863</v>
      </c>
      <c r="S23" t="n">
        <v>77.0573290117794</v>
      </c>
      <c r="T23" t="n">
        <v>78.0185977903227</v>
      </c>
      <c r="U23" t="n">
        <v>77.4051215470888</v>
      </c>
      <c r="V23" t="n">
        <v>81.6591309172785</v>
      </c>
      <c r="W23" t="n">
        <v>85.7244606219422</v>
      </c>
      <c r="X23" t="n">
        <v>88.2857124491368</v>
      </c>
      <c r="Y23" t="n">
        <v>86.7789518781033</v>
      </c>
      <c r="Z23" t="n">
        <v>90.6039311749466</v>
      </c>
      <c r="AA23" t="n">
        <v>91.0951182272435</v>
      </c>
      <c r="AB23" t="n">
        <v>89.3325498477508</v>
      </c>
      <c r="AC23" t="n">
        <v>93.3094658286405</v>
      </c>
      <c r="AD23" t="n">
        <v>98.1141466651919</v>
      </c>
      <c r="AE23" t="n">
        <v>100</v>
      </c>
      <c r="AF23" t="n">
        <v>109.598240129675</v>
      </c>
    </row>
    <row r="24">
      <c r="A24" t="s">
        <v>92</v>
      </c>
      <c r="B24" t="s">
        <v>318</v>
      </c>
      <c r="C24" t="s">
        <v>203</v>
      </c>
      <c r="D24" t="s">
        <v>319</v>
      </c>
      <c r="E24" t="s">
        <v>204</v>
      </c>
      <c r="F24" t="n">
        <v>3.57062917119443</v>
      </c>
      <c r="G24" t="n">
        <v>5.07029342309609</v>
      </c>
      <c r="H24" t="n">
        <v>38.4593279535982</v>
      </c>
      <c r="I24" t="n">
        <v>62.0225934375606</v>
      </c>
      <c r="J24" t="n">
        <v>53.0905032527922</v>
      </c>
      <c r="K24" t="n">
        <v>52.2690456093392</v>
      </c>
      <c r="L24" t="n">
        <v>54.0361485747795</v>
      </c>
      <c r="M24" t="n">
        <v>54.1613686573547</v>
      </c>
      <c r="N24" t="n">
        <v>53.6023259936175</v>
      </c>
      <c r="O24" t="n">
        <v>56.0434797489145</v>
      </c>
      <c r="P24" t="n">
        <v>61.9497729368689</v>
      </c>
      <c r="Q24" t="n">
        <v>66.9138428694682</v>
      </c>
      <c r="R24" t="n">
        <v>71.3824394904126</v>
      </c>
      <c r="S24" t="n">
        <v>78.3065361209827</v>
      </c>
      <c r="T24" t="n">
        <v>81.174376856399</v>
      </c>
      <c r="U24" t="n">
        <v>80.1359389449936</v>
      </c>
      <c r="V24" t="n">
        <v>85.5864968268877</v>
      </c>
      <c r="W24" t="n">
        <v>87.5403886451481</v>
      </c>
      <c r="X24" t="n">
        <v>87.4645369956852</v>
      </c>
      <c r="Y24" t="n">
        <v>85.971494085477</v>
      </c>
      <c r="Z24" t="n">
        <v>87.8872175253371</v>
      </c>
      <c r="AA24" t="n">
        <v>88.2849766462505</v>
      </c>
      <c r="AB24" t="n">
        <v>90.3034713142107</v>
      </c>
      <c r="AC24" t="n">
        <v>94.6941929561876</v>
      </c>
      <c r="AD24" t="n">
        <v>98.2990786676116</v>
      </c>
      <c r="AE24" t="n">
        <v>100</v>
      </c>
      <c r="AF24" t="n">
        <v>107.654028436019</v>
      </c>
    </row>
    <row r="25">
      <c r="A25" t="s">
        <v>92</v>
      </c>
      <c r="B25" t="s">
        <v>320</v>
      </c>
      <c r="C25" t="s">
        <v>203</v>
      </c>
      <c r="D25" t="s">
        <v>321</v>
      </c>
      <c r="E25" t="s">
        <v>204</v>
      </c>
      <c r="F25" t="n">
        <v>3.55757458550958</v>
      </c>
      <c r="G25" t="n">
        <v>4.98060441971341</v>
      </c>
      <c r="H25" t="n">
        <v>38.599684252779</v>
      </c>
      <c r="I25" t="n">
        <v>61.5700485013652</v>
      </c>
      <c r="J25" t="n">
        <v>52.6446606350739</v>
      </c>
      <c r="K25" t="n">
        <v>51.6761649072276</v>
      </c>
      <c r="L25" t="n">
        <v>54.1326023235923</v>
      </c>
      <c r="M25" t="n">
        <v>53.8010090474907</v>
      </c>
      <c r="N25" t="n">
        <v>53.0348554376372</v>
      </c>
      <c r="O25" t="n">
        <v>55.2903607838355</v>
      </c>
      <c r="P25" t="n">
        <v>61.1080251729993</v>
      </c>
      <c r="Q25" t="n">
        <v>66.0218663724776</v>
      </c>
      <c r="R25" t="n">
        <v>69.8332634048849</v>
      </c>
      <c r="S25" t="n">
        <v>76.5913211537447</v>
      </c>
      <c r="T25" t="n">
        <v>79.5263900300744</v>
      </c>
      <c r="U25" t="n">
        <v>78.5236932290648</v>
      </c>
      <c r="V25" t="n">
        <v>83.7227505433179</v>
      </c>
      <c r="W25" t="n">
        <v>86.1731725104394</v>
      </c>
      <c r="X25" t="n">
        <v>85.6614553340116</v>
      </c>
      <c r="Y25" t="n">
        <v>84.2028237416368</v>
      </c>
      <c r="Z25" t="n">
        <v>85.7127368989884</v>
      </c>
      <c r="AA25" t="n">
        <v>86.3653719515187</v>
      </c>
      <c r="AB25" t="n">
        <v>91.0474920507846</v>
      </c>
      <c r="AC25" t="n">
        <v>94.9084803724648</v>
      </c>
      <c r="AD25" t="n">
        <v>98.5507246376812</v>
      </c>
      <c r="AE25" t="n">
        <v>100</v>
      </c>
      <c r="AF25" t="n">
        <v>106.633020908435</v>
      </c>
    </row>
    <row r="26">
      <c r="A26" t="s">
        <v>92</v>
      </c>
      <c r="B26" t="s">
        <v>322</v>
      </c>
      <c r="C26" t="s">
        <v>203</v>
      </c>
      <c r="D26" t="s">
        <v>323</v>
      </c>
      <c r="E26" t="s">
        <v>204</v>
      </c>
      <c r="F26" t="n">
        <v>3.68177608965229</v>
      </c>
      <c r="G26" t="n">
        <v>5.2596801280747</v>
      </c>
      <c r="H26" t="n">
        <v>39.6819431444844</v>
      </c>
      <c r="I26" t="n">
        <v>62.869110319188</v>
      </c>
      <c r="J26" t="n">
        <v>53.7252023005252</v>
      </c>
      <c r="K26" t="n">
        <v>52.8516217753134</v>
      </c>
      <c r="L26" t="n">
        <v>54.0071127943994</v>
      </c>
      <c r="M26" t="n">
        <v>54.2507346232441</v>
      </c>
      <c r="N26" t="n">
        <v>53.5767460053651</v>
      </c>
      <c r="O26" t="n">
        <v>56.0369027096931</v>
      </c>
      <c r="P26" t="n">
        <v>61.9341842637871</v>
      </c>
      <c r="Q26" t="n">
        <v>66.9008954716324</v>
      </c>
      <c r="R26" t="n">
        <v>71.23681012268</v>
      </c>
      <c r="S26" t="n">
        <v>78.1412348092838</v>
      </c>
      <c r="T26" t="n">
        <v>80.8391092330264</v>
      </c>
      <c r="U26" t="n">
        <v>79.7212467327153</v>
      </c>
      <c r="V26" t="n">
        <v>85.2490599805517</v>
      </c>
      <c r="W26" t="n">
        <v>87.1909781820227</v>
      </c>
      <c r="X26" t="n">
        <v>87.608937598075</v>
      </c>
      <c r="Y26" t="n">
        <v>86.1176772628143</v>
      </c>
      <c r="Z26" t="n">
        <v>87.6168244492076</v>
      </c>
      <c r="AA26" t="n">
        <v>87.9913816917625</v>
      </c>
      <c r="AB26" t="n">
        <v>91.2599678697456</v>
      </c>
      <c r="AC26" t="n">
        <v>94.690712612928</v>
      </c>
      <c r="AD26" t="n">
        <v>98.3059051306873</v>
      </c>
      <c r="AE26" t="n">
        <v>100</v>
      </c>
      <c r="AF26" t="n">
        <v>107.511160714286</v>
      </c>
    </row>
    <row r="27">
      <c r="A27" t="s">
        <v>92</v>
      </c>
      <c r="B27" t="s">
        <v>324</v>
      </c>
      <c r="C27" t="s">
        <v>203</v>
      </c>
      <c r="D27" t="s">
        <v>325</v>
      </c>
      <c r="E27" t="s">
        <v>204</v>
      </c>
      <c r="F27" t="n">
        <v>3.35646018621615</v>
      </c>
      <c r="G27" t="n">
        <v>4.73853202759927</v>
      </c>
      <c r="H27" t="n">
        <v>36.0610318710521</v>
      </c>
      <c r="I27" t="n">
        <v>60.1656577848582</v>
      </c>
      <c r="J27" t="n">
        <v>51.6850378751168</v>
      </c>
      <c r="K27" t="n">
        <v>50.9362102610199</v>
      </c>
      <c r="L27" t="n">
        <v>54.0830107301933</v>
      </c>
      <c r="M27" t="n">
        <v>54.1267849193719</v>
      </c>
      <c r="N27" t="n">
        <v>53.8488827851097</v>
      </c>
      <c r="O27" t="n">
        <v>56.3176599347405</v>
      </c>
      <c r="P27" t="n">
        <v>62.2739925560842</v>
      </c>
      <c r="Q27" t="n">
        <v>67.2499606366208</v>
      </c>
      <c r="R27" t="n">
        <v>72.1904434935063</v>
      </c>
      <c r="S27" t="n">
        <v>79.2059433593226</v>
      </c>
      <c r="T27" t="n">
        <v>82.3187660091599</v>
      </c>
      <c r="U27" t="n">
        <v>81.3847014232186</v>
      </c>
      <c r="V27" t="n">
        <v>86.7839426293184</v>
      </c>
      <c r="W27" t="n">
        <v>88.628031558338</v>
      </c>
      <c r="X27" t="n">
        <v>87.4885679980082</v>
      </c>
      <c r="Y27" t="n">
        <v>85.9843958875577</v>
      </c>
      <c r="Z27" t="n">
        <v>88.7201386774895</v>
      </c>
      <c r="AA27" t="n">
        <v>89.0962232378907</v>
      </c>
      <c r="AB27" t="n">
        <v>89.3546872091568</v>
      </c>
      <c r="AC27" t="n">
        <v>94.657835922238</v>
      </c>
      <c r="AD27" t="n">
        <v>98.244758654315</v>
      </c>
      <c r="AE27" t="n">
        <v>100</v>
      </c>
      <c r="AF27" t="n">
        <v>108.066738098883</v>
      </c>
    </row>
    <row r="28">
      <c r="A28" t="s">
        <v>92</v>
      </c>
      <c r="B28" t="s">
        <v>326</v>
      </c>
      <c r="C28" t="s">
        <v>203</v>
      </c>
      <c r="D28" t="s">
        <v>327</v>
      </c>
      <c r="E28" t="s">
        <v>204</v>
      </c>
      <c r="F28" t="n">
        <v>3.68193115878189</v>
      </c>
      <c r="G28" t="n">
        <v>5.19246701879497</v>
      </c>
      <c r="H28" t="n">
        <v>39.1519593460964</v>
      </c>
      <c r="I28" t="n">
        <v>60.71919196583</v>
      </c>
      <c r="J28" t="n">
        <v>51.4304266892537</v>
      </c>
      <c r="K28" t="n">
        <v>51.7096027086767</v>
      </c>
      <c r="L28" t="n">
        <v>54.7910729109081</v>
      </c>
      <c r="M28" t="n">
        <v>54.8506543299064</v>
      </c>
      <c r="N28" t="n">
        <v>54.289775458563</v>
      </c>
      <c r="O28" t="n">
        <v>56.6893835338315</v>
      </c>
      <c r="P28" t="n">
        <v>62.6611986339176</v>
      </c>
      <c r="Q28" t="n">
        <v>67.7483273035005</v>
      </c>
      <c r="R28" t="n">
        <v>70.421989270699</v>
      </c>
      <c r="S28" t="n">
        <v>77.3142565238925</v>
      </c>
      <c r="T28" t="n">
        <v>80.842818881497</v>
      </c>
      <c r="U28" t="n">
        <v>79.2020974650829</v>
      </c>
      <c r="V28" t="n">
        <v>84.2170044383891</v>
      </c>
      <c r="W28" t="n">
        <v>87.4299789290686</v>
      </c>
      <c r="X28" t="n">
        <v>88.1829643935295</v>
      </c>
      <c r="Y28" t="n">
        <v>86.6880150997401</v>
      </c>
      <c r="Z28" t="n">
        <v>89.1265945310943</v>
      </c>
      <c r="AA28" t="n">
        <v>89.8002905798094</v>
      </c>
      <c r="AB28" t="n">
        <v>92.5889718576297</v>
      </c>
      <c r="AC28" t="n">
        <v>95.6777821474286</v>
      </c>
      <c r="AD28" t="n">
        <v>98.4563986760293</v>
      </c>
      <c r="AE28" t="n">
        <v>100</v>
      </c>
      <c r="AF28" t="n">
        <v>106.470662941326</v>
      </c>
    </row>
    <row r="29">
      <c r="A29" t="s">
        <v>92</v>
      </c>
      <c r="B29" t="s">
        <v>328</v>
      </c>
      <c r="C29" t="s">
        <v>203</v>
      </c>
      <c r="D29" t="s">
        <v>329</v>
      </c>
      <c r="E29" t="s">
        <v>204</v>
      </c>
      <c r="F29" t="n">
        <v>3.85554591409432</v>
      </c>
      <c r="G29" t="n">
        <v>5.39776427973204</v>
      </c>
      <c r="H29" t="n">
        <v>40.5870352572159</v>
      </c>
      <c r="I29" t="n">
        <v>62.600342515367</v>
      </c>
      <c r="J29" t="n">
        <v>52.9751552856464</v>
      </c>
      <c r="K29" t="n">
        <v>52.6507230135558</v>
      </c>
      <c r="L29" t="n">
        <v>55.0364589001076</v>
      </c>
      <c r="M29" t="n">
        <v>54.3332007882747</v>
      </c>
      <c r="N29" t="n">
        <v>53.5121340220918</v>
      </c>
      <c r="O29" t="n">
        <v>55.668051211277</v>
      </c>
      <c r="P29" t="n">
        <v>61.5924901461566</v>
      </c>
      <c r="Q29" t="n">
        <v>66.6318757035694</v>
      </c>
      <c r="R29" t="n">
        <v>68.7042277772873</v>
      </c>
      <c r="S29" t="n">
        <v>75.4254212591769</v>
      </c>
      <c r="T29" t="n">
        <v>79.560418972878</v>
      </c>
      <c r="U29" t="n">
        <v>77.7341350765023</v>
      </c>
      <c r="V29" t="n">
        <v>82.7416922427791</v>
      </c>
      <c r="W29" t="n">
        <v>86.2162544081342</v>
      </c>
      <c r="X29" t="n">
        <v>87.145567303354</v>
      </c>
      <c r="Y29" t="n">
        <v>85.6632222914836</v>
      </c>
      <c r="Z29" t="n">
        <v>87.6447696761967</v>
      </c>
      <c r="AA29" t="n">
        <v>88.4348573545508</v>
      </c>
      <c r="AB29" t="n">
        <v>92.3145801288149</v>
      </c>
      <c r="AC29" t="n">
        <v>95.4666873667932</v>
      </c>
      <c r="AD29" t="n">
        <v>98.4664070107108</v>
      </c>
      <c r="AE29" t="n">
        <v>100</v>
      </c>
      <c r="AF29" t="n">
        <v>105.565360630662</v>
      </c>
    </row>
    <row r="30">
      <c r="A30" t="s">
        <v>92</v>
      </c>
      <c r="B30" t="s">
        <v>330</v>
      </c>
      <c r="C30" t="s">
        <v>203</v>
      </c>
      <c r="D30" t="s">
        <v>331</v>
      </c>
      <c r="E30" t="s">
        <v>204</v>
      </c>
      <c r="F30" t="n">
        <v>3.7737985651753</v>
      </c>
      <c r="G30" t="n">
        <v>5.28331799124542</v>
      </c>
      <c r="H30" t="n">
        <v>40.945714432152</v>
      </c>
      <c r="I30" t="n">
        <v>61.5369118633499</v>
      </c>
      <c r="J30" t="n">
        <v>51.7469486123624</v>
      </c>
      <c r="K30" t="n">
        <v>51.7469486123624</v>
      </c>
      <c r="L30" t="n">
        <v>57.7177503753273</v>
      </c>
      <c r="M30" t="n">
        <v>56.2984614316717</v>
      </c>
      <c r="N30" t="n">
        <v>54.8125782853812</v>
      </c>
      <c r="O30" t="n">
        <v>56.770170367002</v>
      </c>
      <c r="P30" t="n">
        <v>62.774707617358</v>
      </c>
      <c r="Q30" t="n">
        <v>67.9435081252311</v>
      </c>
      <c r="R30" t="n">
        <v>69.6380611782357</v>
      </c>
      <c r="S30" t="n">
        <v>75.9687940126208</v>
      </c>
      <c r="T30" t="n">
        <v>81.707443920049</v>
      </c>
      <c r="U30" t="n">
        <v>77.4070521347832</v>
      </c>
      <c r="V30" t="n">
        <v>83.3614407605358</v>
      </c>
      <c r="W30" t="n">
        <v>86.8837551588683</v>
      </c>
      <c r="X30" t="n">
        <v>86.8837551588683</v>
      </c>
      <c r="Y30" t="n">
        <v>86.8837551588683</v>
      </c>
      <c r="Z30" t="n">
        <v>86.8837551588683</v>
      </c>
      <c r="AA30" t="n">
        <v>87.9180855774263</v>
      </c>
      <c r="AB30" t="n">
        <v>94.4120350803043</v>
      </c>
      <c r="AC30" t="n">
        <v>94.8681318681319</v>
      </c>
      <c r="AD30" t="n">
        <v>97.8021978021978</v>
      </c>
      <c r="AE30" t="n">
        <v>100</v>
      </c>
      <c r="AF30" t="n">
        <v>105.263157894737</v>
      </c>
    </row>
    <row r="31">
      <c r="A31" t="s">
        <v>92</v>
      </c>
      <c r="B31" t="s">
        <v>332</v>
      </c>
      <c r="C31" t="s">
        <v>203</v>
      </c>
      <c r="D31" t="s">
        <v>333</v>
      </c>
      <c r="E31" t="s">
        <v>204</v>
      </c>
      <c r="F31" t="n">
        <v>4.15555828415128</v>
      </c>
      <c r="G31" t="n">
        <v>6.23333742622692</v>
      </c>
      <c r="H31" t="n">
        <v>43.6333619835884</v>
      </c>
      <c r="I31" t="n">
        <v>64.82670923276</v>
      </c>
      <c r="J31" t="n">
        <v>54.6338304225776</v>
      </c>
      <c r="K31" t="n">
        <v>54.6338304225776</v>
      </c>
      <c r="L31" t="n">
        <v>54.6338304225776</v>
      </c>
      <c r="M31" t="n">
        <v>53.4461384568694</v>
      </c>
      <c r="N31" t="n">
        <v>51.906537760581</v>
      </c>
      <c r="O31" t="n">
        <v>53.9673432299837</v>
      </c>
      <c r="P31" t="n">
        <v>59.743112405099</v>
      </c>
      <c r="Q31" t="n">
        <v>64.5927260200207</v>
      </c>
      <c r="R31" t="n">
        <v>66.2579387668055</v>
      </c>
      <c r="S31" t="n">
        <v>72.6470971478903</v>
      </c>
      <c r="T31" t="n">
        <v>77.8361755155967</v>
      </c>
      <c r="U31" t="n">
        <v>75.8056665891029</v>
      </c>
      <c r="V31" t="n">
        <v>82.2447579596059</v>
      </c>
      <c r="W31" t="n">
        <v>83.7134143517417</v>
      </c>
      <c r="X31" t="n">
        <v>82.2600564636906</v>
      </c>
      <c r="Y31" t="n">
        <v>80.8130897712774</v>
      </c>
      <c r="Z31" t="n">
        <v>85.8085150612268</v>
      </c>
      <c r="AA31" t="n">
        <v>86.0522892517416</v>
      </c>
      <c r="AB31" t="n">
        <v>92.8103224390511</v>
      </c>
      <c r="AC31" t="n">
        <v>95.694259012016</v>
      </c>
      <c r="AD31" t="n">
        <v>98.8317757009346</v>
      </c>
      <c r="AE31" t="n">
        <v>100</v>
      </c>
      <c r="AF31" t="n">
        <v>107.890625</v>
      </c>
    </row>
    <row r="32">
      <c r="A32" t="s">
        <v>92</v>
      </c>
      <c r="B32" t="s">
        <v>334</v>
      </c>
      <c r="C32" t="s">
        <v>203</v>
      </c>
      <c r="D32" t="s">
        <v>335</v>
      </c>
      <c r="E32" t="s">
        <v>204</v>
      </c>
      <c r="F32" t="n">
        <v>3.38935092419221</v>
      </c>
      <c r="G32" t="n">
        <v>4.78496601062429</v>
      </c>
      <c r="H32" t="n">
        <v>36.2859922472342</v>
      </c>
      <c r="I32" t="n">
        <v>57.2525672377719</v>
      </c>
      <c r="J32" t="n">
        <v>48.7205813698614</v>
      </c>
      <c r="K32" t="n">
        <v>50.1969626234935</v>
      </c>
      <c r="L32" t="n">
        <v>53.9711703395457</v>
      </c>
      <c r="M32" t="n">
        <v>54.8920973592596</v>
      </c>
      <c r="N32" t="n">
        <v>55.1748034400798</v>
      </c>
      <c r="O32" t="n">
        <v>58.0506529477035</v>
      </c>
      <c r="P32" t="n">
        <v>64.0243300975087</v>
      </c>
      <c r="Q32" t="n">
        <v>69.0603676297592</v>
      </c>
      <c r="R32" t="n">
        <v>75.2404857557178</v>
      </c>
      <c r="S32" t="n">
        <v>82.6170039670627</v>
      </c>
      <c r="T32" t="n">
        <v>84.2959269943357</v>
      </c>
      <c r="U32" t="n">
        <v>83.4489344264501</v>
      </c>
      <c r="V32" t="n">
        <v>88.1018447096218</v>
      </c>
      <c r="W32" t="n">
        <v>90.8716729592593</v>
      </c>
      <c r="X32" t="n">
        <v>91.3023443950851</v>
      </c>
      <c r="Y32" t="n">
        <v>89.7397713604141</v>
      </c>
      <c r="Z32" t="n">
        <v>92.6203424417432</v>
      </c>
      <c r="AA32" t="n">
        <v>92.9982304158017</v>
      </c>
      <c r="AB32" t="n">
        <v>93.2356053658137</v>
      </c>
      <c r="AC32" t="n">
        <v>96.0925596846247</v>
      </c>
      <c r="AD32" t="n">
        <v>98.3133433283358</v>
      </c>
      <c r="AE32" t="n">
        <v>100</v>
      </c>
      <c r="AF32" t="n">
        <v>107.594936708861</v>
      </c>
    </row>
    <row r="33">
      <c r="A33" t="s">
        <v>92</v>
      </c>
      <c r="B33" t="s">
        <v>336</v>
      </c>
      <c r="C33" t="s">
        <v>203</v>
      </c>
      <c r="D33" t="s">
        <v>337</v>
      </c>
      <c r="E33" t="s">
        <v>204</v>
      </c>
      <c r="F33" t="n">
        <v>4.45357161855113</v>
      </c>
      <c r="G33" t="n">
        <v>4.45357161855113</v>
      </c>
      <c r="H33" t="n">
        <v>31.1750013298579</v>
      </c>
      <c r="I33" t="n">
        <v>50.2263910314378</v>
      </c>
      <c r="J33" t="n">
        <v>43.4651460848981</v>
      </c>
      <c r="K33" t="n">
        <v>46.1817177152042</v>
      </c>
      <c r="L33" t="n">
        <v>49.7341575394507</v>
      </c>
      <c r="M33" t="n">
        <v>48.6038357771904</v>
      </c>
      <c r="N33" t="n">
        <v>47.7037647442795</v>
      </c>
      <c r="O33" t="n">
        <v>48.8395686667623</v>
      </c>
      <c r="P33" t="n">
        <v>54.072379595344</v>
      </c>
      <c r="Q33" t="n">
        <v>58.4804540188775</v>
      </c>
      <c r="R33" t="n">
        <v>63.3325440903128</v>
      </c>
      <c r="S33" t="n">
        <v>69.7411943851658</v>
      </c>
      <c r="T33" t="n">
        <v>72.7089047845346</v>
      </c>
      <c r="U33" t="n">
        <v>70.2852746250501</v>
      </c>
      <c r="V33" t="n">
        <v>74.8198084718275</v>
      </c>
      <c r="W33" t="n">
        <v>77.782969203385</v>
      </c>
      <c r="X33" t="n">
        <v>82.4970885490447</v>
      </c>
      <c r="Y33" t="n">
        <v>81.1520273227016</v>
      </c>
      <c r="Z33" t="n">
        <v>82.7881569058206</v>
      </c>
      <c r="AA33" t="n">
        <v>83.3513416466765</v>
      </c>
      <c r="AB33" t="n">
        <v>88.9831890552358</v>
      </c>
      <c r="AC33" t="n">
        <v>94.0610340828443</v>
      </c>
      <c r="AD33" t="n">
        <v>97.2789115646258</v>
      </c>
      <c r="AE33" t="n">
        <v>100</v>
      </c>
      <c r="AF33" t="n">
        <v>106.374501992032</v>
      </c>
    </row>
    <row r="34">
      <c r="A34" t="s">
        <v>92</v>
      </c>
      <c r="B34" t="s">
        <v>338</v>
      </c>
      <c r="C34" t="s">
        <v>203</v>
      </c>
      <c r="D34" t="s">
        <v>339</v>
      </c>
      <c r="E34" t="s">
        <v>204</v>
      </c>
      <c r="F34" t="n">
        <v>2.93954253739698</v>
      </c>
      <c r="G34" t="n">
        <v>4.22559239750816</v>
      </c>
      <c r="H34" t="n">
        <v>31.8031427812457</v>
      </c>
      <c r="I34" t="n">
        <v>53.9036318326198</v>
      </c>
      <c r="J34" t="n">
        <v>47.2323902691767</v>
      </c>
      <c r="K34" t="n">
        <v>46.5329965337003</v>
      </c>
      <c r="L34" t="n">
        <v>49.100533230228</v>
      </c>
      <c r="M34" t="n">
        <v>50.4585923885242</v>
      </c>
      <c r="N34" t="n">
        <v>51.1927520103784</v>
      </c>
      <c r="O34" t="n">
        <v>53.8941285008284</v>
      </c>
      <c r="P34" t="n">
        <v>59.6298490039286</v>
      </c>
      <c r="Q34" t="n">
        <v>64.4032437870984</v>
      </c>
      <c r="R34" t="n">
        <v>70.0629227865707</v>
      </c>
      <c r="S34" t="n">
        <v>76.904211805042</v>
      </c>
      <c r="T34" t="n">
        <v>78.5638807794961</v>
      </c>
      <c r="U34" t="n">
        <v>77.9582621186405</v>
      </c>
      <c r="V34" t="n">
        <v>82.4698892029533</v>
      </c>
      <c r="W34" t="n">
        <v>84.19004806758</v>
      </c>
      <c r="X34" t="n">
        <v>82.8900404113164</v>
      </c>
      <c r="Y34" t="n">
        <v>81.5014551189559</v>
      </c>
      <c r="Z34" t="n">
        <v>84.6510028760952</v>
      </c>
      <c r="AA34" t="n">
        <v>85.207770850813</v>
      </c>
      <c r="AB34" t="n">
        <v>88.740320800041</v>
      </c>
      <c r="AC34" t="n">
        <v>94.2425459443319</v>
      </c>
      <c r="AD34" t="n">
        <v>98.3073202901737</v>
      </c>
      <c r="AE34" t="n">
        <v>100</v>
      </c>
      <c r="AF34" t="n">
        <v>108.484510186994</v>
      </c>
    </row>
    <row r="35">
      <c r="A35" t="s">
        <v>92</v>
      </c>
      <c r="B35" t="s">
        <v>340</v>
      </c>
      <c r="C35" t="s">
        <v>203</v>
      </c>
      <c r="D35" t="s">
        <v>341</v>
      </c>
      <c r="E35" t="s">
        <v>204</v>
      </c>
      <c r="F35" t="n">
        <v>3.47019787546497</v>
      </c>
      <c r="G35" t="n">
        <v>4.91611365690871</v>
      </c>
      <c r="H35" t="n">
        <v>37.2710012128428</v>
      </c>
      <c r="I35" t="n">
        <v>56.6950864774424</v>
      </c>
      <c r="J35" t="n">
        <v>48.8449975805658</v>
      </c>
      <c r="K35" t="n">
        <v>49.7831968138059</v>
      </c>
      <c r="L35" t="n">
        <v>52.6509504453238</v>
      </c>
      <c r="M35" t="n">
        <v>52.5915115760019</v>
      </c>
      <c r="N35" t="n">
        <v>52.1995056757633</v>
      </c>
      <c r="O35" t="n">
        <v>54.3454179515102</v>
      </c>
      <c r="P35" t="n">
        <v>58.9393968908033</v>
      </c>
      <c r="Q35" t="n">
        <v>63.2753597780638</v>
      </c>
      <c r="R35" t="n">
        <v>66.2475470228739</v>
      </c>
      <c r="S35" t="n">
        <v>72.7599358328919</v>
      </c>
      <c r="T35" t="n">
        <v>76.0555544664904</v>
      </c>
      <c r="U35" t="n">
        <v>76.1819188352821</v>
      </c>
      <c r="V35" t="n">
        <v>80.6968947418508</v>
      </c>
      <c r="W35" t="n">
        <v>82.0636667361756</v>
      </c>
      <c r="X35" t="n">
        <v>89.4053878359798</v>
      </c>
      <c r="Y35" t="n">
        <v>87.8754560655246</v>
      </c>
      <c r="Z35" t="n">
        <v>87.6788666783534</v>
      </c>
      <c r="AA35" t="n">
        <v>87.2881141014529</v>
      </c>
      <c r="AB35" t="n">
        <v>90.073327234723</v>
      </c>
      <c r="AC35" t="n">
        <v>92.7658019936801</v>
      </c>
      <c r="AD35" t="n">
        <v>95.9075097196644</v>
      </c>
      <c r="AE35" t="n">
        <v>100</v>
      </c>
      <c r="AF35" t="n">
        <v>106.791947805721</v>
      </c>
    </row>
    <row r="36">
      <c r="A36" t="s">
        <v>92</v>
      </c>
      <c r="B36" t="s">
        <v>342</v>
      </c>
      <c r="C36" t="s">
        <v>203</v>
      </c>
      <c r="D36" t="s">
        <v>343</v>
      </c>
      <c r="E36" t="s">
        <v>204</v>
      </c>
      <c r="F36" t="n">
        <v>3.68558311582229</v>
      </c>
      <c r="G36" t="n">
        <v>5.29802572899455</v>
      </c>
      <c r="H36" t="n">
        <v>39.9178835098382</v>
      </c>
      <c r="I36" t="n">
        <v>60.4716281647384</v>
      </c>
      <c r="J36" t="n">
        <v>52.1103276224072</v>
      </c>
      <c r="K36" t="n">
        <v>53.0591682564642</v>
      </c>
      <c r="L36" t="n">
        <v>56.0683909672284</v>
      </c>
      <c r="M36" t="n">
        <v>55.9735205933414</v>
      </c>
      <c r="N36" t="n">
        <v>55.4335076010399</v>
      </c>
      <c r="O36" t="n">
        <v>57.6852764951223</v>
      </c>
      <c r="P36" t="n">
        <v>62.0799934624203</v>
      </c>
      <c r="Q36" t="n">
        <v>66.2408509330919</v>
      </c>
      <c r="R36" t="n">
        <v>70.0486221906341</v>
      </c>
      <c r="S36" t="n">
        <v>77.3641435352926</v>
      </c>
      <c r="T36" t="n">
        <v>79.8484913457586</v>
      </c>
      <c r="U36" t="n">
        <v>80.6716716689107</v>
      </c>
      <c r="V36" t="n">
        <v>83.9573681488314</v>
      </c>
      <c r="W36" t="n">
        <v>85.5871562160578</v>
      </c>
      <c r="X36" t="n">
        <v>91.0754140670008</v>
      </c>
      <c r="Y36" t="n">
        <v>89.5482348677066</v>
      </c>
      <c r="Z36" t="n">
        <v>89.5971416043902</v>
      </c>
      <c r="AA36" t="n">
        <v>89.4531719071149</v>
      </c>
      <c r="AB36" t="n">
        <v>92.243065543381</v>
      </c>
      <c r="AC36" t="n">
        <v>95.2432272001869</v>
      </c>
      <c r="AD36" t="n">
        <v>98.3695652173913</v>
      </c>
      <c r="AE36" t="n">
        <v>100</v>
      </c>
      <c r="AF36" t="n">
        <v>108.429295255643</v>
      </c>
    </row>
    <row r="37">
      <c r="A37" t="s">
        <v>92</v>
      </c>
      <c r="B37" t="s">
        <v>344</v>
      </c>
      <c r="C37" t="s">
        <v>203</v>
      </c>
      <c r="D37" t="s">
        <v>345</v>
      </c>
      <c r="E37" t="s">
        <v>204</v>
      </c>
      <c r="F37" t="n">
        <v>3.68607406285338</v>
      </c>
      <c r="G37" t="n">
        <v>5.52911109428006</v>
      </c>
      <c r="H37" t="n">
        <v>40.7771943203155</v>
      </c>
      <c r="I37" t="n">
        <v>62.4243468607299</v>
      </c>
      <c r="J37" t="n">
        <v>53.3207962768734</v>
      </c>
      <c r="K37" t="n">
        <v>54.8618597530836</v>
      </c>
      <c r="L37" t="n">
        <v>58.2379741994272</v>
      </c>
      <c r="M37" t="n">
        <v>59.2508085333303</v>
      </c>
      <c r="N37" t="n">
        <v>58.923455999997</v>
      </c>
      <c r="O37" t="n">
        <v>62.1007011764674</v>
      </c>
      <c r="P37" t="n">
        <v>67.3864248978747</v>
      </c>
      <c r="Q37" t="n">
        <v>72.3993489396586</v>
      </c>
      <c r="R37" t="n">
        <v>75.4897293882555</v>
      </c>
      <c r="S37" t="n">
        <v>82.8144346655025</v>
      </c>
      <c r="T37" t="n">
        <v>87.0732656799474</v>
      </c>
      <c r="U37" t="n">
        <v>86.960288319473</v>
      </c>
      <c r="V37" t="n">
        <v>92.5176512700688</v>
      </c>
      <c r="W37" t="n">
        <v>93.9840202360154</v>
      </c>
      <c r="X37" t="n">
        <v>95.2322861384306</v>
      </c>
      <c r="Y37" t="n">
        <v>93.6411526447811</v>
      </c>
      <c r="Z37" t="n">
        <v>93.8325080873481</v>
      </c>
      <c r="AA37" t="n">
        <v>95.5912210283459</v>
      </c>
      <c r="AB37" t="n">
        <v>98.3260330737343</v>
      </c>
      <c r="AC37" t="n">
        <v>99.1238749519698</v>
      </c>
      <c r="AD37" t="n">
        <v>102.548209366391</v>
      </c>
      <c r="AE37" t="n">
        <v>100</v>
      </c>
      <c r="AF37" t="n">
        <v>106.662087912088</v>
      </c>
    </row>
    <row r="38">
      <c r="A38" t="s">
        <v>92</v>
      </c>
      <c r="B38" t="s">
        <v>346</v>
      </c>
      <c r="C38" t="s">
        <v>203</v>
      </c>
      <c r="D38" t="s">
        <v>347</v>
      </c>
      <c r="E38" t="s">
        <v>204</v>
      </c>
      <c r="F38" t="n">
        <v>2.24368705975959</v>
      </c>
      <c r="G38" t="n">
        <v>2.99158274634612</v>
      </c>
      <c r="H38" t="n">
        <v>22.223186115714</v>
      </c>
      <c r="I38" t="n">
        <v>34.1172857269412</v>
      </c>
      <c r="J38" t="n">
        <v>29.4261589394868</v>
      </c>
      <c r="K38" t="n">
        <v>29.9165949218116</v>
      </c>
      <c r="L38" t="n">
        <v>31.7210879488415</v>
      </c>
      <c r="M38" t="n">
        <v>31.7210879488415</v>
      </c>
      <c r="N38" t="n">
        <v>31.6669871734881</v>
      </c>
      <c r="O38" t="n">
        <v>33.0211675460386</v>
      </c>
      <c r="P38" t="n">
        <v>36.3290876692798</v>
      </c>
      <c r="Q38" t="n">
        <v>39.2036114410915</v>
      </c>
      <c r="R38" t="n">
        <v>41.8957049306085</v>
      </c>
      <c r="S38" t="n">
        <v>45.9183493622214</v>
      </c>
      <c r="T38" t="n">
        <v>47.8714735972465</v>
      </c>
      <c r="U38" t="n">
        <v>47.6694842571737</v>
      </c>
      <c r="V38" t="n">
        <v>51.317480109084</v>
      </c>
      <c r="W38" t="n">
        <v>52.2474509183095</v>
      </c>
      <c r="X38" t="n">
        <v>87.8000501201605</v>
      </c>
      <c r="Y38" t="n">
        <v>86.2969796045262</v>
      </c>
      <c r="Z38" t="n">
        <v>86.85473387127</v>
      </c>
      <c r="AA38" t="n">
        <v>86.7478138049533</v>
      </c>
      <c r="AB38" t="n">
        <v>89.6940805903456</v>
      </c>
      <c r="AC38" t="n">
        <v>93.2737280141322</v>
      </c>
      <c r="AD38" t="n">
        <v>96.4138230819387</v>
      </c>
      <c r="AE38" t="n">
        <v>100</v>
      </c>
      <c r="AF38" t="n">
        <v>106.510364258402</v>
      </c>
    </row>
    <row r="39">
      <c r="A39" t="s">
        <v>92</v>
      </c>
      <c r="B39" t="s">
        <v>348</v>
      </c>
      <c r="C39" t="s">
        <v>203</v>
      </c>
      <c r="D39" t="s">
        <v>349</v>
      </c>
      <c r="E39" t="s">
        <v>204</v>
      </c>
      <c r="F39" t="n">
        <v>3.28774911783168</v>
      </c>
      <c r="G39" t="n">
        <v>4.7946341301712</v>
      </c>
      <c r="H39" t="n">
        <v>36.0424220819766</v>
      </c>
      <c r="I39" t="n">
        <v>60.7356928072668</v>
      </c>
      <c r="J39" t="n">
        <v>52.3248911402152</v>
      </c>
      <c r="K39" t="n">
        <v>52.3964057978101</v>
      </c>
      <c r="L39" t="n">
        <v>56.7797627030743</v>
      </c>
      <c r="M39" t="n">
        <v>56.4316875294156</v>
      </c>
      <c r="N39" t="n">
        <v>56.8323181711052</v>
      </c>
      <c r="O39" t="n">
        <v>59.088895510252</v>
      </c>
      <c r="P39" t="n">
        <v>67.1604298635456</v>
      </c>
      <c r="Q39" t="n">
        <v>72.6578729628808</v>
      </c>
      <c r="R39" t="n">
        <v>76.1010974647362</v>
      </c>
      <c r="S39" t="n">
        <v>83.4246340408405</v>
      </c>
      <c r="T39" t="n">
        <v>87.098932002206</v>
      </c>
      <c r="U39" t="n">
        <v>86.3784445132172</v>
      </c>
      <c r="V39" t="n">
        <v>92.0672392435068</v>
      </c>
      <c r="W39" t="n">
        <v>94.198014307966</v>
      </c>
      <c r="X39" t="n">
        <v>95.7129389510661</v>
      </c>
      <c r="Y39" t="n">
        <v>94.0796123478056</v>
      </c>
      <c r="Z39" t="n">
        <v>88.4461026263801</v>
      </c>
      <c r="AA39" t="n">
        <v>88.7289792872321</v>
      </c>
      <c r="AB39" t="n">
        <v>91.004081320238</v>
      </c>
      <c r="AC39" t="n">
        <v>93.742870815209</v>
      </c>
      <c r="AD39" t="n">
        <v>97.0089540864927</v>
      </c>
      <c r="AE39" t="n">
        <v>100</v>
      </c>
      <c r="AF39" t="n">
        <v>106.888217522659</v>
      </c>
    </row>
    <row r="40">
      <c r="A40" t="s">
        <v>92</v>
      </c>
      <c r="B40" t="s">
        <v>350</v>
      </c>
      <c r="C40" t="s">
        <v>203</v>
      </c>
      <c r="D40" t="s">
        <v>351</v>
      </c>
      <c r="E40" t="s">
        <v>204</v>
      </c>
      <c r="F40" t="n">
        <v>2.22540079553202</v>
      </c>
      <c r="G40" t="n">
        <v>3.33810119329803</v>
      </c>
      <c r="H40" t="n">
        <v>25.3392226945805</v>
      </c>
      <c r="I40" t="n">
        <v>53.4260719464047</v>
      </c>
      <c r="J40" t="n">
        <v>47.2744895298628</v>
      </c>
      <c r="K40" t="n">
        <v>46.2686493270998</v>
      </c>
      <c r="L40" t="n">
        <v>48.577805578175</v>
      </c>
      <c r="M40" t="n">
        <v>49.7467902043878</v>
      </c>
      <c r="N40" t="n">
        <v>50.5180582695721</v>
      </c>
      <c r="O40" t="n">
        <v>53.1852593347161</v>
      </c>
      <c r="P40" t="n">
        <v>58.7758086404464</v>
      </c>
      <c r="Q40" t="n">
        <v>63.4717782678589</v>
      </c>
      <c r="R40" t="n">
        <v>71.5291788693793</v>
      </c>
      <c r="S40" t="n">
        <v>78.5487701046091</v>
      </c>
      <c r="T40" t="n">
        <v>79.6178788341305</v>
      </c>
      <c r="U40" t="n">
        <v>79.0288439722257</v>
      </c>
      <c r="V40" t="n">
        <v>83.1363722452105</v>
      </c>
      <c r="W40" t="n">
        <v>84.9164180087661</v>
      </c>
      <c r="X40" t="n">
        <v>83.7266186905322</v>
      </c>
      <c r="Y40" t="n">
        <v>82.2858474098947</v>
      </c>
      <c r="Z40" t="n">
        <v>84.7050831557949</v>
      </c>
      <c r="AA40" t="n">
        <v>85.208358329938</v>
      </c>
      <c r="AB40" t="n">
        <v>88.4430212753059</v>
      </c>
      <c r="AC40" t="n">
        <v>93.3249243789268</v>
      </c>
      <c r="AD40" t="n">
        <v>97.9798805921321</v>
      </c>
      <c r="AE40" t="n">
        <v>100</v>
      </c>
      <c r="AF40" t="n">
        <v>109.408602150538</v>
      </c>
    </row>
    <row r="41">
      <c r="A41" t="s">
        <v>92</v>
      </c>
      <c r="B41" t="s">
        <v>352</v>
      </c>
      <c r="C41" t="s">
        <v>203</v>
      </c>
      <c r="D41" t="s">
        <v>353</v>
      </c>
      <c r="E41" t="s">
        <v>204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92</v>
      </c>
      <c r="B42" t="s">
        <v>354</v>
      </c>
      <c r="C42" t="s">
        <v>203</v>
      </c>
      <c r="D42" t="s">
        <v>355</v>
      </c>
      <c r="E42" t="s">
        <v>204</v>
      </c>
      <c r="F42" t="n">
        <v>3.23561875447096</v>
      </c>
      <c r="G42" t="n">
        <v>4.58379323550052</v>
      </c>
      <c r="H42" t="n">
        <v>34.6491457171693</v>
      </c>
      <c r="I42" t="n">
        <v>53.7088452873225</v>
      </c>
      <c r="J42" t="n">
        <v>46.7230664239376</v>
      </c>
      <c r="K42" t="n">
        <v>46.3040791513684</v>
      </c>
      <c r="L42" t="n">
        <v>48.5820079110511</v>
      </c>
      <c r="M42" t="n">
        <v>49.7163443199148</v>
      </c>
      <c r="N42" t="n">
        <v>49.5526691122773</v>
      </c>
      <c r="O42" t="n">
        <v>51.8834625794587</v>
      </c>
      <c r="P42" t="n">
        <v>57.1229255493055</v>
      </c>
      <c r="Q42" t="n">
        <v>61.6915805854987</v>
      </c>
      <c r="R42" t="n">
        <v>67.4870319524551</v>
      </c>
      <c r="S42" t="n">
        <v>74.0828088683995</v>
      </c>
      <c r="T42" t="n">
        <v>78.173749412291</v>
      </c>
      <c r="U42" t="n">
        <v>77.3311004349487</v>
      </c>
      <c r="V42" t="n">
        <v>82.1628282752883</v>
      </c>
      <c r="W42" t="n">
        <v>84.0396441495969</v>
      </c>
      <c r="X42" t="n">
        <v>87.6013372533165</v>
      </c>
      <c r="Y42" t="n">
        <v>86.118023258403</v>
      </c>
      <c r="Z42" t="n">
        <v>86.9109590197257</v>
      </c>
      <c r="AA42" t="n">
        <v>86.9109590197257</v>
      </c>
      <c r="AB42" t="n">
        <v>89.4974744241723</v>
      </c>
      <c r="AC42" t="n">
        <v>93.465289489849</v>
      </c>
      <c r="AD42" t="n">
        <v>96.5855996166287</v>
      </c>
      <c r="AE42" t="n">
        <v>100</v>
      </c>
      <c r="AF42" t="n">
        <v>107.285575048733</v>
      </c>
    </row>
    <row r="43">
      <c r="A43" t="s">
        <v>92</v>
      </c>
      <c r="B43" t="s">
        <v>356</v>
      </c>
      <c r="C43" t="s">
        <v>203</v>
      </c>
      <c r="D43" t="s">
        <v>357</v>
      </c>
      <c r="E43" t="s">
        <v>204</v>
      </c>
      <c r="F43" t="n">
        <v>2.98113474228745</v>
      </c>
      <c r="G43" t="n">
        <v>4.17358863920243</v>
      </c>
      <c r="H43" t="n">
        <v>31.525031167812</v>
      </c>
      <c r="I43" t="n">
        <v>49.3264791158054</v>
      </c>
      <c r="J43" t="n">
        <v>43.101217448951</v>
      </c>
      <c r="K43" t="n">
        <v>42.6889628583346</v>
      </c>
      <c r="L43" t="n">
        <v>44.7894795773291</v>
      </c>
      <c r="M43" t="n">
        <v>45.458584523482</v>
      </c>
      <c r="N43" t="n">
        <v>45.123611840472</v>
      </c>
      <c r="O43" t="n">
        <v>47.3924491696626</v>
      </c>
      <c r="P43" t="n">
        <v>52.276299717371</v>
      </c>
      <c r="Q43" t="n">
        <v>56.4607330015591</v>
      </c>
      <c r="R43" t="n">
        <v>61.8001060236818</v>
      </c>
      <c r="S43" t="n">
        <v>67.8264092956318</v>
      </c>
      <c r="T43" t="n">
        <v>71.3999819666346</v>
      </c>
      <c r="U43" t="n">
        <v>70.5272156941681</v>
      </c>
      <c r="V43" t="n">
        <v>74.8317771564603</v>
      </c>
      <c r="W43" t="n">
        <v>76.6545713385761</v>
      </c>
      <c r="X43" t="n">
        <v>86.9461573053294</v>
      </c>
      <c r="Y43" t="n">
        <v>85.4687887026554</v>
      </c>
      <c r="Z43" t="n">
        <v>87.0022589625933</v>
      </c>
      <c r="AA43" t="n">
        <v>87.3117182170334</v>
      </c>
      <c r="AB43" t="n">
        <v>89.986989932417</v>
      </c>
      <c r="AC43" t="n">
        <v>93.8708855429017</v>
      </c>
      <c r="AD43" t="n">
        <v>96.9319775596073</v>
      </c>
      <c r="AE43" t="n">
        <v>100</v>
      </c>
      <c r="AF43" t="n">
        <v>106.886705299404</v>
      </c>
    </row>
    <row r="44">
      <c r="A44" t="s">
        <v>92</v>
      </c>
      <c r="B44" t="s">
        <v>358</v>
      </c>
      <c r="C44" t="s">
        <v>203</v>
      </c>
      <c r="D44" t="s">
        <v>359</v>
      </c>
      <c r="E44" t="s">
        <v>204</v>
      </c>
      <c r="F44" t="n">
        <v>3.52669030926987</v>
      </c>
      <c r="G44" t="n">
        <v>5.01083914775427</v>
      </c>
      <c r="H44" t="n">
        <v>37.8691378264923</v>
      </c>
      <c r="I44" t="n">
        <v>58.9322645903867</v>
      </c>
      <c r="J44" t="n">
        <v>50.464810251427</v>
      </c>
      <c r="K44" t="n">
        <v>50.2539032412323</v>
      </c>
      <c r="L44" t="n">
        <v>53.2049938950489</v>
      </c>
      <c r="M44" t="n">
        <v>53.3880586489453</v>
      </c>
      <c r="N44" t="n">
        <v>52.9750949002196</v>
      </c>
      <c r="O44" t="n">
        <v>55.3331209752225</v>
      </c>
      <c r="P44" t="n">
        <v>60.9619578521843</v>
      </c>
      <c r="Q44" t="n">
        <v>65.769163750016</v>
      </c>
      <c r="R44" t="n">
        <v>70.7520985811283</v>
      </c>
      <c r="S44" t="n">
        <v>77.5684061405884</v>
      </c>
      <c r="T44" t="n">
        <v>80.0252943232542</v>
      </c>
      <c r="U44" t="n">
        <v>79.3959008905943</v>
      </c>
      <c r="V44" t="n">
        <v>84.8048271779098</v>
      </c>
      <c r="W44" t="n">
        <v>86.748033868296</v>
      </c>
      <c r="X44" t="n">
        <v>87.243960057865</v>
      </c>
      <c r="Y44" t="n">
        <v>85.756533821925</v>
      </c>
      <c r="Z44" t="n">
        <v>87.9973864071979</v>
      </c>
      <c r="AA44" t="n">
        <v>88.5545229823883</v>
      </c>
      <c r="AB44" t="n">
        <v>91.1724293671486</v>
      </c>
      <c r="AC44" t="n">
        <v>94.7494112452595</v>
      </c>
      <c r="AD44" t="n">
        <v>98.1909632936788</v>
      </c>
      <c r="AE44" t="n">
        <v>100</v>
      </c>
      <c r="AF44" t="n">
        <v>107.584677177627</v>
      </c>
    </row>
    <row r="45">
      <c r="A45" t="s">
        <v>92</v>
      </c>
      <c r="B45" t="s">
        <v>360</v>
      </c>
      <c r="C45" t="s">
        <v>203</v>
      </c>
      <c r="D45" t="s">
        <v>361</v>
      </c>
      <c r="E45" t="s">
        <v>204</v>
      </c>
      <c r="F45" t="n">
        <v>3.41243970616607</v>
      </c>
      <c r="G45" t="n">
        <v>4.85431563834892</v>
      </c>
      <c r="H45" t="n">
        <v>36.687732052208</v>
      </c>
      <c r="I45" t="n">
        <v>58.4849338241589</v>
      </c>
      <c r="J45" t="n">
        <v>50.5440955212569</v>
      </c>
      <c r="K45" t="n">
        <v>50.2371778796142</v>
      </c>
      <c r="L45" t="n">
        <v>53.2206070640529</v>
      </c>
      <c r="M45" t="n">
        <v>53.5344680056203</v>
      </c>
      <c r="N45" t="n">
        <v>53.073497053561</v>
      </c>
      <c r="O45" t="n">
        <v>55.4820214791213</v>
      </c>
      <c r="P45" t="n">
        <v>61.1516803757509</v>
      </c>
      <c r="Q45" t="n">
        <v>66.0390922169952</v>
      </c>
      <c r="R45" t="n">
        <v>70.9975854525267</v>
      </c>
      <c r="S45" t="n">
        <v>77.8896676099868</v>
      </c>
      <c r="T45" t="n">
        <v>80.3573286476416</v>
      </c>
      <c r="U45" t="n">
        <v>79.6638823863048</v>
      </c>
      <c r="V45" t="n">
        <v>84.9517043420533</v>
      </c>
      <c r="W45" t="n">
        <v>86.8654078768416</v>
      </c>
      <c r="X45" t="n">
        <v>87.4717500030925</v>
      </c>
      <c r="Y45" t="n">
        <v>85.9804959155642</v>
      </c>
      <c r="Z45" t="n">
        <v>88.3567060961041</v>
      </c>
      <c r="AA45" t="n">
        <v>88.8146172576958</v>
      </c>
      <c r="AB45" t="n">
        <v>91.1987998222597</v>
      </c>
      <c r="AC45" t="n">
        <v>94.6231474011897</v>
      </c>
      <c r="AD45" t="n">
        <v>98.0756473809265</v>
      </c>
      <c r="AE45" t="n">
        <v>100</v>
      </c>
      <c r="AF45" t="n">
        <v>107.699139534435</v>
      </c>
    </row>
    <row r="46">
      <c r="A46" t="s">
        <v>92</v>
      </c>
      <c r="B46" t="s">
        <v>362</v>
      </c>
      <c r="C46" t="s">
        <v>203</v>
      </c>
      <c r="D46" t="s">
        <v>363</v>
      </c>
      <c r="E46" t="s">
        <v>204</v>
      </c>
      <c r="F46" t="n">
        <v>2.62516272225409</v>
      </c>
      <c r="G46" t="n">
        <v>3.79190170992258</v>
      </c>
      <c r="H46" t="n">
        <v>28.5577597528544</v>
      </c>
      <c r="I46" t="n">
        <v>46.429390049802</v>
      </c>
      <c r="J46" t="n">
        <v>40.6307151512479</v>
      </c>
      <c r="K46" t="n">
        <v>39.9025661342005</v>
      </c>
      <c r="L46" t="n">
        <v>41.8682097861315</v>
      </c>
      <c r="M46" t="n">
        <v>41.7502711670157</v>
      </c>
      <c r="N46" t="n">
        <v>41.3413556805611</v>
      </c>
      <c r="O46" t="n">
        <v>43.4580330914058</v>
      </c>
      <c r="P46" t="n">
        <v>48.0152538588289</v>
      </c>
      <c r="Q46" t="n">
        <v>51.8600095750904</v>
      </c>
      <c r="R46" t="n">
        <v>56.7842793851329</v>
      </c>
      <c r="S46" t="n">
        <v>62.2962240956549</v>
      </c>
      <c r="T46" t="n">
        <v>65.0247658370477</v>
      </c>
      <c r="U46" t="n">
        <v>64.098247152841</v>
      </c>
      <c r="V46" t="n">
        <v>67.9444186849994</v>
      </c>
      <c r="W46" t="n">
        <v>69.7074475131531</v>
      </c>
      <c r="X46" t="n">
        <v>86.9065523847152</v>
      </c>
      <c r="Y46" t="n">
        <v>85.4214780104036</v>
      </c>
      <c r="Z46" t="n">
        <v>87.6743248004201</v>
      </c>
      <c r="AA46" t="n">
        <v>88.3851428147853</v>
      </c>
      <c r="AB46" t="n">
        <v>91.2235134968483</v>
      </c>
      <c r="AC46" t="n">
        <v>94.9166714379215</v>
      </c>
      <c r="AD46" t="n">
        <v>97.8765109441359</v>
      </c>
      <c r="AE46" t="n">
        <v>100</v>
      </c>
      <c r="AF46" t="n">
        <v>106.001622060016</v>
      </c>
    </row>
    <row r="47">
      <c r="A47" t="s">
        <v>92</v>
      </c>
      <c r="B47" t="s">
        <v>364</v>
      </c>
      <c r="C47" t="s">
        <v>203</v>
      </c>
      <c r="D47" t="s">
        <v>365</v>
      </c>
      <c r="E47" t="s">
        <v>204</v>
      </c>
      <c r="F47" t="n">
        <v>2.97249981478154</v>
      </c>
      <c r="G47" t="n">
        <v>4.20577101453133</v>
      </c>
      <c r="H47" t="n">
        <v>31.7545169852771</v>
      </c>
      <c r="I47" t="n">
        <v>51.5485891694247</v>
      </c>
      <c r="J47" t="n">
        <v>45.0543134384494</v>
      </c>
      <c r="K47" t="n">
        <v>44.2313253136105</v>
      </c>
      <c r="L47" t="n">
        <v>46.8856900910702</v>
      </c>
      <c r="M47" t="n">
        <v>46.3139133826425</v>
      </c>
      <c r="N47" t="n">
        <v>46.538564709821</v>
      </c>
      <c r="O47" t="n">
        <v>48.9914599110644</v>
      </c>
      <c r="P47" t="n">
        <v>54.488017053227</v>
      </c>
      <c r="Q47" t="n">
        <v>58.8862889808859</v>
      </c>
      <c r="R47" t="n">
        <v>63.6958883185367</v>
      </c>
      <c r="S47" t="n">
        <v>69.8846785683749</v>
      </c>
      <c r="T47" t="n">
        <v>70.923542813867</v>
      </c>
      <c r="U47" t="n">
        <v>70.4338681692421</v>
      </c>
      <c r="V47" t="n">
        <v>74.1506949855609</v>
      </c>
      <c r="W47" t="n">
        <v>76.8425713998153</v>
      </c>
      <c r="X47" t="n">
        <v>76.765667946515</v>
      </c>
      <c r="Y47" t="n">
        <v>75.4583551363057</v>
      </c>
      <c r="Z47" t="n">
        <v>78.1315101424488</v>
      </c>
      <c r="AA47" t="n">
        <v>78.5549543751812</v>
      </c>
      <c r="AB47" t="n">
        <v>88.0059598742669</v>
      </c>
      <c r="AC47" t="n">
        <v>92.4258622737846</v>
      </c>
      <c r="AD47" t="n">
        <v>97.2969715232786</v>
      </c>
      <c r="AE47" t="n">
        <v>100</v>
      </c>
      <c r="AF47" t="n">
        <v>108.735434717658</v>
      </c>
    </row>
    <row r="48">
      <c r="A48" t="s">
        <v>92</v>
      </c>
      <c r="B48" t="s">
        <v>366</v>
      </c>
      <c r="C48" t="s">
        <v>203</v>
      </c>
      <c r="D48" t="s">
        <v>367</v>
      </c>
      <c r="E48" t="s">
        <v>204</v>
      </c>
      <c r="F48" t="n">
        <v>3.42405698653143</v>
      </c>
      <c r="G48" t="n">
        <v>4.86216092087463</v>
      </c>
      <c r="H48" t="n">
        <v>36.7401314654823</v>
      </c>
      <c r="I48" t="n">
        <v>59.7924501661431</v>
      </c>
      <c r="J48" t="n">
        <v>52.333626347014</v>
      </c>
      <c r="K48" t="n">
        <v>51.4136456844506</v>
      </c>
      <c r="L48" t="n">
        <v>54.4595472878562</v>
      </c>
      <c r="M48" t="n">
        <v>53.9614558646747</v>
      </c>
      <c r="N48" t="n">
        <v>54.2538060869162</v>
      </c>
      <c r="O48" t="n">
        <v>56.9550697261216</v>
      </c>
      <c r="P48" t="n">
        <v>63.2554261829274</v>
      </c>
      <c r="Q48" t="n">
        <v>68.3467870061918</v>
      </c>
      <c r="R48" t="n">
        <v>74.4258388783561</v>
      </c>
      <c r="S48" t="n">
        <v>81.6582961036099</v>
      </c>
      <c r="T48" t="n">
        <v>83.3425932721769</v>
      </c>
      <c r="U48" t="n">
        <v>82.6624266278906</v>
      </c>
      <c r="V48" t="n">
        <v>87.167647005792</v>
      </c>
      <c r="W48" t="n">
        <v>84.4865248160574</v>
      </c>
      <c r="X48" t="n">
        <v>79.0499136799506</v>
      </c>
      <c r="Y48" t="n">
        <v>77.7035647851583</v>
      </c>
      <c r="Z48" t="n">
        <v>80.3127691019143</v>
      </c>
      <c r="AA48" t="n">
        <v>80.6881585336238</v>
      </c>
      <c r="AB48" t="n">
        <v>88.9618421278655</v>
      </c>
      <c r="AC48" t="n">
        <v>92.8949944110721</v>
      </c>
      <c r="AD48" t="n">
        <v>97.5492125984252</v>
      </c>
      <c r="AE48" t="n">
        <v>100</v>
      </c>
      <c r="AF48" t="n">
        <v>108.615394357724</v>
      </c>
    </row>
    <row r="49">
      <c r="A49" t="s">
        <v>92</v>
      </c>
      <c r="B49" t="s">
        <v>368</v>
      </c>
      <c r="C49" t="s">
        <v>203</v>
      </c>
      <c r="D49" t="s">
        <v>369</v>
      </c>
      <c r="E49" t="s">
        <v>204</v>
      </c>
      <c r="F49" t="n">
        <v>3.0858104167626</v>
      </c>
      <c r="G49" t="n">
        <v>4.45728171310153</v>
      </c>
      <c r="H49" t="n">
        <v>33.9023548481359</v>
      </c>
      <c r="I49" t="n">
        <v>58.2765968958153</v>
      </c>
      <c r="J49" t="n">
        <v>50.9920222838384</v>
      </c>
      <c r="K49" t="n">
        <v>50.3840697081741</v>
      </c>
      <c r="L49" t="n">
        <v>52.9678681547472</v>
      </c>
      <c r="M49" t="n">
        <v>53.4047165518997</v>
      </c>
      <c r="N49" t="n">
        <v>53.4674349506688</v>
      </c>
      <c r="O49" t="n">
        <v>55.9005036197723</v>
      </c>
      <c r="P49" t="n">
        <v>61.9175717177339</v>
      </c>
      <c r="Q49" t="n">
        <v>66.8233215991616</v>
      </c>
      <c r="R49" t="n">
        <v>75.4383448167621</v>
      </c>
      <c r="S49" t="n">
        <v>82.8508810115794</v>
      </c>
      <c r="T49" t="n">
        <v>86.5196789113406</v>
      </c>
      <c r="U49" t="n">
        <v>84.0390447607357</v>
      </c>
      <c r="V49" t="n">
        <v>88.8076153913516</v>
      </c>
      <c r="W49" t="n">
        <v>90.6248530728472</v>
      </c>
      <c r="X49" t="n">
        <v>89.5235093723091</v>
      </c>
      <c r="Y49" t="n">
        <v>87.987064703448</v>
      </c>
      <c r="Z49" t="n">
        <v>91.0450025406855</v>
      </c>
      <c r="AA49" t="n">
        <v>91.2946118691041</v>
      </c>
      <c r="AB49" t="n">
        <v>93.5500104437437</v>
      </c>
      <c r="AC49" t="n">
        <v>95.324671888476</v>
      </c>
      <c r="AD49" t="n">
        <v>98.7271955876114</v>
      </c>
      <c r="AE49" t="n">
        <v>100</v>
      </c>
      <c r="AF49" t="n">
        <v>108.271236959762</v>
      </c>
    </row>
    <row r="50">
      <c r="A50" t="s">
        <v>92</v>
      </c>
      <c r="B50" t="s">
        <v>370</v>
      </c>
      <c r="C50" t="s">
        <v>203</v>
      </c>
      <c r="D50" t="s">
        <v>371</v>
      </c>
      <c r="E50" t="s">
        <v>204</v>
      </c>
      <c r="F50" t="n">
        <v>10.6866866078072</v>
      </c>
      <c r="G50" t="n">
        <v>14.2489154770762</v>
      </c>
      <c r="H50" t="n">
        <v>109.716649173487</v>
      </c>
      <c r="I50" t="n">
        <v>177.067463517608</v>
      </c>
      <c r="J50" t="n">
        <v>204.308611751086</v>
      </c>
      <c r="K50" t="n">
        <v>203.497863291756</v>
      </c>
      <c r="L50" t="n">
        <v>214.827508785516</v>
      </c>
      <c r="M50" t="n">
        <v>214.942574403505</v>
      </c>
      <c r="N50" t="n">
        <v>218.456058792793</v>
      </c>
      <c r="O50" t="n">
        <v>227.277324824806</v>
      </c>
      <c r="P50" t="n">
        <v>251.628466770321</v>
      </c>
      <c r="Q50" t="n">
        <v>271.820874597569</v>
      </c>
      <c r="R50" t="n">
        <v>297.337656303862</v>
      </c>
      <c r="S50" t="n">
        <v>325.739402074464</v>
      </c>
      <c r="T50" t="n">
        <v>342.089256232642</v>
      </c>
      <c r="U50" t="n">
        <v>337.41022385256</v>
      </c>
      <c r="V50" t="n">
        <v>362.425459362937</v>
      </c>
      <c r="W50" t="n">
        <v>185.009372375814</v>
      </c>
      <c r="X50" t="n">
        <v>91.9652253687051</v>
      </c>
      <c r="Y50" t="n">
        <v>90.4007281915748</v>
      </c>
      <c r="Z50" t="n">
        <v>92.3997614931083</v>
      </c>
      <c r="AA50" t="n">
        <v>92.8197604089861</v>
      </c>
      <c r="AB50" t="n">
        <v>94.5034676908235</v>
      </c>
      <c r="AC50" t="n">
        <v>95.6550429653579</v>
      </c>
      <c r="AD50" t="n">
        <v>98.627181800353</v>
      </c>
      <c r="AE50" t="n">
        <v>100</v>
      </c>
      <c r="AF50" t="n">
        <v>107.789959607617</v>
      </c>
    </row>
    <row r="51">
      <c r="A51" t="s">
        <v>92</v>
      </c>
      <c r="B51" t="s">
        <v>372</v>
      </c>
      <c r="C51" t="s">
        <v>203</v>
      </c>
      <c r="D51" t="s">
        <v>373</v>
      </c>
      <c r="E51" t="s">
        <v>204</v>
      </c>
      <c r="F51" t="n">
        <v>9.9640929536678</v>
      </c>
      <c r="G51" t="n">
        <v>14.9461394305017</v>
      </c>
      <c r="H51" t="n">
        <v>111.02846434087</v>
      </c>
      <c r="I51" t="n">
        <v>172.015930668953</v>
      </c>
      <c r="J51" t="n">
        <v>204.955151435348</v>
      </c>
      <c r="K51" t="n">
        <v>204.135330829607</v>
      </c>
      <c r="L51" t="n">
        <v>215.329848971876</v>
      </c>
      <c r="M51" t="n">
        <v>215.329848971876</v>
      </c>
      <c r="N51" t="n">
        <v>219.333916411435</v>
      </c>
      <c r="O51" t="n">
        <v>228.086371682172</v>
      </c>
      <c r="P51" t="n">
        <v>252.435696198077</v>
      </c>
      <c r="Q51" t="n">
        <v>272.676817313616</v>
      </c>
      <c r="R51" t="n">
        <v>298.382791981802</v>
      </c>
      <c r="S51" t="n">
        <v>326.917893323435</v>
      </c>
      <c r="T51" t="n">
        <v>343.606838529964</v>
      </c>
      <c r="U51" t="n">
        <v>338.596775270718</v>
      </c>
      <c r="V51" t="n">
        <v>363.901160611234</v>
      </c>
      <c r="W51" t="n">
        <v>185.808558226137</v>
      </c>
      <c r="X51" t="n">
        <v>92.3820515744903</v>
      </c>
      <c r="Y51" t="n">
        <v>90.7862669810143</v>
      </c>
      <c r="Z51" t="n">
        <v>92.4978412080932</v>
      </c>
      <c r="AA51" t="n">
        <v>92.9129034492276</v>
      </c>
      <c r="AB51" t="n">
        <v>94.5783234167137</v>
      </c>
      <c r="AC51" t="n">
        <v>95.7091921702017</v>
      </c>
      <c r="AD51" t="n">
        <v>98.6470113085622</v>
      </c>
      <c r="AE51" t="n">
        <v>100</v>
      </c>
      <c r="AF51" t="n">
        <v>107.813871817384</v>
      </c>
    </row>
    <row r="52">
      <c r="A52" t="s">
        <v>92</v>
      </c>
      <c r="B52" t="s">
        <v>374</v>
      </c>
      <c r="C52" t="s">
        <v>203</v>
      </c>
      <c r="D52" t="s">
        <v>375</v>
      </c>
      <c r="E52" t="s">
        <v>204</v>
      </c>
      <c r="F52" t="n">
        <v>12.7884952519797</v>
      </c>
      <c r="G52" t="n">
        <v>12.7884952519797</v>
      </c>
      <c r="H52" t="n">
        <v>106.570793766497</v>
      </c>
      <c r="I52" t="n">
        <v>188.275068987478</v>
      </c>
      <c r="J52" t="n">
        <v>150.620055189983</v>
      </c>
      <c r="K52" t="n">
        <v>150.620055189983</v>
      </c>
      <c r="L52" t="n">
        <v>188.275068987478</v>
      </c>
      <c r="M52" t="n">
        <v>193.229676066096</v>
      </c>
      <c r="N52" t="n">
        <v>190.545930565178</v>
      </c>
      <c r="O52" t="n">
        <v>228.655116678214</v>
      </c>
      <c r="P52" t="n">
        <v>257.969875226703</v>
      </c>
      <c r="Q52" t="n">
        <v>279.467364828928</v>
      </c>
      <c r="R52" t="n">
        <v>301.386373835118</v>
      </c>
      <c r="S52" t="n">
        <v>328.176273731573</v>
      </c>
      <c r="T52" t="n">
        <v>334.739799206205</v>
      </c>
      <c r="U52" t="n">
        <v>331.67815470127</v>
      </c>
      <c r="V52" t="n">
        <v>343.962530801317</v>
      </c>
      <c r="W52" t="n">
        <v>171.981265400659</v>
      </c>
      <c r="X52" t="n">
        <v>83.9908505445077</v>
      </c>
      <c r="Y52" t="n">
        <v>83.9908505445077</v>
      </c>
      <c r="Z52" t="n">
        <v>87.7657202319013</v>
      </c>
      <c r="AA52" t="n">
        <v>88.479262672811</v>
      </c>
      <c r="AB52" t="n">
        <v>91.4285714285714</v>
      </c>
      <c r="AC52" t="n">
        <v>94.0408163265306</v>
      </c>
      <c r="AD52" t="n">
        <v>97.9591836734694</v>
      </c>
      <c r="AE52" t="n">
        <v>100</v>
      </c>
      <c r="AF52" t="n">
        <v>106.122448979592</v>
      </c>
    </row>
    <row r="53">
      <c r="A53" t="s">
        <v>92</v>
      </c>
      <c r="B53" t="s">
        <v>376</v>
      </c>
      <c r="C53" t="s">
        <v>203</v>
      </c>
      <c r="D53" t="s">
        <v>377</v>
      </c>
      <c r="E53" t="s">
        <v>204</v>
      </c>
      <c r="F53" t="n">
        <v>1.94679234380948</v>
      </c>
      <c r="G53" t="n">
        <v>3.89358468761897</v>
      </c>
      <c r="H53" t="n">
        <v>32.1220736728565</v>
      </c>
      <c r="I53" t="n">
        <v>50.7976979012614</v>
      </c>
      <c r="J53" t="n">
        <v>44.6028566937905</v>
      </c>
      <c r="K53" t="n">
        <v>44.3508631531476</v>
      </c>
      <c r="L53" t="n">
        <v>48.6839934612138</v>
      </c>
      <c r="M53" t="n">
        <v>48.3427505163922</v>
      </c>
      <c r="N53" t="n">
        <v>48.2058022146461</v>
      </c>
      <c r="O53" t="n">
        <v>50.67789463591</v>
      </c>
      <c r="P53" t="n">
        <v>56.1836412136384</v>
      </c>
      <c r="Q53" t="n">
        <v>60.7084982241328</v>
      </c>
      <c r="R53" t="n">
        <v>67.9857348702308</v>
      </c>
      <c r="S53" t="n">
        <v>74.5649995350918</v>
      </c>
      <c r="T53" t="n">
        <v>76.3664648599943</v>
      </c>
      <c r="U53" t="n">
        <v>75.732920480173</v>
      </c>
      <c r="V53" t="n">
        <v>81.5082367182293</v>
      </c>
      <c r="W53" t="n">
        <v>83.1754506511022</v>
      </c>
      <c r="X53" t="n">
        <v>84.5932140144733</v>
      </c>
      <c r="Y53" t="n">
        <v>83.1821512285771</v>
      </c>
      <c r="Z53" t="n">
        <v>86.2978077763613</v>
      </c>
      <c r="AA53" t="n">
        <v>86.6078133723249</v>
      </c>
      <c r="AB53" t="n">
        <v>90.1746731251105</v>
      </c>
      <c r="AC53" t="n">
        <v>94.1824363751154</v>
      </c>
      <c r="AD53" t="n">
        <v>97.0974808324206</v>
      </c>
      <c r="AE53" t="n">
        <v>100</v>
      </c>
      <c r="AF53" t="n">
        <v>106.666666666667</v>
      </c>
    </row>
    <row r="54">
      <c r="A54" t="s">
        <v>92</v>
      </c>
      <c r="B54" t="s">
        <v>378</v>
      </c>
      <c r="C54" t="s">
        <v>203</v>
      </c>
      <c r="D54" t="s">
        <v>379</v>
      </c>
      <c r="E54" t="s">
        <v>204</v>
      </c>
      <c r="F54" t="n">
        <v>1.89364946823695</v>
      </c>
      <c r="G54" t="n">
        <v>3.78729893647389</v>
      </c>
      <c r="H54" t="n">
        <v>32.1920409600281</v>
      </c>
      <c r="I54" t="n">
        <v>51.9462479127726</v>
      </c>
      <c r="J54" t="n">
        <v>45.8587969854946</v>
      </c>
      <c r="K54" t="n">
        <v>45.356693368865</v>
      </c>
      <c r="L54" t="n">
        <v>48.8015055234624</v>
      </c>
      <c r="M54" t="n">
        <v>48.6138074252952</v>
      </c>
      <c r="N54" t="n">
        <v>48.7515235936389</v>
      </c>
      <c r="O54" t="n">
        <v>51.3214920897892</v>
      </c>
      <c r="P54" t="n">
        <v>56.8311552564862</v>
      </c>
      <c r="Q54" t="n">
        <v>61.4243582155721</v>
      </c>
      <c r="R54" t="n">
        <v>68.49811243137</v>
      </c>
      <c r="S54" t="n">
        <v>75.0808001162789</v>
      </c>
      <c r="T54" t="n">
        <v>77.2445119351918</v>
      </c>
      <c r="U54" t="n">
        <v>76.6260060567071</v>
      </c>
      <c r="V54" t="n">
        <v>82.1123549390489</v>
      </c>
      <c r="W54" t="n">
        <v>83.8267494745315</v>
      </c>
      <c r="X54" t="n">
        <v>84.8800318552773</v>
      </c>
      <c r="Y54" t="n">
        <v>83.4809104510694</v>
      </c>
      <c r="Z54" t="n">
        <v>86.4833382129223</v>
      </c>
      <c r="AA54" t="n">
        <v>86.7938708456437</v>
      </c>
      <c r="AB54" t="n">
        <v>89.9828444092508</v>
      </c>
      <c r="AC54" t="n">
        <v>94.1604895877183</v>
      </c>
      <c r="AD54" t="n">
        <v>97.2738048202292</v>
      </c>
      <c r="AE54" t="n">
        <v>100</v>
      </c>
      <c r="AF54" t="n">
        <v>107.26392251816</v>
      </c>
    </row>
    <row r="55">
      <c r="A55" t="s">
        <v>92</v>
      </c>
      <c r="B55" t="s">
        <v>380</v>
      </c>
      <c r="C55" t="s">
        <v>203</v>
      </c>
      <c r="D55" t="s">
        <v>381</v>
      </c>
      <c r="E55" t="s">
        <v>204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50.631079020894</v>
      </c>
      <c r="O55" t="n">
        <v>54.3357921199838</v>
      </c>
      <c r="P55" t="n">
        <v>59.8802607036557</v>
      </c>
      <c r="Q55" t="n">
        <v>64.7958044927617</v>
      </c>
      <c r="R55" t="n">
        <v>69.4240762422447</v>
      </c>
      <c r="S55" t="n">
        <v>75.2094159290984</v>
      </c>
      <c r="T55" t="n">
        <v>81.1247632493646</v>
      </c>
      <c r="U55" t="n">
        <v>80.5291335632459</v>
      </c>
      <c r="V55" t="n">
        <v>84.4711191222859</v>
      </c>
      <c r="W55" t="n">
        <v>86.3517377298322</v>
      </c>
      <c r="X55" t="n">
        <v>86.1941615660916</v>
      </c>
      <c r="Y55" t="n">
        <v>84.798739274237</v>
      </c>
      <c r="Z55" t="n">
        <v>87.1156447188883</v>
      </c>
      <c r="AA55" t="n">
        <v>87.4278871730779</v>
      </c>
      <c r="AB55" t="n">
        <v>89.7840997351893</v>
      </c>
      <c r="AC55" t="n">
        <v>94.2401215805471</v>
      </c>
      <c r="AD55" t="n">
        <v>97.7304964539007</v>
      </c>
      <c r="AE55" t="n">
        <v>100</v>
      </c>
      <c r="AF55" t="n">
        <v>108.157099697885</v>
      </c>
    </row>
    <row r="56">
      <c r="A56" t="s">
        <v>92</v>
      </c>
      <c r="B56" t="s">
        <v>382</v>
      </c>
      <c r="C56" t="s">
        <v>203</v>
      </c>
      <c r="D56" t="s">
        <v>383</v>
      </c>
      <c r="E56" t="s">
        <v>204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92</v>
      </c>
      <c r="B57" t="s">
        <v>384</v>
      </c>
      <c r="C57" t="s">
        <v>203</v>
      </c>
      <c r="D57" t="s">
        <v>385</v>
      </c>
      <c r="E57" t="s">
        <v>204</v>
      </c>
      <c r="F57" t="n">
        <v>3.49470178751414</v>
      </c>
      <c r="G57" t="n">
        <v>4.96186522017313</v>
      </c>
      <c r="H57" t="n">
        <v>37.4968846663125</v>
      </c>
      <c r="I57" t="n">
        <v>59.2487294191384</v>
      </c>
      <c r="J57" t="n">
        <v>51.038057597099</v>
      </c>
      <c r="K57" t="n">
        <v>50.6537786439794</v>
      </c>
      <c r="L57" t="n">
        <v>53.6289212226536</v>
      </c>
      <c r="M57" t="n">
        <v>53.7086730069829</v>
      </c>
      <c r="N57" t="n">
        <v>53.41128523654</v>
      </c>
      <c r="O57" t="n">
        <v>55.8384534338088</v>
      </c>
      <c r="P57" t="n">
        <v>61.5924218749848</v>
      </c>
      <c r="Q57" t="n">
        <v>66.4683718671423</v>
      </c>
      <c r="R57" t="n">
        <v>71.7944592859132</v>
      </c>
      <c r="S57" t="n">
        <v>78.7322144066836</v>
      </c>
      <c r="T57" t="n">
        <v>80.9263190925102</v>
      </c>
      <c r="U57" t="n">
        <v>80.2864134154151</v>
      </c>
      <c r="V57" t="n">
        <v>85.4719715328786</v>
      </c>
      <c r="W57" t="n">
        <v>86.6755503582283</v>
      </c>
      <c r="X57" t="n">
        <v>86.0454089883178</v>
      </c>
      <c r="Y57" t="n">
        <v>84.5783489631918</v>
      </c>
      <c r="Z57" t="n">
        <v>86.8614232533565</v>
      </c>
      <c r="AA57" t="n">
        <v>87.3981334873711</v>
      </c>
      <c r="AB57" t="n">
        <v>90.6449258689585</v>
      </c>
      <c r="AC57" t="n">
        <v>94.3644124185267</v>
      </c>
      <c r="AD57" t="n">
        <v>98.0658187308812</v>
      </c>
      <c r="AE57" t="n">
        <v>100</v>
      </c>
      <c r="AF57" t="n">
        <v>107.844970807424</v>
      </c>
    </row>
    <row r="58">
      <c r="A58" t="s">
        <v>92</v>
      </c>
      <c r="B58" t="s">
        <v>386</v>
      </c>
      <c r="C58" t="s">
        <v>203</v>
      </c>
      <c r="D58" t="s">
        <v>387</v>
      </c>
      <c r="E58" t="s">
        <v>204</v>
      </c>
      <c r="F58" t="n">
        <v>3.49470178751414</v>
      </c>
      <c r="G58" t="n">
        <v>4.96186522017313</v>
      </c>
      <c r="H58" t="n">
        <v>37.4968846663125</v>
      </c>
      <c r="I58" t="n">
        <v>59.2487294191384</v>
      </c>
      <c r="J58" t="n">
        <v>51.038057597099</v>
      </c>
      <c r="K58" t="n">
        <v>50.6537786439794</v>
      </c>
      <c r="L58" t="n">
        <v>53.6289212226536</v>
      </c>
      <c r="M58" t="n">
        <v>53.7086730069829</v>
      </c>
      <c r="N58" t="n">
        <v>53.41128523654</v>
      </c>
      <c r="O58" t="n">
        <v>55.8384534338088</v>
      </c>
      <c r="P58" t="n">
        <v>61.5924218749848</v>
      </c>
      <c r="Q58" t="n">
        <v>66.4683718671423</v>
      </c>
      <c r="R58" t="n">
        <v>71.7944592859132</v>
      </c>
      <c r="S58" t="n">
        <v>78.7322144066836</v>
      </c>
      <c r="T58" t="n">
        <v>80.9263190925102</v>
      </c>
      <c r="U58" t="n">
        <v>80.2864134154151</v>
      </c>
      <c r="V58" t="n">
        <v>85.4719715328786</v>
      </c>
      <c r="W58" t="n">
        <v>86.6755503582283</v>
      </c>
      <c r="X58" t="n">
        <v>86.0454089883178</v>
      </c>
      <c r="Y58" t="n">
        <v>84.5783489631918</v>
      </c>
      <c r="Z58" t="n">
        <v>86.8614232533565</v>
      </c>
      <c r="AA58" t="n">
        <v>87.3981334873711</v>
      </c>
      <c r="AB58" t="n">
        <v>90.6449258689585</v>
      </c>
      <c r="AC58" t="n">
        <v>94.3644124185267</v>
      </c>
      <c r="AD58" t="n">
        <v>98.0658187308812</v>
      </c>
      <c r="AE58" t="n">
        <v>100</v>
      </c>
      <c r="AF58" t="n">
        <v>107.844970807424</v>
      </c>
    </row>
    <row r="59">
      <c r="A59" t="s">
        <v>92</v>
      </c>
      <c r="B59" t="s">
        <v>388</v>
      </c>
      <c r="C59" t="s">
        <v>203</v>
      </c>
      <c r="D59" t="s">
        <v>389</v>
      </c>
      <c r="E59" t="s">
        <v>204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95</v>
      </c>
      <c r="B2" t="s">
        <v>197</v>
      </c>
      <c r="C2" t="s">
        <v>203</v>
      </c>
      <c r="D2" t="s">
        <v>199</v>
      </c>
      <c r="E2" t="s">
        <v>204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95</v>
      </c>
      <c r="B3" t="s">
        <v>276</v>
      </c>
      <c r="C3" t="s">
        <v>203</v>
      </c>
      <c r="D3" t="s">
        <v>277</v>
      </c>
      <c r="E3" t="s">
        <v>204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95</v>
      </c>
      <c r="B4" t="s">
        <v>278</v>
      </c>
      <c r="C4" t="s">
        <v>203</v>
      </c>
      <c r="D4" t="s">
        <v>279</v>
      </c>
      <c r="E4" t="s">
        <v>204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95</v>
      </c>
      <c r="B5" t="s">
        <v>280</v>
      </c>
      <c r="C5" t="s">
        <v>203</v>
      </c>
      <c r="D5" t="s">
        <v>281</v>
      </c>
      <c r="E5" t="s">
        <v>204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95</v>
      </c>
      <c r="B6" t="s">
        <v>282</v>
      </c>
      <c r="C6" t="s">
        <v>203</v>
      </c>
      <c r="D6" t="s">
        <v>283</v>
      </c>
      <c r="E6" t="s">
        <v>204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95</v>
      </c>
      <c r="B7" t="s">
        <v>284</v>
      </c>
      <c r="C7" t="s">
        <v>203</v>
      </c>
      <c r="D7" t="s">
        <v>285</v>
      </c>
      <c r="E7" t="s">
        <v>204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95</v>
      </c>
      <c r="B8" t="s">
        <v>286</v>
      </c>
      <c r="C8" t="s">
        <v>203</v>
      </c>
      <c r="D8" t="s">
        <v>287</v>
      </c>
      <c r="E8" t="s">
        <v>204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95</v>
      </c>
      <c r="B9" t="s">
        <v>288</v>
      </c>
      <c r="C9" t="s">
        <v>203</v>
      </c>
      <c r="D9" t="s">
        <v>289</v>
      </c>
      <c r="E9" t="s">
        <v>204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95</v>
      </c>
      <c r="B10" t="s">
        <v>290</v>
      </c>
      <c r="C10" t="s">
        <v>203</v>
      </c>
      <c r="D10" t="s">
        <v>291</v>
      </c>
      <c r="E10" t="s">
        <v>204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95</v>
      </c>
      <c r="B11" t="s">
        <v>292</v>
      </c>
      <c r="C11" t="s">
        <v>203</v>
      </c>
      <c r="D11" t="s">
        <v>293</v>
      </c>
      <c r="E11" t="s">
        <v>204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95</v>
      </c>
      <c r="B12" t="s">
        <v>294</v>
      </c>
      <c r="C12" t="s">
        <v>203</v>
      </c>
      <c r="D12" t="s">
        <v>295</v>
      </c>
      <c r="E12" t="s">
        <v>204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95</v>
      </c>
      <c r="B13" t="s">
        <v>296</v>
      </c>
      <c r="C13" t="s">
        <v>203</v>
      </c>
      <c r="D13" t="s">
        <v>297</v>
      </c>
      <c r="E13" t="s">
        <v>204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95</v>
      </c>
      <c r="B14" t="s">
        <v>298</v>
      </c>
      <c r="C14" t="s">
        <v>203</v>
      </c>
      <c r="D14" t="s">
        <v>299</v>
      </c>
      <c r="E14" t="s">
        <v>204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95</v>
      </c>
      <c r="B15" t="s">
        <v>300</v>
      </c>
      <c r="C15" t="s">
        <v>203</v>
      </c>
      <c r="D15" t="s">
        <v>301</v>
      </c>
      <c r="E15" t="s">
        <v>204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95</v>
      </c>
      <c r="B16" t="s">
        <v>302</v>
      </c>
      <c r="C16" t="s">
        <v>203</v>
      </c>
      <c r="D16" t="s">
        <v>303</v>
      </c>
      <c r="E16" t="s">
        <v>204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95</v>
      </c>
      <c r="B17" t="s">
        <v>304</v>
      </c>
      <c r="C17" t="s">
        <v>203</v>
      </c>
      <c r="D17" t="s">
        <v>305</v>
      </c>
      <c r="E17" t="s">
        <v>204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95</v>
      </c>
      <c r="B18" t="s">
        <v>306</v>
      </c>
      <c r="C18" t="s">
        <v>203</v>
      </c>
      <c r="D18" t="s">
        <v>307</v>
      </c>
      <c r="E18" t="s">
        <v>204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95</v>
      </c>
      <c r="B19" t="s">
        <v>308</v>
      </c>
      <c r="C19" t="s">
        <v>203</v>
      </c>
      <c r="D19" t="s">
        <v>309</v>
      </c>
      <c r="E19" t="s">
        <v>204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95</v>
      </c>
      <c r="B20" t="s">
        <v>310</v>
      </c>
      <c r="C20" t="s">
        <v>203</v>
      </c>
      <c r="D20" t="s">
        <v>311</v>
      </c>
      <c r="E20" t="s">
        <v>204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95</v>
      </c>
      <c r="B21" t="s">
        <v>312</v>
      </c>
      <c r="C21" t="s">
        <v>203</v>
      </c>
      <c r="D21" t="s">
        <v>313</v>
      </c>
      <c r="E21" t="s">
        <v>204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95</v>
      </c>
      <c r="B22" t="s">
        <v>314</v>
      </c>
      <c r="C22" t="s">
        <v>203</v>
      </c>
      <c r="D22" t="s">
        <v>315</v>
      </c>
      <c r="E22" t="s">
        <v>204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95</v>
      </c>
      <c r="B23" t="s">
        <v>316</v>
      </c>
      <c r="C23" t="s">
        <v>203</v>
      </c>
      <c r="D23" t="s">
        <v>317</v>
      </c>
      <c r="E23" t="s">
        <v>204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95</v>
      </c>
      <c r="B24" t="s">
        <v>318</v>
      </c>
      <c r="C24" t="s">
        <v>203</v>
      </c>
      <c r="D24" t="s">
        <v>319</v>
      </c>
      <c r="E24" t="s">
        <v>204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95</v>
      </c>
      <c r="B25" t="s">
        <v>320</v>
      </c>
      <c r="C25" t="s">
        <v>203</v>
      </c>
      <c r="D25" t="s">
        <v>321</v>
      </c>
      <c r="E25" t="s">
        <v>204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95</v>
      </c>
      <c r="B26" t="s">
        <v>322</v>
      </c>
      <c r="C26" t="s">
        <v>203</v>
      </c>
      <c r="D26" t="s">
        <v>323</v>
      </c>
      <c r="E26" t="s">
        <v>204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95</v>
      </c>
      <c r="B27" t="s">
        <v>324</v>
      </c>
      <c r="C27" t="s">
        <v>203</v>
      </c>
      <c r="D27" t="s">
        <v>325</v>
      </c>
      <c r="E27" t="s">
        <v>204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95</v>
      </c>
      <c r="B28" t="s">
        <v>326</v>
      </c>
      <c r="C28" t="s">
        <v>203</v>
      </c>
      <c r="D28" t="s">
        <v>327</v>
      </c>
      <c r="E28" t="s">
        <v>204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95</v>
      </c>
      <c r="B29" t="s">
        <v>328</v>
      </c>
      <c r="C29" t="s">
        <v>203</v>
      </c>
      <c r="D29" t="s">
        <v>329</v>
      </c>
      <c r="E29" t="s">
        <v>204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95</v>
      </c>
      <c r="B30" t="s">
        <v>330</v>
      </c>
      <c r="C30" t="s">
        <v>203</v>
      </c>
      <c r="D30" t="s">
        <v>331</v>
      </c>
      <c r="E30" t="s">
        <v>204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95</v>
      </c>
      <c r="B31" t="s">
        <v>332</v>
      </c>
      <c r="C31" t="s">
        <v>203</v>
      </c>
      <c r="D31" t="s">
        <v>333</v>
      </c>
      <c r="E31" t="s">
        <v>204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95</v>
      </c>
      <c r="B32" t="s">
        <v>334</v>
      </c>
      <c r="C32" t="s">
        <v>203</v>
      </c>
      <c r="D32" t="s">
        <v>335</v>
      </c>
      <c r="E32" t="s">
        <v>204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95</v>
      </c>
      <c r="B33" t="s">
        <v>336</v>
      </c>
      <c r="C33" t="s">
        <v>203</v>
      </c>
      <c r="D33" t="s">
        <v>337</v>
      </c>
      <c r="E33" t="s">
        <v>204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95</v>
      </c>
      <c r="B34" t="s">
        <v>338</v>
      </c>
      <c r="C34" t="s">
        <v>203</v>
      </c>
      <c r="D34" t="s">
        <v>339</v>
      </c>
      <c r="E34" t="s">
        <v>204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95</v>
      </c>
      <c r="B35" t="s">
        <v>340</v>
      </c>
      <c r="C35" t="s">
        <v>203</v>
      </c>
      <c r="D35" t="s">
        <v>341</v>
      </c>
      <c r="E35" t="s">
        <v>204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95</v>
      </c>
      <c r="B36" t="s">
        <v>342</v>
      </c>
      <c r="C36" t="s">
        <v>203</v>
      </c>
      <c r="D36" t="s">
        <v>343</v>
      </c>
      <c r="E36" t="s">
        <v>204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95</v>
      </c>
      <c r="B37" t="s">
        <v>344</v>
      </c>
      <c r="C37" t="s">
        <v>203</v>
      </c>
      <c r="D37" t="s">
        <v>345</v>
      </c>
      <c r="E37" t="s">
        <v>204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95</v>
      </c>
      <c r="B38" t="s">
        <v>346</v>
      </c>
      <c r="C38" t="s">
        <v>203</v>
      </c>
      <c r="D38" t="s">
        <v>347</v>
      </c>
      <c r="E38" t="s">
        <v>204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95</v>
      </c>
      <c r="B39" t="s">
        <v>348</v>
      </c>
      <c r="C39" t="s">
        <v>203</v>
      </c>
      <c r="D39" t="s">
        <v>349</v>
      </c>
      <c r="E39" t="s">
        <v>204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95</v>
      </c>
      <c r="B40" t="s">
        <v>350</v>
      </c>
      <c r="C40" t="s">
        <v>203</v>
      </c>
      <c r="D40" t="s">
        <v>351</v>
      </c>
      <c r="E40" t="s">
        <v>204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95</v>
      </c>
      <c r="B41" t="s">
        <v>352</v>
      </c>
      <c r="C41" t="s">
        <v>203</v>
      </c>
      <c r="D41" t="s">
        <v>353</v>
      </c>
      <c r="E41" t="s">
        <v>204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95</v>
      </c>
      <c r="B42" t="s">
        <v>354</v>
      </c>
      <c r="C42" t="s">
        <v>203</v>
      </c>
      <c r="D42" t="s">
        <v>355</v>
      </c>
      <c r="E42" t="s">
        <v>204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95</v>
      </c>
      <c r="B43" t="s">
        <v>356</v>
      </c>
      <c r="C43" t="s">
        <v>203</v>
      </c>
      <c r="D43" t="s">
        <v>357</v>
      </c>
      <c r="E43" t="s">
        <v>204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95</v>
      </c>
      <c r="B44" t="s">
        <v>358</v>
      </c>
      <c r="C44" t="s">
        <v>203</v>
      </c>
      <c r="D44" t="s">
        <v>359</v>
      </c>
      <c r="E44" t="s">
        <v>204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95</v>
      </c>
      <c r="B45" t="s">
        <v>360</v>
      </c>
      <c r="C45" t="s">
        <v>203</v>
      </c>
      <c r="D45" t="s">
        <v>361</v>
      </c>
      <c r="E45" t="s">
        <v>204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95</v>
      </c>
      <c r="B46" t="s">
        <v>362</v>
      </c>
      <c r="C46" t="s">
        <v>203</v>
      </c>
      <c r="D46" t="s">
        <v>363</v>
      </c>
      <c r="E46" t="s">
        <v>204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95</v>
      </c>
      <c r="B47" t="s">
        <v>364</v>
      </c>
      <c r="C47" t="s">
        <v>203</v>
      </c>
      <c r="D47" t="s">
        <v>365</v>
      </c>
      <c r="E47" t="s">
        <v>204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95</v>
      </c>
      <c r="B48" t="s">
        <v>366</v>
      </c>
      <c r="C48" t="s">
        <v>203</v>
      </c>
      <c r="D48" t="s">
        <v>367</v>
      </c>
      <c r="E48" t="s">
        <v>204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95</v>
      </c>
      <c r="B49" t="s">
        <v>368</v>
      </c>
      <c r="C49" t="s">
        <v>203</v>
      </c>
      <c r="D49" t="s">
        <v>369</v>
      </c>
      <c r="E49" t="s">
        <v>204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95</v>
      </c>
      <c r="B50" t="s">
        <v>370</v>
      </c>
      <c r="C50" t="s">
        <v>203</v>
      </c>
      <c r="D50" t="s">
        <v>371</v>
      </c>
      <c r="E50" t="s">
        <v>204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95</v>
      </c>
      <c r="B51" t="s">
        <v>372</v>
      </c>
      <c r="C51" t="s">
        <v>203</v>
      </c>
      <c r="D51" t="s">
        <v>373</v>
      </c>
      <c r="E51" t="s">
        <v>204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95</v>
      </c>
      <c r="B52" t="s">
        <v>374</v>
      </c>
      <c r="C52" t="s">
        <v>203</v>
      </c>
      <c r="D52" t="s">
        <v>375</v>
      </c>
      <c r="E52" t="s">
        <v>204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95</v>
      </c>
      <c r="B53" t="s">
        <v>376</v>
      </c>
      <c r="C53" t="s">
        <v>203</v>
      </c>
      <c r="D53" t="s">
        <v>377</v>
      </c>
      <c r="E53" t="s">
        <v>204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95</v>
      </c>
      <c r="B54" t="s">
        <v>378</v>
      </c>
      <c r="C54" t="s">
        <v>203</v>
      </c>
      <c r="D54" t="s">
        <v>379</v>
      </c>
      <c r="E54" t="s">
        <v>204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95</v>
      </c>
      <c r="B55" t="s">
        <v>380</v>
      </c>
      <c r="C55" t="s">
        <v>203</v>
      </c>
      <c r="D55" t="s">
        <v>381</v>
      </c>
      <c r="E55" t="s">
        <v>204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95</v>
      </c>
      <c r="B56" t="s">
        <v>382</v>
      </c>
      <c r="C56" t="s">
        <v>203</v>
      </c>
      <c r="D56" t="s">
        <v>383</v>
      </c>
      <c r="E56" t="s">
        <v>204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95</v>
      </c>
      <c r="B57" t="s">
        <v>384</v>
      </c>
      <c r="C57" t="s">
        <v>203</v>
      </c>
      <c r="D57" t="s">
        <v>385</v>
      </c>
      <c r="E57" t="s">
        <v>204</v>
      </c>
      <c r="F57"/>
      <c r="G57"/>
      <c r="H57"/>
      <c r="I57"/>
      <c r="J57"/>
      <c r="K57" t="n">
        <v>159.9</v>
      </c>
      <c r="L57" t="n">
        <v>129.1</v>
      </c>
      <c r="M57" t="n">
        <v>164.5</v>
      </c>
      <c r="N57" t="n">
        <v>201.5</v>
      </c>
      <c r="O57" t="n">
        <v>185</v>
      </c>
      <c r="P57" t="n">
        <v>168.1</v>
      </c>
      <c r="Q57" t="n">
        <v>100.8</v>
      </c>
      <c r="R57" t="n">
        <v>126.6</v>
      </c>
      <c r="S57" t="n">
        <v>160.3</v>
      </c>
      <c r="T57" t="n">
        <v>368.9</v>
      </c>
      <c r="U57" t="n">
        <v>311.9</v>
      </c>
      <c r="V57" t="n">
        <v>314.8</v>
      </c>
      <c r="W57" t="n">
        <v>615</v>
      </c>
      <c r="X57" t="n">
        <v>547.3</v>
      </c>
      <c r="Y57" t="n">
        <v>555.5</v>
      </c>
      <c r="Z57" t="n">
        <v>404.2</v>
      </c>
      <c r="AA57" t="n">
        <v>295.2</v>
      </c>
      <c r="AB57" t="n">
        <v>263</v>
      </c>
      <c r="AC57" t="n">
        <v>216.3</v>
      </c>
      <c r="AD57" t="n">
        <v>80.1</v>
      </c>
      <c r="AE57" t="n">
        <v>345.6</v>
      </c>
      <c r="AF57" t="n">
        <v>245.5</v>
      </c>
    </row>
    <row r="58">
      <c r="A58" t="s">
        <v>95</v>
      </c>
      <c r="B58" t="s">
        <v>386</v>
      </c>
      <c r="C58" t="s">
        <v>203</v>
      </c>
      <c r="D58" t="s">
        <v>387</v>
      </c>
      <c r="E58" t="s">
        <v>204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95</v>
      </c>
      <c r="B59" t="s">
        <v>388</v>
      </c>
      <c r="C59" t="s">
        <v>203</v>
      </c>
      <c r="D59" t="s">
        <v>389</v>
      </c>
      <c r="E59" t="s">
        <v>204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97</v>
      </c>
      <c r="B2" t="s">
        <v>197</v>
      </c>
      <c r="C2" t="s">
        <v>203</v>
      </c>
      <c r="D2" t="s">
        <v>199</v>
      </c>
      <c r="E2" t="s">
        <v>204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97</v>
      </c>
      <c r="B3" t="s">
        <v>276</v>
      </c>
      <c r="C3" t="s">
        <v>203</v>
      </c>
      <c r="D3" t="s">
        <v>277</v>
      </c>
      <c r="E3" t="s">
        <v>204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97</v>
      </c>
      <c r="B4" t="s">
        <v>278</v>
      </c>
      <c r="C4" t="s">
        <v>203</v>
      </c>
      <c r="D4" t="s">
        <v>279</v>
      </c>
      <c r="E4" t="s">
        <v>204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97</v>
      </c>
      <c r="B5" t="s">
        <v>280</v>
      </c>
      <c r="C5" t="s">
        <v>203</v>
      </c>
      <c r="D5" t="s">
        <v>281</v>
      </c>
      <c r="E5" t="s">
        <v>204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97</v>
      </c>
      <c r="B6" t="s">
        <v>282</v>
      </c>
      <c r="C6" t="s">
        <v>203</v>
      </c>
      <c r="D6" t="s">
        <v>283</v>
      </c>
      <c r="E6" t="s">
        <v>204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97</v>
      </c>
      <c r="B7" t="s">
        <v>284</v>
      </c>
      <c r="C7" t="s">
        <v>203</v>
      </c>
      <c r="D7" t="s">
        <v>285</v>
      </c>
      <c r="E7" t="s">
        <v>204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97</v>
      </c>
      <c r="B8" t="s">
        <v>286</v>
      </c>
      <c r="C8" t="s">
        <v>203</v>
      </c>
      <c r="D8" t="s">
        <v>287</v>
      </c>
      <c r="E8" t="s">
        <v>204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97</v>
      </c>
      <c r="B9" t="s">
        <v>288</v>
      </c>
      <c r="C9" t="s">
        <v>203</v>
      </c>
      <c r="D9" t="s">
        <v>289</v>
      </c>
      <c r="E9" t="s">
        <v>204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97</v>
      </c>
      <c r="B10" t="s">
        <v>290</v>
      </c>
      <c r="C10" t="s">
        <v>203</v>
      </c>
      <c r="D10" t="s">
        <v>291</v>
      </c>
      <c r="E10" t="s">
        <v>204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97</v>
      </c>
      <c r="B11" t="s">
        <v>292</v>
      </c>
      <c r="C11" t="s">
        <v>203</v>
      </c>
      <c r="D11" t="s">
        <v>293</v>
      </c>
      <c r="E11" t="s">
        <v>204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97</v>
      </c>
      <c r="B12" t="s">
        <v>294</v>
      </c>
      <c r="C12" t="s">
        <v>203</v>
      </c>
      <c r="D12" t="s">
        <v>295</v>
      </c>
      <c r="E12" t="s">
        <v>204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97</v>
      </c>
      <c r="B13" t="s">
        <v>296</v>
      </c>
      <c r="C13" t="s">
        <v>203</v>
      </c>
      <c r="D13" t="s">
        <v>297</v>
      </c>
      <c r="E13" t="s">
        <v>204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97</v>
      </c>
      <c r="B14" t="s">
        <v>298</v>
      </c>
      <c r="C14" t="s">
        <v>203</v>
      </c>
      <c r="D14" t="s">
        <v>299</v>
      </c>
      <c r="E14" t="s">
        <v>204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97</v>
      </c>
      <c r="B15" t="s">
        <v>300</v>
      </c>
      <c r="C15" t="s">
        <v>203</v>
      </c>
      <c r="D15" t="s">
        <v>301</v>
      </c>
      <c r="E15" t="s">
        <v>204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97</v>
      </c>
      <c r="B16" t="s">
        <v>302</v>
      </c>
      <c r="C16" t="s">
        <v>203</v>
      </c>
      <c r="D16" t="s">
        <v>303</v>
      </c>
      <c r="E16" t="s">
        <v>204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97</v>
      </c>
      <c r="B17" t="s">
        <v>304</v>
      </c>
      <c r="C17" t="s">
        <v>203</v>
      </c>
      <c r="D17" t="s">
        <v>305</v>
      </c>
      <c r="E17" t="s">
        <v>204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97</v>
      </c>
      <c r="B18" t="s">
        <v>306</v>
      </c>
      <c r="C18" t="s">
        <v>203</v>
      </c>
      <c r="D18" t="s">
        <v>307</v>
      </c>
      <c r="E18" t="s">
        <v>204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97</v>
      </c>
      <c r="B19" t="s">
        <v>308</v>
      </c>
      <c r="C19" t="s">
        <v>203</v>
      </c>
      <c r="D19" t="s">
        <v>309</v>
      </c>
      <c r="E19" t="s">
        <v>204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97</v>
      </c>
      <c r="B20" t="s">
        <v>310</v>
      </c>
      <c r="C20" t="s">
        <v>203</v>
      </c>
      <c r="D20" t="s">
        <v>311</v>
      </c>
      <c r="E20" t="s">
        <v>204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97</v>
      </c>
      <c r="B21" t="s">
        <v>312</v>
      </c>
      <c r="C21" t="s">
        <v>203</v>
      </c>
      <c r="D21" t="s">
        <v>313</v>
      </c>
      <c r="E21" t="s">
        <v>204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97</v>
      </c>
      <c r="B22" t="s">
        <v>314</v>
      </c>
      <c r="C22" t="s">
        <v>203</v>
      </c>
      <c r="D22" t="s">
        <v>315</v>
      </c>
      <c r="E22" t="s">
        <v>204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97</v>
      </c>
      <c r="B23" t="s">
        <v>316</v>
      </c>
      <c r="C23" t="s">
        <v>203</v>
      </c>
      <c r="D23" t="s">
        <v>317</v>
      </c>
      <c r="E23" t="s">
        <v>204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97</v>
      </c>
      <c r="B24" t="s">
        <v>318</v>
      </c>
      <c r="C24" t="s">
        <v>203</v>
      </c>
      <c r="D24" t="s">
        <v>319</v>
      </c>
      <c r="E24" t="s">
        <v>204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97</v>
      </c>
      <c r="B25" t="s">
        <v>320</v>
      </c>
      <c r="C25" t="s">
        <v>203</v>
      </c>
      <c r="D25" t="s">
        <v>321</v>
      </c>
      <c r="E25" t="s">
        <v>204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97</v>
      </c>
      <c r="B26" t="s">
        <v>322</v>
      </c>
      <c r="C26" t="s">
        <v>203</v>
      </c>
      <c r="D26" t="s">
        <v>323</v>
      </c>
      <c r="E26" t="s">
        <v>204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97</v>
      </c>
      <c r="B27" t="s">
        <v>324</v>
      </c>
      <c r="C27" t="s">
        <v>203</v>
      </c>
      <c r="D27" t="s">
        <v>325</v>
      </c>
      <c r="E27" t="s">
        <v>204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97</v>
      </c>
      <c r="B28" t="s">
        <v>326</v>
      </c>
      <c r="C28" t="s">
        <v>203</v>
      </c>
      <c r="D28" t="s">
        <v>327</v>
      </c>
      <c r="E28" t="s">
        <v>204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97</v>
      </c>
      <c r="B29" t="s">
        <v>328</v>
      </c>
      <c r="C29" t="s">
        <v>203</v>
      </c>
      <c r="D29" t="s">
        <v>329</v>
      </c>
      <c r="E29" t="s">
        <v>204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97</v>
      </c>
      <c r="B30" t="s">
        <v>330</v>
      </c>
      <c r="C30" t="s">
        <v>203</v>
      </c>
      <c r="D30" t="s">
        <v>331</v>
      </c>
      <c r="E30" t="s">
        <v>204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97</v>
      </c>
      <c r="B31" t="s">
        <v>332</v>
      </c>
      <c r="C31" t="s">
        <v>203</v>
      </c>
      <c r="D31" t="s">
        <v>333</v>
      </c>
      <c r="E31" t="s">
        <v>204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97</v>
      </c>
      <c r="B32" t="s">
        <v>334</v>
      </c>
      <c r="C32" t="s">
        <v>203</v>
      </c>
      <c r="D32" t="s">
        <v>335</v>
      </c>
      <c r="E32" t="s">
        <v>204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97</v>
      </c>
      <c r="B33" t="s">
        <v>336</v>
      </c>
      <c r="C33" t="s">
        <v>203</v>
      </c>
      <c r="D33" t="s">
        <v>337</v>
      </c>
      <c r="E33" t="s">
        <v>204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97</v>
      </c>
      <c r="B34" t="s">
        <v>338</v>
      </c>
      <c r="C34" t="s">
        <v>203</v>
      </c>
      <c r="D34" t="s">
        <v>339</v>
      </c>
      <c r="E34" t="s">
        <v>204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97</v>
      </c>
      <c r="B35" t="s">
        <v>340</v>
      </c>
      <c r="C35" t="s">
        <v>203</v>
      </c>
      <c r="D35" t="s">
        <v>341</v>
      </c>
      <c r="E35" t="s">
        <v>204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97</v>
      </c>
      <c r="B36" t="s">
        <v>342</v>
      </c>
      <c r="C36" t="s">
        <v>203</v>
      </c>
      <c r="D36" t="s">
        <v>343</v>
      </c>
      <c r="E36" t="s">
        <v>204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97</v>
      </c>
      <c r="B37" t="s">
        <v>344</v>
      </c>
      <c r="C37" t="s">
        <v>203</v>
      </c>
      <c r="D37" t="s">
        <v>345</v>
      </c>
      <c r="E37" t="s">
        <v>204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97</v>
      </c>
      <c r="B38" t="s">
        <v>346</v>
      </c>
      <c r="C38" t="s">
        <v>203</v>
      </c>
      <c r="D38" t="s">
        <v>347</v>
      </c>
      <c r="E38" t="s">
        <v>204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97</v>
      </c>
      <c r="B39" t="s">
        <v>348</v>
      </c>
      <c r="C39" t="s">
        <v>203</v>
      </c>
      <c r="D39" t="s">
        <v>349</v>
      </c>
      <c r="E39" t="s">
        <v>204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97</v>
      </c>
      <c r="B40" t="s">
        <v>350</v>
      </c>
      <c r="C40" t="s">
        <v>203</v>
      </c>
      <c r="D40" t="s">
        <v>351</v>
      </c>
      <c r="E40" t="s">
        <v>204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97</v>
      </c>
      <c r="B41" t="s">
        <v>352</v>
      </c>
      <c r="C41" t="s">
        <v>203</v>
      </c>
      <c r="D41" t="s">
        <v>353</v>
      </c>
      <c r="E41" t="s">
        <v>204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97</v>
      </c>
      <c r="B42" t="s">
        <v>354</v>
      </c>
      <c r="C42" t="s">
        <v>203</v>
      </c>
      <c r="D42" t="s">
        <v>355</v>
      </c>
      <c r="E42" t="s">
        <v>204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97</v>
      </c>
      <c r="B43" t="s">
        <v>356</v>
      </c>
      <c r="C43" t="s">
        <v>203</v>
      </c>
      <c r="D43" t="s">
        <v>357</v>
      </c>
      <c r="E43" t="s">
        <v>204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97</v>
      </c>
      <c r="B44" t="s">
        <v>358</v>
      </c>
      <c r="C44" t="s">
        <v>203</v>
      </c>
      <c r="D44" t="s">
        <v>359</v>
      </c>
      <c r="E44" t="s">
        <v>204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97</v>
      </c>
      <c r="B45" t="s">
        <v>360</v>
      </c>
      <c r="C45" t="s">
        <v>203</v>
      </c>
      <c r="D45" t="s">
        <v>361</v>
      </c>
      <c r="E45" t="s">
        <v>204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97</v>
      </c>
      <c r="B46" t="s">
        <v>362</v>
      </c>
      <c r="C46" t="s">
        <v>203</v>
      </c>
      <c r="D46" t="s">
        <v>363</v>
      </c>
      <c r="E46" t="s">
        <v>204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97</v>
      </c>
      <c r="B47" t="s">
        <v>364</v>
      </c>
      <c r="C47" t="s">
        <v>203</v>
      </c>
      <c r="D47" t="s">
        <v>365</v>
      </c>
      <c r="E47" t="s">
        <v>204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97</v>
      </c>
      <c r="B48" t="s">
        <v>366</v>
      </c>
      <c r="C48" t="s">
        <v>203</v>
      </c>
      <c r="D48" t="s">
        <v>367</v>
      </c>
      <c r="E48" t="s">
        <v>204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97</v>
      </c>
      <c r="B49" t="s">
        <v>368</v>
      </c>
      <c r="C49" t="s">
        <v>203</v>
      </c>
      <c r="D49" t="s">
        <v>369</v>
      </c>
      <c r="E49" t="s">
        <v>204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97</v>
      </c>
      <c r="B50" t="s">
        <v>370</v>
      </c>
      <c r="C50" t="s">
        <v>203</v>
      </c>
      <c r="D50" t="s">
        <v>371</v>
      </c>
      <c r="E50" t="s">
        <v>204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97</v>
      </c>
      <c r="B51" t="s">
        <v>372</v>
      </c>
      <c r="C51" t="s">
        <v>203</v>
      </c>
      <c r="D51" t="s">
        <v>373</v>
      </c>
      <c r="E51" t="s">
        <v>204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97</v>
      </c>
      <c r="B52" t="s">
        <v>374</v>
      </c>
      <c r="C52" t="s">
        <v>203</v>
      </c>
      <c r="D52" t="s">
        <v>375</v>
      </c>
      <c r="E52" t="s">
        <v>204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97</v>
      </c>
      <c r="B53" t="s">
        <v>376</v>
      </c>
      <c r="C53" t="s">
        <v>203</v>
      </c>
      <c r="D53" t="s">
        <v>377</v>
      </c>
      <c r="E53" t="s">
        <v>204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97</v>
      </c>
      <c r="B54" t="s">
        <v>378</v>
      </c>
      <c r="C54" t="s">
        <v>203</v>
      </c>
      <c r="D54" t="s">
        <v>379</v>
      </c>
      <c r="E54" t="s">
        <v>204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97</v>
      </c>
      <c r="B55" t="s">
        <v>380</v>
      </c>
      <c r="C55" t="s">
        <v>203</v>
      </c>
      <c r="D55" t="s">
        <v>381</v>
      </c>
      <c r="E55" t="s">
        <v>204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97</v>
      </c>
      <c r="B56" t="s">
        <v>382</v>
      </c>
      <c r="C56" t="s">
        <v>203</v>
      </c>
      <c r="D56" t="s">
        <v>383</v>
      </c>
      <c r="E56" t="s">
        <v>204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97</v>
      </c>
      <c r="B57" t="s">
        <v>384</v>
      </c>
      <c r="C57" t="s">
        <v>203</v>
      </c>
      <c r="D57" t="s">
        <v>385</v>
      </c>
      <c r="E57" t="s">
        <v>204</v>
      </c>
      <c r="F57"/>
      <c r="G57"/>
      <c r="H57"/>
      <c r="I57"/>
      <c r="J57"/>
      <c r="K57" t="n">
        <v>124.7</v>
      </c>
      <c r="L57" t="n">
        <v>146.9</v>
      </c>
      <c r="M57" t="n">
        <v>110.5</v>
      </c>
      <c r="N57" t="n">
        <v>83.2</v>
      </c>
      <c r="O57" t="n">
        <v>132.7</v>
      </c>
      <c r="P57" t="n">
        <v>208.7</v>
      </c>
      <c r="Q57" t="n">
        <v>388.4</v>
      </c>
      <c r="R57" t="n">
        <v>487.7</v>
      </c>
      <c r="S57" t="n">
        <v>642.4</v>
      </c>
      <c r="T57" t="n">
        <v>441</v>
      </c>
      <c r="U57" t="n">
        <v>476.9</v>
      </c>
      <c r="V57" t="n">
        <v>550</v>
      </c>
      <c r="W57" t="n">
        <v>273.3</v>
      </c>
      <c r="X57" t="n">
        <v>243.2</v>
      </c>
      <c r="Y57" t="n">
        <v>329.3</v>
      </c>
      <c r="Z57" t="n">
        <v>285.2</v>
      </c>
      <c r="AA57" t="n">
        <v>305.7</v>
      </c>
      <c r="AB57" t="n">
        <v>267</v>
      </c>
      <c r="AC57" t="n">
        <v>210.9</v>
      </c>
      <c r="AD57" t="n">
        <v>646.1</v>
      </c>
      <c r="AE57" t="n">
        <v>242.1</v>
      </c>
      <c r="AF57" t="n">
        <v>306.7</v>
      </c>
    </row>
    <row r="58">
      <c r="A58" t="s">
        <v>97</v>
      </c>
      <c r="B58" t="s">
        <v>386</v>
      </c>
      <c r="C58" t="s">
        <v>203</v>
      </c>
      <c r="D58" t="s">
        <v>387</v>
      </c>
      <c r="E58" t="s">
        <v>204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97</v>
      </c>
      <c r="B59" t="s">
        <v>388</v>
      </c>
      <c r="C59" t="s">
        <v>203</v>
      </c>
      <c r="D59" t="s">
        <v>389</v>
      </c>
      <c r="E59" t="s">
        <v>204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99</v>
      </c>
      <c r="B2" t="s">
        <v>197</v>
      </c>
      <c r="C2" t="s">
        <v>203</v>
      </c>
      <c r="D2" t="s">
        <v>199</v>
      </c>
      <c r="E2" t="s">
        <v>204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99</v>
      </c>
      <c r="B3" t="s">
        <v>276</v>
      </c>
      <c r="C3" t="s">
        <v>203</v>
      </c>
      <c r="D3" t="s">
        <v>277</v>
      </c>
      <c r="E3" t="s">
        <v>204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99</v>
      </c>
      <c r="B4" t="s">
        <v>278</v>
      </c>
      <c r="C4" t="s">
        <v>203</v>
      </c>
      <c r="D4" t="s">
        <v>279</v>
      </c>
      <c r="E4" t="s">
        <v>204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99</v>
      </c>
      <c r="B5" t="s">
        <v>280</v>
      </c>
      <c r="C5" t="s">
        <v>203</v>
      </c>
      <c r="D5" t="s">
        <v>281</v>
      </c>
      <c r="E5" t="s">
        <v>204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99</v>
      </c>
      <c r="B6" t="s">
        <v>282</v>
      </c>
      <c r="C6" t="s">
        <v>203</v>
      </c>
      <c r="D6" t="s">
        <v>283</v>
      </c>
      <c r="E6" t="s">
        <v>204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99</v>
      </c>
      <c r="B7" t="s">
        <v>284</v>
      </c>
      <c r="C7" t="s">
        <v>203</v>
      </c>
      <c r="D7" t="s">
        <v>285</v>
      </c>
      <c r="E7" t="s">
        <v>204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99</v>
      </c>
      <c r="B8" t="s">
        <v>286</v>
      </c>
      <c r="C8" t="s">
        <v>203</v>
      </c>
      <c r="D8" t="s">
        <v>287</v>
      </c>
      <c r="E8" t="s">
        <v>204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99</v>
      </c>
      <c r="B9" t="s">
        <v>288</v>
      </c>
      <c r="C9" t="s">
        <v>203</v>
      </c>
      <c r="D9" t="s">
        <v>289</v>
      </c>
      <c r="E9" t="s">
        <v>204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99</v>
      </c>
      <c r="B10" t="s">
        <v>290</v>
      </c>
      <c r="C10" t="s">
        <v>203</v>
      </c>
      <c r="D10" t="s">
        <v>291</v>
      </c>
      <c r="E10" t="s">
        <v>204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99</v>
      </c>
      <c r="B11" t="s">
        <v>292</v>
      </c>
      <c r="C11" t="s">
        <v>203</v>
      </c>
      <c r="D11" t="s">
        <v>293</v>
      </c>
      <c r="E11" t="s">
        <v>204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99</v>
      </c>
      <c r="B12" t="s">
        <v>294</v>
      </c>
      <c r="C12" t="s">
        <v>203</v>
      </c>
      <c r="D12" t="s">
        <v>295</v>
      </c>
      <c r="E12" t="s">
        <v>204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99</v>
      </c>
      <c r="B13" t="s">
        <v>296</v>
      </c>
      <c r="C13" t="s">
        <v>203</v>
      </c>
      <c r="D13" t="s">
        <v>297</v>
      </c>
      <c r="E13" t="s">
        <v>204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99</v>
      </c>
      <c r="B14" t="s">
        <v>298</v>
      </c>
      <c r="C14" t="s">
        <v>203</v>
      </c>
      <c r="D14" t="s">
        <v>299</v>
      </c>
      <c r="E14" t="s">
        <v>204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99</v>
      </c>
      <c r="B15" t="s">
        <v>300</v>
      </c>
      <c r="C15" t="s">
        <v>203</v>
      </c>
      <c r="D15" t="s">
        <v>301</v>
      </c>
      <c r="E15" t="s">
        <v>204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99</v>
      </c>
      <c r="B16" t="s">
        <v>302</v>
      </c>
      <c r="C16" t="s">
        <v>203</v>
      </c>
      <c r="D16" t="s">
        <v>303</v>
      </c>
      <c r="E16" t="s">
        <v>204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99</v>
      </c>
      <c r="B17" t="s">
        <v>304</v>
      </c>
      <c r="C17" t="s">
        <v>203</v>
      </c>
      <c r="D17" t="s">
        <v>305</v>
      </c>
      <c r="E17" t="s">
        <v>204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99</v>
      </c>
      <c r="B18" t="s">
        <v>306</v>
      </c>
      <c r="C18" t="s">
        <v>203</v>
      </c>
      <c r="D18" t="s">
        <v>307</v>
      </c>
      <c r="E18" t="s">
        <v>204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99</v>
      </c>
      <c r="B19" t="s">
        <v>308</v>
      </c>
      <c r="C19" t="s">
        <v>203</v>
      </c>
      <c r="D19" t="s">
        <v>309</v>
      </c>
      <c r="E19" t="s">
        <v>204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99</v>
      </c>
      <c r="B20" t="s">
        <v>310</v>
      </c>
      <c r="C20" t="s">
        <v>203</v>
      </c>
      <c r="D20" t="s">
        <v>311</v>
      </c>
      <c r="E20" t="s">
        <v>204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99</v>
      </c>
      <c r="B21" t="s">
        <v>312</v>
      </c>
      <c r="C21" t="s">
        <v>203</v>
      </c>
      <c r="D21" t="s">
        <v>313</v>
      </c>
      <c r="E21" t="s">
        <v>204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99</v>
      </c>
      <c r="B22" t="s">
        <v>314</v>
      </c>
      <c r="C22" t="s">
        <v>203</v>
      </c>
      <c r="D22" t="s">
        <v>315</v>
      </c>
      <c r="E22" t="s">
        <v>204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99</v>
      </c>
      <c r="B23" t="s">
        <v>316</v>
      </c>
      <c r="C23" t="s">
        <v>203</v>
      </c>
      <c r="D23" t="s">
        <v>317</v>
      </c>
      <c r="E23" t="s">
        <v>204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99</v>
      </c>
      <c r="B24" t="s">
        <v>318</v>
      </c>
      <c r="C24" t="s">
        <v>203</v>
      </c>
      <c r="D24" t="s">
        <v>319</v>
      </c>
      <c r="E24" t="s">
        <v>204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99</v>
      </c>
      <c r="B25" t="s">
        <v>320</v>
      </c>
      <c r="C25" t="s">
        <v>203</v>
      </c>
      <c r="D25" t="s">
        <v>321</v>
      </c>
      <c r="E25" t="s">
        <v>204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99</v>
      </c>
      <c r="B26" t="s">
        <v>322</v>
      </c>
      <c r="C26" t="s">
        <v>203</v>
      </c>
      <c r="D26" t="s">
        <v>323</v>
      </c>
      <c r="E26" t="s">
        <v>204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99</v>
      </c>
      <c r="B27" t="s">
        <v>324</v>
      </c>
      <c r="C27" t="s">
        <v>203</v>
      </c>
      <c r="D27" t="s">
        <v>325</v>
      </c>
      <c r="E27" t="s">
        <v>204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99</v>
      </c>
      <c r="B28" t="s">
        <v>326</v>
      </c>
      <c r="C28" t="s">
        <v>203</v>
      </c>
      <c r="D28" t="s">
        <v>327</v>
      </c>
      <c r="E28" t="s">
        <v>204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99</v>
      </c>
      <c r="B29" t="s">
        <v>328</v>
      </c>
      <c r="C29" t="s">
        <v>203</v>
      </c>
      <c r="D29" t="s">
        <v>329</v>
      </c>
      <c r="E29" t="s">
        <v>204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99</v>
      </c>
      <c r="B30" t="s">
        <v>330</v>
      </c>
      <c r="C30" t="s">
        <v>203</v>
      </c>
      <c r="D30" t="s">
        <v>331</v>
      </c>
      <c r="E30" t="s">
        <v>204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99</v>
      </c>
      <c r="B31" t="s">
        <v>332</v>
      </c>
      <c r="C31" t="s">
        <v>203</v>
      </c>
      <c r="D31" t="s">
        <v>333</v>
      </c>
      <c r="E31" t="s">
        <v>204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99</v>
      </c>
      <c r="B32" t="s">
        <v>334</v>
      </c>
      <c r="C32" t="s">
        <v>203</v>
      </c>
      <c r="D32" t="s">
        <v>335</v>
      </c>
      <c r="E32" t="s">
        <v>204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99</v>
      </c>
      <c r="B33" t="s">
        <v>336</v>
      </c>
      <c r="C33" t="s">
        <v>203</v>
      </c>
      <c r="D33" t="s">
        <v>337</v>
      </c>
      <c r="E33" t="s">
        <v>204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99</v>
      </c>
      <c r="B34" t="s">
        <v>338</v>
      </c>
      <c r="C34" t="s">
        <v>203</v>
      </c>
      <c r="D34" t="s">
        <v>339</v>
      </c>
      <c r="E34" t="s">
        <v>204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99</v>
      </c>
      <c r="B35" t="s">
        <v>340</v>
      </c>
      <c r="C35" t="s">
        <v>203</v>
      </c>
      <c r="D35" t="s">
        <v>341</v>
      </c>
      <c r="E35" t="s">
        <v>204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99</v>
      </c>
      <c r="B36" t="s">
        <v>342</v>
      </c>
      <c r="C36" t="s">
        <v>203</v>
      </c>
      <c r="D36" t="s">
        <v>343</v>
      </c>
      <c r="E36" t="s">
        <v>204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99</v>
      </c>
      <c r="B37" t="s">
        <v>344</v>
      </c>
      <c r="C37" t="s">
        <v>203</v>
      </c>
      <c r="D37" t="s">
        <v>345</v>
      </c>
      <c r="E37" t="s">
        <v>204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99</v>
      </c>
      <c r="B38" t="s">
        <v>346</v>
      </c>
      <c r="C38" t="s">
        <v>203</v>
      </c>
      <c r="D38" t="s">
        <v>347</v>
      </c>
      <c r="E38" t="s">
        <v>204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99</v>
      </c>
      <c r="B39" t="s">
        <v>348</v>
      </c>
      <c r="C39" t="s">
        <v>203</v>
      </c>
      <c r="D39" t="s">
        <v>349</v>
      </c>
      <c r="E39" t="s">
        <v>204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99</v>
      </c>
      <c r="B40" t="s">
        <v>350</v>
      </c>
      <c r="C40" t="s">
        <v>203</v>
      </c>
      <c r="D40" t="s">
        <v>351</v>
      </c>
      <c r="E40" t="s">
        <v>204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99</v>
      </c>
      <c r="B41" t="s">
        <v>352</v>
      </c>
      <c r="C41" t="s">
        <v>203</v>
      </c>
      <c r="D41" t="s">
        <v>353</v>
      </c>
      <c r="E41" t="s">
        <v>204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99</v>
      </c>
      <c r="B42" t="s">
        <v>354</v>
      </c>
      <c r="C42" t="s">
        <v>203</v>
      </c>
      <c r="D42" t="s">
        <v>355</v>
      </c>
      <c r="E42" t="s">
        <v>204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99</v>
      </c>
      <c r="B43" t="s">
        <v>356</v>
      </c>
      <c r="C43" t="s">
        <v>203</v>
      </c>
      <c r="D43" t="s">
        <v>357</v>
      </c>
      <c r="E43" t="s">
        <v>204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99</v>
      </c>
      <c r="B44" t="s">
        <v>358</v>
      </c>
      <c r="C44" t="s">
        <v>203</v>
      </c>
      <c r="D44" t="s">
        <v>359</v>
      </c>
      <c r="E44" t="s">
        <v>204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99</v>
      </c>
      <c r="B45" t="s">
        <v>360</v>
      </c>
      <c r="C45" t="s">
        <v>203</v>
      </c>
      <c r="D45" t="s">
        <v>361</v>
      </c>
      <c r="E45" t="s">
        <v>204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99</v>
      </c>
      <c r="B46" t="s">
        <v>362</v>
      </c>
      <c r="C46" t="s">
        <v>203</v>
      </c>
      <c r="D46" t="s">
        <v>363</v>
      </c>
      <c r="E46" t="s">
        <v>204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99</v>
      </c>
      <c r="B47" t="s">
        <v>364</v>
      </c>
      <c r="C47" t="s">
        <v>203</v>
      </c>
      <c r="D47" t="s">
        <v>365</v>
      </c>
      <c r="E47" t="s">
        <v>204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99</v>
      </c>
      <c r="B48" t="s">
        <v>366</v>
      </c>
      <c r="C48" t="s">
        <v>203</v>
      </c>
      <c r="D48" t="s">
        <v>367</v>
      </c>
      <c r="E48" t="s">
        <v>204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99</v>
      </c>
      <c r="B49" t="s">
        <v>368</v>
      </c>
      <c r="C49" t="s">
        <v>203</v>
      </c>
      <c r="D49" t="s">
        <v>369</v>
      </c>
      <c r="E49" t="s">
        <v>204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99</v>
      </c>
      <c r="B50" t="s">
        <v>370</v>
      </c>
      <c r="C50" t="s">
        <v>203</v>
      </c>
      <c r="D50" t="s">
        <v>371</v>
      </c>
      <c r="E50" t="s">
        <v>204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99</v>
      </c>
      <c r="B51" t="s">
        <v>372</v>
      </c>
      <c r="C51" t="s">
        <v>203</v>
      </c>
      <c r="D51" t="s">
        <v>373</v>
      </c>
      <c r="E51" t="s">
        <v>204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99</v>
      </c>
      <c r="B52" t="s">
        <v>374</v>
      </c>
      <c r="C52" t="s">
        <v>203</v>
      </c>
      <c r="D52" t="s">
        <v>375</v>
      </c>
      <c r="E52" t="s">
        <v>204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99</v>
      </c>
      <c r="B53" t="s">
        <v>376</v>
      </c>
      <c r="C53" t="s">
        <v>203</v>
      </c>
      <c r="D53" t="s">
        <v>377</v>
      </c>
      <c r="E53" t="s">
        <v>204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99</v>
      </c>
      <c r="B54" t="s">
        <v>378</v>
      </c>
      <c r="C54" t="s">
        <v>203</v>
      </c>
      <c r="D54" t="s">
        <v>379</v>
      </c>
      <c r="E54" t="s">
        <v>204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99</v>
      </c>
      <c r="B55" t="s">
        <v>380</v>
      </c>
      <c r="C55" t="s">
        <v>203</v>
      </c>
      <c r="D55" t="s">
        <v>381</v>
      </c>
      <c r="E55" t="s">
        <v>204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99</v>
      </c>
      <c r="B56" t="s">
        <v>382</v>
      </c>
      <c r="C56" t="s">
        <v>203</v>
      </c>
      <c r="D56" t="s">
        <v>383</v>
      </c>
      <c r="E56" t="s">
        <v>204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99</v>
      </c>
      <c r="B57" t="s">
        <v>384</v>
      </c>
      <c r="C57" t="s">
        <v>203</v>
      </c>
      <c r="D57" t="s">
        <v>385</v>
      </c>
      <c r="E57" t="s">
        <v>204</v>
      </c>
      <c r="F57"/>
      <c r="G57"/>
      <c r="H57"/>
      <c r="I57"/>
      <c r="J57"/>
      <c r="K57" t="n">
        <v>369.5</v>
      </c>
      <c r="L57" t="n">
        <v>349.6</v>
      </c>
      <c r="M57" t="n">
        <v>338.9</v>
      </c>
      <c r="N57" t="n">
        <v>329.6</v>
      </c>
      <c r="O57" t="n">
        <v>377.8</v>
      </c>
      <c r="P57" t="n">
        <v>554.6</v>
      </c>
      <c r="Q57" t="n">
        <v>703.9</v>
      </c>
      <c r="R57" t="n">
        <v>811.5</v>
      </c>
      <c r="S57" t="n">
        <v>753.1</v>
      </c>
      <c r="T57" t="n">
        <v>883.5</v>
      </c>
      <c r="U57" t="n">
        <v>902.9</v>
      </c>
      <c r="V57" t="n">
        <v>976.5</v>
      </c>
      <c r="W57" t="n">
        <v>905.6</v>
      </c>
      <c r="X57" t="n">
        <v>902.1</v>
      </c>
      <c r="Y57" t="n">
        <v>898.5</v>
      </c>
      <c r="Z57" t="n">
        <v>958</v>
      </c>
      <c r="AA57" t="n">
        <v>1081</v>
      </c>
      <c r="AB57" t="n">
        <v>1309.1</v>
      </c>
      <c r="AC57" t="n">
        <v>1418.1</v>
      </c>
      <c r="AD57" t="n">
        <v>1851.4</v>
      </c>
      <c r="AE57" t="n">
        <v>2342.9</v>
      </c>
      <c r="AF57" t="n">
        <v>2630.7</v>
      </c>
    </row>
    <row r="58">
      <c r="A58" t="s">
        <v>99</v>
      </c>
      <c r="B58" t="s">
        <v>386</v>
      </c>
      <c r="C58" t="s">
        <v>203</v>
      </c>
      <c r="D58" t="s">
        <v>387</v>
      </c>
      <c r="E58" t="s">
        <v>204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99</v>
      </c>
      <c r="B59" t="s">
        <v>388</v>
      </c>
      <c r="C59" t="s">
        <v>203</v>
      </c>
      <c r="D59" t="s">
        <v>389</v>
      </c>
      <c r="E59" t="s">
        <v>204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101</v>
      </c>
      <c r="B2" t="s">
        <v>197</v>
      </c>
      <c r="C2" t="s">
        <v>203</v>
      </c>
      <c r="D2" t="s">
        <v>199</v>
      </c>
      <c r="E2" t="s">
        <v>204</v>
      </c>
      <c r="F2"/>
      <c r="G2"/>
      <c r="H2"/>
      <c r="I2"/>
      <c r="J2"/>
      <c r="K2" t="n">
        <v>57.9</v>
      </c>
      <c r="L2" t="n">
        <v>103.4</v>
      </c>
      <c r="M2" t="n">
        <v>132.2</v>
      </c>
      <c r="N2" t="n">
        <v>146.9</v>
      </c>
      <c r="O2" t="n">
        <v>169.8</v>
      </c>
      <c r="P2" t="n">
        <v>238.6</v>
      </c>
      <c r="Q2" t="n">
        <v>271.4</v>
      </c>
      <c r="R2" t="n">
        <v>289.3</v>
      </c>
      <c r="S2" t="n">
        <v>422.6</v>
      </c>
      <c r="T2" t="n">
        <v>410.8</v>
      </c>
      <c r="U2" t="n">
        <v>371.9</v>
      </c>
      <c r="V2" t="n">
        <v>385.8</v>
      </c>
      <c r="W2" t="n">
        <v>416.8</v>
      </c>
      <c r="X2" t="n">
        <v>428.5</v>
      </c>
      <c r="Y2" t="n">
        <v>463.7</v>
      </c>
      <c r="Z2" t="n">
        <v>499.2</v>
      </c>
      <c r="AA2" t="n">
        <v>486.9</v>
      </c>
      <c r="AB2" t="n">
        <v>500.5</v>
      </c>
      <c r="AC2" t="n">
        <v>513.3</v>
      </c>
      <c r="AD2" t="n">
        <v>532</v>
      </c>
      <c r="AE2" t="n">
        <v>532.4</v>
      </c>
      <c r="AF2" t="n">
        <v>545.6</v>
      </c>
    </row>
    <row r="3">
      <c r="A3" t="s">
        <v>101</v>
      </c>
      <c r="B3" t="s">
        <v>276</v>
      </c>
      <c r="C3" t="s">
        <v>203</v>
      </c>
      <c r="D3" t="s">
        <v>277</v>
      </c>
      <c r="E3" t="s">
        <v>204</v>
      </c>
      <c r="F3"/>
      <c r="G3"/>
      <c r="H3"/>
      <c r="I3"/>
      <c r="J3"/>
      <c r="K3" t="n">
        <v>41.2</v>
      </c>
      <c r="L3" t="n">
        <v>36.9</v>
      </c>
      <c r="M3" t="n">
        <v>56.6</v>
      </c>
      <c r="N3" t="n">
        <v>71.7</v>
      </c>
      <c r="O3" t="n">
        <v>81.4</v>
      </c>
      <c r="P3" t="n">
        <v>169.5</v>
      </c>
      <c r="Q3" t="n">
        <v>228.7</v>
      </c>
      <c r="R3" t="n">
        <v>270.6</v>
      </c>
      <c r="S3" t="n">
        <v>319.9</v>
      </c>
      <c r="T3" t="n">
        <v>314.7</v>
      </c>
      <c r="U3" t="n">
        <v>272.1</v>
      </c>
      <c r="V3" t="n">
        <v>250.3</v>
      </c>
      <c r="W3" t="n">
        <v>225.5</v>
      </c>
      <c r="X3" t="n">
        <v>197.1</v>
      </c>
      <c r="Y3" t="n">
        <v>180.5</v>
      </c>
      <c r="Z3" t="n">
        <v>141</v>
      </c>
      <c r="AA3" t="n">
        <v>147.2</v>
      </c>
      <c r="AB3" t="n">
        <v>139.3</v>
      </c>
      <c r="AC3" t="n">
        <v>163.3</v>
      </c>
      <c r="AD3" t="n">
        <v>169.2</v>
      </c>
      <c r="AE3" t="n">
        <v>169.4</v>
      </c>
      <c r="AF3" t="n">
        <v>173.6</v>
      </c>
    </row>
    <row r="4">
      <c r="A4" t="s">
        <v>101</v>
      </c>
      <c r="B4" t="s">
        <v>278</v>
      </c>
      <c r="C4" t="s">
        <v>203</v>
      </c>
      <c r="D4" t="s">
        <v>279</v>
      </c>
      <c r="E4" t="s">
        <v>204</v>
      </c>
      <c r="F4"/>
      <c r="G4"/>
      <c r="H4"/>
      <c r="I4"/>
      <c r="J4"/>
      <c r="K4" t="n">
        <v>399.4</v>
      </c>
      <c r="L4" t="n">
        <v>484.4</v>
      </c>
      <c r="M4" t="n">
        <v>820</v>
      </c>
      <c r="N4" t="n">
        <v>1123.4</v>
      </c>
      <c r="O4" t="n">
        <v>1203.5</v>
      </c>
      <c r="P4" t="n">
        <v>1759.8</v>
      </c>
      <c r="Q4" t="n">
        <v>2098.3</v>
      </c>
      <c r="R4" t="n">
        <v>2489.8</v>
      </c>
      <c r="S4" t="n">
        <v>2683.7</v>
      </c>
      <c r="T4" t="n">
        <v>2585.9</v>
      </c>
      <c r="U4" t="n">
        <v>2229.1</v>
      </c>
      <c r="V4" t="n">
        <v>2070.8</v>
      </c>
      <c r="W4" t="n">
        <v>1901.1</v>
      </c>
      <c r="X4" t="n">
        <v>1695.1</v>
      </c>
      <c r="Y4" t="n">
        <v>1572</v>
      </c>
      <c r="Z4" t="n">
        <v>1423.1</v>
      </c>
      <c r="AA4" t="n">
        <v>1258.1</v>
      </c>
      <c r="AB4" t="n">
        <v>1182.5</v>
      </c>
      <c r="AC4" t="n">
        <v>1085.7</v>
      </c>
      <c r="AD4" t="n">
        <v>1125</v>
      </c>
      <c r="AE4" t="n">
        <v>1125.8</v>
      </c>
      <c r="AF4" t="n">
        <v>1153.7</v>
      </c>
    </row>
    <row r="5">
      <c r="A5" t="s">
        <v>101</v>
      </c>
      <c r="B5" t="s">
        <v>280</v>
      </c>
      <c r="C5" t="s">
        <v>203</v>
      </c>
      <c r="D5" t="s">
        <v>281</v>
      </c>
      <c r="E5" t="s">
        <v>204</v>
      </c>
      <c r="F5"/>
      <c r="G5"/>
      <c r="H5"/>
      <c r="I5"/>
      <c r="J5"/>
      <c r="K5" t="n">
        <v>74.2</v>
      </c>
      <c r="L5" t="n">
        <v>91.7</v>
      </c>
      <c r="M5" t="n">
        <v>156.4</v>
      </c>
      <c r="N5" t="n">
        <v>237.9</v>
      </c>
      <c r="O5" t="n">
        <v>272.7</v>
      </c>
      <c r="P5" t="n">
        <v>402.2</v>
      </c>
      <c r="Q5" t="n">
        <v>440.7</v>
      </c>
      <c r="R5" t="n">
        <v>523.9</v>
      </c>
      <c r="S5" t="n">
        <v>564.2</v>
      </c>
      <c r="T5" t="n">
        <v>546</v>
      </c>
      <c r="U5" t="n">
        <v>475.7</v>
      </c>
      <c r="V5" t="n">
        <v>447.6</v>
      </c>
      <c r="W5" t="n">
        <v>410.6</v>
      </c>
      <c r="X5" t="n">
        <v>365.8</v>
      </c>
      <c r="Y5" t="n">
        <v>348.4</v>
      </c>
      <c r="Z5" t="n">
        <v>324.1</v>
      </c>
      <c r="AA5" t="n">
        <v>284.9</v>
      </c>
      <c r="AB5" t="n">
        <v>272</v>
      </c>
      <c r="AC5" t="n">
        <v>250.5</v>
      </c>
      <c r="AD5" t="n">
        <v>259.6</v>
      </c>
      <c r="AE5" t="n">
        <v>259.8</v>
      </c>
      <c r="AF5" t="n">
        <v>266.2</v>
      </c>
    </row>
    <row r="6">
      <c r="A6" t="s">
        <v>101</v>
      </c>
      <c r="B6" t="s">
        <v>282</v>
      </c>
      <c r="C6" t="s">
        <v>203</v>
      </c>
      <c r="D6" t="s">
        <v>283</v>
      </c>
      <c r="E6" t="s">
        <v>204</v>
      </c>
      <c r="F6"/>
      <c r="G6"/>
      <c r="H6"/>
      <c r="I6"/>
      <c r="J6"/>
      <c r="K6" t="n">
        <v>58.6</v>
      </c>
      <c r="L6" t="n">
        <v>66.3</v>
      </c>
      <c r="M6" t="n">
        <v>111.8</v>
      </c>
      <c r="N6" t="n">
        <v>150</v>
      </c>
      <c r="O6" t="n">
        <v>155.2</v>
      </c>
      <c r="P6" t="n">
        <v>198.3</v>
      </c>
      <c r="Q6" t="n">
        <v>244.4</v>
      </c>
      <c r="R6" t="n">
        <v>252.3</v>
      </c>
      <c r="S6" t="n">
        <v>247.8</v>
      </c>
      <c r="T6" t="n">
        <v>235.4</v>
      </c>
      <c r="U6" t="n">
        <v>202.1</v>
      </c>
      <c r="V6" t="n">
        <v>187.3</v>
      </c>
      <c r="W6" t="n">
        <v>169.9</v>
      </c>
      <c r="X6" t="n">
        <v>149.7</v>
      </c>
      <c r="Y6" t="n">
        <v>140.4</v>
      </c>
      <c r="Z6" t="n">
        <v>124.8</v>
      </c>
      <c r="AA6" t="n">
        <v>109.8</v>
      </c>
      <c r="AB6" t="n">
        <v>101.3</v>
      </c>
      <c r="AC6" t="n">
        <v>92.1</v>
      </c>
      <c r="AD6" t="n">
        <v>95.4</v>
      </c>
      <c r="AE6" t="n">
        <v>95.5</v>
      </c>
      <c r="AF6" t="n">
        <v>97.9</v>
      </c>
    </row>
    <row r="7">
      <c r="A7" t="s">
        <v>101</v>
      </c>
      <c r="B7" t="s">
        <v>284</v>
      </c>
      <c r="C7" t="s">
        <v>203</v>
      </c>
      <c r="D7" t="s">
        <v>285</v>
      </c>
      <c r="E7" t="s">
        <v>204</v>
      </c>
      <c r="F7"/>
      <c r="G7"/>
      <c r="H7"/>
      <c r="I7"/>
      <c r="J7"/>
      <c r="K7" t="n">
        <v>20.7</v>
      </c>
      <c r="L7" t="n">
        <v>40.8</v>
      </c>
      <c r="M7" t="n">
        <v>82.1</v>
      </c>
      <c r="N7" t="n">
        <v>101.9</v>
      </c>
      <c r="O7" t="n">
        <v>106.9</v>
      </c>
      <c r="P7" t="n">
        <v>141.9</v>
      </c>
      <c r="Q7" t="n">
        <v>168.7</v>
      </c>
      <c r="R7" t="n">
        <v>230.5</v>
      </c>
      <c r="S7" t="n">
        <v>238.5</v>
      </c>
      <c r="T7" t="n">
        <v>226</v>
      </c>
      <c r="U7" t="n">
        <v>194.4</v>
      </c>
      <c r="V7" t="n">
        <v>180.5</v>
      </c>
      <c r="W7" t="n">
        <v>164.6</v>
      </c>
      <c r="X7" t="n">
        <v>145.8</v>
      </c>
      <c r="Y7" t="n">
        <v>135.7</v>
      </c>
      <c r="Z7" t="n">
        <v>122.9</v>
      </c>
      <c r="AA7" t="n">
        <v>109.8</v>
      </c>
      <c r="AB7" t="n">
        <v>104.7</v>
      </c>
      <c r="AC7" t="n">
        <v>95.4</v>
      </c>
      <c r="AD7" t="n">
        <v>98.9</v>
      </c>
      <c r="AE7" t="n">
        <v>99</v>
      </c>
      <c r="AF7" t="n">
        <v>101.4</v>
      </c>
    </row>
    <row r="8">
      <c r="A8" t="s">
        <v>101</v>
      </c>
      <c r="B8" t="s">
        <v>286</v>
      </c>
      <c r="C8" t="s">
        <v>203</v>
      </c>
      <c r="D8" t="s">
        <v>287</v>
      </c>
      <c r="E8" t="s">
        <v>204</v>
      </c>
      <c r="F8"/>
      <c r="G8"/>
      <c r="H8"/>
      <c r="I8"/>
      <c r="J8"/>
      <c r="K8" t="n">
        <v>15.2</v>
      </c>
      <c r="L8" t="n">
        <v>13</v>
      </c>
      <c r="M8" t="n">
        <v>30.1</v>
      </c>
      <c r="N8" t="n">
        <v>51.6</v>
      </c>
      <c r="O8" t="n">
        <v>50.3</v>
      </c>
      <c r="P8" t="n">
        <v>63.6</v>
      </c>
      <c r="Q8" t="n">
        <v>76</v>
      </c>
      <c r="R8" t="n">
        <v>83.1</v>
      </c>
      <c r="S8" t="n">
        <v>96.1</v>
      </c>
      <c r="T8" t="n">
        <v>100.2</v>
      </c>
      <c r="U8" t="n">
        <v>85.2</v>
      </c>
      <c r="V8" t="n">
        <v>77.5</v>
      </c>
      <c r="W8" t="n">
        <v>68.4</v>
      </c>
      <c r="X8" t="n">
        <v>58.5</v>
      </c>
      <c r="Y8" t="n">
        <v>50.5</v>
      </c>
      <c r="Z8" t="n">
        <v>42.7</v>
      </c>
      <c r="AA8" t="n">
        <v>32.9</v>
      </c>
      <c r="AB8" t="n">
        <v>30.4</v>
      </c>
      <c r="AC8" t="n">
        <v>26.5</v>
      </c>
      <c r="AD8" t="n">
        <v>27.4</v>
      </c>
      <c r="AE8" t="n">
        <v>27.4</v>
      </c>
      <c r="AF8" t="n">
        <v>28.1</v>
      </c>
    </row>
    <row r="9">
      <c r="A9" t="s">
        <v>101</v>
      </c>
      <c r="B9" t="s">
        <v>288</v>
      </c>
      <c r="C9" t="s">
        <v>203</v>
      </c>
      <c r="D9" t="s">
        <v>289</v>
      </c>
      <c r="E9" t="s">
        <v>204</v>
      </c>
      <c r="F9"/>
      <c r="G9"/>
      <c r="H9"/>
      <c r="I9"/>
      <c r="J9"/>
      <c r="K9" t="n">
        <v>25.2</v>
      </c>
      <c r="L9" t="n">
        <v>23.3</v>
      </c>
      <c r="M9" t="n">
        <v>46.3</v>
      </c>
      <c r="N9" t="n">
        <v>53.4</v>
      </c>
      <c r="O9" t="n">
        <v>56.7</v>
      </c>
      <c r="P9" t="n">
        <v>78.4</v>
      </c>
      <c r="Q9" t="n">
        <v>100.7</v>
      </c>
      <c r="R9" t="n">
        <v>123.5</v>
      </c>
      <c r="S9" t="n">
        <v>140.6</v>
      </c>
      <c r="T9" t="n">
        <v>137</v>
      </c>
      <c r="U9" t="n">
        <v>118.3</v>
      </c>
      <c r="V9" t="n">
        <v>110.8</v>
      </c>
      <c r="W9" t="n">
        <v>114.5</v>
      </c>
      <c r="X9" t="n">
        <v>113.7</v>
      </c>
      <c r="Y9" t="n">
        <v>103.8</v>
      </c>
      <c r="Z9" t="n">
        <v>93.9</v>
      </c>
      <c r="AA9" t="n">
        <v>85.1</v>
      </c>
      <c r="AB9" t="n">
        <v>77.3</v>
      </c>
      <c r="AC9" t="n">
        <v>65.6</v>
      </c>
      <c r="AD9" t="n">
        <v>68</v>
      </c>
      <c r="AE9" t="n">
        <v>68</v>
      </c>
      <c r="AF9" t="n">
        <v>69.7</v>
      </c>
    </row>
    <row r="10">
      <c r="A10" t="s">
        <v>101</v>
      </c>
      <c r="B10" t="s">
        <v>290</v>
      </c>
      <c r="C10" t="s">
        <v>203</v>
      </c>
      <c r="D10" t="s">
        <v>291</v>
      </c>
      <c r="E10" t="s">
        <v>204</v>
      </c>
      <c r="F10"/>
      <c r="G10"/>
      <c r="H10"/>
      <c r="I10"/>
      <c r="J10"/>
      <c r="K10" t="n">
        <v>27.7</v>
      </c>
      <c r="L10" t="n">
        <v>25.5</v>
      </c>
      <c r="M10" t="n">
        <v>63.3</v>
      </c>
      <c r="N10" t="n">
        <v>76.5</v>
      </c>
      <c r="O10" t="n">
        <v>80.5</v>
      </c>
      <c r="P10" t="n">
        <v>119.8</v>
      </c>
      <c r="Q10" t="n">
        <v>150.8</v>
      </c>
      <c r="R10" t="n">
        <v>178.7</v>
      </c>
      <c r="S10" t="n">
        <v>213.5</v>
      </c>
      <c r="T10" t="n">
        <v>205.1</v>
      </c>
      <c r="U10" t="n">
        <v>176.6</v>
      </c>
      <c r="V10" t="n">
        <v>164.8</v>
      </c>
      <c r="W10" t="n">
        <v>164.9</v>
      </c>
      <c r="X10" t="n">
        <v>159.3</v>
      </c>
      <c r="Y10" t="n">
        <v>143.5</v>
      </c>
      <c r="Z10" t="n">
        <v>127.8</v>
      </c>
      <c r="AA10" t="n">
        <v>113.2</v>
      </c>
      <c r="AB10" t="n">
        <v>101.9</v>
      </c>
      <c r="AC10" t="n">
        <v>84.9</v>
      </c>
      <c r="AD10" t="n">
        <v>88</v>
      </c>
      <c r="AE10" t="n">
        <v>88</v>
      </c>
      <c r="AF10" t="n">
        <v>90.2</v>
      </c>
    </row>
    <row r="11">
      <c r="A11" t="s">
        <v>101</v>
      </c>
      <c r="B11" t="s">
        <v>292</v>
      </c>
      <c r="C11" t="s">
        <v>203</v>
      </c>
      <c r="D11" t="s">
        <v>293</v>
      </c>
      <c r="E11" t="s">
        <v>204</v>
      </c>
      <c r="F11"/>
      <c r="G11"/>
      <c r="H11"/>
      <c r="I11"/>
      <c r="J11"/>
      <c r="K11" t="n">
        <v>2.5</v>
      </c>
      <c r="L11" t="n">
        <v>2.2</v>
      </c>
      <c r="M11" t="n">
        <v>17</v>
      </c>
      <c r="N11" t="n">
        <v>23.1</v>
      </c>
      <c r="O11" t="n">
        <v>23.8</v>
      </c>
      <c r="P11" t="n">
        <v>41.4</v>
      </c>
      <c r="Q11" t="n">
        <v>50.1</v>
      </c>
      <c r="R11" t="n">
        <v>55.2</v>
      </c>
      <c r="S11" t="n">
        <v>72.9</v>
      </c>
      <c r="T11" t="n">
        <v>68.1</v>
      </c>
      <c r="U11" t="n">
        <v>58.3</v>
      </c>
      <c r="V11" t="n">
        <v>54</v>
      </c>
      <c r="W11" t="n">
        <v>50.4</v>
      </c>
      <c r="X11" t="n">
        <v>45.6</v>
      </c>
      <c r="Y11" t="n">
        <v>39.7</v>
      </c>
      <c r="Z11" t="n">
        <v>33.9</v>
      </c>
      <c r="AA11" t="n">
        <v>28.1</v>
      </c>
      <c r="AB11" t="n">
        <v>24.6</v>
      </c>
      <c r="AC11" t="n">
        <v>19.3</v>
      </c>
      <c r="AD11" t="n">
        <v>20</v>
      </c>
      <c r="AE11" t="n">
        <v>20</v>
      </c>
      <c r="AF11" t="n">
        <v>20.5</v>
      </c>
    </row>
    <row r="12">
      <c r="A12" t="s">
        <v>101</v>
      </c>
      <c r="B12" t="s">
        <v>294</v>
      </c>
      <c r="C12" t="s">
        <v>203</v>
      </c>
      <c r="D12" t="s">
        <v>295</v>
      </c>
      <c r="E12" t="s">
        <v>204</v>
      </c>
      <c r="F12"/>
      <c r="G12"/>
      <c r="H12"/>
      <c r="I12"/>
      <c r="J12"/>
      <c r="K12" t="n">
        <v>45</v>
      </c>
      <c r="L12" t="n">
        <v>49.6</v>
      </c>
      <c r="M12" t="n">
        <v>81.1</v>
      </c>
      <c r="N12" t="n">
        <v>123.6</v>
      </c>
      <c r="O12" t="n">
        <v>146.7</v>
      </c>
      <c r="P12" t="n">
        <v>308.2</v>
      </c>
      <c r="Q12" t="n">
        <v>389.1</v>
      </c>
      <c r="R12" t="n">
        <v>462.4</v>
      </c>
      <c r="S12" t="n">
        <v>479.8</v>
      </c>
      <c r="T12" t="n">
        <v>466.5</v>
      </c>
      <c r="U12" t="n">
        <v>399.9</v>
      </c>
      <c r="V12" t="n">
        <v>367.2</v>
      </c>
      <c r="W12" t="n">
        <v>334.2</v>
      </c>
      <c r="X12" t="n">
        <v>295.4</v>
      </c>
      <c r="Y12" t="n">
        <v>272.3</v>
      </c>
      <c r="Z12" t="n">
        <v>249.5</v>
      </c>
      <c r="AA12" t="n">
        <v>220.5</v>
      </c>
      <c r="AB12" t="n">
        <v>203.2</v>
      </c>
      <c r="AC12" t="n">
        <v>197.3</v>
      </c>
      <c r="AD12" t="n">
        <v>204.4</v>
      </c>
      <c r="AE12" t="n">
        <v>204.6</v>
      </c>
      <c r="AF12" t="n">
        <v>209.7</v>
      </c>
    </row>
    <row r="13">
      <c r="A13" t="s">
        <v>101</v>
      </c>
      <c r="B13" t="s">
        <v>296</v>
      </c>
      <c r="C13" t="s">
        <v>203</v>
      </c>
      <c r="D13" t="s">
        <v>297</v>
      </c>
      <c r="E13" t="s">
        <v>204</v>
      </c>
      <c r="F13"/>
      <c r="G13"/>
      <c r="H13"/>
      <c r="I13"/>
      <c r="J13"/>
      <c r="K13" t="n">
        <v>61.5</v>
      </c>
      <c r="L13" t="n">
        <v>66.3</v>
      </c>
      <c r="M13" t="n">
        <v>138.3</v>
      </c>
      <c r="N13" t="n">
        <v>201</v>
      </c>
      <c r="O13" t="n">
        <v>207.5</v>
      </c>
      <c r="P13" t="n">
        <v>267.3</v>
      </c>
      <c r="Q13" t="n">
        <v>302.2</v>
      </c>
      <c r="R13" t="n">
        <v>385.7</v>
      </c>
      <c r="S13" t="n">
        <v>410</v>
      </c>
      <c r="T13" t="n">
        <v>389.3</v>
      </c>
      <c r="U13" t="n">
        <v>333.8</v>
      </c>
      <c r="V13" t="n">
        <v>308</v>
      </c>
      <c r="W13" t="n">
        <v>278.2</v>
      </c>
      <c r="X13" t="n">
        <v>243.8</v>
      </c>
      <c r="Y13" t="n">
        <v>222.4</v>
      </c>
      <c r="Z13" t="n">
        <v>197.5</v>
      </c>
      <c r="AA13" t="n">
        <v>172.7</v>
      </c>
      <c r="AB13" t="n">
        <v>166.6</v>
      </c>
      <c r="AC13" t="n">
        <v>152.9</v>
      </c>
      <c r="AD13" t="n">
        <v>158.5</v>
      </c>
      <c r="AE13" t="n">
        <v>158.6</v>
      </c>
      <c r="AF13" t="n">
        <v>162.5</v>
      </c>
    </row>
    <row r="14">
      <c r="A14" t="s">
        <v>101</v>
      </c>
      <c r="B14" t="s">
        <v>298</v>
      </c>
      <c r="C14" t="s">
        <v>203</v>
      </c>
      <c r="D14" t="s">
        <v>299</v>
      </c>
      <c r="E14" t="s">
        <v>204</v>
      </c>
      <c r="F14"/>
      <c r="G14"/>
      <c r="H14"/>
      <c r="I14"/>
      <c r="J14"/>
      <c r="K14" t="n">
        <v>13.2</v>
      </c>
      <c r="L14" t="n">
        <v>18.2</v>
      </c>
      <c r="M14" t="n">
        <v>24.9</v>
      </c>
      <c r="N14" t="n">
        <v>34.3</v>
      </c>
      <c r="O14" t="n">
        <v>35.3</v>
      </c>
      <c r="P14" t="n">
        <v>41.9</v>
      </c>
      <c r="Q14" t="n">
        <v>48.8</v>
      </c>
      <c r="R14" t="n">
        <v>49.4</v>
      </c>
      <c r="S14" t="n">
        <v>53.2</v>
      </c>
      <c r="T14" t="n">
        <v>49.3</v>
      </c>
      <c r="U14" t="n">
        <v>42.1</v>
      </c>
      <c r="V14" t="n">
        <v>38.6</v>
      </c>
      <c r="W14" t="n">
        <v>35.2</v>
      </c>
      <c r="X14" t="n">
        <v>31.1</v>
      </c>
      <c r="Y14" t="n">
        <v>28.8</v>
      </c>
      <c r="Z14" t="n">
        <v>25.4</v>
      </c>
      <c r="AA14" t="n">
        <v>21.6</v>
      </c>
      <c r="AB14" t="n">
        <v>20.5</v>
      </c>
      <c r="AC14" t="n">
        <v>18.2</v>
      </c>
      <c r="AD14" t="n">
        <v>18.9</v>
      </c>
      <c r="AE14" t="n">
        <v>18.9</v>
      </c>
      <c r="AF14" t="n">
        <v>19.4</v>
      </c>
    </row>
    <row r="15">
      <c r="A15" t="s">
        <v>101</v>
      </c>
      <c r="B15" t="s">
        <v>300</v>
      </c>
      <c r="C15" t="s">
        <v>203</v>
      </c>
      <c r="D15" t="s">
        <v>301</v>
      </c>
      <c r="E15" t="s">
        <v>204</v>
      </c>
      <c r="F15"/>
      <c r="G15"/>
      <c r="H15"/>
      <c r="I15"/>
      <c r="J15"/>
      <c r="K15" t="n">
        <v>17.4</v>
      </c>
      <c r="L15" t="n">
        <v>24.3</v>
      </c>
      <c r="M15" t="n">
        <v>34.8</v>
      </c>
      <c r="N15" t="n">
        <v>48.8</v>
      </c>
      <c r="O15" t="n">
        <v>51.2</v>
      </c>
      <c r="P15" t="n">
        <v>70.8</v>
      </c>
      <c r="Q15" t="n">
        <v>86</v>
      </c>
      <c r="R15" t="n">
        <v>97.4</v>
      </c>
      <c r="S15" t="n">
        <v>120.7</v>
      </c>
      <c r="T15" t="n">
        <v>114.4</v>
      </c>
      <c r="U15" t="n">
        <v>98.4</v>
      </c>
      <c r="V15" t="n">
        <v>91.1</v>
      </c>
      <c r="W15" t="n">
        <v>83.5</v>
      </c>
      <c r="X15" t="n">
        <v>74.3</v>
      </c>
      <c r="Y15" t="n">
        <v>68.1</v>
      </c>
      <c r="Z15" t="n">
        <v>60.4</v>
      </c>
      <c r="AA15" t="n">
        <v>53.5</v>
      </c>
      <c r="AB15" t="n">
        <v>49.1</v>
      </c>
      <c r="AC15" t="n">
        <v>42.7</v>
      </c>
      <c r="AD15" t="n">
        <v>44.3</v>
      </c>
      <c r="AE15" t="n">
        <v>44.3</v>
      </c>
      <c r="AF15" t="n">
        <v>45.4</v>
      </c>
    </row>
    <row r="16">
      <c r="A16" t="s">
        <v>101</v>
      </c>
      <c r="B16" t="s">
        <v>302</v>
      </c>
      <c r="C16" t="s">
        <v>203</v>
      </c>
      <c r="D16" t="s">
        <v>303</v>
      </c>
      <c r="E16" t="s">
        <v>204</v>
      </c>
      <c r="F16"/>
      <c r="G16"/>
      <c r="H16"/>
      <c r="I16"/>
      <c r="J16"/>
      <c r="K16" t="n">
        <v>4.2</v>
      </c>
      <c r="L16" t="n">
        <v>6.1</v>
      </c>
      <c r="M16" t="n">
        <v>9.9</v>
      </c>
      <c r="N16" t="n">
        <v>14.5</v>
      </c>
      <c r="O16" t="n">
        <v>15.9</v>
      </c>
      <c r="P16" t="n">
        <v>28.9</v>
      </c>
      <c r="Q16" t="n">
        <v>37.2</v>
      </c>
      <c r="R16" t="n">
        <v>48</v>
      </c>
      <c r="S16" t="n">
        <v>67.5</v>
      </c>
      <c r="T16" t="n">
        <v>65.1</v>
      </c>
      <c r="U16" t="n">
        <v>56.3</v>
      </c>
      <c r="V16" t="n">
        <v>52.5</v>
      </c>
      <c r="W16" t="n">
        <v>48.3</v>
      </c>
      <c r="X16" t="n">
        <v>43.2</v>
      </c>
      <c r="Y16" t="n">
        <v>39.3</v>
      </c>
      <c r="Z16" t="n">
        <v>35</v>
      </c>
      <c r="AA16" t="n">
        <v>31.9</v>
      </c>
      <c r="AB16" t="n">
        <v>28.6</v>
      </c>
      <c r="AC16" t="n">
        <v>24.5</v>
      </c>
      <c r="AD16" t="n">
        <v>25.4</v>
      </c>
      <c r="AE16" t="n">
        <v>25.4</v>
      </c>
      <c r="AF16" t="n">
        <v>26</v>
      </c>
    </row>
    <row r="17">
      <c r="A17" t="s">
        <v>101</v>
      </c>
      <c r="B17" t="s">
        <v>304</v>
      </c>
      <c r="C17" t="s">
        <v>203</v>
      </c>
      <c r="D17" t="s">
        <v>305</v>
      </c>
      <c r="E17" t="s">
        <v>204</v>
      </c>
      <c r="F17"/>
      <c r="G17"/>
      <c r="H17"/>
      <c r="I17"/>
      <c r="J17"/>
      <c r="K17" t="n">
        <v>25.8</v>
      </c>
      <c r="L17" t="n">
        <v>48.5</v>
      </c>
      <c r="M17" t="n">
        <v>63.3</v>
      </c>
      <c r="N17" t="n">
        <v>72.3</v>
      </c>
      <c r="O17" t="n">
        <v>71.3</v>
      </c>
      <c r="P17" t="n">
        <v>95.3</v>
      </c>
      <c r="Q17" t="n">
        <v>114.8</v>
      </c>
      <c r="R17" t="n">
        <v>136.2</v>
      </c>
      <c r="S17" t="n">
        <v>139.5</v>
      </c>
      <c r="T17" t="n">
        <v>132.3</v>
      </c>
      <c r="U17" t="n">
        <v>113.9</v>
      </c>
      <c r="V17" t="n">
        <v>105.7</v>
      </c>
      <c r="W17" t="n">
        <v>95.7</v>
      </c>
      <c r="X17" t="n">
        <v>84.2</v>
      </c>
      <c r="Y17" t="n">
        <v>77.1</v>
      </c>
      <c r="Z17" t="n">
        <v>68.1</v>
      </c>
      <c r="AA17" t="n">
        <v>59.4</v>
      </c>
      <c r="AB17" t="n">
        <v>55.7</v>
      </c>
      <c r="AC17" t="n">
        <v>50.2</v>
      </c>
      <c r="AD17" t="n">
        <v>52</v>
      </c>
      <c r="AE17" t="n">
        <v>52</v>
      </c>
      <c r="AF17" t="n">
        <v>53.3</v>
      </c>
    </row>
    <row r="18">
      <c r="A18" t="s">
        <v>101</v>
      </c>
      <c r="B18" t="s">
        <v>306</v>
      </c>
      <c r="C18" t="s">
        <v>203</v>
      </c>
      <c r="D18" t="s">
        <v>307</v>
      </c>
      <c r="E18" t="s">
        <v>204</v>
      </c>
      <c r="F18"/>
      <c r="G18"/>
      <c r="H18"/>
      <c r="I18"/>
      <c r="J18"/>
      <c r="K18" t="n">
        <v>27.2</v>
      </c>
      <c r="L18" t="n">
        <v>25</v>
      </c>
      <c r="M18" t="n">
        <v>25.7</v>
      </c>
      <c r="N18" t="n">
        <v>25.4</v>
      </c>
      <c r="O18" t="n">
        <v>26.5</v>
      </c>
      <c r="P18" t="n">
        <v>31.2</v>
      </c>
      <c r="Q18" t="n">
        <v>44.6</v>
      </c>
      <c r="R18" t="n">
        <v>45.7</v>
      </c>
      <c r="S18" t="n">
        <v>68.1</v>
      </c>
      <c r="T18" t="n">
        <v>65.6</v>
      </c>
      <c r="U18" t="n">
        <v>56.5</v>
      </c>
      <c r="V18" t="n">
        <v>53.1</v>
      </c>
      <c r="W18" t="n">
        <v>48.8</v>
      </c>
      <c r="X18" t="n">
        <v>43.5</v>
      </c>
      <c r="Y18" t="n">
        <v>40.7</v>
      </c>
      <c r="Z18" t="n">
        <v>35.8</v>
      </c>
      <c r="AA18" t="n">
        <v>29.4</v>
      </c>
      <c r="AB18" t="n">
        <v>26.1</v>
      </c>
      <c r="AC18" t="n">
        <v>23.6</v>
      </c>
      <c r="AD18" t="n">
        <v>24.4</v>
      </c>
      <c r="AE18" t="n">
        <v>24.4</v>
      </c>
      <c r="AF18" t="n">
        <v>25</v>
      </c>
    </row>
    <row r="19">
      <c r="A19" t="s">
        <v>101</v>
      </c>
      <c r="B19" t="s">
        <v>308</v>
      </c>
      <c r="C19" t="s">
        <v>203</v>
      </c>
      <c r="D19" t="s">
        <v>309</v>
      </c>
      <c r="E19" t="s">
        <v>204</v>
      </c>
      <c r="F19"/>
      <c r="G19"/>
      <c r="H19"/>
      <c r="I19"/>
      <c r="J19"/>
      <c r="K19" t="n">
        <v>26.1</v>
      </c>
      <c r="L19" t="n">
        <v>33.4</v>
      </c>
      <c r="M19" t="n">
        <v>33.1</v>
      </c>
      <c r="N19" t="n">
        <v>34.4</v>
      </c>
      <c r="O19" t="n">
        <v>34.7</v>
      </c>
      <c r="P19" t="n">
        <v>61.2</v>
      </c>
      <c r="Q19" t="n">
        <v>81</v>
      </c>
      <c r="R19" t="n">
        <v>93.9</v>
      </c>
      <c r="S19" t="n">
        <v>105.5</v>
      </c>
      <c r="T19" t="n">
        <v>105.1</v>
      </c>
      <c r="U19" t="n">
        <v>92.6</v>
      </c>
      <c r="V19" t="n">
        <v>88</v>
      </c>
      <c r="W19" t="n">
        <v>82.3</v>
      </c>
      <c r="X19" t="n">
        <v>74.8</v>
      </c>
      <c r="Y19" t="n">
        <v>72.9</v>
      </c>
      <c r="Z19" t="n">
        <v>69.5</v>
      </c>
      <c r="AA19" t="n">
        <v>72</v>
      </c>
      <c r="AB19" t="n">
        <v>71.5</v>
      </c>
      <c r="AC19" t="n">
        <v>69.6</v>
      </c>
      <c r="AD19" t="n">
        <v>72.1</v>
      </c>
      <c r="AE19" t="n">
        <v>72.2</v>
      </c>
      <c r="AF19" t="n">
        <v>74</v>
      </c>
    </row>
    <row r="20">
      <c r="A20" t="s">
        <v>101</v>
      </c>
      <c r="B20" t="s">
        <v>310</v>
      </c>
      <c r="C20" t="s">
        <v>203</v>
      </c>
      <c r="D20" t="s">
        <v>311</v>
      </c>
      <c r="E20" t="s">
        <v>204</v>
      </c>
      <c r="F20"/>
      <c r="G20"/>
      <c r="H20"/>
      <c r="I20"/>
      <c r="J20"/>
      <c r="K20" t="n">
        <v>24.5</v>
      </c>
      <c r="L20" t="n">
        <v>21.8</v>
      </c>
      <c r="M20" t="n">
        <v>102.5</v>
      </c>
      <c r="N20" t="n">
        <v>371.9</v>
      </c>
      <c r="O20" t="n">
        <v>447.4</v>
      </c>
      <c r="P20" t="n">
        <v>678.8</v>
      </c>
      <c r="Q20" t="n">
        <v>667.2</v>
      </c>
      <c r="R20" t="n">
        <v>860.6</v>
      </c>
      <c r="S20" t="n">
        <v>1065.2</v>
      </c>
      <c r="T20" t="n">
        <v>1062.7</v>
      </c>
      <c r="U20" t="n">
        <v>903.2</v>
      </c>
      <c r="V20" t="n">
        <v>821.7</v>
      </c>
      <c r="W20" t="n">
        <v>729</v>
      </c>
      <c r="X20" t="n">
        <v>627.1</v>
      </c>
      <c r="Y20" t="n">
        <v>564</v>
      </c>
      <c r="Z20" t="n">
        <v>467.4</v>
      </c>
      <c r="AA20" t="n">
        <v>417.8</v>
      </c>
      <c r="AB20" t="n">
        <v>383</v>
      </c>
      <c r="AC20" t="n">
        <v>342.8</v>
      </c>
      <c r="AD20" t="n">
        <v>355.2</v>
      </c>
      <c r="AE20" t="n">
        <v>355.5</v>
      </c>
      <c r="AF20" t="n">
        <v>364.3</v>
      </c>
    </row>
    <row r="21">
      <c r="A21" t="s">
        <v>101</v>
      </c>
      <c r="B21" t="s">
        <v>312</v>
      </c>
      <c r="C21" t="s">
        <v>203</v>
      </c>
      <c r="D21" t="s">
        <v>313</v>
      </c>
      <c r="E21" t="s">
        <v>204</v>
      </c>
      <c r="F21"/>
      <c r="G21"/>
      <c r="H21"/>
      <c r="I21"/>
      <c r="J21"/>
      <c r="K21" t="n">
        <v>33.6</v>
      </c>
      <c r="L21" t="n">
        <v>32.1</v>
      </c>
      <c r="M21" t="n">
        <v>123.1</v>
      </c>
      <c r="N21" t="n">
        <v>398.2</v>
      </c>
      <c r="O21" t="n">
        <v>476.3</v>
      </c>
      <c r="P21" t="n">
        <v>733.9</v>
      </c>
      <c r="Q21" t="n">
        <v>731.3</v>
      </c>
      <c r="R21" t="n">
        <v>931.1</v>
      </c>
      <c r="S21" t="n">
        <v>1139.2</v>
      </c>
      <c r="T21" t="n">
        <v>1135.5</v>
      </c>
      <c r="U21" t="n">
        <v>973.8</v>
      </c>
      <c r="V21" t="n">
        <v>893.4</v>
      </c>
      <c r="W21" t="n">
        <v>797.8</v>
      </c>
      <c r="X21" t="n">
        <v>691.2</v>
      </c>
      <c r="Y21" t="n">
        <v>639.3</v>
      </c>
      <c r="Z21" t="n">
        <v>557.2</v>
      </c>
      <c r="AA21" t="n">
        <v>501.7</v>
      </c>
      <c r="AB21" t="n">
        <v>482.5</v>
      </c>
      <c r="AC21" t="n">
        <v>435.4</v>
      </c>
      <c r="AD21" t="n">
        <v>451.1</v>
      </c>
      <c r="AE21" t="n">
        <v>451.5</v>
      </c>
      <c r="AF21" t="n">
        <v>462.7</v>
      </c>
    </row>
    <row r="22">
      <c r="A22" t="s">
        <v>101</v>
      </c>
      <c r="B22" t="s">
        <v>314</v>
      </c>
      <c r="C22" t="s">
        <v>203</v>
      </c>
      <c r="D22" t="s">
        <v>315</v>
      </c>
      <c r="E22" t="s">
        <v>204</v>
      </c>
      <c r="F22"/>
      <c r="G22"/>
      <c r="H22"/>
      <c r="I22"/>
      <c r="J22"/>
      <c r="K22" t="n">
        <v>9.1</v>
      </c>
      <c r="L22" t="n">
        <v>10.3</v>
      </c>
      <c r="M22" t="n">
        <v>20.6</v>
      </c>
      <c r="N22" t="n">
        <v>26.3</v>
      </c>
      <c r="O22" t="n">
        <v>28.9</v>
      </c>
      <c r="P22" t="n">
        <v>55.1</v>
      </c>
      <c r="Q22" t="n">
        <v>64.1</v>
      </c>
      <c r="R22" t="n">
        <v>70.5</v>
      </c>
      <c r="S22" t="n">
        <v>74</v>
      </c>
      <c r="T22" t="n">
        <v>72.8</v>
      </c>
      <c r="U22" t="n">
        <v>70.6</v>
      </c>
      <c r="V22" t="n">
        <v>71.7</v>
      </c>
      <c r="W22" t="n">
        <v>68.8</v>
      </c>
      <c r="X22" t="n">
        <v>64.1</v>
      </c>
      <c r="Y22" t="n">
        <v>75.3</v>
      </c>
      <c r="Z22" t="n">
        <v>89.8</v>
      </c>
      <c r="AA22" t="n">
        <v>83.9</v>
      </c>
      <c r="AB22" t="n">
        <v>99.5</v>
      </c>
      <c r="AC22" t="n">
        <v>92.6</v>
      </c>
      <c r="AD22" t="n">
        <v>95.9</v>
      </c>
      <c r="AE22" t="n">
        <v>96</v>
      </c>
      <c r="AF22" t="n">
        <v>98.4</v>
      </c>
    </row>
    <row r="23">
      <c r="A23" t="s">
        <v>101</v>
      </c>
      <c r="B23" t="s">
        <v>316</v>
      </c>
      <c r="C23" t="s">
        <v>203</v>
      </c>
      <c r="D23" t="s">
        <v>317</v>
      </c>
      <c r="E23" t="s">
        <v>204</v>
      </c>
      <c r="F23"/>
      <c r="G23"/>
      <c r="H23"/>
      <c r="I23"/>
      <c r="J23"/>
      <c r="K23" t="n">
        <v>139.2</v>
      </c>
      <c r="L23" t="n">
        <v>176.4</v>
      </c>
      <c r="M23" t="n">
        <v>182.7</v>
      </c>
      <c r="N23" t="n">
        <v>200.4</v>
      </c>
      <c r="O23" t="n">
        <v>213.5</v>
      </c>
      <c r="P23" t="n">
        <v>348.8</v>
      </c>
      <c r="Q23" t="n">
        <v>488.2</v>
      </c>
      <c r="R23" t="n">
        <v>676.4</v>
      </c>
      <c r="S23" t="n">
        <v>653.8</v>
      </c>
      <c r="T23" t="n">
        <v>628.6</v>
      </c>
      <c r="U23" t="n">
        <v>563.6</v>
      </c>
      <c r="V23" t="n">
        <v>551.3</v>
      </c>
      <c r="W23" t="n">
        <v>532.7</v>
      </c>
      <c r="X23" t="n">
        <v>499</v>
      </c>
      <c r="Y23" t="n">
        <v>497.3</v>
      </c>
      <c r="Z23" t="n">
        <v>521.6</v>
      </c>
      <c r="AA23" t="n">
        <v>461.4</v>
      </c>
      <c r="AB23" t="n">
        <v>370.5</v>
      </c>
      <c r="AC23" t="n">
        <v>383.2</v>
      </c>
      <c r="AD23" t="n">
        <v>397.2</v>
      </c>
      <c r="AE23" t="n">
        <v>397.5</v>
      </c>
      <c r="AF23" t="n">
        <v>407.4</v>
      </c>
    </row>
    <row r="24">
      <c r="A24" t="s">
        <v>101</v>
      </c>
      <c r="B24" t="s">
        <v>318</v>
      </c>
      <c r="C24" t="s">
        <v>203</v>
      </c>
      <c r="D24" t="s">
        <v>319</v>
      </c>
      <c r="E24" t="s">
        <v>204</v>
      </c>
      <c r="F24"/>
      <c r="G24"/>
      <c r="H24"/>
      <c r="I24"/>
      <c r="J24"/>
      <c r="K24" t="n">
        <v>322.4</v>
      </c>
      <c r="L24" t="n">
        <v>579.2</v>
      </c>
      <c r="M24" t="n">
        <v>655.7</v>
      </c>
      <c r="N24" t="n">
        <v>767.5</v>
      </c>
      <c r="O24" t="n">
        <v>755.8</v>
      </c>
      <c r="P24" t="n">
        <v>974.1</v>
      </c>
      <c r="Q24" t="n">
        <v>1124.4</v>
      </c>
      <c r="R24" t="n">
        <v>1426.8</v>
      </c>
      <c r="S24" t="n">
        <v>1355.3</v>
      </c>
      <c r="T24" t="n">
        <v>1300.1</v>
      </c>
      <c r="U24" t="n">
        <v>1199.4</v>
      </c>
      <c r="V24" t="n">
        <v>1218.3</v>
      </c>
      <c r="W24" t="n">
        <v>1212.8</v>
      </c>
      <c r="X24" t="n">
        <v>1166.9</v>
      </c>
      <c r="Y24" t="n">
        <v>1137.1</v>
      </c>
      <c r="Z24" t="n">
        <v>1100</v>
      </c>
      <c r="AA24" t="n">
        <v>1078.5</v>
      </c>
      <c r="AB24" t="n">
        <v>926.5</v>
      </c>
      <c r="AC24" t="n">
        <v>926.8</v>
      </c>
      <c r="AD24" t="n">
        <v>960.5</v>
      </c>
      <c r="AE24" t="n">
        <v>961.4</v>
      </c>
      <c r="AF24" t="n">
        <v>985.1</v>
      </c>
    </row>
    <row r="25">
      <c r="A25" t="s">
        <v>101</v>
      </c>
      <c r="B25" t="s">
        <v>320</v>
      </c>
      <c r="C25" t="s">
        <v>203</v>
      </c>
      <c r="D25" t="s">
        <v>321</v>
      </c>
      <c r="E25" t="s">
        <v>204</v>
      </c>
      <c r="F25"/>
      <c r="G25"/>
      <c r="H25"/>
      <c r="I25"/>
      <c r="J25"/>
      <c r="K25" t="n">
        <v>34.5</v>
      </c>
      <c r="L25" t="n">
        <v>50.8</v>
      </c>
      <c r="M25" t="n">
        <v>59.2</v>
      </c>
      <c r="N25" t="n">
        <v>67.1</v>
      </c>
      <c r="O25" t="n">
        <v>70.3</v>
      </c>
      <c r="P25" t="n">
        <v>101.6</v>
      </c>
      <c r="Q25" t="n">
        <v>120.4</v>
      </c>
      <c r="R25" t="n">
        <v>137.6</v>
      </c>
      <c r="S25" t="n">
        <v>132.1</v>
      </c>
      <c r="T25" t="n">
        <v>128.3</v>
      </c>
      <c r="U25" t="n">
        <v>118.6</v>
      </c>
      <c r="V25" t="n">
        <v>129.7</v>
      </c>
      <c r="W25" t="n">
        <v>136.5</v>
      </c>
      <c r="X25" t="n">
        <v>137.4</v>
      </c>
      <c r="Y25" t="n">
        <v>138.8</v>
      </c>
      <c r="Z25" t="n">
        <v>175.8</v>
      </c>
      <c r="AA25" t="n">
        <v>193.4</v>
      </c>
      <c r="AB25" t="n">
        <v>183</v>
      </c>
      <c r="AC25" t="n">
        <v>147.9</v>
      </c>
      <c r="AD25" t="n">
        <v>153.3</v>
      </c>
      <c r="AE25" t="n">
        <v>153.5</v>
      </c>
      <c r="AF25" t="n">
        <v>157.2</v>
      </c>
    </row>
    <row r="26">
      <c r="A26" t="s">
        <v>101</v>
      </c>
      <c r="B26" t="s">
        <v>322</v>
      </c>
      <c r="C26" t="s">
        <v>203</v>
      </c>
      <c r="D26" t="s">
        <v>323</v>
      </c>
      <c r="E26" t="s">
        <v>204</v>
      </c>
      <c r="F26"/>
      <c r="G26"/>
      <c r="H26"/>
      <c r="I26"/>
      <c r="J26"/>
      <c r="K26" t="n">
        <v>176.6</v>
      </c>
      <c r="L26" t="n">
        <v>363.9</v>
      </c>
      <c r="M26" t="n">
        <v>401.3</v>
      </c>
      <c r="N26" t="n">
        <v>481.5</v>
      </c>
      <c r="O26" t="n">
        <v>471.6</v>
      </c>
      <c r="P26" t="n">
        <v>605.8</v>
      </c>
      <c r="Q26" t="n">
        <v>699.6</v>
      </c>
      <c r="R26" t="n">
        <v>873.6</v>
      </c>
      <c r="S26" t="n">
        <v>821.9</v>
      </c>
      <c r="T26" t="n">
        <v>782.2</v>
      </c>
      <c r="U26" t="n">
        <v>722.6</v>
      </c>
      <c r="V26" t="n">
        <v>728.1</v>
      </c>
      <c r="W26" t="n">
        <v>734.3</v>
      </c>
      <c r="X26" t="n">
        <v>714.5</v>
      </c>
      <c r="Y26" t="n">
        <v>694.8</v>
      </c>
      <c r="Z26" t="n">
        <v>646.4</v>
      </c>
      <c r="AA26" t="n">
        <v>634.6</v>
      </c>
      <c r="AB26" t="n">
        <v>503.5</v>
      </c>
      <c r="AC26" t="n">
        <v>546.7</v>
      </c>
      <c r="AD26" t="n">
        <v>566.6</v>
      </c>
      <c r="AE26" t="n">
        <v>567.1</v>
      </c>
      <c r="AF26" t="n">
        <v>581.1</v>
      </c>
    </row>
    <row r="27">
      <c r="A27" t="s">
        <v>101</v>
      </c>
      <c r="B27" t="s">
        <v>324</v>
      </c>
      <c r="C27" t="s">
        <v>203</v>
      </c>
      <c r="D27" t="s">
        <v>325</v>
      </c>
      <c r="E27" t="s">
        <v>204</v>
      </c>
      <c r="F27"/>
      <c r="G27"/>
      <c r="H27"/>
      <c r="I27"/>
      <c r="J27"/>
      <c r="K27" t="n">
        <v>111.3</v>
      </c>
      <c r="L27" t="n">
        <v>164.5</v>
      </c>
      <c r="M27" t="n">
        <v>195.2</v>
      </c>
      <c r="N27" t="n">
        <v>218.9</v>
      </c>
      <c r="O27" t="n">
        <v>213.9</v>
      </c>
      <c r="P27" t="n">
        <v>266.7</v>
      </c>
      <c r="Q27" t="n">
        <v>304.4</v>
      </c>
      <c r="R27" t="n">
        <v>415.6</v>
      </c>
      <c r="S27" t="n">
        <v>401.3</v>
      </c>
      <c r="T27" t="n">
        <v>389.6</v>
      </c>
      <c r="U27" t="n">
        <v>358.2</v>
      </c>
      <c r="V27" t="n">
        <v>360.5</v>
      </c>
      <c r="W27" t="n">
        <v>342</v>
      </c>
      <c r="X27" t="n">
        <v>315</v>
      </c>
      <c r="Y27" t="n">
        <v>303.5</v>
      </c>
      <c r="Z27" t="n">
        <v>277.8</v>
      </c>
      <c r="AA27" t="n">
        <v>250.5</v>
      </c>
      <c r="AB27" t="n">
        <v>240</v>
      </c>
      <c r="AC27" t="n">
        <v>232.2</v>
      </c>
      <c r="AD27" t="n">
        <v>240.6</v>
      </c>
      <c r="AE27" t="n">
        <v>240.8</v>
      </c>
      <c r="AF27" t="n">
        <v>246.8</v>
      </c>
    </row>
    <row r="28">
      <c r="A28" t="s">
        <v>101</v>
      </c>
      <c r="B28" t="s">
        <v>326</v>
      </c>
      <c r="C28" t="s">
        <v>203</v>
      </c>
      <c r="D28" t="s">
        <v>327</v>
      </c>
      <c r="E28" t="s">
        <v>204</v>
      </c>
      <c r="F28"/>
      <c r="G28"/>
      <c r="H28"/>
      <c r="I28"/>
      <c r="J28"/>
      <c r="K28" t="n">
        <v>332.1</v>
      </c>
      <c r="L28" t="n">
        <v>304.6</v>
      </c>
      <c r="M28" t="n">
        <v>362.4</v>
      </c>
      <c r="N28" t="n">
        <v>383</v>
      </c>
      <c r="O28" t="n">
        <v>401.8</v>
      </c>
      <c r="P28" t="n">
        <v>600.6</v>
      </c>
      <c r="Q28" t="n">
        <v>768.6</v>
      </c>
      <c r="R28" t="n">
        <v>982.9</v>
      </c>
      <c r="S28" t="n">
        <v>876.6</v>
      </c>
      <c r="T28" t="n">
        <v>844.7</v>
      </c>
      <c r="U28" t="n">
        <v>869.2</v>
      </c>
      <c r="V28" t="n">
        <v>973.8</v>
      </c>
      <c r="W28" t="n">
        <v>1060.2</v>
      </c>
      <c r="X28" t="n">
        <v>1095.8</v>
      </c>
      <c r="Y28" t="n">
        <v>1414.2</v>
      </c>
      <c r="Z28" t="n">
        <v>1605</v>
      </c>
      <c r="AA28" t="n">
        <v>1941.8</v>
      </c>
      <c r="AB28" t="n">
        <v>2150.2</v>
      </c>
      <c r="AC28" t="n">
        <v>2193</v>
      </c>
      <c r="AD28" t="n">
        <v>2272.7</v>
      </c>
      <c r="AE28" t="n">
        <v>2274.7</v>
      </c>
      <c r="AF28" t="n">
        <v>2330.9</v>
      </c>
    </row>
    <row r="29">
      <c r="A29" t="s">
        <v>101</v>
      </c>
      <c r="B29" t="s">
        <v>328</v>
      </c>
      <c r="C29" t="s">
        <v>203</v>
      </c>
      <c r="D29" t="s">
        <v>329</v>
      </c>
      <c r="E29" t="s">
        <v>204</v>
      </c>
      <c r="F29"/>
      <c r="G29"/>
      <c r="H29"/>
      <c r="I29"/>
      <c r="J29"/>
      <c r="K29" t="n">
        <v>247.7</v>
      </c>
      <c r="L29" t="n">
        <v>227.2</v>
      </c>
      <c r="M29" t="n">
        <v>261.3</v>
      </c>
      <c r="N29" t="n">
        <v>258.5</v>
      </c>
      <c r="O29" t="n">
        <v>269.9</v>
      </c>
      <c r="P29" t="n">
        <v>424.2</v>
      </c>
      <c r="Q29" t="n">
        <v>539.2</v>
      </c>
      <c r="R29" t="n">
        <v>718.8</v>
      </c>
      <c r="S29" t="n">
        <v>634.3</v>
      </c>
      <c r="T29" t="n">
        <v>608.8</v>
      </c>
      <c r="U29" t="n">
        <v>649.7</v>
      </c>
      <c r="V29" t="n">
        <v>749.8</v>
      </c>
      <c r="W29" t="n">
        <v>822.7</v>
      </c>
      <c r="X29" t="n">
        <v>855.3</v>
      </c>
      <c r="Y29" t="n">
        <v>1204.7</v>
      </c>
      <c r="Z29" t="n">
        <v>1406.6</v>
      </c>
      <c r="AA29" t="n">
        <v>1734.5</v>
      </c>
      <c r="AB29" t="n">
        <v>1936.8</v>
      </c>
      <c r="AC29" t="n">
        <v>1972.2</v>
      </c>
      <c r="AD29" t="n">
        <v>2044</v>
      </c>
      <c r="AE29" t="n">
        <v>2045.7</v>
      </c>
      <c r="AF29" t="n">
        <v>2096.3</v>
      </c>
    </row>
    <row r="30">
      <c r="A30" t="s">
        <v>101</v>
      </c>
      <c r="B30" t="s">
        <v>330</v>
      </c>
      <c r="C30" t="s">
        <v>203</v>
      </c>
      <c r="D30" t="s">
        <v>331</v>
      </c>
      <c r="E30" t="s">
        <v>204</v>
      </c>
      <c r="F30"/>
      <c r="G30"/>
      <c r="H30"/>
      <c r="I30"/>
      <c r="J30"/>
      <c r="K30" t="n">
        <v>24.3</v>
      </c>
      <c r="L30" t="n">
        <v>21.7</v>
      </c>
      <c r="M30" t="n">
        <v>22.7</v>
      </c>
      <c r="N30" t="n">
        <v>31.5</v>
      </c>
      <c r="O30" t="n">
        <v>34.7</v>
      </c>
      <c r="P30" t="n">
        <v>54</v>
      </c>
      <c r="Q30" t="n">
        <v>74.6</v>
      </c>
      <c r="R30" t="n">
        <v>89</v>
      </c>
      <c r="S30" t="n">
        <v>77.9</v>
      </c>
      <c r="T30" t="n">
        <v>74.5</v>
      </c>
      <c r="U30" t="n">
        <v>65.2</v>
      </c>
      <c r="V30" t="n">
        <v>64.3</v>
      </c>
      <c r="W30" t="n">
        <v>60.5</v>
      </c>
      <c r="X30" t="n">
        <v>55.2</v>
      </c>
      <c r="Y30" t="n">
        <v>47.9</v>
      </c>
      <c r="Z30" t="n">
        <v>43.3</v>
      </c>
      <c r="AA30" t="n">
        <v>44.9</v>
      </c>
      <c r="AB30" t="n">
        <v>54.1</v>
      </c>
      <c r="AC30" t="n">
        <v>56</v>
      </c>
      <c r="AD30" t="n">
        <v>58</v>
      </c>
      <c r="AE30" t="n">
        <v>58.1</v>
      </c>
      <c r="AF30" t="n">
        <v>59.5</v>
      </c>
    </row>
    <row r="31">
      <c r="A31" t="s">
        <v>101</v>
      </c>
      <c r="B31" t="s">
        <v>332</v>
      </c>
      <c r="C31" t="s">
        <v>203</v>
      </c>
      <c r="D31" t="s">
        <v>333</v>
      </c>
      <c r="E31" t="s">
        <v>204</v>
      </c>
      <c r="F31"/>
      <c r="G31"/>
      <c r="H31"/>
      <c r="I31"/>
      <c r="J31"/>
      <c r="K31" t="n">
        <v>9.1</v>
      </c>
      <c r="L31" t="n">
        <v>7.8</v>
      </c>
      <c r="M31" t="n">
        <v>9.5</v>
      </c>
      <c r="N31" t="n">
        <v>16.7</v>
      </c>
      <c r="O31" t="n">
        <v>22.7</v>
      </c>
      <c r="P31" t="n">
        <v>32.3</v>
      </c>
      <c r="Q31" t="n">
        <v>48.2</v>
      </c>
      <c r="R31" t="n">
        <v>62.5</v>
      </c>
      <c r="S31" t="n">
        <v>59.3</v>
      </c>
      <c r="T31" t="n">
        <v>61.2</v>
      </c>
      <c r="U31" t="n">
        <v>57.8</v>
      </c>
      <c r="V31" t="n">
        <v>59.8</v>
      </c>
      <c r="W31" t="n">
        <v>57.1</v>
      </c>
      <c r="X31" t="n">
        <v>52.9</v>
      </c>
      <c r="Y31" t="n">
        <v>8.2</v>
      </c>
      <c r="Z31" t="n">
        <v>0</v>
      </c>
      <c r="AA31" t="n">
        <v>0</v>
      </c>
      <c r="AB31" t="n">
        <v>0</v>
      </c>
      <c r="AC31" t="n">
        <v>11.2</v>
      </c>
      <c r="AD31" t="n">
        <v>11.6</v>
      </c>
      <c r="AE31" t="n">
        <v>11.6</v>
      </c>
      <c r="AF31" t="n">
        <v>11.9</v>
      </c>
    </row>
    <row r="32">
      <c r="A32" t="s">
        <v>101</v>
      </c>
      <c r="B32" t="s">
        <v>334</v>
      </c>
      <c r="C32" t="s">
        <v>203</v>
      </c>
      <c r="D32" t="s">
        <v>335</v>
      </c>
      <c r="E32" t="s">
        <v>204</v>
      </c>
      <c r="F32"/>
      <c r="G32"/>
      <c r="H32"/>
      <c r="I32"/>
      <c r="J32"/>
      <c r="K32" t="n">
        <v>51</v>
      </c>
      <c r="L32" t="n">
        <v>47.9</v>
      </c>
      <c r="M32" t="n">
        <v>68</v>
      </c>
      <c r="N32" t="n">
        <v>73.8</v>
      </c>
      <c r="O32" t="n">
        <v>71.7</v>
      </c>
      <c r="P32" t="n">
        <v>84.8</v>
      </c>
      <c r="Q32" t="n">
        <v>97.5</v>
      </c>
      <c r="R32" t="n">
        <v>101.6</v>
      </c>
      <c r="S32" t="n">
        <v>94.8</v>
      </c>
      <c r="T32" t="n">
        <v>89.9</v>
      </c>
      <c r="U32" t="n">
        <v>85.5</v>
      </c>
      <c r="V32" t="n">
        <v>87.4</v>
      </c>
      <c r="W32" t="n">
        <v>103.7</v>
      </c>
      <c r="X32" t="n">
        <v>113.7</v>
      </c>
      <c r="Y32" t="n">
        <v>130.2</v>
      </c>
      <c r="Z32" t="n">
        <v>130.8</v>
      </c>
      <c r="AA32" t="n">
        <v>137</v>
      </c>
      <c r="AB32" t="n">
        <v>134.2</v>
      </c>
      <c r="AC32" t="n">
        <v>131.2</v>
      </c>
      <c r="AD32" t="n">
        <v>135.9</v>
      </c>
      <c r="AE32" t="n">
        <v>136</v>
      </c>
      <c r="AF32" t="n">
        <v>139.4</v>
      </c>
    </row>
    <row r="33">
      <c r="A33" t="s">
        <v>101</v>
      </c>
      <c r="B33" t="s">
        <v>336</v>
      </c>
      <c r="C33" t="s">
        <v>203</v>
      </c>
      <c r="D33" t="s">
        <v>337</v>
      </c>
      <c r="E33" t="s">
        <v>204</v>
      </c>
      <c r="F33"/>
      <c r="G33"/>
      <c r="H33"/>
      <c r="I33"/>
      <c r="J33"/>
      <c r="K33" t="n">
        <v>0</v>
      </c>
      <c r="L33" t="n">
        <v>0</v>
      </c>
      <c r="M33" t="n">
        <v>0.9</v>
      </c>
      <c r="N33" t="n">
        <v>2.5</v>
      </c>
      <c r="O33" t="n">
        <v>2.8</v>
      </c>
      <c r="P33" t="n">
        <v>5.3</v>
      </c>
      <c r="Q33" t="n">
        <v>9.1</v>
      </c>
      <c r="R33" t="n">
        <v>11</v>
      </c>
      <c r="S33" t="n">
        <v>10.3</v>
      </c>
      <c r="T33" t="n">
        <v>10.3</v>
      </c>
      <c r="U33" t="n">
        <v>11</v>
      </c>
      <c r="V33" t="n">
        <v>12.5</v>
      </c>
      <c r="W33" t="n">
        <v>16.2</v>
      </c>
      <c r="X33" t="n">
        <v>18.7</v>
      </c>
      <c r="Y33" t="n">
        <v>23.2</v>
      </c>
      <c r="Z33" t="n">
        <v>24.3</v>
      </c>
      <c r="AA33" t="n">
        <v>25.4</v>
      </c>
      <c r="AB33" t="n">
        <v>25.1</v>
      </c>
      <c r="AC33" t="n">
        <v>22.4</v>
      </c>
      <c r="AD33" t="n">
        <v>23.2</v>
      </c>
      <c r="AE33" t="n">
        <v>23.3</v>
      </c>
      <c r="AF33" t="n">
        <v>23.8</v>
      </c>
    </row>
    <row r="34">
      <c r="A34" t="s">
        <v>101</v>
      </c>
      <c r="B34" t="s">
        <v>338</v>
      </c>
      <c r="C34" t="s">
        <v>203</v>
      </c>
      <c r="D34" t="s">
        <v>339</v>
      </c>
      <c r="E34" t="s">
        <v>204</v>
      </c>
      <c r="F34"/>
      <c r="G34"/>
      <c r="H34"/>
      <c r="I34"/>
      <c r="J34"/>
      <c r="K34" t="n">
        <v>18.1</v>
      </c>
      <c r="L34" t="n">
        <v>46.3</v>
      </c>
      <c r="M34" t="n">
        <v>58.7</v>
      </c>
      <c r="N34" t="n">
        <v>70.1</v>
      </c>
      <c r="O34" t="n">
        <v>75.2</v>
      </c>
      <c r="P34" t="n">
        <v>103.3</v>
      </c>
      <c r="Q34" t="n">
        <v>120.2</v>
      </c>
      <c r="R34" t="n">
        <v>222.2</v>
      </c>
      <c r="S34" t="n">
        <v>216.6</v>
      </c>
      <c r="T34" t="n">
        <v>206.1</v>
      </c>
      <c r="U34" t="n">
        <v>180.3</v>
      </c>
      <c r="V34" t="n">
        <v>170.2</v>
      </c>
      <c r="W34" t="n">
        <v>158.4</v>
      </c>
      <c r="X34" t="n">
        <v>143.1</v>
      </c>
      <c r="Y34" t="n">
        <v>138</v>
      </c>
      <c r="Z34" t="n">
        <v>128</v>
      </c>
      <c r="AA34" t="n">
        <v>117.5</v>
      </c>
      <c r="AB34" t="n">
        <v>112.9</v>
      </c>
      <c r="AC34" t="n">
        <v>106.5</v>
      </c>
      <c r="AD34" t="n">
        <v>110.4</v>
      </c>
      <c r="AE34" t="n">
        <v>110.5</v>
      </c>
      <c r="AF34" t="n">
        <v>113.2</v>
      </c>
    </row>
    <row r="35">
      <c r="A35" t="s">
        <v>101</v>
      </c>
      <c r="B35" t="s">
        <v>340</v>
      </c>
      <c r="C35" t="s">
        <v>203</v>
      </c>
      <c r="D35" t="s">
        <v>341</v>
      </c>
      <c r="E35" t="s">
        <v>204</v>
      </c>
      <c r="F35"/>
      <c r="G35"/>
      <c r="H35"/>
      <c r="I35"/>
      <c r="J35"/>
      <c r="K35" t="n">
        <v>50.1</v>
      </c>
      <c r="L35" t="n">
        <v>67.6</v>
      </c>
      <c r="M35" t="n">
        <v>247.6</v>
      </c>
      <c r="N35" t="n">
        <v>338.5</v>
      </c>
      <c r="O35" t="n">
        <v>408.7</v>
      </c>
      <c r="P35" t="n">
        <v>658.4</v>
      </c>
      <c r="Q35" t="n">
        <v>780.8</v>
      </c>
      <c r="R35" t="n">
        <v>889.2</v>
      </c>
      <c r="S35" t="n">
        <v>889</v>
      </c>
      <c r="T35" t="n">
        <v>847</v>
      </c>
      <c r="U35" t="n">
        <v>720.9</v>
      </c>
      <c r="V35" t="n">
        <v>660.9</v>
      </c>
      <c r="W35" t="n">
        <v>592</v>
      </c>
      <c r="X35" t="n">
        <v>514.3</v>
      </c>
      <c r="Y35" t="n">
        <v>460.4</v>
      </c>
      <c r="Z35" t="n">
        <v>399.5</v>
      </c>
      <c r="AA35" t="n">
        <v>342.4</v>
      </c>
      <c r="AB35" t="n">
        <v>333.6</v>
      </c>
      <c r="AC35" t="n">
        <v>289.9</v>
      </c>
      <c r="AD35" t="n">
        <v>300.4</v>
      </c>
      <c r="AE35" t="n">
        <v>300.8</v>
      </c>
      <c r="AF35" t="n">
        <v>308.2</v>
      </c>
    </row>
    <row r="36">
      <c r="A36" t="s">
        <v>101</v>
      </c>
      <c r="B36" t="s">
        <v>342</v>
      </c>
      <c r="C36" t="s">
        <v>203</v>
      </c>
      <c r="D36" t="s">
        <v>343</v>
      </c>
      <c r="E36" t="s">
        <v>204</v>
      </c>
      <c r="F36"/>
      <c r="G36"/>
      <c r="H36"/>
      <c r="I36"/>
      <c r="J36"/>
      <c r="K36" t="n">
        <v>50.1</v>
      </c>
      <c r="L36" t="n">
        <v>63.3</v>
      </c>
      <c r="M36" t="n">
        <v>240.2</v>
      </c>
      <c r="N36" t="n">
        <v>303</v>
      </c>
      <c r="O36" t="n">
        <v>376.5</v>
      </c>
      <c r="P36" t="n">
        <v>361.4</v>
      </c>
      <c r="Q36" t="n">
        <v>336.9</v>
      </c>
      <c r="R36" t="n">
        <v>320.4</v>
      </c>
      <c r="S36" t="n">
        <v>288.6</v>
      </c>
      <c r="T36" t="n">
        <v>266.2</v>
      </c>
      <c r="U36" t="n">
        <v>226.3</v>
      </c>
      <c r="V36" t="n">
        <v>206.9</v>
      </c>
      <c r="W36" t="n">
        <v>184.3</v>
      </c>
      <c r="X36" t="n">
        <v>159.1</v>
      </c>
      <c r="Y36" t="n">
        <v>140.3</v>
      </c>
      <c r="Z36" t="n">
        <v>122.3</v>
      </c>
      <c r="AA36" t="n">
        <v>104.9</v>
      </c>
      <c r="AB36" t="n">
        <v>93.6</v>
      </c>
      <c r="AC36" t="n">
        <v>79.4</v>
      </c>
      <c r="AD36" t="n">
        <v>82.3</v>
      </c>
      <c r="AE36" t="n">
        <v>82.4</v>
      </c>
      <c r="AF36" t="n">
        <v>84.4</v>
      </c>
    </row>
    <row r="37">
      <c r="A37" t="s">
        <v>101</v>
      </c>
      <c r="B37" t="s">
        <v>344</v>
      </c>
      <c r="C37" t="s">
        <v>203</v>
      </c>
      <c r="D37" t="s">
        <v>345</v>
      </c>
      <c r="E37" t="s">
        <v>204</v>
      </c>
      <c r="F37"/>
      <c r="G37"/>
      <c r="H37"/>
      <c r="I37"/>
      <c r="J37"/>
      <c r="K37" t="n">
        <v>0</v>
      </c>
      <c r="L37" t="n">
        <v>0</v>
      </c>
      <c r="M37" t="n">
        <v>1.8</v>
      </c>
      <c r="N37" t="n">
        <v>5</v>
      </c>
      <c r="O37" t="n">
        <v>4</v>
      </c>
      <c r="P37" t="n">
        <v>257.9</v>
      </c>
      <c r="Q37" t="n">
        <v>398.6</v>
      </c>
      <c r="R37" t="n">
        <v>520.6</v>
      </c>
      <c r="S37" t="n">
        <v>537.1</v>
      </c>
      <c r="T37" t="n">
        <v>518.6</v>
      </c>
      <c r="U37" t="n">
        <v>439.5</v>
      </c>
      <c r="V37" t="n">
        <v>399.2</v>
      </c>
      <c r="W37" t="n">
        <v>352.7</v>
      </c>
      <c r="X37" t="n">
        <v>301.9</v>
      </c>
      <c r="Y37" t="n">
        <v>265.8</v>
      </c>
      <c r="Z37" t="n">
        <v>222.8</v>
      </c>
      <c r="AA37" t="n">
        <v>187.8</v>
      </c>
      <c r="AB37" t="n">
        <v>164.9</v>
      </c>
      <c r="AC37" t="n">
        <v>140.3</v>
      </c>
      <c r="AD37" t="n">
        <v>145.4</v>
      </c>
      <c r="AE37" t="n">
        <v>145.6</v>
      </c>
      <c r="AF37" t="n">
        <v>149.2</v>
      </c>
    </row>
    <row r="38">
      <c r="A38" t="s">
        <v>101</v>
      </c>
      <c r="B38" t="s">
        <v>346</v>
      </c>
      <c r="C38" t="s">
        <v>203</v>
      </c>
      <c r="D38" t="s">
        <v>347</v>
      </c>
      <c r="E38" t="s">
        <v>204</v>
      </c>
      <c r="F38"/>
      <c r="G38"/>
      <c r="H38"/>
      <c r="I38"/>
      <c r="J38"/>
      <c r="K38" t="n">
        <v>0</v>
      </c>
      <c r="L38" t="n">
        <v>4.3</v>
      </c>
      <c r="M38" t="n">
        <v>5.6</v>
      </c>
      <c r="N38" t="n">
        <v>30.5</v>
      </c>
      <c r="O38" t="n">
        <v>28.2</v>
      </c>
      <c r="P38" t="n">
        <v>39.1</v>
      </c>
      <c r="Q38" t="n">
        <v>45.3</v>
      </c>
      <c r="R38" t="n">
        <v>48.2</v>
      </c>
      <c r="S38" t="n">
        <v>63.3</v>
      </c>
      <c r="T38" t="n">
        <v>62.2</v>
      </c>
      <c r="U38" t="n">
        <v>55.1</v>
      </c>
      <c r="V38" t="n">
        <v>54.8</v>
      </c>
      <c r="W38" t="n">
        <v>55</v>
      </c>
      <c r="X38" t="n">
        <v>53.3</v>
      </c>
      <c r="Y38" t="n">
        <v>54.3</v>
      </c>
      <c r="Z38" t="n">
        <v>54.4</v>
      </c>
      <c r="AA38" t="n">
        <v>49.7</v>
      </c>
      <c r="AB38" t="n">
        <v>75.1</v>
      </c>
      <c r="AC38" t="n">
        <v>70.2</v>
      </c>
      <c r="AD38" t="n">
        <v>72.7</v>
      </c>
      <c r="AE38" t="n">
        <v>72.8</v>
      </c>
      <c r="AF38" t="n">
        <v>74.6</v>
      </c>
    </row>
    <row r="39">
      <c r="A39" t="s">
        <v>101</v>
      </c>
      <c r="B39" t="s">
        <v>348</v>
      </c>
      <c r="C39" t="s">
        <v>203</v>
      </c>
      <c r="D39" t="s">
        <v>349</v>
      </c>
      <c r="E39" t="s">
        <v>204</v>
      </c>
      <c r="F39"/>
      <c r="G39"/>
      <c r="H39"/>
      <c r="I39"/>
      <c r="J39"/>
      <c r="K39" t="n">
        <v>33.4</v>
      </c>
      <c r="L39" t="n">
        <v>32.8</v>
      </c>
      <c r="M39" t="n">
        <v>59.2</v>
      </c>
      <c r="N39" t="n">
        <v>62.8</v>
      </c>
      <c r="O39" t="n">
        <v>79</v>
      </c>
      <c r="P39" t="n">
        <v>78.8</v>
      </c>
      <c r="Q39" t="n">
        <v>127.7</v>
      </c>
      <c r="R39" t="n">
        <v>164.1</v>
      </c>
      <c r="S39" t="n">
        <v>184.4</v>
      </c>
      <c r="T39" t="n">
        <v>178.6</v>
      </c>
      <c r="U39" t="n">
        <v>163.3</v>
      </c>
      <c r="V39" t="n">
        <v>169.6</v>
      </c>
      <c r="W39" t="n">
        <v>183.5</v>
      </c>
      <c r="X39" t="n">
        <v>188.9</v>
      </c>
      <c r="Y39" t="n">
        <v>150.4</v>
      </c>
      <c r="Z39" t="n">
        <v>123.9</v>
      </c>
      <c r="AA39" t="n">
        <v>124.2</v>
      </c>
      <c r="AB39" t="n">
        <v>153.2</v>
      </c>
      <c r="AC39" t="n">
        <v>162.4</v>
      </c>
      <c r="AD39" t="n">
        <v>168.3</v>
      </c>
      <c r="AE39" t="n">
        <v>168.5</v>
      </c>
      <c r="AF39" t="n">
        <v>172.6</v>
      </c>
    </row>
    <row r="40">
      <c r="A40" t="s">
        <v>101</v>
      </c>
      <c r="B40" t="s">
        <v>350</v>
      </c>
      <c r="C40" t="s">
        <v>203</v>
      </c>
      <c r="D40" t="s">
        <v>351</v>
      </c>
      <c r="E40" t="s">
        <v>204</v>
      </c>
      <c r="F40"/>
      <c r="G40"/>
      <c r="H40"/>
      <c r="I40"/>
      <c r="J40"/>
      <c r="K40" t="n">
        <v>7.4</v>
      </c>
      <c r="L40" t="n">
        <v>32</v>
      </c>
      <c r="M40" t="n">
        <v>38.1</v>
      </c>
      <c r="N40" t="n">
        <v>34.4</v>
      </c>
      <c r="O40" t="n">
        <v>36.2</v>
      </c>
      <c r="P40" t="n">
        <v>57.2</v>
      </c>
      <c r="Q40" t="n">
        <v>80.1</v>
      </c>
      <c r="R40" t="n">
        <v>106.6</v>
      </c>
      <c r="S40" t="n">
        <v>120.9</v>
      </c>
      <c r="T40" t="n">
        <v>122.7</v>
      </c>
      <c r="U40" t="n">
        <v>111.5</v>
      </c>
      <c r="V40" t="n">
        <v>114.8</v>
      </c>
      <c r="W40" t="n">
        <v>125.8</v>
      </c>
      <c r="X40" t="n">
        <v>130.6</v>
      </c>
      <c r="Y40" t="n">
        <v>118</v>
      </c>
      <c r="Z40" t="n">
        <v>101.5</v>
      </c>
      <c r="AA40" t="n">
        <v>77.3</v>
      </c>
      <c r="AB40" t="n">
        <v>0</v>
      </c>
      <c r="AC40" t="n">
        <v>3.1</v>
      </c>
      <c r="AD40" t="n">
        <v>3.2</v>
      </c>
      <c r="AE40" t="n">
        <v>3.2</v>
      </c>
      <c r="AF40" t="n">
        <v>3.3</v>
      </c>
    </row>
    <row r="41">
      <c r="A41" t="s">
        <v>101</v>
      </c>
      <c r="B41" t="s">
        <v>352</v>
      </c>
      <c r="C41" t="s">
        <v>203</v>
      </c>
      <c r="D41" t="s">
        <v>353</v>
      </c>
      <c r="E41" t="s">
        <v>204</v>
      </c>
      <c r="F41"/>
      <c r="G41"/>
      <c r="H41"/>
      <c r="I41"/>
      <c r="J41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101</v>
      </c>
      <c r="B42" t="s">
        <v>354</v>
      </c>
      <c r="C42" t="s">
        <v>203</v>
      </c>
      <c r="D42" t="s">
        <v>355</v>
      </c>
      <c r="E42" t="s">
        <v>204</v>
      </c>
      <c r="F42"/>
      <c r="G42"/>
      <c r="H42"/>
      <c r="I42"/>
      <c r="J42"/>
      <c r="K42" t="n">
        <v>112.4</v>
      </c>
      <c r="L42" t="n">
        <v>141.5</v>
      </c>
      <c r="M42" t="n">
        <v>138.5</v>
      </c>
      <c r="N42" t="n">
        <v>143.7</v>
      </c>
      <c r="O42" t="n">
        <v>129.6</v>
      </c>
      <c r="P42" t="n">
        <v>153.4</v>
      </c>
      <c r="Q42" t="n">
        <v>170.9</v>
      </c>
      <c r="R42" t="n">
        <v>185.9</v>
      </c>
      <c r="S42" t="n">
        <v>191.2</v>
      </c>
      <c r="T42" t="n">
        <v>229.4</v>
      </c>
      <c r="U42" t="n">
        <v>214.1</v>
      </c>
      <c r="V42" t="n">
        <v>215.4</v>
      </c>
      <c r="W42" t="n">
        <v>220.5</v>
      </c>
      <c r="X42" t="n">
        <v>217.2</v>
      </c>
      <c r="Y42" t="n">
        <v>214.1</v>
      </c>
      <c r="Z42" t="n">
        <v>197.5</v>
      </c>
      <c r="AA42" t="n">
        <v>170</v>
      </c>
      <c r="AB42" t="n">
        <v>206.3</v>
      </c>
      <c r="AC42" t="n">
        <v>144.7</v>
      </c>
      <c r="AD42" t="n">
        <v>150</v>
      </c>
      <c r="AE42" t="n">
        <v>150.1</v>
      </c>
      <c r="AF42" t="n">
        <v>153.8</v>
      </c>
    </row>
    <row r="43">
      <c r="A43" t="s">
        <v>101</v>
      </c>
      <c r="B43" t="s">
        <v>356</v>
      </c>
      <c r="C43" t="s">
        <v>203</v>
      </c>
      <c r="D43" t="s">
        <v>357</v>
      </c>
      <c r="E43" t="s">
        <v>204</v>
      </c>
      <c r="F43"/>
      <c r="G43"/>
      <c r="H43"/>
      <c r="I43"/>
      <c r="J43"/>
      <c r="K43" t="n">
        <v>132.2</v>
      </c>
      <c r="L43" t="n">
        <v>167</v>
      </c>
      <c r="M43" t="n">
        <v>174.3</v>
      </c>
      <c r="N43" t="n">
        <v>217.8</v>
      </c>
      <c r="O43" t="n">
        <v>215.5</v>
      </c>
      <c r="P43" t="n">
        <v>289</v>
      </c>
      <c r="Q43" t="n">
        <v>337.5</v>
      </c>
      <c r="R43" t="n">
        <v>398</v>
      </c>
      <c r="S43" t="n">
        <v>395.5</v>
      </c>
      <c r="T43" t="n">
        <v>427.1</v>
      </c>
      <c r="U43" t="n">
        <v>399.6</v>
      </c>
      <c r="V43" t="n">
        <v>427.7</v>
      </c>
      <c r="W43" t="n">
        <v>456</v>
      </c>
      <c r="X43" t="n">
        <v>464</v>
      </c>
      <c r="Y43" t="n">
        <v>572.8</v>
      </c>
      <c r="Z43" t="n">
        <v>634.5</v>
      </c>
      <c r="AA43" t="n">
        <v>716.8</v>
      </c>
      <c r="AB43" t="n">
        <v>954.3</v>
      </c>
      <c r="AC43" t="n">
        <v>925.4</v>
      </c>
      <c r="AD43" t="n">
        <v>959.1</v>
      </c>
      <c r="AE43" t="n">
        <v>959.9</v>
      </c>
      <c r="AF43" t="n">
        <v>983.6</v>
      </c>
    </row>
    <row r="44">
      <c r="A44" t="s">
        <v>101</v>
      </c>
      <c r="B44" t="s">
        <v>358</v>
      </c>
      <c r="C44" t="s">
        <v>203</v>
      </c>
      <c r="D44" t="s">
        <v>359</v>
      </c>
      <c r="E44" t="s">
        <v>204</v>
      </c>
      <c r="F44"/>
      <c r="G44"/>
      <c r="H44"/>
      <c r="I44"/>
      <c r="J44"/>
      <c r="K44" t="n">
        <v>1562.9</v>
      </c>
      <c r="L44" t="n">
        <v>2050.6</v>
      </c>
      <c r="M44" t="n">
        <v>2900.8</v>
      </c>
      <c r="N44" t="n">
        <v>3808.9</v>
      </c>
      <c r="O44" t="n">
        <v>4107.9</v>
      </c>
      <c r="P44" t="n">
        <v>5987.7</v>
      </c>
      <c r="Q44" t="n">
        <v>7116.1</v>
      </c>
      <c r="R44" t="n">
        <v>8786.5</v>
      </c>
      <c r="S44" t="n">
        <v>9194.6</v>
      </c>
      <c r="T44" t="n">
        <v>8935.5</v>
      </c>
      <c r="U44" t="n">
        <v>7994.8</v>
      </c>
      <c r="V44" t="n">
        <v>7822.6</v>
      </c>
      <c r="W44" t="n">
        <v>7586.5</v>
      </c>
      <c r="X44" t="n">
        <v>7131.3</v>
      </c>
      <c r="Y44" t="n">
        <v>7272.1</v>
      </c>
      <c r="Z44" t="n">
        <v>7179.7</v>
      </c>
      <c r="AA44" t="n">
        <v>7221.1</v>
      </c>
      <c r="AB44" t="n">
        <v>7355</v>
      </c>
      <c r="AC44" t="n">
        <v>7247</v>
      </c>
      <c r="AD44" t="n">
        <v>7510.3</v>
      </c>
      <c r="AE44" t="n">
        <v>7516.9</v>
      </c>
      <c r="AF44" t="n">
        <v>7702.7</v>
      </c>
    </row>
    <row r="45">
      <c r="A45" t="s">
        <v>101</v>
      </c>
      <c r="B45" t="s">
        <v>360</v>
      </c>
      <c r="C45" t="s">
        <v>203</v>
      </c>
      <c r="D45" t="s">
        <v>361</v>
      </c>
      <c r="E45" t="s">
        <v>204</v>
      </c>
      <c r="F45"/>
      <c r="G45"/>
      <c r="H45"/>
      <c r="I45"/>
      <c r="J45"/>
      <c r="K45" t="n">
        <v>1505</v>
      </c>
      <c r="L45" t="n">
        <v>1947.2</v>
      </c>
      <c r="M45" t="n">
        <v>2768.6</v>
      </c>
      <c r="N45" t="n">
        <v>3662</v>
      </c>
      <c r="O45" t="n">
        <v>3938.1</v>
      </c>
      <c r="P45" t="n">
        <v>5749.1</v>
      </c>
      <c r="Q45" t="n">
        <v>6844.7</v>
      </c>
      <c r="R45" t="n">
        <v>8497.2</v>
      </c>
      <c r="S45" t="n">
        <v>8772</v>
      </c>
      <c r="T45" t="n">
        <v>8524.7</v>
      </c>
      <c r="U45" t="n">
        <v>7622.9</v>
      </c>
      <c r="V45" t="n">
        <v>7436.8</v>
      </c>
      <c r="W45" t="n">
        <v>7169.7</v>
      </c>
      <c r="X45" t="n">
        <v>6702.8</v>
      </c>
      <c r="Y45" t="n">
        <v>6808.4</v>
      </c>
      <c r="Z45" t="n">
        <v>6680.5</v>
      </c>
      <c r="AA45" t="n">
        <v>6734.2</v>
      </c>
      <c r="AB45" t="n">
        <v>6854.5</v>
      </c>
      <c r="AC45" t="n">
        <v>6733.7</v>
      </c>
      <c r="AD45" t="n">
        <v>6978.3</v>
      </c>
      <c r="AE45" t="n">
        <v>6984.5</v>
      </c>
      <c r="AF45" t="n">
        <v>7157.1</v>
      </c>
    </row>
    <row r="46">
      <c r="A46" t="s">
        <v>101</v>
      </c>
      <c r="B46" t="s">
        <v>362</v>
      </c>
      <c r="C46" t="s">
        <v>203</v>
      </c>
      <c r="D46" t="s">
        <v>363</v>
      </c>
      <c r="E46" t="s">
        <v>204</v>
      </c>
      <c r="F46"/>
      <c r="G46"/>
      <c r="H46"/>
      <c r="I46"/>
      <c r="J46"/>
      <c r="K46" t="n">
        <v>19.8</v>
      </c>
      <c r="L46" t="n">
        <v>25.5</v>
      </c>
      <c r="M46" t="n">
        <v>35.8</v>
      </c>
      <c r="N46" t="n">
        <v>74.1</v>
      </c>
      <c r="O46" t="n">
        <v>85.9</v>
      </c>
      <c r="P46" t="n">
        <v>135.6</v>
      </c>
      <c r="Q46" t="n">
        <v>166.6</v>
      </c>
      <c r="R46" t="n">
        <v>212.1</v>
      </c>
      <c r="S46" t="n">
        <v>204.3</v>
      </c>
      <c r="T46" t="n">
        <v>197.7</v>
      </c>
      <c r="U46" t="n">
        <v>185.5</v>
      </c>
      <c r="V46" t="n">
        <v>212.3</v>
      </c>
      <c r="W46" t="n">
        <v>235.5</v>
      </c>
      <c r="X46" t="n">
        <v>246.8</v>
      </c>
      <c r="Y46" t="n">
        <v>358.7</v>
      </c>
      <c r="Z46" t="n">
        <v>437</v>
      </c>
      <c r="AA46" t="n">
        <v>546.8</v>
      </c>
      <c r="AB46" t="n">
        <v>748</v>
      </c>
      <c r="AC46" t="n">
        <v>780.7</v>
      </c>
      <c r="AD46" t="n">
        <v>809.1</v>
      </c>
      <c r="AE46" t="n">
        <v>809.8</v>
      </c>
      <c r="AF46" t="n">
        <v>829.8</v>
      </c>
    </row>
    <row r="47">
      <c r="A47" t="s">
        <v>101</v>
      </c>
      <c r="B47" t="s">
        <v>364</v>
      </c>
      <c r="C47" t="s">
        <v>203</v>
      </c>
      <c r="D47" t="s">
        <v>365</v>
      </c>
      <c r="E47" t="s">
        <v>204</v>
      </c>
      <c r="F47"/>
      <c r="G47"/>
      <c r="H47"/>
      <c r="I47"/>
      <c r="J47"/>
      <c r="K47" t="n">
        <v>87.3</v>
      </c>
      <c r="L47" t="n">
        <v>78.1</v>
      </c>
      <c r="M47" t="n">
        <v>82.4</v>
      </c>
      <c r="N47" t="n">
        <v>205.7</v>
      </c>
      <c r="O47" t="n">
        <v>201.5</v>
      </c>
      <c r="P47" t="n">
        <v>315.1</v>
      </c>
      <c r="Q47" t="n">
        <v>548</v>
      </c>
      <c r="R47" t="n">
        <v>1050</v>
      </c>
      <c r="S47" t="n">
        <v>1156.3</v>
      </c>
      <c r="T47" t="n">
        <v>1105.9</v>
      </c>
      <c r="U47" t="n">
        <v>963.5</v>
      </c>
      <c r="V47" t="n">
        <v>886.1</v>
      </c>
      <c r="W47" t="n">
        <v>812.2</v>
      </c>
      <c r="X47" t="n">
        <v>723</v>
      </c>
      <c r="Y47" t="n">
        <v>977</v>
      </c>
      <c r="Z47" t="n">
        <v>857</v>
      </c>
      <c r="AA47" t="n">
        <v>791.9</v>
      </c>
      <c r="AB47" t="n">
        <v>746.7</v>
      </c>
      <c r="AC47" t="n">
        <v>719</v>
      </c>
      <c r="AD47" t="n">
        <v>745.1</v>
      </c>
      <c r="AE47" t="n">
        <v>745.8</v>
      </c>
      <c r="AF47" t="n">
        <v>764.2</v>
      </c>
    </row>
    <row r="48">
      <c r="A48" t="s">
        <v>101</v>
      </c>
      <c r="B48" t="s">
        <v>366</v>
      </c>
      <c r="C48" t="s">
        <v>203</v>
      </c>
      <c r="D48" t="s">
        <v>367</v>
      </c>
      <c r="E48" t="s">
        <v>204</v>
      </c>
      <c r="F48"/>
      <c r="G48"/>
      <c r="H48"/>
      <c r="I48"/>
      <c r="J48"/>
      <c r="K48" t="n">
        <v>120.1</v>
      </c>
      <c r="L48" t="n">
        <v>126.7</v>
      </c>
      <c r="M48" t="n">
        <v>158.2</v>
      </c>
      <c r="N48" t="n">
        <v>298.1</v>
      </c>
      <c r="O48" t="n">
        <v>299.8</v>
      </c>
      <c r="P48" t="n">
        <v>448.4</v>
      </c>
      <c r="Q48" t="n">
        <v>693</v>
      </c>
      <c r="R48" t="n">
        <v>1239.6</v>
      </c>
      <c r="S48" t="n">
        <v>1368.9</v>
      </c>
      <c r="T48" t="n">
        <v>1315.7</v>
      </c>
      <c r="U48" t="n">
        <v>1196</v>
      </c>
      <c r="V48" t="n">
        <v>1123</v>
      </c>
      <c r="W48" t="n">
        <v>1028</v>
      </c>
      <c r="X48" t="n">
        <v>913.9</v>
      </c>
      <c r="Y48" t="n">
        <v>1149.9</v>
      </c>
      <c r="Z48" t="n">
        <v>1015.4</v>
      </c>
      <c r="AA48" t="n">
        <v>939.1</v>
      </c>
      <c r="AB48" t="n">
        <v>887.4</v>
      </c>
      <c r="AC48" t="n">
        <v>872.2</v>
      </c>
      <c r="AD48" t="n">
        <v>903.9</v>
      </c>
      <c r="AE48" t="n">
        <v>904.7</v>
      </c>
      <c r="AF48" t="n">
        <v>927</v>
      </c>
    </row>
    <row r="49">
      <c r="A49" t="s">
        <v>101</v>
      </c>
      <c r="B49" t="s">
        <v>368</v>
      </c>
      <c r="C49" t="s">
        <v>203</v>
      </c>
      <c r="D49" t="s">
        <v>369</v>
      </c>
      <c r="E49" t="s">
        <v>204</v>
      </c>
      <c r="F49"/>
      <c r="G49"/>
      <c r="H49"/>
      <c r="I49"/>
      <c r="J49"/>
      <c r="K49" t="n">
        <v>23.8</v>
      </c>
      <c r="L49" t="n">
        <v>24.6</v>
      </c>
      <c r="M49" t="n">
        <v>25.3</v>
      </c>
      <c r="N49" t="n">
        <v>47.4</v>
      </c>
      <c r="O49" t="n">
        <v>46.1</v>
      </c>
      <c r="P49" t="n">
        <v>48</v>
      </c>
      <c r="Q49" t="n">
        <v>47.1</v>
      </c>
      <c r="R49" t="n">
        <v>70.5</v>
      </c>
      <c r="S49" t="n">
        <v>67.1</v>
      </c>
      <c r="T49" t="n">
        <v>63.8</v>
      </c>
      <c r="U49" t="n">
        <v>92.8</v>
      </c>
      <c r="V49" t="n">
        <v>95.9</v>
      </c>
      <c r="W49" t="n">
        <v>85.6</v>
      </c>
      <c r="X49" t="n">
        <v>74</v>
      </c>
      <c r="Y49" t="n">
        <v>61.8</v>
      </c>
      <c r="Z49" t="n">
        <v>54.5</v>
      </c>
      <c r="AA49" t="n">
        <v>49.1</v>
      </c>
      <c r="AB49" t="n">
        <v>45.2</v>
      </c>
      <c r="AC49" t="n">
        <v>64.8</v>
      </c>
      <c r="AD49" t="n">
        <v>67.2</v>
      </c>
      <c r="AE49" t="n">
        <v>67.2</v>
      </c>
      <c r="AF49" t="n">
        <v>68.9</v>
      </c>
    </row>
    <row r="50">
      <c r="A50" t="s">
        <v>101</v>
      </c>
      <c r="B50" t="s">
        <v>370</v>
      </c>
      <c r="C50" t="s">
        <v>203</v>
      </c>
      <c r="D50" t="s">
        <v>371</v>
      </c>
      <c r="E50" t="s">
        <v>204</v>
      </c>
      <c r="F50"/>
      <c r="G50"/>
      <c r="H50"/>
      <c r="I50"/>
      <c r="J50"/>
      <c r="K50" t="n">
        <v>9.1</v>
      </c>
      <c r="L50" t="n">
        <v>24</v>
      </c>
      <c r="M50" t="n">
        <v>50.5</v>
      </c>
      <c r="N50" t="n">
        <v>45</v>
      </c>
      <c r="O50" t="n">
        <v>52.3</v>
      </c>
      <c r="P50" t="n">
        <v>85.3</v>
      </c>
      <c r="Q50" t="n">
        <v>97.9</v>
      </c>
      <c r="R50" t="n">
        <v>119.2</v>
      </c>
      <c r="S50" t="n">
        <v>145.6</v>
      </c>
      <c r="T50" t="n">
        <v>146</v>
      </c>
      <c r="U50" t="n">
        <v>139.7</v>
      </c>
      <c r="V50" t="n">
        <v>141</v>
      </c>
      <c r="W50" t="n">
        <v>130.3</v>
      </c>
      <c r="X50" t="n">
        <v>117</v>
      </c>
      <c r="Y50" t="n">
        <v>111.3</v>
      </c>
      <c r="Z50" t="n">
        <v>103.9</v>
      </c>
      <c r="AA50" t="n">
        <v>98</v>
      </c>
      <c r="AB50" t="n">
        <v>95.5</v>
      </c>
      <c r="AC50" t="n">
        <v>88.4</v>
      </c>
      <c r="AD50" t="n">
        <v>91.6</v>
      </c>
      <c r="AE50" t="n">
        <v>91.6</v>
      </c>
      <c r="AF50" t="n">
        <v>94</v>
      </c>
    </row>
    <row r="51">
      <c r="A51" t="s">
        <v>101</v>
      </c>
      <c r="B51" t="s">
        <v>372</v>
      </c>
      <c r="C51" t="s">
        <v>203</v>
      </c>
      <c r="D51" t="s">
        <v>373</v>
      </c>
      <c r="E51" t="s">
        <v>204</v>
      </c>
      <c r="F51"/>
      <c r="G51"/>
      <c r="H51"/>
      <c r="I51"/>
      <c r="J51"/>
      <c r="K51" t="n">
        <v>9.1</v>
      </c>
      <c r="L51" t="n">
        <v>24</v>
      </c>
      <c r="M51" t="n">
        <v>50.5</v>
      </c>
      <c r="N51" t="n">
        <v>43.3</v>
      </c>
      <c r="O51" t="n">
        <v>50.9</v>
      </c>
      <c r="P51" t="n">
        <v>83.1</v>
      </c>
      <c r="Q51" t="n">
        <v>95.1</v>
      </c>
      <c r="R51" t="n">
        <v>115.7</v>
      </c>
      <c r="S51" t="n">
        <v>141.7</v>
      </c>
      <c r="T51" t="n">
        <v>142.5</v>
      </c>
      <c r="U51" t="n">
        <v>136.6</v>
      </c>
      <c r="V51" t="n">
        <v>138</v>
      </c>
      <c r="W51" t="n">
        <v>127.4</v>
      </c>
      <c r="X51" t="n">
        <v>114.3</v>
      </c>
      <c r="Y51" t="n">
        <v>108.7</v>
      </c>
      <c r="Z51" t="n">
        <v>100.6</v>
      </c>
      <c r="AA51" t="n">
        <v>92.8</v>
      </c>
      <c r="AB51" t="n">
        <v>90.7</v>
      </c>
      <c r="AC51" t="n">
        <v>84.2</v>
      </c>
      <c r="AD51" t="n">
        <v>87.3</v>
      </c>
      <c r="AE51" t="n">
        <v>87.3</v>
      </c>
      <c r="AF51" t="n">
        <v>89.5</v>
      </c>
    </row>
    <row r="52">
      <c r="A52" t="s">
        <v>101</v>
      </c>
      <c r="B52" t="s">
        <v>374</v>
      </c>
      <c r="C52" t="s">
        <v>203</v>
      </c>
      <c r="D52" t="s">
        <v>375</v>
      </c>
      <c r="E52" t="s">
        <v>204</v>
      </c>
      <c r="F52"/>
      <c r="G52"/>
      <c r="H52"/>
      <c r="I52"/>
      <c r="J52"/>
      <c r="K52" t="n">
        <v>0</v>
      </c>
      <c r="L52" t="n">
        <v>0</v>
      </c>
      <c r="M52" t="n">
        <v>0</v>
      </c>
      <c r="N52" t="n">
        <v>1.7</v>
      </c>
      <c r="O52" t="n">
        <v>1.4</v>
      </c>
      <c r="P52" t="n">
        <v>2.2</v>
      </c>
      <c r="Q52" t="n">
        <v>2.8</v>
      </c>
      <c r="R52" t="n">
        <v>3.5</v>
      </c>
      <c r="S52" t="n">
        <v>3.9</v>
      </c>
      <c r="T52" t="n">
        <v>3.5</v>
      </c>
      <c r="U52" t="n">
        <v>3.1</v>
      </c>
      <c r="V52" t="n">
        <v>3</v>
      </c>
      <c r="W52" t="n">
        <v>2.9</v>
      </c>
      <c r="X52" t="n">
        <v>2.7</v>
      </c>
      <c r="Y52" t="n">
        <v>2.6</v>
      </c>
      <c r="Z52" t="n">
        <v>3.3</v>
      </c>
      <c r="AA52" t="n">
        <v>5.2</v>
      </c>
      <c r="AB52" t="n">
        <v>4.8</v>
      </c>
      <c r="AC52" t="n">
        <v>4.2</v>
      </c>
      <c r="AD52" t="n">
        <v>4.3</v>
      </c>
      <c r="AE52" t="n">
        <v>4.3</v>
      </c>
      <c r="AF52" t="n">
        <v>4.5</v>
      </c>
    </row>
    <row r="53">
      <c r="A53" t="s">
        <v>101</v>
      </c>
      <c r="B53" t="s">
        <v>376</v>
      </c>
      <c r="C53" t="s">
        <v>203</v>
      </c>
      <c r="D53" t="s">
        <v>377</v>
      </c>
      <c r="E53" t="s">
        <v>204</v>
      </c>
      <c r="F53"/>
      <c r="G53"/>
      <c r="H53"/>
      <c r="I53"/>
      <c r="J53"/>
      <c r="K53" t="n">
        <v>3.3</v>
      </c>
      <c r="L53" t="n">
        <v>9.6</v>
      </c>
      <c r="M53" t="n">
        <v>18.3</v>
      </c>
      <c r="N53" t="n">
        <v>20</v>
      </c>
      <c r="O53" t="n">
        <v>19.6</v>
      </c>
      <c r="P53" t="n">
        <v>23.1</v>
      </c>
      <c r="Q53" t="n">
        <v>28.5</v>
      </c>
      <c r="R53" t="n">
        <v>33.9</v>
      </c>
      <c r="S53" t="n">
        <v>44</v>
      </c>
      <c r="T53" t="n">
        <v>42.8</v>
      </c>
      <c r="U53" t="n">
        <v>39.1</v>
      </c>
      <c r="V53" t="n">
        <v>39.2</v>
      </c>
      <c r="W53" t="n">
        <v>37.1</v>
      </c>
      <c r="X53" t="n">
        <v>34.1</v>
      </c>
      <c r="Y53" t="n">
        <v>31.4</v>
      </c>
      <c r="Z53" t="n">
        <v>29.6</v>
      </c>
      <c r="AA53" t="n">
        <v>27.6</v>
      </c>
      <c r="AB53" t="n">
        <v>28</v>
      </c>
      <c r="AC53" t="n">
        <v>38.5</v>
      </c>
      <c r="AD53" t="n">
        <v>39.9</v>
      </c>
      <c r="AE53" t="n">
        <v>40</v>
      </c>
      <c r="AF53" t="n">
        <v>41</v>
      </c>
    </row>
    <row r="54">
      <c r="A54" t="s">
        <v>101</v>
      </c>
      <c r="B54" t="s">
        <v>378</v>
      </c>
      <c r="C54" t="s">
        <v>203</v>
      </c>
      <c r="D54" t="s">
        <v>379</v>
      </c>
      <c r="E54" t="s">
        <v>204</v>
      </c>
      <c r="F54"/>
      <c r="G54"/>
      <c r="H54"/>
      <c r="I54"/>
      <c r="J54"/>
      <c r="K54" t="n">
        <v>3.3</v>
      </c>
      <c r="L54" t="n">
        <v>19.9</v>
      </c>
      <c r="M54" t="n">
        <v>28.3</v>
      </c>
      <c r="N54" t="n">
        <v>28.6</v>
      </c>
      <c r="O54" t="n">
        <v>27.4</v>
      </c>
      <c r="P54" t="n">
        <v>32.9</v>
      </c>
      <c r="Q54" t="n">
        <v>39</v>
      </c>
      <c r="R54" t="n">
        <v>46.1</v>
      </c>
      <c r="S54" t="n">
        <v>58</v>
      </c>
      <c r="T54" t="n">
        <v>56.4</v>
      </c>
      <c r="U54" t="n">
        <v>51.6</v>
      </c>
      <c r="V54" t="n">
        <v>50.5</v>
      </c>
      <c r="W54" t="n">
        <v>49.7</v>
      </c>
      <c r="X54" t="n">
        <v>47.4</v>
      </c>
      <c r="Y54" t="n">
        <v>46.4</v>
      </c>
      <c r="Z54" t="n">
        <v>46.7</v>
      </c>
      <c r="AA54" t="n">
        <v>44.6</v>
      </c>
      <c r="AB54" t="n">
        <v>49</v>
      </c>
      <c r="AC54" t="n">
        <v>62.1</v>
      </c>
      <c r="AD54" t="n">
        <v>64.4</v>
      </c>
      <c r="AE54" t="n">
        <v>64.5</v>
      </c>
      <c r="AF54" t="n">
        <v>66.1</v>
      </c>
    </row>
    <row r="55">
      <c r="A55" t="s">
        <v>101</v>
      </c>
      <c r="B55" t="s">
        <v>380</v>
      </c>
      <c r="C55" t="s">
        <v>203</v>
      </c>
      <c r="D55" t="s">
        <v>381</v>
      </c>
      <c r="E55" t="s">
        <v>204</v>
      </c>
      <c r="F55"/>
      <c r="G55"/>
      <c r="H55"/>
      <c r="I55"/>
      <c r="J55"/>
      <c r="K55" t="n">
        <v>0</v>
      </c>
      <c r="L55" t="n">
        <v>10.3</v>
      </c>
      <c r="M55" t="n">
        <v>10</v>
      </c>
      <c r="N55" t="n">
        <v>8.6</v>
      </c>
      <c r="O55" t="n">
        <v>7.8</v>
      </c>
      <c r="P55" t="n">
        <v>9.8</v>
      </c>
      <c r="Q55" t="n">
        <v>10.5</v>
      </c>
      <c r="R55" t="n">
        <v>12.2</v>
      </c>
      <c r="S55" t="n">
        <v>14</v>
      </c>
      <c r="T55" t="n">
        <v>13.6</v>
      </c>
      <c r="U55" t="n">
        <v>12.5</v>
      </c>
      <c r="V55" t="n">
        <v>11.3</v>
      </c>
      <c r="W55" t="n">
        <v>12.6</v>
      </c>
      <c r="X55" t="n">
        <v>13.3</v>
      </c>
      <c r="Y55" t="n">
        <v>15</v>
      </c>
      <c r="Z55" t="n">
        <v>17.1</v>
      </c>
      <c r="AA55" t="n">
        <v>17</v>
      </c>
      <c r="AB55" t="n">
        <v>21</v>
      </c>
      <c r="AC55" t="n">
        <v>23.6</v>
      </c>
      <c r="AD55" t="n">
        <v>24.5</v>
      </c>
      <c r="AE55" t="n">
        <v>24.5</v>
      </c>
      <c r="AF55" t="n">
        <v>25.1</v>
      </c>
    </row>
    <row r="56">
      <c r="A56" t="s">
        <v>101</v>
      </c>
      <c r="B56" t="s">
        <v>382</v>
      </c>
      <c r="C56" t="s">
        <v>203</v>
      </c>
      <c r="D56" t="s">
        <v>383</v>
      </c>
      <c r="E56" t="s">
        <v>204</v>
      </c>
      <c r="F56"/>
      <c r="G56"/>
      <c r="H56"/>
      <c r="I56"/>
      <c r="J56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101</v>
      </c>
      <c r="B57" t="s">
        <v>384</v>
      </c>
      <c r="C57" t="s">
        <v>203</v>
      </c>
      <c r="D57" t="s">
        <v>385</v>
      </c>
      <c r="E57" t="s">
        <v>204</v>
      </c>
      <c r="F57"/>
      <c r="G57"/>
      <c r="H57"/>
      <c r="I57"/>
      <c r="J57"/>
      <c r="K57" t="n">
        <v>1690.5</v>
      </c>
      <c r="L57" t="n">
        <v>2209.3</v>
      </c>
      <c r="M57" t="n">
        <v>3097.1</v>
      </c>
      <c r="N57" t="n">
        <v>4141.4</v>
      </c>
      <c r="O57" t="n">
        <v>4444</v>
      </c>
      <c r="P57" t="n">
        <v>6493.3</v>
      </c>
      <c r="Q57" t="n">
        <v>7889.2</v>
      </c>
      <c r="R57" t="n">
        <v>10132.8</v>
      </c>
      <c r="S57" t="n">
        <v>10684.5</v>
      </c>
      <c r="T57" t="n">
        <v>10373.9</v>
      </c>
      <c r="U57" t="n">
        <v>9302.3</v>
      </c>
      <c r="V57" t="n">
        <v>9060.4</v>
      </c>
      <c r="W57" t="n">
        <v>8740.4</v>
      </c>
      <c r="X57" t="n">
        <v>8175.9</v>
      </c>
      <c r="Y57" t="n">
        <v>8540.2</v>
      </c>
      <c r="Z57" t="n">
        <v>8296.6</v>
      </c>
      <c r="AA57" t="n">
        <v>8237.4</v>
      </c>
      <c r="AB57" t="n">
        <v>8242.4</v>
      </c>
      <c r="AC57" t="n">
        <v>8122.3</v>
      </c>
      <c r="AD57" t="n">
        <v>8417.4</v>
      </c>
      <c r="AE57" t="n">
        <v>8424.7</v>
      </c>
      <c r="AF57" t="n">
        <v>8633.1</v>
      </c>
    </row>
    <row r="58">
      <c r="A58" t="s">
        <v>101</v>
      </c>
      <c r="B58" t="s">
        <v>386</v>
      </c>
      <c r="C58" t="s">
        <v>203</v>
      </c>
      <c r="D58" t="s">
        <v>387</v>
      </c>
      <c r="E58" t="s">
        <v>204</v>
      </c>
      <c r="F58"/>
      <c r="G58"/>
      <c r="H58"/>
      <c r="I58"/>
      <c r="J58"/>
      <c r="K58" t="n">
        <v>1690.5</v>
      </c>
      <c r="L58" t="n">
        <v>2209.3</v>
      </c>
      <c r="M58" t="n">
        <v>3097.1</v>
      </c>
      <c r="N58" t="n">
        <v>4141.4</v>
      </c>
      <c r="O58" t="n">
        <v>4444</v>
      </c>
      <c r="P58" t="n">
        <v>6493.3</v>
      </c>
      <c r="Q58" t="n">
        <v>7889.2</v>
      </c>
      <c r="R58" t="n">
        <v>10132.8</v>
      </c>
      <c r="S58" t="n">
        <v>10684.5</v>
      </c>
      <c r="T58" t="n">
        <v>10373.9</v>
      </c>
      <c r="U58" t="n">
        <v>9302.3</v>
      </c>
      <c r="V58" t="n">
        <v>9060.4</v>
      </c>
      <c r="W58" t="n">
        <v>8740.4</v>
      </c>
      <c r="X58" t="n">
        <v>8175.9</v>
      </c>
      <c r="Y58" t="n">
        <v>8540.2</v>
      </c>
      <c r="Z58" t="n">
        <v>8296.6</v>
      </c>
      <c r="AA58" t="n">
        <v>8237.4</v>
      </c>
      <c r="AB58" t="n">
        <v>8242.4</v>
      </c>
      <c r="AC58" t="n">
        <v>8122.3</v>
      </c>
      <c r="AD58" t="n">
        <v>8417.4</v>
      </c>
      <c r="AE58" t="n">
        <v>8424.7</v>
      </c>
      <c r="AF58" t="n">
        <v>8633.1</v>
      </c>
    </row>
    <row r="59">
      <c r="A59" t="s">
        <v>101</v>
      </c>
      <c r="B59" t="s">
        <v>388</v>
      </c>
      <c r="C59" t="s">
        <v>203</v>
      </c>
      <c r="D59" t="s">
        <v>389</v>
      </c>
      <c r="E59" t="s">
        <v>204</v>
      </c>
      <c r="F59"/>
      <c r="G59"/>
      <c r="H59"/>
      <c r="I59"/>
      <c r="J59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103</v>
      </c>
      <c r="B2" t="s">
        <v>197</v>
      </c>
      <c r="C2" t="s">
        <v>203</v>
      </c>
      <c r="D2" t="s">
        <v>199</v>
      </c>
      <c r="E2" t="s">
        <v>204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103</v>
      </c>
      <c r="B3" t="s">
        <v>276</v>
      </c>
      <c r="C3" t="s">
        <v>203</v>
      </c>
      <c r="D3" t="s">
        <v>277</v>
      </c>
      <c r="E3" t="s">
        <v>204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 t="n">
        <v>0</v>
      </c>
      <c r="AB3"/>
      <c r="AC3"/>
      <c r="AD3"/>
      <c r="AE3"/>
      <c r="AF3"/>
    </row>
    <row r="4">
      <c r="A4" t="s">
        <v>103</v>
      </c>
      <c r="B4" t="s">
        <v>278</v>
      </c>
      <c r="C4" t="s">
        <v>203</v>
      </c>
      <c r="D4" t="s">
        <v>279</v>
      </c>
      <c r="E4" t="s">
        <v>204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 t="n">
        <v>0</v>
      </c>
      <c r="AB4"/>
      <c r="AC4"/>
      <c r="AD4"/>
      <c r="AE4"/>
      <c r="AF4"/>
    </row>
    <row r="5">
      <c r="A5" t="s">
        <v>103</v>
      </c>
      <c r="B5" t="s">
        <v>280</v>
      </c>
      <c r="C5" t="s">
        <v>203</v>
      </c>
      <c r="D5" t="s">
        <v>281</v>
      </c>
      <c r="E5" t="s">
        <v>204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 t="n">
        <v>0</v>
      </c>
      <c r="AB5"/>
      <c r="AC5"/>
      <c r="AD5"/>
      <c r="AE5"/>
      <c r="AF5"/>
    </row>
    <row r="6">
      <c r="A6" t="s">
        <v>103</v>
      </c>
      <c r="B6" t="s">
        <v>282</v>
      </c>
      <c r="C6" t="s">
        <v>203</v>
      </c>
      <c r="D6" t="s">
        <v>283</v>
      </c>
      <c r="E6" t="s">
        <v>204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 t="n">
        <v>0</v>
      </c>
      <c r="AB6"/>
      <c r="AC6"/>
      <c r="AD6"/>
      <c r="AE6"/>
      <c r="AF6"/>
    </row>
    <row r="7">
      <c r="A7" t="s">
        <v>103</v>
      </c>
      <c r="B7" t="s">
        <v>284</v>
      </c>
      <c r="C7" t="s">
        <v>203</v>
      </c>
      <c r="D7" t="s">
        <v>285</v>
      </c>
      <c r="E7" t="s">
        <v>204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 t="n">
        <v>0</v>
      </c>
      <c r="AB7"/>
      <c r="AC7"/>
      <c r="AD7"/>
      <c r="AE7"/>
      <c r="AF7"/>
    </row>
    <row r="8">
      <c r="A8" t="s">
        <v>103</v>
      </c>
      <c r="B8" t="s">
        <v>286</v>
      </c>
      <c r="C8" t="s">
        <v>203</v>
      </c>
      <c r="D8" t="s">
        <v>287</v>
      </c>
      <c r="E8" t="s">
        <v>204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 t="n">
        <v>0</v>
      </c>
      <c r="AB8"/>
      <c r="AC8"/>
      <c r="AD8"/>
      <c r="AE8"/>
      <c r="AF8"/>
    </row>
    <row r="9">
      <c r="A9" t="s">
        <v>103</v>
      </c>
      <c r="B9" t="s">
        <v>288</v>
      </c>
      <c r="C9" t="s">
        <v>203</v>
      </c>
      <c r="D9" t="s">
        <v>289</v>
      </c>
      <c r="E9" t="s">
        <v>204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 t="n">
        <v>0</v>
      </c>
      <c r="AB9"/>
      <c r="AC9"/>
      <c r="AD9"/>
      <c r="AE9"/>
      <c r="AF9"/>
    </row>
    <row r="10">
      <c r="A10" t="s">
        <v>103</v>
      </c>
      <c r="B10" t="s">
        <v>290</v>
      </c>
      <c r="C10" t="s">
        <v>203</v>
      </c>
      <c r="D10" t="s">
        <v>291</v>
      </c>
      <c r="E10" t="s">
        <v>204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 t="n">
        <v>0</v>
      </c>
      <c r="AB10"/>
      <c r="AC10"/>
      <c r="AD10"/>
      <c r="AE10"/>
      <c r="AF10"/>
    </row>
    <row r="11">
      <c r="A11" t="s">
        <v>103</v>
      </c>
      <c r="B11" t="s">
        <v>292</v>
      </c>
      <c r="C11" t="s">
        <v>203</v>
      </c>
      <c r="D11" t="s">
        <v>293</v>
      </c>
      <c r="E11" t="s">
        <v>204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 t="n">
        <v>0</v>
      </c>
      <c r="AB11"/>
      <c r="AC11"/>
      <c r="AD11"/>
      <c r="AE11"/>
      <c r="AF11"/>
    </row>
    <row r="12">
      <c r="A12" t="s">
        <v>103</v>
      </c>
      <c r="B12" t="s">
        <v>294</v>
      </c>
      <c r="C12" t="s">
        <v>203</v>
      </c>
      <c r="D12" t="s">
        <v>295</v>
      </c>
      <c r="E12" t="s">
        <v>204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 t="n">
        <v>0</v>
      </c>
      <c r="AB12"/>
      <c r="AC12"/>
      <c r="AD12"/>
      <c r="AE12"/>
      <c r="AF12"/>
    </row>
    <row r="13">
      <c r="A13" t="s">
        <v>103</v>
      </c>
      <c r="B13" t="s">
        <v>296</v>
      </c>
      <c r="C13" t="s">
        <v>203</v>
      </c>
      <c r="D13" t="s">
        <v>297</v>
      </c>
      <c r="E13" t="s">
        <v>204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 t="n">
        <v>0</v>
      </c>
      <c r="AB13"/>
      <c r="AC13"/>
      <c r="AD13"/>
      <c r="AE13"/>
      <c r="AF13"/>
    </row>
    <row r="14">
      <c r="A14" t="s">
        <v>103</v>
      </c>
      <c r="B14" t="s">
        <v>298</v>
      </c>
      <c r="C14" t="s">
        <v>203</v>
      </c>
      <c r="D14" t="s">
        <v>299</v>
      </c>
      <c r="E14" t="s">
        <v>204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 t="n">
        <v>0</v>
      </c>
      <c r="AB14"/>
      <c r="AC14"/>
      <c r="AD14"/>
      <c r="AE14"/>
      <c r="AF14"/>
    </row>
    <row r="15">
      <c r="A15" t="s">
        <v>103</v>
      </c>
      <c r="B15" t="s">
        <v>300</v>
      </c>
      <c r="C15" t="s">
        <v>203</v>
      </c>
      <c r="D15" t="s">
        <v>301</v>
      </c>
      <c r="E15" t="s">
        <v>204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 t="n">
        <v>0</v>
      </c>
      <c r="AB15"/>
      <c r="AC15"/>
      <c r="AD15"/>
      <c r="AE15"/>
      <c r="AF15"/>
    </row>
    <row r="16">
      <c r="A16" t="s">
        <v>103</v>
      </c>
      <c r="B16" t="s">
        <v>302</v>
      </c>
      <c r="C16" t="s">
        <v>203</v>
      </c>
      <c r="D16" t="s">
        <v>303</v>
      </c>
      <c r="E16" t="s">
        <v>204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 t="n">
        <v>0</v>
      </c>
      <c r="AB16"/>
      <c r="AC16"/>
      <c r="AD16"/>
      <c r="AE16"/>
      <c r="AF16"/>
    </row>
    <row r="17">
      <c r="A17" t="s">
        <v>103</v>
      </c>
      <c r="B17" t="s">
        <v>304</v>
      </c>
      <c r="C17" t="s">
        <v>203</v>
      </c>
      <c r="D17" t="s">
        <v>305</v>
      </c>
      <c r="E17" t="s">
        <v>204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 t="n">
        <v>0</v>
      </c>
      <c r="AB17"/>
      <c r="AC17"/>
      <c r="AD17"/>
      <c r="AE17"/>
      <c r="AF17"/>
    </row>
    <row r="18">
      <c r="A18" t="s">
        <v>103</v>
      </c>
      <c r="B18" t="s">
        <v>306</v>
      </c>
      <c r="C18" t="s">
        <v>203</v>
      </c>
      <c r="D18" t="s">
        <v>307</v>
      </c>
      <c r="E18" t="s">
        <v>204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 t="n">
        <v>0</v>
      </c>
      <c r="AB18"/>
      <c r="AC18"/>
      <c r="AD18"/>
      <c r="AE18"/>
      <c r="AF18"/>
    </row>
    <row r="19">
      <c r="A19" t="s">
        <v>103</v>
      </c>
      <c r="B19" t="s">
        <v>308</v>
      </c>
      <c r="C19" t="s">
        <v>203</v>
      </c>
      <c r="D19" t="s">
        <v>309</v>
      </c>
      <c r="E19" t="s">
        <v>204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 t="n">
        <v>0</v>
      </c>
      <c r="AB19"/>
      <c r="AC19"/>
      <c r="AD19"/>
      <c r="AE19"/>
      <c r="AF19"/>
    </row>
    <row r="20">
      <c r="A20" t="s">
        <v>103</v>
      </c>
      <c r="B20" t="s">
        <v>310</v>
      </c>
      <c r="C20" t="s">
        <v>203</v>
      </c>
      <c r="D20" t="s">
        <v>311</v>
      </c>
      <c r="E20" t="s">
        <v>204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 t="n">
        <v>0</v>
      </c>
      <c r="AB20"/>
      <c r="AC20"/>
      <c r="AD20"/>
      <c r="AE20"/>
      <c r="AF20"/>
    </row>
    <row r="21">
      <c r="A21" t="s">
        <v>103</v>
      </c>
      <c r="B21" t="s">
        <v>312</v>
      </c>
      <c r="C21" t="s">
        <v>203</v>
      </c>
      <c r="D21" t="s">
        <v>313</v>
      </c>
      <c r="E21" t="s">
        <v>204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 t="n">
        <v>40.1</v>
      </c>
      <c r="AB21"/>
      <c r="AC21"/>
      <c r="AD21"/>
      <c r="AE21"/>
      <c r="AF21"/>
    </row>
    <row r="22">
      <c r="A22" t="s">
        <v>103</v>
      </c>
      <c r="B22" t="s">
        <v>314</v>
      </c>
      <c r="C22" t="s">
        <v>203</v>
      </c>
      <c r="D22" t="s">
        <v>315</v>
      </c>
      <c r="E22" t="s">
        <v>204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 t="n">
        <v>40.1</v>
      </c>
      <c r="AB22"/>
      <c r="AC22"/>
      <c r="AD22"/>
      <c r="AE22"/>
      <c r="AF22"/>
    </row>
    <row r="23">
      <c r="A23" t="s">
        <v>103</v>
      </c>
      <c r="B23" t="s">
        <v>316</v>
      </c>
      <c r="C23" t="s">
        <v>203</v>
      </c>
      <c r="D23" t="s">
        <v>317</v>
      </c>
      <c r="E23" t="s">
        <v>204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 t="n">
        <v>0.1</v>
      </c>
      <c r="AB23"/>
      <c r="AC23"/>
      <c r="AD23"/>
      <c r="AE23"/>
      <c r="AF23"/>
    </row>
    <row r="24">
      <c r="A24" t="s">
        <v>103</v>
      </c>
      <c r="B24" t="s">
        <v>318</v>
      </c>
      <c r="C24" t="s">
        <v>203</v>
      </c>
      <c r="D24" t="s">
        <v>319</v>
      </c>
      <c r="E24" t="s">
        <v>204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 t="n">
        <v>0</v>
      </c>
      <c r="AB24"/>
      <c r="AC24"/>
      <c r="AD24"/>
      <c r="AE24"/>
      <c r="AF24"/>
    </row>
    <row r="25">
      <c r="A25" t="s">
        <v>103</v>
      </c>
      <c r="B25" t="s">
        <v>320</v>
      </c>
      <c r="C25" t="s">
        <v>203</v>
      </c>
      <c r="D25" t="s">
        <v>321</v>
      </c>
      <c r="E25" t="s">
        <v>204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 t="n">
        <v>0</v>
      </c>
      <c r="AB25"/>
      <c r="AC25"/>
      <c r="AD25"/>
      <c r="AE25"/>
      <c r="AF25"/>
    </row>
    <row r="26">
      <c r="A26" t="s">
        <v>103</v>
      </c>
      <c r="B26" t="s">
        <v>322</v>
      </c>
      <c r="C26" t="s">
        <v>203</v>
      </c>
      <c r="D26" t="s">
        <v>323</v>
      </c>
      <c r="E26" t="s">
        <v>204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 t="n">
        <v>0</v>
      </c>
      <c r="AB26"/>
      <c r="AC26"/>
      <c r="AD26"/>
      <c r="AE26"/>
      <c r="AF26"/>
    </row>
    <row r="27">
      <c r="A27" t="s">
        <v>103</v>
      </c>
      <c r="B27" t="s">
        <v>324</v>
      </c>
      <c r="C27" t="s">
        <v>203</v>
      </c>
      <c r="D27" t="s">
        <v>325</v>
      </c>
      <c r="E27" t="s">
        <v>204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 t="n">
        <v>0</v>
      </c>
      <c r="AB27"/>
      <c r="AC27"/>
      <c r="AD27"/>
      <c r="AE27"/>
      <c r="AF27"/>
    </row>
    <row r="28">
      <c r="A28" t="s">
        <v>103</v>
      </c>
      <c r="B28" t="s">
        <v>326</v>
      </c>
      <c r="C28" t="s">
        <v>203</v>
      </c>
      <c r="D28" t="s">
        <v>327</v>
      </c>
      <c r="E28" t="s">
        <v>204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 t="n">
        <v>134.7</v>
      </c>
      <c r="AB28"/>
      <c r="AC28"/>
      <c r="AD28"/>
      <c r="AE28"/>
      <c r="AF28"/>
    </row>
    <row r="29">
      <c r="A29" t="s">
        <v>103</v>
      </c>
      <c r="B29" t="s">
        <v>328</v>
      </c>
      <c r="C29" t="s">
        <v>203</v>
      </c>
      <c r="D29" t="s">
        <v>329</v>
      </c>
      <c r="E29" t="s">
        <v>204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 t="n">
        <v>1.6</v>
      </c>
      <c r="AB29"/>
      <c r="AC29"/>
      <c r="AD29"/>
      <c r="AE29"/>
      <c r="AF29"/>
    </row>
    <row r="30">
      <c r="A30" t="s">
        <v>103</v>
      </c>
      <c r="B30" t="s">
        <v>330</v>
      </c>
      <c r="C30" t="s">
        <v>203</v>
      </c>
      <c r="D30" t="s">
        <v>331</v>
      </c>
      <c r="E30" t="s">
        <v>204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 t="n">
        <v>0</v>
      </c>
      <c r="AB30"/>
      <c r="AC30"/>
      <c r="AD30"/>
      <c r="AE30"/>
      <c r="AF30"/>
    </row>
    <row r="31">
      <c r="A31" t="s">
        <v>103</v>
      </c>
      <c r="B31" t="s">
        <v>332</v>
      </c>
      <c r="C31" t="s">
        <v>203</v>
      </c>
      <c r="D31" t="s">
        <v>333</v>
      </c>
      <c r="E31" t="s">
        <v>204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 t="n">
        <v>0.2</v>
      </c>
      <c r="AB31"/>
      <c r="AC31"/>
      <c r="AD31"/>
      <c r="AE31"/>
      <c r="AF31"/>
    </row>
    <row r="32">
      <c r="A32" t="s">
        <v>103</v>
      </c>
      <c r="B32" t="s">
        <v>334</v>
      </c>
      <c r="C32" t="s">
        <v>203</v>
      </c>
      <c r="D32" t="s">
        <v>335</v>
      </c>
      <c r="E32" t="s">
        <v>204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 t="n">
        <v>132.9</v>
      </c>
      <c r="AB32"/>
      <c r="AC32"/>
      <c r="AD32"/>
      <c r="AE32"/>
      <c r="AF32"/>
    </row>
    <row r="33">
      <c r="A33" t="s">
        <v>103</v>
      </c>
      <c r="B33" t="s">
        <v>336</v>
      </c>
      <c r="C33" t="s">
        <v>203</v>
      </c>
      <c r="D33" t="s">
        <v>337</v>
      </c>
      <c r="E33" t="s">
        <v>204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 t="n">
        <v>0</v>
      </c>
      <c r="AB33"/>
      <c r="AC33"/>
      <c r="AD33"/>
      <c r="AE33"/>
      <c r="AF33"/>
    </row>
    <row r="34">
      <c r="A34" t="s">
        <v>103</v>
      </c>
      <c r="B34" t="s">
        <v>338</v>
      </c>
      <c r="C34" t="s">
        <v>203</v>
      </c>
      <c r="D34" t="s">
        <v>339</v>
      </c>
      <c r="E34" t="s">
        <v>204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 t="n">
        <v>1.2</v>
      </c>
      <c r="AB34"/>
      <c r="AC34"/>
      <c r="AD34"/>
      <c r="AE34"/>
      <c r="AF34"/>
    </row>
    <row r="35">
      <c r="A35" t="s">
        <v>103</v>
      </c>
      <c r="B35" t="s">
        <v>340</v>
      </c>
      <c r="C35" t="s">
        <v>203</v>
      </c>
      <c r="D35" t="s">
        <v>341</v>
      </c>
      <c r="E35" t="s">
        <v>204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 t="n">
        <v>13.9</v>
      </c>
      <c r="AB35"/>
      <c r="AC35"/>
      <c r="AD35"/>
      <c r="AE35"/>
      <c r="AF35"/>
    </row>
    <row r="36">
      <c r="A36" t="s">
        <v>103</v>
      </c>
      <c r="B36" t="s">
        <v>342</v>
      </c>
      <c r="C36" t="s">
        <v>203</v>
      </c>
      <c r="D36" t="s">
        <v>343</v>
      </c>
      <c r="E36" t="s">
        <v>204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 t="n">
        <v>13.9</v>
      </c>
      <c r="AB36"/>
      <c r="AC36"/>
      <c r="AD36"/>
      <c r="AE36"/>
      <c r="AF36"/>
    </row>
    <row r="37">
      <c r="A37" t="s">
        <v>103</v>
      </c>
      <c r="B37" t="s">
        <v>344</v>
      </c>
      <c r="C37" t="s">
        <v>203</v>
      </c>
      <c r="D37" t="s">
        <v>345</v>
      </c>
      <c r="E37" t="s">
        <v>204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 t="n">
        <v>0</v>
      </c>
      <c r="AB37"/>
      <c r="AC37"/>
      <c r="AD37"/>
      <c r="AE37"/>
      <c r="AF37"/>
    </row>
    <row r="38">
      <c r="A38" t="s">
        <v>103</v>
      </c>
      <c r="B38" t="s">
        <v>346</v>
      </c>
      <c r="C38" t="s">
        <v>203</v>
      </c>
      <c r="D38" t="s">
        <v>347</v>
      </c>
      <c r="E38" t="s">
        <v>204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 t="n">
        <v>0</v>
      </c>
      <c r="AB38"/>
      <c r="AC38"/>
      <c r="AD38"/>
      <c r="AE38"/>
      <c r="AF38"/>
    </row>
    <row r="39">
      <c r="A39" t="s">
        <v>103</v>
      </c>
      <c r="B39" t="s">
        <v>348</v>
      </c>
      <c r="C39" t="s">
        <v>203</v>
      </c>
      <c r="D39" t="s">
        <v>349</v>
      </c>
      <c r="E39" t="s">
        <v>204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 t="n">
        <v>0.2</v>
      </c>
      <c r="AB39"/>
      <c r="AC39"/>
      <c r="AD39"/>
      <c r="AE39"/>
      <c r="AF39"/>
    </row>
    <row r="40">
      <c r="A40" t="s">
        <v>103</v>
      </c>
      <c r="B40" t="s">
        <v>350</v>
      </c>
      <c r="C40" t="s">
        <v>203</v>
      </c>
      <c r="D40" t="s">
        <v>351</v>
      </c>
      <c r="E40" t="s">
        <v>204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 t="n">
        <v>235</v>
      </c>
      <c r="AB40"/>
      <c r="AC40"/>
      <c r="AD40"/>
      <c r="AE40"/>
      <c r="AF40"/>
    </row>
    <row r="41">
      <c r="A41" t="s">
        <v>103</v>
      </c>
      <c r="B41" t="s">
        <v>352</v>
      </c>
      <c r="C41" t="s">
        <v>203</v>
      </c>
      <c r="D41" t="s">
        <v>353</v>
      </c>
      <c r="E41" t="s">
        <v>204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 t="n">
        <v>0</v>
      </c>
      <c r="AB41"/>
      <c r="AC41"/>
      <c r="AD41"/>
      <c r="AE41"/>
      <c r="AF41"/>
    </row>
    <row r="42">
      <c r="A42" t="s">
        <v>103</v>
      </c>
      <c r="B42" t="s">
        <v>354</v>
      </c>
      <c r="C42" t="s">
        <v>203</v>
      </c>
      <c r="D42" t="s">
        <v>355</v>
      </c>
      <c r="E42" t="s">
        <v>204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 t="n">
        <v>63.7</v>
      </c>
      <c r="AB42"/>
      <c r="AC42"/>
      <c r="AD42"/>
      <c r="AE42"/>
      <c r="AF42"/>
    </row>
    <row r="43">
      <c r="A43" t="s">
        <v>103</v>
      </c>
      <c r="B43" t="s">
        <v>356</v>
      </c>
      <c r="C43" t="s">
        <v>203</v>
      </c>
      <c r="D43" t="s">
        <v>357</v>
      </c>
      <c r="E43" t="s">
        <v>204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 t="n">
        <v>63.8</v>
      </c>
      <c r="AB43"/>
      <c r="AC43"/>
      <c r="AD43"/>
      <c r="AE43"/>
      <c r="AF43"/>
    </row>
    <row r="44">
      <c r="A44" t="s">
        <v>103</v>
      </c>
      <c r="B44" t="s">
        <v>358</v>
      </c>
      <c r="C44" t="s">
        <v>203</v>
      </c>
      <c r="D44" t="s">
        <v>359</v>
      </c>
      <c r="E44" t="s">
        <v>204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 t="n">
        <v>435.1</v>
      </c>
      <c r="AB44"/>
      <c r="AC44"/>
      <c r="AD44"/>
      <c r="AE44"/>
      <c r="AF44"/>
    </row>
    <row r="45">
      <c r="A45" t="s">
        <v>103</v>
      </c>
      <c r="B45" t="s">
        <v>360</v>
      </c>
      <c r="C45" t="s">
        <v>203</v>
      </c>
      <c r="D45" t="s">
        <v>361</v>
      </c>
      <c r="E45" t="s">
        <v>204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 t="n">
        <v>435.1</v>
      </c>
      <c r="AB45"/>
      <c r="AC45"/>
      <c r="AD45"/>
      <c r="AE45"/>
      <c r="AF45"/>
    </row>
    <row r="46">
      <c r="A46" t="s">
        <v>103</v>
      </c>
      <c r="B46" t="s">
        <v>362</v>
      </c>
      <c r="C46" t="s">
        <v>203</v>
      </c>
      <c r="D46" t="s">
        <v>363</v>
      </c>
      <c r="E46" t="s">
        <v>204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 t="n">
        <v>0.1</v>
      </c>
      <c r="AB46"/>
      <c r="AC46"/>
      <c r="AD46"/>
      <c r="AE46"/>
      <c r="AF46"/>
    </row>
    <row r="47">
      <c r="A47" t="s">
        <v>103</v>
      </c>
      <c r="B47" t="s">
        <v>364</v>
      </c>
      <c r="C47" t="s">
        <v>203</v>
      </c>
      <c r="D47" t="s">
        <v>365</v>
      </c>
      <c r="E47" t="s">
        <v>204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 t="n">
        <v>3726.8</v>
      </c>
      <c r="AB47"/>
      <c r="AC47"/>
      <c r="AD47"/>
      <c r="AE47"/>
      <c r="AF47"/>
    </row>
    <row r="48">
      <c r="A48" t="s">
        <v>103</v>
      </c>
      <c r="B48" t="s">
        <v>366</v>
      </c>
      <c r="C48" t="s">
        <v>203</v>
      </c>
      <c r="D48" t="s">
        <v>367</v>
      </c>
      <c r="E48" t="s">
        <v>204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 t="n">
        <v>5109.3</v>
      </c>
      <c r="AB48"/>
      <c r="AC48"/>
      <c r="AD48"/>
      <c r="AE48"/>
      <c r="AF48"/>
    </row>
    <row r="49">
      <c r="A49" t="s">
        <v>103</v>
      </c>
      <c r="B49" t="s">
        <v>368</v>
      </c>
      <c r="C49" t="s">
        <v>203</v>
      </c>
      <c r="D49" t="s">
        <v>369</v>
      </c>
      <c r="E49" t="s">
        <v>204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 t="n">
        <v>781.4</v>
      </c>
      <c r="AB49"/>
      <c r="AC49"/>
      <c r="AD49"/>
      <c r="AE49"/>
      <c r="AF49"/>
    </row>
    <row r="50">
      <c r="A50" t="s">
        <v>103</v>
      </c>
      <c r="B50" t="s">
        <v>370</v>
      </c>
      <c r="C50" t="s">
        <v>203</v>
      </c>
      <c r="D50" t="s">
        <v>371</v>
      </c>
      <c r="E50" t="s">
        <v>204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 t="n">
        <v>601</v>
      </c>
      <c r="AB50"/>
      <c r="AC50"/>
      <c r="AD50"/>
      <c r="AE50"/>
      <c r="AF50"/>
    </row>
    <row r="51">
      <c r="A51" t="s">
        <v>103</v>
      </c>
      <c r="B51" t="s">
        <v>372</v>
      </c>
      <c r="C51" t="s">
        <v>203</v>
      </c>
      <c r="D51" t="s">
        <v>373</v>
      </c>
      <c r="E51" t="s">
        <v>204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 t="n">
        <v>600.2</v>
      </c>
      <c r="AB51"/>
      <c r="AC51"/>
      <c r="AD51"/>
      <c r="AE51"/>
      <c r="AF51"/>
    </row>
    <row r="52">
      <c r="A52" t="s">
        <v>103</v>
      </c>
      <c r="B52" t="s">
        <v>374</v>
      </c>
      <c r="C52" t="s">
        <v>203</v>
      </c>
      <c r="D52" t="s">
        <v>375</v>
      </c>
      <c r="E52" t="s">
        <v>204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 t="n">
        <v>0.8</v>
      </c>
      <c r="AB52"/>
      <c r="AC52"/>
      <c r="AD52"/>
      <c r="AE52"/>
      <c r="AF52"/>
    </row>
    <row r="53">
      <c r="A53" t="s">
        <v>103</v>
      </c>
      <c r="B53" t="s">
        <v>376</v>
      </c>
      <c r="C53" t="s">
        <v>203</v>
      </c>
      <c r="D53" t="s">
        <v>377</v>
      </c>
      <c r="E53" t="s">
        <v>204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 t="n">
        <v>128.9</v>
      </c>
      <c r="AB53"/>
      <c r="AC53"/>
      <c r="AD53"/>
      <c r="AE53"/>
      <c r="AF53"/>
    </row>
    <row r="54">
      <c r="A54" t="s">
        <v>103</v>
      </c>
      <c r="B54" t="s">
        <v>378</v>
      </c>
      <c r="C54" t="s">
        <v>203</v>
      </c>
      <c r="D54" t="s">
        <v>379</v>
      </c>
      <c r="E54" t="s">
        <v>204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 t="n">
        <v>181.1</v>
      </c>
      <c r="AB54"/>
      <c r="AC54"/>
      <c r="AD54"/>
      <c r="AE54"/>
      <c r="AF54"/>
    </row>
    <row r="55">
      <c r="A55" t="s">
        <v>103</v>
      </c>
      <c r="B55" t="s">
        <v>380</v>
      </c>
      <c r="C55" t="s">
        <v>203</v>
      </c>
      <c r="D55" t="s">
        <v>381</v>
      </c>
      <c r="E55" t="s">
        <v>204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 t="n">
        <v>52.2</v>
      </c>
      <c r="AB55"/>
      <c r="AC55"/>
      <c r="AD55"/>
      <c r="AE55"/>
      <c r="AF55"/>
    </row>
    <row r="56">
      <c r="A56" t="s">
        <v>103</v>
      </c>
      <c r="B56" t="s">
        <v>382</v>
      </c>
      <c r="C56" t="s">
        <v>203</v>
      </c>
      <c r="D56" t="s">
        <v>383</v>
      </c>
      <c r="E56" t="s">
        <v>204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 t="n">
        <v>0</v>
      </c>
      <c r="AB56"/>
      <c r="AC56"/>
      <c r="AD56"/>
      <c r="AE56"/>
      <c r="AF56"/>
    </row>
    <row r="57">
      <c r="A57" t="s">
        <v>103</v>
      </c>
      <c r="B57" t="s">
        <v>384</v>
      </c>
      <c r="C57" t="s">
        <v>203</v>
      </c>
      <c r="D57" t="s">
        <v>385</v>
      </c>
      <c r="E57" t="s">
        <v>204</v>
      </c>
      <c r="F57"/>
      <c r="G57"/>
      <c r="H57"/>
      <c r="I57"/>
      <c r="J57"/>
      <c r="K57" t="n">
        <v>10896.8</v>
      </c>
      <c r="L57" t="n">
        <v>11009.9</v>
      </c>
      <c r="M57" t="n">
        <v>11272.8</v>
      </c>
      <c r="N57" t="n">
        <v>11409.5</v>
      </c>
      <c r="O57" t="n">
        <v>12123</v>
      </c>
      <c r="P57" t="n">
        <v>13371.1</v>
      </c>
      <c r="Q57" t="n">
        <v>17086.9</v>
      </c>
      <c r="R57" t="n">
        <v>20848.7</v>
      </c>
      <c r="S57" t="n">
        <v>25258.5</v>
      </c>
      <c r="T57" t="n">
        <v>28514.4</v>
      </c>
      <c r="U57" t="n">
        <v>32010</v>
      </c>
      <c r="V57" t="n">
        <v>35723.8</v>
      </c>
      <c r="W57" t="n">
        <v>36016.8</v>
      </c>
      <c r="X57" t="n">
        <v>35156.4</v>
      </c>
      <c r="Y57" t="n">
        <v>34753</v>
      </c>
      <c r="Z57" t="n">
        <v>36827.6</v>
      </c>
      <c r="AA57" t="n">
        <v>37129.3</v>
      </c>
      <c r="AB57" t="n">
        <v>38488.3</v>
      </c>
      <c r="AC57" t="n">
        <v>38839.4</v>
      </c>
      <c r="AD57" t="n">
        <v>41684.3</v>
      </c>
      <c r="AE57" t="n">
        <v>44804.2</v>
      </c>
      <c r="AF57" t="n">
        <v>49394.9</v>
      </c>
    </row>
    <row r="58">
      <c r="A58" t="s">
        <v>103</v>
      </c>
      <c r="B58" t="s">
        <v>386</v>
      </c>
      <c r="C58" t="s">
        <v>203</v>
      </c>
      <c r="D58" t="s">
        <v>387</v>
      </c>
      <c r="E58" t="s">
        <v>204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 t="n">
        <v>5779.3</v>
      </c>
      <c r="AB58"/>
      <c r="AC58"/>
      <c r="AD58"/>
      <c r="AE58"/>
      <c r="AF58"/>
    </row>
    <row r="59">
      <c r="A59" t="s">
        <v>103</v>
      </c>
      <c r="B59" t="s">
        <v>388</v>
      </c>
      <c r="C59" t="s">
        <v>203</v>
      </c>
      <c r="D59" t="s">
        <v>389</v>
      </c>
      <c r="E59" t="s">
        <v>204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 t="n">
        <v>0</v>
      </c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105</v>
      </c>
      <c r="B2" t="s">
        <v>197</v>
      </c>
      <c r="C2" t="s">
        <v>203</v>
      </c>
      <c r="D2" t="s">
        <v>199</v>
      </c>
      <c r="E2" t="s">
        <v>204</v>
      </c>
      <c r="F2"/>
      <c r="G2"/>
      <c r="H2"/>
      <c r="I2"/>
      <c r="J2"/>
      <c r="K2" t="n">
        <v>299.5</v>
      </c>
      <c r="L2" t="n">
        <v>351.9</v>
      </c>
      <c r="M2" t="n">
        <v>442</v>
      </c>
      <c r="N2" t="n">
        <v>482.4</v>
      </c>
      <c r="O2" t="n">
        <v>543.3</v>
      </c>
      <c r="P2" t="n">
        <v>631.6</v>
      </c>
      <c r="Q2" t="n">
        <v>742.9</v>
      </c>
      <c r="R2" t="n">
        <v>844.1</v>
      </c>
      <c r="S2" t="n">
        <v>1141.1</v>
      </c>
      <c r="T2" t="n">
        <v>1350.7</v>
      </c>
      <c r="U2" t="n">
        <v>1472</v>
      </c>
      <c r="V2" t="n">
        <v>1634.4</v>
      </c>
      <c r="W2" t="n">
        <v>1893</v>
      </c>
      <c r="X2" t="n">
        <v>2072.2</v>
      </c>
      <c r="Y2" t="n">
        <v>2382.6</v>
      </c>
      <c r="Z2" t="n">
        <v>2691.6</v>
      </c>
      <c r="AA2" t="n">
        <v>2831.3</v>
      </c>
      <c r="AB2" t="n">
        <v>3684.2</v>
      </c>
      <c r="AC2" t="n">
        <v>4059.6</v>
      </c>
      <c r="AD2" t="n">
        <v>4297</v>
      </c>
      <c r="AE2" t="n">
        <v>4441.1</v>
      </c>
      <c r="AF2" t="n">
        <v>4825.5</v>
      </c>
    </row>
    <row r="3">
      <c r="A3" t="s">
        <v>105</v>
      </c>
      <c r="B3" t="s">
        <v>276</v>
      </c>
      <c r="C3" t="s">
        <v>203</v>
      </c>
      <c r="D3" t="s">
        <v>277</v>
      </c>
      <c r="E3" t="s">
        <v>204</v>
      </c>
      <c r="F3"/>
      <c r="G3"/>
      <c r="H3"/>
      <c r="I3"/>
      <c r="J3"/>
      <c r="K3" t="n">
        <v>949.9</v>
      </c>
      <c r="L3" t="n">
        <v>936.7</v>
      </c>
      <c r="M3" t="n">
        <v>1066.7</v>
      </c>
      <c r="N3" t="n">
        <v>1115</v>
      </c>
      <c r="O3" t="n">
        <v>1166.8</v>
      </c>
      <c r="P3" t="n">
        <v>1241.4</v>
      </c>
      <c r="Q3" t="n">
        <v>1380.9</v>
      </c>
      <c r="R3" t="n">
        <v>1491.3</v>
      </c>
      <c r="S3" t="n">
        <v>1753.6</v>
      </c>
      <c r="T3" t="n">
        <v>1939.9</v>
      </c>
      <c r="U3" t="n">
        <v>1994.9</v>
      </c>
      <c r="V3" t="n">
        <v>2109.6</v>
      </c>
      <c r="W3" t="n">
        <v>2222.8</v>
      </c>
      <c r="X3" t="n">
        <v>2255.1</v>
      </c>
      <c r="Y3" t="n">
        <v>2410.7</v>
      </c>
      <c r="Z3" t="n">
        <v>2447.9</v>
      </c>
      <c r="AA3" t="n">
        <v>2461</v>
      </c>
      <c r="AB3" t="n">
        <v>2894.3</v>
      </c>
      <c r="AC3" t="n">
        <v>2962.9</v>
      </c>
      <c r="AD3" t="n">
        <v>3136.2</v>
      </c>
      <c r="AE3" t="n">
        <v>3241.4</v>
      </c>
      <c r="AF3" t="n">
        <v>3522</v>
      </c>
    </row>
    <row r="4">
      <c r="A4" t="s">
        <v>105</v>
      </c>
      <c r="B4" t="s">
        <v>278</v>
      </c>
      <c r="C4" t="s">
        <v>203</v>
      </c>
      <c r="D4" t="s">
        <v>279</v>
      </c>
      <c r="E4" t="s">
        <v>204</v>
      </c>
      <c r="F4"/>
      <c r="G4"/>
      <c r="H4"/>
      <c r="I4"/>
      <c r="J4"/>
      <c r="K4" t="n">
        <v>2520.2</v>
      </c>
      <c r="L4" t="n">
        <v>3035.6</v>
      </c>
      <c r="M4" t="n">
        <v>3714.4</v>
      </c>
      <c r="N4" t="n">
        <v>4098.2</v>
      </c>
      <c r="O4" t="n">
        <v>4558.3</v>
      </c>
      <c r="P4" t="n">
        <v>5222.1</v>
      </c>
      <c r="Q4" t="n">
        <v>6201.9</v>
      </c>
      <c r="R4" t="n">
        <v>7124.4</v>
      </c>
      <c r="S4" t="n">
        <v>8549.7</v>
      </c>
      <c r="T4" t="n">
        <v>10138.7</v>
      </c>
      <c r="U4" t="n">
        <v>10588.9</v>
      </c>
      <c r="V4" t="n">
        <v>11313.2</v>
      </c>
      <c r="W4" t="n">
        <v>12057.4</v>
      </c>
      <c r="X4" t="n">
        <v>12354</v>
      </c>
      <c r="Y4" t="n">
        <v>12581.6</v>
      </c>
      <c r="Z4" t="n">
        <v>14344.4</v>
      </c>
      <c r="AA4" t="n">
        <v>15165.6</v>
      </c>
      <c r="AB4" t="n">
        <v>19017</v>
      </c>
      <c r="AC4" t="n">
        <v>20137.8</v>
      </c>
      <c r="AD4" t="n">
        <v>21315.7</v>
      </c>
      <c r="AE4" t="n">
        <v>22030.5</v>
      </c>
      <c r="AF4" t="n">
        <v>23937.5</v>
      </c>
    </row>
    <row r="5">
      <c r="A5" t="s">
        <v>105</v>
      </c>
      <c r="B5" t="s">
        <v>280</v>
      </c>
      <c r="C5" t="s">
        <v>203</v>
      </c>
      <c r="D5" t="s">
        <v>281</v>
      </c>
      <c r="E5" t="s">
        <v>204</v>
      </c>
      <c r="F5"/>
      <c r="G5"/>
      <c r="H5"/>
      <c r="I5"/>
      <c r="J5"/>
      <c r="K5" t="n">
        <v>392.2</v>
      </c>
      <c r="L5" t="n">
        <v>485.7</v>
      </c>
      <c r="M5" t="n">
        <v>614.9</v>
      </c>
      <c r="N5" t="n">
        <v>709.8</v>
      </c>
      <c r="O5" t="n">
        <v>837.4</v>
      </c>
      <c r="P5" t="n">
        <v>998</v>
      </c>
      <c r="Q5" t="n">
        <v>1227.8</v>
      </c>
      <c r="R5" t="n">
        <v>1454.9</v>
      </c>
      <c r="S5" t="n">
        <v>1780.4</v>
      </c>
      <c r="T5" t="n">
        <v>2046.1</v>
      </c>
      <c r="U5" t="n">
        <v>2173.2</v>
      </c>
      <c r="V5" t="n">
        <v>2340.1</v>
      </c>
      <c r="W5" t="n">
        <v>2497.1</v>
      </c>
      <c r="X5" t="n">
        <v>2561.2</v>
      </c>
      <c r="Y5" t="n">
        <v>2716.5</v>
      </c>
      <c r="Z5" t="n">
        <v>2921.2</v>
      </c>
      <c r="AA5" t="n">
        <v>3003.8</v>
      </c>
      <c r="AB5" t="n">
        <v>3715</v>
      </c>
      <c r="AC5" t="n">
        <v>3951.2</v>
      </c>
      <c r="AD5" t="n">
        <v>4182.3</v>
      </c>
      <c r="AE5" t="n">
        <v>4322.6</v>
      </c>
      <c r="AF5" t="n">
        <v>4696.7</v>
      </c>
    </row>
    <row r="6">
      <c r="A6" t="s">
        <v>105</v>
      </c>
      <c r="B6" t="s">
        <v>282</v>
      </c>
      <c r="C6" t="s">
        <v>203</v>
      </c>
      <c r="D6" t="s">
        <v>283</v>
      </c>
      <c r="E6" t="s">
        <v>204</v>
      </c>
      <c r="F6"/>
      <c r="G6"/>
      <c r="H6"/>
      <c r="I6"/>
      <c r="J6"/>
      <c r="K6" t="n">
        <v>242.7</v>
      </c>
      <c r="L6" t="n">
        <v>280.5</v>
      </c>
      <c r="M6" t="n">
        <v>356.5</v>
      </c>
      <c r="N6" t="n">
        <v>423.6</v>
      </c>
      <c r="O6" t="n">
        <v>476.5</v>
      </c>
      <c r="P6" t="n">
        <v>544.7</v>
      </c>
      <c r="Q6" t="n">
        <v>669.1</v>
      </c>
      <c r="R6" t="n">
        <v>748.8</v>
      </c>
      <c r="S6" t="n">
        <v>865.6</v>
      </c>
      <c r="T6" t="n">
        <v>959.2</v>
      </c>
      <c r="U6" t="n">
        <v>976.8</v>
      </c>
      <c r="V6" t="n">
        <v>1031.3</v>
      </c>
      <c r="W6" t="n">
        <v>1064.6</v>
      </c>
      <c r="X6" t="n">
        <v>1060.5</v>
      </c>
      <c r="Y6" t="n">
        <v>1044.4</v>
      </c>
      <c r="Z6" t="n">
        <v>1095.4</v>
      </c>
      <c r="AA6" t="n">
        <v>1173.3</v>
      </c>
      <c r="AB6" t="n">
        <v>1447.8</v>
      </c>
      <c r="AC6" t="n">
        <v>1483.4</v>
      </c>
      <c r="AD6" t="n">
        <v>1570.2</v>
      </c>
      <c r="AE6" t="n">
        <v>1622.8</v>
      </c>
      <c r="AF6" t="n">
        <v>1763.3</v>
      </c>
    </row>
    <row r="7">
      <c r="A7" t="s">
        <v>105</v>
      </c>
      <c r="B7" t="s">
        <v>284</v>
      </c>
      <c r="C7" t="s">
        <v>203</v>
      </c>
      <c r="D7" t="s">
        <v>285</v>
      </c>
      <c r="E7" t="s">
        <v>204</v>
      </c>
      <c r="F7"/>
      <c r="G7"/>
      <c r="H7"/>
      <c r="I7"/>
      <c r="J7"/>
      <c r="K7" t="n">
        <v>169.3</v>
      </c>
      <c r="L7" t="n">
        <v>204.4</v>
      </c>
      <c r="M7" t="n">
        <v>243.3</v>
      </c>
      <c r="N7" t="n">
        <v>261.2</v>
      </c>
      <c r="O7" t="n">
        <v>286.5</v>
      </c>
      <c r="P7" t="n">
        <v>313.8</v>
      </c>
      <c r="Q7" t="n">
        <v>354.4</v>
      </c>
      <c r="R7" t="n">
        <v>399.6</v>
      </c>
      <c r="S7" t="n">
        <v>462.3</v>
      </c>
      <c r="T7" t="n">
        <v>531.8</v>
      </c>
      <c r="U7" t="n">
        <v>554</v>
      </c>
      <c r="V7" t="n">
        <v>584.4</v>
      </c>
      <c r="W7" t="n">
        <v>637.5</v>
      </c>
      <c r="X7" t="n">
        <v>666</v>
      </c>
      <c r="Y7" t="n">
        <v>680.2</v>
      </c>
      <c r="Z7" t="n">
        <v>732.8</v>
      </c>
      <c r="AA7" t="n">
        <v>744.7</v>
      </c>
      <c r="AB7" t="n">
        <v>1066.2</v>
      </c>
      <c r="AC7" t="n">
        <v>1267.1</v>
      </c>
      <c r="AD7" t="n">
        <v>1341.2</v>
      </c>
      <c r="AE7" t="n">
        <v>1386.2</v>
      </c>
      <c r="AF7" t="n">
        <v>1506.2</v>
      </c>
    </row>
    <row r="8">
      <c r="A8" t="s">
        <v>105</v>
      </c>
      <c r="B8" t="s">
        <v>286</v>
      </c>
      <c r="C8" t="s">
        <v>203</v>
      </c>
      <c r="D8" t="s">
        <v>287</v>
      </c>
      <c r="E8" t="s">
        <v>204</v>
      </c>
      <c r="F8"/>
      <c r="G8"/>
      <c r="H8"/>
      <c r="I8"/>
      <c r="J8"/>
      <c r="K8" t="n">
        <v>150.8</v>
      </c>
      <c r="L8" t="n">
        <v>148.5</v>
      </c>
      <c r="M8" t="n">
        <v>179.6</v>
      </c>
      <c r="N8" t="n">
        <v>219.3</v>
      </c>
      <c r="O8" t="n">
        <v>250.3</v>
      </c>
      <c r="P8" t="n">
        <v>309.9</v>
      </c>
      <c r="Q8" t="n">
        <v>370.3</v>
      </c>
      <c r="R8" t="n">
        <v>432.6</v>
      </c>
      <c r="S8" t="n">
        <v>549.3</v>
      </c>
      <c r="T8" t="n">
        <v>947.5</v>
      </c>
      <c r="U8" t="n">
        <v>981.6</v>
      </c>
      <c r="V8" t="n">
        <v>1041.4</v>
      </c>
      <c r="W8" t="n">
        <v>1118.9</v>
      </c>
      <c r="X8" t="n">
        <v>1154.3</v>
      </c>
      <c r="Y8" t="n">
        <v>1080.4</v>
      </c>
      <c r="Z8" t="n">
        <v>1904.1</v>
      </c>
      <c r="AA8" t="n">
        <v>2162.1</v>
      </c>
      <c r="AB8" t="n">
        <v>2610.4</v>
      </c>
      <c r="AC8" t="n">
        <v>2665.7</v>
      </c>
      <c r="AD8" t="n">
        <v>2821.7</v>
      </c>
      <c r="AE8" t="n">
        <v>2916.3</v>
      </c>
      <c r="AF8" t="n">
        <v>3168.7</v>
      </c>
    </row>
    <row r="9">
      <c r="A9" t="s">
        <v>105</v>
      </c>
      <c r="B9" t="s">
        <v>288</v>
      </c>
      <c r="C9" t="s">
        <v>203</v>
      </c>
      <c r="D9" t="s">
        <v>289</v>
      </c>
      <c r="E9" t="s">
        <v>204</v>
      </c>
      <c r="F9"/>
      <c r="G9"/>
      <c r="H9"/>
      <c r="I9"/>
      <c r="J9"/>
      <c r="K9" t="n">
        <v>197.9</v>
      </c>
      <c r="L9" t="n">
        <v>198.4</v>
      </c>
      <c r="M9" t="n">
        <v>243.2</v>
      </c>
      <c r="N9" t="n">
        <v>258</v>
      </c>
      <c r="O9" t="n">
        <v>268.1</v>
      </c>
      <c r="P9" t="n">
        <v>288.4</v>
      </c>
      <c r="Q9" t="n">
        <v>320.9</v>
      </c>
      <c r="R9" t="n">
        <v>357.9</v>
      </c>
      <c r="S9" t="n">
        <v>422.6</v>
      </c>
      <c r="T9" t="n">
        <v>506.7</v>
      </c>
      <c r="U9" t="n">
        <v>529.5</v>
      </c>
      <c r="V9" t="n">
        <v>561.6</v>
      </c>
      <c r="W9" t="n">
        <v>615.4</v>
      </c>
      <c r="X9" t="n">
        <v>645.4</v>
      </c>
      <c r="Y9" t="n">
        <v>751.3</v>
      </c>
      <c r="Z9" t="n">
        <v>799.6</v>
      </c>
      <c r="AA9" t="n">
        <v>837.8</v>
      </c>
      <c r="AB9" t="n">
        <v>1110.9</v>
      </c>
      <c r="AC9" t="n">
        <v>1155</v>
      </c>
      <c r="AD9" t="n">
        <v>1222.6</v>
      </c>
      <c r="AE9" t="n">
        <v>1263.6</v>
      </c>
      <c r="AF9" t="n">
        <v>1372.9</v>
      </c>
    </row>
    <row r="10">
      <c r="A10" t="s">
        <v>105</v>
      </c>
      <c r="B10" t="s">
        <v>290</v>
      </c>
      <c r="C10" t="s">
        <v>203</v>
      </c>
      <c r="D10" t="s">
        <v>291</v>
      </c>
      <c r="E10" t="s">
        <v>204</v>
      </c>
      <c r="F10"/>
      <c r="G10"/>
      <c r="H10"/>
      <c r="I10"/>
      <c r="J10"/>
      <c r="K10" t="n">
        <v>213.6</v>
      </c>
      <c r="L10" t="n">
        <v>214.1</v>
      </c>
      <c r="M10" t="n">
        <v>282.5</v>
      </c>
      <c r="N10" t="n">
        <v>317.2</v>
      </c>
      <c r="O10" t="n">
        <v>348.1</v>
      </c>
      <c r="P10" t="n">
        <v>390.6</v>
      </c>
      <c r="Q10" t="n">
        <v>443.4</v>
      </c>
      <c r="R10" t="n">
        <v>506.4</v>
      </c>
      <c r="S10" t="n">
        <v>645.5</v>
      </c>
      <c r="T10" t="n">
        <v>746</v>
      </c>
      <c r="U10" t="n">
        <v>791.3</v>
      </c>
      <c r="V10" t="n">
        <v>875.6</v>
      </c>
      <c r="W10" t="n">
        <v>977.6</v>
      </c>
      <c r="X10" t="n">
        <v>1040.6</v>
      </c>
      <c r="Y10" t="n">
        <v>1149.4</v>
      </c>
      <c r="Z10" t="n">
        <v>1219.1</v>
      </c>
      <c r="AA10" t="n">
        <v>1279.5</v>
      </c>
      <c r="AB10" t="n">
        <v>1709.3</v>
      </c>
      <c r="AC10" t="n">
        <v>1837.5</v>
      </c>
      <c r="AD10" t="n">
        <v>1945</v>
      </c>
      <c r="AE10" t="n">
        <v>2010.2</v>
      </c>
      <c r="AF10" t="n">
        <v>2184.2</v>
      </c>
    </row>
    <row r="11">
      <c r="A11" t="s">
        <v>105</v>
      </c>
      <c r="B11" t="s">
        <v>292</v>
      </c>
      <c r="C11" t="s">
        <v>203</v>
      </c>
      <c r="D11" t="s">
        <v>293</v>
      </c>
      <c r="E11" t="s">
        <v>204</v>
      </c>
      <c r="F11"/>
      <c r="G11"/>
      <c r="H11"/>
      <c r="I11"/>
      <c r="J11"/>
      <c r="K11" t="n">
        <v>15.7</v>
      </c>
      <c r="L11" t="n">
        <v>15.7</v>
      </c>
      <c r="M11" t="n">
        <v>39.3</v>
      </c>
      <c r="N11" t="n">
        <v>59.2</v>
      </c>
      <c r="O11" t="n">
        <v>80</v>
      </c>
      <c r="P11" t="n">
        <v>102.2</v>
      </c>
      <c r="Q11" t="n">
        <v>122.5</v>
      </c>
      <c r="R11" t="n">
        <v>148.5</v>
      </c>
      <c r="S11" t="n">
        <v>222.9</v>
      </c>
      <c r="T11" t="n">
        <v>239.3</v>
      </c>
      <c r="U11" t="n">
        <v>261.8</v>
      </c>
      <c r="V11" t="n">
        <v>314</v>
      </c>
      <c r="W11" t="n">
        <v>362.2</v>
      </c>
      <c r="X11" t="n">
        <v>395.2</v>
      </c>
      <c r="Y11" t="n">
        <v>398.1</v>
      </c>
      <c r="Z11" t="n">
        <v>419.5</v>
      </c>
      <c r="AA11" t="n">
        <v>441.7</v>
      </c>
      <c r="AB11" t="n">
        <v>598.4</v>
      </c>
      <c r="AC11" t="n">
        <v>682.5</v>
      </c>
      <c r="AD11" t="n">
        <v>722.4</v>
      </c>
      <c r="AE11" t="n">
        <v>746.6</v>
      </c>
      <c r="AF11" t="n">
        <v>811.3</v>
      </c>
    </row>
    <row r="12">
      <c r="A12" t="s">
        <v>105</v>
      </c>
      <c r="B12" t="s">
        <v>294</v>
      </c>
      <c r="C12" t="s">
        <v>203</v>
      </c>
      <c r="D12" t="s">
        <v>295</v>
      </c>
      <c r="E12" t="s">
        <v>204</v>
      </c>
      <c r="F12"/>
      <c r="G12"/>
      <c r="H12"/>
      <c r="I12"/>
      <c r="J12"/>
      <c r="K12" t="n">
        <v>428.7</v>
      </c>
      <c r="L12" t="n">
        <v>620.2</v>
      </c>
      <c r="M12" t="n">
        <v>713.7</v>
      </c>
      <c r="N12" t="n">
        <v>743.2</v>
      </c>
      <c r="O12" t="n">
        <v>823.4</v>
      </c>
      <c r="P12" t="n">
        <v>974.7</v>
      </c>
      <c r="Q12" t="n">
        <v>1133.1</v>
      </c>
      <c r="R12" t="n">
        <v>1264</v>
      </c>
      <c r="S12" t="n">
        <v>1522.7</v>
      </c>
      <c r="T12" t="n">
        <v>1782.7</v>
      </c>
      <c r="U12" t="n">
        <v>1824.4</v>
      </c>
      <c r="V12" t="n">
        <v>1945</v>
      </c>
      <c r="W12" t="n">
        <v>2067.6</v>
      </c>
      <c r="X12" t="n">
        <v>2113.9</v>
      </c>
      <c r="Y12" t="n">
        <v>2077.7</v>
      </c>
      <c r="Z12" t="n">
        <v>2358.7</v>
      </c>
      <c r="AA12" t="n">
        <v>2493.3</v>
      </c>
      <c r="AB12" t="n">
        <v>3038</v>
      </c>
      <c r="AC12" t="n">
        <v>3149.3</v>
      </c>
      <c r="AD12" t="n">
        <v>3333.5</v>
      </c>
      <c r="AE12" t="n">
        <v>3445.3</v>
      </c>
      <c r="AF12" t="n">
        <v>3743.5</v>
      </c>
    </row>
    <row r="13">
      <c r="A13" t="s">
        <v>105</v>
      </c>
      <c r="B13" t="s">
        <v>296</v>
      </c>
      <c r="C13" t="s">
        <v>203</v>
      </c>
      <c r="D13" t="s">
        <v>297</v>
      </c>
      <c r="E13" t="s">
        <v>204</v>
      </c>
      <c r="F13"/>
      <c r="G13"/>
      <c r="H13"/>
      <c r="I13"/>
      <c r="J13"/>
      <c r="K13" t="n">
        <v>383.5</v>
      </c>
      <c r="L13" t="n">
        <v>395.5</v>
      </c>
      <c r="M13" t="n">
        <v>522.2</v>
      </c>
      <c r="N13" t="n">
        <v>580</v>
      </c>
      <c r="O13" t="n">
        <v>650.5</v>
      </c>
      <c r="P13" t="n">
        <v>722.3</v>
      </c>
      <c r="Q13" t="n">
        <v>853.1</v>
      </c>
      <c r="R13" t="n">
        <v>1009.5</v>
      </c>
      <c r="S13" t="n">
        <v>1168.2</v>
      </c>
      <c r="T13" t="n">
        <v>1360.4</v>
      </c>
      <c r="U13" t="n">
        <v>1431.1</v>
      </c>
      <c r="V13" t="n">
        <v>1501.8</v>
      </c>
      <c r="W13" t="n">
        <v>1587.1</v>
      </c>
      <c r="X13" t="n">
        <v>1614.4</v>
      </c>
      <c r="Y13" t="n">
        <v>1644.2</v>
      </c>
      <c r="Z13" t="n">
        <v>1736.6</v>
      </c>
      <c r="AA13" t="n">
        <v>1790.2</v>
      </c>
      <c r="AB13" t="n">
        <v>2222.5</v>
      </c>
      <c r="AC13" t="n">
        <v>2379.2</v>
      </c>
      <c r="AD13" t="n">
        <v>2518.4</v>
      </c>
      <c r="AE13" t="n">
        <v>2602.8</v>
      </c>
      <c r="AF13" t="n">
        <v>2828.1</v>
      </c>
    </row>
    <row r="14">
      <c r="A14" t="s">
        <v>105</v>
      </c>
      <c r="B14" t="s">
        <v>298</v>
      </c>
      <c r="C14" t="s">
        <v>203</v>
      </c>
      <c r="D14" t="s">
        <v>299</v>
      </c>
      <c r="E14" t="s">
        <v>204</v>
      </c>
      <c r="F14"/>
      <c r="G14"/>
      <c r="H14"/>
      <c r="I14"/>
      <c r="J14"/>
      <c r="K14" t="n">
        <v>54.7</v>
      </c>
      <c r="L14" t="n">
        <v>76.7</v>
      </c>
      <c r="M14" t="n">
        <v>94.1</v>
      </c>
      <c r="N14" t="n">
        <v>100.9</v>
      </c>
      <c r="O14" t="n">
        <v>107.2</v>
      </c>
      <c r="P14" t="n">
        <v>114.5</v>
      </c>
      <c r="Q14" t="n">
        <v>133.7</v>
      </c>
      <c r="R14" t="n">
        <v>147.4</v>
      </c>
      <c r="S14" t="n">
        <v>178.7</v>
      </c>
      <c r="T14" t="n">
        <v>194.8</v>
      </c>
      <c r="U14" t="n">
        <v>199.8</v>
      </c>
      <c r="V14" t="n">
        <v>219.2</v>
      </c>
      <c r="W14" t="n">
        <v>234.5</v>
      </c>
      <c r="X14" t="n">
        <v>241</v>
      </c>
      <c r="Y14" t="n">
        <v>264.8</v>
      </c>
      <c r="Z14" t="n">
        <v>292.1</v>
      </c>
      <c r="AA14" t="n">
        <v>294.8</v>
      </c>
      <c r="AB14" t="n">
        <v>372.9</v>
      </c>
      <c r="AC14" t="n">
        <v>409</v>
      </c>
      <c r="AD14" t="n">
        <v>432.9</v>
      </c>
      <c r="AE14" t="n">
        <v>447.4</v>
      </c>
      <c r="AF14" t="n">
        <v>486.1</v>
      </c>
    </row>
    <row r="15">
      <c r="A15" t="s">
        <v>105</v>
      </c>
      <c r="B15" t="s">
        <v>300</v>
      </c>
      <c r="C15" t="s">
        <v>203</v>
      </c>
      <c r="D15" t="s">
        <v>301</v>
      </c>
      <c r="E15" t="s">
        <v>204</v>
      </c>
      <c r="F15"/>
      <c r="G15"/>
      <c r="H15"/>
      <c r="I15"/>
      <c r="J15"/>
      <c r="K15" t="n">
        <v>103.3</v>
      </c>
      <c r="L15" t="n">
        <v>126.1</v>
      </c>
      <c r="M15" t="n">
        <v>153</v>
      </c>
      <c r="N15" t="n">
        <v>164.2</v>
      </c>
      <c r="O15" t="n">
        <v>173.8</v>
      </c>
      <c r="P15" t="n">
        <v>193.6</v>
      </c>
      <c r="Q15" t="n">
        <v>240.7</v>
      </c>
      <c r="R15" t="n">
        <v>285.7</v>
      </c>
      <c r="S15" t="n">
        <v>351.4</v>
      </c>
      <c r="T15" t="n">
        <v>406.4</v>
      </c>
      <c r="U15" t="n">
        <v>431.3</v>
      </c>
      <c r="V15" t="n">
        <v>471.9</v>
      </c>
      <c r="W15" t="n">
        <v>513.4</v>
      </c>
      <c r="X15" t="n">
        <v>535.1</v>
      </c>
      <c r="Y15" t="n">
        <v>560.5</v>
      </c>
      <c r="Z15" t="n">
        <v>664.7</v>
      </c>
      <c r="AA15" t="n">
        <v>701.6</v>
      </c>
      <c r="AB15" t="n">
        <v>909.4</v>
      </c>
      <c r="AC15" t="n">
        <v>997.8</v>
      </c>
      <c r="AD15" t="n">
        <v>1056.1</v>
      </c>
      <c r="AE15" t="n">
        <v>1091.5</v>
      </c>
      <c r="AF15" t="n">
        <v>1186</v>
      </c>
    </row>
    <row r="16">
      <c r="A16" t="s">
        <v>105</v>
      </c>
      <c r="B16" t="s">
        <v>302</v>
      </c>
      <c r="C16" t="s">
        <v>203</v>
      </c>
      <c r="D16" t="s">
        <v>303</v>
      </c>
      <c r="E16" t="s">
        <v>204</v>
      </c>
      <c r="F16"/>
      <c r="G16"/>
      <c r="H16"/>
      <c r="I16"/>
      <c r="J16"/>
      <c r="K16" t="n">
        <v>48.6</v>
      </c>
      <c r="L16" t="n">
        <v>49.4</v>
      </c>
      <c r="M16" t="n">
        <v>58.9</v>
      </c>
      <c r="N16" t="n">
        <v>63.3</v>
      </c>
      <c r="O16" t="n">
        <v>66.6</v>
      </c>
      <c r="P16" t="n">
        <v>79.1</v>
      </c>
      <c r="Q16" t="n">
        <v>107</v>
      </c>
      <c r="R16" t="n">
        <v>138.3</v>
      </c>
      <c r="S16" t="n">
        <v>172.7</v>
      </c>
      <c r="T16" t="n">
        <v>211.6</v>
      </c>
      <c r="U16" t="n">
        <v>231.5</v>
      </c>
      <c r="V16" t="n">
        <v>252.7</v>
      </c>
      <c r="W16" t="n">
        <v>278.9</v>
      </c>
      <c r="X16" t="n">
        <v>294.1</v>
      </c>
      <c r="Y16" t="n">
        <v>295.7</v>
      </c>
      <c r="Z16" t="n">
        <v>372.6</v>
      </c>
      <c r="AA16" t="n">
        <v>406.8</v>
      </c>
      <c r="AB16" t="n">
        <v>536.5</v>
      </c>
      <c r="AC16" t="n">
        <v>588.8</v>
      </c>
      <c r="AD16" t="n">
        <v>623.2</v>
      </c>
      <c r="AE16" t="n">
        <v>644.1</v>
      </c>
      <c r="AF16" t="n">
        <v>699.9</v>
      </c>
    </row>
    <row r="17">
      <c r="A17" t="s">
        <v>105</v>
      </c>
      <c r="B17" t="s">
        <v>304</v>
      </c>
      <c r="C17" t="s">
        <v>203</v>
      </c>
      <c r="D17" t="s">
        <v>305</v>
      </c>
      <c r="E17" t="s">
        <v>204</v>
      </c>
      <c r="F17"/>
      <c r="G17"/>
      <c r="H17"/>
      <c r="I17"/>
      <c r="J17"/>
      <c r="K17" t="n">
        <v>158.3</v>
      </c>
      <c r="L17" t="n">
        <v>254.8</v>
      </c>
      <c r="M17" t="n">
        <v>299.7</v>
      </c>
      <c r="N17" t="n">
        <v>315.1</v>
      </c>
      <c r="O17" t="n">
        <v>334.4</v>
      </c>
      <c r="P17" t="n">
        <v>354.5</v>
      </c>
      <c r="Q17" t="n">
        <v>410.1</v>
      </c>
      <c r="R17" t="n">
        <v>449.3</v>
      </c>
      <c r="S17" t="n">
        <v>508.8</v>
      </c>
      <c r="T17" t="n">
        <v>566.1</v>
      </c>
      <c r="U17" t="n">
        <v>586.2</v>
      </c>
      <c r="V17" t="n">
        <v>611.2</v>
      </c>
      <c r="W17" t="n">
        <v>625.4</v>
      </c>
      <c r="X17" t="n">
        <v>617.9</v>
      </c>
      <c r="Y17" t="n">
        <v>614.1</v>
      </c>
      <c r="Z17" t="n">
        <v>661.1</v>
      </c>
      <c r="AA17" t="n">
        <v>672.4</v>
      </c>
      <c r="AB17" t="n">
        <v>833.8</v>
      </c>
      <c r="AC17" t="n">
        <v>863.5</v>
      </c>
      <c r="AD17" t="n">
        <v>914</v>
      </c>
      <c r="AE17" t="n">
        <v>944.7</v>
      </c>
      <c r="AF17" t="n">
        <v>1026.5</v>
      </c>
    </row>
    <row r="18">
      <c r="A18" t="s">
        <v>105</v>
      </c>
      <c r="B18" t="s">
        <v>306</v>
      </c>
      <c r="C18" t="s">
        <v>203</v>
      </c>
      <c r="D18" t="s">
        <v>307</v>
      </c>
      <c r="E18" t="s">
        <v>204</v>
      </c>
      <c r="F18"/>
      <c r="G18"/>
      <c r="H18"/>
      <c r="I18"/>
      <c r="J18"/>
      <c r="K18" t="n">
        <v>36.2</v>
      </c>
      <c r="L18" t="n">
        <v>43.1</v>
      </c>
      <c r="M18" t="n">
        <v>50.6</v>
      </c>
      <c r="N18" t="n">
        <v>56.8</v>
      </c>
      <c r="O18" t="n">
        <v>60.6</v>
      </c>
      <c r="P18" t="n">
        <v>69.7</v>
      </c>
      <c r="Q18" t="n">
        <v>95.6</v>
      </c>
      <c r="R18" t="n">
        <v>119.8</v>
      </c>
      <c r="S18" t="n">
        <v>154.4</v>
      </c>
      <c r="T18" t="n">
        <v>179.7</v>
      </c>
      <c r="U18" t="n">
        <v>190</v>
      </c>
      <c r="V18" t="n">
        <v>213.3</v>
      </c>
      <c r="W18" t="n">
        <v>236.3</v>
      </c>
      <c r="X18" t="n">
        <v>250</v>
      </c>
      <c r="Y18" t="n">
        <v>271.8</v>
      </c>
      <c r="Z18" t="n">
        <v>274.7</v>
      </c>
      <c r="AA18" t="n">
        <v>298.4</v>
      </c>
      <c r="AB18" t="n">
        <v>414.4</v>
      </c>
      <c r="AC18" t="n">
        <v>452.7</v>
      </c>
      <c r="AD18" t="n">
        <v>479.2</v>
      </c>
      <c r="AE18" t="n">
        <v>495.3</v>
      </c>
      <c r="AF18" t="n">
        <v>538.2</v>
      </c>
    </row>
    <row r="19">
      <c r="A19" t="s">
        <v>105</v>
      </c>
      <c r="B19" t="s">
        <v>308</v>
      </c>
      <c r="C19" t="s">
        <v>203</v>
      </c>
      <c r="D19" t="s">
        <v>309</v>
      </c>
      <c r="E19" t="s">
        <v>204</v>
      </c>
      <c r="F19"/>
      <c r="G19"/>
      <c r="H19"/>
      <c r="I19"/>
      <c r="J19"/>
      <c r="K19" t="n">
        <v>241.6</v>
      </c>
      <c r="L19" t="n">
        <v>262.7</v>
      </c>
      <c r="M19" t="n">
        <v>298.4</v>
      </c>
      <c r="N19" t="n">
        <v>307.8</v>
      </c>
      <c r="O19" t="n">
        <v>316.8</v>
      </c>
      <c r="P19" t="n">
        <v>350.3</v>
      </c>
      <c r="Q19" t="n">
        <v>404.3</v>
      </c>
      <c r="R19" t="n">
        <v>453.8</v>
      </c>
      <c r="S19" t="n">
        <v>541.1</v>
      </c>
      <c r="T19" t="n">
        <v>612.8</v>
      </c>
      <c r="U19" t="n">
        <v>649</v>
      </c>
      <c r="V19" t="n">
        <v>697.2</v>
      </c>
      <c r="W19" t="n">
        <v>731.9</v>
      </c>
      <c r="X19" t="n">
        <v>740.1</v>
      </c>
      <c r="Y19" t="n">
        <v>742.4</v>
      </c>
      <c r="Z19" t="n">
        <v>776</v>
      </c>
      <c r="AA19" t="n">
        <v>846.3</v>
      </c>
      <c r="AB19" t="n">
        <v>1050.2</v>
      </c>
      <c r="AC19" t="n">
        <v>1090.4</v>
      </c>
      <c r="AD19" t="n">
        <v>1154.1</v>
      </c>
      <c r="AE19" t="n">
        <v>1192.8</v>
      </c>
      <c r="AF19" t="n">
        <v>1296.1</v>
      </c>
    </row>
    <row r="20">
      <c r="A20" t="s">
        <v>105</v>
      </c>
      <c r="B20" t="s">
        <v>310</v>
      </c>
      <c r="C20" t="s">
        <v>203</v>
      </c>
      <c r="D20" t="s">
        <v>311</v>
      </c>
      <c r="E20" t="s">
        <v>204</v>
      </c>
      <c r="F20"/>
      <c r="G20"/>
      <c r="H20"/>
      <c r="I20"/>
      <c r="J20"/>
      <c r="K20" t="n">
        <v>467</v>
      </c>
      <c r="L20" t="n">
        <v>467.7</v>
      </c>
      <c r="M20" t="n">
        <v>680.7</v>
      </c>
      <c r="N20" t="n">
        <v>807.8</v>
      </c>
      <c r="O20" t="n">
        <v>1044.3</v>
      </c>
      <c r="P20" t="n">
        <v>1626.6</v>
      </c>
      <c r="Q20" t="n">
        <v>2476.8</v>
      </c>
      <c r="R20" t="n">
        <v>3269.2</v>
      </c>
      <c r="S20" t="n">
        <v>4848.5</v>
      </c>
      <c r="T20" t="n">
        <v>6874.1</v>
      </c>
      <c r="U20" t="n">
        <v>8058.9</v>
      </c>
      <c r="V20" t="n">
        <v>9067.4</v>
      </c>
      <c r="W20" t="n">
        <v>10046.9</v>
      </c>
      <c r="X20" t="n">
        <v>10629.9</v>
      </c>
      <c r="Y20" t="n">
        <v>11111.2</v>
      </c>
      <c r="Z20" t="n">
        <v>11698.5</v>
      </c>
      <c r="AA20" t="n">
        <v>13089.9</v>
      </c>
      <c r="AB20" t="n">
        <v>15523.6</v>
      </c>
      <c r="AC20" t="n">
        <v>15732.2</v>
      </c>
      <c r="AD20" t="n">
        <v>16652.5</v>
      </c>
      <c r="AE20" t="n">
        <v>17210.9</v>
      </c>
      <c r="AF20" t="n">
        <v>18700.7</v>
      </c>
    </row>
    <row r="21">
      <c r="A21" t="s">
        <v>105</v>
      </c>
      <c r="B21" t="s">
        <v>312</v>
      </c>
      <c r="C21" t="s">
        <v>203</v>
      </c>
      <c r="D21" t="s">
        <v>313</v>
      </c>
      <c r="E21" t="s">
        <v>204</v>
      </c>
      <c r="F21"/>
      <c r="G21"/>
      <c r="H21"/>
      <c r="I21"/>
      <c r="J21"/>
      <c r="K21" t="n">
        <v>547.2</v>
      </c>
      <c r="L21" t="n">
        <v>548.9</v>
      </c>
      <c r="M21" t="n">
        <v>790.3</v>
      </c>
      <c r="N21" t="n">
        <v>935.5</v>
      </c>
      <c r="O21" t="n">
        <v>1204.3</v>
      </c>
      <c r="P21" t="n">
        <v>1824.4</v>
      </c>
      <c r="Q21" t="n">
        <v>2712.8</v>
      </c>
      <c r="R21" t="n">
        <v>3576.9</v>
      </c>
      <c r="S21" t="n">
        <v>5276.9</v>
      </c>
      <c r="T21" t="n">
        <v>7483.7</v>
      </c>
      <c r="U21" t="n">
        <v>8712.1</v>
      </c>
      <c r="V21" t="n">
        <v>9786.4</v>
      </c>
      <c r="W21" t="n">
        <v>10787.3</v>
      </c>
      <c r="X21" t="n">
        <v>11365.7</v>
      </c>
      <c r="Y21" t="n">
        <v>12063.5</v>
      </c>
      <c r="Z21" t="n">
        <v>13932.1</v>
      </c>
      <c r="AA21" t="n">
        <v>15330.2</v>
      </c>
      <c r="AB21" t="n">
        <v>18148.6</v>
      </c>
      <c r="AC21" t="n">
        <v>18413.2</v>
      </c>
      <c r="AD21" t="n">
        <v>19490.3</v>
      </c>
      <c r="AE21" t="n">
        <v>20143.9</v>
      </c>
      <c r="AF21" t="n">
        <v>21887.6</v>
      </c>
    </row>
    <row r="22">
      <c r="A22" t="s">
        <v>105</v>
      </c>
      <c r="B22" t="s">
        <v>314</v>
      </c>
      <c r="C22" t="s">
        <v>203</v>
      </c>
      <c r="D22" t="s">
        <v>315</v>
      </c>
      <c r="E22" t="s">
        <v>204</v>
      </c>
      <c r="F22"/>
      <c r="G22"/>
      <c r="H22"/>
      <c r="I22"/>
      <c r="J22"/>
      <c r="K22" t="n">
        <v>80.2</v>
      </c>
      <c r="L22" t="n">
        <v>81.2</v>
      </c>
      <c r="M22" t="n">
        <v>109.6</v>
      </c>
      <c r="N22" t="n">
        <v>127.7</v>
      </c>
      <c r="O22" t="n">
        <v>160</v>
      </c>
      <c r="P22" t="n">
        <v>197.8</v>
      </c>
      <c r="Q22" t="n">
        <v>236</v>
      </c>
      <c r="R22" t="n">
        <v>307.7</v>
      </c>
      <c r="S22" t="n">
        <v>428.4</v>
      </c>
      <c r="T22" t="n">
        <v>609.6</v>
      </c>
      <c r="U22" t="n">
        <v>653.2</v>
      </c>
      <c r="V22" t="n">
        <v>719</v>
      </c>
      <c r="W22" t="n">
        <v>740.4</v>
      </c>
      <c r="X22" t="n">
        <v>735.8</v>
      </c>
      <c r="Y22" t="n">
        <v>952.3</v>
      </c>
      <c r="Z22" t="n">
        <v>2233.6</v>
      </c>
      <c r="AA22" t="n">
        <v>2240.3</v>
      </c>
      <c r="AB22" t="n">
        <v>2625</v>
      </c>
      <c r="AC22" t="n">
        <v>2681</v>
      </c>
      <c r="AD22" t="n">
        <v>2837.8</v>
      </c>
      <c r="AE22" t="n">
        <v>2933</v>
      </c>
      <c r="AF22" t="n">
        <v>3186.9</v>
      </c>
    </row>
    <row r="23">
      <c r="A23" t="s">
        <v>105</v>
      </c>
      <c r="B23" t="s">
        <v>316</v>
      </c>
      <c r="C23" t="s">
        <v>203</v>
      </c>
      <c r="D23" t="s">
        <v>317</v>
      </c>
      <c r="E23" t="s">
        <v>204</v>
      </c>
      <c r="F23"/>
      <c r="G23"/>
      <c r="H23"/>
      <c r="I23"/>
      <c r="J23"/>
      <c r="K23" t="n">
        <v>552.1</v>
      </c>
      <c r="L23" t="n">
        <v>596.8</v>
      </c>
      <c r="M23" t="n">
        <v>739.2</v>
      </c>
      <c r="N23" t="n">
        <v>800.4</v>
      </c>
      <c r="O23" t="n">
        <v>876.5</v>
      </c>
      <c r="P23" t="n">
        <v>1053.8</v>
      </c>
      <c r="Q23" t="n">
        <v>1310.6</v>
      </c>
      <c r="R23" t="n">
        <v>1702.1</v>
      </c>
      <c r="S23" t="n">
        <v>2207</v>
      </c>
      <c r="T23" t="n">
        <v>3028.1</v>
      </c>
      <c r="U23" t="n">
        <v>3528.2</v>
      </c>
      <c r="V23" t="n">
        <v>3794.3</v>
      </c>
      <c r="W23" t="n">
        <v>4132.7</v>
      </c>
      <c r="X23" t="n">
        <v>4312.3</v>
      </c>
      <c r="Y23" t="n">
        <v>4526</v>
      </c>
      <c r="Z23" t="n">
        <v>5323.9</v>
      </c>
      <c r="AA23" t="n">
        <v>5526.3</v>
      </c>
      <c r="AB23" t="n">
        <v>6786.3</v>
      </c>
      <c r="AC23" t="n">
        <v>7084.4</v>
      </c>
      <c r="AD23" t="n">
        <v>7498.9</v>
      </c>
      <c r="AE23" t="n">
        <v>7750.3</v>
      </c>
      <c r="AF23" t="n">
        <v>8421.2</v>
      </c>
    </row>
    <row r="24">
      <c r="A24" t="s">
        <v>105</v>
      </c>
      <c r="B24" t="s">
        <v>318</v>
      </c>
      <c r="C24" t="s">
        <v>203</v>
      </c>
      <c r="D24" t="s">
        <v>319</v>
      </c>
      <c r="E24" t="s">
        <v>204</v>
      </c>
      <c r="F24"/>
      <c r="G24"/>
      <c r="H24"/>
      <c r="I24"/>
      <c r="J24"/>
      <c r="K24" t="n">
        <v>1115.8</v>
      </c>
      <c r="L24" t="n">
        <v>1427.4</v>
      </c>
      <c r="M24" t="n">
        <v>1871</v>
      </c>
      <c r="N24" t="n">
        <v>2117.8</v>
      </c>
      <c r="O24" t="n">
        <v>2439.4</v>
      </c>
      <c r="P24" t="n">
        <v>2937.3</v>
      </c>
      <c r="Q24" t="n">
        <v>3682.7</v>
      </c>
      <c r="R24" t="n">
        <v>4359.3</v>
      </c>
      <c r="S24" t="n">
        <v>5561.9</v>
      </c>
      <c r="T24" t="n">
        <v>6608.8</v>
      </c>
      <c r="U24" t="n">
        <v>7308.8</v>
      </c>
      <c r="V24" t="n">
        <v>7950.6</v>
      </c>
      <c r="W24" t="n">
        <v>8456</v>
      </c>
      <c r="X24" t="n">
        <v>8648.5</v>
      </c>
      <c r="Y24" t="n">
        <v>8843.2</v>
      </c>
      <c r="Z24" t="n">
        <v>9353.7</v>
      </c>
      <c r="AA24" t="n">
        <v>9884.7</v>
      </c>
      <c r="AB24" t="n">
        <v>12317.4</v>
      </c>
      <c r="AC24" t="n">
        <v>13398</v>
      </c>
      <c r="AD24" t="n">
        <v>14181.7</v>
      </c>
      <c r="AE24" t="n">
        <v>14657.3</v>
      </c>
      <c r="AF24" t="n">
        <v>15926</v>
      </c>
    </row>
    <row r="25">
      <c r="A25" t="s">
        <v>105</v>
      </c>
      <c r="B25" t="s">
        <v>320</v>
      </c>
      <c r="C25" t="s">
        <v>203</v>
      </c>
      <c r="D25" t="s">
        <v>321</v>
      </c>
      <c r="E25" t="s">
        <v>204</v>
      </c>
      <c r="F25"/>
      <c r="G25"/>
      <c r="H25"/>
      <c r="I25"/>
      <c r="J25"/>
      <c r="K25" t="n">
        <v>172.1</v>
      </c>
      <c r="L25" t="n">
        <v>202.1</v>
      </c>
      <c r="M25" t="n">
        <v>243</v>
      </c>
      <c r="N25" t="n">
        <v>262.3</v>
      </c>
      <c r="O25" t="n">
        <v>290.6</v>
      </c>
      <c r="P25" t="n">
        <v>334.6</v>
      </c>
      <c r="Q25" t="n">
        <v>416.8</v>
      </c>
      <c r="R25" t="n">
        <v>481.7</v>
      </c>
      <c r="S25" t="n">
        <v>608.8</v>
      </c>
      <c r="T25" t="n">
        <v>732.5</v>
      </c>
      <c r="U25" t="n">
        <v>791.1</v>
      </c>
      <c r="V25" t="n">
        <v>868</v>
      </c>
      <c r="W25" t="n">
        <v>890.5</v>
      </c>
      <c r="X25" t="n">
        <v>882.1</v>
      </c>
      <c r="Y25" t="n">
        <v>856.1</v>
      </c>
      <c r="Z25" t="n">
        <v>917</v>
      </c>
      <c r="AA25" t="n">
        <v>937</v>
      </c>
      <c r="AB25" t="n">
        <v>1198.7</v>
      </c>
      <c r="AC25" t="n">
        <v>1259</v>
      </c>
      <c r="AD25" t="n">
        <v>1332.6</v>
      </c>
      <c r="AE25" t="n">
        <v>1377.3</v>
      </c>
      <c r="AF25" t="n">
        <v>1496.5</v>
      </c>
    </row>
    <row r="26">
      <c r="A26" t="s">
        <v>105</v>
      </c>
      <c r="B26" t="s">
        <v>322</v>
      </c>
      <c r="C26" t="s">
        <v>203</v>
      </c>
      <c r="D26" t="s">
        <v>323</v>
      </c>
      <c r="E26" t="s">
        <v>204</v>
      </c>
      <c r="F26"/>
      <c r="G26"/>
      <c r="H26"/>
      <c r="I26"/>
      <c r="J26"/>
      <c r="K26" t="n">
        <v>376.1</v>
      </c>
      <c r="L26" t="n">
        <v>520.6</v>
      </c>
      <c r="M26" t="n">
        <v>752.5</v>
      </c>
      <c r="N26" t="n">
        <v>895.7</v>
      </c>
      <c r="O26" t="n">
        <v>1085.1</v>
      </c>
      <c r="P26" t="n">
        <v>1350.9</v>
      </c>
      <c r="Q26" t="n">
        <v>1722.3</v>
      </c>
      <c r="R26" t="n">
        <v>2084</v>
      </c>
      <c r="S26" t="n">
        <v>2675.4</v>
      </c>
      <c r="T26" t="n">
        <v>3238.4</v>
      </c>
      <c r="U26" t="n">
        <v>3599.8</v>
      </c>
      <c r="V26" t="n">
        <v>3921.1</v>
      </c>
      <c r="W26" t="n">
        <v>4255.2</v>
      </c>
      <c r="X26" t="n">
        <v>4426.6</v>
      </c>
      <c r="Y26" t="n">
        <v>4669.9</v>
      </c>
      <c r="Z26" t="n">
        <v>4887.2</v>
      </c>
      <c r="AA26" t="n">
        <v>5189.3</v>
      </c>
      <c r="AB26" t="n">
        <v>6383.3</v>
      </c>
      <c r="AC26" t="n">
        <v>6720</v>
      </c>
      <c r="AD26" t="n">
        <v>7113.1</v>
      </c>
      <c r="AE26" t="n">
        <v>7351.7</v>
      </c>
      <c r="AF26" t="n">
        <v>7988</v>
      </c>
    </row>
    <row r="27">
      <c r="A27" t="s">
        <v>105</v>
      </c>
      <c r="B27" t="s">
        <v>324</v>
      </c>
      <c r="C27" t="s">
        <v>203</v>
      </c>
      <c r="D27" t="s">
        <v>325</v>
      </c>
      <c r="E27" t="s">
        <v>204</v>
      </c>
      <c r="F27"/>
      <c r="G27"/>
      <c r="H27"/>
      <c r="I27"/>
      <c r="J27"/>
      <c r="K27" t="n">
        <v>567.6</v>
      </c>
      <c r="L27" t="n">
        <v>704.7</v>
      </c>
      <c r="M27" t="n">
        <v>875.5</v>
      </c>
      <c r="N27" t="n">
        <v>959.8</v>
      </c>
      <c r="O27" t="n">
        <v>1063.7</v>
      </c>
      <c r="P27" t="n">
        <v>1251.8</v>
      </c>
      <c r="Q27" t="n">
        <v>1543.6</v>
      </c>
      <c r="R27" t="n">
        <v>1793.6</v>
      </c>
      <c r="S27" t="n">
        <v>2277.7</v>
      </c>
      <c r="T27" t="n">
        <v>2637.9</v>
      </c>
      <c r="U27" t="n">
        <v>2917.9</v>
      </c>
      <c r="V27" t="n">
        <v>3161.5</v>
      </c>
      <c r="W27" t="n">
        <v>3310.3</v>
      </c>
      <c r="X27" t="n">
        <v>3339.8</v>
      </c>
      <c r="Y27" t="n">
        <v>3317.2</v>
      </c>
      <c r="Z27" t="n">
        <v>3549.5</v>
      </c>
      <c r="AA27" t="n">
        <v>3758.4</v>
      </c>
      <c r="AB27" t="n">
        <v>4735.4</v>
      </c>
      <c r="AC27" t="n">
        <v>5419</v>
      </c>
      <c r="AD27" t="n">
        <v>5736</v>
      </c>
      <c r="AE27" t="n">
        <v>5928.3</v>
      </c>
      <c r="AF27" t="n">
        <v>6441.5</v>
      </c>
    </row>
    <row r="28">
      <c r="A28" t="s">
        <v>105</v>
      </c>
      <c r="B28" t="s">
        <v>326</v>
      </c>
      <c r="C28" t="s">
        <v>203</v>
      </c>
      <c r="D28" t="s">
        <v>327</v>
      </c>
      <c r="E28" t="s">
        <v>204</v>
      </c>
      <c r="F28"/>
      <c r="G28"/>
      <c r="H28"/>
      <c r="I28"/>
      <c r="J28"/>
      <c r="K28" t="n">
        <v>645</v>
      </c>
      <c r="L28" t="n">
        <v>656.7</v>
      </c>
      <c r="M28" t="n">
        <v>914.1</v>
      </c>
      <c r="N28" t="n">
        <v>1011.5</v>
      </c>
      <c r="O28" t="n">
        <v>1184.6</v>
      </c>
      <c r="P28" t="n">
        <v>1475</v>
      </c>
      <c r="Q28" t="n">
        <v>1744.3</v>
      </c>
      <c r="R28" t="n">
        <v>1958.4</v>
      </c>
      <c r="S28" t="n">
        <v>3021</v>
      </c>
      <c r="T28" t="n">
        <v>3522.9</v>
      </c>
      <c r="U28" t="n">
        <v>4048.4</v>
      </c>
      <c r="V28" t="n">
        <v>4550.9</v>
      </c>
      <c r="W28" t="n">
        <v>4587</v>
      </c>
      <c r="X28" t="n">
        <v>4468.9</v>
      </c>
      <c r="Y28" t="n">
        <v>4309.6</v>
      </c>
      <c r="Z28" t="n">
        <v>5334.7</v>
      </c>
      <c r="AA28" t="n">
        <v>5679.9</v>
      </c>
      <c r="AB28" t="n">
        <v>6793.8</v>
      </c>
      <c r="AC28" t="n">
        <v>7042.8</v>
      </c>
      <c r="AD28" t="n">
        <v>7454.7</v>
      </c>
      <c r="AE28" t="n">
        <v>7704.5</v>
      </c>
      <c r="AF28" t="n">
        <v>8371.5</v>
      </c>
    </row>
    <row r="29">
      <c r="A29" t="s">
        <v>105</v>
      </c>
      <c r="B29" t="s">
        <v>328</v>
      </c>
      <c r="C29" t="s">
        <v>203</v>
      </c>
      <c r="D29" t="s">
        <v>329</v>
      </c>
      <c r="E29" t="s">
        <v>204</v>
      </c>
      <c r="F29"/>
      <c r="G29"/>
      <c r="H29"/>
      <c r="I29"/>
      <c r="J29"/>
      <c r="K29" t="n">
        <v>430.3</v>
      </c>
      <c r="L29" t="n">
        <v>440.8</v>
      </c>
      <c r="M29" t="n">
        <v>522.4</v>
      </c>
      <c r="N29" t="n">
        <v>545.4</v>
      </c>
      <c r="O29" t="n">
        <v>579.9</v>
      </c>
      <c r="P29" t="n">
        <v>650.2</v>
      </c>
      <c r="Q29" t="n">
        <v>749.7</v>
      </c>
      <c r="R29" t="n">
        <v>827.1</v>
      </c>
      <c r="S29" t="n">
        <v>1479.2</v>
      </c>
      <c r="T29" t="n">
        <v>1680</v>
      </c>
      <c r="U29" t="n">
        <v>2082.5</v>
      </c>
      <c r="V29" t="n">
        <v>2414.2</v>
      </c>
      <c r="W29" t="n">
        <v>2439.4</v>
      </c>
      <c r="X29" t="n">
        <v>2382.2</v>
      </c>
      <c r="Y29" t="n">
        <v>2304.9</v>
      </c>
      <c r="Z29" t="n">
        <v>2786</v>
      </c>
      <c r="AA29" t="n">
        <v>3054.2</v>
      </c>
      <c r="AB29" t="n">
        <v>3587.7</v>
      </c>
      <c r="AC29" t="n">
        <v>3647.6</v>
      </c>
      <c r="AD29" t="n">
        <v>3861</v>
      </c>
      <c r="AE29" t="n">
        <v>3990.4</v>
      </c>
      <c r="AF29" t="n">
        <v>4335.8</v>
      </c>
    </row>
    <row r="30">
      <c r="A30" t="s">
        <v>105</v>
      </c>
      <c r="B30" t="s">
        <v>330</v>
      </c>
      <c r="C30" t="s">
        <v>203</v>
      </c>
      <c r="D30" t="s">
        <v>331</v>
      </c>
      <c r="E30" t="s">
        <v>204</v>
      </c>
      <c r="F30"/>
      <c r="G30"/>
      <c r="H30"/>
      <c r="I30"/>
      <c r="J30"/>
      <c r="K30" t="n">
        <v>2.6</v>
      </c>
      <c r="L30" t="n">
        <v>3.2</v>
      </c>
      <c r="M30" t="n">
        <v>3.8</v>
      </c>
      <c r="N30" t="n">
        <v>4.2</v>
      </c>
      <c r="O30" t="n">
        <v>5</v>
      </c>
      <c r="P30" t="n">
        <v>6.3</v>
      </c>
      <c r="Q30" t="n">
        <v>13.8</v>
      </c>
      <c r="R30" t="n">
        <v>15.9</v>
      </c>
      <c r="S30" t="n">
        <v>19.3</v>
      </c>
      <c r="T30" t="n">
        <v>20.3</v>
      </c>
      <c r="U30" t="n">
        <v>20.4</v>
      </c>
      <c r="V30" t="n">
        <v>22.1</v>
      </c>
      <c r="W30" t="n">
        <v>21.9</v>
      </c>
      <c r="X30" t="n">
        <v>21</v>
      </c>
      <c r="Y30" t="n">
        <v>21.1</v>
      </c>
      <c r="Z30" t="n">
        <v>21.6</v>
      </c>
      <c r="AA30" t="n">
        <v>19.4</v>
      </c>
      <c r="AB30" t="n">
        <v>23.8</v>
      </c>
      <c r="AC30" t="n">
        <v>27.6</v>
      </c>
      <c r="AD30" t="n">
        <v>29.2</v>
      </c>
      <c r="AE30" t="n">
        <v>30.1</v>
      </c>
      <c r="AF30" t="n">
        <v>32.7</v>
      </c>
    </row>
    <row r="31">
      <c r="A31" t="s">
        <v>105</v>
      </c>
      <c r="B31" t="s">
        <v>332</v>
      </c>
      <c r="C31" t="s">
        <v>203</v>
      </c>
      <c r="D31" t="s">
        <v>333</v>
      </c>
      <c r="E31" t="s">
        <v>204</v>
      </c>
      <c r="F31"/>
      <c r="G31"/>
      <c r="H31"/>
      <c r="I31"/>
      <c r="J31"/>
      <c r="K31" t="n">
        <v>1.9</v>
      </c>
      <c r="L31" t="n">
        <v>2.1</v>
      </c>
      <c r="M31" t="n">
        <v>2.9</v>
      </c>
      <c r="N31" t="n">
        <v>3.2</v>
      </c>
      <c r="O31" t="n">
        <v>12.2</v>
      </c>
      <c r="P31" t="n">
        <v>15.8</v>
      </c>
      <c r="Q31" t="n">
        <v>18.1</v>
      </c>
      <c r="R31" t="n">
        <v>18.8</v>
      </c>
      <c r="S31" t="n">
        <v>22.5</v>
      </c>
      <c r="T31" t="n">
        <v>25.9</v>
      </c>
      <c r="U31" t="n">
        <v>27.9</v>
      </c>
      <c r="V31" t="n">
        <v>30.4</v>
      </c>
      <c r="W31" t="n">
        <v>34.9</v>
      </c>
      <c r="X31" t="n">
        <v>38</v>
      </c>
      <c r="Y31" t="n">
        <v>0</v>
      </c>
      <c r="Z31" t="n">
        <v>130</v>
      </c>
      <c r="AA31" t="n">
        <v>129.9</v>
      </c>
      <c r="AB31" t="n">
        <v>150.8</v>
      </c>
      <c r="AC31" t="n">
        <v>155.9</v>
      </c>
      <c r="AD31" t="n">
        <v>165</v>
      </c>
      <c r="AE31" t="n">
        <v>170.5</v>
      </c>
      <c r="AF31" t="n">
        <v>185.3</v>
      </c>
    </row>
    <row r="32">
      <c r="A32" t="s">
        <v>105</v>
      </c>
      <c r="B32" t="s">
        <v>334</v>
      </c>
      <c r="C32" t="s">
        <v>203</v>
      </c>
      <c r="D32" t="s">
        <v>335</v>
      </c>
      <c r="E32" t="s">
        <v>204</v>
      </c>
      <c r="F32"/>
      <c r="G32"/>
      <c r="H32"/>
      <c r="I32"/>
      <c r="J32"/>
      <c r="K32" t="n">
        <v>197.5</v>
      </c>
      <c r="L32" t="n">
        <v>198</v>
      </c>
      <c r="M32" t="n">
        <v>369.9</v>
      </c>
      <c r="N32" t="n">
        <v>442.6</v>
      </c>
      <c r="O32" t="n">
        <v>570.6</v>
      </c>
      <c r="P32" t="n">
        <v>782.6</v>
      </c>
      <c r="Q32" t="n">
        <v>934.8</v>
      </c>
      <c r="R32" t="n">
        <v>1054.1</v>
      </c>
      <c r="S32" t="n">
        <v>1445.8</v>
      </c>
      <c r="T32" t="n">
        <v>1731.1</v>
      </c>
      <c r="U32" t="n">
        <v>1852.1</v>
      </c>
      <c r="V32" t="n">
        <v>2012.2</v>
      </c>
      <c r="W32" t="n">
        <v>2019.5</v>
      </c>
      <c r="X32" t="n">
        <v>1959.4</v>
      </c>
      <c r="Y32" t="n">
        <v>1918.4</v>
      </c>
      <c r="Z32" t="n">
        <v>2320.9</v>
      </c>
      <c r="AA32" t="n">
        <v>2391.7</v>
      </c>
      <c r="AB32" t="n">
        <v>2929.9</v>
      </c>
      <c r="AC32" t="n">
        <v>3080.3</v>
      </c>
      <c r="AD32" t="n">
        <v>3260.5</v>
      </c>
      <c r="AE32" t="n">
        <v>3369.8</v>
      </c>
      <c r="AF32" t="n">
        <v>3661.5</v>
      </c>
    </row>
    <row r="33">
      <c r="A33" t="s">
        <v>105</v>
      </c>
      <c r="B33" t="s">
        <v>336</v>
      </c>
      <c r="C33" t="s">
        <v>203</v>
      </c>
      <c r="D33" t="s">
        <v>337</v>
      </c>
      <c r="E33" t="s">
        <v>204</v>
      </c>
      <c r="F33"/>
      <c r="G33"/>
      <c r="H33"/>
      <c r="I33"/>
      <c r="J33"/>
      <c r="K33" t="n">
        <v>12.7</v>
      </c>
      <c r="L33" t="n">
        <v>12.6</v>
      </c>
      <c r="M33" t="n">
        <v>15.1</v>
      </c>
      <c r="N33" t="n">
        <v>16.1</v>
      </c>
      <c r="O33" t="n">
        <v>16.9</v>
      </c>
      <c r="P33" t="n">
        <v>20.1</v>
      </c>
      <c r="Q33" t="n">
        <v>27.9</v>
      </c>
      <c r="R33" t="n">
        <v>42.5</v>
      </c>
      <c r="S33" t="n">
        <v>54.2</v>
      </c>
      <c r="T33" t="n">
        <v>65.6</v>
      </c>
      <c r="U33" t="n">
        <v>65.5</v>
      </c>
      <c r="V33" t="n">
        <v>72</v>
      </c>
      <c r="W33" t="n">
        <v>71.3</v>
      </c>
      <c r="X33" t="n">
        <v>68.3</v>
      </c>
      <c r="Y33" t="n">
        <v>65.2</v>
      </c>
      <c r="Z33" t="n">
        <v>76.2</v>
      </c>
      <c r="AA33" t="n">
        <v>84.7</v>
      </c>
      <c r="AB33" t="n">
        <v>101.6</v>
      </c>
      <c r="AC33" t="n">
        <v>131.4</v>
      </c>
      <c r="AD33" t="n">
        <v>139</v>
      </c>
      <c r="AE33" t="n">
        <v>143.7</v>
      </c>
      <c r="AF33" t="n">
        <v>156.2</v>
      </c>
    </row>
    <row r="34">
      <c r="A34" t="s">
        <v>105</v>
      </c>
      <c r="B34" t="s">
        <v>338</v>
      </c>
      <c r="C34" t="s">
        <v>203</v>
      </c>
      <c r="D34" t="s">
        <v>339</v>
      </c>
      <c r="E34" t="s">
        <v>204</v>
      </c>
      <c r="F34"/>
      <c r="G34"/>
      <c r="H34"/>
      <c r="I34"/>
      <c r="J34"/>
      <c r="K34" t="n">
        <v>457.5</v>
      </c>
      <c r="L34" t="n">
        <v>503.1</v>
      </c>
      <c r="M34" t="n">
        <v>779.4</v>
      </c>
      <c r="N34" t="n">
        <v>937.4</v>
      </c>
      <c r="O34" t="n">
        <v>1179.2</v>
      </c>
      <c r="P34" t="n">
        <v>1536.6</v>
      </c>
      <c r="Q34" t="n">
        <v>1813.8</v>
      </c>
      <c r="R34" t="n">
        <v>2059.1</v>
      </c>
      <c r="S34" t="n">
        <v>2611</v>
      </c>
      <c r="T34" t="n">
        <v>3057.1</v>
      </c>
      <c r="U34" t="n">
        <v>3426.9</v>
      </c>
      <c r="V34" t="n">
        <v>3736.3</v>
      </c>
      <c r="W34" t="n">
        <v>4026.5</v>
      </c>
      <c r="X34" t="n">
        <v>4164.4</v>
      </c>
      <c r="Y34" t="n">
        <v>4109.5</v>
      </c>
      <c r="Z34" t="n">
        <v>4473.6</v>
      </c>
      <c r="AA34" t="n">
        <v>4611.9</v>
      </c>
      <c r="AB34" t="n">
        <v>5893</v>
      </c>
      <c r="AC34" t="n">
        <v>6368.2</v>
      </c>
      <c r="AD34" t="n">
        <v>6740.8</v>
      </c>
      <c r="AE34" t="n">
        <v>6966.8</v>
      </c>
      <c r="AF34" t="n">
        <v>7569.8</v>
      </c>
    </row>
    <row r="35">
      <c r="A35" t="s">
        <v>105</v>
      </c>
      <c r="B35" t="s">
        <v>340</v>
      </c>
      <c r="C35" t="s">
        <v>203</v>
      </c>
      <c r="D35" t="s">
        <v>341</v>
      </c>
      <c r="E35" t="s">
        <v>204</v>
      </c>
      <c r="F35"/>
      <c r="G35"/>
      <c r="H35"/>
      <c r="I35"/>
      <c r="J35"/>
      <c r="K35" t="n">
        <v>222</v>
      </c>
      <c r="L35" t="n">
        <v>255.8</v>
      </c>
      <c r="M35" t="n">
        <v>351.8</v>
      </c>
      <c r="N35" t="n">
        <v>465.9</v>
      </c>
      <c r="O35" t="n">
        <v>570.2</v>
      </c>
      <c r="P35" t="n">
        <v>659.6</v>
      </c>
      <c r="Q35" t="n">
        <v>779.7</v>
      </c>
      <c r="R35" t="n">
        <v>918.7</v>
      </c>
      <c r="S35" t="n">
        <v>1317.4</v>
      </c>
      <c r="T35" t="n">
        <v>1494.5</v>
      </c>
      <c r="U35" t="n">
        <v>1690.5</v>
      </c>
      <c r="V35" t="n">
        <v>1876.7</v>
      </c>
      <c r="W35" t="n">
        <v>2082.5</v>
      </c>
      <c r="X35" t="n">
        <v>2205.7</v>
      </c>
      <c r="Y35" t="n">
        <v>2248.2</v>
      </c>
      <c r="Z35" t="n">
        <v>2340.5</v>
      </c>
      <c r="AA35" t="n">
        <v>2246.2</v>
      </c>
      <c r="AB35" t="n">
        <v>2665.7</v>
      </c>
      <c r="AC35" t="n">
        <v>2789.2</v>
      </c>
      <c r="AD35" t="n">
        <v>2952.3</v>
      </c>
      <c r="AE35" t="n">
        <v>3051.4</v>
      </c>
      <c r="AF35" t="n">
        <v>3315.4</v>
      </c>
    </row>
    <row r="36">
      <c r="A36" t="s">
        <v>105</v>
      </c>
      <c r="B36" t="s">
        <v>342</v>
      </c>
      <c r="C36" t="s">
        <v>203</v>
      </c>
      <c r="D36" t="s">
        <v>343</v>
      </c>
      <c r="E36" t="s">
        <v>204</v>
      </c>
      <c r="F36"/>
      <c r="G36"/>
      <c r="H36"/>
      <c r="I36"/>
      <c r="J36"/>
      <c r="K36" t="n">
        <v>218.4</v>
      </c>
      <c r="L36" t="n">
        <v>242.7</v>
      </c>
      <c r="M36" t="n">
        <v>331.8</v>
      </c>
      <c r="N36" t="n">
        <v>427.4</v>
      </c>
      <c r="O36" t="n">
        <v>528.3</v>
      </c>
      <c r="P36" t="n">
        <v>560.4</v>
      </c>
      <c r="Q36" t="n">
        <v>610.6</v>
      </c>
      <c r="R36" t="n">
        <v>661.8</v>
      </c>
      <c r="S36" t="n">
        <v>741.2</v>
      </c>
      <c r="T36" t="n">
        <v>811.1</v>
      </c>
      <c r="U36" t="n">
        <v>853.6</v>
      </c>
      <c r="V36" t="n">
        <v>885.1</v>
      </c>
      <c r="W36" t="n">
        <v>887.3</v>
      </c>
      <c r="X36" t="n">
        <v>859.9</v>
      </c>
      <c r="Y36" t="n">
        <v>844.4</v>
      </c>
      <c r="Z36" t="n">
        <v>860.2</v>
      </c>
      <c r="AA36" t="n">
        <v>833.1</v>
      </c>
      <c r="AB36" t="n">
        <v>969</v>
      </c>
      <c r="AC36" t="n">
        <v>982.6</v>
      </c>
      <c r="AD36" t="n">
        <v>1040.1</v>
      </c>
      <c r="AE36" t="n">
        <v>1075</v>
      </c>
      <c r="AF36" t="n">
        <v>1168</v>
      </c>
    </row>
    <row r="37">
      <c r="A37" t="s">
        <v>105</v>
      </c>
      <c r="B37" t="s">
        <v>344</v>
      </c>
      <c r="C37" t="s">
        <v>203</v>
      </c>
      <c r="D37" t="s">
        <v>345</v>
      </c>
      <c r="E37" t="s">
        <v>204</v>
      </c>
      <c r="F37"/>
      <c r="G37"/>
      <c r="H37"/>
      <c r="I37"/>
      <c r="J37"/>
      <c r="K37" t="n">
        <v>0</v>
      </c>
      <c r="L37" t="n">
        <v>1.2</v>
      </c>
      <c r="M37" t="n">
        <v>4.9</v>
      </c>
      <c r="N37" t="n">
        <v>7.2</v>
      </c>
      <c r="O37" t="n">
        <v>7.2</v>
      </c>
      <c r="P37" t="n">
        <v>59.8</v>
      </c>
      <c r="Q37" t="n">
        <v>124.6</v>
      </c>
      <c r="R37" t="n">
        <v>200.8</v>
      </c>
      <c r="S37" t="n">
        <v>503.1</v>
      </c>
      <c r="T37" t="n">
        <v>589.5</v>
      </c>
      <c r="U37" t="n">
        <v>726.3</v>
      </c>
      <c r="V37" t="n">
        <v>870.1</v>
      </c>
      <c r="W37" t="n">
        <v>1066.9</v>
      </c>
      <c r="X37" t="n">
        <v>1215.5</v>
      </c>
      <c r="Y37" t="n">
        <v>1245.9</v>
      </c>
      <c r="Z37" t="n">
        <v>1302.2</v>
      </c>
      <c r="AA37" t="n">
        <v>1192.2</v>
      </c>
      <c r="AB37" t="n">
        <v>1410.6</v>
      </c>
      <c r="AC37" t="n">
        <v>1469.3</v>
      </c>
      <c r="AD37" t="n">
        <v>1555.2</v>
      </c>
      <c r="AE37" t="n">
        <v>1607.4</v>
      </c>
      <c r="AF37" t="n">
        <v>1746.5</v>
      </c>
    </row>
    <row r="38">
      <c r="A38" t="s">
        <v>105</v>
      </c>
      <c r="B38" t="s">
        <v>346</v>
      </c>
      <c r="C38" t="s">
        <v>203</v>
      </c>
      <c r="D38" t="s">
        <v>347</v>
      </c>
      <c r="E38" t="s">
        <v>204</v>
      </c>
      <c r="F38"/>
      <c r="G38"/>
      <c r="H38"/>
      <c r="I38"/>
      <c r="J38"/>
      <c r="K38" t="n">
        <v>3.6</v>
      </c>
      <c r="L38" t="n">
        <v>11.9</v>
      </c>
      <c r="M38" t="n">
        <v>15.1</v>
      </c>
      <c r="N38" t="n">
        <v>31.3</v>
      </c>
      <c r="O38" t="n">
        <v>34.7</v>
      </c>
      <c r="P38" t="n">
        <v>39.4</v>
      </c>
      <c r="Q38" t="n">
        <v>44.5</v>
      </c>
      <c r="R38" t="n">
        <v>56.1</v>
      </c>
      <c r="S38" t="n">
        <v>73.1</v>
      </c>
      <c r="T38" t="n">
        <v>93.9</v>
      </c>
      <c r="U38" t="n">
        <v>110.6</v>
      </c>
      <c r="V38" t="n">
        <v>121.5</v>
      </c>
      <c r="W38" t="n">
        <v>128.3</v>
      </c>
      <c r="X38" t="n">
        <v>130.3</v>
      </c>
      <c r="Y38" t="n">
        <v>157.9</v>
      </c>
      <c r="Z38" t="n">
        <v>178.1</v>
      </c>
      <c r="AA38" t="n">
        <v>220.9</v>
      </c>
      <c r="AB38" t="n">
        <v>286.1</v>
      </c>
      <c r="AC38" t="n">
        <v>337.3</v>
      </c>
      <c r="AD38" t="n">
        <v>357</v>
      </c>
      <c r="AE38" t="n">
        <v>369</v>
      </c>
      <c r="AF38" t="n">
        <v>400.9</v>
      </c>
    </row>
    <row r="39">
      <c r="A39" t="s">
        <v>105</v>
      </c>
      <c r="B39" t="s">
        <v>348</v>
      </c>
      <c r="C39" t="s">
        <v>203</v>
      </c>
      <c r="D39" t="s">
        <v>349</v>
      </c>
      <c r="E39" t="s">
        <v>204</v>
      </c>
      <c r="F39"/>
      <c r="G39"/>
      <c r="H39"/>
      <c r="I39"/>
      <c r="J39"/>
      <c r="K39" t="n">
        <v>865.3</v>
      </c>
      <c r="L39" t="n">
        <v>864.1</v>
      </c>
      <c r="M39" t="n">
        <v>976.3</v>
      </c>
      <c r="N39" t="n">
        <v>1022.1</v>
      </c>
      <c r="O39" t="n">
        <v>1037.9</v>
      </c>
      <c r="P39" t="n">
        <v>1090.1</v>
      </c>
      <c r="Q39" t="n">
        <v>1204.2</v>
      </c>
      <c r="R39" t="n">
        <v>1303.6</v>
      </c>
      <c r="S39" t="n">
        <v>1439</v>
      </c>
      <c r="T39" t="n">
        <v>1648.2</v>
      </c>
      <c r="U39" t="n">
        <v>1722.4</v>
      </c>
      <c r="V39" t="n">
        <v>1879.6</v>
      </c>
      <c r="W39" t="n">
        <v>2021</v>
      </c>
      <c r="X39" t="n">
        <v>2086.2</v>
      </c>
      <c r="Y39" t="n">
        <v>2116.3</v>
      </c>
      <c r="Z39" t="n">
        <v>2111</v>
      </c>
      <c r="AA39" t="n">
        <v>2136.4</v>
      </c>
      <c r="AB39" t="n">
        <v>2510.9</v>
      </c>
      <c r="AC39" t="n">
        <v>2556.1</v>
      </c>
      <c r="AD39" t="n">
        <v>2705.6</v>
      </c>
      <c r="AE39" t="n">
        <v>2796.3</v>
      </c>
      <c r="AF39" t="n">
        <v>3038.4</v>
      </c>
    </row>
    <row r="40">
      <c r="A40" t="s">
        <v>105</v>
      </c>
      <c r="B40" t="s">
        <v>350</v>
      </c>
      <c r="C40" t="s">
        <v>203</v>
      </c>
      <c r="D40" t="s">
        <v>351</v>
      </c>
      <c r="E40" t="s">
        <v>204</v>
      </c>
      <c r="F40"/>
      <c r="G40"/>
      <c r="H40"/>
      <c r="I40"/>
      <c r="J40"/>
      <c r="K40" t="n">
        <v>197.9</v>
      </c>
      <c r="L40" t="n">
        <v>205.4</v>
      </c>
      <c r="M40" t="n">
        <v>293.5</v>
      </c>
      <c r="N40" t="n">
        <v>311.9</v>
      </c>
      <c r="O40" t="n">
        <v>415.3</v>
      </c>
      <c r="P40" t="n">
        <v>621.1</v>
      </c>
      <c r="Q40" t="n">
        <v>930.7</v>
      </c>
      <c r="R40" t="n">
        <v>1126.4</v>
      </c>
      <c r="S40" t="n">
        <v>2666.8</v>
      </c>
      <c r="T40" t="n">
        <v>4493.9</v>
      </c>
      <c r="U40" t="n">
        <v>5284.5</v>
      </c>
      <c r="V40" t="n">
        <v>6394</v>
      </c>
      <c r="W40" t="n">
        <v>7435.9</v>
      </c>
      <c r="X40" t="n">
        <v>8163.8</v>
      </c>
      <c r="Y40" t="n">
        <v>8254.4</v>
      </c>
      <c r="Z40" t="n">
        <v>8465</v>
      </c>
      <c r="AA40" t="n">
        <v>8727.6</v>
      </c>
      <c r="AB40" t="n">
        <v>11050.2</v>
      </c>
      <c r="AC40" t="n">
        <v>12197.4</v>
      </c>
      <c r="AD40" t="n">
        <v>12910.9</v>
      </c>
      <c r="AE40" t="n">
        <v>13343.8</v>
      </c>
      <c r="AF40" t="n">
        <v>14498.9</v>
      </c>
    </row>
    <row r="41">
      <c r="A41" t="s">
        <v>105</v>
      </c>
      <c r="B41" t="s">
        <v>352</v>
      </c>
      <c r="C41" t="s">
        <v>203</v>
      </c>
      <c r="D41" t="s">
        <v>353</v>
      </c>
      <c r="E41" t="s">
        <v>204</v>
      </c>
      <c r="F41"/>
      <c r="G41"/>
      <c r="H41"/>
      <c r="I41"/>
      <c r="J41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105</v>
      </c>
      <c r="B42" t="s">
        <v>354</v>
      </c>
      <c r="C42" t="s">
        <v>203</v>
      </c>
      <c r="D42" t="s">
        <v>355</v>
      </c>
      <c r="E42" t="s">
        <v>204</v>
      </c>
      <c r="F42"/>
      <c r="G42"/>
      <c r="H42"/>
      <c r="I42"/>
      <c r="J42"/>
      <c r="K42" t="n">
        <v>1006.1</v>
      </c>
      <c r="L42" t="n">
        <v>1056.5</v>
      </c>
      <c r="M42" t="n">
        <v>1239.9</v>
      </c>
      <c r="N42" t="n">
        <v>1276.5</v>
      </c>
      <c r="O42" t="n">
        <v>1308.3</v>
      </c>
      <c r="P42" t="n">
        <v>1391.9</v>
      </c>
      <c r="Q42" t="n">
        <v>1529.6</v>
      </c>
      <c r="R42" t="n">
        <v>1693.9</v>
      </c>
      <c r="S42" t="n">
        <v>2078.8</v>
      </c>
      <c r="T42" t="n">
        <v>2322.9</v>
      </c>
      <c r="U42" t="n">
        <v>2448</v>
      </c>
      <c r="V42" t="n">
        <v>2644.8</v>
      </c>
      <c r="W42" t="n">
        <v>2753.8</v>
      </c>
      <c r="X42" t="n">
        <v>2764.5</v>
      </c>
      <c r="Y42" t="n">
        <v>2710.8</v>
      </c>
      <c r="Z42" t="n">
        <v>2857.8</v>
      </c>
      <c r="AA42" t="n">
        <v>2888.9</v>
      </c>
      <c r="AB42" t="n">
        <v>3381.3</v>
      </c>
      <c r="AC42" t="n">
        <v>3507.1</v>
      </c>
      <c r="AD42" t="n">
        <v>3712.2</v>
      </c>
      <c r="AE42" t="n">
        <v>3836.7</v>
      </c>
      <c r="AF42" t="n">
        <v>4168.8</v>
      </c>
    </row>
    <row r="43">
      <c r="A43" t="s">
        <v>105</v>
      </c>
      <c r="B43" t="s">
        <v>356</v>
      </c>
      <c r="C43" t="s">
        <v>203</v>
      </c>
      <c r="D43" t="s">
        <v>357</v>
      </c>
      <c r="E43" t="s">
        <v>204</v>
      </c>
      <c r="F43"/>
      <c r="G43"/>
      <c r="H43"/>
      <c r="I43"/>
      <c r="J43"/>
      <c r="K43" t="n">
        <v>1655.5</v>
      </c>
      <c r="L43" t="n">
        <v>1701.8</v>
      </c>
      <c r="M43" t="n">
        <v>1973.4</v>
      </c>
      <c r="N43" t="n">
        <v>2073.3</v>
      </c>
      <c r="O43" t="n">
        <v>2373.7</v>
      </c>
      <c r="P43" t="n">
        <v>2508</v>
      </c>
      <c r="Q43" t="n">
        <v>3007.7</v>
      </c>
      <c r="R43" t="n">
        <v>3512.7</v>
      </c>
      <c r="S43" t="n">
        <v>4182.6</v>
      </c>
      <c r="T43" t="n">
        <v>4600.7</v>
      </c>
      <c r="U43" t="n">
        <v>4775.1</v>
      </c>
      <c r="V43" t="n">
        <v>5306.8</v>
      </c>
      <c r="W43" t="n">
        <v>5484.7</v>
      </c>
      <c r="X43" t="n">
        <v>5469.4</v>
      </c>
      <c r="Y43" t="n">
        <v>5419.1</v>
      </c>
      <c r="Z43" t="n">
        <v>5940.6</v>
      </c>
      <c r="AA43" t="n">
        <v>5966.7</v>
      </c>
      <c r="AB43" t="n">
        <v>7010.9</v>
      </c>
      <c r="AC43" t="n">
        <v>7228</v>
      </c>
      <c r="AD43" t="n">
        <v>7650.7</v>
      </c>
      <c r="AE43" t="n">
        <v>7907.3</v>
      </c>
      <c r="AF43" t="n">
        <v>8591.7</v>
      </c>
    </row>
    <row r="44">
      <c r="A44" t="s">
        <v>105</v>
      </c>
      <c r="B44" t="s">
        <v>358</v>
      </c>
      <c r="C44" t="s">
        <v>203</v>
      </c>
      <c r="D44" t="s">
        <v>359</v>
      </c>
      <c r="E44" t="s">
        <v>204</v>
      </c>
      <c r="F44"/>
      <c r="G44"/>
      <c r="H44"/>
      <c r="I44"/>
      <c r="J44"/>
      <c r="K44" t="n">
        <v>9891.5</v>
      </c>
      <c r="L44" t="n">
        <v>10949.3</v>
      </c>
      <c r="M44" t="n">
        <v>13715.2</v>
      </c>
      <c r="N44" t="n">
        <v>15167.1</v>
      </c>
      <c r="O44" t="n">
        <v>17287.8</v>
      </c>
      <c r="P44" t="n">
        <v>20365.6</v>
      </c>
      <c r="Q44" t="n">
        <v>24816.3</v>
      </c>
      <c r="R44" t="n">
        <v>29166</v>
      </c>
      <c r="S44" t="n">
        <v>37484.3</v>
      </c>
      <c r="T44" t="n">
        <v>45393.6</v>
      </c>
      <c r="U44" t="n">
        <v>49930.8</v>
      </c>
      <c r="V44" t="n">
        <v>54637.6</v>
      </c>
      <c r="W44" t="n">
        <v>58615.3</v>
      </c>
      <c r="X44" t="n">
        <v>60393</v>
      </c>
      <c r="Y44" t="n">
        <v>62038.3</v>
      </c>
      <c r="Z44" t="n">
        <v>69691.3</v>
      </c>
      <c r="AA44" t="n">
        <v>73328</v>
      </c>
      <c r="AB44" t="n">
        <v>89512</v>
      </c>
      <c r="AC44" t="n">
        <v>93909.9</v>
      </c>
      <c r="AD44" t="n">
        <v>99403</v>
      </c>
      <c r="AE44" t="n">
        <v>102736.2</v>
      </c>
      <c r="AF44" t="n">
        <v>111629.1</v>
      </c>
    </row>
    <row r="45">
      <c r="A45" t="s">
        <v>105</v>
      </c>
      <c r="B45" t="s">
        <v>360</v>
      </c>
      <c r="C45" t="s">
        <v>203</v>
      </c>
      <c r="D45" t="s">
        <v>361</v>
      </c>
      <c r="E45" t="s">
        <v>204</v>
      </c>
      <c r="F45"/>
      <c r="G45"/>
      <c r="H45"/>
      <c r="I45"/>
      <c r="J45"/>
      <c r="K45" t="n">
        <v>9592</v>
      </c>
      <c r="L45" t="n">
        <v>10597.4</v>
      </c>
      <c r="M45" t="n">
        <v>13273.2</v>
      </c>
      <c r="N45" t="n">
        <v>14684.7</v>
      </c>
      <c r="O45" t="n">
        <v>16744.5</v>
      </c>
      <c r="P45" t="n">
        <v>19734</v>
      </c>
      <c r="Q45" t="n">
        <v>24073.4</v>
      </c>
      <c r="R45" t="n">
        <v>28321.9</v>
      </c>
      <c r="S45" t="n">
        <v>36343.2</v>
      </c>
      <c r="T45" t="n">
        <v>44042.9</v>
      </c>
      <c r="U45" t="n">
        <v>48458.8</v>
      </c>
      <c r="V45" t="n">
        <v>53003.2</v>
      </c>
      <c r="W45" t="n">
        <v>56722.3</v>
      </c>
      <c r="X45" t="n">
        <v>58320.8</v>
      </c>
      <c r="Y45" t="n">
        <v>59655.7</v>
      </c>
      <c r="Z45" t="n">
        <v>66999.7</v>
      </c>
      <c r="AA45" t="n">
        <v>70496.7</v>
      </c>
      <c r="AB45" t="n">
        <v>85827.8</v>
      </c>
      <c r="AC45" t="n">
        <v>89850.3</v>
      </c>
      <c r="AD45" t="n">
        <v>95106</v>
      </c>
      <c r="AE45" t="n">
        <v>98295.1</v>
      </c>
      <c r="AF45" t="n">
        <v>106803.6</v>
      </c>
    </row>
    <row r="46">
      <c r="A46" t="s">
        <v>105</v>
      </c>
      <c r="B46" t="s">
        <v>362</v>
      </c>
      <c r="C46" t="s">
        <v>203</v>
      </c>
      <c r="D46" t="s">
        <v>363</v>
      </c>
      <c r="E46" t="s">
        <v>204</v>
      </c>
      <c r="F46"/>
      <c r="G46"/>
      <c r="H46"/>
      <c r="I46"/>
      <c r="J46"/>
      <c r="K46" t="n">
        <v>649.4</v>
      </c>
      <c r="L46" t="n">
        <v>645.3</v>
      </c>
      <c r="M46" t="n">
        <v>733.5</v>
      </c>
      <c r="N46" t="n">
        <v>796.8</v>
      </c>
      <c r="O46" t="n">
        <v>1065.4</v>
      </c>
      <c r="P46" t="n">
        <v>1116.1</v>
      </c>
      <c r="Q46" t="n">
        <v>1478.1</v>
      </c>
      <c r="R46" t="n">
        <v>1818.8</v>
      </c>
      <c r="S46" t="n">
        <v>2103.8</v>
      </c>
      <c r="T46" t="n">
        <v>2277.8</v>
      </c>
      <c r="U46" t="n">
        <v>2327.1</v>
      </c>
      <c r="V46" t="n">
        <v>2662</v>
      </c>
      <c r="W46" t="n">
        <v>2730.9</v>
      </c>
      <c r="X46" t="n">
        <v>2704.9</v>
      </c>
      <c r="Y46" t="n">
        <v>2708.3</v>
      </c>
      <c r="Z46" t="n">
        <v>3082.8</v>
      </c>
      <c r="AA46" t="n">
        <v>3077.8</v>
      </c>
      <c r="AB46" t="n">
        <v>3629.6</v>
      </c>
      <c r="AC46" t="n">
        <v>3720.9</v>
      </c>
      <c r="AD46" t="n">
        <v>3938.5</v>
      </c>
      <c r="AE46" t="n">
        <v>4070.6</v>
      </c>
      <c r="AF46" t="n">
        <v>4422.9</v>
      </c>
    </row>
    <row r="47">
      <c r="A47" t="s">
        <v>105</v>
      </c>
      <c r="B47" t="s">
        <v>364</v>
      </c>
      <c r="C47" t="s">
        <v>203</v>
      </c>
      <c r="D47" t="s">
        <v>365</v>
      </c>
      <c r="E47" t="s">
        <v>204</v>
      </c>
      <c r="F47"/>
      <c r="G47"/>
      <c r="H47"/>
      <c r="I47"/>
      <c r="J47"/>
      <c r="K47" t="n">
        <v>6576.5</v>
      </c>
      <c r="L47" t="n">
        <v>6887.2</v>
      </c>
      <c r="M47" t="n">
        <v>7842.4</v>
      </c>
      <c r="N47" t="n">
        <v>8453</v>
      </c>
      <c r="O47" t="n">
        <v>9075.1</v>
      </c>
      <c r="P47" t="n">
        <v>9875.4</v>
      </c>
      <c r="Q47" t="n">
        <v>11358.6</v>
      </c>
      <c r="R47" t="n">
        <v>13021.5</v>
      </c>
      <c r="S47" t="n">
        <v>16390</v>
      </c>
      <c r="T47" t="n">
        <v>19918.7</v>
      </c>
      <c r="U47" t="n">
        <v>21412.3</v>
      </c>
      <c r="V47" t="n">
        <v>23603.2</v>
      </c>
      <c r="W47" t="n">
        <v>25378.3</v>
      </c>
      <c r="X47" t="n">
        <v>26197.7</v>
      </c>
      <c r="Y47" t="n">
        <v>27379.6</v>
      </c>
      <c r="Z47" t="n">
        <v>28912</v>
      </c>
      <c r="AA47" t="n">
        <v>28565.6</v>
      </c>
      <c r="AB47" t="n">
        <v>34502.4</v>
      </c>
      <c r="AC47" t="n">
        <v>36217.7</v>
      </c>
      <c r="AD47" t="n">
        <v>38336.3</v>
      </c>
      <c r="AE47" t="n">
        <v>39621.8</v>
      </c>
      <c r="AF47" t="n">
        <v>43051.4</v>
      </c>
    </row>
    <row r="48">
      <c r="A48" t="s">
        <v>105</v>
      </c>
      <c r="B48" t="s">
        <v>366</v>
      </c>
      <c r="C48" t="s">
        <v>203</v>
      </c>
      <c r="D48" t="s">
        <v>367</v>
      </c>
      <c r="E48" t="s">
        <v>204</v>
      </c>
      <c r="F48"/>
      <c r="G48"/>
      <c r="H48"/>
      <c r="I48"/>
      <c r="J48"/>
      <c r="K48" t="n">
        <v>6991.2</v>
      </c>
      <c r="L48" t="n">
        <v>7349.6</v>
      </c>
      <c r="M48" t="n">
        <v>8444.7</v>
      </c>
      <c r="N48" t="n">
        <v>9226.4</v>
      </c>
      <c r="O48" t="n">
        <v>10037.3</v>
      </c>
      <c r="P48" t="n">
        <v>11233.9</v>
      </c>
      <c r="Q48" t="n">
        <v>13116.6</v>
      </c>
      <c r="R48" t="n">
        <v>15397.8</v>
      </c>
      <c r="S48" t="n">
        <v>19579</v>
      </c>
      <c r="T48" t="n">
        <v>23629.6</v>
      </c>
      <c r="U48" t="n">
        <v>25176</v>
      </c>
      <c r="V48" t="n">
        <v>27600.4</v>
      </c>
      <c r="W48" t="n">
        <v>29479.6</v>
      </c>
      <c r="X48" t="n">
        <v>30260.5</v>
      </c>
      <c r="Y48" t="n">
        <v>31354.2</v>
      </c>
      <c r="Z48" t="n">
        <v>33194.6</v>
      </c>
      <c r="AA48" t="n">
        <v>33053.5</v>
      </c>
      <c r="AB48" t="n">
        <v>39802.9</v>
      </c>
      <c r="AC48" t="n">
        <v>41636.8</v>
      </c>
      <c r="AD48" t="n">
        <v>44072.5</v>
      </c>
      <c r="AE48" t="n">
        <v>45550.3</v>
      </c>
      <c r="AF48" t="n">
        <v>49493.1</v>
      </c>
    </row>
    <row r="49">
      <c r="A49" t="s">
        <v>105</v>
      </c>
      <c r="B49" t="s">
        <v>368</v>
      </c>
      <c r="C49" t="s">
        <v>203</v>
      </c>
      <c r="D49" t="s">
        <v>369</v>
      </c>
      <c r="E49" t="s">
        <v>204</v>
      </c>
      <c r="F49"/>
      <c r="G49"/>
      <c r="H49"/>
      <c r="I49"/>
      <c r="J49"/>
      <c r="K49" t="n">
        <v>299.6</v>
      </c>
      <c r="L49" t="n">
        <v>313</v>
      </c>
      <c r="M49" t="n">
        <v>360.3</v>
      </c>
      <c r="N49" t="n">
        <v>455.7</v>
      </c>
      <c r="O49" t="n">
        <v>571.4</v>
      </c>
      <c r="P49" t="n">
        <v>820.4</v>
      </c>
      <c r="Q49" t="n">
        <v>1057.6</v>
      </c>
      <c r="R49" t="n">
        <v>1512.4</v>
      </c>
      <c r="S49" t="n">
        <v>2156</v>
      </c>
      <c r="T49" t="n">
        <v>2554.1</v>
      </c>
      <c r="U49" t="n">
        <v>2544.9</v>
      </c>
      <c r="V49" t="n">
        <v>2705.4</v>
      </c>
      <c r="W49" t="n">
        <v>2745.4</v>
      </c>
      <c r="X49" t="n">
        <v>2691.9</v>
      </c>
      <c r="Y49" t="n">
        <v>2590.2</v>
      </c>
      <c r="Z49" t="n">
        <v>2772</v>
      </c>
      <c r="AA49" t="n">
        <v>2788</v>
      </c>
      <c r="AB49" t="n">
        <v>3256.8</v>
      </c>
      <c r="AC49" t="n">
        <v>3321.2</v>
      </c>
      <c r="AD49" t="n">
        <v>3515.5</v>
      </c>
      <c r="AE49" t="n">
        <v>3633.4</v>
      </c>
      <c r="AF49" t="n">
        <v>3947.9</v>
      </c>
    </row>
    <row r="50">
      <c r="A50" t="s">
        <v>105</v>
      </c>
      <c r="B50" t="s">
        <v>370</v>
      </c>
      <c r="C50" t="s">
        <v>203</v>
      </c>
      <c r="D50" t="s">
        <v>371</v>
      </c>
      <c r="E50" t="s">
        <v>204</v>
      </c>
      <c r="F50"/>
      <c r="G50"/>
      <c r="H50"/>
      <c r="I50"/>
      <c r="J50"/>
      <c r="K50" t="n">
        <v>115.2</v>
      </c>
      <c r="L50" t="n">
        <v>149.3</v>
      </c>
      <c r="M50" t="n">
        <v>242.1</v>
      </c>
      <c r="N50" t="n">
        <v>317.7</v>
      </c>
      <c r="O50" t="n">
        <v>390.9</v>
      </c>
      <c r="P50" t="n">
        <v>538.1</v>
      </c>
      <c r="Q50" t="n">
        <v>700.4</v>
      </c>
      <c r="R50" t="n">
        <v>864</v>
      </c>
      <c r="S50" t="n">
        <v>1033.1</v>
      </c>
      <c r="T50" t="n">
        <v>1156.9</v>
      </c>
      <c r="U50" t="n">
        <v>1218.8</v>
      </c>
      <c r="V50" t="n">
        <v>1291.7</v>
      </c>
      <c r="W50" t="n">
        <v>1355.9</v>
      </c>
      <c r="X50" t="n">
        <v>1371</v>
      </c>
      <c r="Y50" t="n">
        <v>1384.4</v>
      </c>
      <c r="Z50" t="n">
        <v>1510.7</v>
      </c>
      <c r="AA50" t="n">
        <v>1700</v>
      </c>
      <c r="AB50" t="n">
        <v>2043.7</v>
      </c>
      <c r="AC50" t="n">
        <v>2097.9</v>
      </c>
      <c r="AD50" t="n">
        <v>2220.6</v>
      </c>
      <c r="AE50" t="n">
        <v>2295.1</v>
      </c>
      <c r="AF50" t="n">
        <v>2493.8</v>
      </c>
    </row>
    <row r="51">
      <c r="A51" t="s">
        <v>105</v>
      </c>
      <c r="B51" t="s">
        <v>372</v>
      </c>
      <c r="C51" t="s">
        <v>203</v>
      </c>
      <c r="D51" t="s">
        <v>373</v>
      </c>
      <c r="E51" t="s">
        <v>204</v>
      </c>
      <c r="F51"/>
      <c r="G51"/>
      <c r="H51"/>
      <c r="I51"/>
      <c r="J51"/>
      <c r="K51" t="n">
        <v>83.2</v>
      </c>
      <c r="L51" t="n">
        <v>117.4</v>
      </c>
      <c r="M51" t="n">
        <v>202.4</v>
      </c>
      <c r="N51" t="n">
        <v>275.9</v>
      </c>
      <c r="O51" t="n">
        <v>348.8</v>
      </c>
      <c r="P51" t="n">
        <v>493.9</v>
      </c>
      <c r="Q51" t="n">
        <v>652.7</v>
      </c>
      <c r="R51" t="n">
        <v>812.1</v>
      </c>
      <c r="S51" t="n">
        <v>974.4</v>
      </c>
      <c r="T51" t="n">
        <v>1092.9</v>
      </c>
      <c r="U51" t="n">
        <v>1126.4</v>
      </c>
      <c r="V51" t="n">
        <v>1196.1</v>
      </c>
      <c r="W51" t="n">
        <v>1260.2</v>
      </c>
      <c r="X51" t="n">
        <v>1278.4</v>
      </c>
      <c r="Y51" t="n">
        <v>1293.4</v>
      </c>
      <c r="Z51" t="n">
        <v>1396.1</v>
      </c>
      <c r="AA51" t="n">
        <v>1583.1</v>
      </c>
      <c r="AB51" t="n">
        <v>1906.8</v>
      </c>
      <c r="AC51" t="n">
        <v>1959.3</v>
      </c>
      <c r="AD51" t="n">
        <v>2073.9</v>
      </c>
      <c r="AE51" t="n">
        <v>2143.5</v>
      </c>
      <c r="AF51" t="n">
        <v>2329</v>
      </c>
    </row>
    <row r="52">
      <c r="A52" t="s">
        <v>105</v>
      </c>
      <c r="B52" t="s">
        <v>374</v>
      </c>
      <c r="C52" t="s">
        <v>203</v>
      </c>
      <c r="D52" t="s">
        <v>375</v>
      </c>
      <c r="E52" t="s">
        <v>204</v>
      </c>
      <c r="F52"/>
      <c r="G52"/>
      <c r="H52"/>
      <c r="I52"/>
      <c r="J52"/>
      <c r="K52" t="n">
        <v>32</v>
      </c>
      <c r="L52" t="n">
        <v>31.9</v>
      </c>
      <c r="M52" t="n">
        <v>39.7</v>
      </c>
      <c r="N52" t="n">
        <v>41.8</v>
      </c>
      <c r="O52" t="n">
        <v>42.1</v>
      </c>
      <c r="P52" t="n">
        <v>44.2</v>
      </c>
      <c r="Q52" t="n">
        <v>47.7</v>
      </c>
      <c r="R52" t="n">
        <v>51.9</v>
      </c>
      <c r="S52" t="n">
        <v>58.7</v>
      </c>
      <c r="T52" t="n">
        <v>64</v>
      </c>
      <c r="U52" t="n">
        <v>92.4</v>
      </c>
      <c r="V52" t="n">
        <v>95.6</v>
      </c>
      <c r="W52" t="n">
        <v>95.7</v>
      </c>
      <c r="X52" t="n">
        <v>92.6</v>
      </c>
      <c r="Y52" t="n">
        <v>91</v>
      </c>
      <c r="Z52" t="n">
        <v>114.6</v>
      </c>
      <c r="AA52" t="n">
        <v>116.9</v>
      </c>
      <c r="AB52" t="n">
        <v>136.9</v>
      </c>
      <c r="AC52" t="n">
        <v>138.6</v>
      </c>
      <c r="AD52" t="n">
        <v>146.7</v>
      </c>
      <c r="AE52" t="n">
        <v>151.6</v>
      </c>
      <c r="AF52" t="n">
        <v>164.8</v>
      </c>
    </row>
    <row r="53">
      <c r="A53" t="s">
        <v>105</v>
      </c>
      <c r="B53" t="s">
        <v>376</v>
      </c>
      <c r="C53" t="s">
        <v>203</v>
      </c>
      <c r="D53" t="s">
        <v>377</v>
      </c>
      <c r="E53" t="s">
        <v>204</v>
      </c>
      <c r="F53"/>
      <c r="G53"/>
      <c r="H53"/>
      <c r="I53"/>
      <c r="J53"/>
      <c r="K53" t="n">
        <v>49.8</v>
      </c>
      <c r="L53" t="n">
        <v>58.3</v>
      </c>
      <c r="M53" t="n">
        <v>76.5</v>
      </c>
      <c r="N53" t="n">
        <v>87.2</v>
      </c>
      <c r="O53" t="n">
        <v>132.4</v>
      </c>
      <c r="P53" t="n">
        <v>161.9</v>
      </c>
      <c r="Q53" t="n">
        <v>205.5</v>
      </c>
      <c r="R53" t="n">
        <v>279.7</v>
      </c>
      <c r="S53" t="n">
        <v>384</v>
      </c>
      <c r="T53" t="n">
        <v>479.1</v>
      </c>
      <c r="U53" t="n">
        <v>569.6</v>
      </c>
      <c r="V53" t="n">
        <v>594.1</v>
      </c>
      <c r="W53" t="n">
        <v>726.5</v>
      </c>
      <c r="X53" t="n">
        <v>826.3</v>
      </c>
      <c r="Y53" t="n">
        <v>836.4</v>
      </c>
      <c r="Z53" t="n">
        <v>1166.1</v>
      </c>
      <c r="AA53" t="n">
        <v>1238.6</v>
      </c>
      <c r="AB53" t="n">
        <v>1477.8</v>
      </c>
      <c r="AC53" t="n">
        <v>1522.8</v>
      </c>
      <c r="AD53" t="n">
        <v>1611.9</v>
      </c>
      <c r="AE53" t="n">
        <v>1665.9</v>
      </c>
      <c r="AF53" t="n">
        <v>1810.1</v>
      </c>
    </row>
    <row r="54">
      <c r="A54" t="s">
        <v>105</v>
      </c>
      <c r="B54" t="s">
        <v>378</v>
      </c>
      <c r="C54" t="s">
        <v>203</v>
      </c>
      <c r="D54" t="s">
        <v>379</v>
      </c>
      <c r="E54" t="s">
        <v>204</v>
      </c>
      <c r="F54"/>
      <c r="G54"/>
      <c r="H54"/>
      <c r="I54"/>
      <c r="J54"/>
      <c r="K54" t="n">
        <v>61.5</v>
      </c>
      <c r="L54" t="n">
        <v>70.5</v>
      </c>
      <c r="M54" t="n">
        <v>96.6</v>
      </c>
      <c r="N54" t="n">
        <v>107.6</v>
      </c>
      <c r="O54" t="n">
        <v>153.6</v>
      </c>
      <c r="P54" t="n">
        <v>185.7</v>
      </c>
      <c r="Q54" t="n">
        <v>234.8</v>
      </c>
      <c r="R54" t="n">
        <v>315.4</v>
      </c>
      <c r="S54" t="n">
        <v>423.1</v>
      </c>
      <c r="T54" t="n">
        <v>520.3</v>
      </c>
      <c r="U54" t="n">
        <v>662.6</v>
      </c>
      <c r="V54" t="n">
        <v>698.8</v>
      </c>
      <c r="W54" t="n">
        <v>864.4</v>
      </c>
      <c r="X54" t="n">
        <v>990.6</v>
      </c>
      <c r="Y54" t="n">
        <v>1028</v>
      </c>
      <c r="Z54" t="n">
        <v>1397.3</v>
      </c>
      <c r="AA54" t="n">
        <v>1487.8</v>
      </c>
      <c r="AB54" t="n">
        <v>1789.9</v>
      </c>
      <c r="AC54" t="n">
        <v>1869.7</v>
      </c>
      <c r="AD54" t="n">
        <v>1979.1</v>
      </c>
      <c r="AE54" t="n">
        <v>2045.4</v>
      </c>
      <c r="AF54" t="n">
        <v>2222.5</v>
      </c>
    </row>
    <row r="55">
      <c r="A55" t="s">
        <v>105</v>
      </c>
      <c r="B55" t="s">
        <v>380</v>
      </c>
      <c r="C55" t="s">
        <v>203</v>
      </c>
      <c r="D55" t="s">
        <v>381</v>
      </c>
      <c r="E55" t="s">
        <v>204</v>
      </c>
      <c r="F55"/>
      <c r="G55"/>
      <c r="H55"/>
      <c r="I55"/>
      <c r="J55"/>
      <c r="K55" t="n">
        <v>11.7</v>
      </c>
      <c r="L55" t="n">
        <v>12.2</v>
      </c>
      <c r="M55" t="n">
        <v>20.1</v>
      </c>
      <c r="N55" t="n">
        <v>20.4</v>
      </c>
      <c r="O55" t="n">
        <v>21.2</v>
      </c>
      <c r="P55" t="n">
        <v>23.8</v>
      </c>
      <c r="Q55" t="n">
        <v>29.3</v>
      </c>
      <c r="R55" t="n">
        <v>35.7</v>
      </c>
      <c r="S55" t="n">
        <v>39.1</v>
      </c>
      <c r="T55" t="n">
        <v>41.2</v>
      </c>
      <c r="U55" t="n">
        <v>93</v>
      </c>
      <c r="V55" t="n">
        <v>104.7</v>
      </c>
      <c r="W55" t="n">
        <v>137.9</v>
      </c>
      <c r="X55" t="n">
        <v>164.3</v>
      </c>
      <c r="Y55" t="n">
        <v>191.6</v>
      </c>
      <c r="Z55" t="n">
        <v>231.2</v>
      </c>
      <c r="AA55" t="n">
        <v>249.2</v>
      </c>
      <c r="AB55" t="n">
        <v>312.1</v>
      </c>
      <c r="AC55" t="n">
        <v>346.9</v>
      </c>
      <c r="AD55" t="n">
        <v>367.2</v>
      </c>
      <c r="AE55" t="n">
        <v>379.5</v>
      </c>
      <c r="AF55" t="n">
        <v>412.4</v>
      </c>
    </row>
    <row r="56">
      <c r="A56" t="s">
        <v>105</v>
      </c>
      <c r="B56" t="s">
        <v>382</v>
      </c>
      <c r="C56" t="s">
        <v>203</v>
      </c>
      <c r="D56" t="s">
        <v>383</v>
      </c>
      <c r="E56" t="s">
        <v>204</v>
      </c>
      <c r="F56"/>
      <c r="G56"/>
      <c r="H56"/>
      <c r="I56"/>
      <c r="J56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105</v>
      </c>
      <c r="B57" t="s">
        <v>384</v>
      </c>
      <c r="C57" t="s">
        <v>203</v>
      </c>
      <c r="D57" t="s">
        <v>385</v>
      </c>
      <c r="E57" t="s">
        <v>204</v>
      </c>
      <c r="F57"/>
      <c r="G57"/>
      <c r="H57"/>
      <c r="I57"/>
      <c r="J57"/>
      <c r="K57" t="n">
        <v>17080.7</v>
      </c>
      <c r="L57" t="n">
        <v>18504.2</v>
      </c>
      <c r="M57" t="n">
        <v>22453.5</v>
      </c>
      <c r="N57" t="n">
        <v>24705.4</v>
      </c>
      <c r="O57" t="n">
        <v>27740.5</v>
      </c>
      <c r="P57" t="n">
        <v>32220.6</v>
      </c>
      <c r="Q57" t="n">
        <v>38863.6</v>
      </c>
      <c r="R57" t="n">
        <v>45690.3</v>
      </c>
      <c r="S57" t="n">
        <v>59730.2</v>
      </c>
      <c r="T57" t="n">
        <v>73517.2</v>
      </c>
      <c r="U57" t="n">
        <v>80391.3</v>
      </c>
      <c r="V57" t="n">
        <v>88631.9</v>
      </c>
      <c r="W57" t="n">
        <v>95530.8</v>
      </c>
      <c r="X57" t="n">
        <v>98817.4</v>
      </c>
      <c r="Y57" t="n">
        <v>101646.9</v>
      </c>
      <c r="Z57" t="n">
        <v>111351</v>
      </c>
      <c r="AA57" t="n">
        <v>115109.2</v>
      </c>
      <c r="AB57" t="n">
        <v>140365.1</v>
      </c>
      <c r="AC57" t="n">
        <v>147744.1</v>
      </c>
      <c r="AD57" t="n">
        <v>156386.3</v>
      </c>
      <c r="AE57" t="n">
        <v>161630.3</v>
      </c>
      <c r="AF57" t="n">
        <v>175621.1</v>
      </c>
    </row>
    <row r="58">
      <c r="A58" t="s">
        <v>105</v>
      </c>
      <c r="B58" t="s">
        <v>386</v>
      </c>
      <c r="C58" t="s">
        <v>203</v>
      </c>
      <c r="D58" t="s">
        <v>387</v>
      </c>
      <c r="E58" t="s">
        <v>204</v>
      </c>
      <c r="F58"/>
      <c r="G58"/>
      <c r="H58"/>
      <c r="I58"/>
      <c r="J58"/>
      <c r="K58" t="n">
        <v>17080.7</v>
      </c>
      <c r="L58" t="n">
        <v>18504.2</v>
      </c>
      <c r="M58" t="n">
        <v>22453.5</v>
      </c>
      <c r="N58" t="n">
        <v>24705.4</v>
      </c>
      <c r="O58" t="n">
        <v>27740.5</v>
      </c>
      <c r="P58" t="n">
        <v>32220.6</v>
      </c>
      <c r="Q58" t="n">
        <v>38863.6</v>
      </c>
      <c r="R58" t="n">
        <v>45690.3</v>
      </c>
      <c r="S58" t="n">
        <v>59730.2</v>
      </c>
      <c r="T58" t="n">
        <v>73517.2</v>
      </c>
      <c r="U58" t="n">
        <v>80391.3</v>
      </c>
      <c r="V58" t="n">
        <v>88631.9</v>
      </c>
      <c r="W58" t="n">
        <v>95530.8</v>
      </c>
      <c r="X58" t="n">
        <v>98817.4</v>
      </c>
      <c r="Y58" t="n">
        <v>101646.9</v>
      </c>
      <c r="Z58" t="n">
        <v>111351</v>
      </c>
      <c r="AA58" t="n">
        <v>115109.2</v>
      </c>
      <c r="AB58" t="n">
        <v>140365.1</v>
      </c>
      <c r="AC58" t="n">
        <v>147744.1</v>
      </c>
      <c r="AD58" t="n">
        <v>156386.3</v>
      </c>
      <c r="AE58" t="n">
        <v>161630.3</v>
      </c>
      <c r="AF58" t="n">
        <v>175621.1</v>
      </c>
    </row>
    <row r="59">
      <c r="A59" t="s">
        <v>105</v>
      </c>
      <c r="B59" t="s">
        <v>388</v>
      </c>
      <c r="C59" t="s">
        <v>203</v>
      </c>
      <c r="D59" t="s">
        <v>389</v>
      </c>
      <c r="E59" t="s">
        <v>204</v>
      </c>
      <c r="F59"/>
      <c r="G59"/>
      <c r="H59"/>
      <c r="I59"/>
      <c r="J59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107</v>
      </c>
      <c r="B2" t="s">
        <v>197</v>
      </c>
      <c r="C2" t="s">
        <v>203</v>
      </c>
      <c r="D2" t="s">
        <v>199</v>
      </c>
      <c r="E2" t="s">
        <v>204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1209.1</v>
      </c>
      <c r="L2" t="n">
        <v>1203.6</v>
      </c>
      <c r="M2" t="n">
        <v>1354.7</v>
      </c>
      <c r="N2" t="n">
        <v>1378.6</v>
      </c>
      <c r="O2" t="n">
        <v>1386.6</v>
      </c>
      <c r="P2" t="n">
        <v>1424.2</v>
      </c>
      <c r="Q2" t="n">
        <v>1517.9</v>
      </c>
      <c r="R2" t="n">
        <v>1599.1</v>
      </c>
      <c r="S2" t="n">
        <v>1791.2</v>
      </c>
      <c r="T2" t="n">
        <v>1912.7</v>
      </c>
      <c r="U2" t="n">
        <v>1872.1</v>
      </c>
      <c r="V2" t="n">
        <v>1911.4</v>
      </c>
      <c r="W2" t="n">
        <v>1968.2</v>
      </c>
      <c r="X2" t="n">
        <v>1999.3</v>
      </c>
      <c r="Y2" t="n">
        <v>1906.5</v>
      </c>
      <c r="Z2" t="n">
        <v>1955.3</v>
      </c>
      <c r="AA2" t="n">
        <v>1909.7</v>
      </c>
      <c r="AB2" t="n">
        <v>1769.3</v>
      </c>
      <c r="AC2" t="n">
        <v>1789</v>
      </c>
      <c r="AD2" t="n">
        <v>1854</v>
      </c>
      <c r="AE2" t="n">
        <v>1877.4</v>
      </c>
      <c r="AF2" t="n">
        <v>2014.4</v>
      </c>
    </row>
    <row r="3">
      <c r="A3" t="s">
        <v>107</v>
      </c>
      <c r="B3" t="s">
        <v>276</v>
      </c>
      <c r="C3" t="s">
        <v>203</v>
      </c>
      <c r="D3" t="s">
        <v>277</v>
      </c>
      <c r="E3" t="s">
        <v>204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178.4</v>
      </c>
      <c r="L3" t="n">
        <v>176.7</v>
      </c>
      <c r="M3" t="n">
        <v>198.3</v>
      </c>
      <c r="N3" t="n">
        <v>201.4</v>
      </c>
      <c r="O3" t="n">
        <v>201.1</v>
      </c>
      <c r="P3" t="n">
        <v>206.4</v>
      </c>
      <c r="Q3" t="n">
        <v>219.5</v>
      </c>
      <c r="R3" t="n">
        <v>231.1</v>
      </c>
      <c r="S3" t="n">
        <v>259.3</v>
      </c>
      <c r="T3" t="n">
        <v>286.1</v>
      </c>
      <c r="U3" t="n">
        <v>285.6</v>
      </c>
      <c r="V3" t="n">
        <v>291.8</v>
      </c>
      <c r="W3" t="n">
        <v>301.6</v>
      </c>
      <c r="X3" t="n">
        <v>307.4</v>
      </c>
      <c r="Y3" t="n">
        <v>293.6</v>
      </c>
      <c r="Z3" t="n">
        <v>300.7</v>
      </c>
      <c r="AA3" t="n">
        <v>295.7</v>
      </c>
      <c r="AB3" t="n">
        <v>276.5</v>
      </c>
      <c r="AC3" t="n">
        <v>277.6</v>
      </c>
      <c r="AD3" t="n">
        <v>287.7</v>
      </c>
      <c r="AE3" t="n">
        <v>291.3</v>
      </c>
      <c r="AF3" t="n">
        <v>312.6</v>
      </c>
    </row>
    <row r="4">
      <c r="A4" t="s">
        <v>107</v>
      </c>
      <c r="B4" t="s">
        <v>278</v>
      </c>
      <c r="C4" t="s">
        <v>203</v>
      </c>
      <c r="D4" t="s">
        <v>279</v>
      </c>
      <c r="E4" t="s">
        <v>204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6800.5</v>
      </c>
      <c r="L4" t="n">
        <v>6740.3</v>
      </c>
      <c r="M4" t="n">
        <v>7585.4</v>
      </c>
      <c r="N4" t="n">
        <v>7732.2</v>
      </c>
      <c r="O4" t="n">
        <v>7728.4</v>
      </c>
      <c r="P4" t="n">
        <v>7954.9</v>
      </c>
      <c r="Q4" t="n">
        <v>8497.4</v>
      </c>
      <c r="R4" t="n">
        <v>8948.8</v>
      </c>
      <c r="S4" t="n">
        <v>9993.7</v>
      </c>
      <c r="T4" t="n">
        <v>10690.9</v>
      </c>
      <c r="U4" t="n">
        <v>10455.3</v>
      </c>
      <c r="V4" t="n">
        <v>10665.2</v>
      </c>
      <c r="W4" t="n">
        <v>10972.7</v>
      </c>
      <c r="X4" t="n">
        <v>11136.9</v>
      </c>
      <c r="Y4" t="n">
        <v>10600.1</v>
      </c>
      <c r="Z4" t="n">
        <v>10826.8</v>
      </c>
      <c r="AA4" t="n">
        <v>10574.6</v>
      </c>
      <c r="AB4" t="n">
        <v>9794.4</v>
      </c>
      <c r="AC4" t="n">
        <v>9902.6</v>
      </c>
      <c r="AD4" t="n">
        <v>10262.9</v>
      </c>
      <c r="AE4" t="n">
        <v>10392.2</v>
      </c>
      <c r="AF4" t="n">
        <v>11150.4</v>
      </c>
    </row>
    <row r="5">
      <c r="A5" t="s">
        <v>107</v>
      </c>
      <c r="B5" t="s">
        <v>280</v>
      </c>
      <c r="C5" t="s">
        <v>203</v>
      </c>
      <c r="D5" t="s">
        <v>281</v>
      </c>
      <c r="E5" t="s">
        <v>204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4610.4</v>
      </c>
      <c r="L5" t="n">
        <v>4551.7</v>
      </c>
      <c r="M5" t="n">
        <v>5111.4</v>
      </c>
      <c r="N5" t="n">
        <v>5204.1</v>
      </c>
      <c r="O5" t="n">
        <v>5197.9</v>
      </c>
      <c r="P5" t="n">
        <v>5338.1</v>
      </c>
      <c r="Q5" t="n">
        <v>5680.3</v>
      </c>
      <c r="R5" t="n">
        <v>5966.3</v>
      </c>
      <c r="S5" t="n">
        <v>6647.7</v>
      </c>
      <c r="T5" t="n">
        <v>7092</v>
      </c>
      <c r="U5" t="n">
        <v>6932.6</v>
      </c>
      <c r="V5" t="n">
        <v>7067.6</v>
      </c>
      <c r="W5" t="n">
        <v>7268.5</v>
      </c>
      <c r="X5" t="n">
        <v>7374.6</v>
      </c>
      <c r="Y5" t="n">
        <v>7017.6</v>
      </c>
      <c r="Z5" t="n">
        <v>7164.6</v>
      </c>
      <c r="AA5" t="n">
        <v>6994.2</v>
      </c>
      <c r="AB5" t="n">
        <v>6467.8</v>
      </c>
      <c r="AC5" t="n">
        <v>6525.2</v>
      </c>
      <c r="AD5" t="n">
        <v>6762.5</v>
      </c>
      <c r="AE5" t="n">
        <v>6847.8</v>
      </c>
      <c r="AF5" t="n">
        <v>7347.4</v>
      </c>
    </row>
    <row r="6">
      <c r="A6" t="s">
        <v>107</v>
      </c>
      <c r="B6" t="s">
        <v>282</v>
      </c>
      <c r="C6" t="s">
        <v>203</v>
      </c>
      <c r="D6" t="s">
        <v>283</v>
      </c>
      <c r="E6" t="s">
        <v>204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1298.2</v>
      </c>
      <c r="L6" t="n">
        <v>1286.5</v>
      </c>
      <c r="M6" t="n">
        <v>1445.5</v>
      </c>
      <c r="N6" t="n">
        <v>1467.8</v>
      </c>
      <c r="O6" t="n">
        <v>1467.7</v>
      </c>
      <c r="P6" t="n">
        <v>1511.6</v>
      </c>
      <c r="Q6" t="n">
        <v>1617.1</v>
      </c>
      <c r="R6" t="n">
        <v>1701</v>
      </c>
      <c r="S6" t="n">
        <v>1893.5</v>
      </c>
      <c r="T6" t="n">
        <v>2020.6</v>
      </c>
      <c r="U6" t="n">
        <v>1975.6</v>
      </c>
      <c r="V6" t="n">
        <v>2013.3</v>
      </c>
      <c r="W6" t="n">
        <v>2071.2</v>
      </c>
      <c r="X6" t="n">
        <v>2102</v>
      </c>
      <c r="Y6" t="n">
        <v>2001.3</v>
      </c>
      <c r="Z6" t="n">
        <v>2043.7</v>
      </c>
      <c r="AA6" t="n">
        <v>1995.2</v>
      </c>
      <c r="AB6" t="n">
        <v>1848.5</v>
      </c>
      <c r="AC6" t="n">
        <v>1874</v>
      </c>
      <c r="AD6" t="n">
        <v>1942.2</v>
      </c>
      <c r="AE6" t="n">
        <v>1966.7</v>
      </c>
      <c r="AF6" t="n">
        <v>2110.2</v>
      </c>
    </row>
    <row r="7">
      <c r="A7" t="s">
        <v>107</v>
      </c>
      <c r="B7" t="s">
        <v>284</v>
      </c>
      <c r="C7" t="s">
        <v>203</v>
      </c>
      <c r="D7" t="s">
        <v>285</v>
      </c>
      <c r="E7" t="s">
        <v>204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89.2</v>
      </c>
      <c r="L7" t="n">
        <v>94.7</v>
      </c>
      <c r="M7" t="n">
        <v>107.5</v>
      </c>
      <c r="N7" t="n">
        <v>109.1</v>
      </c>
      <c r="O7" t="n">
        <v>109</v>
      </c>
      <c r="P7" t="n">
        <v>113.9</v>
      </c>
      <c r="Q7" t="n">
        <v>123.3</v>
      </c>
      <c r="R7" t="n">
        <v>132.3</v>
      </c>
      <c r="S7" t="n">
        <v>150.6</v>
      </c>
      <c r="T7" t="n">
        <v>160.5</v>
      </c>
      <c r="U7" t="n">
        <v>156.8</v>
      </c>
      <c r="V7" t="n">
        <v>160.6</v>
      </c>
      <c r="W7" t="n">
        <v>165.5</v>
      </c>
      <c r="X7" t="n">
        <v>168.3</v>
      </c>
      <c r="Y7" t="n">
        <v>161.3</v>
      </c>
      <c r="Z7" t="n">
        <v>165.1</v>
      </c>
      <c r="AA7" t="n">
        <v>163.6</v>
      </c>
      <c r="AB7" t="n">
        <v>151.9</v>
      </c>
      <c r="AC7" t="n">
        <v>141.6</v>
      </c>
      <c r="AD7" t="n">
        <v>146.8</v>
      </c>
      <c r="AE7" t="n">
        <v>148.6</v>
      </c>
      <c r="AF7" t="n">
        <v>159.5</v>
      </c>
    </row>
    <row r="8">
      <c r="A8" t="s">
        <v>107</v>
      </c>
      <c r="B8" t="s">
        <v>286</v>
      </c>
      <c r="C8" t="s">
        <v>203</v>
      </c>
      <c r="D8" t="s">
        <v>287</v>
      </c>
      <c r="E8" t="s">
        <v>204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0.9</v>
      </c>
      <c r="AD8" t="n">
        <v>0.9</v>
      </c>
      <c r="AE8" t="n">
        <v>0.9</v>
      </c>
      <c r="AF8" t="n">
        <v>1</v>
      </c>
    </row>
    <row r="9">
      <c r="A9" t="s">
        <v>107</v>
      </c>
      <c r="B9" t="s">
        <v>288</v>
      </c>
      <c r="C9" t="s">
        <v>203</v>
      </c>
      <c r="D9" t="s">
        <v>289</v>
      </c>
      <c r="E9" t="s">
        <v>204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7.9</v>
      </c>
      <c r="M9" t="n">
        <v>8.9</v>
      </c>
      <c r="N9" t="n">
        <v>9</v>
      </c>
      <c r="O9" t="n">
        <v>9</v>
      </c>
      <c r="P9" t="n">
        <v>9.2</v>
      </c>
      <c r="Q9" t="n">
        <v>9.8</v>
      </c>
      <c r="R9" t="n">
        <v>10.3</v>
      </c>
      <c r="S9" t="n">
        <v>12.5</v>
      </c>
      <c r="T9" t="n">
        <v>13.4</v>
      </c>
      <c r="U9" t="n">
        <v>14</v>
      </c>
      <c r="V9" t="n">
        <v>14.5</v>
      </c>
      <c r="W9" t="n">
        <v>15.4</v>
      </c>
      <c r="X9" t="n">
        <v>16</v>
      </c>
      <c r="Y9" t="n">
        <v>15.9</v>
      </c>
      <c r="Z9" t="n">
        <v>16.4</v>
      </c>
      <c r="AA9" t="n">
        <v>17</v>
      </c>
      <c r="AB9" t="n">
        <v>16.3</v>
      </c>
      <c r="AC9" t="n">
        <v>18.4</v>
      </c>
      <c r="AD9" t="n">
        <v>19.1</v>
      </c>
      <c r="AE9" t="n">
        <v>19.3</v>
      </c>
      <c r="AF9" t="n">
        <v>20.7</v>
      </c>
    </row>
    <row r="10">
      <c r="A10" t="s">
        <v>107</v>
      </c>
      <c r="B10" t="s">
        <v>290</v>
      </c>
      <c r="C10" t="s">
        <v>203</v>
      </c>
      <c r="D10" t="s">
        <v>291</v>
      </c>
      <c r="E10" t="s">
        <v>204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7.9</v>
      </c>
      <c r="M10" t="n">
        <v>8.9</v>
      </c>
      <c r="N10" t="n">
        <v>9</v>
      </c>
      <c r="O10" t="n">
        <v>9</v>
      </c>
      <c r="P10" t="n">
        <v>9.2</v>
      </c>
      <c r="Q10" t="n">
        <v>9.8</v>
      </c>
      <c r="R10" t="n">
        <v>10.3</v>
      </c>
      <c r="S10" t="n">
        <v>12.5</v>
      </c>
      <c r="T10" t="n">
        <v>13.4</v>
      </c>
      <c r="U10" t="n">
        <v>14</v>
      </c>
      <c r="V10" t="n">
        <v>14.5</v>
      </c>
      <c r="W10" t="n">
        <v>15.4</v>
      </c>
      <c r="X10" t="n">
        <v>16</v>
      </c>
      <c r="Y10" t="n">
        <v>15.9</v>
      </c>
      <c r="Z10" t="n">
        <v>16.4</v>
      </c>
      <c r="AA10" t="n">
        <v>17</v>
      </c>
      <c r="AB10" t="n">
        <v>18.2</v>
      </c>
      <c r="AC10" t="n">
        <v>29.5</v>
      </c>
      <c r="AD10" t="n">
        <v>30.6</v>
      </c>
      <c r="AE10" t="n">
        <v>30.9</v>
      </c>
      <c r="AF10" t="n">
        <v>33.2</v>
      </c>
    </row>
    <row r="11">
      <c r="A11" t="s">
        <v>107</v>
      </c>
      <c r="B11" t="s">
        <v>292</v>
      </c>
      <c r="C11" t="s">
        <v>203</v>
      </c>
      <c r="D11" t="s">
        <v>293</v>
      </c>
      <c r="E11" t="s">
        <v>204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1.9</v>
      </c>
      <c r="AC11" t="n">
        <v>11.1</v>
      </c>
      <c r="AD11" t="n">
        <v>11.5</v>
      </c>
      <c r="AE11" t="n">
        <v>11.6</v>
      </c>
      <c r="AF11" t="n">
        <v>12.5</v>
      </c>
    </row>
    <row r="12">
      <c r="A12" t="s">
        <v>107</v>
      </c>
      <c r="B12" t="s">
        <v>294</v>
      </c>
      <c r="C12" t="s">
        <v>203</v>
      </c>
      <c r="D12" t="s">
        <v>295</v>
      </c>
      <c r="E12" t="s">
        <v>204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178.4</v>
      </c>
      <c r="L12" t="n">
        <v>176.7</v>
      </c>
      <c r="M12" t="n">
        <v>201.7</v>
      </c>
      <c r="N12" t="n">
        <v>204.8</v>
      </c>
      <c r="O12" t="n">
        <v>206.5</v>
      </c>
      <c r="P12" t="n">
        <v>218.1</v>
      </c>
      <c r="Q12" t="n">
        <v>239.4</v>
      </c>
      <c r="R12" t="n">
        <v>255.1</v>
      </c>
      <c r="S12" t="n">
        <v>291.6</v>
      </c>
      <c r="T12" t="n">
        <v>318.3</v>
      </c>
      <c r="U12" t="n">
        <v>315</v>
      </c>
      <c r="V12" t="n">
        <v>323.2</v>
      </c>
      <c r="W12" t="n">
        <v>334.1</v>
      </c>
      <c r="X12" t="n">
        <v>340.6</v>
      </c>
      <c r="Y12" t="n">
        <v>320.2</v>
      </c>
      <c r="Z12" t="n">
        <v>328.5</v>
      </c>
      <c r="AA12" t="n">
        <v>320.5</v>
      </c>
      <c r="AB12" t="n">
        <v>296.4</v>
      </c>
      <c r="AC12" t="n">
        <v>300</v>
      </c>
      <c r="AD12" t="n">
        <v>310.9</v>
      </c>
      <c r="AE12" t="n">
        <v>314.8</v>
      </c>
      <c r="AF12" t="n">
        <v>337.8</v>
      </c>
    </row>
    <row r="13">
      <c r="A13" t="s">
        <v>107</v>
      </c>
      <c r="B13" t="s">
        <v>296</v>
      </c>
      <c r="C13" t="s">
        <v>203</v>
      </c>
      <c r="D13" t="s">
        <v>297</v>
      </c>
      <c r="E13" t="s">
        <v>204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535.1</v>
      </c>
      <c r="L13" t="n">
        <v>528</v>
      </c>
      <c r="M13" t="n">
        <v>597.3</v>
      </c>
      <c r="N13" t="n">
        <v>619.5</v>
      </c>
      <c r="O13" t="n">
        <v>619.6</v>
      </c>
      <c r="P13" t="n">
        <v>636</v>
      </c>
      <c r="Q13" t="n">
        <v>681.7</v>
      </c>
      <c r="R13" t="n">
        <v>720.6</v>
      </c>
      <c r="S13" t="n">
        <v>804</v>
      </c>
      <c r="T13" t="n">
        <v>859.2</v>
      </c>
      <c r="U13" t="n">
        <v>839.6</v>
      </c>
      <c r="V13" t="n">
        <v>856.4</v>
      </c>
      <c r="W13" t="n">
        <v>881.5</v>
      </c>
      <c r="X13" t="n">
        <v>895.2</v>
      </c>
      <c r="Y13" t="n">
        <v>854.1</v>
      </c>
      <c r="Z13" t="n">
        <v>871.6</v>
      </c>
      <c r="AA13" t="n">
        <v>852.2</v>
      </c>
      <c r="AB13" t="n">
        <v>794.7</v>
      </c>
      <c r="AC13" t="n">
        <v>808.6</v>
      </c>
      <c r="AD13" t="n">
        <v>838</v>
      </c>
      <c r="AE13" t="n">
        <v>848.6</v>
      </c>
      <c r="AF13" t="n">
        <v>910.5</v>
      </c>
    </row>
    <row r="14">
      <c r="A14" t="s">
        <v>107</v>
      </c>
      <c r="B14" t="s">
        <v>298</v>
      </c>
      <c r="C14" t="s">
        <v>203</v>
      </c>
      <c r="D14" t="s">
        <v>299</v>
      </c>
      <c r="E14" t="s">
        <v>204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</v>
      </c>
      <c r="M14" t="n">
        <v>2.2</v>
      </c>
      <c r="N14" t="n">
        <v>2.3</v>
      </c>
      <c r="O14" t="n">
        <v>2.2</v>
      </c>
      <c r="P14" t="n">
        <v>2.3</v>
      </c>
      <c r="Q14" t="n">
        <v>3.5</v>
      </c>
      <c r="R14" t="n">
        <v>4.7</v>
      </c>
      <c r="S14" t="n">
        <v>6.4</v>
      </c>
      <c r="T14" t="n">
        <v>6.8</v>
      </c>
      <c r="U14" t="n">
        <v>6.6</v>
      </c>
      <c r="V14" t="n">
        <v>7</v>
      </c>
      <c r="W14" t="n">
        <v>7.3</v>
      </c>
      <c r="X14" t="n">
        <v>7.4</v>
      </c>
      <c r="Y14" t="n">
        <v>7.1</v>
      </c>
      <c r="Z14" t="n">
        <v>7.5</v>
      </c>
      <c r="AA14" t="n">
        <v>7.4</v>
      </c>
      <c r="AB14" t="n">
        <v>4.3</v>
      </c>
      <c r="AC14" t="n">
        <v>4.3</v>
      </c>
      <c r="AD14" t="n">
        <v>4.5</v>
      </c>
      <c r="AE14" t="n">
        <v>4.5</v>
      </c>
      <c r="AF14" t="n">
        <v>4.8</v>
      </c>
    </row>
    <row r="15">
      <c r="A15" t="s">
        <v>107</v>
      </c>
      <c r="B15" t="s">
        <v>300</v>
      </c>
      <c r="C15" t="s">
        <v>203</v>
      </c>
      <c r="D15" t="s">
        <v>301</v>
      </c>
      <c r="E15" t="s">
        <v>204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</v>
      </c>
      <c r="M15" t="n">
        <v>2.2</v>
      </c>
      <c r="N15" t="n">
        <v>2.3</v>
      </c>
      <c r="O15" t="n">
        <v>2.2</v>
      </c>
      <c r="P15" t="n">
        <v>2.3</v>
      </c>
      <c r="Q15" t="n">
        <v>4.6</v>
      </c>
      <c r="R15" t="n">
        <v>6.9</v>
      </c>
      <c r="S15" t="n">
        <v>16.6</v>
      </c>
      <c r="T15" t="n">
        <v>20.9</v>
      </c>
      <c r="U15" t="n">
        <v>20.4</v>
      </c>
      <c r="V15" t="n">
        <v>23.4</v>
      </c>
      <c r="W15" t="n">
        <v>24.2</v>
      </c>
      <c r="X15" t="n">
        <v>24.6</v>
      </c>
      <c r="Y15" t="n">
        <v>23.5</v>
      </c>
      <c r="Z15" t="n">
        <v>24.4</v>
      </c>
      <c r="AA15" t="n">
        <v>24.1</v>
      </c>
      <c r="AB15" t="n">
        <v>22.9</v>
      </c>
      <c r="AC15" t="n">
        <v>24.2</v>
      </c>
      <c r="AD15" t="n">
        <v>25.1</v>
      </c>
      <c r="AE15" t="n">
        <v>25.4</v>
      </c>
      <c r="AF15" t="n">
        <v>27.2</v>
      </c>
    </row>
    <row r="16">
      <c r="A16" t="s">
        <v>107</v>
      </c>
      <c r="B16" t="s">
        <v>302</v>
      </c>
      <c r="C16" t="s">
        <v>203</v>
      </c>
      <c r="D16" t="s">
        <v>303</v>
      </c>
      <c r="E16" t="s">
        <v>204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1.1</v>
      </c>
      <c r="R16" t="n">
        <v>2.2</v>
      </c>
      <c r="S16" t="n">
        <v>10.2</v>
      </c>
      <c r="T16" t="n">
        <v>14.1</v>
      </c>
      <c r="U16" t="n">
        <v>13.8</v>
      </c>
      <c r="V16" t="n">
        <v>16.4</v>
      </c>
      <c r="W16" t="n">
        <v>16.9</v>
      </c>
      <c r="X16" t="n">
        <v>17.2</v>
      </c>
      <c r="Y16" t="n">
        <v>16.4</v>
      </c>
      <c r="Z16" t="n">
        <v>16.9</v>
      </c>
      <c r="AA16" t="n">
        <v>16.7</v>
      </c>
      <c r="AB16" t="n">
        <v>18.6</v>
      </c>
      <c r="AC16" t="n">
        <v>19.9</v>
      </c>
      <c r="AD16" t="n">
        <v>20.6</v>
      </c>
      <c r="AE16" t="n">
        <v>20.9</v>
      </c>
      <c r="AF16" t="n">
        <v>22.4</v>
      </c>
    </row>
    <row r="17">
      <c r="A17" t="s">
        <v>107</v>
      </c>
      <c r="B17" t="s">
        <v>304</v>
      </c>
      <c r="C17" t="s">
        <v>203</v>
      </c>
      <c r="D17" t="s">
        <v>305</v>
      </c>
      <c r="E17" t="s">
        <v>204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89.2</v>
      </c>
      <c r="L17" t="n">
        <v>89.8</v>
      </c>
      <c r="M17" t="n">
        <v>107.6</v>
      </c>
      <c r="N17" t="n">
        <v>110.2</v>
      </c>
      <c r="O17" t="n">
        <v>111.1</v>
      </c>
      <c r="P17" t="n">
        <v>117.1</v>
      </c>
      <c r="Q17" t="n">
        <v>127.7</v>
      </c>
      <c r="R17" t="n">
        <v>134.9</v>
      </c>
      <c r="S17" t="n">
        <v>152.3</v>
      </c>
      <c r="T17" t="n">
        <v>174.1</v>
      </c>
      <c r="U17" t="n">
        <v>170.1</v>
      </c>
      <c r="V17" t="n">
        <v>173.9</v>
      </c>
      <c r="W17" t="n">
        <v>178.9</v>
      </c>
      <c r="X17" t="n">
        <v>181.5</v>
      </c>
      <c r="Y17" t="n">
        <v>172.9</v>
      </c>
      <c r="Z17" t="n">
        <v>177.4</v>
      </c>
      <c r="AA17" t="n">
        <v>173.6</v>
      </c>
      <c r="AB17" t="n">
        <v>160.4</v>
      </c>
      <c r="AC17" t="n">
        <v>163.6</v>
      </c>
      <c r="AD17" t="n">
        <v>169.6</v>
      </c>
      <c r="AE17" t="n">
        <v>171.7</v>
      </c>
      <c r="AF17" t="n">
        <v>184.2</v>
      </c>
    </row>
    <row r="18">
      <c r="A18" t="s">
        <v>107</v>
      </c>
      <c r="B18" t="s">
        <v>306</v>
      </c>
      <c r="C18" t="s">
        <v>203</v>
      </c>
      <c r="D18" t="s">
        <v>307</v>
      </c>
      <c r="E18" t="s">
        <v>204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1.1</v>
      </c>
      <c r="R18" t="n">
        <v>2.2</v>
      </c>
      <c r="S18" t="n">
        <v>2.4</v>
      </c>
      <c r="T18" t="n">
        <v>2.6</v>
      </c>
      <c r="U18" t="n">
        <v>2.5</v>
      </c>
      <c r="V18" t="n">
        <v>2.7</v>
      </c>
      <c r="W18" t="n">
        <v>2.8</v>
      </c>
      <c r="X18" t="n">
        <v>2.9</v>
      </c>
      <c r="Y18" t="n">
        <v>2.8</v>
      </c>
      <c r="Z18" t="n">
        <v>2.7</v>
      </c>
      <c r="AA18" t="n">
        <v>2.6</v>
      </c>
      <c r="AB18" t="n">
        <v>2.4</v>
      </c>
      <c r="AC18" t="n">
        <v>2.4</v>
      </c>
      <c r="AD18" t="n">
        <v>2.5</v>
      </c>
      <c r="AE18" t="n">
        <v>2.6</v>
      </c>
      <c r="AF18" t="n">
        <v>2.7</v>
      </c>
    </row>
    <row r="19">
      <c r="A19" t="s">
        <v>107</v>
      </c>
      <c r="B19" t="s">
        <v>308</v>
      </c>
      <c r="C19" t="s">
        <v>203</v>
      </c>
      <c r="D19" t="s">
        <v>309</v>
      </c>
      <c r="E19" t="s">
        <v>204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</v>
      </c>
      <c r="M19" t="n">
        <v>3.3</v>
      </c>
      <c r="N19" t="n">
        <v>5.4</v>
      </c>
      <c r="O19" t="n">
        <v>5.4</v>
      </c>
      <c r="P19" t="n">
        <v>8.6</v>
      </c>
      <c r="Q19" t="n">
        <v>12.4</v>
      </c>
      <c r="R19" t="n">
        <v>19.2</v>
      </c>
      <c r="S19" t="n">
        <v>22.5</v>
      </c>
      <c r="T19" t="n">
        <v>29.3</v>
      </c>
      <c r="U19" t="n">
        <v>28.7</v>
      </c>
      <c r="V19" t="n">
        <v>29.6</v>
      </c>
      <c r="W19" t="n">
        <v>30.6</v>
      </c>
      <c r="X19" t="n">
        <v>31.2</v>
      </c>
      <c r="Y19" t="n">
        <v>30.5</v>
      </c>
      <c r="Z19" t="n">
        <v>32.4</v>
      </c>
      <c r="AA19" t="n">
        <v>31.6</v>
      </c>
      <c r="AB19" t="n">
        <v>31.2</v>
      </c>
      <c r="AC19" t="n">
        <v>32.6</v>
      </c>
      <c r="AD19" t="n">
        <v>33.8</v>
      </c>
      <c r="AE19" t="n">
        <v>34.2</v>
      </c>
      <c r="AF19" t="n">
        <v>36.7</v>
      </c>
    </row>
    <row r="20">
      <c r="A20" t="s">
        <v>107</v>
      </c>
      <c r="B20" t="s">
        <v>310</v>
      </c>
      <c r="C20" t="s">
        <v>203</v>
      </c>
      <c r="D20" t="s">
        <v>311</v>
      </c>
      <c r="E20" t="s">
        <v>204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951.8</v>
      </c>
      <c r="L20" t="n">
        <v>937.4</v>
      </c>
      <c r="M20" t="n">
        <v>1056.9</v>
      </c>
      <c r="N20" t="n">
        <v>1078.3</v>
      </c>
      <c r="O20" t="n">
        <v>1077.8</v>
      </c>
      <c r="P20" t="n">
        <v>1107.2</v>
      </c>
      <c r="Q20" t="n">
        <v>1178.6</v>
      </c>
      <c r="R20" t="n">
        <v>1236.2</v>
      </c>
      <c r="S20" t="n">
        <v>1416.4</v>
      </c>
      <c r="T20" t="n">
        <v>1513.1</v>
      </c>
      <c r="U20" t="n">
        <v>1478.7</v>
      </c>
      <c r="V20" t="n">
        <v>1509.1</v>
      </c>
      <c r="W20" t="n">
        <v>1553.4</v>
      </c>
      <c r="X20" t="n">
        <v>1577.5</v>
      </c>
      <c r="Y20" t="n">
        <v>1501.7</v>
      </c>
      <c r="Z20" t="n">
        <v>1532.8</v>
      </c>
      <c r="AA20" t="n">
        <v>1497.4</v>
      </c>
      <c r="AB20" t="n">
        <v>1385.3</v>
      </c>
      <c r="AC20" t="n">
        <v>1416.5</v>
      </c>
      <c r="AD20" t="n">
        <v>1468</v>
      </c>
      <c r="AE20" t="n">
        <v>1486.5</v>
      </c>
      <c r="AF20" t="n">
        <v>1594.9</v>
      </c>
    </row>
    <row r="21">
      <c r="A21" t="s">
        <v>107</v>
      </c>
      <c r="B21" t="s">
        <v>312</v>
      </c>
      <c r="C21" t="s">
        <v>203</v>
      </c>
      <c r="D21" t="s">
        <v>313</v>
      </c>
      <c r="E21" t="s">
        <v>204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951.8</v>
      </c>
      <c r="L21" t="n">
        <v>937.4</v>
      </c>
      <c r="M21" t="n">
        <v>1058.3</v>
      </c>
      <c r="N21" t="n">
        <v>1102</v>
      </c>
      <c r="O21" t="n">
        <v>1101.5</v>
      </c>
      <c r="P21" t="n">
        <v>1131.5</v>
      </c>
      <c r="Q21" t="n">
        <v>1204.4</v>
      </c>
      <c r="R21" t="n">
        <v>1266.4</v>
      </c>
      <c r="S21" t="n">
        <v>1450</v>
      </c>
      <c r="T21" t="n">
        <v>1548.9</v>
      </c>
      <c r="U21" t="n">
        <v>1513.7</v>
      </c>
      <c r="V21" t="n">
        <v>1544.9</v>
      </c>
      <c r="W21" t="n">
        <v>1590.3</v>
      </c>
      <c r="X21" t="n">
        <v>1614.9</v>
      </c>
      <c r="Y21" t="n">
        <v>1537</v>
      </c>
      <c r="Z21" t="n">
        <v>1570</v>
      </c>
      <c r="AA21" t="n">
        <v>1533.2</v>
      </c>
      <c r="AB21" t="n">
        <v>1418.2</v>
      </c>
      <c r="AC21" t="n">
        <v>1450</v>
      </c>
      <c r="AD21" t="n">
        <v>1502.7</v>
      </c>
      <c r="AE21" t="n">
        <v>1521.6</v>
      </c>
      <c r="AF21" t="n">
        <v>1632.6</v>
      </c>
    </row>
    <row r="22">
      <c r="A22" t="s">
        <v>107</v>
      </c>
      <c r="B22" t="s">
        <v>314</v>
      </c>
      <c r="C22" t="s">
        <v>203</v>
      </c>
      <c r="D22" t="s">
        <v>315</v>
      </c>
      <c r="E22" t="s">
        <v>204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1.4</v>
      </c>
      <c r="N22" t="n">
        <v>23.7</v>
      </c>
      <c r="O22" t="n">
        <v>23.7</v>
      </c>
      <c r="P22" t="n">
        <v>24.3</v>
      </c>
      <c r="Q22" t="n">
        <v>25.8</v>
      </c>
      <c r="R22" t="n">
        <v>30.2</v>
      </c>
      <c r="S22" t="n">
        <v>33.6</v>
      </c>
      <c r="T22" t="n">
        <v>35.8</v>
      </c>
      <c r="U22" t="n">
        <v>35</v>
      </c>
      <c r="V22" t="n">
        <v>35.8</v>
      </c>
      <c r="W22" t="n">
        <v>36.9</v>
      </c>
      <c r="X22" t="n">
        <v>37.4</v>
      </c>
      <c r="Y22" t="n">
        <v>35.3</v>
      </c>
      <c r="Z22" t="n">
        <v>37.2</v>
      </c>
      <c r="AA22" t="n">
        <v>35.8</v>
      </c>
      <c r="AB22" t="n">
        <v>32.9</v>
      </c>
      <c r="AC22" t="n">
        <v>33.5</v>
      </c>
      <c r="AD22" t="n">
        <v>34.7</v>
      </c>
      <c r="AE22" t="n">
        <v>35.1</v>
      </c>
      <c r="AF22" t="n">
        <v>37.7</v>
      </c>
    </row>
    <row r="23">
      <c r="A23" t="s">
        <v>107</v>
      </c>
      <c r="B23" t="s">
        <v>316</v>
      </c>
      <c r="C23" t="s">
        <v>203</v>
      </c>
      <c r="D23" t="s">
        <v>317</v>
      </c>
      <c r="E23" t="s">
        <v>204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73709.1</v>
      </c>
      <c r="L23" t="n">
        <v>72940.1</v>
      </c>
      <c r="M23" t="n">
        <v>82478</v>
      </c>
      <c r="N23" t="n">
        <v>84156.6</v>
      </c>
      <c r="O23" t="n">
        <v>84683.3</v>
      </c>
      <c r="P23" t="n">
        <v>88117.6</v>
      </c>
      <c r="Q23" t="n">
        <v>95910.5</v>
      </c>
      <c r="R23" t="n">
        <v>102709.5</v>
      </c>
      <c r="S23" t="n">
        <v>117683.1</v>
      </c>
      <c r="T23" t="n">
        <v>128402.2</v>
      </c>
      <c r="U23" t="n">
        <v>126988</v>
      </c>
      <c r="V23" t="n">
        <v>130783.9</v>
      </c>
      <c r="W23" t="n">
        <v>135797.5</v>
      </c>
      <c r="X23" t="n">
        <v>139064.1</v>
      </c>
      <c r="Y23" t="n">
        <v>133443.3</v>
      </c>
      <c r="Z23" t="n">
        <v>137303</v>
      </c>
      <c r="AA23" t="n">
        <v>136362.2</v>
      </c>
      <c r="AB23" t="n">
        <v>127975.1</v>
      </c>
      <c r="AC23" t="n">
        <v>131409.1</v>
      </c>
      <c r="AD23" t="n">
        <v>136187.7</v>
      </c>
      <c r="AE23" t="n">
        <v>137904.5</v>
      </c>
      <c r="AF23" t="n">
        <v>147966</v>
      </c>
    </row>
    <row r="24">
      <c r="A24" t="s">
        <v>107</v>
      </c>
      <c r="B24" t="s">
        <v>318</v>
      </c>
      <c r="C24" t="s">
        <v>203</v>
      </c>
      <c r="D24" t="s">
        <v>319</v>
      </c>
      <c r="E24" t="s">
        <v>204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7084.9</v>
      </c>
      <c r="L24" t="n">
        <v>7013.4</v>
      </c>
      <c r="M24" t="n">
        <v>7900</v>
      </c>
      <c r="N24" t="n">
        <v>8095.4</v>
      </c>
      <c r="O24" t="n">
        <v>8131.3</v>
      </c>
      <c r="P24" t="n">
        <v>8380.7</v>
      </c>
      <c r="Q24" t="n">
        <v>9024.6</v>
      </c>
      <c r="R24" t="n">
        <v>9597.9</v>
      </c>
      <c r="S24" t="n">
        <v>10889.1</v>
      </c>
      <c r="T24" t="n">
        <v>11674.3</v>
      </c>
      <c r="U24" t="n">
        <v>11439.9</v>
      </c>
      <c r="V24" t="n">
        <v>11705.6</v>
      </c>
      <c r="W24" t="n">
        <v>12058</v>
      </c>
      <c r="X24" t="n">
        <v>12252.9</v>
      </c>
      <c r="Y24" t="n">
        <v>11683.4</v>
      </c>
      <c r="Z24" t="n">
        <v>11932</v>
      </c>
      <c r="AA24" t="n">
        <v>11659.6</v>
      </c>
      <c r="AB24" t="n">
        <v>10845.1</v>
      </c>
      <c r="AC24" t="n">
        <v>10967.9</v>
      </c>
      <c r="AD24" t="n">
        <v>11366.8</v>
      </c>
      <c r="AE24" t="n">
        <v>11510</v>
      </c>
      <c r="AF24" t="n">
        <v>12349.7</v>
      </c>
    </row>
    <row r="25">
      <c r="A25" t="s">
        <v>107</v>
      </c>
      <c r="B25" t="s">
        <v>320</v>
      </c>
      <c r="C25" t="s">
        <v>203</v>
      </c>
      <c r="D25" t="s">
        <v>321</v>
      </c>
      <c r="E25" t="s">
        <v>204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6.9</v>
      </c>
      <c r="M25" t="n">
        <v>8.9</v>
      </c>
      <c r="N25" t="n">
        <v>10</v>
      </c>
      <c r="O25" t="n">
        <v>12</v>
      </c>
      <c r="P25" t="n">
        <v>15.4</v>
      </c>
      <c r="Q25" t="n">
        <v>20.6</v>
      </c>
      <c r="R25" t="n">
        <v>25.8</v>
      </c>
      <c r="S25" t="n">
        <v>37.6</v>
      </c>
      <c r="T25" t="n">
        <v>46.5</v>
      </c>
      <c r="U25" t="n">
        <v>50.3</v>
      </c>
      <c r="V25" t="n">
        <v>54.1</v>
      </c>
      <c r="W25" t="n">
        <v>57.4</v>
      </c>
      <c r="X25" t="n">
        <v>59.9</v>
      </c>
      <c r="Y25" t="n">
        <v>57.5</v>
      </c>
      <c r="Z25" t="n">
        <v>59.6</v>
      </c>
      <c r="AA25" t="n">
        <v>57.5</v>
      </c>
      <c r="AB25" t="n">
        <v>55.5</v>
      </c>
      <c r="AC25" t="n">
        <v>61.7</v>
      </c>
      <c r="AD25" t="n">
        <v>63.9</v>
      </c>
      <c r="AE25" t="n">
        <v>64.7</v>
      </c>
      <c r="AF25" t="n">
        <v>69.4</v>
      </c>
    </row>
    <row r="26">
      <c r="A26" t="s">
        <v>107</v>
      </c>
      <c r="B26" t="s">
        <v>322</v>
      </c>
      <c r="C26" t="s">
        <v>203</v>
      </c>
      <c r="D26" t="s">
        <v>323</v>
      </c>
      <c r="E26" t="s">
        <v>204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1903.5</v>
      </c>
      <c r="L26" t="n">
        <v>1892.5</v>
      </c>
      <c r="M26" t="n">
        <v>2145</v>
      </c>
      <c r="N26" t="n">
        <v>2216.5</v>
      </c>
      <c r="O26" t="n">
        <v>2236.4</v>
      </c>
      <c r="P26" t="n">
        <v>2326.2</v>
      </c>
      <c r="Q26" t="n">
        <v>2547.3</v>
      </c>
      <c r="R26" t="n">
        <v>2756.5</v>
      </c>
      <c r="S26" t="n">
        <v>3191.2</v>
      </c>
      <c r="T26" t="n">
        <v>3440.3</v>
      </c>
      <c r="U26" t="n">
        <v>3378.7</v>
      </c>
      <c r="V26" t="n">
        <v>3474.7</v>
      </c>
      <c r="W26" t="n">
        <v>3585.4</v>
      </c>
      <c r="X26" t="n">
        <v>3649.3</v>
      </c>
      <c r="Y26" t="n">
        <v>3480.1</v>
      </c>
      <c r="Z26" t="n">
        <v>3553.3</v>
      </c>
      <c r="AA26" t="n">
        <v>3478.8</v>
      </c>
      <c r="AB26" t="n">
        <v>3244.1</v>
      </c>
      <c r="AC26" t="n">
        <v>3287.6</v>
      </c>
      <c r="AD26" t="n">
        <v>3407.2</v>
      </c>
      <c r="AE26" t="n">
        <v>3450.1</v>
      </c>
      <c r="AF26" t="n">
        <v>3701.8</v>
      </c>
    </row>
    <row r="27">
      <c r="A27" t="s">
        <v>107</v>
      </c>
      <c r="B27" t="s">
        <v>324</v>
      </c>
      <c r="C27" t="s">
        <v>203</v>
      </c>
      <c r="D27" t="s">
        <v>325</v>
      </c>
      <c r="E27" t="s">
        <v>204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5181.4</v>
      </c>
      <c r="L27" t="n">
        <v>5114</v>
      </c>
      <c r="M27" t="n">
        <v>5746.1</v>
      </c>
      <c r="N27" t="n">
        <v>5868.9</v>
      </c>
      <c r="O27" t="n">
        <v>5882.9</v>
      </c>
      <c r="P27" t="n">
        <v>6039.1</v>
      </c>
      <c r="Q27" t="n">
        <v>6456.7</v>
      </c>
      <c r="R27" t="n">
        <v>6815.6</v>
      </c>
      <c r="S27" t="n">
        <v>7660.3</v>
      </c>
      <c r="T27" t="n">
        <v>8187.5</v>
      </c>
      <c r="U27" t="n">
        <v>8010.9</v>
      </c>
      <c r="V27" t="n">
        <v>8176.8</v>
      </c>
      <c r="W27" t="n">
        <v>8415.2</v>
      </c>
      <c r="X27" t="n">
        <v>8543.7</v>
      </c>
      <c r="Y27" t="n">
        <v>8145.8</v>
      </c>
      <c r="Z27" t="n">
        <v>8319.1</v>
      </c>
      <c r="AA27" t="n">
        <v>8123.3</v>
      </c>
      <c r="AB27" t="n">
        <v>7545.5</v>
      </c>
      <c r="AC27" t="n">
        <v>7618.6</v>
      </c>
      <c r="AD27" t="n">
        <v>7895.7</v>
      </c>
      <c r="AE27" t="n">
        <v>7995.2</v>
      </c>
      <c r="AF27" t="n">
        <v>8578.5</v>
      </c>
    </row>
    <row r="28">
      <c r="A28" t="s">
        <v>107</v>
      </c>
      <c r="B28" t="s">
        <v>326</v>
      </c>
      <c r="C28" t="s">
        <v>203</v>
      </c>
      <c r="D28" t="s">
        <v>327</v>
      </c>
      <c r="E28" t="s">
        <v>204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862.6</v>
      </c>
      <c r="L28" t="n">
        <v>863.9</v>
      </c>
      <c r="M28" t="n">
        <v>972.2</v>
      </c>
      <c r="N28" t="n">
        <v>989.1</v>
      </c>
      <c r="O28" t="n">
        <v>990.8</v>
      </c>
      <c r="P28" t="n">
        <v>1020.1</v>
      </c>
      <c r="Q28" t="n">
        <v>1094.4</v>
      </c>
      <c r="R28" t="n">
        <v>1155.3</v>
      </c>
      <c r="S28" t="n">
        <v>1294.1</v>
      </c>
      <c r="T28" t="n">
        <v>1391.3</v>
      </c>
      <c r="U28" t="n">
        <v>1372.4</v>
      </c>
      <c r="V28" t="n">
        <v>1401.3</v>
      </c>
      <c r="W28" t="n">
        <v>1442.3</v>
      </c>
      <c r="X28" t="n">
        <v>1464.3</v>
      </c>
      <c r="Y28" t="n">
        <v>1392.4</v>
      </c>
      <c r="Z28" t="n">
        <v>1424.9</v>
      </c>
      <c r="AA28" t="n">
        <v>1396.6</v>
      </c>
      <c r="AB28" t="n">
        <v>1313.8</v>
      </c>
      <c r="AC28" t="n">
        <v>1337.5</v>
      </c>
      <c r="AD28" t="n">
        <v>1386.2</v>
      </c>
      <c r="AE28" t="n">
        <v>1403.7</v>
      </c>
      <c r="AF28" t="n">
        <v>1506.1</v>
      </c>
    </row>
    <row r="29">
      <c r="A29" t="s">
        <v>107</v>
      </c>
      <c r="B29" t="s">
        <v>328</v>
      </c>
      <c r="C29" t="s">
        <v>203</v>
      </c>
      <c r="D29" t="s">
        <v>329</v>
      </c>
      <c r="E29" t="s">
        <v>204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356.7</v>
      </c>
      <c r="L29" t="n">
        <v>353.3</v>
      </c>
      <c r="M29" t="n">
        <v>397.8</v>
      </c>
      <c r="N29" t="n">
        <v>404.9</v>
      </c>
      <c r="O29" t="n">
        <v>407.4</v>
      </c>
      <c r="P29" t="n">
        <v>420.2</v>
      </c>
      <c r="Q29" t="n">
        <v>452.2</v>
      </c>
      <c r="R29" t="n">
        <v>478</v>
      </c>
      <c r="S29" t="n">
        <v>538.5</v>
      </c>
      <c r="T29" t="n">
        <v>583.7</v>
      </c>
      <c r="U29" t="n">
        <v>574.3</v>
      </c>
      <c r="V29" t="n">
        <v>587.4</v>
      </c>
      <c r="W29" t="n">
        <v>604.9</v>
      </c>
      <c r="X29" t="n">
        <v>614.5</v>
      </c>
      <c r="Y29" t="n">
        <v>585.9</v>
      </c>
      <c r="Z29" t="n">
        <v>601.3</v>
      </c>
      <c r="AA29" t="n">
        <v>589.9</v>
      </c>
      <c r="AB29" t="n">
        <v>567.1</v>
      </c>
      <c r="AC29" t="n">
        <v>576.1</v>
      </c>
      <c r="AD29" t="n">
        <v>597.1</v>
      </c>
      <c r="AE29" t="n">
        <v>604.6</v>
      </c>
      <c r="AF29" t="n">
        <v>648.7</v>
      </c>
    </row>
    <row r="30">
      <c r="A30" t="s">
        <v>107</v>
      </c>
      <c r="B30" t="s">
        <v>330</v>
      </c>
      <c r="C30" t="s">
        <v>203</v>
      </c>
      <c r="D30" t="s">
        <v>331</v>
      </c>
      <c r="E30" t="s">
        <v>204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1.1</v>
      </c>
      <c r="N30" t="n">
        <v>1.1</v>
      </c>
      <c r="O30" t="n">
        <v>1.1</v>
      </c>
      <c r="P30" t="n">
        <v>1.2</v>
      </c>
      <c r="Q30" t="n">
        <v>1.2</v>
      </c>
      <c r="R30" t="n">
        <v>1.3</v>
      </c>
      <c r="S30" t="n">
        <v>1.4</v>
      </c>
      <c r="T30" t="n">
        <v>1.5</v>
      </c>
      <c r="U30" t="n">
        <v>1.5</v>
      </c>
      <c r="V30" t="n">
        <v>1.5</v>
      </c>
      <c r="W30" t="n">
        <v>1.6</v>
      </c>
      <c r="X30" t="n">
        <v>1.6</v>
      </c>
      <c r="Y30" t="n">
        <v>1.5</v>
      </c>
      <c r="Z30" t="n">
        <v>1.5</v>
      </c>
      <c r="AA30" t="n">
        <v>1.5</v>
      </c>
      <c r="AB30" t="n">
        <v>1.4</v>
      </c>
      <c r="AC30" t="n">
        <v>1.4</v>
      </c>
      <c r="AD30" t="n">
        <v>1.4</v>
      </c>
      <c r="AE30" t="n">
        <v>1.5</v>
      </c>
      <c r="AF30" t="n">
        <v>1.6</v>
      </c>
    </row>
    <row r="31">
      <c r="A31" t="s">
        <v>107</v>
      </c>
      <c r="B31" t="s">
        <v>332</v>
      </c>
      <c r="C31" t="s">
        <v>203</v>
      </c>
      <c r="D31" t="s">
        <v>333</v>
      </c>
      <c r="E31" t="s">
        <v>204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1.1</v>
      </c>
      <c r="S31" t="n">
        <v>1.2</v>
      </c>
      <c r="T31" t="n">
        <v>1.2</v>
      </c>
      <c r="U31" t="n">
        <v>1.2</v>
      </c>
      <c r="V31" t="n">
        <v>1.2</v>
      </c>
      <c r="W31" t="n">
        <v>1.3</v>
      </c>
      <c r="X31" t="n">
        <v>1.4</v>
      </c>
      <c r="Y31" t="n">
        <v>1.3</v>
      </c>
      <c r="Z31" t="n">
        <v>1.1</v>
      </c>
      <c r="AA31" t="n">
        <v>1.4</v>
      </c>
      <c r="AB31" t="n">
        <v>1</v>
      </c>
      <c r="AC31" t="n">
        <v>1</v>
      </c>
      <c r="AD31" t="n">
        <v>1.1</v>
      </c>
      <c r="AE31" t="n">
        <v>1.1</v>
      </c>
      <c r="AF31" t="n">
        <v>1.2</v>
      </c>
    </row>
    <row r="32">
      <c r="A32" t="s">
        <v>107</v>
      </c>
      <c r="B32" t="s">
        <v>334</v>
      </c>
      <c r="C32" t="s">
        <v>203</v>
      </c>
      <c r="D32" t="s">
        <v>335</v>
      </c>
      <c r="E32" t="s">
        <v>204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505.9</v>
      </c>
      <c r="L32" t="n">
        <v>509.6</v>
      </c>
      <c r="M32" t="n">
        <v>573.3</v>
      </c>
      <c r="N32" t="n">
        <v>583.1</v>
      </c>
      <c r="O32" t="n">
        <v>582.3</v>
      </c>
      <c r="P32" t="n">
        <v>598.7</v>
      </c>
      <c r="Q32" t="n">
        <v>641</v>
      </c>
      <c r="R32" t="n">
        <v>674.9</v>
      </c>
      <c r="S32" t="n">
        <v>753</v>
      </c>
      <c r="T32" t="n">
        <v>804.9</v>
      </c>
      <c r="U32" t="n">
        <v>795.4</v>
      </c>
      <c r="V32" t="n">
        <v>811.2</v>
      </c>
      <c r="W32" t="n">
        <v>834.5</v>
      </c>
      <c r="X32" t="n">
        <v>846.8</v>
      </c>
      <c r="Y32" t="n">
        <v>803.7</v>
      </c>
      <c r="Z32" t="n">
        <v>820.7</v>
      </c>
      <c r="AA32" t="n">
        <v>803.5</v>
      </c>
      <c r="AB32" t="n">
        <v>744.3</v>
      </c>
      <c r="AC32" t="n">
        <v>758.7</v>
      </c>
      <c r="AD32" t="n">
        <v>786.3</v>
      </c>
      <c r="AE32" t="n">
        <v>796.2</v>
      </c>
      <c r="AF32" t="n">
        <v>854.3</v>
      </c>
    </row>
    <row r="33">
      <c r="A33" t="s">
        <v>107</v>
      </c>
      <c r="B33" t="s">
        <v>336</v>
      </c>
      <c r="C33" t="s">
        <v>203</v>
      </c>
      <c r="D33" t="s">
        <v>337</v>
      </c>
      <c r="E33" t="s">
        <v>204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0.3</v>
      </c>
      <c r="AA33" t="n">
        <v>0.3</v>
      </c>
      <c r="AB33" t="n">
        <v>0</v>
      </c>
      <c r="AC33" t="n">
        <v>0.3</v>
      </c>
      <c r="AD33" t="n">
        <v>0.3</v>
      </c>
      <c r="AE33" t="n">
        <v>0.3</v>
      </c>
      <c r="AF33" t="n">
        <v>0.3</v>
      </c>
    </row>
    <row r="34">
      <c r="A34" t="s">
        <v>107</v>
      </c>
      <c r="B34" t="s">
        <v>338</v>
      </c>
      <c r="C34" t="s">
        <v>203</v>
      </c>
      <c r="D34" t="s">
        <v>339</v>
      </c>
      <c r="E34" t="s">
        <v>204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5089.4</v>
      </c>
      <c r="L34" t="n">
        <v>5021.5</v>
      </c>
      <c r="M34" t="n">
        <v>5642.2</v>
      </c>
      <c r="N34" t="n">
        <v>5781.7</v>
      </c>
      <c r="O34" t="n">
        <v>5779.7</v>
      </c>
      <c r="P34" t="n">
        <v>5953.7</v>
      </c>
      <c r="Q34" t="n">
        <v>6417.9</v>
      </c>
      <c r="R34" t="n">
        <v>6794.9</v>
      </c>
      <c r="S34" t="n">
        <v>7695.2</v>
      </c>
      <c r="T34" t="n">
        <v>8253.4</v>
      </c>
      <c r="U34" t="n">
        <v>8077.3</v>
      </c>
      <c r="V34" t="n">
        <v>8255.5</v>
      </c>
      <c r="W34" t="n">
        <v>8502.4</v>
      </c>
      <c r="X34" t="n">
        <v>8638.4</v>
      </c>
      <c r="Y34" t="n">
        <v>8229.3</v>
      </c>
      <c r="Z34" t="n">
        <v>8429.2</v>
      </c>
      <c r="AA34" t="n">
        <v>8264</v>
      </c>
      <c r="AB34" t="n">
        <v>7660.6</v>
      </c>
      <c r="AC34" t="n">
        <v>7748.4</v>
      </c>
      <c r="AD34" t="n">
        <v>8030.2</v>
      </c>
      <c r="AE34" t="n">
        <v>8131.4</v>
      </c>
      <c r="AF34" t="n">
        <v>8724.7</v>
      </c>
    </row>
    <row r="35">
      <c r="A35" t="s">
        <v>107</v>
      </c>
      <c r="B35" t="s">
        <v>340</v>
      </c>
      <c r="C35" t="s">
        <v>203</v>
      </c>
      <c r="D35" t="s">
        <v>341</v>
      </c>
      <c r="E35" t="s">
        <v>204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3.9</v>
      </c>
      <c r="M35" t="n">
        <v>6.7</v>
      </c>
      <c r="N35" t="n">
        <v>12</v>
      </c>
      <c r="O35" t="n">
        <v>11.8</v>
      </c>
      <c r="P35" t="n">
        <v>24.5</v>
      </c>
      <c r="Q35" t="n">
        <v>29.2</v>
      </c>
      <c r="R35" t="n">
        <v>43.2</v>
      </c>
      <c r="S35" t="n">
        <v>55.8</v>
      </c>
      <c r="T35" t="n">
        <v>67</v>
      </c>
      <c r="U35" t="n">
        <v>68.3</v>
      </c>
      <c r="V35" t="n">
        <v>72.3</v>
      </c>
      <c r="W35" t="n">
        <v>77.7</v>
      </c>
      <c r="X35" t="n">
        <v>82.2</v>
      </c>
      <c r="Y35" t="n">
        <v>82.3</v>
      </c>
      <c r="Z35" t="n">
        <v>91.8</v>
      </c>
      <c r="AA35" t="n">
        <v>93.1</v>
      </c>
      <c r="AB35" t="n">
        <v>89.1</v>
      </c>
      <c r="AC35" t="n">
        <v>94.9</v>
      </c>
      <c r="AD35" t="n">
        <v>98.4</v>
      </c>
      <c r="AE35" t="n">
        <v>99.6</v>
      </c>
      <c r="AF35" t="n">
        <v>106.9</v>
      </c>
    </row>
    <row r="36">
      <c r="A36" t="s">
        <v>107</v>
      </c>
      <c r="B36" t="s">
        <v>342</v>
      </c>
      <c r="C36" t="s">
        <v>203</v>
      </c>
      <c r="D36" t="s">
        <v>343</v>
      </c>
      <c r="E36" t="s">
        <v>204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</v>
      </c>
      <c r="M36" t="n">
        <v>5.6</v>
      </c>
      <c r="N36" t="n">
        <v>5.7</v>
      </c>
      <c r="O36" t="n">
        <v>5.6</v>
      </c>
      <c r="P36" t="n">
        <v>17.1</v>
      </c>
      <c r="Q36" t="n">
        <v>19.2</v>
      </c>
      <c r="R36" t="n">
        <v>23.3</v>
      </c>
      <c r="S36" t="n">
        <v>25.9</v>
      </c>
      <c r="T36" t="n">
        <v>28.7</v>
      </c>
      <c r="U36" t="n">
        <v>28</v>
      </c>
      <c r="V36" t="n">
        <v>28.6</v>
      </c>
      <c r="W36" t="n">
        <v>31.2</v>
      </c>
      <c r="X36" t="n">
        <v>33.3</v>
      </c>
      <c r="Y36" t="n">
        <v>31.8</v>
      </c>
      <c r="Z36" t="n">
        <v>33</v>
      </c>
      <c r="AA36" t="n">
        <v>32.9</v>
      </c>
      <c r="AB36" t="n">
        <v>30.6</v>
      </c>
      <c r="AC36" t="n">
        <v>31.9</v>
      </c>
      <c r="AD36" t="n">
        <v>33.1</v>
      </c>
      <c r="AE36" t="n">
        <v>33.5</v>
      </c>
      <c r="AF36" t="n">
        <v>35.9</v>
      </c>
    </row>
    <row r="37">
      <c r="A37" t="s">
        <v>107</v>
      </c>
      <c r="B37" t="s">
        <v>344</v>
      </c>
      <c r="C37" t="s">
        <v>203</v>
      </c>
      <c r="D37" t="s">
        <v>345</v>
      </c>
      <c r="E37" t="s">
        <v>204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3.1</v>
      </c>
      <c r="O37" t="n">
        <v>3</v>
      </c>
      <c r="P37" t="n">
        <v>3.1</v>
      </c>
      <c r="Q37" t="n">
        <v>3.3</v>
      </c>
      <c r="R37" t="n">
        <v>4.5</v>
      </c>
      <c r="S37" t="n">
        <v>5</v>
      </c>
      <c r="T37" t="n">
        <v>5.4</v>
      </c>
      <c r="U37" t="n">
        <v>6.2</v>
      </c>
      <c r="V37" t="n">
        <v>6.3</v>
      </c>
      <c r="W37" t="n">
        <v>6.9</v>
      </c>
      <c r="X37" t="n">
        <v>7.5</v>
      </c>
      <c r="Y37" t="n">
        <v>8.6</v>
      </c>
      <c r="Z37" t="n">
        <v>8.5</v>
      </c>
      <c r="AA37" t="n">
        <v>8.4</v>
      </c>
      <c r="AB37" t="n">
        <v>7.5</v>
      </c>
      <c r="AC37" t="n">
        <v>8.6</v>
      </c>
      <c r="AD37" t="n">
        <v>8.9</v>
      </c>
      <c r="AE37" t="n">
        <v>9</v>
      </c>
      <c r="AF37" t="n">
        <v>9.7</v>
      </c>
    </row>
    <row r="38">
      <c r="A38" t="s">
        <v>107</v>
      </c>
      <c r="B38" t="s">
        <v>346</v>
      </c>
      <c r="C38" t="s">
        <v>203</v>
      </c>
      <c r="D38" t="s">
        <v>347</v>
      </c>
      <c r="E38" t="s">
        <v>204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1.1</v>
      </c>
      <c r="N38" t="n">
        <v>3.2</v>
      </c>
      <c r="O38" t="n">
        <v>3.2</v>
      </c>
      <c r="P38" t="n">
        <v>4.3</v>
      </c>
      <c r="Q38" t="n">
        <v>6.7</v>
      </c>
      <c r="R38" t="n">
        <v>15.4</v>
      </c>
      <c r="S38" t="n">
        <v>24.9</v>
      </c>
      <c r="T38" t="n">
        <v>32.9</v>
      </c>
      <c r="U38" t="n">
        <v>34.1</v>
      </c>
      <c r="V38" t="n">
        <v>37.4</v>
      </c>
      <c r="W38" t="n">
        <v>39.6</v>
      </c>
      <c r="X38" t="n">
        <v>41.4</v>
      </c>
      <c r="Y38" t="n">
        <v>41.9</v>
      </c>
      <c r="Z38" t="n">
        <v>50.3</v>
      </c>
      <c r="AA38" t="n">
        <v>51.8</v>
      </c>
      <c r="AB38" t="n">
        <v>51</v>
      </c>
      <c r="AC38" t="n">
        <v>54.4</v>
      </c>
      <c r="AD38" t="n">
        <v>56.4</v>
      </c>
      <c r="AE38" t="n">
        <v>57.1</v>
      </c>
      <c r="AF38" t="n">
        <v>61.3</v>
      </c>
    </row>
    <row r="39">
      <c r="A39" t="s">
        <v>107</v>
      </c>
      <c r="B39" t="s">
        <v>348</v>
      </c>
      <c r="C39" t="s">
        <v>203</v>
      </c>
      <c r="D39" t="s">
        <v>349</v>
      </c>
      <c r="E39" t="s">
        <v>204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6617.3</v>
      </c>
      <c r="L39" t="n">
        <v>6534.2</v>
      </c>
      <c r="M39" t="n">
        <v>7343.9</v>
      </c>
      <c r="N39" t="n">
        <v>7484.2</v>
      </c>
      <c r="O39" t="n">
        <v>7481.8</v>
      </c>
      <c r="P39" t="n">
        <v>7683.2</v>
      </c>
      <c r="Q39" t="n">
        <v>8176.5</v>
      </c>
      <c r="R39" t="n">
        <v>8573.9</v>
      </c>
      <c r="S39" t="n">
        <v>9594.2</v>
      </c>
      <c r="T39" t="n">
        <v>10228.3</v>
      </c>
      <c r="U39" t="n">
        <v>9996.5</v>
      </c>
      <c r="V39" t="n">
        <v>10195.1</v>
      </c>
      <c r="W39" t="n">
        <v>10494.8</v>
      </c>
      <c r="X39" t="n">
        <v>10657.5</v>
      </c>
      <c r="Y39" t="n">
        <v>10160.2</v>
      </c>
      <c r="Z39" t="n">
        <v>10385.6</v>
      </c>
      <c r="AA39" t="n">
        <v>10163.1</v>
      </c>
      <c r="AB39" t="n">
        <v>9432.9</v>
      </c>
      <c r="AC39" t="n">
        <v>9538.7</v>
      </c>
      <c r="AD39" t="n">
        <v>9885.6</v>
      </c>
      <c r="AE39" t="n">
        <v>10010.2</v>
      </c>
      <c r="AF39" t="n">
        <v>10740.5</v>
      </c>
    </row>
    <row r="40">
      <c r="A40" t="s">
        <v>107</v>
      </c>
      <c r="B40" t="s">
        <v>350</v>
      </c>
      <c r="C40" t="s">
        <v>203</v>
      </c>
      <c r="D40" t="s">
        <v>351</v>
      </c>
      <c r="E40" t="s">
        <v>204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3927.2</v>
      </c>
      <c r="L40" t="n">
        <v>3868.9</v>
      </c>
      <c r="M40" t="n">
        <v>4368.4</v>
      </c>
      <c r="N40" t="n">
        <v>4440.6</v>
      </c>
      <c r="O40" t="n">
        <v>4462.4</v>
      </c>
      <c r="P40" t="n">
        <v>4634.9</v>
      </c>
      <c r="Q40" t="n">
        <v>5520.1</v>
      </c>
      <c r="R40" t="n">
        <v>6250.4</v>
      </c>
      <c r="S40" t="n">
        <v>7501.2</v>
      </c>
      <c r="T40" t="n">
        <v>8208.7</v>
      </c>
      <c r="U40" t="n">
        <v>8099.9</v>
      </c>
      <c r="V40" t="n">
        <v>8522.9</v>
      </c>
      <c r="W40" t="n">
        <v>8807.3</v>
      </c>
      <c r="X40" t="n">
        <v>8976.4</v>
      </c>
      <c r="Y40" t="n">
        <v>8550</v>
      </c>
      <c r="Z40" t="n">
        <v>8778.3</v>
      </c>
      <c r="AA40" t="n">
        <v>8568.6</v>
      </c>
      <c r="AB40" t="n">
        <v>8386.5</v>
      </c>
      <c r="AC40" t="n">
        <v>8803.1</v>
      </c>
      <c r="AD40" t="n">
        <v>9123.2</v>
      </c>
      <c r="AE40" t="n">
        <v>9238.2</v>
      </c>
      <c r="AF40" t="n">
        <v>9912.2</v>
      </c>
    </row>
    <row r="41">
      <c r="A41" t="s">
        <v>107</v>
      </c>
      <c r="B41" t="s">
        <v>352</v>
      </c>
      <c r="C41" t="s">
        <v>203</v>
      </c>
      <c r="D41" t="s">
        <v>353</v>
      </c>
      <c r="E41" t="s">
        <v>204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107</v>
      </c>
      <c r="B42" t="s">
        <v>354</v>
      </c>
      <c r="C42" t="s">
        <v>203</v>
      </c>
      <c r="D42" t="s">
        <v>355</v>
      </c>
      <c r="E42" t="s">
        <v>204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3266.5</v>
      </c>
      <c r="L42" t="n">
        <v>3225.1</v>
      </c>
      <c r="M42" t="n">
        <v>3664.7</v>
      </c>
      <c r="N42" t="n">
        <v>3740.3</v>
      </c>
      <c r="O42" t="n">
        <v>3748.1</v>
      </c>
      <c r="P42" t="n">
        <v>3868.5</v>
      </c>
      <c r="Q42" t="n">
        <v>4156.7</v>
      </c>
      <c r="R42" t="n">
        <v>4450.4</v>
      </c>
      <c r="S42" t="n">
        <v>5138</v>
      </c>
      <c r="T42" t="n">
        <v>5541.3</v>
      </c>
      <c r="U42" t="n">
        <v>5442.5</v>
      </c>
      <c r="V42" t="n">
        <v>5581.5</v>
      </c>
      <c r="W42" t="n">
        <v>5766.7</v>
      </c>
      <c r="X42" t="n">
        <v>5876.4</v>
      </c>
      <c r="Y42" t="n">
        <v>5600.3</v>
      </c>
      <c r="Z42" t="n">
        <v>5740.3</v>
      </c>
      <c r="AA42" t="n">
        <v>5619.8</v>
      </c>
      <c r="AB42" t="n">
        <v>5296.1</v>
      </c>
      <c r="AC42" t="n">
        <v>5400.3</v>
      </c>
      <c r="AD42" t="n">
        <v>5596.7</v>
      </c>
      <c r="AE42" t="n">
        <v>5667.3</v>
      </c>
      <c r="AF42" t="n">
        <v>6080.7</v>
      </c>
    </row>
    <row r="43">
      <c r="A43" t="s">
        <v>107</v>
      </c>
      <c r="B43" t="s">
        <v>356</v>
      </c>
      <c r="C43" t="s">
        <v>203</v>
      </c>
      <c r="D43" t="s">
        <v>357</v>
      </c>
      <c r="E43" t="s">
        <v>204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6387.9</v>
      </c>
      <c r="L43" t="n">
        <v>6302.4</v>
      </c>
      <c r="M43" t="n">
        <v>7120.7</v>
      </c>
      <c r="N43" t="n">
        <v>7261.8</v>
      </c>
      <c r="O43" t="n">
        <v>7266.7</v>
      </c>
      <c r="P43" t="n">
        <v>7487.1</v>
      </c>
      <c r="Q43" t="n">
        <v>8023.2</v>
      </c>
      <c r="R43" t="n">
        <v>8545.3</v>
      </c>
      <c r="S43" t="n">
        <v>9707</v>
      </c>
      <c r="T43" t="n">
        <v>10433.4</v>
      </c>
      <c r="U43" t="n">
        <v>10228.1</v>
      </c>
      <c r="V43" t="n">
        <v>10462.5</v>
      </c>
      <c r="W43" t="n">
        <v>10787.9</v>
      </c>
      <c r="X43" t="n">
        <v>10972.3</v>
      </c>
      <c r="Y43" t="n">
        <v>10451.7</v>
      </c>
      <c r="Z43" t="n">
        <v>10701</v>
      </c>
      <c r="AA43" t="n">
        <v>10467.5</v>
      </c>
      <c r="AB43" t="n">
        <v>9834.8</v>
      </c>
      <c r="AC43" t="n">
        <v>10004.3</v>
      </c>
      <c r="AD43" t="n">
        <v>10368.1</v>
      </c>
      <c r="AE43" t="n">
        <v>10498.8</v>
      </c>
      <c r="AF43" t="n">
        <v>11264.7</v>
      </c>
    </row>
    <row r="44">
      <c r="A44" t="s">
        <v>107</v>
      </c>
      <c r="B44" t="s">
        <v>358</v>
      </c>
      <c r="C44" t="s">
        <v>203</v>
      </c>
      <c r="D44" t="s">
        <v>359</v>
      </c>
      <c r="E44" t="s">
        <v>204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109359</v>
      </c>
      <c r="L44" t="n">
        <v>108199.3</v>
      </c>
      <c r="M44" t="n">
        <v>122178.9</v>
      </c>
      <c r="N44" t="n">
        <v>124722.5</v>
      </c>
      <c r="O44" t="n">
        <v>125290.8</v>
      </c>
      <c r="P44" t="n">
        <v>129927.7</v>
      </c>
      <c r="Q44" t="n">
        <v>140703.4</v>
      </c>
      <c r="R44" t="n">
        <v>150158</v>
      </c>
      <c r="S44" t="n">
        <v>171185.5</v>
      </c>
      <c r="T44" t="n">
        <v>185714.4</v>
      </c>
      <c r="U44" t="n">
        <v>183106.3</v>
      </c>
      <c r="V44" t="n">
        <v>188117</v>
      </c>
      <c r="W44" t="n">
        <v>194848.8</v>
      </c>
      <c r="X44" t="n">
        <v>199062.4</v>
      </c>
      <c r="Y44" t="n">
        <v>190613.8</v>
      </c>
      <c r="Z44" t="n">
        <v>195775.6</v>
      </c>
      <c r="AA44" t="n">
        <v>193556.9</v>
      </c>
      <c r="AB44" t="n">
        <v>181203.5</v>
      </c>
      <c r="AC44" t="n">
        <v>185339.2</v>
      </c>
      <c r="AD44" t="n">
        <v>192079.3</v>
      </c>
      <c r="AE44" t="n">
        <v>194500.3</v>
      </c>
      <c r="AF44" t="n">
        <v>208691</v>
      </c>
    </row>
    <row r="45">
      <c r="A45" t="s">
        <v>107</v>
      </c>
      <c r="B45" t="s">
        <v>360</v>
      </c>
      <c r="C45" t="s">
        <v>203</v>
      </c>
      <c r="D45" t="s">
        <v>361</v>
      </c>
      <c r="E45" t="s">
        <v>204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108149.9</v>
      </c>
      <c r="L45" t="n">
        <v>106995.7</v>
      </c>
      <c r="M45" t="n">
        <v>120824.2</v>
      </c>
      <c r="N45" t="n">
        <v>123343.9</v>
      </c>
      <c r="O45" t="n">
        <v>123904.2</v>
      </c>
      <c r="P45" t="n">
        <v>128503.5</v>
      </c>
      <c r="Q45" t="n">
        <v>139185.5</v>
      </c>
      <c r="R45" t="n">
        <v>148558.9</v>
      </c>
      <c r="S45" t="n">
        <v>169394.3</v>
      </c>
      <c r="T45" t="n">
        <v>183801.7</v>
      </c>
      <c r="U45" t="n">
        <v>181234.2</v>
      </c>
      <c r="V45" t="n">
        <v>186205.6</v>
      </c>
      <c r="W45" t="n">
        <v>192880.6</v>
      </c>
      <c r="X45" t="n">
        <v>197063.1</v>
      </c>
      <c r="Y45" t="n">
        <v>188707.3</v>
      </c>
      <c r="Z45" t="n">
        <v>193820.3</v>
      </c>
      <c r="AA45" t="n">
        <v>191647.2</v>
      </c>
      <c r="AB45" t="n">
        <v>179434.2</v>
      </c>
      <c r="AC45" t="n">
        <v>183550.2</v>
      </c>
      <c r="AD45" t="n">
        <v>190225.3</v>
      </c>
      <c r="AE45" t="n">
        <v>192622.9</v>
      </c>
      <c r="AF45" t="n">
        <v>206676.6</v>
      </c>
    </row>
    <row r="46">
      <c r="A46" t="s">
        <v>107</v>
      </c>
      <c r="B46" t="s">
        <v>362</v>
      </c>
      <c r="C46" t="s">
        <v>203</v>
      </c>
      <c r="D46" t="s">
        <v>363</v>
      </c>
      <c r="E46" t="s">
        <v>204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3121.4</v>
      </c>
      <c r="L46" t="n">
        <v>3077.3</v>
      </c>
      <c r="M46" t="n">
        <v>3456</v>
      </c>
      <c r="N46" t="n">
        <v>3521.5</v>
      </c>
      <c r="O46" t="n">
        <v>3518.6</v>
      </c>
      <c r="P46" t="n">
        <v>3618.6</v>
      </c>
      <c r="Q46" t="n">
        <v>3866.5</v>
      </c>
      <c r="R46" t="n">
        <v>4094.9</v>
      </c>
      <c r="S46" t="n">
        <v>4569</v>
      </c>
      <c r="T46" t="n">
        <v>4892.1</v>
      </c>
      <c r="U46" t="n">
        <v>4785.6</v>
      </c>
      <c r="V46" t="n">
        <v>4881</v>
      </c>
      <c r="W46" t="n">
        <v>5021.2</v>
      </c>
      <c r="X46" t="n">
        <v>5095.9</v>
      </c>
      <c r="Y46" t="n">
        <v>4851.4</v>
      </c>
      <c r="Z46" t="n">
        <v>4960.7</v>
      </c>
      <c r="AA46" t="n">
        <v>4847.7</v>
      </c>
      <c r="AB46" t="n">
        <v>4538.7</v>
      </c>
      <c r="AC46" t="n">
        <v>4604</v>
      </c>
      <c r="AD46" t="n">
        <v>4771.4</v>
      </c>
      <c r="AE46" t="n">
        <v>4831.5</v>
      </c>
      <c r="AF46" t="n">
        <v>5184</v>
      </c>
    </row>
    <row r="47">
      <c r="A47" t="s">
        <v>107</v>
      </c>
      <c r="B47" t="s">
        <v>364</v>
      </c>
      <c r="C47" t="s">
        <v>203</v>
      </c>
      <c r="D47" t="s">
        <v>365</v>
      </c>
      <c r="E47" t="s">
        <v>204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1625.8</v>
      </c>
      <c r="L47" t="n">
        <v>1640.7</v>
      </c>
      <c r="M47" t="n">
        <v>1871.8</v>
      </c>
      <c r="N47" t="n">
        <v>1982.9</v>
      </c>
      <c r="O47" t="n">
        <v>2012.1</v>
      </c>
      <c r="P47" t="n">
        <v>2096.9</v>
      </c>
      <c r="Q47" t="n">
        <v>2263.1</v>
      </c>
      <c r="R47" t="n">
        <v>2505.8</v>
      </c>
      <c r="S47" t="n">
        <v>2834.4</v>
      </c>
      <c r="T47" t="n">
        <v>3209.4</v>
      </c>
      <c r="U47" t="n">
        <v>3393.9</v>
      </c>
      <c r="V47" t="n">
        <v>3491.4</v>
      </c>
      <c r="W47" t="n">
        <v>3598.2</v>
      </c>
      <c r="X47" t="n">
        <v>3658</v>
      </c>
      <c r="Y47" t="n">
        <v>3534.3</v>
      </c>
      <c r="Z47" t="n">
        <v>3610.7</v>
      </c>
      <c r="AA47" t="n">
        <v>3535.5</v>
      </c>
      <c r="AB47" t="n">
        <v>3278.5</v>
      </c>
      <c r="AC47" t="n">
        <v>3343.3</v>
      </c>
      <c r="AD47" t="n">
        <v>3464.9</v>
      </c>
      <c r="AE47" t="n">
        <v>3508.6</v>
      </c>
      <c r="AF47" t="n">
        <v>3764.6</v>
      </c>
    </row>
    <row r="48">
      <c r="A48" t="s">
        <v>107</v>
      </c>
      <c r="B48" t="s">
        <v>366</v>
      </c>
      <c r="C48" t="s">
        <v>203</v>
      </c>
      <c r="D48" t="s">
        <v>367</v>
      </c>
      <c r="E48" t="s">
        <v>204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2598.1</v>
      </c>
      <c r="L48" t="n">
        <v>2601.2</v>
      </c>
      <c r="M48" t="n">
        <v>2967.1</v>
      </c>
      <c r="N48" t="n">
        <v>3095</v>
      </c>
      <c r="O48" t="n">
        <v>3124.6</v>
      </c>
      <c r="P48" t="n">
        <v>3247.1</v>
      </c>
      <c r="Q48" t="n">
        <v>3491.6</v>
      </c>
      <c r="R48" t="n">
        <v>3798.4</v>
      </c>
      <c r="S48" t="n">
        <v>4276.9</v>
      </c>
      <c r="T48" t="n">
        <v>4752.5</v>
      </c>
      <c r="U48" t="n">
        <v>4904.9</v>
      </c>
      <c r="V48" t="n">
        <v>5032.4</v>
      </c>
      <c r="W48" t="n">
        <v>5183.8</v>
      </c>
      <c r="X48" t="n">
        <v>5267.5</v>
      </c>
      <c r="Y48" t="n">
        <v>5065.4</v>
      </c>
      <c r="Z48" t="n">
        <v>5193.2</v>
      </c>
      <c r="AA48" t="n">
        <v>5122.8</v>
      </c>
      <c r="AB48" t="n">
        <v>4752.1</v>
      </c>
      <c r="AC48" t="n">
        <v>4836.8</v>
      </c>
      <c r="AD48" t="n">
        <v>5012.7</v>
      </c>
      <c r="AE48" t="n">
        <v>5075.9</v>
      </c>
      <c r="AF48" t="n">
        <v>5446.2</v>
      </c>
    </row>
    <row r="49">
      <c r="A49" t="s">
        <v>107</v>
      </c>
      <c r="B49" t="s">
        <v>368</v>
      </c>
      <c r="C49" t="s">
        <v>203</v>
      </c>
      <c r="D49" t="s">
        <v>369</v>
      </c>
      <c r="E49" t="s">
        <v>204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972.3</v>
      </c>
      <c r="L49" t="n">
        <v>958.6</v>
      </c>
      <c r="M49" t="n">
        <v>1090.8</v>
      </c>
      <c r="N49" t="n">
        <v>1107.6</v>
      </c>
      <c r="O49" t="n">
        <v>1108.1</v>
      </c>
      <c r="P49" t="n">
        <v>1140.4</v>
      </c>
      <c r="Q49" t="n">
        <v>1216</v>
      </c>
      <c r="R49" t="n">
        <v>1278.5</v>
      </c>
      <c r="S49" t="n">
        <v>1424.5</v>
      </c>
      <c r="T49" t="n">
        <v>1519.7</v>
      </c>
      <c r="U49" t="n">
        <v>1486.1</v>
      </c>
      <c r="V49" t="n">
        <v>1514.9</v>
      </c>
      <c r="W49" t="n">
        <v>1558.3</v>
      </c>
      <c r="X49" t="n">
        <v>1581.2</v>
      </c>
      <c r="Y49" t="n">
        <v>1504.1</v>
      </c>
      <c r="Z49" t="n">
        <v>1544.2</v>
      </c>
      <c r="AA49" t="n">
        <v>1513.7</v>
      </c>
      <c r="AB49" t="n">
        <v>1404.5</v>
      </c>
      <c r="AC49" t="n">
        <v>1419.7</v>
      </c>
      <c r="AD49" t="n">
        <v>1471.3</v>
      </c>
      <c r="AE49" t="n">
        <v>1489.9</v>
      </c>
      <c r="AF49" t="n">
        <v>1598.6</v>
      </c>
    </row>
    <row r="50">
      <c r="A50" t="s">
        <v>107</v>
      </c>
      <c r="B50" t="s">
        <v>370</v>
      </c>
      <c r="C50" t="s">
        <v>203</v>
      </c>
      <c r="D50" t="s">
        <v>371</v>
      </c>
      <c r="E50" t="s">
        <v>204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2</v>
      </c>
      <c r="M50" t="n">
        <v>4.5</v>
      </c>
      <c r="N50" t="n">
        <v>4.5</v>
      </c>
      <c r="O50" t="n">
        <v>4.5</v>
      </c>
      <c r="P50" t="n">
        <v>9.8</v>
      </c>
      <c r="Q50" t="n">
        <v>12.6</v>
      </c>
      <c r="R50" t="n">
        <v>14.2</v>
      </c>
      <c r="S50" t="n">
        <v>18</v>
      </c>
      <c r="T50" t="n">
        <v>23.5</v>
      </c>
      <c r="U50" t="n">
        <v>24.9</v>
      </c>
      <c r="V50" t="n">
        <v>26.1</v>
      </c>
      <c r="W50" t="n">
        <v>27.4</v>
      </c>
      <c r="X50" t="n">
        <v>28.3</v>
      </c>
      <c r="Y50" t="n">
        <v>27</v>
      </c>
      <c r="Z50" t="n">
        <v>38.3</v>
      </c>
      <c r="AA50" t="n">
        <v>73.6</v>
      </c>
      <c r="AB50" t="n">
        <v>69.2</v>
      </c>
      <c r="AC50" t="n">
        <v>73.8</v>
      </c>
      <c r="AD50" t="n">
        <v>76.5</v>
      </c>
      <c r="AE50" t="n">
        <v>77.4</v>
      </c>
      <c r="AF50" t="n">
        <v>83</v>
      </c>
    </row>
    <row r="51">
      <c r="A51" t="s">
        <v>107</v>
      </c>
      <c r="B51" t="s">
        <v>372</v>
      </c>
      <c r="C51" t="s">
        <v>203</v>
      </c>
      <c r="D51" t="s">
        <v>373</v>
      </c>
      <c r="E51" t="s">
        <v>204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2</v>
      </c>
      <c r="M51" t="n">
        <v>4.5</v>
      </c>
      <c r="N51" t="n">
        <v>4.5</v>
      </c>
      <c r="O51" t="n">
        <v>4.5</v>
      </c>
      <c r="P51" t="n">
        <v>9.8</v>
      </c>
      <c r="Q51" t="n">
        <v>11.5</v>
      </c>
      <c r="R51" t="n">
        <v>13.1</v>
      </c>
      <c r="S51" t="n">
        <v>16.8</v>
      </c>
      <c r="T51" t="n">
        <v>20</v>
      </c>
      <c r="U51" t="n">
        <v>21.5</v>
      </c>
      <c r="V51" t="n">
        <v>22.5</v>
      </c>
      <c r="W51" t="n">
        <v>23.7</v>
      </c>
      <c r="X51" t="n">
        <v>24.5</v>
      </c>
      <c r="Y51" t="n">
        <v>23.5</v>
      </c>
      <c r="Z51" t="n">
        <v>25.1</v>
      </c>
      <c r="AA51" t="n">
        <v>59</v>
      </c>
      <c r="AB51" t="n">
        <v>54.8</v>
      </c>
      <c r="AC51" t="n">
        <v>58.6</v>
      </c>
      <c r="AD51" t="n">
        <v>60.7</v>
      </c>
      <c r="AE51" t="n">
        <v>61.4</v>
      </c>
      <c r="AF51" t="n">
        <v>65.9</v>
      </c>
    </row>
    <row r="52">
      <c r="A52" t="s">
        <v>107</v>
      </c>
      <c r="B52" t="s">
        <v>374</v>
      </c>
      <c r="C52" t="s">
        <v>203</v>
      </c>
      <c r="D52" t="s">
        <v>375</v>
      </c>
      <c r="E52" t="s">
        <v>204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1.1</v>
      </c>
      <c r="R52" t="n">
        <v>1.1</v>
      </c>
      <c r="S52" t="n">
        <v>1.2</v>
      </c>
      <c r="T52" t="n">
        <v>3.5</v>
      </c>
      <c r="U52" t="n">
        <v>3.4</v>
      </c>
      <c r="V52" t="n">
        <v>3.6</v>
      </c>
      <c r="W52" t="n">
        <v>3.7</v>
      </c>
      <c r="X52" t="n">
        <v>3.8</v>
      </c>
      <c r="Y52" t="n">
        <v>3.5</v>
      </c>
      <c r="Z52" t="n">
        <v>13.2</v>
      </c>
      <c r="AA52" t="n">
        <v>14.6</v>
      </c>
      <c r="AB52" t="n">
        <v>14.4</v>
      </c>
      <c r="AC52" t="n">
        <v>15.2</v>
      </c>
      <c r="AD52" t="n">
        <v>15.8</v>
      </c>
      <c r="AE52" t="n">
        <v>16</v>
      </c>
      <c r="AF52" t="n">
        <v>17.1</v>
      </c>
    </row>
    <row r="53">
      <c r="A53" t="s">
        <v>107</v>
      </c>
      <c r="B53" t="s">
        <v>376</v>
      </c>
      <c r="C53" t="s">
        <v>203</v>
      </c>
      <c r="D53" t="s">
        <v>377</v>
      </c>
      <c r="E53" t="s">
        <v>204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468</v>
      </c>
      <c r="L53" t="n">
        <v>460.9</v>
      </c>
      <c r="M53" t="n">
        <v>517.4</v>
      </c>
      <c r="N53" t="n">
        <v>526.4</v>
      </c>
      <c r="O53" t="n">
        <v>526.7</v>
      </c>
      <c r="P53" t="n">
        <v>541.6</v>
      </c>
      <c r="Q53" t="n">
        <v>582.4</v>
      </c>
      <c r="R53" t="n">
        <v>684.7</v>
      </c>
      <c r="S53" t="n">
        <v>762.9</v>
      </c>
      <c r="T53" t="n">
        <v>815.4</v>
      </c>
      <c r="U53" t="n">
        <v>797.8</v>
      </c>
      <c r="V53" t="n">
        <v>813.9</v>
      </c>
      <c r="W53" t="n">
        <v>837.9</v>
      </c>
      <c r="X53" t="n">
        <v>851</v>
      </c>
      <c r="Y53" t="n">
        <v>810.9</v>
      </c>
      <c r="Z53" t="n">
        <v>829.5</v>
      </c>
      <c r="AA53" t="n">
        <v>809.2</v>
      </c>
      <c r="AB53" t="n">
        <v>763.7</v>
      </c>
      <c r="AC53" t="n">
        <v>785.6</v>
      </c>
      <c r="AD53" t="n">
        <v>814.2</v>
      </c>
      <c r="AE53" t="n">
        <v>824.4</v>
      </c>
      <c r="AF53" t="n">
        <v>884.6</v>
      </c>
    </row>
    <row r="54">
      <c r="A54" t="s">
        <v>107</v>
      </c>
      <c r="B54" t="s">
        <v>378</v>
      </c>
      <c r="C54" t="s">
        <v>203</v>
      </c>
      <c r="D54" t="s">
        <v>379</v>
      </c>
      <c r="E54" t="s">
        <v>204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468</v>
      </c>
      <c r="L54" t="n">
        <v>461.9</v>
      </c>
      <c r="M54" t="n">
        <v>518.5</v>
      </c>
      <c r="N54" t="n">
        <v>527.5</v>
      </c>
      <c r="O54" t="n">
        <v>527.8</v>
      </c>
      <c r="P54" t="n">
        <v>543.8</v>
      </c>
      <c r="Q54" t="n">
        <v>587.9</v>
      </c>
      <c r="R54" t="n">
        <v>692.6</v>
      </c>
      <c r="S54" t="n">
        <v>772.8</v>
      </c>
      <c r="T54" t="n">
        <v>825.9</v>
      </c>
      <c r="U54" t="n">
        <v>809.1</v>
      </c>
      <c r="V54" t="n">
        <v>827.5</v>
      </c>
      <c r="W54" t="n">
        <v>855.4</v>
      </c>
      <c r="X54" t="n">
        <v>872.2</v>
      </c>
      <c r="Y54" t="n">
        <v>834</v>
      </c>
      <c r="Z54" t="n">
        <v>855.3</v>
      </c>
      <c r="AA54" t="n">
        <v>837.6</v>
      </c>
      <c r="AB54" t="n">
        <v>793.7</v>
      </c>
      <c r="AC54" t="n">
        <v>819.2</v>
      </c>
      <c r="AD54" t="n">
        <v>849</v>
      </c>
      <c r="AE54" t="n">
        <v>859.6</v>
      </c>
      <c r="AF54" t="n">
        <v>922.4</v>
      </c>
    </row>
    <row r="55">
      <c r="A55" t="s">
        <v>107</v>
      </c>
      <c r="B55" t="s">
        <v>380</v>
      </c>
      <c r="C55" t="s">
        <v>203</v>
      </c>
      <c r="D55" t="s">
        <v>381</v>
      </c>
      <c r="E55" t="s">
        <v>204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1.1</v>
      </c>
      <c r="N55" t="n">
        <v>1.1</v>
      </c>
      <c r="O55" t="n">
        <v>1.1</v>
      </c>
      <c r="P55" t="n">
        <v>2.2</v>
      </c>
      <c r="Q55" t="n">
        <v>5.5</v>
      </c>
      <c r="R55" t="n">
        <v>7.9</v>
      </c>
      <c r="S55" t="n">
        <v>9.9</v>
      </c>
      <c r="T55" t="n">
        <v>10.5</v>
      </c>
      <c r="U55" t="n">
        <v>11.3</v>
      </c>
      <c r="V55" t="n">
        <v>13.6</v>
      </c>
      <c r="W55" t="n">
        <v>17.5</v>
      </c>
      <c r="X55" t="n">
        <v>21.2</v>
      </c>
      <c r="Y55" t="n">
        <v>23.1</v>
      </c>
      <c r="Z55" t="n">
        <v>25.8</v>
      </c>
      <c r="AA55" t="n">
        <v>28.4</v>
      </c>
      <c r="AB55" t="n">
        <v>30</v>
      </c>
      <c r="AC55" t="n">
        <v>33.6</v>
      </c>
      <c r="AD55" t="n">
        <v>34.8</v>
      </c>
      <c r="AE55" t="n">
        <v>35.2</v>
      </c>
      <c r="AF55" t="n">
        <v>37.8</v>
      </c>
    </row>
    <row r="56">
      <c r="A56" t="s">
        <v>107</v>
      </c>
      <c r="B56" t="s">
        <v>382</v>
      </c>
      <c r="C56" t="s">
        <v>203</v>
      </c>
      <c r="D56" t="s">
        <v>383</v>
      </c>
      <c r="E56" t="s">
        <v>204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107</v>
      </c>
      <c r="B57" t="s">
        <v>384</v>
      </c>
      <c r="C57" t="s">
        <v>203</v>
      </c>
      <c r="D57" t="s">
        <v>385</v>
      </c>
      <c r="E57" t="s">
        <v>204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115884.3</v>
      </c>
      <c r="L57" t="n">
        <v>114669.5</v>
      </c>
      <c r="M57" t="n">
        <v>129514.4</v>
      </c>
      <c r="N57" t="n">
        <v>132258.1</v>
      </c>
      <c r="O57" t="n">
        <v>132877.9</v>
      </c>
      <c r="P57" t="n">
        <v>137809.7</v>
      </c>
      <c r="Q57" t="n">
        <v>149715.2</v>
      </c>
      <c r="R57" t="n">
        <v>160206.9</v>
      </c>
      <c r="S57" t="n">
        <v>182963.6</v>
      </c>
      <c r="T57" t="n">
        <v>198675.7</v>
      </c>
      <c r="U57" t="n">
        <v>196111.1</v>
      </c>
      <c r="V57" t="n">
        <v>201672.3</v>
      </c>
      <c r="W57" t="n">
        <v>208840</v>
      </c>
      <c r="X57" t="n">
        <v>213306.3</v>
      </c>
      <c r="Y57" t="n">
        <v>204229.2</v>
      </c>
      <c r="Z57" t="n">
        <v>209747.1</v>
      </c>
      <c r="AA57" t="n">
        <v>207248.3</v>
      </c>
      <c r="AB57" t="n">
        <v>194342.2</v>
      </c>
      <c r="AC57" t="n">
        <v>198979.1</v>
      </c>
      <c r="AD57" t="n">
        <v>206215.2</v>
      </c>
      <c r="AE57" t="n">
        <v>208814.4</v>
      </c>
      <c r="AF57" t="n">
        <v>224049.4</v>
      </c>
    </row>
    <row r="58">
      <c r="A58" t="s">
        <v>107</v>
      </c>
      <c r="B58" t="s">
        <v>386</v>
      </c>
      <c r="C58" t="s">
        <v>203</v>
      </c>
      <c r="D58" t="s">
        <v>387</v>
      </c>
      <c r="E58" t="s">
        <v>204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115884.3</v>
      </c>
      <c r="L58" t="n">
        <v>114669.5</v>
      </c>
      <c r="M58" t="n">
        <v>129514.4</v>
      </c>
      <c r="N58" t="n">
        <v>132258.1</v>
      </c>
      <c r="O58" t="n">
        <v>132877.9</v>
      </c>
      <c r="P58" t="n">
        <v>137809.7</v>
      </c>
      <c r="Q58" t="n">
        <v>149715.2</v>
      </c>
      <c r="R58" t="n">
        <v>160206.9</v>
      </c>
      <c r="S58" t="n">
        <v>182963.6</v>
      </c>
      <c r="T58" t="n">
        <v>198675.7</v>
      </c>
      <c r="U58" t="n">
        <v>196111.1</v>
      </c>
      <c r="V58" t="n">
        <v>201672.3</v>
      </c>
      <c r="W58" t="n">
        <v>208840</v>
      </c>
      <c r="X58" t="n">
        <v>213306.3</v>
      </c>
      <c r="Y58" t="n">
        <v>204229.2</v>
      </c>
      <c r="Z58" t="n">
        <v>209747.1</v>
      </c>
      <c r="AA58" t="n">
        <v>207248.3</v>
      </c>
      <c r="AB58" t="n">
        <v>194342.2</v>
      </c>
      <c r="AC58" t="n">
        <v>198979.1</v>
      </c>
      <c r="AD58" t="n">
        <v>206215.2</v>
      </c>
      <c r="AE58" t="n">
        <v>208814.4</v>
      </c>
      <c r="AF58" t="n">
        <v>224049.4</v>
      </c>
    </row>
    <row r="59">
      <c r="A59" t="s">
        <v>107</v>
      </c>
      <c r="B59" t="s">
        <v>388</v>
      </c>
      <c r="C59" t="s">
        <v>203</v>
      </c>
      <c r="D59" t="s">
        <v>389</v>
      </c>
      <c r="E59" t="s">
        <v>204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109</v>
      </c>
      <c r="B2" t="s">
        <v>197</v>
      </c>
      <c r="C2" t="s">
        <v>203</v>
      </c>
      <c r="D2" t="s">
        <v>199</v>
      </c>
      <c r="E2" t="s">
        <v>204</v>
      </c>
      <c r="F2"/>
      <c r="G2"/>
      <c r="H2"/>
      <c r="I2"/>
      <c r="J2"/>
      <c r="K2" t="n">
        <v>483.2</v>
      </c>
      <c r="L2" t="n">
        <v>671</v>
      </c>
      <c r="M2" t="n">
        <v>764.8</v>
      </c>
      <c r="N2" t="n">
        <v>965.4</v>
      </c>
      <c r="O2" t="n">
        <v>1159.2</v>
      </c>
      <c r="P2" t="n">
        <v>1123.8</v>
      </c>
      <c r="Q2" t="n">
        <v>1085.5</v>
      </c>
      <c r="R2" t="n">
        <v>1175.4</v>
      </c>
      <c r="S2" t="n">
        <v>1146</v>
      </c>
      <c r="T2" t="n">
        <v>1129</v>
      </c>
      <c r="U2" t="n">
        <v>1066.5</v>
      </c>
      <c r="V2" t="n">
        <v>931.5</v>
      </c>
      <c r="W2" t="n">
        <v>957.9</v>
      </c>
      <c r="X2" t="n">
        <v>922.3</v>
      </c>
      <c r="Y2" t="n">
        <v>886.6</v>
      </c>
      <c r="Z2" t="n">
        <v>817.8</v>
      </c>
      <c r="AA2" t="n">
        <v>821.7</v>
      </c>
      <c r="AB2" t="n">
        <v>733.4</v>
      </c>
      <c r="AC2" t="n">
        <v>751.1</v>
      </c>
      <c r="AD2" t="n">
        <v>744</v>
      </c>
      <c r="AE2" t="n">
        <v>781.3</v>
      </c>
      <c r="AF2" t="n">
        <v>723.8</v>
      </c>
    </row>
    <row r="3">
      <c r="A3" t="s">
        <v>109</v>
      </c>
      <c r="B3" t="s">
        <v>276</v>
      </c>
      <c r="C3" t="s">
        <v>203</v>
      </c>
      <c r="D3" t="s">
        <v>277</v>
      </c>
      <c r="E3" t="s">
        <v>204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109</v>
      </c>
      <c r="B4" t="s">
        <v>278</v>
      </c>
      <c r="C4" t="s">
        <v>203</v>
      </c>
      <c r="D4" t="s">
        <v>279</v>
      </c>
      <c r="E4" t="s">
        <v>204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109</v>
      </c>
      <c r="B5" t="s">
        <v>280</v>
      </c>
      <c r="C5" t="s">
        <v>203</v>
      </c>
      <c r="D5" t="s">
        <v>281</v>
      </c>
      <c r="E5" t="s">
        <v>204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109</v>
      </c>
      <c r="B6" t="s">
        <v>282</v>
      </c>
      <c r="C6" t="s">
        <v>203</v>
      </c>
      <c r="D6" t="s">
        <v>283</v>
      </c>
      <c r="E6" t="s">
        <v>204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109</v>
      </c>
      <c r="B7" t="s">
        <v>284</v>
      </c>
      <c r="C7" t="s">
        <v>203</v>
      </c>
      <c r="D7" t="s">
        <v>285</v>
      </c>
      <c r="E7" t="s">
        <v>204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109</v>
      </c>
      <c r="B8" t="s">
        <v>286</v>
      </c>
      <c r="C8" t="s">
        <v>203</v>
      </c>
      <c r="D8" t="s">
        <v>287</v>
      </c>
      <c r="E8" t="s">
        <v>204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109</v>
      </c>
      <c r="B9" t="s">
        <v>288</v>
      </c>
      <c r="C9" t="s">
        <v>203</v>
      </c>
      <c r="D9" t="s">
        <v>289</v>
      </c>
      <c r="E9" t="s">
        <v>204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109</v>
      </c>
      <c r="B10" t="s">
        <v>290</v>
      </c>
      <c r="C10" t="s">
        <v>203</v>
      </c>
      <c r="D10" t="s">
        <v>291</v>
      </c>
      <c r="E10" t="s">
        <v>204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109</v>
      </c>
      <c r="B11" t="s">
        <v>292</v>
      </c>
      <c r="C11" t="s">
        <v>203</v>
      </c>
      <c r="D11" t="s">
        <v>293</v>
      </c>
      <c r="E11" t="s">
        <v>204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109</v>
      </c>
      <c r="B12" t="s">
        <v>294</v>
      </c>
      <c r="C12" t="s">
        <v>203</v>
      </c>
      <c r="D12" t="s">
        <v>295</v>
      </c>
      <c r="E12" t="s">
        <v>204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109</v>
      </c>
      <c r="B13" t="s">
        <v>296</v>
      </c>
      <c r="C13" t="s">
        <v>203</v>
      </c>
      <c r="D13" t="s">
        <v>297</v>
      </c>
      <c r="E13" t="s">
        <v>204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109</v>
      </c>
      <c r="B14" t="s">
        <v>298</v>
      </c>
      <c r="C14" t="s">
        <v>203</v>
      </c>
      <c r="D14" t="s">
        <v>299</v>
      </c>
      <c r="E14" t="s">
        <v>204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109</v>
      </c>
      <c r="B15" t="s">
        <v>300</v>
      </c>
      <c r="C15" t="s">
        <v>203</v>
      </c>
      <c r="D15" t="s">
        <v>301</v>
      </c>
      <c r="E15" t="s">
        <v>204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109</v>
      </c>
      <c r="B16" t="s">
        <v>302</v>
      </c>
      <c r="C16" t="s">
        <v>203</v>
      </c>
      <c r="D16" t="s">
        <v>303</v>
      </c>
      <c r="E16" t="s">
        <v>204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109</v>
      </c>
      <c r="B17" t="s">
        <v>304</v>
      </c>
      <c r="C17" t="s">
        <v>203</v>
      </c>
      <c r="D17" t="s">
        <v>305</v>
      </c>
      <c r="E17" t="s">
        <v>204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109</v>
      </c>
      <c r="B18" t="s">
        <v>306</v>
      </c>
      <c r="C18" t="s">
        <v>203</v>
      </c>
      <c r="D18" t="s">
        <v>307</v>
      </c>
      <c r="E18" t="s">
        <v>204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109</v>
      </c>
      <c r="B19" t="s">
        <v>308</v>
      </c>
      <c r="C19" t="s">
        <v>203</v>
      </c>
      <c r="D19" t="s">
        <v>309</v>
      </c>
      <c r="E19" t="s">
        <v>204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109</v>
      </c>
      <c r="B20" t="s">
        <v>310</v>
      </c>
      <c r="C20" t="s">
        <v>203</v>
      </c>
      <c r="D20" t="s">
        <v>311</v>
      </c>
      <c r="E20" t="s">
        <v>204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109</v>
      </c>
      <c r="B21" t="s">
        <v>312</v>
      </c>
      <c r="C21" t="s">
        <v>203</v>
      </c>
      <c r="D21" t="s">
        <v>313</v>
      </c>
      <c r="E21" t="s">
        <v>204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109</v>
      </c>
      <c r="B22" t="s">
        <v>314</v>
      </c>
      <c r="C22" t="s">
        <v>203</v>
      </c>
      <c r="D22" t="s">
        <v>315</v>
      </c>
      <c r="E22" t="s">
        <v>204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109</v>
      </c>
      <c r="B23" t="s">
        <v>316</v>
      </c>
      <c r="C23" t="s">
        <v>203</v>
      </c>
      <c r="D23" t="s">
        <v>317</v>
      </c>
      <c r="E23" t="s">
        <v>204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109</v>
      </c>
      <c r="B24" t="s">
        <v>318</v>
      </c>
      <c r="C24" t="s">
        <v>203</v>
      </c>
      <c r="D24" t="s">
        <v>319</v>
      </c>
      <c r="E24" t="s">
        <v>204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109</v>
      </c>
      <c r="B25" t="s">
        <v>320</v>
      </c>
      <c r="C25" t="s">
        <v>203</v>
      </c>
      <c r="D25" t="s">
        <v>321</v>
      </c>
      <c r="E25" t="s">
        <v>204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109</v>
      </c>
      <c r="B26" t="s">
        <v>322</v>
      </c>
      <c r="C26" t="s">
        <v>203</v>
      </c>
      <c r="D26" t="s">
        <v>323</v>
      </c>
      <c r="E26" t="s">
        <v>204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109</v>
      </c>
      <c r="B27" t="s">
        <v>324</v>
      </c>
      <c r="C27" t="s">
        <v>203</v>
      </c>
      <c r="D27" t="s">
        <v>325</v>
      </c>
      <c r="E27" t="s">
        <v>204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109</v>
      </c>
      <c r="B28" t="s">
        <v>326</v>
      </c>
      <c r="C28" t="s">
        <v>203</v>
      </c>
      <c r="D28" t="s">
        <v>327</v>
      </c>
      <c r="E28" t="s">
        <v>204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109</v>
      </c>
      <c r="B29" t="s">
        <v>328</v>
      </c>
      <c r="C29" t="s">
        <v>203</v>
      </c>
      <c r="D29" t="s">
        <v>329</v>
      </c>
      <c r="E29" t="s">
        <v>204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109</v>
      </c>
      <c r="B30" t="s">
        <v>330</v>
      </c>
      <c r="C30" t="s">
        <v>203</v>
      </c>
      <c r="D30" t="s">
        <v>331</v>
      </c>
      <c r="E30" t="s">
        <v>204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109</v>
      </c>
      <c r="B31" t="s">
        <v>332</v>
      </c>
      <c r="C31" t="s">
        <v>203</v>
      </c>
      <c r="D31" t="s">
        <v>333</v>
      </c>
      <c r="E31" t="s">
        <v>204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109</v>
      </c>
      <c r="B32" t="s">
        <v>334</v>
      </c>
      <c r="C32" t="s">
        <v>203</v>
      </c>
      <c r="D32" t="s">
        <v>335</v>
      </c>
      <c r="E32" t="s">
        <v>204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109</v>
      </c>
      <c r="B33" t="s">
        <v>336</v>
      </c>
      <c r="C33" t="s">
        <v>203</v>
      </c>
      <c r="D33" t="s">
        <v>337</v>
      </c>
      <c r="E33" t="s">
        <v>204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109</v>
      </c>
      <c r="B34" t="s">
        <v>338</v>
      </c>
      <c r="C34" t="s">
        <v>203</v>
      </c>
      <c r="D34" t="s">
        <v>339</v>
      </c>
      <c r="E34" t="s">
        <v>204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109</v>
      </c>
      <c r="B35" t="s">
        <v>340</v>
      </c>
      <c r="C35" t="s">
        <v>203</v>
      </c>
      <c r="D35" t="s">
        <v>341</v>
      </c>
      <c r="E35" t="s">
        <v>204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109</v>
      </c>
      <c r="B36" t="s">
        <v>342</v>
      </c>
      <c r="C36" t="s">
        <v>203</v>
      </c>
      <c r="D36" t="s">
        <v>343</v>
      </c>
      <c r="E36" t="s">
        <v>204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109</v>
      </c>
      <c r="B37" t="s">
        <v>344</v>
      </c>
      <c r="C37" t="s">
        <v>203</v>
      </c>
      <c r="D37" t="s">
        <v>345</v>
      </c>
      <c r="E37" t="s">
        <v>204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109</v>
      </c>
      <c r="B38" t="s">
        <v>346</v>
      </c>
      <c r="C38" t="s">
        <v>203</v>
      </c>
      <c r="D38" t="s">
        <v>347</v>
      </c>
      <c r="E38" t="s">
        <v>204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109</v>
      </c>
      <c r="B39" t="s">
        <v>348</v>
      </c>
      <c r="C39" t="s">
        <v>203</v>
      </c>
      <c r="D39" t="s">
        <v>349</v>
      </c>
      <c r="E39" t="s">
        <v>204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109</v>
      </c>
      <c r="B40" t="s">
        <v>350</v>
      </c>
      <c r="C40" t="s">
        <v>203</v>
      </c>
      <c r="D40" t="s">
        <v>351</v>
      </c>
      <c r="E40" t="s">
        <v>204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109</v>
      </c>
      <c r="B41" t="s">
        <v>352</v>
      </c>
      <c r="C41" t="s">
        <v>203</v>
      </c>
      <c r="D41" t="s">
        <v>353</v>
      </c>
      <c r="E41" t="s">
        <v>204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109</v>
      </c>
      <c r="B42" t="s">
        <v>354</v>
      </c>
      <c r="C42" t="s">
        <v>203</v>
      </c>
      <c r="D42" t="s">
        <v>355</v>
      </c>
      <c r="E42" t="s">
        <v>204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109</v>
      </c>
      <c r="B43" t="s">
        <v>356</v>
      </c>
      <c r="C43" t="s">
        <v>203</v>
      </c>
      <c r="D43" t="s">
        <v>357</v>
      </c>
      <c r="E43" t="s">
        <v>204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109</v>
      </c>
      <c r="B44" t="s">
        <v>358</v>
      </c>
      <c r="C44" t="s">
        <v>203</v>
      </c>
      <c r="D44" t="s">
        <v>359</v>
      </c>
      <c r="E44" t="s">
        <v>204</v>
      </c>
      <c r="F44"/>
      <c r="G44"/>
      <c r="H44"/>
      <c r="I44"/>
      <c r="J44"/>
      <c r="K44" t="n">
        <v>483.2</v>
      </c>
      <c r="L44" t="n">
        <v>671</v>
      </c>
      <c r="M44" t="n">
        <v>764.8</v>
      </c>
      <c r="N44" t="n">
        <v>965.4</v>
      </c>
      <c r="O44" t="n">
        <v>1159.2</v>
      </c>
      <c r="P44" t="n">
        <v>1123.8</v>
      </c>
      <c r="Q44" t="n">
        <v>1085.5</v>
      </c>
      <c r="R44" t="n">
        <v>1175.4</v>
      </c>
      <c r="S44" t="n">
        <v>1146</v>
      </c>
      <c r="T44" t="n">
        <v>1129</v>
      </c>
      <c r="U44" t="n">
        <v>1066.5</v>
      </c>
      <c r="V44" t="n">
        <v>931.5</v>
      </c>
      <c r="W44" t="n">
        <v>957.9</v>
      </c>
      <c r="X44" t="n">
        <v>922.3</v>
      </c>
      <c r="Y44" t="n">
        <v>891.2</v>
      </c>
      <c r="Z44" t="n">
        <v>822.4</v>
      </c>
      <c r="AA44" t="n">
        <v>834.5</v>
      </c>
      <c r="AB44" t="n">
        <v>758.1</v>
      </c>
      <c r="AC44" t="n">
        <v>783</v>
      </c>
      <c r="AD44" t="n">
        <v>775.5</v>
      </c>
      <c r="AE44" t="n">
        <v>814.4</v>
      </c>
      <c r="AF44" t="n">
        <v>754.6</v>
      </c>
    </row>
    <row r="45">
      <c r="A45" t="s">
        <v>109</v>
      </c>
      <c r="B45" t="s">
        <v>360</v>
      </c>
      <c r="C45" t="s">
        <v>203</v>
      </c>
      <c r="D45" t="s">
        <v>361</v>
      </c>
      <c r="E45" t="s">
        <v>204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109</v>
      </c>
      <c r="B46" t="s">
        <v>362</v>
      </c>
      <c r="C46" t="s">
        <v>203</v>
      </c>
      <c r="D46" t="s">
        <v>363</v>
      </c>
      <c r="E46" t="s">
        <v>204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109</v>
      </c>
      <c r="B47" t="s">
        <v>364</v>
      </c>
      <c r="C47" t="s">
        <v>203</v>
      </c>
      <c r="D47" t="s">
        <v>365</v>
      </c>
      <c r="E47" t="s">
        <v>204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109</v>
      </c>
      <c r="B48" t="s">
        <v>366</v>
      </c>
      <c r="C48" t="s">
        <v>203</v>
      </c>
      <c r="D48" t="s">
        <v>367</v>
      </c>
      <c r="E48" t="s">
        <v>204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109</v>
      </c>
      <c r="B49" t="s">
        <v>368</v>
      </c>
      <c r="C49" t="s">
        <v>203</v>
      </c>
      <c r="D49" t="s">
        <v>369</v>
      </c>
      <c r="E49" t="s">
        <v>204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109</v>
      </c>
      <c r="B50" t="s">
        <v>370</v>
      </c>
      <c r="C50" t="s">
        <v>203</v>
      </c>
      <c r="D50" t="s">
        <v>371</v>
      </c>
      <c r="E50" t="s">
        <v>204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109</v>
      </c>
      <c r="B51" t="s">
        <v>372</v>
      </c>
      <c r="C51" t="s">
        <v>203</v>
      </c>
      <c r="D51" t="s">
        <v>373</v>
      </c>
      <c r="E51" t="s">
        <v>204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109</v>
      </c>
      <c r="B52" t="s">
        <v>374</v>
      </c>
      <c r="C52" t="s">
        <v>203</v>
      </c>
      <c r="D52" t="s">
        <v>375</v>
      </c>
      <c r="E52" t="s">
        <v>204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109</v>
      </c>
      <c r="B53" t="s">
        <v>376</v>
      </c>
      <c r="C53" t="s">
        <v>203</v>
      </c>
      <c r="D53" t="s">
        <v>377</v>
      </c>
      <c r="E53" t="s">
        <v>204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109</v>
      </c>
      <c r="B54" t="s">
        <v>378</v>
      </c>
      <c r="C54" t="s">
        <v>203</v>
      </c>
      <c r="D54" t="s">
        <v>379</v>
      </c>
      <c r="E54" t="s">
        <v>204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109</v>
      </c>
      <c r="B55" t="s">
        <v>380</v>
      </c>
      <c r="C55" t="s">
        <v>203</v>
      </c>
      <c r="D55" t="s">
        <v>381</v>
      </c>
      <c r="E55" t="s">
        <v>204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109</v>
      </c>
      <c r="B56" t="s">
        <v>382</v>
      </c>
      <c r="C56" t="s">
        <v>203</v>
      </c>
      <c r="D56" t="s">
        <v>383</v>
      </c>
      <c r="E56" t="s">
        <v>204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109</v>
      </c>
      <c r="B57" t="s">
        <v>384</v>
      </c>
      <c r="C57" t="s">
        <v>203</v>
      </c>
      <c r="D57" t="s">
        <v>385</v>
      </c>
      <c r="E57" t="s">
        <v>204</v>
      </c>
      <c r="F57"/>
      <c r="G57"/>
      <c r="H57"/>
      <c r="I57"/>
      <c r="J57"/>
      <c r="K57" t="n">
        <v>483.2</v>
      </c>
      <c r="L57" t="n">
        <v>671</v>
      </c>
      <c r="M57" t="n">
        <v>764.8</v>
      </c>
      <c r="N57" t="n">
        <v>965.4</v>
      </c>
      <c r="O57" t="n">
        <v>1159.2</v>
      </c>
      <c r="P57" t="n">
        <v>1123.8</v>
      </c>
      <c r="Q57" t="n">
        <v>1085.5</v>
      </c>
      <c r="R57" t="n">
        <v>1175.4</v>
      </c>
      <c r="S57" t="n">
        <v>1146</v>
      </c>
      <c r="T57" t="n">
        <v>1129</v>
      </c>
      <c r="U57" t="n">
        <v>1066.5</v>
      </c>
      <c r="V57" t="n">
        <v>931.5</v>
      </c>
      <c r="W57" t="n">
        <v>957.9</v>
      </c>
      <c r="X57" t="n">
        <v>922.3</v>
      </c>
      <c r="Y57" t="n">
        <v>891.3</v>
      </c>
      <c r="Z57" t="n">
        <v>823</v>
      </c>
      <c r="AA57" t="n">
        <v>835.9</v>
      </c>
      <c r="AB57" t="n">
        <v>759.8</v>
      </c>
      <c r="AC57" t="n">
        <v>785.3</v>
      </c>
      <c r="AD57" t="n">
        <v>777.8</v>
      </c>
      <c r="AE57" t="n">
        <v>816.8</v>
      </c>
      <c r="AF57" t="n">
        <v>756.8</v>
      </c>
    </row>
    <row r="58">
      <c r="A58" t="s">
        <v>109</v>
      </c>
      <c r="B58" t="s">
        <v>386</v>
      </c>
      <c r="C58" t="s">
        <v>203</v>
      </c>
      <c r="D58" t="s">
        <v>387</v>
      </c>
      <c r="E58" t="s">
        <v>204</v>
      </c>
      <c r="F58"/>
      <c r="G58"/>
      <c r="H58"/>
      <c r="I58"/>
      <c r="J58"/>
      <c r="K58" t="n">
        <v>483.2</v>
      </c>
      <c r="L58" t="n">
        <v>671</v>
      </c>
      <c r="M58" t="n">
        <v>764.8</v>
      </c>
      <c r="N58" t="n">
        <v>965.4</v>
      </c>
      <c r="O58" t="n">
        <v>1159.2</v>
      </c>
      <c r="P58" t="n">
        <v>1123.8</v>
      </c>
      <c r="Q58" t="n">
        <v>1085.5</v>
      </c>
      <c r="R58" t="n">
        <v>1175.4</v>
      </c>
      <c r="S58" t="n">
        <v>1146</v>
      </c>
      <c r="T58" t="n">
        <v>1129</v>
      </c>
      <c r="U58" t="n">
        <v>1066.5</v>
      </c>
      <c r="V58" t="n">
        <v>931.5</v>
      </c>
      <c r="W58" t="n">
        <v>957.9</v>
      </c>
      <c r="X58" t="n">
        <v>922.3</v>
      </c>
      <c r="Y58" t="n">
        <v>891.3</v>
      </c>
      <c r="Z58" t="n">
        <v>823</v>
      </c>
      <c r="AA58" t="n">
        <v>835.9</v>
      </c>
      <c r="AB58" t="n">
        <v>759.8</v>
      </c>
      <c r="AC58" t="n">
        <v>785.3</v>
      </c>
      <c r="AD58" t="n">
        <v>777.8</v>
      </c>
      <c r="AE58" t="n">
        <v>816.8</v>
      </c>
      <c r="AF58" t="n">
        <v>756.8</v>
      </c>
    </row>
    <row r="59">
      <c r="A59" t="s">
        <v>109</v>
      </c>
      <c r="B59" t="s">
        <v>388</v>
      </c>
      <c r="C59" t="s">
        <v>203</v>
      </c>
      <c r="D59" t="s">
        <v>389</v>
      </c>
      <c r="E59" t="s">
        <v>204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111</v>
      </c>
      <c r="B2" t="s">
        <v>197</v>
      </c>
      <c r="C2" t="s">
        <v>203</v>
      </c>
      <c r="D2" t="s">
        <v>199</v>
      </c>
      <c r="E2" t="s">
        <v>204</v>
      </c>
      <c r="F2"/>
      <c r="G2"/>
      <c r="H2"/>
      <c r="I2"/>
      <c r="J2"/>
      <c r="K2" t="n">
        <v>11.5</v>
      </c>
      <c r="L2" t="n">
        <v>13.3</v>
      </c>
      <c r="M2" t="n">
        <v>13.7</v>
      </c>
      <c r="N2" t="n">
        <v>13.4</v>
      </c>
      <c r="O2" t="n">
        <v>14</v>
      </c>
      <c r="P2" t="n">
        <v>15.3</v>
      </c>
      <c r="Q2" t="n">
        <v>16.7</v>
      </c>
      <c r="R2" t="n">
        <v>13.5</v>
      </c>
      <c r="S2" t="n">
        <v>1.2</v>
      </c>
      <c r="T2" t="n">
        <v>20.2</v>
      </c>
      <c r="U2" t="n">
        <v>20.4</v>
      </c>
      <c r="V2" t="n">
        <v>18.1</v>
      </c>
      <c r="W2" t="n">
        <v>20.2</v>
      </c>
      <c r="X2" t="n">
        <v>18.3</v>
      </c>
      <c r="Y2" t="n">
        <v>19.8</v>
      </c>
      <c r="Z2" t="n">
        <v>5.6</v>
      </c>
      <c r="AA2" t="n">
        <v>4.7</v>
      </c>
      <c r="AB2" t="n">
        <v>4.7</v>
      </c>
      <c r="AC2" t="n">
        <v>3.4</v>
      </c>
      <c r="AD2" t="n">
        <v>1.6</v>
      </c>
      <c r="AE2" t="n">
        <v>1.5</v>
      </c>
      <c r="AF2" t="n">
        <v>2.7</v>
      </c>
    </row>
    <row r="3">
      <c r="A3" t="s">
        <v>111</v>
      </c>
      <c r="B3" t="s">
        <v>276</v>
      </c>
      <c r="C3" t="s">
        <v>203</v>
      </c>
      <c r="D3" t="s">
        <v>277</v>
      </c>
      <c r="E3" t="s">
        <v>204</v>
      </c>
      <c r="F3"/>
      <c r="G3"/>
      <c r="H3"/>
      <c r="I3"/>
      <c r="J3"/>
      <c r="K3" t="n">
        <v>0.1</v>
      </c>
      <c r="L3" t="n">
        <v>0.1</v>
      </c>
      <c r="M3" t="n">
        <v>0.1</v>
      </c>
      <c r="N3" t="n">
        <v>0.1</v>
      </c>
      <c r="O3" t="n">
        <v>0.1</v>
      </c>
      <c r="P3" t="n">
        <v>0.1</v>
      </c>
      <c r="Q3" t="n">
        <v>0.1</v>
      </c>
      <c r="R3" t="n">
        <v>4.8</v>
      </c>
      <c r="S3" t="n">
        <v>0.7</v>
      </c>
      <c r="T3" t="n">
        <v>0</v>
      </c>
      <c r="U3" t="n">
        <v>0</v>
      </c>
      <c r="V3" t="n">
        <v>0.1</v>
      </c>
      <c r="W3" t="n">
        <v>0</v>
      </c>
      <c r="X3" t="n">
        <v>0</v>
      </c>
      <c r="Y3" t="n">
        <v>0</v>
      </c>
      <c r="Z3" t="n">
        <v>17.2</v>
      </c>
      <c r="AA3" t="n">
        <v>5.9</v>
      </c>
      <c r="AB3" t="n">
        <v>1.8</v>
      </c>
      <c r="AC3" t="n">
        <v>2.1</v>
      </c>
      <c r="AD3" t="n">
        <v>4.8</v>
      </c>
      <c r="AE3" t="n">
        <v>4.8</v>
      </c>
      <c r="AF3" t="n">
        <v>6.1</v>
      </c>
    </row>
    <row r="4">
      <c r="A4" t="s">
        <v>111</v>
      </c>
      <c r="B4" t="s">
        <v>278</v>
      </c>
      <c r="C4" t="s">
        <v>203</v>
      </c>
      <c r="D4" t="s">
        <v>279</v>
      </c>
      <c r="E4" t="s">
        <v>204</v>
      </c>
      <c r="F4"/>
      <c r="G4"/>
      <c r="H4"/>
      <c r="I4"/>
      <c r="J4"/>
      <c r="K4" t="n">
        <v>108.2</v>
      </c>
      <c r="L4" t="n">
        <v>100.5</v>
      </c>
      <c r="M4" t="n">
        <v>114.4</v>
      </c>
      <c r="N4" t="n">
        <v>117</v>
      </c>
      <c r="O4" t="n">
        <v>109.4</v>
      </c>
      <c r="P4" t="n">
        <v>111.7</v>
      </c>
      <c r="Q4" t="n">
        <v>111.4</v>
      </c>
      <c r="R4" t="n">
        <v>197.9</v>
      </c>
      <c r="S4" t="n">
        <v>192.4</v>
      </c>
      <c r="T4" t="n">
        <v>128.8</v>
      </c>
      <c r="U4" t="n">
        <v>96.7</v>
      </c>
      <c r="V4" t="n">
        <v>86.7</v>
      </c>
      <c r="W4" t="n">
        <v>112.9</v>
      </c>
      <c r="X4" t="n">
        <v>129.5</v>
      </c>
      <c r="Y4" t="n">
        <v>140.4</v>
      </c>
      <c r="Z4" t="n">
        <v>219.6</v>
      </c>
      <c r="AA4" t="n">
        <v>389.2</v>
      </c>
      <c r="AB4" t="n">
        <v>502.2</v>
      </c>
      <c r="AC4" t="n">
        <v>590.2</v>
      </c>
      <c r="AD4" t="n">
        <v>549.2</v>
      </c>
      <c r="AE4" t="n">
        <v>614.2</v>
      </c>
      <c r="AF4" t="n">
        <v>635</v>
      </c>
    </row>
    <row r="5">
      <c r="A5" t="s">
        <v>111</v>
      </c>
      <c r="B5" t="s">
        <v>280</v>
      </c>
      <c r="C5" t="s">
        <v>203</v>
      </c>
      <c r="D5" t="s">
        <v>281</v>
      </c>
      <c r="E5" t="s">
        <v>204</v>
      </c>
      <c r="F5"/>
      <c r="G5"/>
      <c r="H5"/>
      <c r="I5"/>
      <c r="J5"/>
      <c r="K5" t="n">
        <v>2</v>
      </c>
      <c r="L5" t="n">
        <v>2.2</v>
      </c>
      <c r="M5" t="n">
        <v>2</v>
      </c>
      <c r="N5" t="n">
        <v>2.1</v>
      </c>
      <c r="O5" t="n">
        <v>2.4</v>
      </c>
      <c r="P5" t="n">
        <v>2.4</v>
      </c>
      <c r="Q5" t="n">
        <v>2.4</v>
      </c>
      <c r="R5" t="n">
        <v>3.3</v>
      </c>
      <c r="S5" t="n">
        <v>1.2</v>
      </c>
      <c r="T5" t="n">
        <v>2.2</v>
      </c>
      <c r="U5" t="n">
        <v>0.9</v>
      </c>
      <c r="V5" t="n">
        <v>1.7</v>
      </c>
      <c r="W5" t="n">
        <v>2</v>
      </c>
      <c r="X5" t="n">
        <v>2.3</v>
      </c>
      <c r="Y5" t="n">
        <v>2.4</v>
      </c>
      <c r="Z5" t="n">
        <v>3.8</v>
      </c>
      <c r="AA5" t="n">
        <v>4.7</v>
      </c>
      <c r="AB5" t="n">
        <v>4.8</v>
      </c>
      <c r="AC5" t="n">
        <v>10.6</v>
      </c>
      <c r="AD5" t="n">
        <v>15.5</v>
      </c>
      <c r="AE5" t="n">
        <v>24.4</v>
      </c>
      <c r="AF5" t="n">
        <v>27.9</v>
      </c>
    </row>
    <row r="6">
      <c r="A6" t="s">
        <v>111</v>
      </c>
      <c r="B6" t="s">
        <v>282</v>
      </c>
      <c r="C6" t="s">
        <v>203</v>
      </c>
      <c r="D6" t="s">
        <v>283</v>
      </c>
      <c r="E6" t="s">
        <v>204</v>
      </c>
      <c r="F6"/>
      <c r="G6"/>
      <c r="H6"/>
      <c r="I6"/>
      <c r="J6"/>
      <c r="K6" t="n">
        <v>0.7</v>
      </c>
      <c r="L6" t="n">
        <v>0.8</v>
      </c>
      <c r="M6" t="n">
        <v>0.7</v>
      </c>
      <c r="N6" t="n">
        <v>0.7</v>
      </c>
      <c r="O6" t="n">
        <v>0.8</v>
      </c>
      <c r="P6" t="n">
        <v>0.8</v>
      </c>
      <c r="Q6" t="n">
        <v>0.8</v>
      </c>
      <c r="R6" t="n">
        <v>0.3</v>
      </c>
      <c r="S6" t="n">
        <v>0.3</v>
      </c>
      <c r="T6" t="n">
        <v>1.2</v>
      </c>
      <c r="U6" t="n">
        <v>1.7</v>
      </c>
      <c r="V6" t="n">
        <v>2.5</v>
      </c>
      <c r="W6" t="n">
        <v>2</v>
      </c>
      <c r="X6" t="n">
        <v>2.3</v>
      </c>
      <c r="Y6" t="n">
        <v>2.5</v>
      </c>
      <c r="Z6" t="n">
        <v>13</v>
      </c>
      <c r="AA6" t="n">
        <v>25.1</v>
      </c>
      <c r="AB6" t="n">
        <v>38.8</v>
      </c>
      <c r="AC6" t="n">
        <v>38.6</v>
      </c>
      <c r="AD6" t="n">
        <v>43.9</v>
      </c>
      <c r="AE6" t="n">
        <v>38.2</v>
      </c>
      <c r="AF6" t="n">
        <v>40.2</v>
      </c>
    </row>
    <row r="7">
      <c r="A7" t="s">
        <v>111</v>
      </c>
      <c r="B7" t="s">
        <v>284</v>
      </c>
      <c r="C7" t="s">
        <v>203</v>
      </c>
      <c r="D7" t="s">
        <v>285</v>
      </c>
      <c r="E7" t="s">
        <v>204</v>
      </c>
      <c r="F7"/>
      <c r="G7"/>
      <c r="H7"/>
      <c r="I7"/>
      <c r="J7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0.1</v>
      </c>
      <c r="U7" t="n">
        <v>0</v>
      </c>
      <c r="V7" t="n">
        <v>0.1</v>
      </c>
      <c r="W7" t="n">
        <v>0.1</v>
      </c>
      <c r="X7" t="n">
        <v>0.1</v>
      </c>
      <c r="Y7" t="n">
        <v>0.1</v>
      </c>
      <c r="Z7" t="n">
        <v>2.4</v>
      </c>
      <c r="AA7" t="n">
        <v>5.3</v>
      </c>
      <c r="AB7" t="n">
        <v>8.4</v>
      </c>
      <c r="AC7" t="n">
        <v>14.9</v>
      </c>
      <c r="AD7" t="n">
        <v>17.1</v>
      </c>
      <c r="AE7" t="n">
        <v>13.7</v>
      </c>
      <c r="AF7" t="n">
        <v>15.3</v>
      </c>
    </row>
    <row r="8">
      <c r="A8" t="s">
        <v>111</v>
      </c>
      <c r="B8" t="s">
        <v>286</v>
      </c>
      <c r="C8" t="s">
        <v>203</v>
      </c>
      <c r="D8" t="s">
        <v>287</v>
      </c>
      <c r="E8" t="s">
        <v>204</v>
      </c>
      <c r="F8"/>
      <c r="G8"/>
      <c r="H8"/>
      <c r="I8"/>
      <c r="J8"/>
      <c r="K8" t="n">
        <v>7.5</v>
      </c>
      <c r="L8" t="n">
        <v>8.4</v>
      </c>
      <c r="M8" t="n">
        <v>7.3</v>
      </c>
      <c r="N8" t="n">
        <v>7.8</v>
      </c>
      <c r="O8" t="n">
        <v>9.1</v>
      </c>
      <c r="P8" t="n">
        <v>9.3</v>
      </c>
      <c r="Q8" t="n">
        <v>9.2</v>
      </c>
      <c r="R8" t="n">
        <v>14.6</v>
      </c>
      <c r="S8" t="n">
        <v>9.6</v>
      </c>
      <c r="T8" t="n">
        <v>10.2</v>
      </c>
      <c r="U8" t="n">
        <v>3.8</v>
      </c>
      <c r="V8" t="n">
        <v>2.4</v>
      </c>
      <c r="W8" t="n">
        <v>1.9</v>
      </c>
      <c r="X8" t="n">
        <v>2.2</v>
      </c>
      <c r="Y8" t="n">
        <v>2.4</v>
      </c>
      <c r="Z8" t="n">
        <v>1.9</v>
      </c>
      <c r="AA8" t="n">
        <v>1.8</v>
      </c>
      <c r="AB8" t="n">
        <v>2.2</v>
      </c>
      <c r="AC8" t="n">
        <v>2.1</v>
      </c>
      <c r="AD8" t="n">
        <v>2.5</v>
      </c>
      <c r="AE8" t="n">
        <v>2.4</v>
      </c>
      <c r="AF8" t="n">
        <v>2.9</v>
      </c>
    </row>
    <row r="9">
      <c r="A9" t="s">
        <v>111</v>
      </c>
      <c r="B9" t="s">
        <v>288</v>
      </c>
      <c r="C9" t="s">
        <v>203</v>
      </c>
      <c r="D9" t="s">
        <v>289</v>
      </c>
      <c r="E9" t="s">
        <v>204</v>
      </c>
      <c r="F9"/>
      <c r="G9"/>
      <c r="H9"/>
      <c r="I9"/>
      <c r="J9"/>
      <c r="K9" t="n">
        <v>7.9</v>
      </c>
      <c r="L9" t="n">
        <v>7.2</v>
      </c>
      <c r="M9" t="n">
        <v>8.4</v>
      </c>
      <c r="N9" t="n">
        <v>8.5</v>
      </c>
      <c r="O9" t="n">
        <v>7.8</v>
      </c>
      <c r="P9" t="n">
        <v>8</v>
      </c>
      <c r="Q9" t="n">
        <v>8</v>
      </c>
      <c r="R9" t="n">
        <v>10.9</v>
      </c>
      <c r="S9" t="n">
        <v>5.2</v>
      </c>
      <c r="T9" t="n">
        <v>4</v>
      </c>
      <c r="U9" t="n">
        <v>5.8</v>
      </c>
      <c r="V9" t="n">
        <v>5.7</v>
      </c>
      <c r="W9" t="n">
        <v>2.5</v>
      </c>
      <c r="X9" t="n">
        <v>2.8</v>
      </c>
      <c r="Y9" t="n">
        <v>3.1</v>
      </c>
      <c r="Z9" t="n">
        <v>10.7</v>
      </c>
      <c r="AA9" t="n">
        <v>19</v>
      </c>
      <c r="AB9" t="n">
        <v>26.4</v>
      </c>
      <c r="AC9" t="n">
        <v>35.4</v>
      </c>
      <c r="AD9" t="n">
        <v>34.1</v>
      </c>
      <c r="AE9" t="n">
        <v>37.9</v>
      </c>
      <c r="AF9" t="n">
        <v>37.4</v>
      </c>
    </row>
    <row r="10">
      <c r="A10" t="s">
        <v>111</v>
      </c>
      <c r="B10" t="s">
        <v>290</v>
      </c>
      <c r="C10" t="s">
        <v>203</v>
      </c>
      <c r="D10" t="s">
        <v>291</v>
      </c>
      <c r="E10" t="s">
        <v>204</v>
      </c>
      <c r="F10"/>
      <c r="G10"/>
      <c r="H10"/>
      <c r="I10"/>
      <c r="J10"/>
      <c r="K10" t="n">
        <v>28.8</v>
      </c>
      <c r="L10" t="n">
        <v>29.7</v>
      </c>
      <c r="M10" t="n">
        <v>29</v>
      </c>
      <c r="N10" t="n">
        <v>30.4</v>
      </c>
      <c r="O10" t="n">
        <v>32.4</v>
      </c>
      <c r="P10" t="n">
        <v>33.1</v>
      </c>
      <c r="Q10" t="n">
        <v>33.1</v>
      </c>
      <c r="R10" t="n">
        <v>88.9</v>
      </c>
      <c r="S10" t="n">
        <v>112.7</v>
      </c>
      <c r="T10" t="n">
        <v>36.1</v>
      </c>
      <c r="U10" t="n">
        <v>32.6</v>
      </c>
      <c r="V10" t="n">
        <v>32.2</v>
      </c>
      <c r="W10" t="n">
        <v>33</v>
      </c>
      <c r="X10" t="n">
        <v>37.6</v>
      </c>
      <c r="Y10" t="n">
        <v>40.9</v>
      </c>
      <c r="Z10" t="n">
        <v>32.9</v>
      </c>
      <c r="AA10" t="n">
        <v>51.2</v>
      </c>
      <c r="AB10" t="n">
        <v>69.8</v>
      </c>
      <c r="AC10" t="n">
        <v>80.1</v>
      </c>
      <c r="AD10" t="n">
        <v>79.6</v>
      </c>
      <c r="AE10" t="n">
        <v>78.9</v>
      </c>
      <c r="AF10" t="n">
        <v>84.3</v>
      </c>
    </row>
    <row r="11">
      <c r="A11" t="s">
        <v>111</v>
      </c>
      <c r="B11" t="s">
        <v>292</v>
      </c>
      <c r="C11" t="s">
        <v>203</v>
      </c>
      <c r="D11" t="s">
        <v>293</v>
      </c>
      <c r="E11" t="s">
        <v>204</v>
      </c>
      <c r="F11"/>
      <c r="G11"/>
      <c r="H11"/>
      <c r="I11"/>
      <c r="J11"/>
      <c r="K11" t="n">
        <v>20.9</v>
      </c>
      <c r="L11" t="n">
        <v>22.5</v>
      </c>
      <c r="M11" t="n">
        <v>20.6</v>
      </c>
      <c r="N11" t="n">
        <v>21.9</v>
      </c>
      <c r="O11" t="n">
        <v>24.6</v>
      </c>
      <c r="P11" t="n">
        <v>25.1</v>
      </c>
      <c r="Q11" t="n">
        <v>25.1</v>
      </c>
      <c r="R11" t="n">
        <v>78</v>
      </c>
      <c r="S11" t="n">
        <v>107.5</v>
      </c>
      <c r="T11" t="n">
        <v>32.1</v>
      </c>
      <c r="U11" t="n">
        <v>26.8</v>
      </c>
      <c r="V11" t="n">
        <v>26.5</v>
      </c>
      <c r="W11" t="n">
        <v>30.5</v>
      </c>
      <c r="X11" t="n">
        <v>34.8</v>
      </c>
      <c r="Y11" t="n">
        <v>37.8</v>
      </c>
      <c r="Z11" t="n">
        <v>22.2</v>
      </c>
      <c r="AA11" t="n">
        <v>32.2</v>
      </c>
      <c r="AB11" t="n">
        <v>43.4</v>
      </c>
      <c r="AC11" t="n">
        <v>44.7</v>
      </c>
      <c r="AD11" t="n">
        <v>45.5</v>
      </c>
      <c r="AE11" t="n">
        <v>41</v>
      </c>
      <c r="AF11" t="n">
        <v>46.9</v>
      </c>
    </row>
    <row r="12">
      <c r="A12" t="s">
        <v>111</v>
      </c>
      <c r="B12" t="s">
        <v>294</v>
      </c>
      <c r="C12" t="s">
        <v>203</v>
      </c>
      <c r="D12" t="s">
        <v>295</v>
      </c>
      <c r="E12" t="s">
        <v>204</v>
      </c>
      <c r="F12"/>
      <c r="G12"/>
      <c r="H12"/>
      <c r="I12"/>
      <c r="J12"/>
      <c r="K12" t="n">
        <v>5.2</v>
      </c>
      <c r="L12" t="n">
        <v>4.6</v>
      </c>
      <c r="M12" t="n">
        <v>5.7</v>
      </c>
      <c r="N12" t="n">
        <v>5.7</v>
      </c>
      <c r="O12" t="n">
        <v>5</v>
      </c>
      <c r="P12" t="n">
        <v>5.1</v>
      </c>
      <c r="Q12" t="n">
        <v>5.1</v>
      </c>
      <c r="R12" t="n">
        <v>4.5</v>
      </c>
      <c r="S12" t="n">
        <v>5.9</v>
      </c>
      <c r="T12" t="n">
        <v>5.9</v>
      </c>
      <c r="U12" t="n">
        <v>3.2</v>
      </c>
      <c r="V12" t="n">
        <v>0.9</v>
      </c>
      <c r="W12" t="n">
        <v>0.6</v>
      </c>
      <c r="X12" t="n">
        <v>0.7</v>
      </c>
      <c r="Y12" t="n">
        <v>0.7</v>
      </c>
      <c r="Z12" t="n">
        <v>12.9</v>
      </c>
      <c r="AA12" t="n">
        <v>25.9</v>
      </c>
      <c r="AB12" t="n">
        <v>24.8</v>
      </c>
      <c r="AC12" t="n">
        <v>32</v>
      </c>
      <c r="AD12" t="n">
        <v>39.9</v>
      </c>
      <c r="AE12" t="n">
        <v>54.5</v>
      </c>
      <c r="AF12" t="n">
        <v>46.6</v>
      </c>
    </row>
    <row r="13">
      <c r="A13" t="s">
        <v>111</v>
      </c>
      <c r="B13" t="s">
        <v>296</v>
      </c>
      <c r="C13" t="s">
        <v>203</v>
      </c>
      <c r="D13" t="s">
        <v>297</v>
      </c>
      <c r="E13" t="s">
        <v>204</v>
      </c>
      <c r="F13"/>
      <c r="G13"/>
      <c r="H13"/>
      <c r="I13"/>
      <c r="J13"/>
      <c r="K13" t="n">
        <v>17.7</v>
      </c>
      <c r="L13" t="n">
        <v>14.1</v>
      </c>
      <c r="M13" t="n">
        <v>19.8</v>
      </c>
      <c r="N13" t="n">
        <v>19.7</v>
      </c>
      <c r="O13" t="n">
        <v>15.4</v>
      </c>
      <c r="P13" t="n">
        <v>15.7</v>
      </c>
      <c r="Q13" t="n">
        <v>15.6</v>
      </c>
      <c r="R13" t="n">
        <v>26.1</v>
      </c>
      <c r="S13" t="n">
        <v>24.4</v>
      </c>
      <c r="T13" t="n">
        <v>29.4</v>
      </c>
      <c r="U13" t="n">
        <v>20.2</v>
      </c>
      <c r="V13" t="n">
        <v>14</v>
      </c>
      <c r="W13" t="n">
        <v>11</v>
      </c>
      <c r="X13" t="n">
        <v>12.7</v>
      </c>
      <c r="Y13" t="n">
        <v>13.7</v>
      </c>
      <c r="Z13" t="n">
        <v>24.5</v>
      </c>
      <c r="AA13" t="n">
        <v>72.4</v>
      </c>
      <c r="AB13" t="n">
        <v>106</v>
      </c>
      <c r="AC13" t="n">
        <v>105.9</v>
      </c>
      <c r="AD13" t="n">
        <v>88.7</v>
      </c>
      <c r="AE13" t="n">
        <v>75.5</v>
      </c>
      <c r="AF13" t="n">
        <v>95.7</v>
      </c>
    </row>
    <row r="14">
      <c r="A14" t="s">
        <v>111</v>
      </c>
      <c r="B14" t="s">
        <v>298</v>
      </c>
      <c r="C14" t="s">
        <v>203</v>
      </c>
      <c r="D14" t="s">
        <v>299</v>
      </c>
      <c r="E14" t="s">
        <v>204</v>
      </c>
      <c r="F14"/>
      <c r="G14"/>
      <c r="H14"/>
      <c r="I14"/>
      <c r="J14"/>
      <c r="K14" t="n">
        <v>7.7</v>
      </c>
      <c r="L14" t="n">
        <v>8</v>
      </c>
      <c r="M14" t="n">
        <v>7.7</v>
      </c>
      <c r="N14" t="n">
        <v>8.1</v>
      </c>
      <c r="O14" t="n">
        <v>8.7</v>
      </c>
      <c r="P14" t="n">
        <v>8.9</v>
      </c>
      <c r="Q14" t="n">
        <v>8.9</v>
      </c>
      <c r="R14" t="n">
        <v>18</v>
      </c>
      <c r="S14" t="n">
        <v>11.7</v>
      </c>
      <c r="T14" t="n">
        <v>15.5</v>
      </c>
      <c r="U14" t="n">
        <v>16.1</v>
      </c>
      <c r="V14" t="n">
        <v>4</v>
      </c>
      <c r="W14" t="n">
        <v>11.8</v>
      </c>
      <c r="X14" t="n">
        <v>13.7</v>
      </c>
      <c r="Y14" t="n">
        <v>14.8</v>
      </c>
      <c r="Z14" t="n">
        <v>31.2</v>
      </c>
      <c r="AA14" t="n">
        <v>57.4</v>
      </c>
      <c r="AB14" t="n">
        <v>62.3</v>
      </c>
      <c r="AC14" t="n">
        <v>108.5</v>
      </c>
      <c r="AD14" t="n">
        <v>68.9</v>
      </c>
      <c r="AE14" t="n">
        <v>113.1</v>
      </c>
      <c r="AF14" t="n">
        <v>106.6</v>
      </c>
    </row>
    <row r="15">
      <c r="A15" t="s">
        <v>111</v>
      </c>
      <c r="B15" t="s">
        <v>300</v>
      </c>
      <c r="C15" t="s">
        <v>203</v>
      </c>
      <c r="D15" t="s">
        <v>301</v>
      </c>
      <c r="E15" t="s">
        <v>204</v>
      </c>
      <c r="F15"/>
      <c r="G15"/>
      <c r="H15"/>
      <c r="I15"/>
      <c r="J15"/>
      <c r="K15" t="n">
        <v>18.1</v>
      </c>
      <c r="L15" t="n">
        <v>14.7</v>
      </c>
      <c r="M15" t="n">
        <v>20.1</v>
      </c>
      <c r="N15" t="n">
        <v>20.1</v>
      </c>
      <c r="O15" t="n">
        <v>16</v>
      </c>
      <c r="P15" t="n">
        <v>16.3</v>
      </c>
      <c r="Q15" t="n">
        <v>16.3</v>
      </c>
      <c r="R15" t="n">
        <v>24.1</v>
      </c>
      <c r="S15" t="n">
        <v>18.3</v>
      </c>
      <c r="T15" t="n">
        <v>23</v>
      </c>
      <c r="U15" t="n">
        <v>21.1</v>
      </c>
      <c r="V15" t="n">
        <v>11.7</v>
      </c>
      <c r="W15" t="n">
        <v>23.1</v>
      </c>
      <c r="X15" t="n">
        <v>26.6</v>
      </c>
      <c r="Y15" t="n">
        <v>28.8</v>
      </c>
      <c r="Z15" t="n">
        <v>50.6</v>
      </c>
      <c r="AA15" t="n">
        <v>89</v>
      </c>
      <c r="AB15" t="n">
        <v>114.8</v>
      </c>
      <c r="AC15" t="n">
        <v>149.6</v>
      </c>
      <c r="AD15" t="n">
        <v>103.7</v>
      </c>
      <c r="AE15" t="n">
        <v>144.4</v>
      </c>
      <c r="AF15" t="n">
        <v>135.7</v>
      </c>
    </row>
    <row r="16">
      <c r="A16" t="s">
        <v>111</v>
      </c>
      <c r="B16" t="s">
        <v>302</v>
      </c>
      <c r="C16" t="s">
        <v>203</v>
      </c>
      <c r="D16" t="s">
        <v>303</v>
      </c>
      <c r="E16" t="s">
        <v>204</v>
      </c>
      <c r="F16"/>
      <c r="G16"/>
      <c r="H16"/>
      <c r="I16"/>
      <c r="J16"/>
      <c r="K16" t="n">
        <v>10.4</v>
      </c>
      <c r="L16" t="n">
        <v>6.7</v>
      </c>
      <c r="M16" t="n">
        <v>12.4</v>
      </c>
      <c r="N16" t="n">
        <v>12</v>
      </c>
      <c r="O16" t="n">
        <v>7.3</v>
      </c>
      <c r="P16" t="n">
        <v>7.4</v>
      </c>
      <c r="Q16" t="n">
        <v>7.4</v>
      </c>
      <c r="R16" t="n">
        <v>6.1</v>
      </c>
      <c r="S16" t="n">
        <v>6.6</v>
      </c>
      <c r="T16" t="n">
        <v>7.5</v>
      </c>
      <c r="U16" t="n">
        <v>5</v>
      </c>
      <c r="V16" t="n">
        <v>7.7</v>
      </c>
      <c r="W16" t="n">
        <v>11.3</v>
      </c>
      <c r="X16" t="n">
        <v>12.9</v>
      </c>
      <c r="Y16" t="n">
        <v>14</v>
      </c>
      <c r="Z16" t="n">
        <v>19.4</v>
      </c>
      <c r="AA16" t="n">
        <v>31.6</v>
      </c>
      <c r="AB16" t="n">
        <v>52.5</v>
      </c>
      <c r="AC16" t="n">
        <v>41.1</v>
      </c>
      <c r="AD16" t="n">
        <v>34.8</v>
      </c>
      <c r="AE16" t="n">
        <v>31.3</v>
      </c>
      <c r="AF16" t="n">
        <v>29.1</v>
      </c>
    </row>
    <row r="17">
      <c r="A17" t="s">
        <v>111</v>
      </c>
      <c r="B17" t="s">
        <v>304</v>
      </c>
      <c r="C17" t="s">
        <v>203</v>
      </c>
      <c r="D17" t="s">
        <v>305</v>
      </c>
      <c r="E17" t="s">
        <v>204</v>
      </c>
      <c r="F17"/>
      <c r="G17"/>
      <c r="H17"/>
      <c r="I17"/>
      <c r="J17"/>
      <c r="K17" t="n">
        <v>22.1</v>
      </c>
      <c r="L17" t="n">
        <v>20.2</v>
      </c>
      <c r="M17" t="n">
        <v>23.5</v>
      </c>
      <c r="N17" t="n">
        <v>24</v>
      </c>
      <c r="O17" t="n">
        <v>22</v>
      </c>
      <c r="P17" t="n">
        <v>22.5</v>
      </c>
      <c r="Q17" t="n">
        <v>22.4</v>
      </c>
      <c r="R17" t="n">
        <v>30</v>
      </c>
      <c r="S17" t="n">
        <v>18.1</v>
      </c>
      <c r="T17" t="n">
        <v>17.2</v>
      </c>
      <c r="U17" t="n">
        <v>10.4</v>
      </c>
      <c r="V17" t="n">
        <v>14.9</v>
      </c>
      <c r="W17" t="n">
        <v>30.1</v>
      </c>
      <c r="X17" t="n">
        <v>34.6</v>
      </c>
      <c r="Y17" t="n">
        <v>37.5</v>
      </c>
      <c r="Z17" t="n">
        <v>36.5</v>
      </c>
      <c r="AA17" t="n">
        <v>59.4</v>
      </c>
      <c r="AB17" t="n">
        <v>79.2</v>
      </c>
      <c r="AC17" t="n">
        <v>88.6</v>
      </c>
      <c r="AD17" t="n">
        <v>93</v>
      </c>
      <c r="AE17" t="n">
        <v>95.4</v>
      </c>
      <c r="AF17" t="n">
        <v>99.4</v>
      </c>
    </row>
    <row r="18">
      <c r="A18" t="s">
        <v>111</v>
      </c>
      <c r="B18" t="s">
        <v>306</v>
      </c>
      <c r="C18" t="s">
        <v>203</v>
      </c>
      <c r="D18" t="s">
        <v>307</v>
      </c>
      <c r="E18" t="s">
        <v>204</v>
      </c>
      <c r="F18"/>
      <c r="G18"/>
      <c r="H18"/>
      <c r="I18"/>
      <c r="J18"/>
      <c r="K18" t="n">
        <v>1.2</v>
      </c>
      <c r="L18" t="n">
        <v>1.3</v>
      </c>
      <c r="M18" t="n">
        <v>1.2</v>
      </c>
      <c r="N18" t="n">
        <v>1.2</v>
      </c>
      <c r="O18" t="n">
        <v>1.4</v>
      </c>
      <c r="P18" t="n">
        <v>1.5</v>
      </c>
      <c r="Q18" t="n">
        <v>1.5</v>
      </c>
      <c r="R18" t="n">
        <v>0.5</v>
      </c>
      <c r="S18" t="n">
        <v>0.3</v>
      </c>
      <c r="T18" t="n">
        <v>0.8</v>
      </c>
      <c r="U18" t="n">
        <v>1</v>
      </c>
      <c r="V18" t="n">
        <v>5.4</v>
      </c>
      <c r="W18" t="n">
        <v>7.8</v>
      </c>
      <c r="X18" t="n">
        <v>8.9</v>
      </c>
      <c r="Y18" t="n">
        <v>9.7</v>
      </c>
      <c r="Z18" t="n">
        <v>6.6</v>
      </c>
      <c r="AA18" t="n">
        <v>16.4</v>
      </c>
      <c r="AB18" t="n">
        <v>24.8</v>
      </c>
      <c r="AC18" t="n">
        <v>23.8</v>
      </c>
      <c r="AD18" t="n">
        <v>25</v>
      </c>
      <c r="AE18" t="n">
        <v>33.1</v>
      </c>
      <c r="AF18" t="n">
        <v>53.5</v>
      </c>
    </row>
    <row r="19">
      <c r="A19" t="s">
        <v>111</v>
      </c>
      <c r="B19" t="s">
        <v>308</v>
      </c>
      <c r="C19" t="s">
        <v>203</v>
      </c>
      <c r="D19" t="s">
        <v>309</v>
      </c>
      <c r="E19" t="s">
        <v>204</v>
      </c>
      <c r="F19"/>
      <c r="G19"/>
      <c r="H19"/>
      <c r="I19"/>
      <c r="J19"/>
      <c r="K19" t="n">
        <v>4.9</v>
      </c>
      <c r="L19" t="n">
        <v>4.5</v>
      </c>
      <c r="M19" t="n">
        <v>5.1</v>
      </c>
      <c r="N19" t="n">
        <v>5.3</v>
      </c>
      <c r="O19" t="n">
        <v>4.9</v>
      </c>
      <c r="P19" t="n">
        <v>5</v>
      </c>
      <c r="Q19" t="n">
        <v>5</v>
      </c>
      <c r="R19" t="n">
        <v>5.6</v>
      </c>
      <c r="S19" t="n">
        <v>1.6</v>
      </c>
      <c r="T19" t="n">
        <v>2.7</v>
      </c>
      <c r="U19" t="n">
        <v>1.8</v>
      </c>
      <c r="V19" t="n">
        <v>0.9</v>
      </c>
      <c r="W19" t="n">
        <v>1.3</v>
      </c>
      <c r="X19" t="n">
        <v>1.5</v>
      </c>
      <c r="Y19" t="n">
        <v>1.7</v>
      </c>
      <c r="Z19" t="n">
        <v>34.5</v>
      </c>
      <c r="AA19" t="n">
        <v>38</v>
      </c>
      <c r="AB19" t="n">
        <v>28.6</v>
      </c>
      <c r="AC19" t="n">
        <v>44</v>
      </c>
      <c r="AD19" t="n">
        <v>40.3</v>
      </c>
      <c r="AE19" t="n">
        <v>53.7</v>
      </c>
      <c r="AF19" t="n">
        <v>33.5</v>
      </c>
    </row>
    <row r="20">
      <c r="A20" t="s">
        <v>111</v>
      </c>
      <c r="B20" t="s">
        <v>310</v>
      </c>
      <c r="C20" t="s">
        <v>203</v>
      </c>
      <c r="D20" t="s">
        <v>311</v>
      </c>
      <c r="E20" t="s">
        <v>204</v>
      </c>
      <c r="F20"/>
      <c r="G20"/>
      <c r="H20"/>
      <c r="I20"/>
      <c r="J20"/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0.3</v>
      </c>
      <c r="AA20" t="n">
        <v>2.9</v>
      </c>
      <c r="AB20" t="n">
        <v>1</v>
      </c>
      <c r="AC20" t="n">
        <v>0.1</v>
      </c>
      <c r="AD20" t="n">
        <v>25.8</v>
      </c>
      <c r="AE20" t="n">
        <v>0.8</v>
      </c>
      <c r="AF20" t="n">
        <v>1.1</v>
      </c>
    </row>
    <row r="21">
      <c r="A21" t="s">
        <v>111</v>
      </c>
      <c r="B21" t="s">
        <v>312</v>
      </c>
      <c r="C21" t="s">
        <v>203</v>
      </c>
      <c r="D21" t="s">
        <v>313</v>
      </c>
      <c r="E21" t="s">
        <v>204</v>
      </c>
      <c r="F21"/>
      <c r="G21"/>
      <c r="H21"/>
      <c r="I21"/>
      <c r="J21"/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0.7</v>
      </c>
      <c r="AA21" t="n">
        <v>3.3</v>
      </c>
      <c r="AB21" t="n">
        <v>3.1</v>
      </c>
      <c r="AC21" t="n">
        <v>0.8</v>
      </c>
      <c r="AD21" t="n">
        <v>28.3</v>
      </c>
      <c r="AE21" t="n">
        <v>1.8</v>
      </c>
      <c r="AF21" t="n">
        <v>2.1</v>
      </c>
    </row>
    <row r="22">
      <c r="A22" t="s">
        <v>111</v>
      </c>
      <c r="B22" t="s">
        <v>314</v>
      </c>
      <c r="C22" t="s">
        <v>203</v>
      </c>
      <c r="D22" t="s">
        <v>315</v>
      </c>
      <c r="E22" t="s">
        <v>204</v>
      </c>
      <c r="F22"/>
      <c r="G22"/>
      <c r="H22"/>
      <c r="I22"/>
      <c r="J22"/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0.4</v>
      </c>
      <c r="AA22" t="n">
        <v>0.4</v>
      </c>
      <c r="AB22" t="n">
        <v>2.1</v>
      </c>
      <c r="AC22" t="n">
        <v>0.7</v>
      </c>
      <c r="AD22" t="n">
        <v>2.5</v>
      </c>
      <c r="AE22" t="n">
        <v>1</v>
      </c>
      <c r="AF22" t="n">
        <v>1</v>
      </c>
    </row>
    <row r="23">
      <c r="A23" t="s">
        <v>111</v>
      </c>
      <c r="B23" t="s">
        <v>316</v>
      </c>
      <c r="C23" t="s">
        <v>203</v>
      </c>
      <c r="D23" t="s">
        <v>317</v>
      </c>
      <c r="E23" t="s">
        <v>204</v>
      </c>
      <c r="F23"/>
      <c r="G23"/>
      <c r="H23"/>
      <c r="I23"/>
      <c r="J23"/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1.3</v>
      </c>
      <c r="S23" t="n">
        <v>0.2</v>
      </c>
      <c r="T23" t="n">
        <v>6.5</v>
      </c>
      <c r="U23" t="n">
        <v>3.8</v>
      </c>
      <c r="V23" t="n">
        <v>3.4</v>
      </c>
      <c r="W23" t="n">
        <v>1</v>
      </c>
      <c r="X23" t="n">
        <v>1.1</v>
      </c>
      <c r="Y23" t="n">
        <v>1.2</v>
      </c>
      <c r="Z23" t="n">
        <v>2.9</v>
      </c>
      <c r="AA23" t="n">
        <v>6.2</v>
      </c>
      <c r="AB23" t="n">
        <v>8.5</v>
      </c>
      <c r="AC23" t="n">
        <v>10.1</v>
      </c>
      <c r="AD23" t="n">
        <v>15.7</v>
      </c>
      <c r="AE23" t="n">
        <v>13</v>
      </c>
      <c r="AF23" t="n">
        <v>7.4</v>
      </c>
    </row>
    <row r="24">
      <c r="A24" t="s">
        <v>111</v>
      </c>
      <c r="B24" t="s">
        <v>318</v>
      </c>
      <c r="C24" t="s">
        <v>203</v>
      </c>
      <c r="D24" t="s">
        <v>319</v>
      </c>
      <c r="E24" t="s">
        <v>204</v>
      </c>
      <c r="F24"/>
      <c r="G24"/>
      <c r="H24"/>
      <c r="I24"/>
      <c r="J24"/>
      <c r="K24" t="n">
        <v>2.9</v>
      </c>
      <c r="L24" t="n">
        <v>2.3</v>
      </c>
      <c r="M24" t="n">
        <v>3.2</v>
      </c>
      <c r="N24" t="n">
        <v>3.2</v>
      </c>
      <c r="O24" t="n">
        <v>2.5</v>
      </c>
      <c r="P24" t="n">
        <v>2.6</v>
      </c>
      <c r="Q24" t="n">
        <v>2.1</v>
      </c>
      <c r="R24" t="n">
        <v>5</v>
      </c>
      <c r="S24" t="n">
        <v>7.4</v>
      </c>
      <c r="T24" t="n">
        <v>25.1</v>
      </c>
      <c r="U24" t="n">
        <v>13.7</v>
      </c>
      <c r="V24" t="n">
        <v>4.2</v>
      </c>
      <c r="W24" t="n">
        <v>5.2</v>
      </c>
      <c r="X24" t="n">
        <v>6</v>
      </c>
      <c r="Y24" t="n">
        <v>6.5</v>
      </c>
      <c r="Z24" t="n">
        <v>28.3</v>
      </c>
      <c r="AA24" t="n">
        <v>22.9</v>
      </c>
      <c r="AB24" t="n">
        <v>32</v>
      </c>
      <c r="AC24" t="n">
        <v>45.4</v>
      </c>
      <c r="AD24" t="n">
        <v>47.8</v>
      </c>
      <c r="AE24" t="n">
        <v>38.9</v>
      </c>
      <c r="AF24" t="n">
        <v>40.2</v>
      </c>
    </row>
    <row r="25">
      <c r="A25" t="s">
        <v>111</v>
      </c>
      <c r="B25" t="s">
        <v>320</v>
      </c>
      <c r="C25" t="s">
        <v>203</v>
      </c>
      <c r="D25" t="s">
        <v>321</v>
      </c>
      <c r="E25" t="s">
        <v>204</v>
      </c>
      <c r="F25"/>
      <c r="G25"/>
      <c r="H25"/>
      <c r="I25"/>
      <c r="J25"/>
      <c r="K25" t="n">
        <v>0.2</v>
      </c>
      <c r="L25" t="n">
        <v>0.2</v>
      </c>
      <c r="M25" t="n">
        <v>0.3</v>
      </c>
      <c r="N25" t="n">
        <v>0.3</v>
      </c>
      <c r="O25" t="n">
        <v>0.2</v>
      </c>
      <c r="P25" t="n">
        <v>0.2</v>
      </c>
      <c r="Q25" t="n">
        <v>0.2</v>
      </c>
      <c r="R25" t="n">
        <v>0.8</v>
      </c>
      <c r="S25" t="n">
        <v>0</v>
      </c>
      <c r="T25" t="n">
        <v>0.1</v>
      </c>
      <c r="U25" t="n">
        <v>0</v>
      </c>
      <c r="V25" t="n">
        <v>0</v>
      </c>
      <c r="W25" t="n">
        <v>0.1</v>
      </c>
      <c r="X25" t="n">
        <v>0.1</v>
      </c>
      <c r="Y25" t="n">
        <v>0.1</v>
      </c>
      <c r="Z25" t="n">
        <v>0.3</v>
      </c>
      <c r="AA25" t="n">
        <v>0.3</v>
      </c>
      <c r="AB25" t="n">
        <v>0.4</v>
      </c>
      <c r="AC25" t="n">
        <v>2.9</v>
      </c>
      <c r="AD25" t="n">
        <v>2.8</v>
      </c>
      <c r="AE25" t="n">
        <v>2.9</v>
      </c>
      <c r="AF25" t="n">
        <v>5.3</v>
      </c>
    </row>
    <row r="26">
      <c r="A26" t="s">
        <v>111</v>
      </c>
      <c r="B26" t="s">
        <v>322</v>
      </c>
      <c r="C26" t="s">
        <v>203</v>
      </c>
      <c r="D26" t="s">
        <v>323</v>
      </c>
      <c r="E26" t="s">
        <v>204</v>
      </c>
      <c r="F26"/>
      <c r="G26"/>
      <c r="H26"/>
      <c r="I26"/>
      <c r="J26"/>
      <c r="K26" t="n">
        <v>2.1</v>
      </c>
      <c r="L26" t="n">
        <v>1.6</v>
      </c>
      <c r="M26" t="n">
        <v>2.4</v>
      </c>
      <c r="N26" t="n">
        <v>2.3</v>
      </c>
      <c r="O26" t="n">
        <v>1.8</v>
      </c>
      <c r="P26" t="n">
        <v>1.8</v>
      </c>
      <c r="Q26" t="n">
        <v>1.8</v>
      </c>
      <c r="R26" t="n">
        <v>4.3</v>
      </c>
      <c r="S26" t="n">
        <v>7.4</v>
      </c>
      <c r="T26" t="n">
        <v>22.9</v>
      </c>
      <c r="U26" t="n">
        <v>13.3</v>
      </c>
      <c r="V26" t="n">
        <v>4.2</v>
      </c>
      <c r="W26" t="n">
        <v>3.7</v>
      </c>
      <c r="X26" t="n">
        <v>4.3</v>
      </c>
      <c r="Y26" t="n">
        <v>4.7</v>
      </c>
      <c r="Z26" t="n">
        <v>22.6</v>
      </c>
      <c r="AA26" t="n">
        <v>12.7</v>
      </c>
      <c r="AB26" t="n">
        <v>20.7</v>
      </c>
      <c r="AC26" t="n">
        <v>28.9</v>
      </c>
      <c r="AD26" t="n">
        <v>31.6</v>
      </c>
      <c r="AE26" t="n">
        <v>22.4</v>
      </c>
      <c r="AF26" t="n">
        <v>18.8</v>
      </c>
    </row>
    <row r="27">
      <c r="A27" t="s">
        <v>111</v>
      </c>
      <c r="B27" t="s">
        <v>324</v>
      </c>
      <c r="C27" t="s">
        <v>203</v>
      </c>
      <c r="D27" t="s">
        <v>325</v>
      </c>
      <c r="E27" t="s">
        <v>204</v>
      </c>
      <c r="F27"/>
      <c r="G27"/>
      <c r="H27"/>
      <c r="I27"/>
      <c r="J27"/>
      <c r="K27" t="n">
        <v>0.6</v>
      </c>
      <c r="L27" t="n">
        <v>0.5</v>
      </c>
      <c r="M27" t="n">
        <v>0.6</v>
      </c>
      <c r="N27" t="n">
        <v>0.6</v>
      </c>
      <c r="O27" t="n">
        <v>0.5</v>
      </c>
      <c r="P27" t="n">
        <v>0.5</v>
      </c>
      <c r="Q27" t="n">
        <v>0</v>
      </c>
      <c r="R27" t="n">
        <v>0</v>
      </c>
      <c r="S27" t="n">
        <v>0</v>
      </c>
      <c r="T27" t="n">
        <v>2.1</v>
      </c>
      <c r="U27" t="n">
        <v>0.4</v>
      </c>
      <c r="V27" t="n">
        <v>0.1</v>
      </c>
      <c r="W27" t="n">
        <v>1.4</v>
      </c>
      <c r="X27" t="n">
        <v>1.6</v>
      </c>
      <c r="Y27" t="n">
        <v>1.8</v>
      </c>
      <c r="Z27" t="n">
        <v>5.4</v>
      </c>
      <c r="AA27" t="n">
        <v>9.9</v>
      </c>
      <c r="AB27" t="n">
        <v>10.9</v>
      </c>
      <c r="AC27" t="n">
        <v>13.6</v>
      </c>
      <c r="AD27" t="n">
        <v>13.4</v>
      </c>
      <c r="AE27" t="n">
        <v>13.6</v>
      </c>
      <c r="AF27" t="n">
        <v>16.1</v>
      </c>
    </row>
    <row r="28">
      <c r="A28" t="s">
        <v>111</v>
      </c>
      <c r="B28" t="s">
        <v>326</v>
      </c>
      <c r="C28" t="s">
        <v>203</v>
      </c>
      <c r="D28" t="s">
        <v>327</v>
      </c>
      <c r="E28" t="s">
        <v>204</v>
      </c>
      <c r="F28"/>
      <c r="G28"/>
      <c r="H28"/>
      <c r="I28"/>
      <c r="J28"/>
      <c r="K28" t="n">
        <v>3.1</v>
      </c>
      <c r="L28" t="n">
        <v>2</v>
      </c>
      <c r="M28" t="n">
        <v>3.7</v>
      </c>
      <c r="N28" t="n">
        <v>3.6</v>
      </c>
      <c r="O28" t="n">
        <v>2.2</v>
      </c>
      <c r="P28" t="n">
        <v>2.2</v>
      </c>
      <c r="Q28" t="n">
        <v>2.2</v>
      </c>
      <c r="R28" t="n">
        <v>2.1</v>
      </c>
      <c r="S28" t="n">
        <v>0.6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0.1</v>
      </c>
      <c r="AA28" t="n">
        <v>0.6</v>
      </c>
      <c r="AB28" t="n">
        <v>0.9</v>
      </c>
      <c r="AC28" t="n">
        <v>2.5</v>
      </c>
      <c r="AD28" t="n">
        <v>3.1</v>
      </c>
      <c r="AE28" t="n">
        <v>3.1</v>
      </c>
      <c r="AF28" t="n">
        <v>2.8</v>
      </c>
    </row>
    <row r="29">
      <c r="A29" t="s">
        <v>111</v>
      </c>
      <c r="B29" t="s">
        <v>328</v>
      </c>
      <c r="C29" t="s">
        <v>203</v>
      </c>
      <c r="D29" t="s">
        <v>329</v>
      </c>
      <c r="E29" t="s">
        <v>204</v>
      </c>
      <c r="F29"/>
      <c r="G29"/>
      <c r="H29"/>
      <c r="I29"/>
      <c r="J29"/>
      <c r="K29" t="n">
        <v>0.3</v>
      </c>
      <c r="L29" t="n">
        <v>0.3</v>
      </c>
      <c r="M29" t="n">
        <v>0.3</v>
      </c>
      <c r="N29" t="n">
        <v>0.3</v>
      </c>
      <c r="O29" t="n">
        <v>0.3</v>
      </c>
      <c r="P29" t="n">
        <v>0.4</v>
      </c>
      <c r="Q29" t="n">
        <v>0.4</v>
      </c>
      <c r="R29" t="n">
        <v>0.7</v>
      </c>
      <c r="S29" t="n">
        <v>0.6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0.5</v>
      </c>
      <c r="AB29" t="n">
        <v>0.9</v>
      </c>
      <c r="AC29" t="n">
        <v>0.9</v>
      </c>
      <c r="AD29" t="n">
        <v>0.4</v>
      </c>
      <c r="AE29" t="n">
        <v>0.4</v>
      </c>
      <c r="AF29" t="n">
        <v>0.3</v>
      </c>
    </row>
    <row r="30">
      <c r="A30" t="s">
        <v>111</v>
      </c>
      <c r="B30" t="s">
        <v>330</v>
      </c>
      <c r="C30" t="s">
        <v>203</v>
      </c>
      <c r="D30" t="s">
        <v>331</v>
      </c>
      <c r="E30" t="s">
        <v>204</v>
      </c>
      <c r="F30"/>
      <c r="G30"/>
      <c r="H30"/>
      <c r="I30"/>
      <c r="J30"/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111</v>
      </c>
      <c r="B31" t="s">
        <v>332</v>
      </c>
      <c r="C31" t="s">
        <v>203</v>
      </c>
      <c r="D31" t="s">
        <v>333</v>
      </c>
      <c r="E31" t="s">
        <v>204</v>
      </c>
      <c r="F31"/>
      <c r="G31"/>
      <c r="H31"/>
      <c r="I31"/>
      <c r="J31"/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111</v>
      </c>
      <c r="B32" t="s">
        <v>334</v>
      </c>
      <c r="C32" t="s">
        <v>203</v>
      </c>
      <c r="D32" t="s">
        <v>335</v>
      </c>
      <c r="E32" t="s">
        <v>204</v>
      </c>
      <c r="F32"/>
      <c r="G32"/>
      <c r="H32"/>
      <c r="I32"/>
      <c r="J32"/>
      <c r="K32" t="n">
        <v>0.8</v>
      </c>
      <c r="L32" t="n">
        <v>0.9</v>
      </c>
      <c r="M32" t="n">
        <v>0.8</v>
      </c>
      <c r="N32" t="n">
        <v>0.8</v>
      </c>
      <c r="O32" t="n">
        <v>1</v>
      </c>
      <c r="P32" t="n">
        <v>1</v>
      </c>
      <c r="Q32" t="n">
        <v>1</v>
      </c>
      <c r="R32" t="n">
        <v>1.5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1.4</v>
      </c>
      <c r="AD32" t="n">
        <v>0</v>
      </c>
      <c r="AE32" t="n">
        <v>0.1</v>
      </c>
      <c r="AF32" t="n">
        <v>0</v>
      </c>
    </row>
    <row r="33">
      <c r="A33" t="s">
        <v>111</v>
      </c>
      <c r="B33" t="s">
        <v>336</v>
      </c>
      <c r="C33" t="s">
        <v>203</v>
      </c>
      <c r="D33" t="s">
        <v>337</v>
      </c>
      <c r="E33" t="s">
        <v>204</v>
      </c>
      <c r="F33"/>
      <c r="G33"/>
      <c r="H33"/>
      <c r="I33"/>
      <c r="J33"/>
      <c r="K33" t="n">
        <v>2</v>
      </c>
      <c r="L33" t="n">
        <v>0.8</v>
      </c>
      <c r="M33" t="n">
        <v>2.7</v>
      </c>
      <c r="N33" t="n">
        <v>2.4</v>
      </c>
      <c r="O33" t="n">
        <v>0.9</v>
      </c>
      <c r="P33" t="n">
        <v>0.9</v>
      </c>
      <c r="Q33" t="n">
        <v>0.9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0.1</v>
      </c>
      <c r="AA33" t="n">
        <v>0.1</v>
      </c>
      <c r="AB33" t="n">
        <v>0</v>
      </c>
      <c r="AC33" t="n">
        <v>0.1</v>
      </c>
      <c r="AD33" t="n">
        <v>2.8</v>
      </c>
      <c r="AE33" t="n">
        <v>2.6</v>
      </c>
      <c r="AF33" t="n">
        <v>2.5</v>
      </c>
    </row>
    <row r="34">
      <c r="A34" t="s">
        <v>111</v>
      </c>
      <c r="B34" t="s">
        <v>338</v>
      </c>
      <c r="C34" t="s">
        <v>203</v>
      </c>
      <c r="D34" t="s">
        <v>339</v>
      </c>
      <c r="E34" t="s">
        <v>204</v>
      </c>
      <c r="F34"/>
      <c r="G34"/>
      <c r="H34"/>
      <c r="I34"/>
      <c r="J34"/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0.2</v>
      </c>
      <c r="AA34" t="n">
        <v>0.7</v>
      </c>
      <c r="AB34" t="n">
        <v>0.1</v>
      </c>
      <c r="AC34" t="n">
        <v>1.4</v>
      </c>
      <c r="AD34" t="n">
        <v>3.4</v>
      </c>
      <c r="AE34" t="n">
        <v>2.6</v>
      </c>
      <c r="AF34" t="n">
        <v>3.8</v>
      </c>
    </row>
    <row r="35">
      <c r="A35" t="s">
        <v>111</v>
      </c>
      <c r="B35" t="s">
        <v>340</v>
      </c>
      <c r="C35" t="s">
        <v>203</v>
      </c>
      <c r="D35" t="s">
        <v>341</v>
      </c>
      <c r="E35" t="s">
        <v>204</v>
      </c>
      <c r="F35"/>
      <c r="G35"/>
      <c r="H35"/>
      <c r="I35"/>
      <c r="J35"/>
      <c r="K35" t="n">
        <v>85</v>
      </c>
      <c r="L35" t="n">
        <v>83.7</v>
      </c>
      <c r="M35" t="n">
        <v>87.6</v>
      </c>
      <c r="N35" t="n">
        <v>90.9</v>
      </c>
      <c r="O35" t="n">
        <v>90.9</v>
      </c>
      <c r="P35" t="n">
        <v>92.5</v>
      </c>
      <c r="Q35" t="n">
        <v>93.4</v>
      </c>
      <c r="R35" t="n">
        <v>229.2</v>
      </c>
      <c r="S35" t="n">
        <v>99.3</v>
      </c>
      <c r="T35" t="n">
        <v>60.2</v>
      </c>
      <c r="U35" t="n">
        <v>28</v>
      </c>
      <c r="V35" t="n">
        <v>16.8</v>
      </c>
      <c r="W35" t="n">
        <v>30.4</v>
      </c>
      <c r="X35" t="n">
        <v>35</v>
      </c>
      <c r="Y35" t="n">
        <v>38</v>
      </c>
      <c r="Z35" t="n">
        <v>127.9</v>
      </c>
      <c r="AA35" t="n">
        <v>437.2</v>
      </c>
      <c r="AB35" t="n">
        <v>533.5</v>
      </c>
      <c r="AC35" t="n">
        <v>646.7</v>
      </c>
      <c r="AD35" t="n">
        <v>777.3</v>
      </c>
      <c r="AE35" t="n">
        <v>810.1</v>
      </c>
      <c r="AF35" t="n">
        <v>909.2</v>
      </c>
    </row>
    <row r="36">
      <c r="A36" t="s">
        <v>111</v>
      </c>
      <c r="B36" t="s">
        <v>342</v>
      </c>
      <c r="C36" t="s">
        <v>203</v>
      </c>
      <c r="D36" t="s">
        <v>343</v>
      </c>
      <c r="E36" t="s">
        <v>204</v>
      </c>
      <c r="F36"/>
      <c r="G36"/>
      <c r="H36"/>
      <c r="I36"/>
      <c r="J36"/>
      <c r="K36" t="n">
        <v>5.5</v>
      </c>
      <c r="L36" t="n">
        <v>6.2</v>
      </c>
      <c r="M36" t="n">
        <v>5.4</v>
      </c>
      <c r="N36" t="n">
        <v>5.8</v>
      </c>
      <c r="O36" t="n">
        <v>6.7</v>
      </c>
      <c r="P36" t="n">
        <v>6.8</v>
      </c>
      <c r="Q36" t="n">
        <v>6.7</v>
      </c>
      <c r="R36" t="n">
        <v>42.2</v>
      </c>
      <c r="S36" t="n">
        <v>0.2</v>
      </c>
      <c r="T36" t="n">
        <v>1</v>
      </c>
      <c r="U36" t="n">
        <v>0.6</v>
      </c>
      <c r="V36" t="n">
        <v>0</v>
      </c>
      <c r="W36" t="n">
        <v>0.1</v>
      </c>
      <c r="X36" t="n">
        <v>0.1</v>
      </c>
      <c r="Y36" t="n">
        <v>0.1</v>
      </c>
      <c r="Z36" t="n">
        <v>7.4</v>
      </c>
      <c r="AA36" t="n">
        <v>7.6</v>
      </c>
      <c r="AB36" t="n">
        <v>15.3</v>
      </c>
      <c r="AC36" t="n">
        <v>14.9</v>
      </c>
      <c r="AD36" t="n">
        <v>10.8</v>
      </c>
      <c r="AE36" t="n">
        <v>12.3</v>
      </c>
      <c r="AF36" t="n">
        <v>13.8</v>
      </c>
    </row>
    <row r="37">
      <c r="A37" t="s">
        <v>111</v>
      </c>
      <c r="B37" t="s">
        <v>344</v>
      </c>
      <c r="C37" t="s">
        <v>203</v>
      </c>
      <c r="D37" t="s">
        <v>345</v>
      </c>
      <c r="E37" t="s">
        <v>204</v>
      </c>
      <c r="F37"/>
      <c r="G37"/>
      <c r="H37"/>
      <c r="I37"/>
      <c r="J37"/>
      <c r="K37" t="n">
        <v>32.7</v>
      </c>
      <c r="L37" t="n">
        <v>29.6</v>
      </c>
      <c r="M37" t="n">
        <v>35</v>
      </c>
      <c r="N37" t="n">
        <v>35.6</v>
      </c>
      <c r="O37" t="n">
        <v>32.1</v>
      </c>
      <c r="P37" t="n">
        <v>32.6</v>
      </c>
      <c r="Q37" t="n">
        <v>33.9</v>
      </c>
      <c r="R37" t="n">
        <v>80.5</v>
      </c>
      <c r="S37" t="n">
        <v>17.7</v>
      </c>
      <c r="T37" t="n">
        <v>10.8</v>
      </c>
      <c r="U37" t="n">
        <v>0.1</v>
      </c>
      <c r="V37" t="n">
        <v>0</v>
      </c>
      <c r="W37" t="n">
        <v>0.2</v>
      </c>
      <c r="X37" t="n">
        <v>0.2</v>
      </c>
      <c r="Y37" t="n">
        <v>0.3</v>
      </c>
      <c r="Z37" t="n">
        <v>11.9</v>
      </c>
      <c r="AA37" t="n">
        <v>27.2</v>
      </c>
      <c r="AB37" t="n">
        <v>25.6</v>
      </c>
      <c r="AC37" t="n">
        <v>31.2</v>
      </c>
      <c r="AD37" t="n">
        <v>34.9</v>
      </c>
      <c r="AE37" t="n">
        <v>21.4</v>
      </c>
      <c r="AF37" t="n">
        <v>23.4</v>
      </c>
    </row>
    <row r="38">
      <c r="A38" t="s">
        <v>111</v>
      </c>
      <c r="B38" t="s">
        <v>346</v>
      </c>
      <c r="C38" t="s">
        <v>203</v>
      </c>
      <c r="D38" t="s">
        <v>347</v>
      </c>
      <c r="E38" t="s">
        <v>204</v>
      </c>
      <c r="F38"/>
      <c r="G38"/>
      <c r="H38"/>
      <c r="I38"/>
      <c r="J38"/>
      <c r="K38" t="n">
        <v>46.8</v>
      </c>
      <c r="L38" t="n">
        <v>47.9</v>
      </c>
      <c r="M38" t="n">
        <v>47.2</v>
      </c>
      <c r="N38" t="n">
        <v>49.5</v>
      </c>
      <c r="O38" t="n">
        <v>52.1</v>
      </c>
      <c r="P38" t="n">
        <v>53.1</v>
      </c>
      <c r="Q38" t="n">
        <v>52.8</v>
      </c>
      <c r="R38" t="n">
        <v>106.5</v>
      </c>
      <c r="S38" t="n">
        <v>81.4</v>
      </c>
      <c r="T38" t="n">
        <v>48.4</v>
      </c>
      <c r="U38" t="n">
        <v>27.3</v>
      </c>
      <c r="V38" t="n">
        <v>16.8</v>
      </c>
      <c r="W38" t="n">
        <v>30.1</v>
      </c>
      <c r="X38" t="n">
        <v>34.7</v>
      </c>
      <c r="Y38" t="n">
        <v>37.6</v>
      </c>
      <c r="Z38" t="n">
        <v>108.6</v>
      </c>
      <c r="AA38" t="n">
        <v>402.4</v>
      </c>
      <c r="AB38" t="n">
        <v>492.6</v>
      </c>
      <c r="AC38" t="n">
        <v>600.6</v>
      </c>
      <c r="AD38" t="n">
        <v>731.6</v>
      </c>
      <c r="AE38" t="n">
        <v>776.4</v>
      </c>
      <c r="AF38" t="n">
        <v>872</v>
      </c>
    </row>
    <row r="39">
      <c r="A39" t="s">
        <v>111</v>
      </c>
      <c r="B39" t="s">
        <v>348</v>
      </c>
      <c r="C39" t="s">
        <v>203</v>
      </c>
      <c r="D39" t="s">
        <v>349</v>
      </c>
      <c r="E39" t="s">
        <v>204</v>
      </c>
      <c r="F39"/>
      <c r="G39"/>
      <c r="H39"/>
      <c r="I39"/>
      <c r="J39"/>
      <c r="K39" t="n">
        <v>14.1</v>
      </c>
      <c r="L39" t="n">
        <v>6.9</v>
      </c>
      <c r="M39" t="n">
        <v>17.8</v>
      </c>
      <c r="N39" t="n">
        <v>16.7</v>
      </c>
      <c r="O39" t="n">
        <v>7.5</v>
      </c>
      <c r="P39" t="n">
        <v>7.6</v>
      </c>
      <c r="Q39" t="n">
        <v>7</v>
      </c>
      <c r="R39" t="n">
        <v>4.1</v>
      </c>
      <c r="S39" t="n">
        <v>17</v>
      </c>
      <c r="T39" t="n">
        <v>0</v>
      </c>
      <c r="U39" t="n">
        <v>0</v>
      </c>
      <c r="V39" t="n">
        <v>0.4</v>
      </c>
      <c r="W39" t="n">
        <v>2.9</v>
      </c>
      <c r="X39" t="n">
        <v>2.3</v>
      </c>
      <c r="Y39" t="n">
        <v>2.5</v>
      </c>
      <c r="Z39" t="n">
        <v>1.5</v>
      </c>
      <c r="AA39" t="n">
        <v>7.5</v>
      </c>
      <c r="AB39" t="n">
        <v>4.3</v>
      </c>
      <c r="AC39" t="n">
        <v>7</v>
      </c>
      <c r="AD39" t="n">
        <v>6.4</v>
      </c>
      <c r="AE39" t="n">
        <v>1.2</v>
      </c>
      <c r="AF39" t="n">
        <v>1.7</v>
      </c>
    </row>
    <row r="40">
      <c r="A40" t="s">
        <v>111</v>
      </c>
      <c r="B40" t="s">
        <v>350</v>
      </c>
      <c r="C40" t="s">
        <v>203</v>
      </c>
      <c r="D40" t="s">
        <v>351</v>
      </c>
      <c r="E40" t="s">
        <v>204</v>
      </c>
      <c r="F40"/>
      <c r="G40"/>
      <c r="H40"/>
      <c r="I40"/>
      <c r="J40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1.1</v>
      </c>
      <c r="T40" t="n">
        <v>0.2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0.1</v>
      </c>
      <c r="AB40" t="n">
        <v>0.1</v>
      </c>
      <c r="AC40" t="n">
        <v>2.3</v>
      </c>
      <c r="AD40" t="n">
        <v>1.4</v>
      </c>
      <c r="AE40" t="n">
        <v>1.8</v>
      </c>
      <c r="AF40" t="n">
        <v>2.5</v>
      </c>
    </row>
    <row r="41">
      <c r="A41" t="s">
        <v>111</v>
      </c>
      <c r="B41" t="s">
        <v>352</v>
      </c>
      <c r="C41" t="s">
        <v>203</v>
      </c>
      <c r="D41" t="s">
        <v>353</v>
      </c>
      <c r="E41" t="s">
        <v>204</v>
      </c>
      <c r="F41"/>
      <c r="G41"/>
      <c r="H41"/>
      <c r="I41"/>
      <c r="J41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111</v>
      </c>
      <c r="B42" t="s">
        <v>354</v>
      </c>
      <c r="C42" t="s">
        <v>203</v>
      </c>
      <c r="D42" t="s">
        <v>355</v>
      </c>
      <c r="E42" t="s">
        <v>204</v>
      </c>
      <c r="F42"/>
      <c r="G42"/>
      <c r="H42"/>
      <c r="I42"/>
      <c r="J42"/>
      <c r="K42" t="n">
        <v>520</v>
      </c>
      <c r="L42" t="n">
        <v>590.8</v>
      </c>
      <c r="M42" t="n">
        <v>599.5</v>
      </c>
      <c r="N42" t="n">
        <v>609.5</v>
      </c>
      <c r="O42" t="n">
        <v>642.1</v>
      </c>
      <c r="P42" t="n">
        <v>679</v>
      </c>
      <c r="Q42" t="n">
        <v>699.2</v>
      </c>
      <c r="R42" t="n">
        <v>595.1</v>
      </c>
      <c r="S42" t="n">
        <v>801.9</v>
      </c>
      <c r="T42" t="n">
        <v>1064.9</v>
      </c>
      <c r="U42" t="n">
        <v>1181.7</v>
      </c>
      <c r="V42" t="n">
        <v>1253.3</v>
      </c>
      <c r="W42" t="n">
        <v>1267.8</v>
      </c>
      <c r="X42" t="n">
        <v>1169.1</v>
      </c>
      <c r="Y42" t="n">
        <v>1265.8</v>
      </c>
      <c r="Z42" t="n">
        <v>1248.3</v>
      </c>
      <c r="AA42" t="n">
        <v>851.2</v>
      </c>
      <c r="AB42" t="n">
        <v>930.9</v>
      </c>
      <c r="AC42" t="n">
        <v>1063.8</v>
      </c>
      <c r="AD42" t="n">
        <v>1269.9</v>
      </c>
      <c r="AE42" t="n">
        <v>1486.8</v>
      </c>
      <c r="AF42" t="n">
        <v>1561.6</v>
      </c>
    </row>
    <row r="43">
      <c r="A43" t="s">
        <v>111</v>
      </c>
      <c r="B43" t="s">
        <v>356</v>
      </c>
      <c r="C43" t="s">
        <v>203</v>
      </c>
      <c r="D43" t="s">
        <v>357</v>
      </c>
      <c r="E43" t="s">
        <v>204</v>
      </c>
      <c r="F43"/>
      <c r="G43"/>
      <c r="H43"/>
      <c r="I43"/>
      <c r="J43"/>
      <c r="K43" t="n">
        <v>520</v>
      </c>
      <c r="L43" t="n">
        <v>590.8</v>
      </c>
      <c r="M43" t="n">
        <v>599.5</v>
      </c>
      <c r="N43" t="n">
        <v>609.5</v>
      </c>
      <c r="O43" t="n">
        <v>642.1</v>
      </c>
      <c r="P43" t="n">
        <v>679</v>
      </c>
      <c r="Q43" t="n">
        <v>699.2</v>
      </c>
      <c r="R43" t="n">
        <v>595.1</v>
      </c>
      <c r="S43" t="n">
        <v>801.9</v>
      </c>
      <c r="T43" t="n">
        <v>1065.2</v>
      </c>
      <c r="U43" t="n">
        <v>1182.1</v>
      </c>
      <c r="V43" t="n">
        <v>1253.7</v>
      </c>
      <c r="W43" t="n">
        <v>1267.8</v>
      </c>
      <c r="X43" t="n">
        <v>1169.1</v>
      </c>
      <c r="Y43" t="n">
        <v>1265.8</v>
      </c>
      <c r="Z43" t="n">
        <v>1250.7</v>
      </c>
      <c r="AA43" t="n">
        <v>852</v>
      </c>
      <c r="AB43" t="n">
        <v>932.5</v>
      </c>
      <c r="AC43" t="n">
        <v>1069.8</v>
      </c>
      <c r="AD43" t="n">
        <v>1276.3</v>
      </c>
      <c r="AE43" t="n">
        <v>1489</v>
      </c>
      <c r="AF43" t="n">
        <v>1563.8</v>
      </c>
    </row>
    <row r="44">
      <c r="A44" t="s">
        <v>111</v>
      </c>
      <c r="B44" t="s">
        <v>358</v>
      </c>
      <c r="C44" t="s">
        <v>203</v>
      </c>
      <c r="D44" t="s">
        <v>359</v>
      </c>
      <c r="E44" t="s">
        <v>204</v>
      </c>
      <c r="F44"/>
      <c r="G44"/>
      <c r="H44"/>
      <c r="I44"/>
      <c r="J44"/>
      <c r="K44" t="n">
        <v>757</v>
      </c>
      <c r="L44" t="n">
        <v>818.2</v>
      </c>
      <c r="M44" t="n">
        <v>854.9</v>
      </c>
      <c r="N44" t="n">
        <v>869.6</v>
      </c>
      <c r="O44" t="n">
        <v>884.8</v>
      </c>
      <c r="P44" t="n">
        <v>932.4</v>
      </c>
      <c r="Q44" t="n">
        <v>954</v>
      </c>
      <c r="R44" t="n">
        <v>1068.5</v>
      </c>
      <c r="S44" t="n">
        <v>1152.4</v>
      </c>
      <c r="T44" t="n">
        <v>1330</v>
      </c>
      <c r="U44" t="n">
        <v>1370</v>
      </c>
      <c r="V44" t="n">
        <v>1407.6</v>
      </c>
      <c r="W44" t="n">
        <v>1474.3</v>
      </c>
      <c r="X44" t="n">
        <v>1382.5</v>
      </c>
      <c r="Y44" t="n">
        <v>1497.1</v>
      </c>
      <c r="Z44" t="n">
        <v>1666.7</v>
      </c>
      <c r="AA44" t="n">
        <v>1747</v>
      </c>
      <c r="AB44" t="n">
        <v>2042.6</v>
      </c>
      <c r="AC44" t="n">
        <v>2412.1</v>
      </c>
      <c r="AD44" t="n">
        <v>2748.3</v>
      </c>
      <c r="AE44" t="n">
        <v>3018.2</v>
      </c>
      <c r="AF44" t="n">
        <v>3209.8</v>
      </c>
    </row>
    <row r="45">
      <c r="A45" t="s">
        <v>111</v>
      </c>
      <c r="B45" t="s">
        <v>360</v>
      </c>
      <c r="C45" t="s">
        <v>203</v>
      </c>
      <c r="D45" t="s">
        <v>361</v>
      </c>
      <c r="E45" t="s">
        <v>204</v>
      </c>
      <c r="F45"/>
      <c r="G45"/>
      <c r="H45"/>
      <c r="I45"/>
      <c r="J45"/>
      <c r="K45" t="n">
        <v>745.5</v>
      </c>
      <c r="L45" t="n">
        <v>804.9</v>
      </c>
      <c r="M45" t="n">
        <v>841.2</v>
      </c>
      <c r="N45" t="n">
        <v>856.2</v>
      </c>
      <c r="O45" t="n">
        <v>870.8</v>
      </c>
      <c r="P45" t="n">
        <v>917.1</v>
      </c>
      <c r="Q45" t="n">
        <v>937.3</v>
      </c>
      <c r="R45" t="n">
        <v>1055</v>
      </c>
      <c r="S45" t="n">
        <v>1151.2</v>
      </c>
      <c r="T45" t="n">
        <v>1309.8</v>
      </c>
      <c r="U45" t="n">
        <v>1349.6</v>
      </c>
      <c r="V45" t="n">
        <v>1389.5</v>
      </c>
      <c r="W45" t="n">
        <v>1454.1</v>
      </c>
      <c r="X45" t="n">
        <v>1364.2</v>
      </c>
      <c r="Y45" t="n">
        <v>1477.3</v>
      </c>
      <c r="Z45" t="n">
        <v>1661.1</v>
      </c>
      <c r="AA45" t="n">
        <v>1742.3</v>
      </c>
      <c r="AB45" t="n">
        <v>2037.9</v>
      </c>
      <c r="AC45" t="n">
        <v>2408.7</v>
      </c>
      <c r="AD45" t="n">
        <v>2746.7</v>
      </c>
      <c r="AE45" t="n">
        <v>3016.7</v>
      </c>
      <c r="AF45" t="n">
        <v>3207.1</v>
      </c>
    </row>
    <row r="46">
      <c r="A46" t="s">
        <v>111</v>
      </c>
      <c r="B46" t="s">
        <v>362</v>
      </c>
      <c r="C46" t="s">
        <v>203</v>
      </c>
      <c r="D46" t="s">
        <v>363</v>
      </c>
      <c r="E46" t="s">
        <v>204</v>
      </c>
      <c r="F46"/>
      <c r="G46"/>
      <c r="H46"/>
      <c r="I46"/>
      <c r="J46"/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0.3</v>
      </c>
      <c r="U46" t="n">
        <v>0.4</v>
      </c>
      <c r="V46" t="n">
        <v>0.4</v>
      </c>
      <c r="W46" t="n">
        <v>0</v>
      </c>
      <c r="X46" t="n">
        <v>0</v>
      </c>
      <c r="Y46" t="n">
        <v>0</v>
      </c>
      <c r="Z46" t="n">
        <v>2.4</v>
      </c>
      <c r="AA46" t="n">
        <v>0.8</v>
      </c>
      <c r="AB46" t="n">
        <v>1.6</v>
      </c>
      <c r="AC46" t="n">
        <v>6</v>
      </c>
      <c r="AD46" t="n">
        <v>6.4</v>
      </c>
      <c r="AE46" t="n">
        <v>2.2</v>
      </c>
      <c r="AF46" t="n">
        <v>2.2</v>
      </c>
    </row>
    <row r="47">
      <c r="A47" t="s">
        <v>111</v>
      </c>
      <c r="B47" t="s">
        <v>364</v>
      </c>
      <c r="C47" t="s">
        <v>203</v>
      </c>
      <c r="D47" t="s">
        <v>365</v>
      </c>
      <c r="E47" t="s">
        <v>204</v>
      </c>
      <c r="F47"/>
      <c r="G47"/>
      <c r="H47"/>
      <c r="I47"/>
      <c r="J47"/>
      <c r="K47" t="n">
        <v>17.6</v>
      </c>
      <c r="L47" t="n">
        <v>20.4</v>
      </c>
      <c r="M47" t="n">
        <v>21.1</v>
      </c>
      <c r="N47" t="n">
        <v>20.6</v>
      </c>
      <c r="O47" t="n">
        <v>21.6</v>
      </c>
      <c r="P47" t="n">
        <v>23.5</v>
      </c>
      <c r="Q47" t="n">
        <v>25.7</v>
      </c>
      <c r="R47" t="n">
        <v>20.7</v>
      </c>
      <c r="S47" t="n">
        <v>0.1</v>
      </c>
      <c r="T47" t="n">
        <v>9.4</v>
      </c>
      <c r="U47" t="n">
        <v>29.5</v>
      </c>
      <c r="V47" t="n">
        <v>38.8</v>
      </c>
      <c r="W47" t="n">
        <v>20.9</v>
      </c>
      <c r="X47" t="n">
        <v>23.1</v>
      </c>
      <c r="Y47" t="n">
        <v>25.1</v>
      </c>
      <c r="Z47" t="n">
        <v>7.8</v>
      </c>
      <c r="AA47" t="n">
        <v>7.6</v>
      </c>
      <c r="AB47" t="n">
        <v>10.4</v>
      </c>
      <c r="AC47" t="n">
        <v>8.8</v>
      </c>
      <c r="AD47" t="n">
        <v>10.2</v>
      </c>
      <c r="AE47" t="n">
        <v>13.4</v>
      </c>
      <c r="AF47" t="n">
        <v>7.1</v>
      </c>
    </row>
    <row r="48">
      <c r="A48" t="s">
        <v>111</v>
      </c>
      <c r="B48" t="s">
        <v>366</v>
      </c>
      <c r="C48" t="s">
        <v>203</v>
      </c>
      <c r="D48" t="s">
        <v>367</v>
      </c>
      <c r="E48" t="s">
        <v>204</v>
      </c>
      <c r="F48"/>
      <c r="G48"/>
      <c r="H48"/>
      <c r="I48"/>
      <c r="J48"/>
      <c r="K48" t="n">
        <v>76.1</v>
      </c>
      <c r="L48" t="n">
        <v>89.6</v>
      </c>
      <c r="M48" t="n">
        <v>91.2</v>
      </c>
      <c r="N48" t="n">
        <v>91.9</v>
      </c>
      <c r="O48" t="n">
        <v>97.2</v>
      </c>
      <c r="P48" t="n">
        <v>103.3</v>
      </c>
      <c r="Q48" t="n">
        <v>110.6</v>
      </c>
      <c r="R48" t="n">
        <v>92.9</v>
      </c>
      <c r="S48" t="n">
        <v>83.5</v>
      </c>
      <c r="T48" t="n">
        <v>122.4</v>
      </c>
      <c r="U48" t="n">
        <v>127.4</v>
      </c>
      <c r="V48" t="n">
        <v>141.3</v>
      </c>
      <c r="W48" t="n">
        <v>106.8</v>
      </c>
      <c r="X48" t="n">
        <v>118.1</v>
      </c>
      <c r="Y48" t="n">
        <v>127.9</v>
      </c>
      <c r="Z48" t="n">
        <v>93.8</v>
      </c>
      <c r="AA48" t="n">
        <v>102.3</v>
      </c>
      <c r="AB48" t="n">
        <v>115.6</v>
      </c>
      <c r="AC48" t="n">
        <v>89.6</v>
      </c>
      <c r="AD48" t="n">
        <v>125.6</v>
      </c>
      <c r="AE48" t="n">
        <v>164.6</v>
      </c>
      <c r="AF48" t="n">
        <v>170.2</v>
      </c>
    </row>
    <row r="49">
      <c r="A49" t="s">
        <v>111</v>
      </c>
      <c r="B49" t="s">
        <v>368</v>
      </c>
      <c r="C49" t="s">
        <v>203</v>
      </c>
      <c r="D49" t="s">
        <v>369</v>
      </c>
      <c r="E49" t="s">
        <v>204</v>
      </c>
      <c r="F49"/>
      <c r="G49"/>
      <c r="H49"/>
      <c r="I49"/>
      <c r="J49"/>
      <c r="K49" t="n">
        <v>48.3</v>
      </c>
      <c r="L49" t="n">
        <v>57.5</v>
      </c>
      <c r="M49" t="n">
        <v>58.2</v>
      </c>
      <c r="N49" t="n">
        <v>59.5</v>
      </c>
      <c r="O49" t="n">
        <v>63.3</v>
      </c>
      <c r="P49" t="n">
        <v>66.3</v>
      </c>
      <c r="Q49" t="n">
        <v>70.2</v>
      </c>
      <c r="R49" t="n">
        <v>60.6</v>
      </c>
      <c r="S49" t="n">
        <v>75.3</v>
      </c>
      <c r="T49" t="n">
        <v>88.4</v>
      </c>
      <c r="U49" t="n">
        <v>81.8</v>
      </c>
      <c r="V49" t="n">
        <v>78.7</v>
      </c>
      <c r="W49" t="n">
        <v>70.7</v>
      </c>
      <c r="X49" t="n">
        <v>86</v>
      </c>
      <c r="Y49" t="n">
        <v>93.2</v>
      </c>
      <c r="Z49" t="n">
        <v>65.9</v>
      </c>
      <c r="AA49" t="n">
        <v>75.8</v>
      </c>
      <c r="AB49" t="n">
        <v>82.9</v>
      </c>
      <c r="AC49" t="n">
        <v>48.8</v>
      </c>
      <c r="AD49" t="n">
        <v>71.8</v>
      </c>
      <c r="AE49" t="n">
        <v>91</v>
      </c>
      <c r="AF49" t="n">
        <v>100.3</v>
      </c>
    </row>
    <row r="50">
      <c r="A50" t="s">
        <v>111</v>
      </c>
      <c r="B50" t="s">
        <v>370</v>
      </c>
      <c r="C50" t="s">
        <v>203</v>
      </c>
      <c r="D50" t="s">
        <v>371</v>
      </c>
      <c r="E50" t="s">
        <v>204</v>
      </c>
      <c r="F50"/>
      <c r="G50"/>
      <c r="H50"/>
      <c r="I50"/>
      <c r="J50"/>
      <c r="K50" t="n">
        <v>10.2</v>
      </c>
      <c r="L50" t="n">
        <v>11.7</v>
      </c>
      <c r="M50" t="n">
        <v>11.9</v>
      </c>
      <c r="N50" t="n">
        <v>11.8</v>
      </c>
      <c r="O50" t="n">
        <v>12.4</v>
      </c>
      <c r="P50" t="n">
        <v>13.5</v>
      </c>
      <c r="Q50" t="n">
        <v>14.6</v>
      </c>
      <c r="R50" t="n">
        <v>11.6</v>
      </c>
      <c r="S50" t="n">
        <v>8.1</v>
      </c>
      <c r="T50" t="n">
        <v>24.6</v>
      </c>
      <c r="U50" t="n">
        <v>16.1</v>
      </c>
      <c r="V50" t="n">
        <v>23.8</v>
      </c>
      <c r="W50" t="n">
        <v>15.3</v>
      </c>
      <c r="X50" t="n">
        <v>8.9</v>
      </c>
      <c r="Y50" t="n">
        <v>9.6</v>
      </c>
      <c r="Z50" t="n">
        <v>20.1</v>
      </c>
      <c r="AA50" t="n">
        <v>18.9</v>
      </c>
      <c r="AB50" t="n">
        <v>22.3</v>
      </c>
      <c r="AC50" t="n">
        <v>31.9</v>
      </c>
      <c r="AD50" t="n">
        <v>43.6</v>
      </c>
      <c r="AE50" t="n">
        <v>60.2</v>
      </c>
      <c r="AF50" t="n">
        <v>62.8</v>
      </c>
    </row>
    <row r="51">
      <c r="A51" t="s">
        <v>111</v>
      </c>
      <c r="B51" t="s">
        <v>372</v>
      </c>
      <c r="C51" t="s">
        <v>203</v>
      </c>
      <c r="D51" t="s">
        <v>373</v>
      </c>
      <c r="E51" t="s">
        <v>204</v>
      </c>
      <c r="F51"/>
      <c r="G51"/>
      <c r="H51"/>
      <c r="I51"/>
      <c r="J51"/>
      <c r="K51" t="n">
        <v>10.2</v>
      </c>
      <c r="L51" t="n">
        <v>11.7</v>
      </c>
      <c r="M51" t="n">
        <v>11.9</v>
      </c>
      <c r="N51" t="n">
        <v>11.8</v>
      </c>
      <c r="O51" t="n">
        <v>12.4</v>
      </c>
      <c r="P51" t="n">
        <v>13.5</v>
      </c>
      <c r="Q51" t="n">
        <v>14.6</v>
      </c>
      <c r="R51" t="n">
        <v>11.6</v>
      </c>
      <c r="S51" t="n">
        <v>7.3</v>
      </c>
      <c r="T51" t="n">
        <v>24.6</v>
      </c>
      <c r="U51" t="n">
        <v>16.1</v>
      </c>
      <c r="V51" t="n">
        <v>23.8</v>
      </c>
      <c r="W51" t="n">
        <v>15.3</v>
      </c>
      <c r="X51" t="n">
        <v>8.9</v>
      </c>
      <c r="Y51" t="n">
        <v>9.6</v>
      </c>
      <c r="Z51" t="n">
        <v>20.1</v>
      </c>
      <c r="AA51" t="n">
        <v>18.9</v>
      </c>
      <c r="AB51" t="n">
        <v>22.3</v>
      </c>
      <c r="AC51" t="n">
        <v>31.9</v>
      </c>
      <c r="AD51" t="n">
        <v>43.5</v>
      </c>
      <c r="AE51" t="n">
        <v>60</v>
      </c>
      <c r="AF51" t="n">
        <v>62.6</v>
      </c>
    </row>
    <row r="52">
      <c r="A52" t="s">
        <v>111</v>
      </c>
      <c r="B52" t="s">
        <v>374</v>
      </c>
      <c r="C52" t="s">
        <v>203</v>
      </c>
      <c r="D52" t="s">
        <v>375</v>
      </c>
      <c r="E52" t="s">
        <v>204</v>
      </c>
      <c r="F52"/>
      <c r="G52"/>
      <c r="H52"/>
      <c r="I52"/>
      <c r="J52"/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0.8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0.1</v>
      </c>
      <c r="AE52" t="n">
        <v>0.2</v>
      </c>
      <c r="AF52" t="n">
        <v>0.2</v>
      </c>
    </row>
    <row r="53">
      <c r="A53" t="s">
        <v>111</v>
      </c>
      <c r="B53" t="s">
        <v>376</v>
      </c>
      <c r="C53" t="s">
        <v>203</v>
      </c>
      <c r="D53" t="s">
        <v>377</v>
      </c>
      <c r="E53" t="s">
        <v>204</v>
      </c>
      <c r="F53"/>
      <c r="G53"/>
      <c r="H53"/>
      <c r="I53"/>
      <c r="J53"/>
      <c r="K53" t="n">
        <v>6.5</v>
      </c>
      <c r="L53" t="n">
        <v>7.3</v>
      </c>
      <c r="M53" t="n">
        <v>7.7</v>
      </c>
      <c r="N53" t="n">
        <v>7.6</v>
      </c>
      <c r="O53" t="n">
        <v>8</v>
      </c>
      <c r="P53" t="n">
        <v>8.4</v>
      </c>
      <c r="Q53" t="n">
        <v>9.2</v>
      </c>
      <c r="R53" t="n">
        <v>7.4</v>
      </c>
      <c r="S53" t="n">
        <v>5.8</v>
      </c>
      <c r="T53" t="n">
        <v>13.2</v>
      </c>
      <c r="U53" t="n">
        <v>10.6</v>
      </c>
      <c r="V53" t="n">
        <v>10.5</v>
      </c>
      <c r="W53" t="n">
        <v>8.3</v>
      </c>
      <c r="X53" t="n">
        <v>9.9</v>
      </c>
      <c r="Y53" t="n">
        <v>10.7</v>
      </c>
      <c r="Z53" t="n">
        <v>8.3</v>
      </c>
      <c r="AA53" t="n">
        <v>11.1</v>
      </c>
      <c r="AB53" t="n">
        <v>11.2</v>
      </c>
      <c r="AC53" t="n">
        <v>12.9</v>
      </c>
      <c r="AD53" t="n">
        <v>12.6</v>
      </c>
      <c r="AE53" t="n">
        <v>15</v>
      </c>
      <c r="AF53" t="n">
        <v>5.7</v>
      </c>
    </row>
    <row r="54">
      <c r="A54" t="s">
        <v>111</v>
      </c>
      <c r="B54" t="s">
        <v>378</v>
      </c>
      <c r="C54" t="s">
        <v>203</v>
      </c>
      <c r="D54" t="s">
        <v>379</v>
      </c>
      <c r="E54" t="s">
        <v>204</v>
      </c>
      <c r="F54"/>
      <c r="G54"/>
      <c r="H54"/>
      <c r="I54"/>
      <c r="J54"/>
      <c r="K54" t="n">
        <v>12.1</v>
      </c>
      <c r="L54" t="n">
        <v>18.6</v>
      </c>
      <c r="M54" t="n">
        <v>14.9</v>
      </c>
      <c r="N54" t="n">
        <v>15.2</v>
      </c>
      <c r="O54" t="n">
        <v>16.1</v>
      </c>
      <c r="P54" t="n">
        <v>21.4</v>
      </c>
      <c r="Q54" t="n">
        <v>21.9</v>
      </c>
      <c r="R54" t="n">
        <v>15.1</v>
      </c>
      <c r="S54" t="n">
        <v>31.7</v>
      </c>
      <c r="T54" t="n">
        <v>24</v>
      </c>
      <c r="U54" t="n">
        <v>25.3</v>
      </c>
      <c r="V54" t="n">
        <v>24.2</v>
      </c>
      <c r="W54" t="n">
        <v>33.9</v>
      </c>
      <c r="X54" t="n">
        <v>21.2</v>
      </c>
      <c r="Y54" t="n">
        <v>22.9</v>
      </c>
      <c r="Z54" t="n">
        <v>12</v>
      </c>
      <c r="AA54" t="n">
        <v>16.8</v>
      </c>
      <c r="AB54" t="n">
        <v>19</v>
      </c>
      <c r="AC54" t="n">
        <v>32.7</v>
      </c>
      <c r="AD54" t="n">
        <v>34.4</v>
      </c>
      <c r="AE54" t="n">
        <v>38</v>
      </c>
      <c r="AF54" t="n">
        <v>35</v>
      </c>
    </row>
    <row r="55">
      <c r="A55" t="s">
        <v>111</v>
      </c>
      <c r="B55" t="s">
        <v>380</v>
      </c>
      <c r="C55" t="s">
        <v>203</v>
      </c>
      <c r="D55" t="s">
        <v>381</v>
      </c>
      <c r="E55" t="s">
        <v>204</v>
      </c>
      <c r="F55"/>
      <c r="G55"/>
      <c r="H55"/>
      <c r="I55"/>
      <c r="J55"/>
      <c r="K55" t="n">
        <v>5.6</v>
      </c>
      <c r="L55" t="n">
        <v>11.3</v>
      </c>
      <c r="M55" t="n">
        <v>7.2</v>
      </c>
      <c r="N55" t="n">
        <v>7.6</v>
      </c>
      <c r="O55" t="n">
        <v>8.1</v>
      </c>
      <c r="P55" t="n">
        <v>13</v>
      </c>
      <c r="Q55" t="n">
        <v>12.7</v>
      </c>
      <c r="R55" t="n">
        <v>7.7</v>
      </c>
      <c r="S55" t="n">
        <v>25.9</v>
      </c>
      <c r="T55" t="n">
        <v>10.8</v>
      </c>
      <c r="U55" t="n">
        <v>14.7</v>
      </c>
      <c r="V55" t="n">
        <v>13.7</v>
      </c>
      <c r="W55" t="n">
        <v>25.6</v>
      </c>
      <c r="X55" t="n">
        <v>11.3</v>
      </c>
      <c r="Y55" t="n">
        <v>12.2</v>
      </c>
      <c r="Z55" t="n">
        <v>3.7</v>
      </c>
      <c r="AA55" t="n">
        <v>5.7</v>
      </c>
      <c r="AB55" t="n">
        <v>7.8</v>
      </c>
      <c r="AC55" t="n">
        <v>19.8</v>
      </c>
      <c r="AD55" t="n">
        <v>21.8</v>
      </c>
      <c r="AE55" t="n">
        <v>23</v>
      </c>
      <c r="AF55" t="n">
        <v>29.3</v>
      </c>
    </row>
    <row r="56">
      <c r="A56" t="s">
        <v>111</v>
      </c>
      <c r="B56" t="s">
        <v>382</v>
      </c>
      <c r="C56" t="s">
        <v>203</v>
      </c>
      <c r="D56" t="s">
        <v>383</v>
      </c>
      <c r="E56" t="s">
        <v>204</v>
      </c>
      <c r="F56"/>
      <c r="G56"/>
      <c r="H56"/>
      <c r="I56"/>
      <c r="J56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111</v>
      </c>
      <c r="B57" t="s">
        <v>384</v>
      </c>
      <c r="C57" t="s">
        <v>203</v>
      </c>
      <c r="D57" t="s">
        <v>385</v>
      </c>
      <c r="E57" t="s">
        <v>204</v>
      </c>
      <c r="F57"/>
      <c r="G57"/>
      <c r="H57"/>
      <c r="I57"/>
      <c r="J57"/>
      <c r="K57" t="n">
        <v>833.1</v>
      </c>
      <c r="L57" t="n">
        <v>907.8</v>
      </c>
      <c r="M57" t="n">
        <v>946.1</v>
      </c>
      <c r="N57" t="n">
        <v>961.5</v>
      </c>
      <c r="O57" t="n">
        <v>982.1</v>
      </c>
      <c r="P57" t="n">
        <v>1035.7</v>
      </c>
      <c r="Q57" t="n">
        <v>1064.5</v>
      </c>
      <c r="R57" t="n">
        <v>1161.4</v>
      </c>
      <c r="S57" t="n">
        <v>1237</v>
      </c>
      <c r="T57" t="n">
        <v>1452.6</v>
      </c>
      <c r="U57" t="n">
        <v>1497.4</v>
      </c>
      <c r="V57" t="n">
        <v>1548.9</v>
      </c>
      <c r="W57" t="n">
        <v>1581.2</v>
      </c>
      <c r="X57" t="n">
        <v>1500.5</v>
      </c>
      <c r="Y57" t="n">
        <v>1625</v>
      </c>
      <c r="Z57" t="n">
        <v>1760.5</v>
      </c>
      <c r="AA57" t="n">
        <v>1849.4</v>
      </c>
      <c r="AB57" t="n">
        <v>2158.3</v>
      </c>
      <c r="AC57" t="n">
        <v>2503.9</v>
      </c>
      <c r="AD57" t="n">
        <v>2875.3</v>
      </c>
      <c r="AE57" t="n">
        <v>3184.6</v>
      </c>
      <c r="AF57" t="n">
        <v>3382.5</v>
      </c>
    </row>
    <row r="58">
      <c r="A58" t="s">
        <v>111</v>
      </c>
      <c r="B58" t="s">
        <v>386</v>
      </c>
      <c r="C58" t="s">
        <v>203</v>
      </c>
      <c r="D58" t="s">
        <v>387</v>
      </c>
      <c r="E58" t="s">
        <v>204</v>
      </c>
      <c r="F58"/>
      <c r="G58"/>
      <c r="H58"/>
      <c r="I58"/>
      <c r="J58"/>
      <c r="K58" t="n">
        <v>833.1</v>
      </c>
      <c r="L58" t="n">
        <v>907.8</v>
      </c>
      <c r="M58" t="n">
        <v>946.1</v>
      </c>
      <c r="N58" t="n">
        <v>961.5</v>
      </c>
      <c r="O58" t="n">
        <v>982.1</v>
      </c>
      <c r="P58" t="n">
        <v>1035.7</v>
      </c>
      <c r="Q58" t="n">
        <v>1064.5</v>
      </c>
      <c r="R58" t="n">
        <v>1161.4</v>
      </c>
      <c r="S58" t="n">
        <v>1237</v>
      </c>
      <c r="T58" t="n">
        <v>1452.6</v>
      </c>
      <c r="U58" t="n">
        <v>1497.4</v>
      </c>
      <c r="V58" t="n">
        <v>1548.9</v>
      </c>
      <c r="W58" t="n">
        <v>1581.2</v>
      </c>
      <c r="X58" t="n">
        <v>1500.5</v>
      </c>
      <c r="Y58" t="n">
        <v>1625</v>
      </c>
      <c r="Z58" t="n">
        <v>1760.5</v>
      </c>
      <c r="AA58" t="n">
        <v>1849.4</v>
      </c>
      <c r="AB58" t="n">
        <v>2158.3</v>
      </c>
      <c r="AC58" t="n">
        <v>2503.9</v>
      </c>
      <c r="AD58" t="n">
        <v>2875.3</v>
      </c>
      <c r="AE58" t="n">
        <v>3184.6</v>
      </c>
      <c r="AF58" t="n">
        <v>3382.5</v>
      </c>
    </row>
    <row r="59">
      <c r="A59" t="s">
        <v>111</v>
      </c>
      <c r="B59" t="s">
        <v>388</v>
      </c>
      <c r="C59" t="s">
        <v>203</v>
      </c>
      <c r="D59" t="s">
        <v>389</v>
      </c>
      <c r="E59" t="s">
        <v>204</v>
      </c>
      <c r="F59"/>
      <c r="G59"/>
      <c r="H59"/>
      <c r="I59"/>
      <c r="J59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113</v>
      </c>
      <c r="B2" t="s">
        <v>197</v>
      </c>
      <c r="C2" t="s">
        <v>203</v>
      </c>
      <c r="D2" t="s">
        <v>199</v>
      </c>
      <c r="E2" t="s">
        <v>204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113</v>
      </c>
      <c r="B3" t="s">
        <v>276</v>
      </c>
      <c r="C3" t="s">
        <v>203</v>
      </c>
      <c r="D3" t="s">
        <v>277</v>
      </c>
      <c r="E3" t="s">
        <v>204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113</v>
      </c>
      <c r="B4" t="s">
        <v>278</v>
      </c>
      <c r="C4" t="s">
        <v>203</v>
      </c>
      <c r="D4" t="s">
        <v>279</v>
      </c>
      <c r="E4" t="s">
        <v>204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113</v>
      </c>
      <c r="B5" t="s">
        <v>280</v>
      </c>
      <c r="C5" t="s">
        <v>203</v>
      </c>
      <c r="D5" t="s">
        <v>281</v>
      </c>
      <c r="E5" t="s">
        <v>204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113</v>
      </c>
      <c r="B6" t="s">
        <v>282</v>
      </c>
      <c r="C6" t="s">
        <v>203</v>
      </c>
      <c r="D6" t="s">
        <v>283</v>
      </c>
      <c r="E6" t="s">
        <v>204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113</v>
      </c>
      <c r="B7" t="s">
        <v>284</v>
      </c>
      <c r="C7" t="s">
        <v>203</v>
      </c>
      <c r="D7" t="s">
        <v>285</v>
      </c>
      <c r="E7" t="s">
        <v>204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113</v>
      </c>
      <c r="B8" t="s">
        <v>286</v>
      </c>
      <c r="C8" t="s">
        <v>203</v>
      </c>
      <c r="D8" t="s">
        <v>287</v>
      </c>
      <c r="E8" t="s">
        <v>204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113</v>
      </c>
      <c r="B9" t="s">
        <v>288</v>
      </c>
      <c r="C9" t="s">
        <v>203</v>
      </c>
      <c r="D9" t="s">
        <v>289</v>
      </c>
      <c r="E9" t="s">
        <v>204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113</v>
      </c>
      <c r="B10" t="s">
        <v>290</v>
      </c>
      <c r="C10" t="s">
        <v>203</v>
      </c>
      <c r="D10" t="s">
        <v>291</v>
      </c>
      <c r="E10" t="s">
        <v>204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113</v>
      </c>
      <c r="B11" t="s">
        <v>292</v>
      </c>
      <c r="C11" t="s">
        <v>203</v>
      </c>
      <c r="D11" t="s">
        <v>293</v>
      </c>
      <c r="E11" t="s">
        <v>204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113</v>
      </c>
      <c r="B12" t="s">
        <v>294</v>
      </c>
      <c r="C12" t="s">
        <v>203</v>
      </c>
      <c r="D12" t="s">
        <v>295</v>
      </c>
      <c r="E12" t="s">
        <v>204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113</v>
      </c>
      <c r="B13" t="s">
        <v>296</v>
      </c>
      <c r="C13" t="s">
        <v>203</v>
      </c>
      <c r="D13" t="s">
        <v>297</v>
      </c>
      <c r="E13" t="s">
        <v>204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113</v>
      </c>
      <c r="B14" t="s">
        <v>298</v>
      </c>
      <c r="C14" t="s">
        <v>203</v>
      </c>
      <c r="D14" t="s">
        <v>299</v>
      </c>
      <c r="E14" t="s">
        <v>204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113</v>
      </c>
      <c r="B15" t="s">
        <v>300</v>
      </c>
      <c r="C15" t="s">
        <v>203</v>
      </c>
      <c r="D15" t="s">
        <v>301</v>
      </c>
      <c r="E15" t="s">
        <v>204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113</v>
      </c>
      <c r="B16" t="s">
        <v>302</v>
      </c>
      <c r="C16" t="s">
        <v>203</v>
      </c>
      <c r="D16" t="s">
        <v>303</v>
      </c>
      <c r="E16" t="s">
        <v>204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113</v>
      </c>
      <c r="B17" t="s">
        <v>304</v>
      </c>
      <c r="C17" t="s">
        <v>203</v>
      </c>
      <c r="D17" t="s">
        <v>305</v>
      </c>
      <c r="E17" t="s">
        <v>204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113</v>
      </c>
      <c r="B18" t="s">
        <v>306</v>
      </c>
      <c r="C18" t="s">
        <v>203</v>
      </c>
      <c r="D18" t="s">
        <v>307</v>
      </c>
      <c r="E18" t="s">
        <v>204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113</v>
      </c>
      <c r="B19" t="s">
        <v>308</v>
      </c>
      <c r="C19" t="s">
        <v>203</v>
      </c>
      <c r="D19" t="s">
        <v>309</v>
      </c>
      <c r="E19" t="s">
        <v>204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113</v>
      </c>
      <c r="B20" t="s">
        <v>310</v>
      </c>
      <c r="C20" t="s">
        <v>203</v>
      </c>
      <c r="D20" t="s">
        <v>311</v>
      </c>
      <c r="E20" t="s">
        <v>204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113</v>
      </c>
      <c r="B21" t="s">
        <v>312</v>
      </c>
      <c r="C21" t="s">
        <v>203</v>
      </c>
      <c r="D21" t="s">
        <v>313</v>
      </c>
      <c r="E21" t="s">
        <v>204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113</v>
      </c>
      <c r="B22" t="s">
        <v>314</v>
      </c>
      <c r="C22" t="s">
        <v>203</v>
      </c>
      <c r="D22" t="s">
        <v>315</v>
      </c>
      <c r="E22" t="s">
        <v>204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113</v>
      </c>
      <c r="B23" t="s">
        <v>316</v>
      </c>
      <c r="C23" t="s">
        <v>203</v>
      </c>
      <c r="D23" t="s">
        <v>317</v>
      </c>
      <c r="E23" t="s">
        <v>204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113</v>
      </c>
      <c r="B24" t="s">
        <v>318</v>
      </c>
      <c r="C24" t="s">
        <v>203</v>
      </c>
      <c r="D24" t="s">
        <v>319</v>
      </c>
      <c r="E24" t="s">
        <v>204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113</v>
      </c>
      <c r="B25" t="s">
        <v>320</v>
      </c>
      <c r="C25" t="s">
        <v>203</v>
      </c>
      <c r="D25" t="s">
        <v>321</v>
      </c>
      <c r="E25" t="s">
        <v>204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113</v>
      </c>
      <c r="B26" t="s">
        <v>322</v>
      </c>
      <c r="C26" t="s">
        <v>203</v>
      </c>
      <c r="D26" t="s">
        <v>323</v>
      </c>
      <c r="E26" t="s">
        <v>204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113</v>
      </c>
      <c r="B27" t="s">
        <v>324</v>
      </c>
      <c r="C27" t="s">
        <v>203</v>
      </c>
      <c r="D27" t="s">
        <v>325</v>
      </c>
      <c r="E27" t="s">
        <v>204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113</v>
      </c>
      <c r="B28" t="s">
        <v>326</v>
      </c>
      <c r="C28" t="s">
        <v>203</v>
      </c>
      <c r="D28" t="s">
        <v>327</v>
      </c>
      <c r="E28" t="s">
        <v>204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113</v>
      </c>
      <c r="B29" t="s">
        <v>328</v>
      </c>
      <c r="C29" t="s">
        <v>203</v>
      </c>
      <c r="D29" t="s">
        <v>329</v>
      </c>
      <c r="E29" t="s">
        <v>204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113</v>
      </c>
      <c r="B30" t="s">
        <v>330</v>
      </c>
      <c r="C30" t="s">
        <v>203</v>
      </c>
      <c r="D30" t="s">
        <v>331</v>
      </c>
      <c r="E30" t="s">
        <v>204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113</v>
      </c>
      <c r="B31" t="s">
        <v>332</v>
      </c>
      <c r="C31" t="s">
        <v>203</v>
      </c>
      <c r="D31" t="s">
        <v>333</v>
      </c>
      <c r="E31" t="s">
        <v>204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113</v>
      </c>
      <c r="B32" t="s">
        <v>334</v>
      </c>
      <c r="C32" t="s">
        <v>203</v>
      </c>
      <c r="D32" t="s">
        <v>335</v>
      </c>
      <c r="E32" t="s">
        <v>204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113</v>
      </c>
      <c r="B33" t="s">
        <v>336</v>
      </c>
      <c r="C33" t="s">
        <v>203</v>
      </c>
      <c r="D33" t="s">
        <v>337</v>
      </c>
      <c r="E33" t="s">
        <v>204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113</v>
      </c>
      <c r="B34" t="s">
        <v>338</v>
      </c>
      <c r="C34" t="s">
        <v>203</v>
      </c>
      <c r="D34" t="s">
        <v>339</v>
      </c>
      <c r="E34" t="s">
        <v>204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113</v>
      </c>
      <c r="B35" t="s">
        <v>340</v>
      </c>
      <c r="C35" t="s">
        <v>203</v>
      </c>
      <c r="D35" t="s">
        <v>341</v>
      </c>
      <c r="E35" t="s">
        <v>204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113</v>
      </c>
      <c r="B36" t="s">
        <v>342</v>
      </c>
      <c r="C36" t="s">
        <v>203</v>
      </c>
      <c r="D36" t="s">
        <v>343</v>
      </c>
      <c r="E36" t="s">
        <v>204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113</v>
      </c>
      <c r="B37" t="s">
        <v>344</v>
      </c>
      <c r="C37" t="s">
        <v>203</v>
      </c>
      <c r="D37" t="s">
        <v>345</v>
      </c>
      <c r="E37" t="s">
        <v>204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113</v>
      </c>
      <c r="B38" t="s">
        <v>346</v>
      </c>
      <c r="C38" t="s">
        <v>203</v>
      </c>
      <c r="D38" t="s">
        <v>347</v>
      </c>
      <c r="E38" t="s">
        <v>204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113</v>
      </c>
      <c r="B39" t="s">
        <v>348</v>
      </c>
      <c r="C39" t="s">
        <v>203</v>
      </c>
      <c r="D39" t="s">
        <v>349</v>
      </c>
      <c r="E39" t="s">
        <v>204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113</v>
      </c>
      <c r="B40" t="s">
        <v>350</v>
      </c>
      <c r="C40" t="s">
        <v>203</v>
      </c>
      <c r="D40" t="s">
        <v>351</v>
      </c>
      <c r="E40" t="s">
        <v>204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113</v>
      </c>
      <c r="B41" t="s">
        <v>352</v>
      </c>
      <c r="C41" t="s">
        <v>203</v>
      </c>
      <c r="D41" t="s">
        <v>353</v>
      </c>
      <c r="E41" t="s">
        <v>204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113</v>
      </c>
      <c r="B42" t="s">
        <v>354</v>
      </c>
      <c r="C42" t="s">
        <v>203</v>
      </c>
      <c r="D42" t="s">
        <v>355</v>
      </c>
      <c r="E42" t="s">
        <v>204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113</v>
      </c>
      <c r="B43" t="s">
        <v>356</v>
      </c>
      <c r="C43" t="s">
        <v>203</v>
      </c>
      <c r="D43" t="s">
        <v>357</v>
      </c>
      <c r="E43" t="s">
        <v>204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113</v>
      </c>
      <c r="B44" t="s">
        <v>358</v>
      </c>
      <c r="C44" t="s">
        <v>203</v>
      </c>
      <c r="D44" t="s">
        <v>359</v>
      </c>
      <c r="E44" t="s">
        <v>204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</row>
    <row r="45">
      <c r="A45" t="s">
        <v>113</v>
      </c>
      <c r="B45" t="s">
        <v>360</v>
      </c>
      <c r="C45" t="s">
        <v>203</v>
      </c>
      <c r="D45" t="s">
        <v>361</v>
      </c>
      <c r="E45" t="s">
        <v>204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113</v>
      </c>
      <c r="B46" t="s">
        <v>362</v>
      </c>
      <c r="C46" t="s">
        <v>203</v>
      </c>
      <c r="D46" t="s">
        <v>363</v>
      </c>
      <c r="E46" t="s">
        <v>204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113</v>
      </c>
      <c r="B47" t="s">
        <v>364</v>
      </c>
      <c r="C47" t="s">
        <v>203</v>
      </c>
      <c r="D47" t="s">
        <v>365</v>
      </c>
      <c r="E47" t="s">
        <v>204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113</v>
      </c>
      <c r="B48" t="s">
        <v>366</v>
      </c>
      <c r="C48" t="s">
        <v>203</v>
      </c>
      <c r="D48" t="s">
        <v>367</v>
      </c>
      <c r="E48" t="s">
        <v>204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113</v>
      </c>
      <c r="B49" t="s">
        <v>368</v>
      </c>
      <c r="C49" t="s">
        <v>203</v>
      </c>
      <c r="D49" t="s">
        <v>369</v>
      </c>
      <c r="E49" t="s">
        <v>204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113</v>
      </c>
      <c r="B50" t="s">
        <v>370</v>
      </c>
      <c r="C50" t="s">
        <v>203</v>
      </c>
      <c r="D50" t="s">
        <v>371</v>
      </c>
      <c r="E50" t="s">
        <v>204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113</v>
      </c>
      <c r="B51" t="s">
        <v>372</v>
      </c>
      <c r="C51" t="s">
        <v>203</v>
      </c>
      <c r="D51" t="s">
        <v>373</v>
      </c>
      <c r="E51" t="s">
        <v>204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113</v>
      </c>
      <c r="B52" t="s">
        <v>374</v>
      </c>
      <c r="C52" t="s">
        <v>203</v>
      </c>
      <c r="D52" t="s">
        <v>375</v>
      </c>
      <c r="E52" t="s">
        <v>204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113</v>
      </c>
      <c r="B53" t="s">
        <v>376</v>
      </c>
      <c r="C53" t="s">
        <v>203</v>
      </c>
      <c r="D53" t="s">
        <v>377</v>
      </c>
      <c r="E53" t="s">
        <v>204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113</v>
      </c>
      <c r="B54" t="s">
        <v>378</v>
      </c>
      <c r="C54" t="s">
        <v>203</v>
      </c>
      <c r="D54" t="s">
        <v>379</v>
      </c>
      <c r="E54" t="s">
        <v>204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113</v>
      </c>
      <c r="B55" t="s">
        <v>380</v>
      </c>
      <c r="C55" t="s">
        <v>203</v>
      </c>
      <c r="D55" t="s">
        <v>381</v>
      </c>
      <c r="E55" t="s">
        <v>204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113</v>
      </c>
      <c r="B56" t="s">
        <v>382</v>
      </c>
      <c r="C56" t="s">
        <v>203</v>
      </c>
      <c r="D56" t="s">
        <v>383</v>
      </c>
      <c r="E56" t="s">
        <v>204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113</v>
      </c>
      <c r="B57" t="s">
        <v>384</v>
      </c>
      <c r="C57" t="s">
        <v>203</v>
      </c>
      <c r="D57" t="s">
        <v>385</v>
      </c>
      <c r="E57" t="s">
        <v>204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114.5</v>
      </c>
      <c r="L57" t="n">
        <v>125.5</v>
      </c>
      <c r="M57" t="n">
        <v>132.7</v>
      </c>
      <c r="N57" t="n">
        <v>134.4</v>
      </c>
      <c r="O57" t="n">
        <v>146.2</v>
      </c>
      <c r="P57" t="n">
        <v>160</v>
      </c>
      <c r="Q57" t="n">
        <v>177.3</v>
      </c>
      <c r="R57" t="n">
        <v>203.1</v>
      </c>
      <c r="S57" t="n">
        <v>252.3</v>
      </c>
      <c r="T57" t="n">
        <v>287.6</v>
      </c>
      <c r="U57" t="n">
        <v>327.4</v>
      </c>
      <c r="V57" t="n">
        <v>358.7</v>
      </c>
      <c r="W57" t="n">
        <v>310.4</v>
      </c>
      <c r="X57" t="n">
        <v>452.4</v>
      </c>
      <c r="Y57" t="n">
        <v>409.4</v>
      </c>
      <c r="Z57" t="n">
        <v>455.2</v>
      </c>
      <c r="AA57" t="n">
        <v>593.3</v>
      </c>
      <c r="AB57" t="n">
        <v>892.9</v>
      </c>
      <c r="AC57" t="n">
        <v>1299</v>
      </c>
      <c r="AD57" t="n">
        <v>1396.5</v>
      </c>
      <c r="AE57" t="n">
        <v>1220.8</v>
      </c>
      <c r="AF57" t="n">
        <v>1083.5</v>
      </c>
    </row>
    <row r="58">
      <c r="A58" t="s">
        <v>113</v>
      </c>
      <c r="B58" t="s">
        <v>386</v>
      </c>
      <c r="C58" t="s">
        <v>203</v>
      </c>
      <c r="D58" t="s">
        <v>387</v>
      </c>
      <c r="E58" t="s">
        <v>204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</row>
    <row r="59">
      <c r="A59" t="s">
        <v>113</v>
      </c>
      <c r="B59" t="s">
        <v>388</v>
      </c>
      <c r="C59" t="s">
        <v>203</v>
      </c>
      <c r="D59" t="s">
        <v>389</v>
      </c>
      <c r="E59" t="s">
        <v>204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115</v>
      </c>
      <c r="B2" t="s">
        <v>197</v>
      </c>
      <c r="C2" t="s">
        <v>203</v>
      </c>
      <c r="D2" t="s">
        <v>199</v>
      </c>
      <c r="E2" t="s">
        <v>204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115</v>
      </c>
      <c r="B3" t="s">
        <v>276</v>
      </c>
      <c r="C3" t="s">
        <v>203</v>
      </c>
      <c r="D3" t="s">
        <v>277</v>
      </c>
      <c r="E3" t="s">
        <v>204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 t="n">
        <v>0</v>
      </c>
      <c r="AB3"/>
      <c r="AC3"/>
      <c r="AD3"/>
      <c r="AE3"/>
      <c r="AF3"/>
    </row>
    <row r="4">
      <c r="A4" t="s">
        <v>115</v>
      </c>
      <c r="B4" t="s">
        <v>278</v>
      </c>
      <c r="C4" t="s">
        <v>203</v>
      </c>
      <c r="D4" t="s">
        <v>279</v>
      </c>
      <c r="E4" t="s">
        <v>204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 t="n">
        <v>0</v>
      </c>
      <c r="AB4"/>
      <c r="AC4"/>
      <c r="AD4"/>
      <c r="AE4"/>
      <c r="AF4"/>
    </row>
    <row r="5">
      <c r="A5" t="s">
        <v>115</v>
      </c>
      <c r="B5" t="s">
        <v>280</v>
      </c>
      <c r="C5" t="s">
        <v>203</v>
      </c>
      <c r="D5" t="s">
        <v>281</v>
      </c>
      <c r="E5" t="s">
        <v>204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 t="n">
        <v>0</v>
      </c>
      <c r="AB5"/>
      <c r="AC5"/>
      <c r="AD5"/>
      <c r="AE5"/>
      <c r="AF5"/>
    </row>
    <row r="6">
      <c r="A6" t="s">
        <v>115</v>
      </c>
      <c r="B6" t="s">
        <v>282</v>
      </c>
      <c r="C6" t="s">
        <v>203</v>
      </c>
      <c r="D6" t="s">
        <v>283</v>
      </c>
      <c r="E6" t="s">
        <v>204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 t="n">
        <v>0</v>
      </c>
      <c r="AB6"/>
      <c r="AC6"/>
      <c r="AD6"/>
      <c r="AE6"/>
      <c r="AF6"/>
    </row>
    <row r="7">
      <c r="A7" t="s">
        <v>115</v>
      </c>
      <c r="B7" t="s">
        <v>284</v>
      </c>
      <c r="C7" t="s">
        <v>203</v>
      </c>
      <c r="D7" t="s">
        <v>285</v>
      </c>
      <c r="E7" t="s">
        <v>204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 t="n">
        <v>0</v>
      </c>
      <c r="AB7"/>
      <c r="AC7"/>
      <c r="AD7"/>
      <c r="AE7"/>
      <c r="AF7"/>
    </row>
    <row r="8">
      <c r="A8" t="s">
        <v>115</v>
      </c>
      <c r="B8" t="s">
        <v>286</v>
      </c>
      <c r="C8" t="s">
        <v>203</v>
      </c>
      <c r="D8" t="s">
        <v>287</v>
      </c>
      <c r="E8" t="s">
        <v>204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 t="n">
        <v>0</v>
      </c>
      <c r="AB8"/>
      <c r="AC8"/>
      <c r="AD8"/>
      <c r="AE8"/>
      <c r="AF8"/>
    </row>
    <row r="9">
      <c r="A9" t="s">
        <v>115</v>
      </c>
      <c r="B9" t="s">
        <v>288</v>
      </c>
      <c r="C9" t="s">
        <v>203</v>
      </c>
      <c r="D9" t="s">
        <v>289</v>
      </c>
      <c r="E9" t="s">
        <v>204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 t="n">
        <v>0</v>
      </c>
      <c r="AB9"/>
      <c r="AC9"/>
      <c r="AD9"/>
      <c r="AE9"/>
      <c r="AF9"/>
    </row>
    <row r="10">
      <c r="A10" t="s">
        <v>115</v>
      </c>
      <c r="B10" t="s">
        <v>290</v>
      </c>
      <c r="C10" t="s">
        <v>203</v>
      </c>
      <c r="D10" t="s">
        <v>291</v>
      </c>
      <c r="E10" t="s">
        <v>204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 t="n">
        <v>0</v>
      </c>
      <c r="AB10"/>
      <c r="AC10"/>
      <c r="AD10"/>
      <c r="AE10"/>
      <c r="AF10"/>
    </row>
    <row r="11">
      <c r="A11" t="s">
        <v>115</v>
      </c>
      <c r="B11" t="s">
        <v>292</v>
      </c>
      <c r="C11" t="s">
        <v>203</v>
      </c>
      <c r="D11" t="s">
        <v>293</v>
      </c>
      <c r="E11" t="s">
        <v>204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 t="n">
        <v>0</v>
      </c>
      <c r="AB11"/>
      <c r="AC11"/>
      <c r="AD11"/>
      <c r="AE11"/>
      <c r="AF11"/>
    </row>
    <row r="12">
      <c r="A12" t="s">
        <v>115</v>
      </c>
      <c r="B12" t="s">
        <v>294</v>
      </c>
      <c r="C12" t="s">
        <v>203</v>
      </c>
      <c r="D12" t="s">
        <v>295</v>
      </c>
      <c r="E12" t="s">
        <v>204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 t="n">
        <v>0</v>
      </c>
      <c r="AB12"/>
      <c r="AC12"/>
      <c r="AD12"/>
      <c r="AE12"/>
      <c r="AF12"/>
    </row>
    <row r="13">
      <c r="A13" t="s">
        <v>115</v>
      </c>
      <c r="B13" t="s">
        <v>296</v>
      </c>
      <c r="C13" t="s">
        <v>203</v>
      </c>
      <c r="D13" t="s">
        <v>297</v>
      </c>
      <c r="E13" t="s">
        <v>204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 t="n">
        <v>0</v>
      </c>
      <c r="AB13"/>
      <c r="AC13"/>
      <c r="AD13"/>
      <c r="AE13"/>
      <c r="AF13"/>
    </row>
    <row r="14">
      <c r="A14" t="s">
        <v>115</v>
      </c>
      <c r="B14" t="s">
        <v>298</v>
      </c>
      <c r="C14" t="s">
        <v>203</v>
      </c>
      <c r="D14" t="s">
        <v>299</v>
      </c>
      <c r="E14" t="s">
        <v>204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 t="n">
        <v>0</v>
      </c>
      <c r="AB14"/>
      <c r="AC14"/>
      <c r="AD14"/>
      <c r="AE14"/>
      <c r="AF14"/>
    </row>
    <row r="15">
      <c r="A15" t="s">
        <v>115</v>
      </c>
      <c r="B15" t="s">
        <v>300</v>
      </c>
      <c r="C15" t="s">
        <v>203</v>
      </c>
      <c r="D15" t="s">
        <v>301</v>
      </c>
      <c r="E15" t="s">
        <v>204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 t="n">
        <v>0</v>
      </c>
      <c r="AB15"/>
      <c r="AC15"/>
      <c r="AD15"/>
      <c r="AE15"/>
      <c r="AF15"/>
    </row>
    <row r="16">
      <c r="A16" t="s">
        <v>115</v>
      </c>
      <c r="B16" t="s">
        <v>302</v>
      </c>
      <c r="C16" t="s">
        <v>203</v>
      </c>
      <c r="D16" t="s">
        <v>303</v>
      </c>
      <c r="E16" t="s">
        <v>204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 t="n">
        <v>0</v>
      </c>
      <c r="AB16"/>
      <c r="AC16"/>
      <c r="AD16"/>
      <c r="AE16"/>
      <c r="AF16"/>
    </row>
    <row r="17">
      <c r="A17" t="s">
        <v>115</v>
      </c>
      <c r="B17" t="s">
        <v>304</v>
      </c>
      <c r="C17" t="s">
        <v>203</v>
      </c>
      <c r="D17" t="s">
        <v>305</v>
      </c>
      <c r="E17" t="s">
        <v>204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 t="n">
        <v>0</v>
      </c>
      <c r="AB17"/>
      <c r="AC17"/>
      <c r="AD17"/>
      <c r="AE17"/>
      <c r="AF17"/>
    </row>
    <row r="18">
      <c r="A18" t="s">
        <v>115</v>
      </c>
      <c r="B18" t="s">
        <v>306</v>
      </c>
      <c r="C18" t="s">
        <v>203</v>
      </c>
      <c r="D18" t="s">
        <v>307</v>
      </c>
      <c r="E18" t="s">
        <v>204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 t="n">
        <v>0</v>
      </c>
      <c r="AB18"/>
      <c r="AC18"/>
      <c r="AD18"/>
      <c r="AE18"/>
      <c r="AF18"/>
    </row>
    <row r="19">
      <c r="A19" t="s">
        <v>115</v>
      </c>
      <c r="B19" t="s">
        <v>308</v>
      </c>
      <c r="C19" t="s">
        <v>203</v>
      </c>
      <c r="D19" t="s">
        <v>309</v>
      </c>
      <c r="E19" t="s">
        <v>204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 t="n">
        <v>0</v>
      </c>
      <c r="AB19"/>
      <c r="AC19"/>
      <c r="AD19"/>
      <c r="AE19"/>
      <c r="AF19"/>
    </row>
    <row r="20">
      <c r="A20" t="s">
        <v>115</v>
      </c>
      <c r="B20" t="s">
        <v>310</v>
      </c>
      <c r="C20" t="s">
        <v>203</v>
      </c>
      <c r="D20" t="s">
        <v>311</v>
      </c>
      <c r="E20" t="s">
        <v>204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 t="n">
        <v>0</v>
      </c>
      <c r="AB20"/>
      <c r="AC20"/>
      <c r="AD20"/>
      <c r="AE20"/>
      <c r="AF20"/>
    </row>
    <row r="21">
      <c r="A21" t="s">
        <v>115</v>
      </c>
      <c r="B21" t="s">
        <v>312</v>
      </c>
      <c r="C21" t="s">
        <v>203</v>
      </c>
      <c r="D21" t="s">
        <v>313</v>
      </c>
      <c r="E21" t="s">
        <v>204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 t="n">
        <v>0</v>
      </c>
      <c r="AB21"/>
      <c r="AC21"/>
      <c r="AD21"/>
      <c r="AE21"/>
      <c r="AF21"/>
    </row>
    <row r="22">
      <c r="A22" t="s">
        <v>115</v>
      </c>
      <c r="B22" t="s">
        <v>314</v>
      </c>
      <c r="C22" t="s">
        <v>203</v>
      </c>
      <c r="D22" t="s">
        <v>315</v>
      </c>
      <c r="E22" t="s">
        <v>204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 t="n">
        <v>0</v>
      </c>
      <c r="AB22"/>
      <c r="AC22"/>
      <c r="AD22"/>
      <c r="AE22"/>
      <c r="AF22"/>
    </row>
    <row r="23">
      <c r="A23" t="s">
        <v>115</v>
      </c>
      <c r="B23" t="s">
        <v>316</v>
      </c>
      <c r="C23" t="s">
        <v>203</v>
      </c>
      <c r="D23" t="s">
        <v>317</v>
      </c>
      <c r="E23" t="s">
        <v>204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 t="n">
        <v>0</v>
      </c>
      <c r="AB23"/>
      <c r="AC23"/>
      <c r="AD23"/>
      <c r="AE23"/>
      <c r="AF23"/>
    </row>
    <row r="24">
      <c r="A24" t="s">
        <v>115</v>
      </c>
      <c r="B24" t="s">
        <v>318</v>
      </c>
      <c r="C24" t="s">
        <v>203</v>
      </c>
      <c r="D24" t="s">
        <v>319</v>
      </c>
      <c r="E24" t="s">
        <v>204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 t="n">
        <v>0</v>
      </c>
      <c r="AB24"/>
      <c r="AC24"/>
      <c r="AD24"/>
      <c r="AE24"/>
      <c r="AF24"/>
    </row>
    <row r="25">
      <c r="A25" t="s">
        <v>115</v>
      </c>
      <c r="B25" t="s">
        <v>320</v>
      </c>
      <c r="C25" t="s">
        <v>203</v>
      </c>
      <c r="D25" t="s">
        <v>321</v>
      </c>
      <c r="E25" t="s">
        <v>204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 t="n">
        <v>0</v>
      </c>
      <c r="AB25"/>
      <c r="AC25"/>
      <c r="AD25"/>
      <c r="AE25"/>
      <c r="AF25"/>
    </row>
    <row r="26">
      <c r="A26" t="s">
        <v>115</v>
      </c>
      <c r="B26" t="s">
        <v>322</v>
      </c>
      <c r="C26" t="s">
        <v>203</v>
      </c>
      <c r="D26" t="s">
        <v>323</v>
      </c>
      <c r="E26" t="s">
        <v>204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 t="n">
        <v>0</v>
      </c>
      <c r="AB26"/>
      <c r="AC26"/>
      <c r="AD26"/>
      <c r="AE26"/>
      <c r="AF26"/>
    </row>
    <row r="27">
      <c r="A27" t="s">
        <v>115</v>
      </c>
      <c r="B27" t="s">
        <v>324</v>
      </c>
      <c r="C27" t="s">
        <v>203</v>
      </c>
      <c r="D27" t="s">
        <v>325</v>
      </c>
      <c r="E27" t="s">
        <v>204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 t="n">
        <v>0</v>
      </c>
      <c r="AB27"/>
      <c r="AC27"/>
      <c r="AD27"/>
      <c r="AE27"/>
      <c r="AF27"/>
    </row>
    <row r="28">
      <c r="A28" t="s">
        <v>115</v>
      </c>
      <c r="B28" t="s">
        <v>326</v>
      </c>
      <c r="C28" t="s">
        <v>203</v>
      </c>
      <c r="D28" t="s">
        <v>327</v>
      </c>
      <c r="E28" t="s">
        <v>204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 t="n">
        <v>0</v>
      </c>
      <c r="AB28"/>
      <c r="AC28"/>
      <c r="AD28"/>
      <c r="AE28"/>
      <c r="AF28"/>
    </row>
    <row r="29">
      <c r="A29" t="s">
        <v>115</v>
      </c>
      <c r="B29" t="s">
        <v>328</v>
      </c>
      <c r="C29" t="s">
        <v>203</v>
      </c>
      <c r="D29" t="s">
        <v>329</v>
      </c>
      <c r="E29" t="s">
        <v>204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 t="n">
        <v>0</v>
      </c>
      <c r="AB29"/>
      <c r="AC29"/>
      <c r="AD29"/>
      <c r="AE29"/>
      <c r="AF29"/>
    </row>
    <row r="30">
      <c r="A30" t="s">
        <v>115</v>
      </c>
      <c r="B30" t="s">
        <v>330</v>
      </c>
      <c r="C30" t="s">
        <v>203</v>
      </c>
      <c r="D30" t="s">
        <v>331</v>
      </c>
      <c r="E30" t="s">
        <v>204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 t="n">
        <v>0</v>
      </c>
      <c r="AB30"/>
      <c r="AC30"/>
      <c r="AD30"/>
      <c r="AE30"/>
      <c r="AF30"/>
    </row>
    <row r="31">
      <c r="A31" t="s">
        <v>115</v>
      </c>
      <c r="B31" t="s">
        <v>332</v>
      </c>
      <c r="C31" t="s">
        <v>203</v>
      </c>
      <c r="D31" t="s">
        <v>333</v>
      </c>
      <c r="E31" t="s">
        <v>204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 t="n">
        <v>0</v>
      </c>
      <c r="AB31"/>
      <c r="AC31"/>
      <c r="AD31"/>
      <c r="AE31"/>
      <c r="AF31"/>
    </row>
    <row r="32">
      <c r="A32" t="s">
        <v>115</v>
      </c>
      <c r="B32" t="s">
        <v>334</v>
      </c>
      <c r="C32" t="s">
        <v>203</v>
      </c>
      <c r="D32" t="s">
        <v>335</v>
      </c>
      <c r="E32" t="s">
        <v>204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 t="n">
        <v>0</v>
      </c>
      <c r="AB32"/>
      <c r="AC32"/>
      <c r="AD32"/>
      <c r="AE32"/>
      <c r="AF32"/>
    </row>
    <row r="33">
      <c r="A33" t="s">
        <v>115</v>
      </c>
      <c r="B33" t="s">
        <v>336</v>
      </c>
      <c r="C33" t="s">
        <v>203</v>
      </c>
      <c r="D33" t="s">
        <v>337</v>
      </c>
      <c r="E33" t="s">
        <v>204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 t="n">
        <v>0</v>
      </c>
      <c r="AB33"/>
      <c r="AC33"/>
      <c r="AD33"/>
      <c r="AE33"/>
      <c r="AF33"/>
    </row>
    <row r="34">
      <c r="A34" t="s">
        <v>115</v>
      </c>
      <c r="B34" t="s">
        <v>338</v>
      </c>
      <c r="C34" t="s">
        <v>203</v>
      </c>
      <c r="D34" t="s">
        <v>339</v>
      </c>
      <c r="E34" t="s">
        <v>204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 t="n">
        <v>0</v>
      </c>
      <c r="AB34"/>
      <c r="AC34"/>
      <c r="AD34"/>
      <c r="AE34"/>
      <c r="AF34"/>
    </row>
    <row r="35">
      <c r="A35" t="s">
        <v>115</v>
      </c>
      <c r="B35" t="s">
        <v>340</v>
      </c>
      <c r="C35" t="s">
        <v>203</v>
      </c>
      <c r="D35" t="s">
        <v>341</v>
      </c>
      <c r="E35" t="s">
        <v>204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 t="n">
        <v>0</v>
      </c>
      <c r="AB35"/>
      <c r="AC35"/>
      <c r="AD35"/>
      <c r="AE35"/>
      <c r="AF35"/>
    </row>
    <row r="36">
      <c r="A36" t="s">
        <v>115</v>
      </c>
      <c r="B36" t="s">
        <v>342</v>
      </c>
      <c r="C36" t="s">
        <v>203</v>
      </c>
      <c r="D36" t="s">
        <v>343</v>
      </c>
      <c r="E36" t="s">
        <v>204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 t="n">
        <v>0</v>
      </c>
      <c r="AB36"/>
      <c r="AC36"/>
      <c r="AD36"/>
      <c r="AE36"/>
      <c r="AF36"/>
    </row>
    <row r="37">
      <c r="A37" t="s">
        <v>115</v>
      </c>
      <c r="B37" t="s">
        <v>344</v>
      </c>
      <c r="C37" t="s">
        <v>203</v>
      </c>
      <c r="D37" t="s">
        <v>345</v>
      </c>
      <c r="E37" t="s">
        <v>204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 t="n">
        <v>0</v>
      </c>
      <c r="AB37"/>
      <c r="AC37"/>
      <c r="AD37"/>
      <c r="AE37"/>
      <c r="AF37"/>
    </row>
    <row r="38">
      <c r="A38" t="s">
        <v>115</v>
      </c>
      <c r="B38" t="s">
        <v>346</v>
      </c>
      <c r="C38" t="s">
        <v>203</v>
      </c>
      <c r="D38" t="s">
        <v>347</v>
      </c>
      <c r="E38" t="s">
        <v>204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 t="n">
        <v>0</v>
      </c>
      <c r="AB38"/>
      <c r="AC38"/>
      <c r="AD38"/>
      <c r="AE38"/>
      <c r="AF38"/>
    </row>
    <row r="39">
      <c r="A39" t="s">
        <v>115</v>
      </c>
      <c r="B39" t="s">
        <v>348</v>
      </c>
      <c r="C39" t="s">
        <v>203</v>
      </c>
      <c r="D39" t="s">
        <v>349</v>
      </c>
      <c r="E39" t="s">
        <v>204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 t="n">
        <v>0</v>
      </c>
      <c r="AB39"/>
      <c r="AC39"/>
      <c r="AD39"/>
      <c r="AE39"/>
      <c r="AF39"/>
    </row>
    <row r="40">
      <c r="A40" t="s">
        <v>115</v>
      </c>
      <c r="B40" t="s">
        <v>350</v>
      </c>
      <c r="C40" t="s">
        <v>203</v>
      </c>
      <c r="D40" t="s">
        <v>351</v>
      </c>
      <c r="E40" t="s">
        <v>204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 t="n">
        <v>0</v>
      </c>
      <c r="AB40"/>
      <c r="AC40"/>
      <c r="AD40"/>
      <c r="AE40"/>
      <c r="AF40"/>
    </row>
    <row r="41">
      <c r="A41" t="s">
        <v>115</v>
      </c>
      <c r="B41" t="s">
        <v>352</v>
      </c>
      <c r="C41" t="s">
        <v>203</v>
      </c>
      <c r="D41" t="s">
        <v>353</v>
      </c>
      <c r="E41" t="s">
        <v>204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 t="n">
        <v>0</v>
      </c>
      <c r="AB41"/>
      <c r="AC41"/>
      <c r="AD41"/>
      <c r="AE41"/>
      <c r="AF41"/>
    </row>
    <row r="42">
      <c r="A42" t="s">
        <v>115</v>
      </c>
      <c r="B42" t="s">
        <v>354</v>
      </c>
      <c r="C42" t="s">
        <v>203</v>
      </c>
      <c r="D42" t="s">
        <v>355</v>
      </c>
      <c r="E42" t="s">
        <v>204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 t="n">
        <v>0</v>
      </c>
      <c r="AB42"/>
      <c r="AC42"/>
      <c r="AD42"/>
      <c r="AE42"/>
      <c r="AF42"/>
    </row>
    <row r="43">
      <c r="A43" t="s">
        <v>115</v>
      </c>
      <c r="B43" t="s">
        <v>356</v>
      </c>
      <c r="C43" t="s">
        <v>203</v>
      </c>
      <c r="D43" t="s">
        <v>357</v>
      </c>
      <c r="E43" t="s">
        <v>204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 t="n">
        <v>0</v>
      </c>
      <c r="AB43"/>
      <c r="AC43"/>
      <c r="AD43"/>
      <c r="AE43"/>
      <c r="AF43"/>
    </row>
    <row r="44">
      <c r="A44" t="s">
        <v>115</v>
      </c>
      <c r="B44" t="s">
        <v>358</v>
      </c>
      <c r="C44" t="s">
        <v>203</v>
      </c>
      <c r="D44" t="s">
        <v>359</v>
      </c>
      <c r="E44" t="s">
        <v>204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 t="n">
        <v>0</v>
      </c>
      <c r="AB44"/>
      <c r="AC44"/>
      <c r="AD44"/>
      <c r="AE44"/>
      <c r="AF44"/>
    </row>
    <row r="45">
      <c r="A45" t="s">
        <v>115</v>
      </c>
      <c r="B45" t="s">
        <v>360</v>
      </c>
      <c r="C45" t="s">
        <v>203</v>
      </c>
      <c r="D45" t="s">
        <v>361</v>
      </c>
      <c r="E45" t="s">
        <v>204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 t="n">
        <v>0</v>
      </c>
      <c r="AB45"/>
      <c r="AC45"/>
      <c r="AD45"/>
      <c r="AE45"/>
      <c r="AF45"/>
    </row>
    <row r="46">
      <c r="A46" t="s">
        <v>115</v>
      </c>
      <c r="B46" t="s">
        <v>362</v>
      </c>
      <c r="C46" t="s">
        <v>203</v>
      </c>
      <c r="D46" t="s">
        <v>363</v>
      </c>
      <c r="E46" t="s">
        <v>204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 t="n">
        <v>0</v>
      </c>
      <c r="AB46"/>
      <c r="AC46"/>
      <c r="AD46"/>
      <c r="AE46"/>
      <c r="AF46"/>
    </row>
    <row r="47">
      <c r="A47" t="s">
        <v>115</v>
      </c>
      <c r="B47" t="s">
        <v>364</v>
      </c>
      <c r="C47" t="s">
        <v>203</v>
      </c>
      <c r="D47" t="s">
        <v>365</v>
      </c>
      <c r="E47" t="s">
        <v>204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 t="n">
        <v>0</v>
      </c>
      <c r="AB47"/>
      <c r="AC47"/>
      <c r="AD47"/>
      <c r="AE47"/>
      <c r="AF47"/>
    </row>
    <row r="48">
      <c r="A48" t="s">
        <v>115</v>
      </c>
      <c r="B48" t="s">
        <v>366</v>
      </c>
      <c r="C48" t="s">
        <v>203</v>
      </c>
      <c r="D48" t="s">
        <v>367</v>
      </c>
      <c r="E48" t="s">
        <v>204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 t="n">
        <v>0</v>
      </c>
      <c r="AB48"/>
      <c r="AC48"/>
      <c r="AD48"/>
      <c r="AE48"/>
      <c r="AF48"/>
    </row>
    <row r="49">
      <c r="A49" t="s">
        <v>115</v>
      </c>
      <c r="B49" t="s">
        <v>368</v>
      </c>
      <c r="C49" t="s">
        <v>203</v>
      </c>
      <c r="D49" t="s">
        <v>369</v>
      </c>
      <c r="E49" t="s">
        <v>204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 t="n">
        <v>0</v>
      </c>
      <c r="AB49"/>
      <c r="AC49"/>
      <c r="AD49"/>
      <c r="AE49"/>
      <c r="AF49"/>
    </row>
    <row r="50">
      <c r="A50" t="s">
        <v>115</v>
      </c>
      <c r="B50" t="s">
        <v>370</v>
      </c>
      <c r="C50" t="s">
        <v>203</v>
      </c>
      <c r="D50" t="s">
        <v>371</v>
      </c>
      <c r="E50" t="s">
        <v>204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 t="n">
        <v>0</v>
      </c>
      <c r="AB50"/>
      <c r="AC50"/>
      <c r="AD50"/>
      <c r="AE50"/>
      <c r="AF50"/>
    </row>
    <row r="51">
      <c r="A51" t="s">
        <v>115</v>
      </c>
      <c r="B51" t="s">
        <v>372</v>
      </c>
      <c r="C51" t="s">
        <v>203</v>
      </c>
      <c r="D51" t="s">
        <v>373</v>
      </c>
      <c r="E51" t="s">
        <v>204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 t="n">
        <v>0</v>
      </c>
      <c r="AB51"/>
      <c r="AC51"/>
      <c r="AD51"/>
      <c r="AE51"/>
      <c r="AF51"/>
    </row>
    <row r="52">
      <c r="A52" t="s">
        <v>115</v>
      </c>
      <c r="B52" t="s">
        <v>374</v>
      </c>
      <c r="C52" t="s">
        <v>203</v>
      </c>
      <c r="D52" t="s">
        <v>375</v>
      </c>
      <c r="E52" t="s">
        <v>204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 t="n">
        <v>0</v>
      </c>
      <c r="AB52"/>
      <c r="AC52"/>
      <c r="AD52"/>
      <c r="AE52"/>
      <c r="AF52"/>
    </row>
    <row r="53">
      <c r="A53" t="s">
        <v>115</v>
      </c>
      <c r="B53" t="s">
        <v>376</v>
      </c>
      <c r="C53" t="s">
        <v>203</v>
      </c>
      <c r="D53" t="s">
        <v>377</v>
      </c>
      <c r="E53" t="s">
        <v>204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 t="n">
        <v>0</v>
      </c>
      <c r="AB53"/>
      <c r="AC53"/>
      <c r="AD53"/>
      <c r="AE53"/>
      <c r="AF53"/>
    </row>
    <row r="54">
      <c r="A54" t="s">
        <v>115</v>
      </c>
      <c r="B54" t="s">
        <v>378</v>
      </c>
      <c r="C54" t="s">
        <v>203</v>
      </c>
      <c r="D54" t="s">
        <v>379</v>
      </c>
      <c r="E54" t="s">
        <v>204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 t="n">
        <v>0</v>
      </c>
      <c r="AB54"/>
      <c r="AC54"/>
      <c r="AD54"/>
      <c r="AE54"/>
      <c r="AF54"/>
    </row>
    <row r="55">
      <c r="A55" t="s">
        <v>115</v>
      </c>
      <c r="B55" t="s">
        <v>380</v>
      </c>
      <c r="C55" t="s">
        <v>203</v>
      </c>
      <c r="D55" t="s">
        <v>381</v>
      </c>
      <c r="E55" t="s">
        <v>204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 t="n">
        <v>0</v>
      </c>
      <c r="AB55"/>
      <c r="AC55"/>
      <c r="AD55"/>
      <c r="AE55"/>
      <c r="AF55"/>
    </row>
    <row r="56">
      <c r="A56" t="s">
        <v>115</v>
      </c>
      <c r="B56" t="s">
        <v>382</v>
      </c>
      <c r="C56" t="s">
        <v>203</v>
      </c>
      <c r="D56" t="s">
        <v>383</v>
      </c>
      <c r="E56" t="s">
        <v>204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 t="n">
        <v>0</v>
      </c>
      <c r="AB56"/>
      <c r="AC56"/>
      <c r="AD56"/>
      <c r="AE56"/>
      <c r="AF56"/>
    </row>
    <row r="57">
      <c r="A57" t="s">
        <v>115</v>
      </c>
      <c r="B57" t="s">
        <v>384</v>
      </c>
      <c r="C57" t="s">
        <v>203</v>
      </c>
      <c r="D57" t="s">
        <v>385</v>
      </c>
      <c r="E57" t="s">
        <v>204</v>
      </c>
      <c r="F57"/>
      <c r="G57"/>
      <c r="H57"/>
      <c r="I57"/>
      <c r="J57"/>
      <c r="K57" t="n">
        <v>147636.3</v>
      </c>
      <c r="L57" t="n">
        <v>148722.5</v>
      </c>
      <c r="M57" t="n">
        <v>168794.7</v>
      </c>
      <c r="N57" t="n">
        <v>175189</v>
      </c>
      <c r="O57" t="n">
        <v>180167.9</v>
      </c>
      <c r="P57" t="n">
        <v>193144.4</v>
      </c>
      <c r="Q57" t="n">
        <v>217074.8</v>
      </c>
      <c r="R57" t="n">
        <v>240842.8</v>
      </c>
      <c r="S57" t="n">
        <v>282826.8</v>
      </c>
      <c r="T57" t="n">
        <v>315643.4</v>
      </c>
      <c r="U57" t="n">
        <v>322397.7</v>
      </c>
      <c r="V57" t="n">
        <v>339767.8</v>
      </c>
      <c r="W57" t="n">
        <v>353769.9</v>
      </c>
      <c r="X57" t="n">
        <v>360023.3</v>
      </c>
      <c r="Y57" t="n">
        <v>353877.7</v>
      </c>
      <c r="Z57" t="n">
        <v>370907.4</v>
      </c>
      <c r="AA57" t="n">
        <v>372683.9</v>
      </c>
      <c r="AB57" t="n">
        <v>387088</v>
      </c>
      <c r="AC57" t="n">
        <v>400117.4</v>
      </c>
      <c r="AD57" t="n">
        <v>420330</v>
      </c>
      <c r="AE57" t="n">
        <v>431826.2</v>
      </c>
      <c r="AF57" t="n">
        <v>466103.5</v>
      </c>
    </row>
    <row r="58">
      <c r="A58" t="s">
        <v>115</v>
      </c>
      <c r="B58" t="s">
        <v>386</v>
      </c>
      <c r="C58" t="s">
        <v>203</v>
      </c>
      <c r="D58" t="s">
        <v>387</v>
      </c>
      <c r="E58" t="s">
        <v>204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 t="n">
        <v>0</v>
      </c>
      <c r="AB58"/>
      <c r="AC58"/>
      <c r="AD58"/>
      <c r="AE58"/>
      <c r="AF58"/>
    </row>
    <row r="59">
      <c r="A59" t="s">
        <v>115</v>
      </c>
      <c r="B59" t="s">
        <v>388</v>
      </c>
      <c r="C59" t="s">
        <v>203</v>
      </c>
      <c r="D59" t="s">
        <v>389</v>
      </c>
      <c r="E59" t="s">
        <v>204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 t="n">
        <v>0</v>
      </c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118</v>
      </c>
      <c r="B2" t="s">
        <v>197</v>
      </c>
      <c r="C2" t="s">
        <v>203</v>
      </c>
      <c r="D2" t="s">
        <v>199</v>
      </c>
      <c r="E2" t="s">
        <v>204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118</v>
      </c>
      <c r="B3" t="s">
        <v>276</v>
      </c>
      <c r="C3" t="s">
        <v>203</v>
      </c>
      <c r="D3" t="s">
        <v>277</v>
      </c>
      <c r="E3" t="s">
        <v>204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118</v>
      </c>
      <c r="B4" t="s">
        <v>278</v>
      </c>
      <c r="C4" t="s">
        <v>203</v>
      </c>
      <c r="D4" t="s">
        <v>279</v>
      </c>
      <c r="E4" t="s">
        <v>204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118</v>
      </c>
      <c r="B5" t="s">
        <v>280</v>
      </c>
      <c r="C5" t="s">
        <v>203</v>
      </c>
      <c r="D5" t="s">
        <v>281</v>
      </c>
      <c r="E5" t="s">
        <v>204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118</v>
      </c>
      <c r="B6" t="s">
        <v>282</v>
      </c>
      <c r="C6" t="s">
        <v>203</v>
      </c>
      <c r="D6" t="s">
        <v>283</v>
      </c>
      <c r="E6" t="s">
        <v>204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118</v>
      </c>
      <c r="B7" t="s">
        <v>284</v>
      </c>
      <c r="C7" t="s">
        <v>203</v>
      </c>
      <c r="D7" t="s">
        <v>285</v>
      </c>
      <c r="E7" t="s">
        <v>204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118</v>
      </c>
      <c r="B8" t="s">
        <v>286</v>
      </c>
      <c r="C8" t="s">
        <v>203</v>
      </c>
      <c r="D8" t="s">
        <v>287</v>
      </c>
      <c r="E8" t="s">
        <v>204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118</v>
      </c>
      <c r="B9" t="s">
        <v>288</v>
      </c>
      <c r="C9" t="s">
        <v>203</v>
      </c>
      <c r="D9" t="s">
        <v>289</v>
      </c>
      <c r="E9" t="s">
        <v>204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118</v>
      </c>
      <c r="B10" t="s">
        <v>290</v>
      </c>
      <c r="C10" t="s">
        <v>203</v>
      </c>
      <c r="D10" t="s">
        <v>291</v>
      </c>
      <c r="E10" t="s">
        <v>204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118</v>
      </c>
      <c r="B11" t="s">
        <v>292</v>
      </c>
      <c r="C11" t="s">
        <v>203</v>
      </c>
      <c r="D11" t="s">
        <v>293</v>
      </c>
      <c r="E11" t="s">
        <v>204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118</v>
      </c>
      <c r="B12" t="s">
        <v>294</v>
      </c>
      <c r="C12" t="s">
        <v>203</v>
      </c>
      <c r="D12" t="s">
        <v>295</v>
      </c>
      <c r="E12" t="s">
        <v>204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118</v>
      </c>
      <c r="B13" t="s">
        <v>296</v>
      </c>
      <c r="C13" t="s">
        <v>203</v>
      </c>
      <c r="D13" t="s">
        <v>297</v>
      </c>
      <c r="E13" t="s">
        <v>204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118</v>
      </c>
      <c r="B14" t="s">
        <v>298</v>
      </c>
      <c r="C14" t="s">
        <v>203</v>
      </c>
      <c r="D14" t="s">
        <v>299</v>
      </c>
      <c r="E14" t="s">
        <v>204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118</v>
      </c>
      <c r="B15" t="s">
        <v>300</v>
      </c>
      <c r="C15" t="s">
        <v>203</v>
      </c>
      <c r="D15" t="s">
        <v>301</v>
      </c>
      <c r="E15" t="s">
        <v>204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118</v>
      </c>
      <c r="B16" t="s">
        <v>302</v>
      </c>
      <c r="C16" t="s">
        <v>203</v>
      </c>
      <c r="D16" t="s">
        <v>303</v>
      </c>
      <c r="E16" t="s">
        <v>204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118</v>
      </c>
      <c r="B17" t="s">
        <v>304</v>
      </c>
      <c r="C17" t="s">
        <v>203</v>
      </c>
      <c r="D17" t="s">
        <v>305</v>
      </c>
      <c r="E17" t="s">
        <v>204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118</v>
      </c>
      <c r="B18" t="s">
        <v>306</v>
      </c>
      <c r="C18" t="s">
        <v>203</v>
      </c>
      <c r="D18" t="s">
        <v>307</v>
      </c>
      <c r="E18" t="s">
        <v>204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118</v>
      </c>
      <c r="B19" t="s">
        <v>308</v>
      </c>
      <c r="C19" t="s">
        <v>203</v>
      </c>
      <c r="D19" t="s">
        <v>309</v>
      </c>
      <c r="E19" t="s">
        <v>204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118</v>
      </c>
      <c r="B20" t="s">
        <v>310</v>
      </c>
      <c r="C20" t="s">
        <v>203</v>
      </c>
      <c r="D20" t="s">
        <v>311</v>
      </c>
      <c r="E20" t="s">
        <v>204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118</v>
      </c>
      <c r="B21" t="s">
        <v>312</v>
      </c>
      <c r="C21" t="s">
        <v>203</v>
      </c>
      <c r="D21" t="s">
        <v>313</v>
      </c>
      <c r="E21" t="s">
        <v>204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118</v>
      </c>
      <c r="B22" t="s">
        <v>314</v>
      </c>
      <c r="C22" t="s">
        <v>203</v>
      </c>
      <c r="D22" t="s">
        <v>315</v>
      </c>
      <c r="E22" t="s">
        <v>204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118</v>
      </c>
      <c r="B23" t="s">
        <v>316</v>
      </c>
      <c r="C23" t="s">
        <v>203</v>
      </c>
      <c r="D23" t="s">
        <v>317</v>
      </c>
      <c r="E23" t="s">
        <v>204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118</v>
      </c>
      <c r="B24" t="s">
        <v>318</v>
      </c>
      <c r="C24" t="s">
        <v>203</v>
      </c>
      <c r="D24" t="s">
        <v>319</v>
      </c>
      <c r="E24" t="s">
        <v>204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118</v>
      </c>
      <c r="B25" t="s">
        <v>320</v>
      </c>
      <c r="C25" t="s">
        <v>203</v>
      </c>
      <c r="D25" t="s">
        <v>321</v>
      </c>
      <c r="E25" t="s">
        <v>204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118</v>
      </c>
      <c r="B26" t="s">
        <v>322</v>
      </c>
      <c r="C26" t="s">
        <v>203</v>
      </c>
      <c r="D26" t="s">
        <v>323</v>
      </c>
      <c r="E26" t="s">
        <v>204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118</v>
      </c>
      <c r="B27" t="s">
        <v>324</v>
      </c>
      <c r="C27" t="s">
        <v>203</v>
      </c>
      <c r="D27" t="s">
        <v>325</v>
      </c>
      <c r="E27" t="s">
        <v>204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118</v>
      </c>
      <c r="B28" t="s">
        <v>326</v>
      </c>
      <c r="C28" t="s">
        <v>203</v>
      </c>
      <c r="D28" t="s">
        <v>327</v>
      </c>
      <c r="E28" t="s">
        <v>204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118</v>
      </c>
      <c r="B29" t="s">
        <v>328</v>
      </c>
      <c r="C29" t="s">
        <v>203</v>
      </c>
      <c r="D29" t="s">
        <v>329</v>
      </c>
      <c r="E29" t="s">
        <v>204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118</v>
      </c>
      <c r="B30" t="s">
        <v>330</v>
      </c>
      <c r="C30" t="s">
        <v>203</v>
      </c>
      <c r="D30" t="s">
        <v>331</v>
      </c>
      <c r="E30" t="s">
        <v>204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118</v>
      </c>
      <c r="B31" t="s">
        <v>332</v>
      </c>
      <c r="C31" t="s">
        <v>203</v>
      </c>
      <c r="D31" t="s">
        <v>333</v>
      </c>
      <c r="E31" t="s">
        <v>204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118</v>
      </c>
      <c r="B32" t="s">
        <v>334</v>
      </c>
      <c r="C32" t="s">
        <v>203</v>
      </c>
      <c r="D32" t="s">
        <v>335</v>
      </c>
      <c r="E32" t="s">
        <v>204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118</v>
      </c>
      <c r="B33" t="s">
        <v>336</v>
      </c>
      <c r="C33" t="s">
        <v>203</v>
      </c>
      <c r="D33" t="s">
        <v>337</v>
      </c>
      <c r="E33" t="s">
        <v>204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118</v>
      </c>
      <c r="B34" t="s">
        <v>338</v>
      </c>
      <c r="C34" t="s">
        <v>203</v>
      </c>
      <c r="D34" t="s">
        <v>339</v>
      </c>
      <c r="E34" t="s">
        <v>204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118</v>
      </c>
      <c r="B35" t="s">
        <v>340</v>
      </c>
      <c r="C35" t="s">
        <v>203</v>
      </c>
      <c r="D35" t="s">
        <v>341</v>
      </c>
      <c r="E35" t="s">
        <v>204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118</v>
      </c>
      <c r="B36" t="s">
        <v>342</v>
      </c>
      <c r="C36" t="s">
        <v>203</v>
      </c>
      <c r="D36" t="s">
        <v>343</v>
      </c>
      <c r="E36" t="s">
        <v>204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118</v>
      </c>
      <c r="B37" t="s">
        <v>344</v>
      </c>
      <c r="C37" t="s">
        <v>203</v>
      </c>
      <c r="D37" t="s">
        <v>345</v>
      </c>
      <c r="E37" t="s">
        <v>204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118</v>
      </c>
      <c r="B38" t="s">
        <v>346</v>
      </c>
      <c r="C38" t="s">
        <v>203</v>
      </c>
      <c r="D38" t="s">
        <v>347</v>
      </c>
      <c r="E38" t="s">
        <v>204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118</v>
      </c>
      <c r="B39" t="s">
        <v>348</v>
      </c>
      <c r="C39" t="s">
        <v>203</v>
      </c>
      <c r="D39" t="s">
        <v>349</v>
      </c>
      <c r="E39" t="s">
        <v>204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118</v>
      </c>
      <c r="B40" t="s">
        <v>350</v>
      </c>
      <c r="C40" t="s">
        <v>203</v>
      </c>
      <c r="D40" t="s">
        <v>351</v>
      </c>
      <c r="E40" t="s">
        <v>204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118</v>
      </c>
      <c r="B41" t="s">
        <v>352</v>
      </c>
      <c r="C41" t="s">
        <v>203</v>
      </c>
      <c r="D41" t="s">
        <v>353</v>
      </c>
      <c r="E41" t="s">
        <v>204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118</v>
      </c>
      <c r="B42" t="s">
        <v>354</v>
      </c>
      <c r="C42" t="s">
        <v>203</v>
      </c>
      <c r="D42" t="s">
        <v>355</v>
      </c>
      <c r="E42" t="s">
        <v>204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118</v>
      </c>
      <c r="B43" t="s">
        <v>356</v>
      </c>
      <c r="C43" t="s">
        <v>203</v>
      </c>
      <c r="D43" t="s">
        <v>357</v>
      </c>
      <c r="E43" t="s">
        <v>204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118</v>
      </c>
      <c r="B44" t="s">
        <v>358</v>
      </c>
      <c r="C44" t="s">
        <v>203</v>
      </c>
      <c r="D44" t="s">
        <v>359</v>
      </c>
      <c r="E44" t="s">
        <v>204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118</v>
      </c>
      <c r="B45" t="s">
        <v>360</v>
      </c>
      <c r="C45" t="s">
        <v>203</v>
      </c>
      <c r="D45" t="s">
        <v>361</v>
      </c>
      <c r="E45" t="s">
        <v>204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118</v>
      </c>
      <c r="B46" t="s">
        <v>362</v>
      </c>
      <c r="C46" t="s">
        <v>203</v>
      </c>
      <c r="D46" t="s">
        <v>363</v>
      </c>
      <c r="E46" t="s">
        <v>204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118</v>
      </c>
      <c r="B47" t="s">
        <v>364</v>
      </c>
      <c r="C47" t="s">
        <v>203</v>
      </c>
      <c r="D47" t="s">
        <v>365</v>
      </c>
      <c r="E47" t="s">
        <v>204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118</v>
      </c>
      <c r="B48" t="s">
        <v>366</v>
      </c>
      <c r="C48" t="s">
        <v>203</v>
      </c>
      <c r="D48" t="s">
        <v>367</v>
      </c>
      <c r="E48" t="s">
        <v>204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118</v>
      </c>
      <c r="B49" t="s">
        <v>368</v>
      </c>
      <c r="C49" t="s">
        <v>203</v>
      </c>
      <c r="D49" t="s">
        <v>369</v>
      </c>
      <c r="E49" t="s">
        <v>204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118</v>
      </c>
      <c r="B50" t="s">
        <v>370</v>
      </c>
      <c r="C50" t="s">
        <v>203</v>
      </c>
      <c r="D50" t="s">
        <v>371</v>
      </c>
      <c r="E50" t="s">
        <v>204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118</v>
      </c>
      <c r="B51" t="s">
        <v>372</v>
      </c>
      <c r="C51" t="s">
        <v>203</v>
      </c>
      <c r="D51" t="s">
        <v>373</v>
      </c>
      <c r="E51" t="s">
        <v>204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118</v>
      </c>
      <c r="B52" t="s">
        <v>374</v>
      </c>
      <c r="C52" t="s">
        <v>203</v>
      </c>
      <c r="D52" t="s">
        <v>375</v>
      </c>
      <c r="E52" t="s">
        <v>204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118</v>
      </c>
      <c r="B53" t="s">
        <v>376</v>
      </c>
      <c r="C53" t="s">
        <v>203</v>
      </c>
      <c r="D53" t="s">
        <v>377</v>
      </c>
      <c r="E53" t="s">
        <v>204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118</v>
      </c>
      <c r="B54" t="s">
        <v>378</v>
      </c>
      <c r="C54" t="s">
        <v>203</v>
      </c>
      <c r="D54" t="s">
        <v>379</v>
      </c>
      <c r="E54" t="s">
        <v>204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118</v>
      </c>
      <c r="B55" t="s">
        <v>380</v>
      </c>
      <c r="C55" t="s">
        <v>203</v>
      </c>
      <c r="D55" t="s">
        <v>381</v>
      </c>
      <c r="E55" t="s">
        <v>204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118</v>
      </c>
      <c r="B56" t="s">
        <v>382</v>
      </c>
      <c r="C56" t="s">
        <v>203</v>
      </c>
      <c r="D56" t="s">
        <v>383</v>
      </c>
      <c r="E56" t="s">
        <v>204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118</v>
      </c>
      <c r="B57" t="s">
        <v>384</v>
      </c>
      <c r="C57" t="s">
        <v>203</v>
      </c>
      <c r="D57" t="s">
        <v>385</v>
      </c>
      <c r="E57" t="s">
        <v>204</v>
      </c>
      <c r="F57"/>
      <c r="G57"/>
      <c r="H57"/>
      <c r="I57"/>
      <c r="J57"/>
      <c r="K57" t="n">
        <v>166.6</v>
      </c>
      <c r="L57" t="n">
        <v>133.2</v>
      </c>
      <c r="M57" t="n">
        <v>169.6</v>
      </c>
      <c r="N57" t="n">
        <v>202.4</v>
      </c>
      <c r="O57" t="n">
        <v>186.8</v>
      </c>
      <c r="P57" t="n">
        <v>145.4</v>
      </c>
      <c r="Q57" t="n">
        <v>92.8</v>
      </c>
      <c r="R57" t="n">
        <v>123.7</v>
      </c>
      <c r="S57" t="n">
        <v>146.3</v>
      </c>
      <c r="T57" t="n">
        <v>325</v>
      </c>
      <c r="U57" t="n">
        <v>314.2</v>
      </c>
      <c r="V57" t="n">
        <v>289.7</v>
      </c>
      <c r="W57" t="n">
        <v>614.2</v>
      </c>
      <c r="X57" t="n">
        <v>566.7</v>
      </c>
      <c r="Y57" t="n">
        <v>570.1</v>
      </c>
      <c r="Z57" t="n">
        <v>398.8</v>
      </c>
      <c r="AA57" t="n">
        <v>294.1</v>
      </c>
      <c r="AB57" t="n">
        <v>258.8</v>
      </c>
      <c r="AC57" t="n">
        <v>222.5</v>
      </c>
      <c r="AD57" t="n">
        <v>78.4</v>
      </c>
      <c r="AE57" t="n">
        <v>79.3</v>
      </c>
      <c r="AF57" t="n">
        <v>326.8</v>
      </c>
    </row>
    <row r="58">
      <c r="A58" t="s">
        <v>118</v>
      </c>
      <c r="B58" t="s">
        <v>386</v>
      </c>
      <c r="C58" t="s">
        <v>203</v>
      </c>
      <c r="D58" t="s">
        <v>387</v>
      </c>
      <c r="E58" t="s">
        <v>204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118</v>
      </c>
      <c r="B59" t="s">
        <v>388</v>
      </c>
      <c r="C59" t="s">
        <v>203</v>
      </c>
      <c r="D59" t="s">
        <v>389</v>
      </c>
      <c r="E59" t="s">
        <v>204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120</v>
      </c>
      <c r="B2" t="s">
        <v>197</v>
      </c>
      <c r="C2" t="s">
        <v>203</v>
      </c>
      <c r="D2" t="s">
        <v>199</v>
      </c>
      <c r="E2" t="s">
        <v>204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120</v>
      </c>
      <c r="B3" t="s">
        <v>276</v>
      </c>
      <c r="C3" t="s">
        <v>203</v>
      </c>
      <c r="D3" t="s">
        <v>277</v>
      </c>
      <c r="E3" t="s">
        <v>204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120</v>
      </c>
      <c r="B4" t="s">
        <v>278</v>
      </c>
      <c r="C4" t="s">
        <v>203</v>
      </c>
      <c r="D4" t="s">
        <v>279</v>
      </c>
      <c r="E4" t="s">
        <v>204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120</v>
      </c>
      <c r="B5" t="s">
        <v>280</v>
      </c>
      <c r="C5" t="s">
        <v>203</v>
      </c>
      <c r="D5" t="s">
        <v>281</v>
      </c>
      <c r="E5" t="s">
        <v>204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120</v>
      </c>
      <c r="B6" t="s">
        <v>282</v>
      </c>
      <c r="C6" t="s">
        <v>203</v>
      </c>
      <c r="D6" t="s">
        <v>283</v>
      </c>
      <c r="E6" t="s">
        <v>204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120</v>
      </c>
      <c r="B7" t="s">
        <v>284</v>
      </c>
      <c r="C7" t="s">
        <v>203</v>
      </c>
      <c r="D7" t="s">
        <v>285</v>
      </c>
      <c r="E7" t="s">
        <v>204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120</v>
      </c>
      <c r="B8" t="s">
        <v>286</v>
      </c>
      <c r="C8" t="s">
        <v>203</v>
      </c>
      <c r="D8" t="s">
        <v>287</v>
      </c>
      <c r="E8" t="s">
        <v>204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120</v>
      </c>
      <c r="B9" t="s">
        <v>288</v>
      </c>
      <c r="C9" t="s">
        <v>203</v>
      </c>
      <c r="D9" t="s">
        <v>289</v>
      </c>
      <c r="E9" t="s">
        <v>204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120</v>
      </c>
      <c r="B10" t="s">
        <v>290</v>
      </c>
      <c r="C10" t="s">
        <v>203</v>
      </c>
      <c r="D10" t="s">
        <v>291</v>
      </c>
      <c r="E10" t="s">
        <v>204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120</v>
      </c>
      <c r="B11" t="s">
        <v>292</v>
      </c>
      <c r="C11" t="s">
        <v>203</v>
      </c>
      <c r="D11" t="s">
        <v>293</v>
      </c>
      <c r="E11" t="s">
        <v>204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120</v>
      </c>
      <c r="B12" t="s">
        <v>294</v>
      </c>
      <c r="C12" t="s">
        <v>203</v>
      </c>
      <c r="D12" t="s">
        <v>295</v>
      </c>
      <c r="E12" t="s">
        <v>204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120</v>
      </c>
      <c r="B13" t="s">
        <v>296</v>
      </c>
      <c r="C13" t="s">
        <v>203</v>
      </c>
      <c r="D13" t="s">
        <v>297</v>
      </c>
      <c r="E13" t="s">
        <v>204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120</v>
      </c>
      <c r="B14" t="s">
        <v>298</v>
      </c>
      <c r="C14" t="s">
        <v>203</v>
      </c>
      <c r="D14" t="s">
        <v>299</v>
      </c>
      <c r="E14" t="s">
        <v>204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120</v>
      </c>
      <c r="B15" t="s">
        <v>300</v>
      </c>
      <c r="C15" t="s">
        <v>203</v>
      </c>
      <c r="D15" t="s">
        <v>301</v>
      </c>
      <c r="E15" t="s">
        <v>204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120</v>
      </c>
      <c r="B16" t="s">
        <v>302</v>
      </c>
      <c r="C16" t="s">
        <v>203</v>
      </c>
      <c r="D16" t="s">
        <v>303</v>
      </c>
      <c r="E16" t="s">
        <v>204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120</v>
      </c>
      <c r="B17" t="s">
        <v>304</v>
      </c>
      <c r="C17" t="s">
        <v>203</v>
      </c>
      <c r="D17" t="s">
        <v>305</v>
      </c>
      <c r="E17" t="s">
        <v>204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120</v>
      </c>
      <c r="B18" t="s">
        <v>306</v>
      </c>
      <c r="C18" t="s">
        <v>203</v>
      </c>
      <c r="D18" t="s">
        <v>307</v>
      </c>
      <c r="E18" t="s">
        <v>204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120</v>
      </c>
      <c r="B19" t="s">
        <v>308</v>
      </c>
      <c r="C19" t="s">
        <v>203</v>
      </c>
      <c r="D19" t="s">
        <v>309</v>
      </c>
      <c r="E19" t="s">
        <v>204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120</v>
      </c>
      <c r="B20" t="s">
        <v>310</v>
      </c>
      <c r="C20" t="s">
        <v>203</v>
      </c>
      <c r="D20" t="s">
        <v>311</v>
      </c>
      <c r="E20" t="s">
        <v>204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120</v>
      </c>
      <c r="B21" t="s">
        <v>312</v>
      </c>
      <c r="C21" t="s">
        <v>203</v>
      </c>
      <c r="D21" t="s">
        <v>313</v>
      </c>
      <c r="E21" t="s">
        <v>204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120</v>
      </c>
      <c r="B22" t="s">
        <v>314</v>
      </c>
      <c r="C22" t="s">
        <v>203</v>
      </c>
      <c r="D22" t="s">
        <v>315</v>
      </c>
      <c r="E22" t="s">
        <v>204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120</v>
      </c>
      <c r="B23" t="s">
        <v>316</v>
      </c>
      <c r="C23" t="s">
        <v>203</v>
      </c>
      <c r="D23" t="s">
        <v>317</v>
      </c>
      <c r="E23" t="s">
        <v>204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120</v>
      </c>
      <c r="B24" t="s">
        <v>318</v>
      </c>
      <c r="C24" t="s">
        <v>203</v>
      </c>
      <c r="D24" t="s">
        <v>319</v>
      </c>
      <c r="E24" t="s">
        <v>204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120</v>
      </c>
      <c r="B25" t="s">
        <v>320</v>
      </c>
      <c r="C25" t="s">
        <v>203</v>
      </c>
      <c r="D25" t="s">
        <v>321</v>
      </c>
      <c r="E25" t="s">
        <v>204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120</v>
      </c>
      <c r="B26" t="s">
        <v>322</v>
      </c>
      <c r="C26" t="s">
        <v>203</v>
      </c>
      <c r="D26" t="s">
        <v>323</v>
      </c>
      <c r="E26" t="s">
        <v>204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120</v>
      </c>
      <c r="B27" t="s">
        <v>324</v>
      </c>
      <c r="C27" t="s">
        <v>203</v>
      </c>
      <c r="D27" t="s">
        <v>325</v>
      </c>
      <c r="E27" t="s">
        <v>204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120</v>
      </c>
      <c r="B28" t="s">
        <v>326</v>
      </c>
      <c r="C28" t="s">
        <v>203</v>
      </c>
      <c r="D28" t="s">
        <v>327</v>
      </c>
      <c r="E28" t="s">
        <v>204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120</v>
      </c>
      <c r="B29" t="s">
        <v>328</v>
      </c>
      <c r="C29" t="s">
        <v>203</v>
      </c>
      <c r="D29" t="s">
        <v>329</v>
      </c>
      <c r="E29" t="s">
        <v>204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120</v>
      </c>
      <c r="B30" t="s">
        <v>330</v>
      </c>
      <c r="C30" t="s">
        <v>203</v>
      </c>
      <c r="D30" t="s">
        <v>331</v>
      </c>
      <c r="E30" t="s">
        <v>204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120</v>
      </c>
      <c r="B31" t="s">
        <v>332</v>
      </c>
      <c r="C31" t="s">
        <v>203</v>
      </c>
      <c r="D31" t="s">
        <v>333</v>
      </c>
      <c r="E31" t="s">
        <v>204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120</v>
      </c>
      <c r="B32" t="s">
        <v>334</v>
      </c>
      <c r="C32" t="s">
        <v>203</v>
      </c>
      <c r="D32" t="s">
        <v>335</v>
      </c>
      <c r="E32" t="s">
        <v>204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120</v>
      </c>
      <c r="B33" t="s">
        <v>336</v>
      </c>
      <c r="C33" t="s">
        <v>203</v>
      </c>
      <c r="D33" t="s">
        <v>337</v>
      </c>
      <c r="E33" t="s">
        <v>204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120</v>
      </c>
      <c r="B34" t="s">
        <v>338</v>
      </c>
      <c r="C34" t="s">
        <v>203</v>
      </c>
      <c r="D34" t="s">
        <v>339</v>
      </c>
      <c r="E34" t="s">
        <v>204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120</v>
      </c>
      <c r="B35" t="s">
        <v>340</v>
      </c>
      <c r="C35" t="s">
        <v>203</v>
      </c>
      <c r="D35" t="s">
        <v>341</v>
      </c>
      <c r="E35" t="s">
        <v>204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120</v>
      </c>
      <c r="B36" t="s">
        <v>342</v>
      </c>
      <c r="C36" t="s">
        <v>203</v>
      </c>
      <c r="D36" t="s">
        <v>343</v>
      </c>
      <c r="E36" t="s">
        <v>204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120</v>
      </c>
      <c r="B37" t="s">
        <v>344</v>
      </c>
      <c r="C37" t="s">
        <v>203</v>
      </c>
      <c r="D37" t="s">
        <v>345</v>
      </c>
      <c r="E37" t="s">
        <v>204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120</v>
      </c>
      <c r="B38" t="s">
        <v>346</v>
      </c>
      <c r="C38" t="s">
        <v>203</v>
      </c>
      <c r="D38" t="s">
        <v>347</v>
      </c>
      <c r="E38" t="s">
        <v>204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120</v>
      </c>
      <c r="B39" t="s">
        <v>348</v>
      </c>
      <c r="C39" t="s">
        <v>203</v>
      </c>
      <c r="D39" t="s">
        <v>349</v>
      </c>
      <c r="E39" t="s">
        <v>204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120</v>
      </c>
      <c r="B40" t="s">
        <v>350</v>
      </c>
      <c r="C40" t="s">
        <v>203</v>
      </c>
      <c r="D40" t="s">
        <v>351</v>
      </c>
      <c r="E40" t="s">
        <v>204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120</v>
      </c>
      <c r="B41" t="s">
        <v>352</v>
      </c>
      <c r="C41" t="s">
        <v>203</v>
      </c>
      <c r="D41" t="s">
        <v>353</v>
      </c>
      <c r="E41" t="s">
        <v>204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120</v>
      </c>
      <c r="B42" t="s">
        <v>354</v>
      </c>
      <c r="C42" t="s">
        <v>203</v>
      </c>
      <c r="D42" t="s">
        <v>355</v>
      </c>
      <c r="E42" t="s">
        <v>204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120</v>
      </c>
      <c r="B43" t="s">
        <v>356</v>
      </c>
      <c r="C43" t="s">
        <v>203</v>
      </c>
      <c r="D43" t="s">
        <v>357</v>
      </c>
      <c r="E43" t="s">
        <v>204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120</v>
      </c>
      <c r="B44" t="s">
        <v>358</v>
      </c>
      <c r="C44" t="s">
        <v>203</v>
      </c>
      <c r="D44" t="s">
        <v>359</v>
      </c>
      <c r="E44" t="s">
        <v>204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120</v>
      </c>
      <c r="B45" t="s">
        <v>360</v>
      </c>
      <c r="C45" t="s">
        <v>203</v>
      </c>
      <c r="D45" t="s">
        <v>361</v>
      </c>
      <c r="E45" t="s">
        <v>204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120</v>
      </c>
      <c r="B46" t="s">
        <v>362</v>
      </c>
      <c r="C46" t="s">
        <v>203</v>
      </c>
      <c r="D46" t="s">
        <v>363</v>
      </c>
      <c r="E46" t="s">
        <v>204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120</v>
      </c>
      <c r="B47" t="s">
        <v>364</v>
      </c>
      <c r="C47" t="s">
        <v>203</v>
      </c>
      <c r="D47" t="s">
        <v>365</v>
      </c>
      <c r="E47" t="s">
        <v>204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120</v>
      </c>
      <c r="B48" t="s">
        <v>366</v>
      </c>
      <c r="C48" t="s">
        <v>203</v>
      </c>
      <c r="D48" t="s">
        <v>367</v>
      </c>
      <c r="E48" t="s">
        <v>204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120</v>
      </c>
      <c r="B49" t="s">
        <v>368</v>
      </c>
      <c r="C49" t="s">
        <v>203</v>
      </c>
      <c r="D49" t="s">
        <v>369</v>
      </c>
      <c r="E49" t="s">
        <v>204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120</v>
      </c>
      <c r="B50" t="s">
        <v>370</v>
      </c>
      <c r="C50" t="s">
        <v>203</v>
      </c>
      <c r="D50" t="s">
        <v>371</v>
      </c>
      <c r="E50" t="s">
        <v>204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120</v>
      </c>
      <c r="B51" t="s">
        <v>372</v>
      </c>
      <c r="C51" t="s">
        <v>203</v>
      </c>
      <c r="D51" t="s">
        <v>373</v>
      </c>
      <c r="E51" t="s">
        <v>204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120</v>
      </c>
      <c r="B52" t="s">
        <v>374</v>
      </c>
      <c r="C52" t="s">
        <v>203</v>
      </c>
      <c r="D52" t="s">
        <v>375</v>
      </c>
      <c r="E52" t="s">
        <v>204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120</v>
      </c>
      <c r="B53" t="s">
        <v>376</v>
      </c>
      <c r="C53" t="s">
        <v>203</v>
      </c>
      <c r="D53" t="s">
        <v>377</v>
      </c>
      <c r="E53" t="s">
        <v>204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120</v>
      </c>
      <c r="B54" t="s">
        <v>378</v>
      </c>
      <c r="C54" t="s">
        <v>203</v>
      </c>
      <c r="D54" t="s">
        <v>379</v>
      </c>
      <c r="E54" t="s">
        <v>204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120</v>
      </c>
      <c r="B55" t="s">
        <v>380</v>
      </c>
      <c r="C55" t="s">
        <v>203</v>
      </c>
      <c r="D55" t="s">
        <v>381</v>
      </c>
      <c r="E55" t="s">
        <v>204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120</v>
      </c>
      <c r="B56" t="s">
        <v>382</v>
      </c>
      <c r="C56" t="s">
        <v>203</v>
      </c>
      <c r="D56" t="s">
        <v>383</v>
      </c>
      <c r="E56" t="s">
        <v>204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120</v>
      </c>
      <c r="B57" t="s">
        <v>384</v>
      </c>
      <c r="C57" t="s">
        <v>203</v>
      </c>
      <c r="D57" t="s">
        <v>385</v>
      </c>
      <c r="E57" t="s">
        <v>204</v>
      </c>
      <c r="F57"/>
      <c r="G57"/>
      <c r="H57"/>
      <c r="I57"/>
      <c r="J57"/>
      <c r="K57" t="n">
        <v>129.9</v>
      </c>
      <c r="L57" t="n">
        <v>151.5</v>
      </c>
      <c r="M57" t="n">
        <v>114</v>
      </c>
      <c r="N57" t="n">
        <v>83.5</v>
      </c>
      <c r="O57" t="n">
        <v>134</v>
      </c>
      <c r="P57" t="n">
        <v>180.5</v>
      </c>
      <c r="Q57" t="n">
        <v>357.5</v>
      </c>
      <c r="R57" t="n">
        <v>476.8</v>
      </c>
      <c r="S57" t="n">
        <v>586.3</v>
      </c>
      <c r="T57" t="n">
        <v>388.4</v>
      </c>
      <c r="U57" t="n">
        <v>480.3</v>
      </c>
      <c r="V57" t="n">
        <v>506</v>
      </c>
      <c r="W57" t="n">
        <v>273</v>
      </c>
      <c r="X57" t="n">
        <v>251.9</v>
      </c>
      <c r="Y57" t="n">
        <v>338</v>
      </c>
      <c r="Z57" t="n">
        <v>281.4</v>
      </c>
      <c r="AA57" t="n">
        <v>304.5</v>
      </c>
      <c r="AB57" t="n">
        <v>262.8</v>
      </c>
      <c r="AC57" t="n">
        <v>216.9</v>
      </c>
      <c r="AD57" t="n">
        <v>632.8</v>
      </c>
      <c r="AE57" t="n">
        <v>639.9</v>
      </c>
      <c r="AF57" t="n">
        <v>228.9</v>
      </c>
    </row>
    <row r="58">
      <c r="A58" t="s">
        <v>120</v>
      </c>
      <c r="B58" t="s">
        <v>386</v>
      </c>
      <c r="C58" t="s">
        <v>203</v>
      </c>
      <c r="D58" t="s">
        <v>387</v>
      </c>
      <c r="E58" t="s">
        <v>204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120</v>
      </c>
      <c r="B59" t="s">
        <v>388</v>
      </c>
      <c r="C59" t="s">
        <v>203</v>
      </c>
      <c r="D59" t="s">
        <v>389</v>
      </c>
      <c r="E59" t="s">
        <v>204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122</v>
      </c>
      <c r="B2" t="s">
        <v>197</v>
      </c>
      <c r="C2" t="s">
        <v>203</v>
      </c>
      <c r="D2" t="s">
        <v>199</v>
      </c>
      <c r="E2" t="s">
        <v>204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122</v>
      </c>
      <c r="B3" t="s">
        <v>276</v>
      </c>
      <c r="C3" t="s">
        <v>203</v>
      </c>
      <c r="D3" t="s">
        <v>277</v>
      </c>
      <c r="E3" t="s">
        <v>204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122</v>
      </c>
      <c r="B4" t="s">
        <v>278</v>
      </c>
      <c r="C4" t="s">
        <v>203</v>
      </c>
      <c r="D4" t="s">
        <v>279</v>
      </c>
      <c r="E4" t="s">
        <v>204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122</v>
      </c>
      <c r="B5" t="s">
        <v>280</v>
      </c>
      <c r="C5" t="s">
        <v>203</v>
      </c>
      <c r="D5" t="s">
        <v>281</v>
      </c>
      <c r="E5" t="s">
        <v>204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122</v>
      </c>
      <c r="B6" t="s">
        <v>282</v>
      </c>
      <c r="C6" t="s">
        <v>203</v>
      </c>
      <c r="D6" t="s">
        <v>283</v>
      </c>
      <c r="E6" t="s">
        <v>204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122</v>
      </c>
      <c r="B7" t="s">
        <v>284</v>
      </c>
      <c r="C7" t="s">
        <v>203</v>
      </c>
      <c r="D7" t="s">
        <v>285</v>
      </c>
      <c r="E7" t="s">
        <v>204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122</v>
      </c>
      <c r="B8" t="s">
        <v>286</v>
      </c>
      <c r="C8" t="s">
        <v>203</v>
      </c>
      <c r="D8" t="s">
        <v>287</v>
      </c>
      <c r="E8" t="s">
        <v>204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122</v>
      </c>
      <c r="B9" t="s">
        <v>288</v>
      </c>
      <c r="C9" t="s">
        <v>203</v>
      </c>
      <c r="D9" t="s">
        <v>289</v>
      </c>
      <c r="E9" t="s">
        <v>204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122</v>
      </c>
      <c r="B10" t="s">
        <v>290</v>
      </c>
      <c r="C10" t="s">
        <v>203</v>
      </c>
      <c r="D10" t="s">
        <v>291</v>
      </c>
      <c r="E10" t="s">
        <v>204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122</v>
      </c>
      <c r="B11" t="s">
        <v>292</v>
      </c>
      <c r="C11" t="s">
        <v>203</v>
      </c>
      <c r="D11" t="s">
        <v>293</v>
      </c>
      <c r="E11" t="s">
        <v>204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122</v>
      </c>
      <c r="B12" t="s">
        <v>294</v>
      </c>
      <c r="C12" t="s">
        <v>203</v>
      </c>
      <c r="D12" t="s">
        <v>295</v>
      </c>
      <c r="E12" t="s">
        <v>204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122</v>
      </c>
      <c r="B13" t="s">
        <v>296</v>
      </c>
      <c r="C13" t="s">
        <v>203</v>
      </c>
      <c r="D13" t="s">
        <v>297</v>
      </c>
      <c r="E13" t="s">
        <v>204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122</v>
      </c>
      <c r="B14" t="s">
        <v>298</v>
      </c>
      <c r="C14" t="s">
        <v>203</v>
      </c>
      <c r="D14" t="s">
        <v>299</v>
      </c>
      <c r="E14" t="s">
        <v>204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122</v>
      </c>
      <c r="B15" t="s">
        <v>300</v>
      </c>
      <c r="C15" t="s">
        <v>203</v>
      </c>
      <c r="D15" t="s">
        <v>301</v>
      </c>
      <c r="E15" t="s">
        <v>204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122</v>
      </c>
      <c r="B16" t="s">
        <v>302</v>
      </c>
      <c r="C16" t="s">
        <v>203</v>
      </c>
      <c r="D16" t="s">
        <v>303</v>
      </c>
      <c r="E16" t="s">
        <v>204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122</v>
      </c>
      <c r="B17" t="s">
        <v>304</v>
      </c>
      <c r="C17" t="s">
        <v>203</v>
      </c>
      <c r="D17" t="s">
        <v>305</v>
      </c>
      <c r="E17" t="s">
        <v>204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122</v>
      </c>
      <c r="B18" t="s">
        <v>306</v>
      </c>
      <c r="C18" t="s">
        <v>203</v>
      </c>
      <c r="D18" t="s">
        <v>307</v>
      </c>
      <c r="E18" t="s">
        <v>204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122</v>
      </c>
      <c r="B19" t="s">
        <v>308</v>
      </c>
      <c r="C19" t="s">
        <v>203</v>
      </c>
      <c r="D19" t="s">
        <v>309</v>
      </c>
      <c r="E19" t="s">
        <v>204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122</v>
      </c>
      <c r="B20" t="s">
        <v>310</v>
      </c>
      <c r="C20" t="s">
        <v>203</v>
      </c>
      <c r="D20" t="s">
        <v>311</v>
      </c>
      <c r="E20" t="s">
        <v>204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122</v>
      </c>
      <c r="B21" t="s">
        <v>312</v>
      </c>
      <c r="C21" t="s">
        <v>203</v>
      </c>
      <c r="D21" t="s">
        <v>313</v>
      </c>
      <c r="E21" t="s">
        <v>204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122</v>
      </c>
      <c r="B22" t="s">
        <v>314</v>
      </c>
      <c r="C22" t="s">
        <v>203</v>
      </c>
      <c r="D22" t="s">
        <v>315</v>
      </c>
      <c r="E22" t="s">
        <v>204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122</v>
      </c>
      <c r="B23" t="s">
        <v>316</v>
      </c>
      <c r="C23" t="s">
        <v>203</v>
      </c>
      <c r="D23" t="s">
        <v>317</v>
      </c>
      <c r="E23" t="s">
        <v>204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122</v>
      </c>
      <c r="B24" t="s">
        <v>318</v>
      </c>
      <c r="C24" t="s">
        <v>203</v>
      </c>
      <c r="D24" t="s">
        <v>319</v>
      </c>
      <c r="E24" t="s">
        <v>204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122</v>
      </c>
      <c r="B25" t="s">
        <v>320</v>
      </c>
      <c r="C25" t="s">
        <v>203</v>
      </c>
      <c r="D25" t="s">
        <v>321</v>
      </c>
      <c r="E25" t="s">
        <v>204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122</v>
      </c>
      <c r="B26" t="s">
        <v>322</v>
      </c>
      <c r="C26" t="s">
        <v>203</v>
      </c>
      <c r="D26" t="s">
        <v>323</v>
      </c>
      <c r="E26" t="s">
        <v>204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122</v>
      </c>
      <c r="B27" t="s">
        <v>324</v>
      </c>
      <c r="C27" t="s">
        <v>203</v>
      </c>
      <c r="D27" t="s">
        <v>325</v>
      </c>
      <c r="E27" t="s">
        <v>204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122</v>
      </c>
      <c r="B28" t="s">
        <v>326</v>
      </c>
      <c r="C28" t="s">
        <v>203</v>
      </c>
      <c r="D28" t="s">
        <v>327</v>
      </c>
      <c r="E28" t="s">
        <v>204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122</v>
      </c>
      <c r="B29" t="s">
        <v>328</v>
      </c>
      <c r="C29" t="s">
        <v>203</v>
      </c>
      <c r="D29" t="s">
        <v>329</v>
      </c>
      <c r="E29" t="s">
        <v>204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122</v>
      </c>
      <c r="B30" t="s">
        <v>330</v>
      </c>
      <c r="C30" t="s">
        <v>203</v>
      </c>
      <c r="D30" t="s">
        <v>331</v>
      </c>
      <c r="E30" t="s">
        <v>204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122</v>
      </c>
      <c r="B31" t="s">
        <v>332</v>
      </c>
      <c r="C31" t="s">
        <v>203</v>
      </c>
      <c r="D31" t="s">
        <v>333</v>
      </c>
      <c r="E31" t="s">
        <v>204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122</v>
      </c>
      <c r="B32" t="s">
        <v>334</v>
      </c>
      <c r="C32" t="s">
        <v>203</v>
      </c>
      <c r="D32" t="s">
        <v>335</v>
      </c>
      <c r="E32" t="s">
        <v>204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122</v>
      </c>
      <c r="B33" t="s">
        <v>336</v>
      </c>
      <c r="C33" t="s">
        <v>203</v>
      </c>
      <c r="D33" t="s">
        <v>337</v>
      </c>
      <c r="E33" t="s">
        <v>204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122</v>
      </c>
      <c r="B34" t="s">
        <v>338</v>
      </c>
      <c r="C34" t="s">
        <v>203</v>
      </c>
      <c r="D34" t="s">
        <v>339</v>
      </c>
      <c r="E34" t="s">
        <v>204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122</v>
      </c>
      <c r="B35" t="s">
        <v>340</v>
      </c>
      <c r="C35" t="s">
        <v>203</v>
      </c>
      <c r="D35" t="s">
        <v>341</v>
      </c>
      <c r="E35" t="s">
        <v>204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122</v>
      </c>
      <c r="B36" t="s">
        <v>342</v>
      </c>
      <c r="C36" t="s">
        <v>203</v>
      </c>
      <c r="D36" t="s">
        <v>343</v>
      </c>
      <c r="E36" t="s">
        <v>204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122</v>
      </c>
      <c r="B37" t="s">
        <v>344</v>
      </c>
      <c r="C37" t="s">
        <v>203</v>
      </c>
      <c r="D37" t="s">
        <v>345</v>
      </c>
      <c r="E37" t="s">
        <v>204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122</v>
      </c>
      <c r="B38" t="s">
        <v>346</v>
      </c>
      <c r="C38" t="s">
        <v>203</v>
      </c>
      <c r="D38" t="s">
        <v>347</v>
      </c>
      <c r="E38" t="s">
        <v>204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122</v>
      </c>
      <c r="B39" t="s">
        <v>348</v>
      </c>
      <c r="C39" t="s">
        <v>203</v>
      </c>
      <c r="D39" t="s">
        <v>349</v>
      </c>
      <c r="E39" t="s">
        <v>204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122</v>
      </c>
      <c r="B40" t="s">
        <v>350</v>
      </c>
      <c r="C40" t="s">
        <v>203</v>
      </c>
      <c r="D40" t="s">
        <v>351</v>
      </c>
      <c r="E40" t="s">
        <v>204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122</v>
      </c>
      <c r="B41" t="s">
        <v>352</v>
      </c>
      <c r="C41" t="s">
        <v>203</v>
      </c>
      <c r="D41" t="s">
        <v>353</v>
      </c>
      <c r="E41" t="s">
        <v>204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122</v>
      </c>
      <c r="B42" t="s">
        <v>354</v>
      </c>
      <c r="C42" t="s">
        <v>203</v>
      </c>
      <c r="D42" t="s">
        <v>355</v>
      </c>
      <c r="E42" t="s">
        <v>204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122</v>
      </c>
      <c r="B43" t="s">
        <v>356</v>
      </c>
      <c r="C43" t="s">
        <v>203</v>
      </c>
      <c r="D43" t="s">
        <v>357</v>
      </c>
      <c r="E43" t="s">
        <v>204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122</v>
      </c>
      <c r="B44" t="s">
        <v>358</v>
      </c>
      <c r="C44" t="s">
        <v>203</v>
      </c>
      <c r="D44" t="s">
        <v>359</v>
      </c>
      <c r="E44" t="s">
        <v>204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122</v>
      </c>
      <c r="B45" t="s">
        <v>360</v>
      </c>
      <c r="C45" t="s">
        <v>203</v>
      </c>
      <c r="D45" t="s">
        <v>361</v>
      </c>
      <c r="E45" t="s">
        <v>204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122</v>
      </c>
      <c r="B46" t="s">
        <v>362</v>
      </c>
      <c r="C46" t="s">
        <v>203</v>
      </c>
      <c r="D46" t="s">
        <v>363</v>
      </c>
      <c r="E46" t="s">
        <v>204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122</v>
      </c>
      <c r="B47" t="s">
        <v>364</v>
      </c>
      <c r="C47" t="s">
        <v>203</v>
      </c>
      <c r="D47" t="s">
        <v>365</v>
      </c>
      <c r="E47" t="s">
        <v>204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122</v>
      </c>
      <c r="B48" t="s">
        <v>366</v>
      </c>
      <c r="C48" t="s">
        <v>203</v>
      </c>
      <c r="D48" t="s">
        <v>367</v>
      </c>
      <c r="E48" t="s">
        <v>204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122</v>
      </c>
      <c r="B49" t="s">
        <v>368</v>
      </c>
      <c r="C49" t="s">
        <v>203</v>
      </c>
      <c r="D49" t="s">
        <v>369</v>
      </c>
      <c r="E49" t="s">
        <v>204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122</v>
      </c>
      <c r="B50" t="s">
        <v>370</v>
      </c>
      <c r="C50" t="s">
        <v>203</v>
      </c>
      <c r="D50" t="s">
        <v>371</v>
      </c>
      <c r="E50" t="s">
        <v>204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122</v>
      </c>
      <c r="B51" t="s">
        <v>372</v>
      </c>
      <c r="C51" t="s">
        <v>203</v>
      </c>
      <c r="D51" t="s">
        <v>373</v>
      </c>
      <c r="E51" t="s">
        <v>204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122</v>
      </c>
      <c r="B52" t="s">
        <v>374</v>
      </c>
      <c r="C52" t="s">
        <v>203</v>
      </c>
      <c r="D52" t="s">
        <v>375</v>
      </c>
      <c r="E52" t="s">
        <v>204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122</v>
      </c>
      <c r="B53" t="s">
        <v>376</v>
      </c>
      <c r="C53" t="s">
        <v>203</v>
      </c>
      <c r="D53" t="s">
        <v>377</v>
      </c>
      <c r="E53" t="s">
        <v>204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122</v>
      </c>
      <c r="B54" t="s">
        <v>378</v>
      </c>
      <c r="C54" t="s">
        <v>203</v>
      </c>
      <c r="D54" t="s">
        <v>379</v>
      </c>
      <c r="E54" t="s">
        <v>204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122</v>
      </c>
      <c r="B55" t="s">
        <v>380</v>
      </c>
      <c r="C55" t="s">
        <v>203</v>
      </c>
      <c r="D55" t="s">
        <v>381</v>
      </c>
      <c r="E55" t="s">
        <v>204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122</v>
      </c>
      <c r="B56" t="s">
        <v>382</v>
      </c>
      <c r="C56" t="s">
        <v>203</v>
      </c>
      <c r="D56" t="s">
        <v>383</v>
      </c>
      <c r="E56" t="s">
        <v>204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122</v>
      </c>
      <c r="B57" t="s">
        <v>384</v>
      </c>
      <c r="C57" t="s">
        <v>203</v>
      </c>
      <c r="D57" t="s">
        <v>385</v>
      </c>
      <c r="E57" t="s">
        <v>204</v>
      </c>
      <c r="F57"/>
      <c r="G57"/>
      <c r="H57"/>
      <c r="I57"/>
      <c r="J57"/>
      <c r="K57" t="n">
        <v>351.6</v>
      </c>
      <c r="L57" t="n">
        <v>327.8</v>
      </c>
      <c r="M57" t="n">
        <v>331.7</v>
      </c>
      <c r="N57" t="n">
        <v>324.3</v>
      </c>
      <c r="O57" t="n">
        <v>358.4</v>
      </c>
      <c r="P57" t="n">
        <v>529.3</v>
      </c>
      <c r="Q57" t="n">
        <v>666.3</v>
      </c>
      <c r="R57" t="n">
        <v>769.1</v>
      </c>
      <c r="S57" t="n">
        <v>679.4</v>
      </c>
      <c r="T57" t="n">
        <v>858.6</v>
      </c>
      <c r="U57" t="n">
        <v>884.8</v>
      </c>
      <c r="V57" t="n">
        <v>949.1</v>
      </c>
      <c r="W57" t="n">
        <v>926</v>
      </c>
      <c r="X57" t="n">
        <v>1000.6</v>
      </c>
      <c r="Y57" t="n">
        <v>933.5</v>
      </c>
      <c r="Z57" t="n">
        <v>960.8</v>
      </c>
      <c r="AA57" t="n">
        <v>1083</v>
      </c>
      <c r="AB57" t="n">
        <v>1282.9</v>
      </c>
      <c r="AC57" t="n">
        <v>1378.8</v>
      </c>
      <c r="AD57" t="n">
        <v>1800.8</v>
      </c>
      <c r="AE57" t="n">
        <v>1761.1</v>
      </c>
      <c r="AF57" t="n">
        <v>2211.7</v>
      </c>
    </row>
    <row r="58">
      <c r="A58" t="s">
        <v>122</v>
      </c>
      <c r="B58" t="s">
        <v>386</v>
      </c>
      <c r="C58" t="s">
        <v>203</v>
      </c>
      <c r="D58" t="s">
        <v>387</v>
      </c>
      <c r="E58" t="s">
        <v>204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122</v>
      </c>
      <c r="B59" t="s">
        <v>388</v>
      </c>
      <c r="C59" t="s">
        <v>203</v>
      </c>
      <c r="D59" t="s">
        <v>389</v>
      </c>
      <c r="E59" t="s">
        <v>204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124</v>
      </c>
      <c r="B2" t="s">
        <v>197</v>
      </c>
      <c r="C2" t="s">
        <v>203</v>
      </c>
      <c r="D2" t="s">
        <v>199</v>
      </c>
      <c r="E2" t="s">
        <v>204</v>
      </c>
      <c r="F2"/>
      <c r="G2"/>
      <c r="H2"/>
      <c r="I2"/>
      <c r="J2"/>
      <c r="K2" t="n">
        <v>55.9</v>
      </c>
      <c r="L2" t="n">
        <v>96.2</v>
      </c>
      <c r="M2" t="n">
        <v>130.3</v>
      </c>
      <c r="N2" t="n">
        <v>151.9</v>
      </c>
      <c r="O2" t="n">
        <v>153.7</v>
      </c>
      <c r="P2" t="n">
        <v>222.8</v>
      </c>
      <c r="Q2" t="n">
        <v>249.1</v>
      </c>
      <c r="R2" t="n">
        <v>277.3</v>
      </c>
      <c r="S2" t="n">
        <v>378</v>
      </c>
      <c r="T2" t="n">
        <v>399</v>
      </c>
      <c r="U2" t="n">
        <v>391.1</v>
      </c>
      <c r="V2" t="n">
        <v>346.3</v>
      </c>
      <c r="W2" t="n">
        <v>390.9</v>
      </c>
      <c r="X2" t="n">
        <v>418.7</v>
      </c>
      <c r="Y2" t="n">
        <v>434.4</v>
      </c>
      <c r="Z2" t="n">
        <v>494.8</v>
      </c>
      <c r="AA2" t="n">
        <v>478.2</v>
      </c>
      <c r="AB2" t="n">
        <v>475.8</v>
      </c>
      <c r="AC2" t="n">
        <v>517.5</v>
      </c>
      <c r="AD2" t="n">
        <v>516.5</v>
      </c>
      <c r="AE2" t="n">
        <v>517.2</v>
      </c>
      <c r="AF2" t="n">
        <v>515.2</v>
      </c>
    </row>
    <row r="3">
      <c r="A3" t="s">
        <v>124</v>
      </c>
      <c r="B3" t="s">
        <v>276</v>
      </c>
      <c r="C3" t="s">
        <v>203</v>
      </c>
      <c r="D3" t="s">
        <v>277</v>
      </c>
      <c r="E3" t="s">
        <v>204</v>
      </c>
      <c r="F3"/>
      <c r="G3"/>
      <c r="H3"/>
      <c r="I3"/>
      <c r="J3"/>
      <c r="K3" t="n">
        <v>41.3</v>
      </c>
      <c r="L3" t="n">
        <v>35.7</v>
      </c>
      <c r="M3" t="n">
        <v>57.5</v>
      </c>
      <c r="N3" t="n">
        <v>76.3</v>
      </c>
      <c r="O3" t="n">
        <v>75.4</v>
      </c>
      <c r="P3" t="n">
        <v>161.4</v>
      </c>
      <c r="Q3" t="n">
        <v>212.5</v>
      </c>
      <c r="R3" t="n">
        <v>263.2</v>
      </c>
      <c r="S3" t="n">
        <v>291</v>
      </c>
      <c r="T3" t="n">
        <v>310.8</v>
      </c>
      <c r="U3" t="n">
        <v>289.5</v>
      </c>
      <c r="V3" t="n">
        <v>230.5</v>
      </c>
      <c r="W3" t="n">
        <v>214.7</v>
      </c>
      <c r="X3" t="n">
        <v>194.1</v>
      </c>
      <c r="Y3" t="n">
        <v>171.1</v>
      </c>
      <c r="Z3" t="n">
        <v>140.2</v>
      </c>
      <c r="AA3" t="n">
        <v>144.5</v>
      </c>
      <c r="AB3" t="n">
        <v>132.8</v>
      </c>
      <c r="AC3" t="n">
        <v>165.8</v>
      </c>
      <c r="AD3" t="n">
        <v>165.5</v>
      </c>
      <c r="AE3" t="n">
        <v>165.8</v>
      </c>
      <c r="AF3" t="n">
        <v>165.1</v>
      </c>
    </row>
    <row r="4">
      <c r="A4" t="s">
        <v>124</v>
      </c>
      <c r="B4" t="s">
        <v>278</v>
      </c>
      <c r="C4" t="s">
        <v>203</v>
      </c>
      <c r="D4" t="s">
        <v>279</v>
      </c>
      <c r="E4" t="s">
        <v>204</v>
      </c>
      <c r="F4"/>
      <c r="G4"/>
      <c r="H4"/>
      <c r="I4"/>
      <c r="J4"/>
      <c r="K4" t="n">
        <v>360.1</v>
      </c>
      <c r="L4" t="n">
        <v>430.2</v>
      </c>
      <c r="M4" t="n">
        <v>800.4</v>
      </c>
      <c r="N4" t="n">
        <v>1168.4</v>
      </c>
      <c r="O4" t="n">
        <v>1100.3</v>
      </c>
      <c r="P4" t="n">
        <v>1655</v>
      </c>
      <c r="Q4" t="n">
        <v>1936.3</v>
      </c>
      <c r="R4" t="n">
        <v>2409.2</v>
      </c>
      <c r="S4" t="n">
        <v>2441</v>
      </c>
      <c r="T4" t="n">
        <v>2549.4</v>
      </c>
      <c r="U4" t="n">
        <v>2367.1</v>
      </c>
      <c r="V4" t="n">
        <v>1900.4</v>
      </c>
      <c r="W4" t="n">
        <v>1806</v>
      </c>
      <c r="X4" t="n">
        <v>1666.6</v>
      </c>
      <c r="Y4" t="n">
        <v>1487.7</v>
      </c>
      <c r="Z4" t="n">
        <v>1410.6</v>
      </c>
      <c r="AA4" t="n">
        <v>1235.9</v>
      </c>
      <c r="AB4" t="n">
        <v>1127.9</v>
      </c>
      <c r="AC4" t="n">
        <v>1092.2</v>
      </c>
      <c r="AD4" t="n">
        <v>1090.2</v>
      </c>
      <c r="AE4" t="n">
        <v>1091.8</v>
      </c>
      <c r="AF4" t="n">
        <v>1087.7</v>
      </c>
    </row>
    <row r="5">
      <c r="A5" t="s">
        <v>124</v>
      </c>
      <c r="B5" t="s">
        <v>280</v>
      </c>
      <c r="C5" t="s">
        <v>203</v>
      </c>
      <c r="D5" t="s">
        <v>281</v>
      </c>
      <c r="E5" t="s">
        <v>204</v>
      </c>
      <c r="F5"/>
      <c r="G5"/>
      <c r="H5"/>
      <c r="I5"/>
      <c r="J5"/>
      <c r="K5" t="n">
        <v>65.5</v>
      </c>
      <c r="L5" t="n">
        <v>80.3</v>
      </c>
      <c r="M5" t="n">
        <v>151.8</v>
      </c>
      <c r="N5" t="n">
        <v>248</v>
      </c>
      <c r="O5" t="n">
        <v>248.4</v>
      </c>
      <c r="P5" t="n">
        <v>377.5</v>
      </c>
      <c r="Q5" t="n">
        <v>406.2</v>
      </c>
      <c r="R5" t="n">
        <v>506.6</v>
      </c>
      <c r="S5" t="n">
        <v>513</v>
      </c>
      <c r="T5" t="n">
        <v>538.3</v>
      </c>
      <c r="U5" t="n">
        <v>505.6</v>
      </c>
      <c r="V5" t="n">
        <v>410.4</v>
      </c>
      <c r="W5" t="n">
        <v>389.7</v>
      </c>
      <c r="X5" t="n">
        <v>359.4</v>
      </c>
      <c r="Y5" t="n">
        <v>329.2</v>
      </c>
      <c r="Z5" t="n">
        <v>321.2</v>
      </c>
      <c r="AA5" t="n">
        <v>279.8</v>
      </c>
      <c r="AB5" t="n">
        <v>259.3</v>
      </c>
      <c r="AC5" t="n">
        <v>251.9</v>
      </c>
      <c r="AD5" t="n">
        <v>251.4</v>
      </c>
      <c r="AE5" t="n">
        <v>251.8</v>
      </c>
      <c r="AF5" t="n">
        <v>250.8</v>
      </c>
    </row>
    <row r="6">
      <c r="A6" t="s">
        <v>124</v>
      </c>
      <c r="B6" t="s">
        <v>282</v>
      </c>
      <c r="C6" t="s">
        <v>203</v>
      </c>
      <c r="D6" t="s">
        <v>283</v>
      </c>
      <c r="E6" t="s">
        <v>204</v>
      </c>
      <c r="F6"/>
      <c r="G6"/>
      <c r="H6"/>
      <c r="I6"/>
      <c r="J6"/>
      <c r="K6" t="n">
        <v>58</v>
      </c>
      <c r="L6" t="n">
        <v>63</v>
      </c>
      <c r="M6" t="n">
        <v>112.9</v>
      </c>
      <c r="N6" t="n">
        <v>159.1</v>
      </c>
      <c r="O6" t="n">
        <v>144.6</v>
      </c>
      <c r="P6" t="n">
        <v>188.3</v>
      </c>
      <c r="Q6" t="n">
        <v>227.1</v>
      </c>
      <c r="R6" t="n">
        <v>244</v>
      </c>
      <c r="S6" t="n">
        <v>226.2</v>
      </c>
      <c r="T6" t="n">
        <v>232.6</v>
      </c>
      <c r="U6" t="n">
        <v>215</v>
      </c>
      <c r="V6" t="n">
        <v>172.3</v>
      </c>
      <c r="W6" t="n">
        <v>161.7</v>
      </c>
      <c r="X6" t="n">
        <v>147.4</v>
      </c>
      <c r="Y6" t="n">
        <v>133</v>
      </c>
      <c r="Z6" t="n">
        <v>123.7</v>
      </c>
      <c r="AA6" t="n">
        <v>107.9</v>
      </c>
      <c r="AB6" t="n">
        <v>96.7</v>
      </c>
      <c r="AC6" t="n">
        <v>92.7</v>
      </c>
      <c r="AD6" t="n">
        <v>92.5</v>
      </c>
      <c r="AE6" t="n">
        <v>92.6</v>
      </c>
      <c r="AF6" t="n">
        <v>92.3</v>
      </c>
    </row>
    <row r="7">
      <c r="A7" t="s">
        <v>124</v>
      </c>
      <c r="B7" t="s">
        <v>284</v>
      </c>
      <c r="C7" t="s">
        <v>203</v>
      </c>
      <c r="D7" t="s">
        <v>285</v>
      </c>
      <c r="E7" t="s">
        <v>204</v>
      </c>
      <c r="F7"/>
      <c r="G7"/>
      <c r="H7"/>
      <c r="I7"/>
      <c r="J7"/>
      <c r="K7" t="n">
        <v>20</v>
      </c>
      <c r="L7" t="n">
        <v>38</v>
      </c>
      <c r="M7" t="n">
        <v>82.6</v>
      </c>
      <c r="N7" t="n">
        <v>107.6</v>
      </c>
      <c r="O7" t="n">
        <v>99.1</v>
      </c>
      <c r="P7" t="n">
        <v>134.4</v>
      </c>
      <c r="Q7" t="n">
        <v>156.5</v>
      </c>
      <c r="R7" t="n">
        <v>225.1</v>
      </c>
      <c r="S7" t="n">
        <v>219</v>
      </c>
      <c r="T7" t="n">
        <v>224.5</v>
      </c>
      <c r="U7" t="n">
        <v>207.9</v>
      </c>
      <c r="V7" t="n">
        <v>166.8</v>
      </c>
      <c r="W7" t="n">
        <v>157.4</v>
      </c>
      <c r="X7" t="n">
        <v>144.2</v>
      </c>
      <c r="Y7" t="n">
        <v>129.1</v>
      </c>
      <c r="Z7" t="n">
        <v>122.4</v>
      </c>
      <c r="AA7" t="n">
        <v>108.4</v>
      </c>
      <c r="AB7" t="n">
        <v>100.3</v>
      </c>
      <c r="AC7" t="n">
        <v>96.4</v>
      </c>
      <c r="AD7" t="n">
        <v>96.2</v>
      </c>
      <c r="AE7" t="n">
        <v>96.3</v>
      </c>
      <c r="AF7" t="n">
        <v>96</v>
      </c>
    </row>
    <row r="8">
      <c r="A8" t="s">
        <v>124</v>
      </c>
      <c r="B8" t="s">
        <v>286</v>
      </c>
      <c r="C8" t="s">
        <v>203</v>
      </c>
      <c r="D8" t="s">
        <v>287</v>
      </c>
      <c r="E8" t="s">
        <v>204</v>
      </c>
      <c r="F8"/>
      <c r="G8"/>
      <c r="H8"/>
      <c r="I8"/>
      <c r="J8"/>
      <c r="K8" t="n">
        <v>9.1</v>
      </c>
      <c r="L8" t="n">
        <v>7.5</v>
      </c>
      <c r="M8" t="n">
        <v>26.2</v>
      </c>
      <c r="N8" t="n">
        <v>51.4</v>
      </c>
      <c r="O8" t="n">
        <v>44.7</v>
      </c>
      <c r="P8" t="n">
        <v>58.4</v>
      </c>
      <c r="Q8" t="n">
        <v>68.9</v>
      </c>
      <c r="R8" t="n">
        <v>79</v>
      </c>
      <c r="S8" t="n">
        <v>86</v>
      </c>
      <c r="T8" t="n">
        <v>98</v>
      </c>
      <c r="U8" t="n">
        <v>89.7</v>
      </c>
      <c r="V8" t="n">
        <v>70.7</v>
      </c>
      <c r="W8" t="n">
        <v>64.5</v>
      </c>
      <c r="X8" t="n">
        <v>57.1</v>
      </c>
      <c r="Y8" t="n">
        <v>47.5</v>
      </c>
      <c r="Z8" t="n">
        <v>41.9</v>
      </c>
      <c r="AA8" t="n">
        <v>32</v>
      </c>
      <c r="AB8" t="n">
        <v>28.7</v>
      </c>
      <c r="AC8" t="n">
        <v>26.3</v>
      </c>
      <c r="AD8" t="n">
        <v>26.3</v>
      </c>
      <c r="AE8" t="n">
        <v>26.3</v>
      </c>
      <c r="AF8" t="n">
        <v>26.2</v>
      </c>
    </row>
    <row r="9">
      <c r="A9" t="s">
        <v>124</v>
      </c>
      <c r="B9" t="s">
        <v>288</v>
      </c>
      <c r="C9" t="s">
        <v>203</v>
      </c>
      <c r="D9" t="s">
        <v>289</v>
      </c>
      <c r="E9" t="s">
        <v>204</v>
      </c>
      <c r="F9"/>
      <c r="G9"/>
      <c r="H9"/>
      <c r="I9"/>
      <c r="J9"/>
      <c r="K9" t="n">
        <v>18</v>
      </c>
      <c r="L9" t="n">
        <v>16.5</v>
      </c>
      <c r="M9" t="n">
        <v>41.8</v>
      </c>
      <c r="N9" t="n">
        <v>52</v>
      </c>
      <c r="O9" t="n">
        <v>49.3</v>
      </c>
      <c r="P9" t="n">
        <v>71.3</v>
      </c>
      <c r="Q9" t="n">
        <v>90.8</v>
      </c>
      <c r="R9" t="n">
        <v>117.6</v>
      </c>
      <c r="S9" t="n">
        <v>126</v>
      </c>
      <c r="T9" t="n">
        <v>133.4</v>
      </c>
      <c r="U9" t="n">
        <v>124.1</v>
      </c>
      <c r="V9" t="n">
        <v>100.4</v>
      </c>
      <c r="W9" t="n">
        <v>108</v>
      </c>
      <c r="X9" t="n">
        <v>111.4</v>
      </c>
      <c r="Y9" t="n">
        <v>98</v>
      </c>
      <c r="Z9" t="n">
        <v>92.9</v>
      </c>
      <c r="AA9" t="n">
        <v>83.5</v>
      </c>
      <c r="AB9" t="n">
        <v>73.7</v>
      </c>
      <c r="AC9" t="n">
        <v>65.7</v>
      </c>
      <c r="AD9" t="n">
        <v>65.6</v>
      </c>
      <c r="AE9" t="n">
        <v>65.7</v>
      </c>
      <c r="AF9" t="n">
        <v>65.4</v>
      </c>
    </row>
    <row r="10">
      <c r="A10" t="s">
        <v>124</v>
      </c>
      <c r="B10" t="s">
        <v>290</v>
      </c>
      <c r="C10" t="s">
        <v>203</v>
      </c>
      <c r="D10" t="s">
        <v>291</v>
      </c>
      <c r="E10" t="s">
        <v>204</v>
      </c>
      <c r="F10"/>
      <c r="G10"/>
      <c r="H10"/>
      <c r="I10"/>
      <c r="J10"/>
      <c r="K10" t="n">
        <v>19.5</v>
      </c>
      <c r="L10" t="n">
        <v>17.8</v>
      </c>
      <c r="M10" t="n">
        <v>58.6</v>
      </c>
      <c r="N10" t="n">
        <v>76.3</v>
      </c>
      <c r="O10" t="n">
        <v>71.3</v>
      </c>
      <c r="P10" t="n">
        <v>110.6</v>
      </c>
      <c r="Q10" t="n">
        <v>137.4</v>
      </c>
      <c r="R10" t="n">
        <v>171.1</v>
      </c>
      <c r="S10" t="n">
        <v>191.8</v>
      </c>
      <c r="T10" t="n">
        <v>199.9</v>
      </c>
      <c r="U10" t="n">
        <v>185.4</v>
      </c>
      <c r="V10" t="n">
        <v>149.5</v>
      </c>
      <c r="W10" t="n">
        <v>155.5</v>
      </c>
      <c r="X10" t="n">
        <v>155.9</v>
      </c>
      <c r="Y10" t="n">
        <v>135.4</v>
      </c>
      <c r="Z10" t="n">
        <v>126.3</v>
      </c>
      <c r="AA10" t="n">
        <v>110.9</v>
      </c>
      <c r="AB10" t="n">
        <v>97</v>
      </c>
      <c r="AC10" t="n">
        <v>84.9</v>
      </c>
      <c r="AD10" t="n">
        <v>84.7</v>
      </c>
      <c r="AE10" t="n">
        <v>84.9</v>
      </c>
      <c r="AF10" t="n">
        <v>84.5</v>
      </c>
    </row>
    <row r="11">
      <c r="A11" t="s">
        <v>124</v>
      </c>
      <c r="B11" t="s">
        <v>292</v>
      </c>
      <c r="C11" t="s">
        <v>203</v>
      </c>
      <c r="D11" t="s">
        <v>293</v>
      </c>
      <c r="E11" t="s">
        <v>204</v>
      </c>
      <c r="F11"/>
      <c r="G11"/>
      <c r="H11"/>
      <c r="I11"/>
      <c r="J11"/>
      <c r="K11" t="n">
        <v>1.5</v>
      </c>
      <c r="L11" t="n">
        <v>1.3</v>
      </c>
      <c r="M11" t="n">
        <v>16.8</v>
      </c>
      <c r="N11" t="n">
        <v>24.3</v>
      </c>
      <c r="O11" t="n">
        <v>22</v>
      </c>
      <c r="P11" t="n">
        <v>39.3</v>
      </c>
      <c r="Q11" t="n">
        <v>46.6</v>
      </c>
      <c r="R11" t="n">
        <v>53.5</v>
      </c>
      <c r="S11" t="n">
        <v>65.8</v>
      </c>
      <c r="T11" t="n">
        <v>66.5</v>
      </c>
      <c r="U11" t="n">
        <v>61.3</v>
      </c>
      <c r="V11" t="n">
        <v>49.1</v>
      </c>
      <c r="W11" t="n">
        <v>47.5</v>
      </c>
      <c r="X11" t="n">
        <v>44.5</v>
      </c>
      <c r="Y11" t="n">
        <v>37.4</v>
      </c>
      <c r="Z11" t="n">
        <v>33.4</v>
      </c>
      <c r="AA11" t="n">
        <v>27.4</v>
      </c>
      <c r="AB11" t="n">
        <v>23.3</v>
      </c>
      <c r="AC11" t="n">
        <v>19.2</v>
      </c>
      <c r="AD11" t="n">
        <v>19.1</v>
      </c>
      <c r="AE11" t="n">
        <v>19.2</v>
      </c>
      <c r="AF11" t="n">
        <v>19.1</v>
      </c>
    </row>
    <row r="12">
      <c r="A12" t="s">
        <v>124</v>
      </c>
      <c r="B12" t="s">
        <v>294</v>
      </c>
      <c r="C12" t="s">
        <v>203</v>
      </c>
      <c r="D12" t="s">
        <v>295</v>
      </c>
      <c r="E12" t="s">
        <v>204</v>
      </c>
      <c r="F12"/>
      <c r="G12"/>
      <c r="H12"/>
      <c r="I12"/>
      <c r="J12"/>
      <c r="K12" t="n">
        <v>39.1</v>
      </c>
      <c r="L12" t="n">
        <v>42.6</v>
      </c>
      <c r="M12" t="n">
        <v>77.6</v>
      </c>
      <c r="N12" t="n">
        <v>127.9</v>
      </c>
      <c r="O12" t="n">
        <v>132.6</v>
      </c>
      <c r="P12" t="n">
        <v>290.5</v>
      </c>
      <c r="Q12" t="n">
        <v>359.5</v>
      </c>
      <c r="R12" t="n">
        <v>447.8</v>
      </c>
      <c r="S12" t="n">
        <v>437.5</v>
      </c>
      <c r="T12" t="n">
        <v>461.3</v>
      </c>
      <c r="U12" t="n">
        <v>425.6</v>
      </c>
      <c r="V12" t="n">
        <v>338.3</v>
      </c>
      <c r="W12" t="n">
        <v>318.7</v>
      </c>
      <c r="X12" t="n">
        <v>291.4</v>
      </c>
      <c r="Y12" t="n">
        <v>258.5</v>
      </c>
      <c r="Z12" t="n">
        <v>248.2</v>
      </c>
      <c r="AA12" t="n">
        <v>217.4</v>
      </c>
      <c r="AB12" t="n">
        <v>194.6</v>
      </c>
      <c r="AC12" t="n">
        <v>199.6</v>
      </c>
      <c r="AD12" t="n">
        <v>199.3</v>
      </c>
      <c r="AE12" t="n">
        <v>199.6</v>
      </c>
      <c r="AF12" t="n">
        <v>198.8</v>
      </c>
    </row>
    <row r="13">
      <c r="A13" t="s">
        <v>124</v>
      </c>
      <c r="B13" t="s">
        <v>296</v>
      </c>
      <c r="C13" t="s">
        <v>203</v>
      </c>
      <c r="D13" t="s">
        <v>297</v>
      </c>
      <c r="E13" t="s">
        <v>204</v>
      </c>
      <c r="F13"/>
      <c r="G13"/>
      <c r="H13"/>
      <c r="I13"/>
      <c r="J13"/>
      <c r="K13" t="n">
        <v>53.8</v>
      </c>
      <c r="L13" t="n">
        <v>57.2</v>
      </c>
      <c r="M13" t="n">
        <v>135.3</v>
      </c>
      <c r="N13" t="n">
        <v>209.9</v>
      </c>
      <c r="O13" t="n">
        <v>190.9</v>
      </c>
      <c r="P13" t="n">
        <v>251.7</v>
      </c>
      <c r="Q13" t="n">
        <v>279.3</v>
      </c>
      <c r="R13" t="n">
        <v>374.7</v>
      </c>
      <c r="S13" t="n">
        <v>374.4</v>
      </c>
      <c r="T13" t="n">
        <v>384.8</v>
      </c>
      <c r="U13" t="n">
        <v>355.2</v>
      </c>
      <c r="V13" t="n">
        <v>283.5</v>
      </c>
      <c r="W13" t="n">
        <v>264.8</v>
      </c>
      <c r="X13" t="n">
        <v>240.1</v>
      </c>
      <c r="Y13" t="n">
        <v>210.9</v>
      </c>
      <c r="Z13" t="n">
        <v>196</v>
      </c>
      <c r="AA13" t="n">
        <v>169.8</v>
      </c>
      <c r="AB13" t="n">
        <v>159</v>
      </c>
      <c r="AC13" t="n">
        <v>153.9</v>
      </c>
      <c r="AD13" t="n">
        <v>153.6</v>
      </c>
      <c r="AE13" t="n">
        <v>153.8</v>
      </c>
      <c r="AF13" t="n">
        <v>153.2</v>
      </c>
    </row>
    <row r="14">
      <c r="A14" t="s">
        <v>124</v>
      </c>
      <c r="B14" t="s">
        <v>298</v>
      </c>
      <c r="C14" t="s">
        <v>203</v>
      </c>
      <c r="D14" t="s">
        <v>299</v>
      </c>
      <c r="E14" t="s">
        <v>204</v>
      </c>
      <c r="F14"/>
      <c r="G14"/>
      <c r="H14"/>
      <c r="I14"/>
      <c r="J14"/>
      <c r="K14" t="n">
        <v>12.6</v>
      </c>
      <c r="L14" t="n">
        <v>16.8</v>
      </c>
      <c r="M14" t="n">
        <v>24.5</v>
      </c>
      <c r="N14" t="n">
        <v>35.8</v>
      </c>
      <c r="O14" t="n">
        <v>32.5</v>
      </c>
      <c r="P14" t="n">
        <v>39.4</v>
      </c>
      <c r="Q14" t="n">
        <v>45</v>
      </c>
      <c r="R14" t="n">
        <v>47.5</v>
      </c>
      <c r="S14" t="n">
        <v>48.1</v>
      </c>
      <c r="T14" t="n">
        <v>48.2</v>
      </c>
      <c r="U14" t="n">
        <v>44.3</v>
      </c>
      <c r="V14" t="n">
        <v>35.2</v>
      </c>
      <c r="W14" t="n">
        <v>33.2</v>
      </c>
      <c r="X14" t="n">
        <v>30.3</v>
      </c>
      <c r="Y14" t="n">
        <v>27.1</v>
      </c>
      <c r="Z14" t="n">
        <v>24.9</v>
      </c>
      <c r="AA14" t="n">
        <v>21</v>
      </c>
      <c r="AB14" t="n">
        <v>19.4</v>
      </c>
      <c r="AC14" t="n">
        <v>18.1</v>
      </c>
      <c r="AD14" t="n">
        <v>18.1</v>
      </c>
      <c r="AE14" t="n">
        <v>18.1</v>
      </c>
      <c r="AF14" t="n">
        <v>18.1</v>
      </c>
    </row>
    <row r="15">
      <c r="A15" t="s">
        <v>124</v>
      </c>
      <c r="B15" t="s">
        <v>300</v>
      </c>
      <c r="C15" t="s">
        <v>203</v>
      </c>
      <c r="D15" t="s">
        <v>301</v>
      </c>
      <c r="E15" t="s">
        <v>204</v>
      </c>
      <c r="F15"/>
      <c r="G15"/>
      <c r="H15"/>
      <c r="I15"/>
      <c r="J15"/>
      <c r="K15" t="n">
        <v>16</v>
      </c>
      <c r="L15" t="n">
        <v>22</v>
      </c>
      <c r="M15" t="n">
        <v>33.8</v>
      </c>
      <c r="N15" t="n">
        <v>50.6</v>
      </c>
      <c r="O15" t="n">
        <v>46.8</v>
      </c>
      <c r="P15" t="n">
        <v>66.5</v>
      </c>
      <c r="Q15" t="n">
        <v>79.2</v>
      </c>
      <c r="R15" t="n">
        <v>94.1</v>
      </c>
      <c r="S15" t="n">
        <v>109</v>
      </c>
      <c r="T15" t="n">
        <v>111.8</v>
      </c>
      <c r="U15" t="n">
        <v>103.6</v>
      </c>
      <c r="V15" t="n">
        <v>83</v>
      </c>
      <c r="W15" t="n">
        <v>78.7</v>
      </c>
      <c r="X15" t="n">
        <v>72.4</v>
      </c>
      <c r="Y15" t="n">
        <v>64.1</v>
      </c>
      <c r="Z15" t="n">
        <v>59.3</v>
      </c>
      <c r="AA15" t="n">
        <v>52.1</v>
      </c>
      <c r="AB15" t="n">
        <v>46.5</v>
      </c>
      <c r="AC15" t="n">
        <v>42.5</v>
      </c>
      <c r="AD15" t="n">
        <v>42.5</v>
      </c>
      <c r="AE15" t="n">
        <v>42.5</v>
      </c>
      <c r="AF15" t="n">
        <v>42.4</v>
      </c>
    </row>
    <row r="16">
      <c r="A16" t="s">
        <v>124</v>
      </c>
      <c r="B16" t="s">
        <v>302</v>
      </c>
      <c r="C16" t="s">
        <v>203</v>
      </c>
      <c r="D16" t="s">
        <v>303</v>
      </c>
      <c r="E16" t="s">
        <v>204</v>
      </c>
      <c r="F16"/>
      <c r="G16"/>
      <c r="H16"/>
      <c r="I16"/>
      <c r="J16"/>
      <c r="K16" t="n">
        <v>3.4</v>
      </c>
      <c r="L16" t="n">
        <v>5.2</v>
      </c>
      <c r="M16" t="n">
        <v>9.3</v>
      </c>
      <c r="N16" t="n">
        <v>14.8</v>
      </c>
      <c r="O16" t="n">
        <v>14.3</v>
      </c>
      <c r="P16" t="n">
        <v>27.1</v>
      </c>
      <c r="Q16" t="n">
        <v>34.2</v>
      </c>
      <c r="R16" t="n">
        <v>46.6</v>
      </c>
      <c r="S16" t="n">
        <v>60.9</v>
      </c>
      <c r="T16" t="n">
        <v>63.6</v>
      </c>
      <c r="U16" t="n">
        <v>59.3</v>
      </c>
      <c r="V16" t="n">
        <v>47.8</v>
      </c>
      <c r="W16" t="n">
        <v>45.5</v>
      </c>
      <c r="X16" t="n">
        <v>42.1</v>
      </c>
      <c r="Y16" t="n">
        <v>37</v>
      </c>
      <c r="Z16" t="n">
        <v>34.4</v>
      </c>
      <c r="AA16" t="n">
        <v>31.1</v>
      </c>
      <c r="AB16" t="n">
        <v>27.1</v>
      </c>
      <c r="AC16" t="n">
        <v>24.4</v>
      </c>
      <c r="AD16" t="n">
        <v>24.4</v>
      </c>
      <c r="AE16" t="n">
        <v>24.4</v>
      </c>
      <c r="AF16" t="n">
        <v>24.3</v>
      </c>
    </row>
    <row r="17">
      <c r="A17" t="s">
        <v>124</v>
      </c>
      <c r="B17" t="s">
        <v>304</v>
      </c>
      <c r="C17" t="s">
        <v>203</v>
      </c>
      <c r="D17" t="s">
        <v>305</v>
      </c>
      <c r="E17" t="s">
        <v>204</v>
      </c>
      <c r="F17"/>
      <c r="G17"/>
      <c r="H17"/>
      <c r="I17"/>
      <c r="J17"/>
      <c r="K17" t="n">
        <v>22.7</v>
      </c>
      <c r="L17" t="n">
        <v>43.3</v>
      </c>
      <c r="M17" t="n">
        <v>60.8</v>
      </c>
      <c r="N17" t="n">
        <v>73.5</v>
      </c>
      <c r="O17" t="n">
        <v>64.4</v>
      </c>
      <c r="P17" t="n">
        <v>88.7</v>
      </c>
      <c r="Q17" t="n">
        <v>105.1</v>
      </c>
      <c r="R17" t="n">
        <v>131</v>
      </c>
      <c r="S17" t="n">
        <v>126.5</v>
      </c>
      <c r="T17" t="n">
        <v>130</v>
      </c>
      <c r="U17" t="n">
        <v>120.5</v>
      </c>
      <c r="V17" t="n">
        <v>96.6</v>
      </c>
      <c r="W17" t="n">
        <v>90.6</v>
      </c>
      <c r="X17" t="n">
        <v>82.4</v>
      </c>
      <c r="Y17" t="n">
        <v>72.7</v>
      </c>
      <c r="Z17" t="n">
        <v>67.2</v>
      </c>
      <c r="AA17" t="n">
        <v>58</v>
      </c>
      <c r="AB17" t="n">
        <v>52.9</v>
      </c>
      <c r="AC17" t="n">
        <v>50.2</v>
      </c>
      <c r="AD17" t="n">
        <v>50.1</v>
      </c>
      <c r="AE17" t="n">
        <v>50.2</v>
      </c>
      <c r="AF17" t="n">
        <v>50.1</v>
      </c>
    </row>
    <row r="18">
      <c r="A18" t="s">
        <v>124</v>
      </c>
      <c r="B18" t="s">
        <v>306</v>
      </c>
      <c r="C18" t="s">
        <v>203</v>
      </c>
      <c r="D18" t="s">
        <v>307</v>
      </c>
      <c r="E18" t="s">
        <v>204</v>
      </c>
      <c r="F18"/>
      <c r="G18"/>
      <c r="H18"/>
      <c r="I18"/>
      <c r="J18"/>
      <c r="K18" t="n">
        <v>27</v>
      </c>
      <c r="L18" t="n">
        <v>23.9</v>
      </c>
      <c r="M18" t="n">
        <v>25.5</v>
      </c>
      <c r="N18" t="n">
        <v>26.3</v>
      </c>
      <c r="O18" t="n">
        <v>24.2</v>
      </c>
      <c r="P18" t="n">
        <v>29.1</v>
      </c>
      <c r="Q18" t="n">
        <v>40.9</v>
      </c>
      <c r="R18" t="n">
        <v>43.7</v>
      </c>
      <c r="S18" t="n">
        <v>60.8</v>
      </c>
      <c r="T18" t="n">
        <v>63.5</v>
      </c>
      <c r="U18" t="n">
        <v>59</v>
      </c>
      <c r="V18" t="n">
        <v>47.8</v>
      </c>
      <c r="W18" t="n">
        <v>45.5</v>
      </c>
      <c r="X18" t="n">
        <v>42.1</v>
      </c>
      <c r="Y18" t="n">
        <v>37.9</v>
      </c>
      <c r="Z18" t="n">
        <v>34.9</v>
      </c>
      <c r="AA18" t="n">
        <v>28.4</v>
      </c>
      <c r="AB18" t="n">
        <v>24.5</v>
      </c>
      <c r="AC18" t="n">
        <v>23.4</v>
      </c>
      <c r="AD18" t="n">
        <v>23.3</v>
      </c>
      <c r="AE18" t="n">
        <v>23.4</v>
      </c>
      <c r="AF18" t="n">
        <v>23.3</v>
      </c>
    </row>
    <row r="19">
      <c r="A19" t="s">
        <v>124</v>
      </c>
      <c r="B19" t="s">
        <v>308</v>
      </c>
      <c r="C19" t="s">
        <v>203</v>
      </c>
      <c r="D19" t="s">
        <v>309</v>
      </c>
      <c r="E19" t="s">
        <v>204</v>
      </c>
      <c r="F19"/>
      <c r="G19"/>
      <c r="H19"/>
      <c r="I19"/>
      <c r="J19"/>
      <c r="K19" t="n">
        <v>29.4</v>
      </c>
      <c r="L19" t="n">
        <v>34.6</v>
      </c>
      <c r="M19" t="n">
        <v>35.3</v>
      </c>
      <c r="N19" t="n">
        <v>37.8</v>
      </c>
      <c r="O19" t="n">
        <v>33.3</v>
      </c>
      <c r="P19" t="n">
        <v>59.3</v>
      </c>
      <c r="Q19" t="n">
        <v>76.2</v>
      </c>
      <c r="R19" t="n">
        <v>92.1</v>
      </c>
      <c r="S19" t="n">
        <v>96.8</v>
      </c>
      <c r="T19" t="n">
        <v>104.7</v>
      </c>
      <c r="U19" t="n">
        <v>99.6</v>
      </c>
      <c r="V19" t="n">
        <v>81.5</v>
      </c>
      <c r="W19" t="n">
        <v>78.9</v>
      </c>
      <c r="X19" t="n">
        <v>74.2</v>
      </c>
      <c r="Y19" t="n">
        <v>69.4</v>
      </c>
      <c r="Z19" t="n">
        <v>69.5</v>
      </c>
      <c r="AA19" t="n">
        <v>71.2</v>
      </c>
      <c r="AB19" t="n">
        <v>68.4</v>
      </c>
      <c r="AC19" t="n">
        <v>70.4</v>
      </c>
      <c r="AD19" t="n">
        <v>70.3</v>
      </c>
      <c r="AE19" t="n">
        <v>70.4</v>
      </c>
      <c r="AF19" t="n">
        <v>70.1</v>
      </c>
    </row>
    <row r="20">
      <c r="A20" t="s">
        <v>124</v>
      </c>
      <c r="B20" t="s">
        <v>310</v>
      </c>
      <c r="C20" t="s">
        <v>203</v>
      </c>
      <c r="D20" t="s">
        <v>311</v>
      </c>
      <c r="E20" t="s">
        <v>204</v>
      </c>
      <c r="F20"/>
      <c r="G20"/>
      <c r="H20"/>
      <c r="I20"/>
      <c r="J20"/>
      <c r="K20" t="n">
        <v>15.9</v>
      </c>
      <c r="L20" t="n">
        <v>13.9</v>
      </c>
      <c r="M20" t="n">
        <v>99.4</v>
      </c>
      <c r="N20" t="n">
        <v>398.9</v>
      </c>
      <c r="O20" t="n">
        <v>414.3</v>
      </c>
      <c r="P20" t="n">
        <v>643.8</v>
      </c>
      <c r="Q20" t="n">
        <v>621.5</v>
      </c>
      <c r="R20" t="n">
        <v>841.1</v>
      </c>
      <c r="S20" t="n">
        <v>970.4</v>
      </c>
      <c r="T20" t="n">
        <v>1052.3</v>
      </c>
      <c r="U20" t="n">
        <v>962.1</v>
      </c>
      <c r="V20" t="n">
        <v>758.5</v>
      </c>
      <c r="W20" t="n">
        <v>695.9</v>
      </c>
      <c r="X20" t="n">
        <v>618.7</v>
      </c>
      <c r="Y20" t="n">
        <v>536</v>
      </c>
      <c r="Z20" t="n">
        <v>463.3</v>
      </c>
      <c r="AA20" t="n">
        <v>410.5</v>
      </c>
      <c r="AB20" t="n">
        <v>365.6</v>
      </c>
      <c r="AC20" t="n">
        <v>344.7</v>
      </c>
      <c r="AD20" t="n">
        <v>344.1</v>
      </c>
      <c r="AE20" t="n">
        <v>344.5</v>
      </c>
      <c r="AF20" t="n">
        <v>343.2</v>
      </c>
    </row>
    <row r="21">
      <c r="A21" t="s">
        <v>124</v>
      </c>
      <c r="B21" t="s">
        <v>312</v>
      </c>
      <c r="C21" t="s">
        <v>203</v>
      </c>
      <c r="D21" t="s">
        <v>313</v>
      </c>
      <c r="E21" t="s">
        <v>204</v>
      </c>
      <c r="F21"/>
      <c r="G21"/>
      <c r="H21"/>
      <c r="I21"/>
      <c r="J21"/>
      <c r="K21" t="n">
        <v>25.9</v>
      </c>
      <c r="L21" t="n">
        <v>24.5</v>
      </c>
      <c r="M21" t="n">
        <v>121.1</v>
      </c>
      <c r="N21" t="n">
        <v>427.5</v>
      </c>
      <c r="O21" t="n">
        <v>441.6</v>
      </c>
      <c r="P21" t="n">
        <v>696.7</v>
      </c>
      <c r="Q21" t="n">
        <v>681.6</v>
      </c>
      <c r="R21" t="n">
        <v>910</v>
      </c>
      <c r="S21" t="n">
        <v>1038.3</v>
      </c>
      <c r="T21" t="n">
        <v>1124.8</v>
      </c>
      <c r="U21" t="n">
        <v>1038.5</v>
      </c>
      <c r="V21" t="n">
        <v>824.7</v>
      </c>
      <c r="W21" t="n">
        <v>761.7</v>
      </c>
      <c r="X21" t="n">
        <v>682.2</v>
      </c>
      <c r="Y21" t="n">
        <v>607.2</v>
      </c>
      <c r="Z21" t="n">
        <v>553.2</v>
      </c>
      <c r="AA21" t="n">
        <v>493.7</v>
      </c>
      <c r="AB21" t="n">
        <v>460.5</v>
      </c>
      <c r="AC21" t="n">
        <v>437.9</v>
      </c>
      <c r="AD21" t="n">
        <v>437.1</v>
      </c>
      <c r="AE21" t="n">
        <v>437.6</v>
      </c>
      <c r="AF21" t="n">
        <v>436</v>
      </c>
    </row>
    <row r="22">
      <c r="A22" t="s">
        <v>124</v>
      </c>
      <c r="B22" t="s">
        <v>314</v>
      </c>
      <c r="C22" t="s">
        <v>203</v>
      </c>
      <c r="D22" t="s">
        <v>315</v>
      </c>
      <c r="E22" t="s">
        <v>204</v>
      </c>
      <c r="F22"/>
      <c r="G22"/>
      <c r="H22"/>
      <c r="I22"/>
      <c r="J22"/>
      <c r="K22" t="n">
        <v>10</v>
      </c>
      <c r="L22" t="n">
        <v>10.6</v>
      </c>
      <c r="M22" t="n">
        <v>21.7</v>
      </c>
      <c r="N22" t="n">
        <v>28.6</v>
      </c>
      <c r="O22" t="n">
        <v>27.3</v>
      </c>
      <c r="P22" t="n">
        <v>52.9</v>
      </c>
      <c r="Q22" t="n">
        <v>60.1</v>
      </c>
      <c r="R22" t="n">
        <v>68.9</v>
      </c>
      <c r="S22" t="n">
        <v>67.9</v>
      </c>
      <c r="T22" t="n">
        <v>72.5</v>
      </c>
      <c r="U22" t="n">
        <v>76.4</v>
      </c>
      <c r="V22" t="n">
        <v>66.2</v>
      </c>
      <c r="W22" t="n">
        <v>65.8</v>
      </c>
      <c r="X22" t="n">
        <v>63.5</v>
      </c>
      <c r="Y22" t="n">
        <v>71.2</v>
      </c>
      <c r="Z22" t="n">
        <v>89.9</v>
      </c>
      <c r="AA22" t="n">
        <v>83.2</v>
      </c>
      <c r="AB22" t="n">
        <v>94.9</v>
      </c>
      <c r="AC22" t="n">
        <v>93.2</v>
      </c>
      <c r="AD22" t="n">
        <v>93</v>
      </c>
      <c r="AE22" t="n">
        <v>93.1</v>
      </c>
      <c r="AF22" t="n">
        <v>92.8</v>
      </c>
    </row>
    <row r="23">
      <c r="A23" t="s">
        <v>124</v>
      </c>
      <c r="B23" t="s">
        <v>316</v>
      </c>
      <c r="C23" t="s">
        <v>203</v>
      </c>
      <c r="D23" t="s">
        <v>317</v>
      </c>
      <c r="E23" t="s">
        <v>204</v>
      </c>
      <c r="F23"/>
      <c r="G23"/>
      <c r="H23"/>
      <c r="I23"/>
      <c r="J23"/>
      <c r="K23" t="n">
        <v>152.8</v>
      </c>
      <c r="L23" t="n">
        <v>179.4</v>
      </c>
      <c r="M23" t="n">
        <v>191.5</v>
      </c>
      <c r="N23" t="n">
        <v>217.4</v>
      </c>
      <c r="O23" t="n">
        <v>201.9</v>
      </c>
      <c r="P23" t="n">
        <v>334.9</v>
      </c>
      <c r="Q23" t="n">
        <v>455.9</v>
      </c>
      <c r="R23" t="n">
        <v>662.7</v>
      </c>
      <c r="S23" t="n">
        <v>604.4</v>
      </c>
      <c r="T23" t="n">
        <v>629.1</v>
      </c>
      <c r="U23" t="n">
        <v>609</v>
      </c>
      <c r="V23" t="n">
        <v>510.9</v>
      </c>
      <c r="W23" t="n">
        <v>511.4</v>
      </c>
      <c r="X23" t="n">
        <v>496.1</v>
      </c>
      <c r="Y23" t="n">
        <v>474.1</v>
      </c>
      <c r="Z23" t="n">
        <v>523.6</v>
      </c>
      <c r="AA23" t="n">
        <v>459.2</v>
      </c>
      <c r="AB23" t="n">
        <v>351.5</v>
      </c>
      <c r="AC23" t="n">
        <v>385.8</v>
      </c>
      <c r="AD23" t="n">
        <v>385</v>
      </c>
      <c r="AE23" t="n">
        <v>385.6</v>
      </c>
      <c r="AF23" t="n">
        <v>384.1</v>
      </c>
    </row>
    <row r="24">
      <c r="A24" t="s">
        <v>124</v>
      </c>
      <c r="B24" t="s">
        <v>318</v>
      </c>
      <c r="C24" t="s">
        <v>203</v>
      </c>
      <c r="D24" t="s">
        <v>319</v>
      </c>
      <c r="E24" t="s">
        <v>204</v>
      </c>
      <c r="F24"/>
      <c r="G24"/>
      <c r="H24"/>
      <c r="I24"/>
      <c r="J24"/>
      <c r="K24" t="n">
        <v>355.1</v>
      </c>
      <c r="L24" t="n">
        <v>575.2</v>
      </c>
      <c r="M24" t="n">
        <v>674.2</v>
      </c>
      <c r="N24" t="n">
        <v>821.1</v>
      </c>
      <c r="O24" t="n">
        <v>713.1</v>
      </c>
      <c r="P24" t="n">
        <v>933.5</v>
      </c>
      <c r="Q24" t="n">
        <v>1053</v>
      </c>
      <c r="R24" t="n">
        <v>1399</v>
      </c>
      <c r="S24" t="n">
        <v>1254.9</v>
      </c>
      <c r="T24" t="n">
        <v>1303.1</v>
      </c>
      <c r="U24" t="n">
        <v>1300.1</v>
      </c>
      <c r="V24" t="n">
        <v>1126.4</v>
      </c>
      <c r="W24" t="n">
        <v>1162.8</v>
      </c>
      <c r="X24" t="n">
        <v>1159.4</v>
      </c>
      <c r="Y24" t="n">
        <v>1084.4</v>
      </c>
      <c r="Z24" t="n">
        <v>1101.2</v>
      </c>
      <c r="AA24" t="n">
        <v>1068.4</v>
      </c>
      <c r="AB24" t="n">
        <v>894.3</v>
      </c>
      <c r="AC24" t="n">
        <v>945.1</v>
      </c>
      <c r="AD24" t="n">
        <v>943.4</v>
      </c>
      <c r="AE24" t="n">
        <v>944.7</v>
      </c>
      <c r="AF24" t="n">
        <v>941</v>
      </c>
    </row>
    <row r="25">
      <c r="A25" t="s">
        <v>124</v>
      </c>
      <c r="B25" t="s">
        <v>320</v>
      </c>
      <c r="C25" t="s">
        <v>203</v>
      </c>
      <c r="D25" t="s">
        <v>321</v>
      </c>
      <c r="E25" t="s">
        <v>204</v>
      </c>
      <c r="F25"/>
      <c r="G25"/>
      <c r="H25"/>
      <c r="I25"/>
      <c r="J25"/>
      <c r="K25" t="n">
        <v>38.7</v>
      </c>
      <c r="L25" t="n">
        <v>51.8</v>
      </c>
      <c r="M25" t="n">
        <v>62.1</v>
      </c>
      <c r="N25" t="n">
        <v>72.8</v>
      </c>
      <c r="O25" t="n">
        <v>66.6</v>
      </c>
      <c r="P25" t="n">
        <v>97.7</v>
      </c>
      <c r="Q25" t="n">
        <v>113</v>
      </c>
      <c r="R25" t="n">
        <v>134.7</v>
      </c>
      <c r="S25" t="n">
        <v>122</v>
      </c>
      <c r="T25" t="n">
        <v>128.5</v>
      </c>
      <c r="U25" t="n">
        <v>128.5</v>
      </c>
      <c r="V25" t="n">
        <v>118.7</v>
      </c>
      <c r="W25" t="n">
        <v>129.9</v>
      </c>
      <c r="X25" t="n">
        <v>135.8</v>
      </c>
      <c r="Y25" t="n">
        <v>131.6</v>
      </c>
      <c r="Z25" t="n">
        <v>176.9</v>
      </c>
      <c r="AA25" t="n">
        <v>192.1</v>
      </c>
      <c r="AB25" t="n">
        <v>176.3</v>
      </c>
      <c r="AC25" t="n">
        <v>149.5</v>
      </c>
      <c r="AD25" t="n">
        <v>149.2</v>
      </c>
      <c r="AE25" t="n">
        <v>149.4</v>
      </c>
      <c r="AF25" t="n">
        <v>148.8</v>
      </c>
    </row>
    <row r="26">
      <c r="A26" t="s">
        <v>124</v>
      </c>
      <c r="B26" t="s">
        <v>322</v>
      </c>
      <c r="C26" t="s">
        <v>203</v>
      </c>
      <c r="D26" t="s">
        <v>323</v>
      </c>
      <c r="E26" t="s">
        <v>204</v>
      </c>
      <c r="F26"/>
      <c r="G26"/>
      <c r="H26"/>
      <c r="I26"/>
      <c r="J26"/>
      <c r="K26" t="n">
        <v>192</v>
      </c>
      <c r="L26" t="n">
        <v>356.3</v>
      </c>
      <c r="M26" t="n">
        <v>407.9</v>
      </c>
      <c r="N26" t="n">
        <v>511.2</v>
      </c>
      <c r="O26" t="n">
        <v>442.4</v>
      </c>
      <c r="P26" t="n">
        <v>578.1</v>
      </c>
      <c r="Q26" t="n">
        <v>653</v>
      </c>
      <c r="R26" t="n">
        <v>854.1</v>
      </c>
      <c r="S26" t="n">
        <v>759.5</v>
      </c>
      <c r="T26" t="n">
        <v>782</v>
      </c>
      <c r="U26" t="n">
        <v>781.5</v>
      </c>
      <c r="V26" t="n">
        <v>672.6</v>
      </c>
      <c r="W26" t="n">
        <v>703.7</v>
      </c>
      <c r="X26" t="n">
        <v>709.8</v>
      </c>
      <c r="Y26" t="n">
        <v>662.6</v>
      </c>
      <c r="Z26" t="n">
        <v>646.1</v>
      </c>
      <c r="AA26" t="n">
        <v>627.8</v>
      </c>
      <c r="AB26" t="n">
        <v>487.1</v>
      </c>
      <c r="AC26" t="n">
        <v>559.8</v>
      </c>
      <c r="AD26" t="n">
        <v>558.8</v>
      </c>
      <c r="AE26" t="n">
        <v>559.6</v>
      </c>
      <c r="AF26" t="n">
        <v>557.4</v>
      </c>
    </row>
    <row r="27">
      <c r="A27" t="s">
        <v>124</v>
      </c>
      <c r="B27" t="s">
        <v>324</v>
      </c>
      <c r="C27" t="s">
        <v>203</v>
      </c>
      <c r="D27" t="s">
        <v>325</v>
      </c>
      <c r="E27" t="s">
        <v>204</v>
      </c>
      <c r="F27"/>
      <c r="G27"/>
      <c r="H27"/>
      <c r="I27"/>
      <c r="J27"/>
      <c r="K27" t="n">
        <v>124.4</v>
      </c>
      <c r="L27" t="n">
        <v>167.1</v>
      </c>
      <c r="M27" t="n">
        <v>204.2</v>
      </c>
      <c r="N27" t="n">
        <v>237.1</v>
      </c>
      <c r="O27" t="n">
        <v>204.1</v>
      </c>
      <c r="P27" t="n">
        <v>257.7</v>
      </c>
      <c r="Q27" t="n">
        <v>287</v>
      </c>
      <c r="R27" t="n">
        <v>410.2</v>
      </c>
      <c r="S27" t="n">
        <v>373.4</v>
      </c>
      <c r="T27" t="n">
        <v>392.6</v>
      </c>
      <c r="U27" t="n">
        <v>390.1</v>
      </c>
      <c r="V27" t="n">
        <v>335.1</v>
      </c>
      <c r="W27" t="n">
        <v>329.2</v>
      </c>
      <c r="X27" t="n">
        <v>313.8</v>
      </c>
      <c r="Y27" t="n">
        <v>290.2</v>
      </c>
      <c r="Z27" t="n">
        <v>278.2</v>
      </c>
      <c r="AA27" t="n">
        <v>248.5</v>
      </c>
      <c r="AB27" t="n">
        <v>230.9</v>
      </c>
      <c r="AC27" t="n">
        <v>235.8</v>
      </c>
      <c r="AD27" t="n">
        <v>235.4</v>
      </c>
      <c r="AE27" t="n">
        <v>235.7</v>
      </c>
      <c r="AF27" t="n">
        <v>234.8</v>
      </c>
    </row>
    <row r="28">
      <c r="A28" t="s">
        <v>124</v>
      </c>
      <c r="B28" t="s">
        <v>326</v>
      </c>
      <c r="C28" t="s">
        <v>203</v>
      </c>
      <c r="D28" t="s">
        <v>327</v>
      </c>
      <c r="E28" t="s">
        <v>204</v>
      </c>
      <c r="F28"/>
      <c r="G28"/>
      <c r="H28"/>
      <c r="I28"/>
      <c r="J28"/>
      <c r="K28" t="n">
        <v>394.2</v>
      </c>
      <c r="L28" t="n">
        <v>344.8</v>
      </c>
      <c r="M28" t="n">
        <v>411.6</v>
      </c>
      <c r="N28" t="n">
        <v>443.1</v>
      </c>
      <c r="O28" t="n">
        <v>401.1</v>
      </c>
      <c r="P28" t="n">
        <v>596</v>
      </c>
      <c r="Q28" t="n">
        <v>736.1</v>
      </c>
      <c r="R28" t="n">
        <v>979</v>
      </c>
      <c r="S28" t="n">
        <v>827.5</v>
      </c>
      <c r="T28" t="n">
        <v>862.4</v>
      </c>
      <c r="U28" t="n">
        <v>962.9</v>
      </c>
      <c r="V28" t="n">
        <v>905.2</v>
      </c>
      <c r="W28" t="n">
        <v>1022.6</v>
      </c>
      <c r="X28" t="n">
        <v>1095.8</v>
      </c>
      <c r="Y28" t="n">
        <v>1341.2</v>
      </c>
      <c r="Z28" t="n">
        <v>1608.4</v>
      </c>
      <c r="AA28" t="n">
        <v>1920.2</v>
      </c>
      <c r="AB28" t="n">
        <v>2062.8</v>
      </c>
      <c r="AC28" t="n">
        <v>2226.5</v>
      </c>
      <c r="AD28" t="n">
        <v>2222.4</v>
      </c>
      <c r="AE28" t="n">
        <v>2225.4</v>
      </c>
      <c r="AF28" t="n">
        <v>2216.9</v>
      </c>
    </row>
    <row r="29">
      <c r="A29" t="s">
        <v>124</v>
      </c>
      <c r="B29" t="s">
        <v>328</v>
      </c>
      <c r="C29" t="s">
        <v>203</v>
      </c>
      <c r="D29" t="s">
        <v>329</v>
      </c>
      <c r="E29" t="s">
        <v>204</v>
      </c>
      <c r="F29"/>
      <c r="G29"/>
      <c r="H29"/>
      <c r="I29"/>
      <c r="J29"/>
      <c r="K29" t="n">
        <v>304.5</v>
      </c>
      <c r="L29" t="n">
        <v>265.9</v>
      </c>
      <c r="M29" t="n">
        <v>305.5</v>
      </c>
      <c r="N29" t="n">
        <v>307.9</v>
      </c>
      <c r="O29" t="n">
        <v>276.1</v>
      </c>
      <c r="P29" t="n">
        <v>426.5</v>
      </c>
      <c r="Q29" t="n">
        <v>521.4</v>
      </c>
      <c r="R29" t="n">
        <v>721.1</v>
      </c>
      <c r="S29" t="n">
        <v>603.4</v>
      </c>
      <c r="T29" t="n">
        <v>626</v>
      </c>
      <c r="U29" t="n">
        <v>724.8</v>
      </c>
      <c r="V29" t="n">
        <v>698.1</v>
      </c>
      <c r="W29" t="n">
        <v>794.7</v>
      </c>
      <c r="X29" t="n">
        <v>856.4</v>
      </c>
      <c r="Y29" t="n">
        <v>1140</v>
      </c>
      <c r="Z29" t="n">
        <v>1409.8</v>
      </c>
      <c r="AA29" t="n">
        <v>1715.1</v>
      </c>
      <c r="AB29" t="n">
        <v>1846.8</v>
      </c>
      <c r="AC29" t="n">
        <v>1992.4</v>
      </c>
      <c r="AD29" t="n">
        <v>1988.7</v>
      </c>
      <c r="AE29" t="n">
        <v>1991.4</v>
      </c>
      <c r="AF29" t="n">
        <v>1983.7</v>
      </c>
    </row>
    <row r="30">
      <c r="A30" t="s">
        <v>124</v>
      </c>
      <c r="B30" t="s">
        <v>330</v>
      </c>
      <c r="C30" t="s">
        <v>203</v>
      </c>
      <c r="D30" t="s">
        <v>331</v>
      </c>
      <c r="E30" t="s">
        <v>204</v>
      </c>
      <c r="F30"/>
      <c r="G30"/>
      <c r="H30"/>
      <c r="I30"/>
      <c r="J30"/>
      <c r="K30" t="n">
        <v>19.5</v>
      </c>
      <c r="L30" t="n">
        <v>16.9</v>
      </c>
      <c r="M30" t="n">
        <v>19.1</v>
      </c>
      <c r="N30" t="n">
        <v>30</v>
      </c>
      <c r="O30" t="n">
        <v>29.7</v>
      </c>
      <c r="P30" t="n">
        <v>49</v>
      </c>
      <c r="Q30" t="n">
        <v>67.2</v>
      </c>
      <c r="R30" t="n">
        <v>84.6</v>
      </c>
      <c r="S30" t="n">
        <v>70.3</v>
      </c>
      <c r="T30" t="n">
        <v>72.9</v>
      </c>
      <c r="U30" t="n">
        <v>68.8</v>
      </c>
      <c r="V30" t="n">
        <v>58.2</v>
      </c>
      <c r="W30" t="n">
        <v>56.8</v>
      </c>
      <c r="X30" t="n">
        <v>53.7</v>
      </c>
      <c r="Y30" t="n">
        <v>45</v>
      </c>
      <c r="Z30" t="n">
        <v>42.6</v>
      </c>
      <c r="AA30" t="n">
        <v>43.8</v>
      </c>
      <c r="AB30" t="n">
        <v>51</v>
      </c>
      <c r="AC30" t="n">
        <v>56</v>
      </c>
      <c r="AD30" t="n">
        <v>55.9</v>
      </c>
      <c r="AE30" t="n">
        <v>56</v>
      </c>
      <c r="AF30" t="n">
        <v>55.8</v>
      </c>
    </row>
    <row r="31">
      <c r="A31" t="s">
        <v>124</v>
      </c>
      <c r="B31" t="s">
        <v>332</v>
      </c>
      <c r="C31" t="s">
        <v>203</v>
      </c>
      <c r="D31" t="s">
        <v>333</v>
      </c>
      <c r="E31" t="s">
        <v>204</v>
      </c>
      <c r="F31"/>
      <c r="G31"/>
      <c r="H31"/>
      <c r="I31"/>
      <c r="J31"/>
      <c r="K31" t="n">
        <v>10.4</v>
      </c>
      <c r="L31" t="n">
        <v>8.6</v>
      </c>
      <c r="M31" t="n">
        <v>10.6</v>
      </c>
      <c r="N31" t="n">
        <v>18.8</v>
      </c>
      <c r="O31" t="n">
        <v>21.4</v>
      </c>
      <c r="P31" t="n">
        <v>30.9</v>
      </c>
      <c r="Q31" t="n">
        <v>44.9</v>
      </c>
      <c r="R31" t="n">
        <v>61</v>
      </c>
      <c r="S31" t="n">
        <v>54.7</v>
      </c>
      <c r="T31" t="n">
        <v>61.5</v>
      </c>
      <c r="U31" t="n">
        <v>62.9</v>
      </c>
      <c r="V31" t="n">
        <v>55.3</v>
      </c>
      <c r="W31" t="n">
        <v>54.7</v>
      </c>
      <c r="X31" t="n">
        <v>52.5</v>
      </c>
      <c r="Y31" t="n">
        <v>9.5</v>
      </c>
      <c r="Z31" t="n">
        <v>0</v>
      </c>
      <c r="AA31" t="n">
        <v>0</v>
      </c>
      <c r="AB31" t="n">
        <v>11.8</v>
      </c>
      <c r="AC31" t="n">
        <v>22.1</v>
      </c>
      <c r="AD31" t="n">
        <v>22.1</v>
      </c>
      <c r="AE31" t="n">
        <v>22.1</v>
      </c>
      <c r="AF31" t="n">
        <v>22.1</v>
      </c>
    </row>
    <row r="32">
      <c r="A32" t="s">
        <v>124</v>
      </c>
      <c r="B32" t="s">
        <v>334</v>
      </c>
      <c r="C32" t="s">
        <v>203</v>
      </c>
      <c r="D32" t="s">
        <v>335</v>
      </c>
      <c r="E32" t="s">
        <v>204</v>
      </c>
      <c r="F32"/>
      <c r="G32"/>
      <c r="H32"/>
      <c r="I32"/>
      <c r="J32"/>
      <c r="K32" t="n">
        <v>59.8</v>
      </c>
      <c r="L32" t="n">
        <v>53.4</v>
      </c>
      <c r="M32" t="n">
        <v>75.5</v>
      </c>
      <c r="N32" t="n">
        <v>83.7</v>
      </c>
      <c r="O32" t="n">
        <v>71.2</v>
      </c>
      <c r="P32" t="n">
        <v>84.5</v>
      </c>
      <c r="Q32" t="n">
        <v>94.1</v>
      </c>
      <c r="R32" t="n">
        <v>101.6</v>
      </c>
      <c r="S32" t="n">
        <v>89.6</v>
      </c>
      <c r="T32" t="n">
        <v>91.7</v>
      </c>
      <c r="U32" t="n">
        <v>94.4</v>
      </c>
      <c r="V32" t="n">
        <v>82.1</v>
      </c>
      <c r="W32" t="n">
        <v>100.9</v>
      </c>
      <c r="X32" t="n">
        <v>114.6</v>
      </c>
      <c r="Y32" t="n">
        <v>124.8</v>
      </c>
      <c r="Z32" t="n">
        <v>131.7</v>
      </c>
      <c r="AA32" t="n">
        <v>136.2</v>
      </c>
      <c r="AB32" t="n">
        <v>129.2</v>
      </c>
      <c r="AC32" t="n">
        <v>133.4</v>
      </c>
      <c r="AD32" t="n">
        <v>133.1</v>
      </c>
      <c r="AE32" t="n">
        <v>133.3</v>
      </c>
      <c r="AF32" t="n">
        <v>132.8</v>
      </c>
    </row>
    <row r="33">
      <c r="A33" t="s">
        <v>124</v>
      </c>
      <c r="B33" t="s">
        <v>336</v>
      </c>
      <c r="C33" t="s">
        <v>203</v>
      </c>
      <c r="D33" t="s">
        <v>337</v>
      </c>
      <c r="E33" t="s">
        <v>204</v>
      </c>
      <c r="F33"/>
      <c r="G33"/>
      <c r="H33"/>
      <c r="I33"/>
      <c r="J33"/>
      <c r="K33" t="n">
        <v>0</v>
      </c>
      <c r="L33" t="n">
        <v>0</v>
      </c>
      <c r="M33" t="n">
        <v>0.9</v>
      </c>
      <c r="N33" t="n">
        <v>2.7</v>
      </c>
      <c r="O33" t="n">
        <v>2.7</v>
      </c>
      <c r="P33" t="n">
        <v>5.1</v>
      </c>
      <c r="Q33" t="n">
        <v>8.5</v>
      </c>
      <c r="R33" t="n">
        <v>10.7</v>
      </c>
      <c r="S33" t="n">
        <v>9.5</v>
      </c>
      <c r="T33" t="n">
        <v>10.3</v>
      </c>
      <c r="U33" t="n">
        <v>12</v>
      </c>
      <c r="V33" t="n">
        <v>11.5</v>
      </c>
      <c r="W33" t="n">
        <v>15.5</v>
      </c>
      <c r="X33" t="n">
        <v>18.6</v>
      </c>
      <c r="Y33" t="n">
        <v>21.9</v>
      </c>
      <c r="Z33" t="n">
        <v>24.3</v>
      </c>
      <c r="AA33" t="n">
        <v>25.1</v>
      </c>
      <c r="AB33" t="n">
        <v>24</v>
      </c>
      <c r="AC33" t="n">
        <v>22.6</v>
      </c>
      <c r="AD33" t="n">
        <v>22.6</v>
      </c>
      <c r="AE33" t="n">
        <v>22.6</v>
      </c>
      <c r="AF33" t="n">
        <v>22.5</v>
      </c>
    </row>
    <row r="34">
      <c r="A34" t="s">
        <v>124</v>
      </c>
      <c r="B34" t="s">
        <v>338</v>
      </c>
      <c r="C34" t="s">
        <v>203</v>
      </c>
      <c r="D34" t="s">
        <v>339</v>
      </c>
      <c r="E34" t="s">
        <v>204</v>
      </c>
      <c r="F34"/>
      <c r="G34"/>
      <c r="H34"/>
      <c r="I34"/>
      <c r="J34"/>
      <c r="K34" t="n">
        <v>18.5</v>
      </c>
      <c r="L34" t="n">
        <v>43.9</v>
      </c>
      <c r="M34" t="n">
        <v>58.5</v>
      </c>
      <c r="N34" t="n">
        <v>73.4</v>
      </c>
      <c r="O34" t="n">
        <v>69.1</v>
      </c>
      <c r="P34" t="n">
        <v>97.4</v>
      </c>
      <c r="Q34" t="n">
        <v>111.1</v>
      </c>
      <c r="R34" t="n">
        <v>218.5</v>
      </c>
      <c r="S34" t="n">
        <v>200.8</v>
      </c>
      <c r="T34" t="n">
        <v>206.7</v>
      </c>
      <c r="U34" t="n">
        <v>194.8</v>
      </c>
      <c r="V34" t="n">
        <v>158.5</v>
      </c>
      <c r="W34" t="n">
        <v>152.6</v>
      </c>
      <c r="X34" t="n">
        <v>142.7</v>
      </c>
      <c r="Y34" t="n">
        <v>132.1</v>
      </c>
      <c r="Z34" t="n">
        <v>128.4</v>
      </c>
      <c r="AA34" t="n">
        <v>116.7</v>
      </c>
      <c r="AB34" t="n">
        <v>108.7</v>
      </c>
      <c r="AC34" t="n">
        <v>108.2</v>
      </c>
      <c r="AD34" t="n">
        <v>108</v>
      </c>
      <c r="AE34" t="n">
        <v>108.1</v>
      </c>
      <c r="AF34" t="n">
        <v>107.7</v>
      </c>
    </row>
    <row r="35">
      <c r="A35" t="s">
        <v>124</v>
      </c>
      <c r="B35" t="s">
        <v>340</v>
      </c>
      <c r="C35" t="s">
        <v>203</v>
      </c>
      <c r="D35" t="s">
        <v>341</v>
      </c>
      <c r="E35" t="s">
        <v>204</v>
      </c>
      <c r="F35"/>
      <c r="G35"/>
      <c r="H35"/>
      <c r="I35"/>
      <c r="J35"/>
      <c r="K35" t="n">
        <v>41.4</v>
      </c>
      <c r="L35" t="n">
        <v>57.2</v>
      </c>
      <c r="M35" t="n">
        <v>247.9</v>
      </c>
      <c r="N35" t="n">
        <v>357.4</v>
      </c>
      <c r="O35" t="n">
        <v>374.3</v>
      </c>
      <c r="P35" t="n">
        <v>621</v>
      </c>
      <c r="Q35" t="n">
        <v>722.3</v>
      </c>
      <c r="R35" t="n">
        <v>860.4</v>
      </c>
      <c r="S35" t="n">
        <v>811.3</v>
      </c>
      <c r="T35" t="n">
        <v>836.8</v>
      </c>
      <c r="U35" t="n">
        <v>766.3</v>
      </c>
      <c r="V35" t="n">
        <v>608.2</v>
      </c>
      <c r="W35" t="n">
        <v>563.4</v>
      </c>
      <c r="X35" t="n">
        <v>506.3</v>
      </c>
      <c r="Y35" t="n">
        <v>436.6</v>
      </c>
      <c r="Z35" t="n">
        <v>396</v>
      </c>
      <c r="AA35" t="n">
        <v>336.4</v>
      </c>
      <c r="AB35" t="n">
        <v>317.9</v>
      </c>
      <c r="AC35" t="n">
        <v>290.7</v>
      </c>
      <c r="AD35" t="n">
        <v>290.1</v>
      </c>
      <c r="AE35" t="n">
        <v>290.5</v>
      </c>
      <c r="AF35" t="n">
        <v>289.5</v>
      </c>
    </row>
    <row r="36">
      <c r="A36" t="s">
        <v>124</v>
      </c>
      <c r="B36" t="s">
        <v>342</v>
      </c>
      <c r="C36" t="s">
        <v>203</v>
      </c>
      <c r="D36" t="s">
        <v>343</v>
      </c>
      <c r="E36" t="s">
        <v>204</v>
      </c>
      <c r="F36"/>
      <c r="G36"/>
      <c r="H36"/>
      <c r="I36"/>
      <c r="J36"/>
      <c r="K36" t="n">
        <v>41.4</v>
      </c>
      <c r="L36" t="n">
        <v>53.2</v>
      </c>
      <c r="M36" t="n">
        <v>240.5</v>
      </c>
      <c r="N36" t="n">
        <v>319</v>
      </c>
      <c r="O36" t="n">
        <v>343.2</v>
      </c>
      <c r="P36" t="n">
        <v>334.7</v>
      </c>
      <c r="Q36" t="n">
        <v>307.2</v>
      </c>
      <c r="R36" t="n">
        <v>303.3</v>
      </c>
      <c r="S36" t="n">
        <v>259.1</v>
      </c>
      <c r="T36" t="n">
        <v>258.1</v>
      </c>
      <c r="U36" t="n">
        <v>236.1</v>
      </c>
      <c r="V36" t="n">
        <v>187</v>
      </c>
      <c r="W36" t="n">
        <v>172.3</v>
      </c>
      <c r="X36" t="n">
        <v>153.9</v>
      </c>
      <c r="Y36" t="n">
        <v>130.8</v>
      </c>
      <c r="Z36" t="n">
        <v>119.2</v>
      </c>
      <c r="AA36" t="n">
        <v>101.4</v>
      </c>
      <c r="AB36" t="n">
        <v>88</v>
      </c>
      <c r="AC36" t="n">
        <v>78.5</v>
      </c>
      <c r="AD36" t="n">
        <v>78.4</v>
      </c>
      <c r="AE36" t="n">
        <v>78.5</v>
      </c>
      <c r="AF36" t="n">
        <v>78.2</v>
      </c>
    </row>
    <row r="37">
      <c r="A37" t="s">
        <v>124</v>
      </c>
      <c r="B37" t="s">
        <v>344</v>
      </c>
      <c r="C37" t="s">
        <v>203</v>
      </c>
      <c r="D37" t="s">
        <v>345</v>
      </c>
      <c r="E37" t="s">
        <v>204</v>
      </c>
      <c r="F37"/>
      <c r="G37"/>
      <c r="H37"/>
      <c r="I37"/>
      <c r="J37"/>
      <c r="K37" t="n">
        <v>0</v>
      </c>
      <c r="L37" t="n">
        <v>0</v>
      </c>
      <c r="M37" t="n">
        <v>1.9</v>
      </c>
      <c r="N37" t="n">
        <v>5.4</v>
      </c>
      <c r="O37" t="n">
        <v>4</v>
      </c>
      <c r="P37" t="n">
        <v>248.4</v>
      </c>
      <c r="Q37" t="n">
        <v>372.2</v>
      </c>
      <c r="R37" t="n">
        <v>509.8</v>
      </c>
      <c r="S37" t="n">
        <v>494.5</v>
      </c>
      <c r="T37" t="n">
        <v>517.2</v>
      </c>
      <c r="U37" t="n">
        <v>471.3</v>
      </c>
      <c r="V37" t="n">
        <v>371.1</v>
      </c>
      <c r="W37" t="n">
        <v>338.9</v>
      </c>
      <c r="X37" t="n">
        <v>299.9</v>
      </c>
      <c r="Y37" t="n">
        <v>254.5</v>
      </c>
      <c r="Z37" t="n">
        <v>222.6</v>
      </c>
      <c r="AA37" t="n">
        <v>186</v>
      </c>
      <c r="AB37" t="n">
        <v>159</v>
      </c>
      <c r="AC37" t="n">
        <v>142.2</v>
      </c>
      <c r="AD37" t="n">
        <v>141.9</v>
      </c>
      <c r="AE37" t="n">
        <v>142.1</v>
      </c>
      <c r="AF37" t="n">
        <v>141.6</v>
      </c>
    </row>
    <row r="38">
      <c r="A38" t="s">
        <v>124</v>
      </c>
      <c r="B38" t="s">
        <v>346</v>
      </c>
      <c r="C38" t="s">
        <v>203</v>
      </c>
      <c r="D38" t="s">
        <v>347</v>
      </c>
      <c r="E38" t="s">
        <v>204</v>
      </c>
      <c r="F38"/>
      <c r="G38"/>
      <c r="H38"/>
      <c r="I38"/>
      <c r="J38"/>
      <c r="K38" t="n">
        <v>0</v>
      </c>
      <c r="L38" t="n">
        <v>4</v>
      </c>
      <c r="M38" t="n">
        <v>5.5</v>
      </c>
      <c r="N38" t="n">
        <v>33</v>
      </c>
      <c r="O38" t="n">
        <v>27.1</v>
      </c>
      <c r="P38" t="n">
        <v>37.9</v>
      </c>
      <c r="Q38" t="n">
        <v>42.9</v>
      </c>
      <c r="R38" t="n">
        <v>47.3</v>
      </c>
      <c r="S38" t="n">
        <v>57.7</v>
      </c>
      <c r="T38" t="n">
        <v>61.5</v>
      </c>
      <c r="U38" t="n">
        <v>58.9</v>
      </c>
      <c r="V38" t="n">
        <v>50.1</v>
      </c>
      <c r="W38" t="n">
        <v>52.2</v>
      </c>
      <c r="X38" t="n">
        <v>52.5</v>
      </c>
      <c r="Y38" t="n">
        <v>51.3</v>
      </c>
      <c r="Z38" t="n">
        <v>54.2</v>
      </c>
      <c r="AA38" t="n">
        <v>49</v>
      </c>
      <c r="AB38" t="n">
        <v>70.9</v>
      </c>
      <c r="AC38" t="n">
        <v>70</v>
      </c>
      <c r="AD38" t="n">
        <v>69.8</v>
      </c>
      <c r="AE38" t="n">
        <v>69.9</v>
      </c>
      <c r="AF38" t="n">
        <v>69.7</v>
      </c>
    </row>
    <row r="39">
      <c r="A39" t="s">
        <v>124</v>
      </c>
      <c r="B39" t="s">
        <v>348</v>
      </c>
      <c r="C39" t="s">
        <v>203</v>
      </c>
      <c r="D39" t="s">
        <v>349</v>
      </c>
      <c r="E39" t="s">
        <v>204</v>
      </c>
      <c r="F39"/>
      <c r="G39"/>
      <c r="H39"/>
      <c r="I39"/>
      <c r="J39"/>
      <c r="K39" t="n">
        <v>28.7</v>
      </c>
      <c r="L39" t="n">
        <v>27.7</v>
      </c>
      <c r="M39" t="n">
        <v>56.6</v>
      </c>
      <c r="N39" t="n">
        <v>63.3</v>
      </c>
      <c r="O39" t="n">
        <v>69.9</v>
      </c>
      <c r="P39" t="n">
        <v>71.2</v>
      </c>
      <c r="Q39" t="n">
        <v>115</v>
      </c>
      <c r="R39" t="n">
        <v>156.6</v>
      </c>
      <c r="S39" t="n">
        <v>165.7</v>
      </c>
      <c r="T39" t="n">
        <v>174.1</v>
      </c>
      <c r="U39" t="n">
        <v>172.5</v>
      </c>
      <c r="V39" t="n">
        <v>152.8</v>
      </c>
      <c r="W39" t="n">
        <v>172.6</v>
      </c>
      <c r="X39" t="n">
        <v>185</v>
      </c>
      <c r="Y39" t="n">
        <v>142.5</v>
      </c>
      <c r="Z39" t="n">
        <v>122.4</v>
      </c>
      <c r="AA39" t="n">
        <v>121.6</v>
      </c>
      <c r="AB39" t="n">
        <v>144.6</v>
      </c>
      <c r="AC39" t="n">
        <v>163</v>
      </c>
      <c r="AD39" t="n">
        <v>162.7</v>
      </c>
      <c r="AE39" t="n">
        <v>162.9</v>
      </c>
      <c r="AF39" t="n">
        <v>162.3</v>
      </c>
    </row>
    <row r="40">
      <c r="A40" t="s">
        <v>124</v>
      </c>
      <c r="B40" t="s">
        <v>350</v>
      </c>
      <c r="C40" t="s">
        <v>203</v>
      </c>
      <c r="D40" t="s">
        <v>351</v>
      </c>
      <c r="E40" t="s">
        <v>204</v>
      </c>
      <c r="F40"/>
      <c r="G40"/>
      <c r="H40"/>
      <c r="I40"/>
      <c r="J40"/>
      <c r="K40" t="n">
        <v>7</v>
      </c>
      <c r="L40" t="n">
        <v>29.7</v>
      </c>
      <c r="M40" t="n">
        <v>37.2</v>
      </c>
      <c r="N40" t="n">
        <v>34.8</v>
      </c>
      <c r="O40" t="n">
        <v>32.5</v>
      </c>
      <c r="P40" t="n">
        <v>53.3</v>
      </c>
      <c r="Q40" t="n">
        <v>73.4</v>
      </c>
      <c r="R40" t="n">
        <v>103.2</v>
      </c>
      <c r="S40" t="n">
        <v>109.7</v>
      </c>
      <c r="T40" t="n">
        <v>121.2</v>
      </c>
      <c r="U40" t="n">
        <v>119.2</v>
      </c>
      <c r="V40" t="n">
        <v>104.7</v>
      </c>
      <c r="W40" t="n">
        <v>119.5</v>
      </c>
      <c r="X40" t="n">
        <v>129</v>
      </c>
      <c r="Y40" t="n">
        <v>112.2</v>
      </c>
      <c r="Z40" t="n">
        <v>100.9</v>
      </c>
      <c r="AA40" t="n">
        <v>76.3</v>
      </c>
      <c r="AB40" t="n">
        <v>0</v>
      </c>
      <c r="AC40" t="n">
        <v>3.3</v>
      </c>
      <c r="AD40" t="n">
        <v>3.3</v>
      </c>
      <c r="AE40" t="n">
        <v>3.3</v>
      </c>
      <c r="AF40" t="n">
        <v>3.3</v>
      </c>
    </row>
    <row r="41">
      <c r="A41" t="s">
        <v>124</v>
      </c>
      <c r="B41" t="s">
        <v>352</v>
      </c>
      <c r="C41" t="s">
        <v>203</v>
      </c>
      <c r="D41" t="s">
        <v>353</v>
      </c>
      <c r="E41" t="s">
        <v>204</v>
      </c>
      <c r="F41"/>
      <c r="G41"/>
      <c r="H41"/>
      <c r="I41"/>
      <c r="J41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124</v>
      </c>
      <c r="B42" t="s">
        <v>354</v>
      </c>
      <c r="C42" t="s">
        <v>203</v>
      </c>
      <c r="D42" t="s">
        <v>355</v>
      </c>
      <c r="E42" t="s">
        <v>204</v>
      </c>
      <c r="F42"/>
      <c r="G42"/>
      <c r="H42"/>
      <c r="I42"/>
      <c r="J42"/>
      <c r="K42" t="n">
        <v>106.9</v>
      </c>
      <c r="L42" t="n">
        <v>130.4</v>
      </c>
      <c r="M42" t="n">
        <v>132.9</v>
      </c>
      <c r="N42" t="n">
        <v>144.9</v>
      </c>
      <c r="O42" t="n">
        <v>117</v>
      </c>
      <c r="P42" t="n">
        <v>142.1</v>
      </c>
      <c r="Q42" t="n">
        <v>155.9</v>
      </c>
      <c r="R42" t="n">
        <v>177.5</v>
      </c>
      <c r="S42" t="n">
        <v>172.3</v>
      </c>
      <c r="T42" t="n">
        <v>228.5</v>
      </c>
      <c r="U42" t="n">
        <v>230.9</v>
      </c>
      <c r="V42" t="n">
        <v>198.6</v>
      </c>
      <c r="W42" t="n">
        <v>210.9</v>
      </c>
      <c r="X42" t="n">
        <v>215.5</v>
      </c>
      <c r="Y42" t="n">
        <v>203.8</v>
      </c>
      <c r="Z42" t="n">
        <v>197</v>
      </c>
      <c r="AA42" t="n">
        <v>168.1</v>
      </c>
      <c r="AB42" t="n">
        <v>196.2</v>
      </c>
      <c r="AC42" t="n">
        <v>143</v>
      </c>
      <c r="AD42" t="n">
        <v>142.8</v>
      </c>
      <c r="AE42" t="n">
        <v>143</v>
      </c>
      <c r="AF42" t="n">
        <v>142.4</v>
      </c>
    </row>
    <row r="43">
      <c r="A43" t="s">
        <v>124</v>
      </c>
      <c r="B43" t="s">
        <v>356</v>
      </c>
      <c r="C43" t="s">
        <v>203</v>
      </c>
      <c r="D43" t="s">
        <v>357</v>
      </c>
      <c r="E43" t="s">
        <v>204</v>
      </c>
      <c r="F43"/>
      <c r="G43"/>
      <c r="H43"/>
      <c r="I43"/>
      <c r="J43"/>
      <c r="K43" t="n">
        <v>128.7</v>
      </c>
      <c r="L43" t="n">
        <v>156.3</v>
      </c>
      <c r="M43" t="n">
        <v>170.4</v>
      </c>
      <c r="N43" t="n">
        <v>225.6</v>
      </c>
      <c r="O43" t="n">
        <v>197.7</v>
      </c>
      <c r="P43" t="n">
        <v>271.8</v>
      </c>
      <c r="Q43" t="n">
        <v>311.5</v>
      </c>
      <c r="R43" t="n">
        <v>385.1</v>
      </c>
      <c r="S43" t="n">
        <v>361.1</v>
      </c>
      <c r="T43" t="n">
        <v>426.3</v>
      </c>
      <c r="U43" t="n">
        <v>431.9</v>
      </c>
      <c r="V43" t="n">
        <v>391.9</v>
      </c>
      <c r="W43" t="n">
        <v>434.5</v>
      </c>
      <c r="X43" t="n">
        <v>459.2</v>
      </c>
      <c r="Y43" t="n">
        <v>539.9</v>
      </c>
      <c r="Z43" t="n">
        <v>632.8</v>
      </c>
      <c r="AA43" t="n">
        <v>706.8</v>
      </c>
      <c r="AB43" t="n">
        <v>903.2</v>
      </c>
      <c r="AC43" t="n">
        <v>927</v>
      </c>
      <c r="AD43" t="n">
        <v>925.3</v>
      </c>
      <c r="AE43" t="n">
        <v>926.6</v>
      </c>
      <c r="AF43" t="n">
        <v>923</v>
      </c>
    </row>
    <row r="44">
      <c r="A44" t="s">
        <v>124</v>
      </c>
      <c r="B44" t="s">
        <v>358</v>
      </c>
      <c r="C44" t="s">
        <v>203</v>
      </c>
      <c r="D44" t="s">
        <v>359</v>
      </c>
      <c r="E44" t="s">
        <v>204</v>
      </c>
      <c r="F44"/>
      <c r="G44"/>
      <c r="H44"/>
      <c r="I44"/>
      <c r="J44"/>
      <c r="K44" t="n">
        <v>1606.3</v>
      </c>
      <c r="L44" t="n">
        <v>1990</v>
      </c>
      <c r="M44" t="n">
        <v>2948.3</v>
      </c>
      <c r="N44" t="n">
        <v>4055.2</v>
      </c>
      <c r="O44" t="n">
        <v>3823.5</v>
      </c>
      <c r="P44" t="n">
        <v>5692.8</v>
      </c>
      <c r="Q44" t="n">
        <v>6620.5</v>
      </c>
      <c r="R44" t="n">
        <v>8565.7</v>
      </c>
      <c r="S44" t="n">
        <v>8426.6</v>
      </c>
      <c r="T44" t="n">
        <v>8878</v>
      </c>
      <c r="U44" t="n">
        <v>8578.6</v>
      </c>
      <c r="V44" t="n">
        <v>7202</v>
      </c>
      <c r="W44" t="n">
        <v>7240.4</v>
      </c>
      <c r="X44" t="n">
        <v>7052.7</v>
      </c>
      <c r="Y44" t="n">
        <v>6895</v>
      </c>
      <c r="Z44" t="n">
        <v>7158</v>
      </c>
      <c r="AA44" t="n">
        <v>7125.6</v>
      </c>
      <c r="AB44" t="n">
        <v>7026.6</v>
      </c>
      <c r="AC44" t="n">
        <v>7322.9</v>
      </c>
      <c r="AD44" t="n">
        <v>7309.3</v>
      </c>
      <c r="AE44" t="n">
        <v>7319.3</v>
      </c>
      <c r="AF44" t="n">
        <v>7291.4</v>
      </c>
    </row>
    <row r="45">
      <c r="A45" t="s">
        <v>124</v>
      </c>
      <c r="B45" t="s">
        <v>360</v>
      </c>
      <c r="C45" t="s">
        <v>203</v>
      </c>
      <c r="D45" t="s">
        <v>361</v>
      </c>
      <c r="E45" t="s">
        <v>204</v>
      </c>
      <c r="F45"/>
      <c r="G45"/>
      <c r="H45"/>
      <c r="I45"/>
      <c r="J45"/>
      <c r="K45" t="n">
        <v>1550.4</v>
      </c>
      <c r="L45" t="n">
        <v>1893.8</v>
      </c>
      <c r="M45" t="n">
        <v>2818</v>
      </c>
      <c r="N45" t="n">
        <v>3903.3</v>
      </c>
      <c r="O45" t="n">
        <v>3669.8</v>
      </c>
      <c r="P45" t="n">
        <v>5470</v>
      </c>
      <c r="Q45" t="n">
        <v>6371.4</v>
      </c>
      <c r="R45" t="n">
        <v>8288.4</v>
      </c>
      <c r="S45" t="n">
        <v>8048.6</v>
      </c>
      <c r="T45" t="n">
        <v>8479</v>
      </c>
      <c r="U45" t="n">
        <v>8187.5</v>
      </c>
      <c r="V45" t="n">
        <v>6855.7</v>
      </c>
      <c r="W45" t="n">
        <v>6849.5</v>
      </c>
      <c r="X45" t="n">
        <v>6634</v>
      </c>
      <c r="Y45" t="n">
        <v>6460.6</v>
      </c>
      <c r="Z45" t="n">
        <v>6663.2</v>
      </c>
      <c r="AA45" t="n">
        <v>6647.4</v>
      </c>
      <c r="AB45" t="n">
        <v>6550.8</v>
      </c>
      <c r="AC45" t="n">
        <v>6805.4</v>
      </c>
      <c r="AD45" t="n">
        <v>6792.8</v>
      </c>
      <c r="AE45" t="n">
        <v>6802.1</v>
      </c>
      <c r="AF45" t="n">
        <v>6776.2</v>
      </c>
    </row>
    <row r="46">
      <c r="A46" t="s">
        <v>124</v>
      </c>
      <c r="B46" t="s">
        <v>362</v>
      </c>
      <c r="C46" t="s">
        <v>203</v>
      </c>
      <c r="D46" t="s">
        <v>363</v>
      </c>
      <c r="E46" t="s">
        <v>204</v>
      </c>
      <c r="F46"/>
      <c r="G46"/>
      <c r="H46"/>
      <c r="I46"/>
      <c r="J46"/>
      <c r="K46" t="n">
        <v>21.8</v>
      </c>
      <c r="L46" t="n">
        <v>25.9</v>
      </c>
      <c r="M46" t="n">
        <v>37.5</v>
      </c>
      <c r="N46" t="n">
        <v>80.7</v>
      </c>
      <c r="O46" t="n">
        <v>80.7</v>
      </c>
      <c r="P46" t="n">
        <v>129.7</v>
      </c>
      <c r="Q46" t="n">
        <v>155.6</v>
      </c>
      <c r="R46" t="n">
        <v>207.6</v>
      </c>
      <c r="S46" t="n">
        <v>188.8</v>
      </c>
      <c r="T46" t="n">
        <v>197.8</v>
      </c>
      <c r="U46" t="n">
        <v>201</v>
      </c>
      <c r="V46" t="n">
        <v>193.3</v>
      </c>
      <c r="W46" t="n">
        <v>223.6</v>
      </c>
      <c r="X46" t="n">
        <v>243.7</v>
      </c>
      <c r="Y46" t="n">
        <v>336.1</v>
      </c>
      <c r="Z46" t="n">
        <v>435.8</v>
      </c>
      <c r="AA46" t="n">
        <v>538.7</v>
      </c>
      <c r="AB46" t="n">
        <v>707</v>
      </c>
      <c r="AC46" t="n">
        <v>784</v>
      </c>
      <c r="AD46" t="n">
        <v>782.5</v>
      </c>
      <c r="AE46" t="n">
        <v>783.6</v>
      </c>
      <c r="AF46" t="n">
        <v>780.6</v>
      </c>
    </row>
    <row r="47">
      <c r="A47" t="s">
        <v>124</v>
      </c>
      <c r="B47" t="s">
        <v>364</v>
      </c>
      <c r="C47" t="s">
        <v>203</v>
      </c>
      <c r="D47" t="s">
        <v>365</v>
      </c>
      <c r="E47" t="s">
        <v>204</v>
      </c>
      <c r="F47"/>
      <c r="G47"/>
      <c r="H47"/>
      <c r="I47"/>
      <c r="J47"/>
      <c r="K47" t="n">
        <v>66.6</v>
      </c>
      <c r="L47" t="n">
        <v>58.2</v>
      </c>
      <c r="M47" t="n">
        <v>66.9</v>
      </c>
      <c r="N47" t="n">
        <v>207.1</v>
      </c>
      <c r="O47" t="n">
        <v>180.6</v>
      </c>
      <c r="P47" t="n">
        <v>293.5</v>
      </c>
      <c r="Q47" t="n">
        <v>501.7</v>
      </c>
      <c r="R47" t="n">
        <v>1029.9</v>
      </c>
      <c r="S47" t="n">
        <v>1062.3</v>
      </c>
      <c r="T47" t="n">
        <v>1099.9</v>
      </c>
      <c r="U47" t="n">
        <v>1032.7</v>
      </c>
      <c r="V47" t="n">
        <v>821.8</v>
      </c>
      <c r="W47" t="n">
        <v>779.3</v>
      </c>
      <c r="X47" t="n">
        <v>717.7</v>
      </c>
      <c r="Y47" t="n">
        <v>920.5</v>
      </c>
      <c r="Z47" t="n">
        <v>844.6</v>
      </c>
      <c r="AA47" t="n">
        <v>773.8</v>
      </c>
      <c r="AB47" t="n">
        <v>708.6</v>
      </c>
      <c r="AC47" t="n">
        <v>721.6</v>
      </c>
      <c r="AD47" t="n">
        <v>720.3</v>
      </c>
      <c r="AE47" t="n">
        <v>721.3</v>
      </c>
      <c r="AF47" t="n">
        <v>718.5</v>
      </c>
    </row>
    <row r="48">
      <c r="A48" t="s">
        <v>124</v>
      </c>
      <c r="B48" t="s">
        <v>366</v>
      </c>
      <c r="C48" t="s">
        <v>203</v>
      </c>
      <c r="D48" t="s">
        <v>367</v>
      </c>
      <c r="E48" t="s">
        <v>204</v>
      </c>
      <c r="F48"/>
      <c r="G48"/>
      <c r="H48"/>
      <c r="I48"/>
      <c r="J48"/>
      <c r="K48" t="n">
        <v>100.8</v>
      </c>
      <c r="L48" t="n">
        <v>105.5</v>
      </c>
      <c r="M48" t="n">
        <v>144.3</v>
      </c>
      <c r="N48" t="n">
        <v>305.6</v>
      </c>
      <c r="O48" t="n">
        <v>272.4</v>
      </c>
      <c r="P48" t="n">
        <v>420.3</v>
      </c>
      <c r="Q48" t="n">
        <v>636.9</v>
      </c>
      <c r="R48" t="n">
        <v>1215.4</v>
      </c>
      <c r="S48" t="n">
        <v>1257</v>
      </c>
      <c r="T48" t="n">
        <v>1308.4</v>
      </c>
      <c r="U48" t="n">
        <v>1285.9</v>
      </c>
      <c r="V48" t="n">
        <v>1041.6</v>
      </c>
      <c r="W48" t="n">
        <v>992.9</v>
      </c>
      <c r="X48" t="n">
        <v>919</v>
      </c>
      <c r="Y48" t="n">
        <v>1095.9</v>
      </c>
      <c r="Z48" t="n">
        <v>1012.1</v>
      </c>
      <c r="AA48" t="n">
        <v>927.1</v>
      </c>
      <c r="AB48" t="n">
        <v>850.3</v>
      </c>
      <c r="AC48" t="n">
        <v>883.4</v>
      </c>
      <c r="AD48" t="n">
        <v>881.7</v>
      </c>
      <c r="AE48" t="n">
        <v>882.9</v>
      </c>
      <c r="AF48" t="n">
        <v>879.5</v>
      </c>
    </row>
    <row r="49">
      <c r="A49" t="s">
        <v>124</v>
      </c>
      <c r="B49" t="s">
        <v>368</v>
      </c>
      <c r="C49" t="s">
        <v>203</v>
      </c>
      <c r="D49" t="s">
        <v>369</v>
      </c>
      <c r="E49" t="s">
        <v>204</v>
      </c>
      <c r="F49"/>
      <c r="G49"/>
      <c r="H49"/>
      <c r="I49"/>
      <c r="J49"/>
      <c r="K49" t="n">
        <v>25.4</v>
      </c>
      <c r="L49" t="n">
        <v>25</v>
      </c>
      <c r="M49" t="n">
        <v>26.5</v>
      </c>
      <c r="N49" t="n">
        <v>51.6</v>
      </c>
      <c r="O49" t="n">
        <v>44.2</v>
      </c>
      <c r="P49" t="n">
        <v>46.6</v>
      </c>
      <c r="Q49" t="n">
        <v>44.8</v>
      </c>
      <c r="R49" t="n">
        <v>70.1</v>
      </c>
      <c r="S49" t="n">
        <v>62.9</v>
      </c>
      <c r="T49" t="n">
        <v>64.6</v>
      </c>
      <c r="U49" t="n">
        <v>103.6</v>
      </c>
      <c r="V49" t="n">
        <v>90.9</v>
      </c>
      <c r="W49" t="n">
        <v>83.8</v>
      </c>
      <c r="X49" t="n">
        <v>74.9</v>
      </c>
      <c r="Y49" t="n">
        <v>60.5</v>
      </c>
      <c r="Z49" t="n">
        <v>55.8</v>
      </c>
      <c r="AA49" t="n">
        <v>49.7</v>
      </c>
      <c r="AB49" t="n">
        <v>44.4</v>
      </c>
      <c r="AC49" t="n">
        <v>67.4</v>
      </c>
      <c r="AD49" t="n">
        <v>67.2</v>
      </c>
      <c r="AE49" t="n">
        <v>67.3</v>
      </c>
      <c r="AF49" t="n">
        <v>67.1</v>
      </c>
    </row>
    <row r="50">
      <c r="A50" t="s">
        <v>124</v>
      </c>
      <c r="B50" t="s">
        <v>370</v>
      </c>
      <c r="C50" t="s">
        <v>203</v>
      </c>
      <c r="D50" t="s">
        <v>371</v>
      </c>
      <c r="E50" t="s">
        <v>204</v>
      </c>
      <c r="F50"/>
      <c r="G50"/>
      <c r="H50"/>
      <c r="I50"/>
      <c r="J50"/>
      <c r="K50" t="n">
        <v>8.9</v>
      </c>
      <c r="L50" t="n">
        <v>22.4</v>
      </c>
      <c r="M50" t="n">
        <v>50.9</v>
      </c>
      <c r="N50" t="n">
        <v>47</v>
      </c>
      <c r="O50" t="n">
        <v>47.6</v>
      </c>
      <c r="P50" t="n">
        <v>80.2</v>
      </c>
      <c r="Q50" t="n">
        <v>90.4</v>
      </c>
      <c r="R50" t="n">
        <v>115.4</v>
      </c>
      <c r="S50" t="n">
        <v>131.9</v>
      </c>
      <c r="T50" t="n">
        <v>143.9</v>
      </c>
      <c r="U50" t="n">
        <v>149.6</v>
      </c>
      <c r="V50" t="n">
        <v>129.1</v>
      </c>
      <c r="W50" t="n">
        <v>129.8</v>
      </c>
      <c r="X50" t="n">
        <v>126.5</v>
      </c>
      <c r="Y50" t="n">
        <v>114.9</v>
      </c>
      <c r="Z50" t="n">
        <v>111.8</v>
      </c>
      <c r="AA50" t="n">
        <v>103.7</v>
      </c>
      <c r="AB50" t="n">
        <v>97.2</v>
      </c>
      <c r="AC50" t="n">
        <v>94.5</v>
      </c>
      <c r="AD50" t="n">
        <v>94.2</v>
      </c>
      <c r="AE50" t="n">
        <v>94.4</v>
      </c>
      <c r="AF50" t="n">
        <v>94</v>
      </c>
    </row>
    <row r="51">
      <c r="A51" t="s">
        <v>124</v>
      </c>
      <c r="B51" t="s">
        <v>372</v>
      </c>
      <c r="C51" t="s">
        <v>203</v>
      </c>
      <c r="D51" t="s">
        <v>373</v>
      </c>
      <c r="E51" t="s">
        <v>204</v>
      </c>
      <c r="F51"/>
      <c r="G51"/>
      <c r="H51"/>
      <c r="I51"/>
      <c r="J51"/>
      <c r="K51" t="n">
        <v>8.9</v>
      </c>
      <c r="L51" t="n">
        <v>22.4</v>
      </c>
      <c r="M51" t="n">
        <v>50.9</v>
      </c>
      <c r="N51" t="n">
        <v>45.1</v>
      </c>
      <c r="O51" t="n">
        <v>46.2</v>
      </c>
      <c r="P51" t="n">
        <v>78.1</v>
      </c>
      <c r="Q51" t="n">
        <v>87.7</v>
      </c>
      <c r="R51" t="n">
        <v>112</v>
      </c>
      <c r="S51" t="n">
        <v>128.3</v>
      </c>
      <c r="T51" t="n">
        <v>140.4</v>
      </c>
      <c r="U51" t="n">
        <v>146.3</v>
      </c>
      <c r="V51" t="n">
        <v>126.3</v>
      </c>
      <c r="W51" t="n">
        <v>126.8</v>
      </c>
      <c r="X51" t="n">
        <v>123.4</v>
      </c>
      <c r="Y51" t="n">
        <v>112.1</v>
      </c>
      <c r="Z51" t="n">
        <v>108.1</v>
      </c>
      <c r="AA51" t="n">
        <v>98.2</v>
      </c>
      <c r="AB51" t="n">
        <v>92.4</v>
      </c>
      <c r="AC51" t="n">
        <v>90</v>
      </c>
      <c r="AD51" t="n">
        <v>89.8</v>
      </c>
      <c r="AE51" t="n">
        <v>89.9</v>
      </c>
      <c r="AF51" t="n">
        <v>89.6</v>
      </c>
    </row>
    <row r="52">
      <c r="A52" t="s">
        <v>124</v>
      </c>
      <c r="B52" t="s">
        <v>374</v>
      </c>
      <c r="C52" t="s">
        <v>203</v>
      </c>
      <c r="D52" t="s">
        <v>375</v>
      </c>
      <c r="E52" t="s">
        <v>204</v>
      </c>
      <c r="F52"/>
      <c r="G52"/>
      <c r="H52"/>
      <c r="I52"/>
      <c r="J52"/>
      <c r="K52" t="n">
        <v>0</v>
      </c>
      <c r="L52" t="n">
        <v>0</v>
      </c>
      <c r="M52" t="n">
        <v>0</v>
      </c>
      <c r="N52" t="n">
        <v>1.9</v>
      </c>
      <c r="O52" t="n">
        <v>1.4</v>
      </c>
      <c r="P52" t="n">
        <v>2.1</v>
      </c>
      <c r="Q52" t="n">
        <v>2.7</v>
      </c>
      <c r="R52" t="n">
        <v>3.4</v>
      </c>
      <c r="S52" t="n">
        <v>3.6</v>
      </c>
      <c r="T52" t="n">
        <v>3.5</v>
      </c>
      <c r="U52" t="n">
        <v>3.3</v>
      </c>
      <c r="V52" t="n">
        <v>2.8</v>
      </c>
      <c r="W52" t="n">
        <v>3</v>
      </c>
      <c r="X52" t="n">
        <v>3.1</v>
      </c>
      <c r="Y52" t="n">
        <v>2.8</v>
      </c>
      <c r="Z52" t="n">
        <v>3.7</v>
      </c>
      <c r="AA52" t="n">
        <v>5.5</v>
      </c>
      <c r="AB52" t="n">
        <v>4.8</v>
      </c>
      <c r="AC52" t="n">
        <v>4.5</v>
      </c>
      <c r="AD52" t="n">
        <v>4.4</v>
      </c>
      <c r="AE52" t="n">
        <v>4.5</v>
      </c>
      <c r="AF52" t="n">
        <v>4.4</v>
      </c>
    </row>
    <row r="53">
      <c r="A53" t="s">
        <v>124</v>
      </c>
      <c r="B53" t="s">
        <v>376</v>
      </c>
      <c r="C53" t="s">
        <v>203</v>
      </c>
      <c r="D53" t="s">
        <v>377</v>
      </c>
      <c r="E53" t="s">
        <v>204</v>
      </c>
      <c r="F53"/>
      <c r="G53"/>
      <c r="H53"/>
      <c r="I53"/>
      <c r="J53"/>
      <c r="K53" t="n">
        <v>3.7</v>
      </c>
      <c r="L53" t="n">
        <v>9.4</v>
      </c>
      <c r="M53" t="n">
        <v>18.7</v>
      </c>
      <c r="N53" t="n">
        <v>21.3</v>
      </c>
      <c r="O53" t="n">
        <v>18.4</v>
      </c>
      <c r="P53" t="n">
        <v>22.1</v>
      </c>
      <c r="Q53" t="n">
        <v>26.6</v>
      </c>
      <c r="R53" t="n">
        <v>33.1</v>
      </c>
      <c r="S53" t="n">
        <v>40</v>
      </c>
      <c r="T53" t="n">
        <v>42.2</v>
      </c>
      <c r="U53" t="n">
        <v>41.7</v>
      </c>
      <c r="V53" t="n">
        <v>35.8</v>
      </c>
      <c r="W53" t="n">
        <v>35.1</v>
      </c>
      <c r="X53" t="n">
        <v>33.4</v>
      </c>
      <c r="Y53" t="n">
        <v>29.6</v>
      </c>
      <c r="Z53" t="n">
        <v>29.3</v>
      </c>
      <c r="AA53" t="n">
        <v>27.1</v>
      </c>
      <c r="AB53" t="n">
        <v>26.6</v>
      </c>
      <c r="AC53" t="n">
        <v>39.3</v>
      </c>
      <c r="AD53" t="n">
        <v>39.2</v>
      </c>
      <c r="AE53" t="n">
        <v>39.2</v>
      </c>
      <c r="AF53" t="n">
        <v>39.1</v>
      </c>
    </row>
    <row r="54">
      <c r="A54" t="s">
        <v>124</v>
      </c>
      <c r="B54" t="s">
        <v>378</v>
      </c>
      <c r="C54" t="s">
        <v>203</v>
      </c>
      <c r="D54" t="s">
        <v>379</v>
      </c>
      <c r="E54" t="s">
        <v>204</v>
      </c>
      <c r="F54"/>
      <c r="G54"/>
      <c r="H54"/>
      <c r="I54"/>
      <c r="J54"/>
      <c r="K54" t="n">
        <v>3.7</v>
      </c>
      <c r="L54" t="n">
        <v>18.9</v>
      </c>
      <c r="M54" t="n">
        <v>28.3</v>
      </c>
      <c r="N54" t="n">
        <v>29.8</v>
      </c>
      <c r="O54" t="n">
        <v>25.4</v>
      </c>
      <c r="P54" t="n">
        <v>31.1</v>
      </c>
      <c r="Q54" t="n">
        <v>36.1</v>
      </c>
      <c r="R54" t="n">
        <v>44.7</v>
      </c>
      <c r="S54" t="n">
        <v>52.6</v>
      </c>
      <c r="T54" t="n">
        <v>55.5</v>
      </c>
      <c r="U54" t="n">
        <v>54.9</v>
      </c>
      <c r="V54" t="n">
        <v>46.2</v>
      </c>
      <c r="W54" t="n">
        <v>47.2</v>
      </c>
      <c r="X54" t="n">
        <v>46.6</v>
      </c>
      <c r="Y54" t="n">
        <v>43.8</v>
      </c>
      <c r="Z54" t="n">
        <v>46.4</v>
      </c>
      <c r="AA54" t="n">
        <v>44</v>
      </c>
      <c r="AB54" t="n">
        <v>46.6</v>
      </c>
      <c r="AC54" t="n">
        <v>63.2</v>
      </c>
      <c r="AD54" t="n">
        <v>63.1</v>
      </c>
      <c r="AE54" t="n">
        <v>63.1</v>
      </c>
      <c r="AF54" t="n">
        <v>62.9</v>
      </c>
    </row>
    <row r="55">
      <c r="A55" t="s">
        <v>124</v>
      </c>
      <c r="B55" t="s">
        <v>380</v>
      </c>
      <c r="C55" t="s">
        <v>203</v>
      </c>
      <c r="D55" t="s">
        <v>381</v>
      </c>
      <c r="E55" t="s">
        <v>204</v>
      </c>
      <c r="F55"/>
      <c r="G55"/>
      <c r="H55"/>
      <c r="I55"/>
      <c r="J55"/>
      <c r="K55" t="n">
        <v>0</v>
      </c>
      <c r="L55" t="n">
        <v>9.5</v>
      </c>
      <c r="M55" t="n">
        <v>9.6</v>
      </c>
      <c r="N55" t="n">
        <v>8.5</v>
      </c>
      <c r="O55" t="n">
        <v>7</v>
      </c>
      <c r="P55" t="n">
        <v>9</v>
      </c>
      <c r="Q55" t="n">
        <v>9.5</v>
      </c>
      <c r="R55" t="n">
        <v>11.6</v>
      </c>
      <c r="S55" t="n">
        <v>12.6</v>
      </c>
      <c r="T55" t="n">
        <v>13.3</v>
      </c>
      <c r="U55" t="n">
        <v>13.2</v>
      </c>
      <c r="V55" t="n">
        <v>10.4</v>
      </c>
      <c r="W55" t="n">
        <v>12.1</v>
      </c>
      <c r="X55" t="n">
        <v>13.2</v>
      </c>
      <c r="Y55" t="n">
        <v>14.2</v>
      </c>
      <c r="Z55" t="n">
        <v>17.1</v>
      </c>
      <c r="AA55" t="n">
        <v>16.9</v>
      </c>
      <c r="AB55" t="n">
        <v>20</v>
      </c>
      <c r="AC55" t="n">
        <v>23.9</v>
      </c>
      <c r="AD55" t="n">
        <v>23.9</v>
      </c>
      <c r="AE55" t="n">
        <v>23.9</v>
      </c>
      <c r="AF55" t="n">
        <v>23.8</v>
      </c>
    </row>
    <row r="56">
      <c r="A56" t="s">
        <v>124</v>
      </c>
      <c r="B56" t="s">
        <v>382</v>
      </c>
      <c r="C56" t="s">
        <v>203</v>
      </c>
      <c r="D56" t="s">
        <v>383</v>
      </c>
      <c r="E56" t="s">
        <v>204</v>
      </c>
      <c r="F56"/>
      <c r="G56"/>
      <c r="H56"/>
      <c r="I56"/>
      <c r="J56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124</v>
      </c>
      <c r="B57" t="s">
        <v>384</v>
      </c>
      <c r="C57" t="s">
        <v>203</v>
      </c>
      <c r="D57" t="s">
        <v>385</v>
      </c>
      <c r="E57" t="s">
        <v>204</v>
      </c>
      <c r="F57"/>
      <c r="G57"/>
      <c r="H57"/>
      <c r="I57"/>
      <c r="J57"/>
      <c r="K57" t="n">
        <v>1714.2</v>
      </c>
      <c r="L57" t="n">
        <v>2125.3</v>
      </c>
      <c r="M57" t="n">
        <v>3129.8</v>
      </c>
      <c r="N57" t="n">
        <v>4395.7</v>
      </c>
      <c r="O57" t="n">
        <v>4128.4</v>
      </c>
      <c r="P57" t="n">
        <v>6166.4</v>
      </c>
      <c r="Q57" t="n">
        <v>7330.8</v>
      </c>
      <c r="R57" t="n">
        <v>9884.3</v>
      </c>
      <c r="S57" t="n">
        <v>9793.4</v>
      </c>
      <c r="T57" t="n">
        <v>10307.6</v>
      </c>
      <c r="U57" t="n">
        <v>9983.7</v>
      </c>
      <c r="V57" t="n">
        <v>8348.5</v>
      </c>
      <c r="W57" t="n">
        <v>8352.8</v>
      </c>
      <c r="X57" t="n">
        <v>8100.8</v>
      </c>
      <c r="Y57" t="n">
        <v>8103.1</v>
      </c>
      <c r="Z57" t="n">
        <v>8271.1</v>
      </c>
      <c r="AA57" t="n">
        <v>8129.1</v>
      </c>
      <c r="AB57" t="n">
        <v>7876.8</v>
      </c>
      <c r="AC57" t="n">
        <v>8209.7</v>
      </c>
      <c r="AD57" t="n">
        <v>8194.3</v>
      </c>
      <c r="AE57" t="n">
        <v>8205.6</v>
      </c>
      <c r="AF57" t="n">
        <v>8174.3</v>
      </c>
    </row>
    <row r="58">
      <c r="A58" t="s">
        <v>124</v>
      </c>
      <c r="B58" t="s">
        <v>386</v>
      </c>
      <c r="C58" t="s">
        <v>203</v>
      </c>
      <c r="D58" t="s">
        <v>387</v>
      </c>
      <c r="E58" t="s">
        <v>204</v>
      </c>
      <c r="F58"/>
      <c r="G58"/>
      <c r="H58"/>
      <c r="I58"/>
      <c r="J58"/>
      <c r="K58" t="n">
        <v>1714.2</v>
      </c>
      <c r="L58" t="n">
        <v>2125.3</v>
      </c>
      <c r="M58" t="n">
        <v>3129.8</v>
      </c>
      <c r="N58" t="n">
        <v>4395.7</v>
      </c>
      <c r="O58" t="n">
        <v>4128.4</v>
      </c>
      <c r="P58" t="n">
        <v>6166.4</v>
      </c>
      <c r="Q58" t="n">
        <v>7330.8</v>
      </c>
      <c r="R58" t="n">
        <v>9884.3</v>
      </c>
      <c r="S58" t="n">
        <v>9793.4</v>
      </c>
      <c r="T58" t="n">
        <v>10307.6</v>
      </c>
      <c r="U58" t="n">
        <v>9983.7</v>
      </c>
      <c r="V58" t="n">
        <v>8348.5</v>
      </c>
      <c r="W58" t="n">
        <v>8352.8</v>
      </c>
      <c r="X58" t="n">
        <v>8100.8</v>
      </c>
      <c r="Y58" t="n">
        <v>8103.1</v>
      </c>
      <c r="Z58" t="n">
        <v>8271.1</v>
      </c>
      <c r="AA58" t="n">
        <v>8129.1</v>
      </c>
      <c r="AB58" t="n">
        <v>7876.8</v>
      </c>
      <c r="AC58" t="n">
        <v>8209.7</v>
      </c>
      <c r="AD58" t="n">
        <v>8194.3</v>
      </c>
      <c r="AE58" t="n">
        <v>8205.6</v>
      </c>
      <c r="AF58" t="n">
        <v>8174.3</v>
      </c>
    </row>
    <row r="59">
      <c r="A59" t="s">
        <v>124</v>
      </c>
      <c r="B59" t="s">
        <v>388</v>
      </c>
      <c r="C59" t="s">
        <v>203</v>
      </c>
      <c r="D59" t="s">
        <v>389</v>
      </c>
      <c r="E59" t="s">
        <v>204</v>
      </c>
      <c r="F59"/>
      <c r="G59"/>
      <c r="H59"/>
      <c r="I59"/>
      <c r="J59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126</v>
      </c>
      <c r="B2" t="s">
        <v>197</v>
      </c>
      <c r="C2" t="s">
        <v>203</v>
      </c>
      <c r="D2" t="s">
        <v>199</v>
      </c>
      <c r="E2" t="s">
        <v>204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126</v>
      </c>
      <c r="B3" t="s">
        <v>276</v>
      </c>
      <c r="C3" t="s">
        <v>203</v>
      </c>
      <c r="D3" t="s">
        <v>277</v>
      </c>
      <c r="E3" t="s">
        <v>204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 t="n">
        <v>0</v>
      </c>
      <c r="AB3"/>
      <c r="AC3"/>
      <c r="AD3"/>
      <c r="AE3"/>
      <c r="AF3"/>
    </row>
    <row r="4">
      <c r="A4" t="s">
        <v>126</v>
      </c>
      <c r="B4" t="s">
        <v>278</v>
      </c>
      <c r="C4" t="s">
        <v>203</v>
      </c>
      <c r="D4" t="s">
        <v>279</v>
      </c>
      <c r="E4" t="s">
        <v>204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 t="n">
        <v>0</v>
      </c>
      <c r="AB4"/>
      <c r="AC4"/>
      <c r="AD4"/>
      <c r="AE4"/>
      <c r="AF4"/>
    </row>
    <row r="5">
      <c r="A5" t="s">
        <v>126</v>
      </c>
      <c r="B5" t="s">
        <v>280</v>
      </c>
      <c r="C5" t="s">
        <v>203</v>
      </c>
      <c r="D5" t="s">
        <v>281</v>
      </c>
      <c r="E5" t="s">
        <v>204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 t="n">
        <v>0</v>
      </c>
      <c r="AB5"/>
      <c r="AC5"/>
      <c r="AD5"/>
      <c r="AE5"/>
      <c r="AF5"/>
    </row>
    <row r="6">
      <c r="A6" t="s">
        <v>126</v>
      </c>
      <c r="B6" t="s">
        <v>282</v>
      </c>
      <c r="C6" t="s">
        <v>203</v>
      </c>
      <c r="D6" t="s">
        <v>283</v>
      </c>
      <c r="E6" t="s">
        <v>204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 t="n">
        <v>0</v>
      </c>
      <c r="AB6"/>
      <c r="AC6"/>
      <c r="AD6"/>
      <c r="AE6"/>
      <c r="AF6"/>
    </row>
    <row r="7">
      <c r="A7" t="s">
        <v>126</v>
      </c>
      <c r="B7" t="s">
        <v>284</v>
      </c>
      <c r="C7" t="s">
        <v>203</v>
      </c>
      <c r="D7" t="s">
        <v>285</v>
      </c>
      <c r="E7" t="s">
        <v>204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 t="n">
        <v>0</v>
      </c>
      <c r="AB7"/>
      <c r="AC7"/>
      <c r="AD7"/>
      <c r="AE7"/>
      <c r="AF7"/>
    </row>
    <row r="8">
      <c r="A8" t="s">
        <v>126</v>
      </c>
      <c r="B8" t="s">
        <v>286</v>
      </c>
      <c r="C8" t="s">
        <v>203</v>
      </c>
      <c r="D8" t="s">
        <v>287</v>
      </c>
      <c r="E8" t="s">
        <v>204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 t="n">
        <v>0</v>
      </c>
      <c r="AB8"/>
      <c r="AC8"/>
      <c r="AD8"/>
      <c r="AE8"/>
      <c r="AF8"/>
    </row>
    <row r="9">
      <c r="A9" t="s">
        <v>126</v>
      </c>
      <c r="B9" t="s">
        <v>288</v>
      </c>
      <c r="C9" t="s">
        <v>203</v>
      </c>
      <c r="D9" t="s">
        <v>289</v>
      </c>
      <c r="E9" t="s">
        <v>204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 t="n">
        <v>0</v>
      </c>
      <c r="AB9"/>
      <c r="AC9"/>
      <c r="AD9"/>
      <c r="AE9"/>
      <c r="AF9"/>
    </row>
    <row r="10">
      <c r="A10" t="s">
        <v>126</v>
      </c>
      <c r="B10" t="s">
        <v>290</v>
      </c>
      <c r="C10" t="s">
        <v>203</v>
      </c>
      <c r="D10" t="s">
        <v>291</v>
      </c>
      <c r="E10" t="s">
        <v>204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 t="n">
        <v>0</v>
      </c>
      <c r="AB10"/>
      <c r="AC10"/>
      <c r="AD10"/>
      <c r="AE10"/>
      <c r="AF10"/>
    </row>
    <row r="11">
      <c r="A11" t="s">
        <v>126</v>
      </c>
      <c r="B11" t="s">
        <v>292</v>
      </c>
      <c r="C11" t="s">
        <v>203</v>
      </c>
      <c r="D11" t="s">
        <v>293</v>
      </c>
      <c r="E11" t="s">
        <v>204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 t="n">
        <v>0</v>
      </c>
      <c r="AB11"/>
      <c r="AC11"/>
      <c r="AD11"/>
      <c r="AE11"/>
      <c r="AF11"/>
    </row>
    <row r="12">
      <c r="A12" t="s">
        <v>126</v>
      </c>
      <c r="B12" t="s">
        <v>294</v>
      </c>
      <c r="C12" t="s">
        <v>203</v>
      </c>
      <c r="D12" t="s">
        <v>295</v>
      </c>
      <c r="E12" t="s">
        <v>204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 t="n">
        <v>0</v>
      </c>
      <c r="AB12"/>
      <c r="AC12"/>
      <c r="AD12"/>
      <c r="AE12"/>
      <c r="AF12"/>
    </row>
    <row r="13">
      <c r="A13" t="s">
        <v>126</v>
      </c>
      <c r="B13" t="s">
        <v>296</v>
      </c>
      <c r="C13" t="s">
        <v>203</v>
      </c>
      <c r="D13" t="s">
        <v>297</v>
      </c>
      <c r="E13" t="s">
        <v>204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 t="n">
        <v>0</v>
      </c>
      <c r="AB13"/>
      <c r="AC13"/>
      <c r="AD13"/>
      <c r="AE13"/>
      <c r="AF13"/>
    </row>
    <row r="14">
      <c r="A14" t="s">
        <v>126</v>
      </c>
      <c r="B14" t="s">
        <v>298</v>
      </c>
      <c r="C14" t="s">
        <v>203</v>
      </c>
      <c r="D14" t="s">
        <v>299</v>
      </c>
      <c r="E14" t="s">
        <v>204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 t="n">
        <v>0</v>
      </c>
      <c r="AB14"/>
      <c r="AC14"/>
      <c r="AD14"/>
      <c r="AE14"/>
      <c r="AF14"/>
    </row>
    <row r="15">
      <c r="A15" t="s">
        <v>126</v>
      </c>
      <c r="B15" t="s">
        <v>300</v>
      </c>
      <c r="C15" t="s">
        <v>203</v>
      </c>
      <c r="D15" t="s">
        <v>301</v>
      </c>
      <c r="E15" t="s">
        <v>204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 t="n">
        <v>0</v>
      </c>
      <c r="AB15"/>
      <c r="AC15"/>
      <c r="AD15"/>
      <c r="AE15"/>
      <c r="AF15"/>
    </row>
    <row r="16">
      <c r="A16" t="s">
        <v>126</v>
      </c>
      <c r="B16" t="s">
        <v>302</v>
      </c>
      <c r="C16" t="s">
        <v>203</v>
      </c>
      <c r="D16" t="s">
        <v>303</v>
      </c>
      <c r="E16" t="s">
        <v>204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 t="n">
        <v>0</v>
      </c>
      <c r="AB16"/>
      <c r="AC16"/>
      <c r="AD16"/>
      <c r="AE16"/>
      <c r="AF16"/>
    </row>
    <row r="17">
      <c r="A17" t="s">
        <v>126</v>
      </c>
      <c r="B17" t="s">
        <v>304</v>
      </c>
      <c r="C17" t="s">
        <v>203</v>
      </c>
      <c r="D17" t="s">
        <v>305</v>
      </c>
      <c r="E17" t="s">
        <v>204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 t="n">
        <v>0</v>
      </c>
      <c r="AB17"/>
      <c r="AC17"/>
      <c r="AD17"/>
      <c r="AE17"/>
      <c r="AF17"/>
    </row>
    <row r="18">
      <c r="A18" t="s">
        <v>126</v>
      </c>
      <c r="B18" t="s">
        <v>306</v>
      </c>
      <c r="C18" t="s">
        <v>203</v>
      </c>
      <c r="D18" t="s">
        <v>307</v>
      </c>
      <c r="E18" t="s">
        <v>204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 t="n">
        <v>0</v>
      </c>
      <c r="AB18"/>
      <c r="AC18"/>
      <c r="AD18"/>
      <c r="AE18"/>
      <c r="AF18"/>
    </row>
    <row r="19">
      <c r="A19" t="s">
        <v>126</v>
      </c>
      <c r="B19" t="s">
        <v>308</v>
      </c>
      <c r="C19" t="s">
        <v>203</v>
      </c>
      <c r="D19" t="s">
        <v>309</v>
      </c>
      <c r="E19" t="s">
        <v>204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 t="n">
        <v>0</v>
      </c>
      <c r="AB19"/>
      <c r="AC19"/>
      <c r="AD19"/>
      <c r="AE19"/>
      <c r="AF19"/>
    </row>
    <row r="20">
      <c r="A20" t="s">
        <v>126</v>
      </c>
      <c r="B20" t="s">
        <v>310</v>
      </c>
      <c r="C20" t="s">
        <v>203</v>
      </c>
      <c r="D20" t="s">
        <v>311</v>
      </c>
      <c r="E20" t="s">
        <v>204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 t="n">
        <v>0</v>
      </c>
      <c r="AB20"/>
      <c r="AC20"/>
      <c r="AD20"/>
      <c r="AE20"/>
      <c r="AF20"/>
    </row>
    <row r="21">
      <c r="A21" t="s">
        <v>126</v>
      </c>
      <c r="B21" t="s">
        <v>312</v>
      </c>
      <c r="C21" t="s">
        <v>203</v>
      </c>
      <c r="D21" t="s">
        <v>313</v>
      </c>
      <c r="E21" t="s">
        <v>204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 t="n">
        <v>40</v>
      </c>
      <c r="AB21"/>
      <c r="AC21"/>
      <c r="AD21"/>
      <c r="AE21"/>
      <c r="AF21"/>
    </row>
    <row r="22">
      <c r="A22" t="s">
        <v>126</v>
      </c>
      <c r="B22" t="s">
        <v>314</v>
      </c>
      <c r="C22" t="s">
        <v>203</v>
      </c>
      <c r="D22" t="s">
        <v>315</v>
      </c>
      <c r="E22" t="s">
        <v>204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 t="n">
        <v>40</v>
      </c>
      <c r="AB22"/>
      <c r="AC22"/>
      <c r="AD22"/>
      <c r="AE22"/>
      <c r="AF22"/>
    </row>
    <row r="23">
      <c r="A23" t="s">
        <v>126</v>
      </c>
      <c r="B23" t="s">
        <v>316</v>
      </c>
      <c r="C23" t="s">
        <v>203</v>
      </c>
      <c r="D23" t="s">
        <v>317</v>
      </c>
      <c r="E23" t="s">
        <v>204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 t="n">
        <v>0.1</v>
      </c>
      <c r="AB23"/>
      <c r="AC23"/>
      <c r="AD23"/>
      <c r="AE23"/>
      <c r="AF23"/>
    </row>
    <row r="24">
      <c r="A24" t="s">
        <v>126</v>
      </c>
      <c r="B24" t="s">
        <v>318</v>
      </c>
      <c r="C24" t="s">
        <v>203</v>
      </c>
      <c r="D24" t="s">
        <v>319</v>
      </c>
      <c r="E24" t="s">
        <v>204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 t="n">
        <v>0</v>
      </c>
      <c r="AB24"/>
      <c r="AC24"/>
      <c r="AD24"/>
      <c r="AE24"/>
      <c r="AF24"/>
    </row>
    <row r="25">
      <c r="A25" t="s">
        <v>126</v>
      </c>
      <c r="B25" t="s">
        <v>320</v>
      </c>
      <c r="C25" t="s">
        <v>203</v>
      </c>
      <c r="D25" t="s">
        <v>321</v>
      </c>
      <c r="E25" t="s">
        <v>204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 t="n">
        <v>0</v>
      </c>
      <c r="AB25"/>
      <c r="AC25"/>
      <c r="AD25"/>
      <c r="AE25"/>
      <c r="AF25"/>
    </row>
    <row r="26">
      <c r="A26" t="s">
        <v>126</v>
      </c>
      <c r="B26" t="s">
        <v>322</v>
      </c>
      <c r="C26" t="s">
        <v>203</v>
      </c>
      <c r="D26" t="s">
        <v>323</v>
      </c>
      <c r="E26" t="s">
        <v>204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 t="n">
        <v>0</v>
      </c>
      <c r="AB26"/>
      <c r="AC26"/>
      <c r="AD26"/>
      <c r="AE26"/>
      <c r="AF26"/>
    </row>
    <row r="27">
      <c r="A27" t="s">
        <v>126</v>
      </c>
      <c r="B27" t="s">
        <v>324</v>
      </c>
      <c r="C27" t="s">
        <v>203</v>
      </c>
      <c r="D27" t="s">
        <v>325</v>
      </c>
      <c r="E27" t="s">
        <v>204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 t="n">
        <v>0</v>
      </c>
      <c r="AB27"/>
      <c r="AC27"/>
      <c r="AD27"/>
      <c r="AE27"/>
      <c r="AF27"/>
    </row>
    <row r="28">
      <c r="A28" t="s">
        <v>126</v>
      </c>
      <c r="B28" t="s">
        <v>326</v>
      </c>
      <c r="C28" t="s">
        <v>203</v>
      </c>
      <c r="D28" t="s">
        <v>327</v>
      </c>
      <c r="E28" t="s">
        <v>204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 t="n">
        <v>134.2</v>
      </c>
      <c r="AB28"/>
      <c r="AC28"/>
      <c r="AD28"/>
      <c r="AE28"/>
      <c r="AF28"/>
    </row>
    <row r="29">
      <c r="A29" t="s">
        <v>126</v>
      </c>
      <c r="B29" t="s">
        <v>328</v>
      </c>
      <c r="C29" t="s">
        <v>203</v>
      </c>
      <c r="D29" t="s">
        <v>329</v>
      </c>
      <c r="E29" t="s">
        <v>204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 t="n">
        <v>1.6</v>
      </c>
      <c r="AB29"/>
      <c r="AC29"/>
      <c r="AD29"/>
      <c r="AE29"/>
      <c r="AF29"/>
    </row>
    <row r="30">
      <c r="A30" t="s">
        <v>126</v>
      </c>
      <c r="B30" t="s">
        <v>330</v>
      </c>
      <c r="C30" t="s">
        <v>203</v>
      </c>
      <c r="D30" t="s">
        <v>331</v>
      </c>
      <c r="E30" t="s">
        <v>204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 t="n">
        <v>0</v>
      </c>
      <c r="AB30"/>
      <c r="AC30"/>
      <c r="AD30"/>
      <c r="AE30"/>
      <c r="AF30"/>
    </row>
    <row r="31">
      <c r="A31" t="s">
        <v>126</v>
      </c>
      <c r="B31" t="s">
        <v>332</v>
      </c>
      <c r="C31" t="s">
        <v>203</v>
      </c>
      <c r="D31" t="s">
        <v>333</v>
      </c>
      <c r="E31" t="s">
        <v>204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 t="n">
        <v>0.2</v>
      </c>
      <c r="AB31"/>
      <c r="AC31"/>
      <c r="AD31"/>
      <c r="AE31"/>
      <c r="AF31"/>
    </row>
    <row r="32">
      <c r="A32" t="s">
        <v>126</v>
      </c>
      <c r="B32" t="s">
        <v>334</v>
      </c>
      <c r="C32" t="s">
        <v>203</v>
      </c>
      <c r="D32" t="s">
        <v>335</v>
      </c>
      <c r="E32" t="s">
        <v>204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 t="n">
        <v>132.4</v>
      </c>
      <c r="AB32"/>
      <c r="AC32"/>
      <c r="AD32"/>
      <c r="AE32"/>
      <c r="AF32"/>
    </row>
    <row r="33">
      <c r="A33" t="s">
        <v>126</v>
      </c>
      <c r="B33" t="s">
        <v>336</v>
      </c>
      <c r="C33" t="s">
        <v>203</v>
      </c>
      <c r="D33" t="s">
        <v>337</v>
      </c>
      <c r="E33" t="s">
        <v>204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 t="n">
        <v>0</v>
      </c>
      <c r="AB33"/>
      <c r="AC33"/>
      <c r="AD33"/>
      <c r="AE33"/>
      <c r="AF33"/>
    </row>
    <row r="34">
      <c r="A34" t="s">
        <v>126</v>
      </c>
      <c r="B34" t="s">
        <v>338</v>
      </c>
      <c r="C34" t="s">
        <v>203</v>
      </c>
      <c r="D34" t="s">
        <v>339</v>
      </c>
      <c r="E34" t="s">
        <v>204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 t="n">
        <v>1.2</v>
      </c>
      <c r="AB34"/>
      <c r="AC34"/>
      <c r="AD34"/>
      <c r="AE34"/>
      <c r="AF34"/>
    </row>
    <row r="35">
      <c r="A35" t="s">
        <v>126</v>
      </c>
      <c r="B35" t="s">
        <v>340</v>
      </c>
      <c r="C35" t="s">
        <v>203</v>
      </c>
      <c r="D35" t="s">
        <v>341</v>
      </c>
      <c r="E35" t="s">
        <v>204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 t="n">
        <v>13.9</v>
      </c>
      <c r="AB35"/>
      <c r="AC35"/>
      <c r="AD35"/>
      <c r="AE35"/>
      <c r="AF35"/>
    </row>
    <row r="36">
      <c r="A36" t="s">
        <v>126</v>
      </c>
      <c r="B36" t="s">
        <v>342</v>
      </c>
      <c r="C36" t="s">
        <v>203</v>
      </c>
      <c r="D36" t="s">
        <v>343</v>
      </c>
      <c r="E36" t="s">
        <v>204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 t="n">
        <v>13.9</v>
      </c>
      <c r="AB36"/>
      <c r="AC36"/>
      <c r="AD36"/>
      <c r="AE36"/>
      <c r="AF36"/>
    </row>
    <row r="37">
      <c r="A37" t="s">
        <v>126</v>
      </c>
      <c r="B37" t="s">
        <v>344</v>
      </c>
      <c r="C37" t="s">
        <v>203</v>
      </c>
      <c r="D37" t="s">
        <v>345</v>
      </c>
      <c r="E37" t="s">
        <v>204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 t="n">
        <v>0</v>
      </c>
      <c r="AB37"/>
      <c r="AC37"/>
      <c r="AD37"/>
      <c r="AE37"/>
      <c r="AF37"/>
    </row>
    <row r="38">
      <c r="A38" t="s">
        <v>126</v>
      </c>
      <c r="B38" t="s">
        <v>346</v>
      </c>
      <c r="C38" t="s">
        <v>203</v>
      </c>
      <c r="D38" t="s">
        <v>347</v>
      </c>
      <c r="E38" t="s">
        <v>204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 t="n">
        <v>0</v>
      </c>
      <c r="AB38"/>
      <c r="AC38"/>
      <c r="AD38"/>
      <c r="AE38"/>
      <c r="AF38"/>
    </row>
    <row r="39">
      <c r="A39" t="s">
        <v>126</v>
      </c>
      <c r="B39" t="s">
        <v>348</v>
      </c>
      <c r="C39" t="s">
        <v>203</v>
      </c>
      <c r="D39" t="s">
        <v>349</v>
      </c>
      <c r="E39" t="s">
        <v>204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 t="n">
        <v>0.2</v>
      </c>
      <c r="AB39"/>
      <c r="AC39"/>
      <c r="AD39"/>
      <c r="AE39"/>
      <c r="AF39"/>
    </row>
    <row r="40">
      <c r="A40" t="s">
        <v>126</v>
      </c>
      <c r="B40" t="s">
        <v>350</v>
      </c>
      <c r="C40" t="s">
        <v>203</v>
      </c>
      <c r="D40" t="s">
        <v>351</v>
      </c>
      <c r="E40" t="s">
        <v>204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 t="n">
        <v>234</v>
      </c>
      <c r="AB40"/>
      <c r="AC40"/>
      <c r="AD40"/>
      <c r="AE40"/>
      <c r="AF40"/>
    </row>
    <row r="41">
      <c r="A41" t="s">
        <v>126</v>
      </c>
      <c r="B41" t="s">
        <v>352</v>
      </c>
      <c r="C41" t="s">
        <v>203</v>
      </c>
      <c r="D41" t="s">
        <v>353</v>
      </c>
      <c r="E41" t="s">
        <v>204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 t="n">
        <v>0</v>
      </c>
      <c r="AB41"/>
      <c r="AC41"/>
      <c r="AD41"/>
      <c r="AE41"/>
      <c r="AF41"/>
    </row>
    <row r="42">
      <c r="A42" t="s">
        <v>126</v>
      </c>
      <c r="B42" t="s">
        <v>354</v>
      </c>
      <c r="C42" t="s">
        <v>203</v>
      </c>
      <c r="D42" t="s">
        <v>355</v>
      </c>
      <c r="E42" t="s">
        <v>204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 t="n">
        <v>63.5</v>
      </c>
      <c r="AB42"/>
      <c r="AC42"/>
      <c r="AD42"/>
      <c r="AE42"/>
      <c r="AF42"/>
    </row>
    <row r="43">
      <c r="A43" t="s">
        <v>126</v>
      </c>
      <c r="B43" t="s">
        <v>356</v>
      </c>
      <c r="C43" t="s">
        <v>203</v>
      </c>
      <c r="D43" t="s">
        <v>357</v>
      </c>
      <c r="E43" t="s">
        <v>204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 t="n">
        <v>63.6</v>
      </c>
      <c r="AB43"/>
      <c r="AC43"/>
      <c r="AD43"/>
      <c r="AE43"/>
      <c r="AF43"/>
    </row>
    <row r="44">
      <c r="A44" t="s">
        <v>126</v>
      </c>
      <c r="B44" t="s">
        <v>358</v>
      </c>
      <c r="C44" t="s">
        <v>203</v>
      </c>
      <c r="D44" t="s">
        <v>359</v>
      </c>
      <c r="E44" t="s">
        <v>204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 t="n">
        <v>433.6</v>
      </c>
      <c r="AB44"/>
      <c r="AC44"/>
      <c r="AD44"/>
      <c r="AE44"/>
      <c r="AF44"/>
    </row>
    <row r="45">
      <c r="A45" t="s">
        <v>126</v>
      </c>
      <c r="B45" t="s">
        <v>360</v>
      </c>
      <c r="C45" t="s">
        <v>203</v>
      </c>
      <c r="D45" t="s">
        <v>361</v>
      </c>
      <c r="E45" t="s">
        <v>204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 t="n">
        <v>433.6</v>
      </c>
      <c r="AB45"/>
      <c r="AC45"/>
      <c r="AD45"/>
      <c r="AE45"/>
      <c r="AF45"/>
    </row>
    <row r="46">
      <c r="A46" t="s">
        <v>126</v>
      </c>
      <c r="B46" t="s">
        <v>362</v>
      </c>
      <c r="C46" t="s">
        <v>203</v>
      </c>
      <c r="D46" t="s">
        <v>363</v>
      </c>
      <c r="E46" t="s">
        <v>204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 t="n">
        <v>0.1</v>
      </c>
      <c r="AB46"/>
      <c r="AC46"/>
      <c r="AD46"/>
      <c r="AE46"/>
      <c r="AF46"/>
    </row>
    <row r="47">
      <c r="A47" t="s">
        <v>126</v>
      </c>
      <c r="B47" t="s">
        <v>364</v>
      </c>
      <c r="C47" t="s">
        <v>203</v>
      </c>
      <c r="D47" t="s">
        <v>365</v>
      </c>
      <c r="E47" t="s">
        <v>204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 t="n">
        <v>3712.4</v>
      </c>
      <c r="AB47"/>
      <c r="AC47"/>
      <c r="AD47"/>
      <c r="AE47"/>
      <c r="AF47"/>
    </row>
    <row r="48">
      <c r="A48" t="s">
        <v>126</v>
      </c>
      <c r="B48" t="s">
        <v>366</v>
      </c>
      <c r="C48" t="s">
        <v>203</v>
      </c>
      <c r="D48" t="s">
        <v>367</v>
      </c>
      <c r="E48" t="s">
        <v>204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 t="n">
        <v>5089.5</v>
      </c>
      <c r="AB48"/>
      <c r="AC48"/>
      <c r="AD48"/>
      <c r="AE48"/>
      <c r="AF48"/>
    </row>
    <row r="49">
      <c r="A49" t="s">
        <v>126</v>
      </c>
      <c r="B49" t="s">
        <v>368</v>
      </c>
      <c r="C49" t="s">
        <v>203</v>
      </c>
      <c r="D49" t="s">
        <v>369</v>
      </c>
      <c r="E49" t="s">
        <v>204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 t="n">
        <v>778.4</v>
      </c>
      <c r="AB49"/>
      <c r="AC49"/>
      <c r="AD49"/>
      <c r="AE49"/>
      <c r="AF49"/>
    </row>
    <row r="50">
      <c r="A50" t="s">
        <v>126</v>
      </c>
      <c r="B50" t="s">
        <v>370</v>
      </c>
      <c r="C50" t="s">
        <v>203</v>
      </c>
      <c r="D50" t="s">
        <v>371</v>
      </c>
      <c r="E50" t="s">
        <v>204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 t="n">
        <v>598.7</v>
      </c>
      <c r="AB50"/>
      <c r="AC50"/>
      <c r="AD50"/>
      <c r="AE50"/>
      <c r="AF50"/>
    </row>
    <row r="51">
      <c r="A51" t="s">
        <v>126</v>
      </c>
      <c r="B51" t="s">
        <v>372</v>
      </c>
      <c r="C51" t="s">
        <v>203</v>
      </c>
      <c r="D51" t="s">
        <v>373</v>
      </c>
      <c r="E51" t="s">
        <v>204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 t="n">
        <v>597.9</v>
      </c>
      <c r="AB51"/>
      <c r="AC51"/>
      <c r="AD51"/>
      <c r="AE51"/>
      <c r="AF51"/>
    </row>
    <row r="52">
      <c r="A52" t="s">
        <v>126</v>
      </c>
      <c r="B52" t="s">
        <v>374</v>
      </c>
      <c r="C52" t="s">
        <v>203</v>
      </c>
      <c r="D52" t="s">
        <v>375</v>
      </c>
      <c r="E52" t="s">
        <v>204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 t="n">
        <v>0.8</v>
      </c>
      <c r="AB52"/>
      <c r="AC52"/>
      <c r="AD52"/>
      <c r="AE52"/>
      <c r="AF52"/>
    </row>
    <row r="53">
      <c r="A53" t="s">
        <v>126</v>
      </c>
      <c r="B53" t="s">
        <v>376</v>
      </c>
      <c r="C53" t="s">
        <v>203</v>
      </c>
      <c r="D53" t="s">
        <v>377</v>
      </c>
      <c r="E53" t="s">
        <v>204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 t="n">
        <v>128.4</v>
      </c>
      <c r="AB53"/>
      <c r="AC53"/>
      <c r="AD53"/>
      <c r="AE53"/>
      <c r="AF53"/>
    </row>
    <row r="54">
      <c r="A54" t="s">
        <v>126</v>
      </c>
      <c r="B54" t="s">
        <v>378</v>
      </c>
      <c r="C54" t="s">
        <v>203</v>
      </c>
      <c r="D54" t="s">
        <v>379</v>
      </c>
      <c r="E54" t="s">
        <v>204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 t="n">
        <v>180.4</v>
      </c>
      <c r="AB54"/>
      <c r="AC54"/>
      <c r="AD54"/>
      <c r="AE54"/>
      <c r="AF54"/>
    </row>
    <row r="55">
      <c r="A55" t="s">
        <v>126</v>
      </c>
      <c r="B55" t="s">
        <v>380</v>
      </c>
      <c r="C55" t="s">
        <v>203</v>
      </c>
      <c r="D55" t="s">
        <v>381</v>
      </c>
      <c r="E55" t="s">
        <v>204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 t="n">
        <v>52</v>
      </c>
      <c r="AB55"/>
      <c r="AC55"/>
      <c r="AD55"/>
      <c r="AE55"/>
      <c r="AF55"/>
    </row>
    <row r="56">
      <c r="A56" t="s">
        <v>126</v>
      </c>
      <c r="B56" t="s">
        <v>382</v>
      </c>
      <c r="C56" t="s">
        <v>203</v>
      </c>
      <c r="D56" t="s">
        <v>383</v>
      </c>
      <c r="E56" t="s">
        <v>204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 t="n">
        <v>0</v>
      </c>
      <c r="AB56"/>
      <c r="AC56"/>
      <c r="AD56"/>
      <c r="AE56"/>
      <c r="AF56"/>
    </row>
    <row r="57">
      <c r="A57" t="s">
        <v>126</v>
      </c>
      <c r="B57" t="s">
        <v>384</v>
      </c>
      <c r="C57" t="s">
        <v>203</v>
      </c>
      <c r="D57" t="s">
        <v>385</v>
      </c>
      <c r="E57" t="s">
        <v>204</v>
      </c>
      <c r="F57"/>
      <c r="G57"/>
      <c r="H57"/>
      <c r="I57"/>
      <c r="J57"/>
      <c r="K57" t="n">
        <v>11350.3</v>
      </c>
      <c r="L57" t="n">
        <v>11356.3</v>
      </c>
      <c r="M57" t="n">
        <v>11623.3</v>
      </c>
      <c r="N57" t="n">
        <v>11459.8</v>
      </c>
      <c r="O57" t="n">
        <v>12245</v>
      </c>
      <c r="P57" t="n">
        <v>11566.4</v>
      </c>
      <c r="Q57" t="n">
        <v>15728.1</v>
      </c>
      <c r="R57" t="n">
        <v>20381</v>
      </c>
      <c r="S57" t="n">
        <v>23051.3</v>
      </c>
      <c r="T57" t="n">
        <v>25116.1</v>
      </c>
      <c r="U57" t="n">
        <v>32237.6</v>
      </c>
      <c r="V57" t="n">
        <v>32866.9</v>
      </c>
      <c r="W57" t="n">
        <v>35969.5</v>
      </c>
      <c r="X57" t="n">
        <v>36403.6</v>
      </c>
      <c r="Y57" t="n">
        <v>35664.2</v>
      </c>
      <c r="Z57" t="n">
        <v>36336.5</v>
      </c>
      <c r="AA57" t="n">
        <v>36985.6</v>
      </c>
      <c r="AB57" t="n">
        <v>37869.6</v>
      </c>
      <c r="AC57" t="n">
        <v>39941.9</v>
      </c>
      <c r="AD57" t="n">
        <v>40825.6</v>
      </c>
      <c r="AE57" t="n">
        <v>41282.9</v>
      </c>
      <c r="AF57" t="n">
        <v>42363.3</v>
      </c>
    </row>
    <row r="58">
      <c r="A58" t="s">
        <v>126</v>
      </c>
      <c r="B58" t="s">
        <v>386</v>
      </c>
      <c r="C58" t="s">
        <v>203</v>
      </c>
      <c r="D58" t="s">
        <v>387</v>
      </c>
      <c r="E58" t="s">
        <v>204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 t="n">
        <v>5757.1</v>
      </c>
      <c r="AB58"/>
      <c r="AC58"/>
      <c r="AD58"/>
      <c r="AE58"/>
      <c r="AF58"/>
    </row>
    <row r="59">
      <c r="A59" t="s">
        <v>126</v>
      </c>
      <c r="B59" t="s">
        <v>388</v>
      </c>
      <c r="C59" t="s">
        <v>203</v>
      </c>
      <c r="D59" t="s">
        <v>389</v>
      </c>
      <c r="E59" t="s">
        <v>204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 t="n">
        <v>0</v>
      </c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128</v>
      </c>
      <c r="B2" t="s">
        <v>197</v>
      </c>
      <c r="C2" t="s">
        <v>203</v>
      </c>
      <c r="D2" t="s">
        <v>199</v>
      </c>
      <c r="E2" t="s">
        <v>204</v>
      </c>
      <c r="F2"/>
      <c r="G2"/>
      <c r="H2"/>
      <c r="I2"/>
      <c r="J2"/>
      <c r="K2" t="n">
        <v>316.7</v>
      </c>
      <c r="L2" t="n">
        <v>320.3</v>
      </c>
      <c r="M2" t="n">
        <v>443.8</v>
      </c>
      <c r="N2" t="n">
        <v>490.6</v>
      </c>
      <c r="O2" t="n">
        <v>533.7</v>
      </c>
      <c r="P2" t="n">
        <v>589.6</v>
      </c>
      <c r="Q2" t="n">
        <v>709.1</v>
      </c>
      <c r="R2" t="n">
        <v>757.2</v>
      </c>
      <c r="S2" t="n">
        <v>1064.8</v>
      </c>
      <c r="T2" t="n">
        <v>1362.1</v>
      </c>
      <c r="U2" t="n">
        <v>1507.4</v>
      </c>
      <c r="V2" t="n">
        <v>1581.5</v>
      </c>
      <c r="W2" t="n">
        <v>1890.3</v>
      </c>
      <c r="X2" t="n">
        <v>2143.8</v>
      </c>
      <c r="Y2" t="n">
        <v>2453.7</v>
      </c>
      <c r="Z2" t="n">
        <v>2581.5</v>
      </c>
      <c r="AA2" t="n">
        <v>2831.7</v>
      </c>
      <c r="AB2" t="n">
        <v>3063.4</v>
      </c>
      <c r="AC2" t="n">
        <v>3939.7</v>
      </c>
      <c r="AD2" t="n">
        <v>4125.1</v>
      </c>
      <c r="AE2" t="n">
        <v>4223</v>
      </c>
      <c r="AF2" t="n">
        <v>4121.4</v>
      </c>
    </row>
    <row r="3">
      <c r="A3" t="s">
        <v>128</v>
      </c>
      <c r="B3" t="s">
        <v>276</v>
      </c>
      <c r="C3" t="s">
        <v>203</v>
      </c>
      <c r="D3" t="s">
        <v>277</v>
      </c>
      <c r="E3" t="s">
        <v>204</v>
      </c>
      <c r="F3"/>
      <c r="G3"/>
      <c r="H3"/>
      <c r="I3"/>
      <c r="J3"/>
      <c r="K3" t="n">
        <v>855.1</v>
      </c>
      <c r="L3" t="n">
        <v>747.6</v>
      </c>
      <c r="M3" t="n">
        <v>938</v>
      </c>
      <c r="N3" t="n">
        <v>998.9</v>
      </c>
      <c r="O3" t="n">
        <v>1020.7</v>
      </c>
      <c r="P3" t="n">
        <v>1043.4</v>
      </c>
      <c r="Q3" t="n">
        <v>1192.8</v>
      </c>
      <c r="R3" t="n">
        <v>1219.9</v>
      </c>
      <c r="S3" t="n">
        <v>1499.6</v>
      </c>
      <c r="T3" t="n">
        <v>1794.2</v>
      </c>
      <c r="U3" t="n">
        <v>1881.6</v>
      </c>
      <c r="V3" t="n">
        <v>1892.1</v>
      </c>
      <c r="W3" t="n">
        <v>2065.9</v>
      </c>
      <c r="X3" t="n">
        <v>2178.9</v>
      </c>
      <c r="Y3" t="n">
        <v>2338.2</v>
      </c>
      <c r="Z3" t="n">
        <v>2228.2</v>
      </c>
      <c r="AA3" t="n">
        <v>2336</v>
      </c>
      <c r="AB3" t="n">
        <v>2306.7</v>
      </c>
      <c r="AC3" t="n">
        <v>2729.9</v>
      </c>
      <c r="AD3" t="n">
        <v>2858.4</v>
      </c>
      <c r="AE3" t="n">
        <v>2926.2</v>
      </c>
      <c r="AF3" t="n">
        <v>2855.8</v>
      </c>
    </row>
    <row r="4">
      <c r="A4" t="s">
        <v>128</v>
      </c>
      <c r="B4" t="s">
        <v>278</v>
      </c>
      <c r="C4" t="s">
        <v>203</v>
      </c>
      <c r="D4" t="s">
        <v>279</v>
      </c>
      <c r="E4" t="s">
        <v>204</v>
      </c>
      <c r="F4"/>
      <c r="G4"/>
      <c r="H4"/>
      <c r="I4"/>
      <c r="J4"/>
      <c r="K4" t="n">
        <v>2494.4</v>
      </c>
      <c r="L4" t="n">
        <v>2603.7</v>
      </c>
      <c r="M4" t="n">
        <v>3531</v>
      </c>
      <c r="N4" t="n">
        <v>3962.8</v>
      </c>
      <c r="O4" t="n">
        <v>4282.7</v>
      </c>
      <c r="P4" t="n">
        <v>4688.8</v>
      </c>
      <c r="Q4" t="n">
        <v>5716.7</v>
      </c>
      <c r="R4" t="n">
        <v>6185.1</v>
      </c>
      <c r="S4" t="n">
        <v>7731.9</v>
      </c>
      <c r="T4" t="n">
        <v>9946.9</v>
      </c>
      <c r="U4" t="n">
        <v>10567.8</v>
      </c>
      <c r="V4" t="n">
        <v>10708.3</v>
      </c>
      <c r="W4" t="n">
        <v>11787</v>
      </c>
      <c r="X4" t="n">
        <v>12518.6</v>
      </c>
      <c r="Y4" t="n">
        <v>12729.1</v>
      </c>
      <c r="Z4" t="n">
        <v>13531.4</v>
      </c>
      <c r="AA4" t="n">
        <v>14939.7</v>
      </c>
      <c r="AB4" t="n">
        <v>15680.3</v>
      </c>
      <c r="AC4" t="n">
        <v>19282.6</v>
      </c>
      <c r="AD4" t="n">
        <v>20189.9</v>
      </c>
      <c r="AE4" t="n">
        <v>20668.7</v>
      </c>
      <c r="AF4" t="n">
        <v>20171.8</v>
      </c>
    </row>
    <row r="5">
      <c r="A5" t="s">
        <v>128</v>
      </c>
      <c r="B5" t="s">
        <v>280</v>
      </c>
      <c r="C5" t="s">
        <v>203</v>
      </c>
      <c r="D5" t="s">
        <v>281</v>
      </c>
      <c r="E5" t="s">
        <v>204</v>
      </c>
      <c r="F5"/>
      <c r="G5"/>
      <c r="H5"/>
      <c r="I5"/>
      <c r="J5"/>
      <c r="K5" t="n">
        <v>340.6</v>
      </c>
      <c r="L5" t="n">
        <v>374</v>
      </c>
      <c r="M5" t="n">
        <v>534.8</v>
      </c>
      <c r="N5" t="n">
        <v>635.9</v>
      </c>
      <c r="O5" t="n">
        <v>737</v>
      </c>
      <c r="P5" t="n">
        <v>846</v>
      </c>
      <c r="Q5" t="n">
        <v>1078.4</v>
      </c>
      <c r="R5" t="n">
        <v>1208.6</v>
      </c>
      <c r="S5" t="n">
        <v>1549.7</v>
      </c>
      <c r="T5" t="n">
        <v>1933.7</v>
      </c>
      <c r="U5" t="n">
        <v>2096.2</v>
      </c>
      <c r="V5" t="n">
        <v>2144.1</v>
      </c>
      <c r="W5" t="n">
        <v>2369.3</v>
      </c>
      <c r="X5" t="n">
        <v>2524.7</v>
      </c>
      <c r="Y5" t="n">
        <v>2681.5</v>
      </c>
      <c r="Z5" t="n">
        <v>2700.8</v>
      </c>
      <c r="AA5" t="n">
        <v>2899.2</v>
      </c>
      <c r="AB5" t="n">
        <v>3000.9</v>
      </c>
      <c r="AC5" t="n">
        <v>3713.7</v>
      </c>
      <c r="AD5" t="n">
        <v>3888.4</v>
      </c>
      <c r="AE5" t="n">
        <v>3980.6</v>
      </c>
      <c r="AF5" t="n">
        <v>3884.9</v>
      </c>
    </row>
    <row r="6">
      <c r="A6" t="s">
        <v>128</v>
      </c>
      <c r="B6" t="s">
        <v>282</v>
      </c>
      <c r="C6" t="s">
        <v>203</v>
      </c>
      <c r="D6" t="s">
        <v>283</v>
      </c>
      <c r="E6" t="s">
        <v>204</v>
      </c>
      <c r="F6"/>
      <c r="G6"/>
      <c r="H6"/>
      <c r="I6"/>
      <c r="J6"/>
      <c r="K6" t="n">
        <v>260.4</v>
      </c>
      <c r="L6" t="n">
        <v>259.3</v>
      </c>
      <c r="M6" t="n">
        <v>362.9</v>
      </c>
      <c r="N6" t="n">
        <v>435</v>
      </c>
      <c r="O6" t="n">
        <v>472.2</v>
      </c>
      <c r="P6" t="n">
        <v>513.1</v>
      </c>
      <c r="Q6" t="n">
        <v>643.5</v>
      </c>
      <c r="R6" t="n">
        <v>677.4</v>
      </c>
      <c r="S6" t="n">
        <v>812.4</v>
      </c>
      <c r="T6" t="n">
        <v>969.1</v>
      </c>
      <c r="U6" t="n">
        <v>1002.2</v>
      </c>
      <c r="V6" t="n">
        <v>1003</v>
      </c>
      <c r="W6" t="n">
        <v>1066.9</v>
      </c>
      <c r="X6" t="n">
        <v>1099.4</v>
      </c>
      <c r="Y6" t="n">
        <v>1080</v>
      </c>
      <c r="Z6" t="n">
        <v>1060.5</v>
      </c>
      <c r="AA6" t="n">
        <v>1184.3</v>
      </c>
      <c r="AB6" t="n">
        <v>1225</v>
      </c>
      <c r="AC6" t="n">
        <v>1449.3</v>
      </c>
      <c r="AD6" t="n">
        <v>1517.5</v>
      </c>
      <c r="AE6" t="n">
        <v>1553.5</v>
      </c>
      <c r="AF6" t="n">
        <v>1516.1</v>
      </c>
    </row>
    <row r="7">
      <c r="A7" t="s">
        <v>128</v>
      </c>
      <c r="B7" t="s">
        <v>284</v>
      </c>
      <c r="C7" t="s">
        <v>203</v>
      </c>
      <c r="D7" t="s">
        <v>285</v>
      </c>
      <c r="E7" t="s">
        <v>204</v>
      </c>
      <c r="F7"/>
      <c r="G7"/>
      <c r="H7"/>
      <c r="I7"/>
      <c r="J7"/>
      <c r="K7" t="n">
        <v>183.1</v>
      </c>
      <c r="L7" t="n">
        <v>188.8</v>
      </c>
      <c r="M7" t="n">
        <v>247</v>
      </c>
      <c r="N7" t="n">
        <v>268.5</v>
      </c>
      <c r="O7" t="n">
        <v>284.8</v>
      </c>
      <c r="P7" t="n">
        <v>297.5</v>
      </c>
      <c r="Q7" t="n">
        <v>343.4</v>
      </c>
      <c r="R7" t="n">
        <v>363.7</v>
      </c>
      <c r="S7" t="n">
        <v>436.4</v>
      </c>
      <c r="T7" t="n">
        <v>541.1</v>
      </c>
      <c r="U7" t="n">
        <v>572.2</v>
      </c>
      <c r="V7" t="n">
        <v>572.1</v>
      </c>
      <c r="W7" t="n">
        <v>642.9</v>
      </c>
      <c r="X7" t="n">
        <v>694.7</v>
      </c>
      <c r="Y7" t="n">
        <v>707.1</v>
      </c>
      <c r="Z7" t="n">
        <v>711.5</v>
      </c>
      <c r="AA7" t="n">
        <v>752.8</v>
      </c>
      <c r="AB7" t="n">
        <v>890.6</v>
      </c>
      <c r="AC7" t="n">
        <v>1247</v>
      </c>
      <c r="AD7" t="n">
        <v>1305.6</v>
      </c>
      <c r="AE7" t="n">
        <v>1336.6</v>
      </c>
      <c r="AF7" t="n">
        <v>1304.5</v>
      </c>
    </row>
    <row r="8">
      <c r="A8" t="s">
        <v>128</v>
      </c>
      <c r="B8" t="s">
        <v>286</v>
      </c>
      <c r="C8" t="s">
        <v>203</v>
      </c>
      <c r="D8" t="s">
        <v>287</v>
      </c>
      <c r="E8" t="s">
        <v>204</v>
      </c>
      <c r="F8"/>
      <c r="G8"/>
      <c r="H8"/>
      <c r="I8"/>
      <c r="J8"/>
      <c r="K8" t="n">
        <v>120.1</v>
      </c>
      <c r="L8" t="n">
        <v>104.9</v>
      </c>
      <c r="M8" t="n">
        <v>143.2</v>
      </c>
      <c r="N8" t="n">
        <v>184.3</v>
      </c>
      <c r="O8" t="n">
        <v>208</v>
      </c>
      <c r="P8" t="n">
        <v>251</v>
      </c>
      <c r="Q8" t="n">
        <v>311.7</v>
      </c>
      <c r="R8" t="n">
        <v>346</v>
      </c>
      <c r="S8" t="n">
        <v>464.4</v>
      </c>
      <c r="T8" t="n">
        <v>917.1</v>
      </c>
      <c r="U8" t="n">
        <v>967</v>
      </c>
      <c r="V8" t="n">
        <v>973.8</v>
      </c>
      <c r="W8" t="n">
        <v>1082</v>
      </c>
      <c r="X8" t="n">
        <v>1158.3</v>
      </c>
      <c r="Y8" t="n">
        <v>1081.8</v>
      </c>
      <c r="Z8" t="n">
        <v>1751</v>
      </c>
      <c r="AA8" t="n">
        <v>2090.8</v>
      </c>
      <c r="AB8" t="n">
        <v>2108.4</v>
      </c>
      <c r="AC8" t="n">
        <v>2487.4</v>
      </c>
      <c r="AD8" t="n">
        <v>2604.5</v>
      </c>
      <c r="AE8" t="n">
        <v>2666.2</v>
      </c>
      <c r="AF8" t="n">
        <v>2602.1</v>
      </c>
    </row>
    <row r="9">
      <c r="A9" t="s">
        <v>128</v>
      </c>
      <c r="B9" t="s">
        <v>288</v>
      </c>
      <c r="C9" t="s">
        <v>203</v>
      </c>
      <c r="D9" t="s">
        <v>289</v>
      </c>
      <c r="E9" t="s">
        <v>204</v>
      </c>
      <c r="F9"/>
      <c r="G9"/>
      <c r="H9"/>
      <c r="I9"/>
      <c r="J9"/>
      <c r="K9" t="n">
        <v>176.3</v>
      </c>
      <c r="L9" t="n">
        <v>156.7</v>
      </c>
      <c r="M9" t="n">
        <v>214.8</v>
      </c>
      <c r="N9" t="n">
        <v>232.4</v>
      </c>
      <c r="O9" t="n">
        <v>235.7</v>
      </c>
      <c r="P9" t="n">
        <v>243.6</v>
      </c>
      <c r="Q9" t="n">
        <v>278.5</v>
      </c>
      <c r="R9" t="n">
        <v>294.2</v>
      </c>
      <c r="S9" t="n">
        <v>363.1</v>
      </c>
      <c r="T9" t="n">
        <v>476</v>
      </c>
      <c r="U9" t="n">
        <v>507.4</v>
      </c>
      <c r="V9" t="n">
        <v>511.4</v>
      </c>
      <c r="W9" t="n">
        <v>581.7</v>
      </c>
      <c r="X9" t="n">
        <v>634.9</v>
      </c>
      <c r="Y9" t="n">
        <v>742.3</v>
      </c>
      <c r="Z9" t="n">
        <v>740.3</v>
      </c>
      <c r="AA9" t="n">
        <v>810.6</v>
      </c>
      <c r="AB9" t="n">
        <v>906.8</v>
      </c>
      <c r="AC9" t="n">
        <v>1092.2</v>
      </c>
      <c r="AD9" t="n">
        <v>1143.6</v>
      </c>
      <c r="AE9" t="n">
        <v>1170.7</v>
      </c>
      <c r="AF9" t="n">
        <v>1142.6</v>
      </c>
    </row>
    <row r="10">
      <c r="A10" t="s">
        <v>128</v>
      </c>
      <c r="B10" t="s">
        <v>290</v>
      </c>
      <c r="C10" t="s">
        <v>203</v>
      </c>
      <c r="D10" t="s">
        <v>291</v>
      </c>
      <c r="E10" t="s">
        <v>204</v>
      </c>
      <c r="F10"/>
      <c r="G10"/>
      <c r="H10"/>
      <c r="I10"/>
      <c r="J10"/>
      <c r="K10" t="n">
        <v>194.1</v>
      </c>
      <c r="L10" t="n">
        <v>172.4</v>
      </c>
      <c r="M10" t="n">
        <v>257</v>
      </c>
      <c r="N10" t="n">
        <v>294.9</v>
      </c>
      <c r="O10" t="n">
        <v>315.7</v>
      </c>
      <c r="P10" t="n">
        <v>339.8</v>
      </c>
      <c r="Q10" t="n">
        <v>396.3</v>
      </c>
      <c r="R10" t="n">
        <v>427.5</v>
      </c>
      <c r="S10" t="n">
        <v>571.5</v>
      </c>
      <c r="T10" t="n">
        <v>716.5</v>
      </c>
      <c r="U10" t="n">
        <v>774.7</v>
      </c>
      <c r="V10" t="n">
        <v>813</v>
      </c>
      <c r="W10" t="n">
        <v>941</v>
      </c>
      <c r="X10" t="n">
        <v>1041.4</v>
      </c>
      <c r="Y10" t="n">
        <v>1150.8</v>
      </c>
      <c r="Z10" t="n">
        <v>1143.3</v>
      </c>
      <c r="AA10" t="n">
        <v>1253.1</v>
      </c>
      <c r="AB10" t="n">
        <v>1399.9</v>
      </c>
      <c r="AC10" t="n">
        <v>1752.6</v>
      </c>
      <c r="AD10" t="n">
        <v>1835.1</v>
      </c>
      <c r="AE10" t="n">
        <v>1878.6</v>
      </c>
      <c r="AF10" t="n">
        <v>1833.5</v>
      </c>
    </row>
    <row r="11">
      <c r="A11" t="s">
        <v>128</v>
      </c>
      <c r="B11" t="s">
        <v>292</v>
      </c>
      <c r="C11" t="s">
        <v>203</v>
      </c>
      <c r="D11" t="s">
        <v>293</v>
      </c>
      <c r="E11" t="s">
        <v>204</v>
      </c>
      <c r="F11"/>
      <c r="G11"/>
      <c r="H11"/>
      <c r="I11"/>
      <c r="J11"/>
      <c r="K11" t="n">
        <v>17.8</v>
      </c>
      <c r="L11" t="n">
        <v>15.7</v>
      </c>
      <c r="M11" t="n">
        <v>42.2</v>
      </c>
      <c r="N11" t="n">
        <v>62.5</v>
      </c>
      <c r="O11" t="n">
        <v>80</v>
      </c>
      <c r="P11" t="n">
        <v>96.2</v>
      </c>
      <c r="Q11" t="n">
        <v>117.8</v>
      </c>
      <c r="R11" t="n">
        <v>133.3</v>
      </c>
      <c r="S11" t="n">
        <v>208.4</v>
      </c>
      <c r="T11" t="n">
        <v>240.5</v>
      </c>
      <c r="U11" t="n">
        <v>267.3</v>
      </c>
      <c r="V11" t="n">
        <v>301.6</v>
      </c>
      <c r="W11" t="n">
        <v>359.3</v>
      </c>
      <c r="X11" t="n">
        <v>406.5</v>
      </c>
      <c r="Y11" t="n">
        <v>408.5</v>
      </c>
      <c r="Z11" t="n">
        <v>403</v>
      </c>
      <c r="AA11" t="n">
        <v>442.5</v>
      </c>
      <c r="AB11" t="n">
        <v>493.1</v>
      </c>
      <c r="AC11" t="n">
        <v>660.4</v>
      </c>
      <c r="AD11" t="n">
        <v>691.5</v>
      </c>
      <c r="AE11" t="n">
        <v>707.9</v>
      </c>
      <c r="AF11" t="n">
        <v>690.9</v>
      </c>
    </row>
    <row r="12">
      <c r="A12" t="s">
        <v>128</v>
      </c>
      <c r="B12" t="s">
        <v>294</v>
      </c>
      <c r="C12" t="s">
        <v>203</v>
      </c>
      <c r="D12" t="s">
        <v>295</v>
      </c>
      <c r="E12" t="s">
        <v>204</v>
      </c>
      <c r="F12"/>
      <c r="G12"/>
      <c r="H12"/>
      <c r="I12"/>
      <c r="J12"/>
      <c r="K12" t="n">
        <v>389.2</v>
      </c>
      <c r="L12" t="n">
        <v>492.1</v>
      </c>
      <c r="M12" t="n">
        <v>625.5</v>
      </c>
      <c r="N12" t="n">
        <v>663.3</v>
      </c>
      <c r="O12" t="n">
        <v>720</v>
      </c>
      <c r="P12" t="n">
        <v>821.5</v>
      </c>
      <c r="Q12" t="n">
        <v>985.3</v>
      </c>
      <c r="R12" t="n">
        <v>1040.7</v>
      </c>
      <c r="S12" t="n">
        <v>1313.1</v>
      </c>
      <c r="T12" t="n">
        <v>1674.7</v>
      </c>
      <c r="U12" t="n">
        <v>1745.8</v>
      </c>
      <c r="V12" t="n">
        <v>1768.8</v>
      </c>
      <c r="W12" t="n">
        <v>1947.8</v>
      </c>
      <c r="X12" t="n">
        <v>2069.5</v>
      </c>
      <c r="Y12" t="n">
        <v>2032.6</v>
      </c>
      <c r="Z12" t="n">
        <v>2159.2</v>
      </c>
      <c r="AA12" t="n">
        <v>2389.1</v>
      </c>
      <c r="AB12" t="n">
        <v>2447.7</v>
      </c>
      <c r="AC12" t="n">
        <v>2939.1</v>
      </c>
      <c r="AD12" t="n">
        <v>3077.4</v>
      </c>
      <c r="AE12" t="n">
        <v>3150.4</v>
      </c>
      <c r="AF12" t="n">
        <v>3074.6</v>
      </c>
    </row>
    <row r="13">
      <c r="A13" t="s">
        <v>128</v>
      </c>
      <c r="B13" t="s">
        <v>296</v>
      </c>
      <c r="C13" t="s">
        <v>203</v>
      </c>
      <c r="D13" t="s">
        <v>297</v>
      </c>
      <c r="E13" t="s">
        <v>204</v>
      </c>
      <c r="F13"/>
      <c r="G13"/>
      <c r="H13"/>
      <c r="I13"/>
      <c r="J13"/>
      <c r="K13" t="n">
        <v>401.8</v>
      </c>
      <c r="L13" t="n">
        <v>364.5</v>
      </c>
      <c r="M13" t="n">
        <v>530.9</v>
      </c>
      <c r="N13" t="n">
        <v>596.4</v>
      </c>
      <c r="O13" t="n">
        <v>645.5</v>
      </c>
      <c r="P13" t="n">
        <v>683</v>
      </c>
      <c r="Q13" t="n">
        <v>823.8</v>
      </c>
      <c r="R13" t="n">
        <v>912</v>
      </c>
      <c r="S13" t="n">
        <v>1095.1</v>
      </c>
      <c r="T13" t="n">
        <v>1376.4</v>
      </c>
      <c r="U13" t="n">
        <v>1470.1</v>
      </c>
      <c r="V13" t="n">
        <v>1463</v>
      </c>
      <c r="W13" t="n">
        <v>1593.3</v>
      </c>
      <c r="X13" t="n">
        <v>1676.6</v>
      </c>
      <c r="Y13" t="n">
        <v>1702.2</v>
      </c>
      <c r="Z13" t="n">
        <v>1682.2</v>
      </c>
      <c r="AA13" t="n">
        <v>1806.2</v>
      </c>
      <c r="AB13" t="n">
        <v>1868.6</v>
      </c>
      <c r="AC13" t="n">
        <v>2323.7</v>
      </c>
      <c r="AD13" t="n">
        <v>2433</v>
      </c>
      <c r="AE13" t="n">
        <v>2490.7</v>
      </c>
      <c r="AF13" t="n">
        <v>2430.8</v>
      </c>
    </row>
    <row r="14">
      <c r="A14" t="s">
        <v>128</v>
      </c>
      <c r="B14" t="s">
        <v>298</v>
      </c>
      <c r="C14" t="s">
        <v>203</v>
      </c>
      <c r="D14" t="s">
        <v>299</v>
      </c>
      <c r="E14" t="s">
        <v>204</v>
      </c>
      <c r="F14"/>
      <c r="G14"/>
      <c r="H14"/>
      <c r="I14"/>
      <c r="J14"/>
      <c r="K14" t="n">
        <v>58.9</v>
      </c>
      <c r="L14" t="n">
        <v>68.9</v>
      </c>
      <c r="M14" t="n">
        <v>93.4</v>
      </c>
      <c r="N14" t="n">
        <v>101.5</v>
      </c>
      <c r="O14" t="n">
        <v>104.6</v>
      </c>
      <c r="P14" t="n">
        <v>106.9</v>
      </c>
      <c r="Q14" t="n">
        <v>127.6</v>
      </c>
      <c r="R14" t="n">
        <v>132.6</v>
      </c>
      <c r="S14" t="n">
        <v>166.9</v>
      </c>
      <c r="T14" t="n">
        <v>195.7</v>
      </c>
      <c r="U14" t="n">
        <v>203.9</v>
      </c>
      <c r="V14" t="n">
        <v>211.6</v>
      </c>
      <c r="W14" t="n">
        <v>233.4</v>
      </c>
      <c r="X14" t="n">
        <v>248.4</v>
      </c>
      <c r="Y14" t="n">
        <v>272</v>
      </c>
      <c r="Z14" t="n">
        <v>279.9</v>
      </c>
      <c r="AA14" t="n">
        <v>294.3</v>
      </c>
      <c r="AB14" t="n">
        <v>311.4</v>
      </c>
      <c r="AC14" t="n">
        <v>398.1</v>
      </c>
      <c r="AD14" t="n">
        <v>416.8</v>
      </c>
      <c r="AE14" t="n">
        <v>426.7</v>
      </c>
      <c r="AF14" t="n">
        <v>416.5</v>
      </c>
    </row>
    <row r="15">
      <c r="A15" t="s">
        <v>128</v>
      </c>
      <c r="B15" t="s">
        <v>300</v>
      </c>
      <c r="C15" t="s">
        <v>203</v>
      </c>
      <c r="D15" t="s">
        <v>301</v>
      </c>
      <c r="E15" t="s">
        <v>204</v>
      </c>
      <c r="F15"/>
      <c r="G15"/>
      <c r="H15"/>
      <c r="I15"/>
      <c r="J15"/>
      <c r="K15" t="n">
        <v>111.9</v>
      </c>
      <c r="L15" t="n">
        <v>116.4</v>
      </c>
      <c r="M15" t="n">
        <v>155.4</v>
      </c>
      <c r="N15" t="n">
        <v>168.9</v>
      </c>
      <c r="O15" t="n">
        <v>173.2</v>
      </c>
      <c r="P15" t="n">
        <v>183.8</v>
      </c>
      <c r="Q15" t="n">
        <v>232.9</v>
      </c>
      <c r="R15" t="n">
        <v>258.6</v>
      </c>
      <c r="S15" t="n">
        <v>330.1</v>
      </c>
      <c r="T15" t="n">
        <v>411.8</v>
      </c>
      <c r="U15" t="n">
        <v>443.7</v>
      </c>
      <c r="V15" t="n">
        <v>459.1</v>
      </c>
      <c r="W15" t="n">
        <v>514.7</v>
      </c>
      <c r="X15" t="n">
        <v>555.2</v>
      </c>
      <c r="Y15" t="n">
        <v>579.6</v>
      </c>
      <c r="Z15" t="n">
        <v>637.6</v>
      </c>
      <c r="AA15" t="n">
        <v>702</v>
      </c>
      <c r="AB15" t="n">
        <v>761.3</v>
      </c>
      <c r="AC15" t="n">
        <v>973.6</v>
      </c>
      <c r="AD15" t="n">
        <v>1019.4</v>
      </c>
      <c r="AE15" t="n">
        <v>1043.6</v>
      </c>
      <c r="AF15" t="n">
        <v>1018.5</v>
      </c>
    </row>
    <row r="16">
      <c r="A16" t="s">
        <v>128</v>
      </c>
      <c r="B16" t="s">
        <v>302</v>
      </c>
      <c r="C16" t="s">
        <v>203</v>
      </c>
      <c r="D16" t="s">
        <v>303</v>
      </c>
      <c r="E16" t="s">
        <v>204</v>
      </c>
      <c r="F16"/>
      <c r="G16"/>
      <c r="H16"/>
      <c r="I16"/>
      <c r="J16"/>
      <c r="K16" t="n">
        <v>53</v>
      </c>
      <c r="L16" t="n">
        <v>47.5</v>
      </c>
      <c r="M16" t="n">
        <v>62</v>
      </c>
      <c r="N16" t="n">
        <v>67.4</v>
      </c>
      <c r="O16" t="n">
        <v>68.6</v>
      </c>
      <c r="P16" t="n">
        <v>76.9</v>
      </c>
      <c r="Q16" t="n">
        <v>105.3</v>
      </c>
      <c r="R16" t="n">
        <v>126</v>
      </c>
      <c r="S16" t="n">
        <v>163.2</v>
      </c>
      <c r="T16" t="n">
        <v>216.1</v>
      </c>
      <c r="U16" t="n">
        <v>239.8</v>
      </c>
      <c r="V16" t="n">
        <v>247.5</v>
      </c>
      <c r="W16" t="n">
        <v>281.3</v>
      </c>
      <c r="X16" t="n">
        <v>306.8</v>
      </c>
      <c r="Y16" t="n">
        <v>307.6</v>
      </c>
      <c r="Z16" t="n">
        <v>357.7</v>
      </c>
      <c r="AA16" t="n">
        <v>407.7</v>
      </c>
      <c r="AB16" t="n">
        <v>449.9</v>
      </c>
      <c r="AC16" t="n">
        <v>575.5</v>
      </c>
      <c r="AD16" t="n">
        <v>602.6</v>
      </c>
      <c r="AE16" t="n">
        <v>616.9</v>
      </c>
      <c r="AF16" t="n">
        <v>602</v>
      </c>
    </row>
    <row r="17">
      <c r="A17" t="s">
        <v>128</v>
      </c>
      <c r="B17" t="s">
        <v>304</v>
      </c>
      <c r="C17" t="s">
        <v>203</v>
      </c>
      <c r="D17" t="s">
        <v>305</v>
      </c>
      <c r="E17" t="s">
        <v>204</v>
      </c>
      <c r="F17"/>
      <c r="G17"/>
      <c r="H17"/>
      <c r="I17"/>
      <c r="J17"/>
      <c r="K17" t="n">
        <v>174.1</v>
      </c>
      <c r="L17" t="n">
        <v>228</v>
      </c>
      <c r="M17" t="n">
        <v>295.2</v>
      </c>
      <c r="N17" t="n">
        <v>314.9</v>
      </c>
      <c r="O17" t="n">
        <v>324.4</v>
      </c>
      <c r="P17" t="n">
        <v>329.2</v>
      </c>
      <c r="Q17" t="n">
        <v>389.6</v>
      </c>
      <c r="R17" t="n">
        <v>402.4</v>
      </c>
      <c r="S17" t="n">
        <v>473</v>
      </c>
      <c r="T17" t="n">
        <v>566.8</v>
      </c>
      <c r="U17" t="n">
        <v>596.3</v>
      </c>
      <c r="V17" t="n">
        <v>590</v>
      </c>
      <c r="W17" t="n">
        <v>622.2</v>
      </c>
      <c r="X17" t="n">
        <v>636.1</v>
      </c>
      <c r="Y17" t="n">
        <v>630.7</v>
      </c>
      <c r="Z17" t="n">
        <v>634.6</v>
      </c>
      <c r="AA17" t="n">
        <v>672.2</v>
      </c>
      <c r="AB17" t="n">
        <v>701.9</v>
      </c>
      <c r="AC17" t="n">
        <v>840.7</v>
      </c>
      <c r="AD17" t="n">
        <v>880.2</v>
      </c>
      <c r="AE17" t="n">
        <v>901.1</v>
      </c>
      <c r="AF17" t="n">
        <v>879.5</v>
      </c>
    </row>
    <row r="18">
      <c r="A18" t="s">
        <v>128</v>
      </c>
      <c r="B18" t="s">
        <v>306</v>
      </c>
      <c r="C18" t="s">
        <v>203</v>
      </c>
      <c r="D18" t="s">
        <v>307</v>
      </c>
      <c r="E18" t="s">
        <v>204</v>
      </c>
      <c r="F18"/>
      <c r="G18"/>
      <c r="H18"/>
      <c r="I18"/>
      <c r="J18"/>
      <c r="K18" t="n">
        <v>36.9</v>
      </c>
      <c r="L18" t="n">
        <v>37.9</v>
      </c>
      <c r="M18" t="n">
        <v>49</v>
      </c>
      <c r="N18" t="n">
        <v>55.9</v>
      </c>
      <c r="O18" t="n">
        <v>58</v>
      </c>
      <c r="P18" t="n">
        <v>63.6</v>
      </c>
      <c r="Q18" t="n">
        <v>89.6</v>
      </c>
      <c r="R18" t="n">
        <v>104.9</v>
      </c>
      <c r="S18" t="n">
        <v>141.1</v>
      </c>
      <c r="T18" t="n">
        <v>177.7</v>
      </c>
      <c r="U18" t="n">
        <v>191.1</v>
      </c>
      <c r="V18" t="n">
        <v>202.9</v>
      </c>
      <c r="W18" t="n">
        <v>232.3</v>
      </c>
      <c r="X18" t="n">
        <v>254.9</v>
      </c>
      <c r="Y18" t="n">
        <v>276.6</v>
      </c>
      <c r="Z18" t="n">
        <v>262.5</v>
      </c>
      <c r="AA18" t="n">
        <v>297.8</v>
      </c>
      <c r="AB18" t="n">
        <v>349.6</v>
      </c>
      <c r="AC18" t="n">
        <v>444.6</v>
      </c>
      <c r="AD18" t="n">
        <v>465.6</v>
      </c>
      <c r="AE18" t="n">
        <v>476.6</v>
      </c>
      <c r="AF18" t="n">
        <v>465.2</v>
      </c>
    </row>
    <row r="19">
      <c r="A19" t="s">
        <v>128</v>
      </c>
      <c r="B19" t="s">
        <v>308</v>
      </c>
      <c r="C19" t="s">
        <v>203</v>
      </c>
      <c r="D19" t="s">
        <v>309</v>
      </c>
      <c r="E19" t="s">
        <v>204</v>
      </c>
      <c r="F19"/>
      <c r="G19"/>
      <c r="H19"/>
      <c r="I19"/>
      <c r="J19"/>
      <c r="K19" t="n">
        <v>282.2</v>
      </c>
      <c r="L19" t="n">
        <v>265.4</v>
      </c>
      <c r="M19" t="n">
        <v>330.1</v>
      </c>
      <c r="N19" t="n">
        <v>344.8</v>
      </c>
      <c r="O19" t="n">
        <v>343.9</v>
      </c>
      <c r="P19" t="n">
        <v>360.3</v>
      </c>
      <c r="Q19" t="n">
        <v>422.2</v>
      </c>
      <c r="R19" t="n">
        <v>443.3</v>
      </c>
      <c r="S19" t="n">
        <v>545.1</v>
      </c>
      <c r="T19" t="n">
        <v>662</v>
      </c>
      <c r="U19" t="n">
        <v>708.5</v>
      </c>
      <c r="V19" t="n">
        <v>718.5</v>
      </c>
      <c r="W19" t="n">
        <v>774.6</v>
      </c>
      <c r="X19" t="n">
        <v>807.8</v>
      </c>
      <c r="Y19" t="n">
        <v>806.2</v>
      </c>
      <c r="Z19" t="n">
        <v>788.2</v>
      </c>
      <c r="AA19" t="n">
        <v>892.2</v>
      </c>
      <c r="AB19" t="n">
        <v>926.4</v>
      </c>
      <c r="AC19" t="n">
        <v>1110.9</v>
      </c>
      <c r="AD19" t="n">
        <v>1163.2</v>
      </c>
      <c r="AE19" t="n">
        <v>1190.8</v>
      </c>
      <c r="AF19" t="n">
        <v>1162.1</v>
      </c>
    </row>
    <row r="20">
      <c r="A20" t="s">
        <v>128</v>
      </c>
      <c r="B20" t="s">
        <v>310</v>
      </c>
      <c r="C20" t="s">
        <v>203</v>
      </c>
      <c r="D20" t="s">
        <v>311</v>
      </c>
      <c r="E20" t="s">
        <v>204</v>
      </c>
      <c r="F20"/>
      <c r="G20"/>
      <c r="H20"/>
      <c r="I20"/>
      <c r="J20"/>
      <c r="K20" t="n">
        <v>422.7</v>
      </c>
      <c r="L20" t="n">
        <v>375.2</v>
      </c>
      <c r="M20" t="n">
        <v>626.3</v>
      </c>
      <c r="N20" t="n">
        <v>761.1</v>
      </c>
      <c r="O20" t="n">
        <v>959.1</v>
      </c>
      <c r="P20" t="n">
        <v>1425.3</v>
      </c>
      <c r="Q20" t="n">
        <v>2259.2</v>
      </c>
      <c r="R20" t="n">
        <v>2796.4</v>
      </c>
      <c r="S20" t="n">
        <v>4374.4</v>
      </c>
      <c r="T20" t="n">
        <v>6823.7</v>
      </c>
      <c r="U20" t="n">
        <v>8144.1</v>
      </c>
      <c r="V20" t="n">
        <v>8661.7</v>
      </c>
      <c r="W20" t="n">
        <v>9913.8</v>
      </c>
      <c r="X20" t="n">
        <v>10874.8</v>
      </c>
      <c r="Y20" t="n">
        <v>11340.9</v>
      </c>
      <c r="Z20" t="n">
        <v>11179.7</v>
      </c>
      <c r="AA20" t="n">
        <v>13074.9</v>
      </c>
      <c r="AB20" t="n">
        <v>12974.3</v>
      </c>
      <c r="AC20" t="n">
        <v>15164.4</v>
      </c>
      <c r="AD20" t="n">
        <v>15878</v>
      </c>
      <c r="AE20" t="n">
        <v>16254.5</v>
      </c>
      <c r="AF20" t="n">
        <v>15863.5</v>
      </c>
    </row>
    <row r="21">
      <c r="A21" t="s">
        <v>128</v>
      </c>
      <c r="B21" t="s">
        <v>312</v>
      </c>
      <c r="C21" t="s">
        <v>203</v>
      </c>
      <c r="D21" t="s">
        <v>313</v>
      </c>
      <c r="E21" t="s">
        <v>204</v>
      </c>
      <c r="F21"/>
      <c r="G21"/>
      <c r="H21"/>
      <c r="I21"/>
      <c r="J21"/>
      <c r="K21" t="n">
        <v>510.4</v>
      </c>
      <c r="L21" t="n">
        <v>453.5</v>
      </c>
      <c r="M21" t="n">
        <v>742</v>
      </c>
      <c r="N21" t="n">
        <v>896.5</v>
      </c>
      <c r="O21" t="n">
        <v>1120.7</v>
      </c>
      <c r="P21" t="n">
        <v>1613.5</v>
      </c>
      <c r="Q21" t="n">
        <v>2488.3</v>
      </c>
      <c r="R21" t="n">
        <v>3073.4</v>
      </c>
      <c r="S21" t="n">
        <v>4775.3</v>
      </c>
      <c r="T21" t="n">
        <v>7445.4</v>
      </c>
      <c r="U21" t="n">
        <v>8819.9</v>
      </c>
      <c r="V21" t="n">
        <v>9364.5</v>
      </c>
      <c r="W21" t="n">
        <v>10659.3</v>
      </c>
      <c r="X21" t="n">
        <v>11641.1</v>
      </c>
      <c r="Y21" t="n">
        <v>12325.1</v>
      </c>
      <c r="Z21" t="n">
        <v>13247.8</v>
      </c>
      <c r="AA21" t="n">
        <v>15236.7</v>
      </c>
      <c r="AB21" t="n">
        <v>15100.6</v>
      </c>
      <c r="AC21" t="n">
        <v>17672.9</v>
      </c>
      <c r="AD21" t="n">
        <v>18504.6</v>
      </c>
      <c r="AE21" t="n">
        <v>18943.3</v>
      </c>
      <c r="AF21" t="n">
        <v>18487.7</v>
      </c>
    </row>
    <row r="22">
      <c r="A22" t="s">
        <v>128</v>
      </c>
      <c r="B22" t="s">
        <v>314</v>
      </c>
      <c r="C22" t="s">
        <v>203</v>
      </c>
      <c r="D22" t="s">
        <v>315</v>
      </c>
      <c r="E22" t="s">
        <v>204</v>
      </c>
      <c r="F22"/>
      <c r="G22"/>
      <c r="H22"/>
      <c r="I22"/>
      <c r="J22"/>
      <c r="K22" t="n">
        <v>87.7</v>
      </c>
      <c r="L22" t="n">
        <v>78.3</v>
      </c>
      <c r="M22" t="n">
        <v>115.7</v>
      </c>
      <c r="N22" t="n">
        <v>135.4</v>
      </c>
      <c r="O22" t="n">
        <v>161.6</v>
      </c>
      <c r="P22" t="n">
        <v>188.2</v>
      </c>
      <c r="Q22" t="n">
        <v>229.1</v>
      </c>
      <c r="R22" t="n">
        <v>277</v>
      </c>
      <c r="S22" t="n">
        <v>400.9</v>
      </c>
      <c r="T22" t="n">
        <v>621.7</v>
      </c>
      <c r="U22" t="n">
        <v>675.8</v>
      </c>
      <c r="V22" t="n">
        <v>702.8</v>
      </c>
      <c r="W22" t="n">
        <v>745.5</v>
      </c>
      <c r="X22" t="n">
        <v>766.3</v>
      </c>
      <c r="Y22" t="n">
        <v>984.2</v>
      </c>
      <c r="Z22" t="n">
        <v>2068.1</v>
      </c>
      <c r="AA22" t="n">
        <v>2161.8</v>
      </c>
      <c r="AB22" t="n">
        <v>2126.3</v>
      </c>
      <c r="AC22" t="n">
        <v>2508.5</v>
      </c>
      <c r="AD22" t="n">
        <v>2626.6</v>
      </c>
      <c r="AE22" t="n">
        <v>2688.8</v>
      </c>
      <c r="AF22" t="n">
        <v>2624.2</v>
      </c>
    </row>
    <row r="23">
      <c r="A23" t="s">
        <v>128</v>
      </c>
      <c r="B23" t="s">
        <v>316</v>
      </c>
      <c r="C23" t="s">
        <v>203</v>
      </c>
      <c r="D23" t="s">
        <v>317</v>
      </c>
      <c r="E23" t="s">
        <v>204</v>
      </c>
      <c r="F23"/>
      <c r="G23"/>
      <c r="H23"/>
      <c r="I23"/>
      <c r="J23"/>
      <c r="K23" t="n">
        <v>587.4</v>
      </c>
      <c r="L23" t="n">
        <v>553.5</v>
      </c>
      <c r="M23" t="n">
        <v>754.3</v>
      </c>
      <c r="N23" t="n">
        <v>826.6</v>
      </c>
      <c r="O23" t="n">
        <v>874.8</v>
      </c>
      <c r="P23" t="n">
        <v>994.9</v>
      </c>
      <c r="Q23" t="n">
        <v>1262.8</v>
      </c>
      <c r="R23" t="n">
        <v>1523.1</v>
      </c>
      <c r="S23" t="n">
        <v>2054</v>
      </c>
      <c r="T23" t="n">
        <v>3070</v>
      </c>
      <c r="U23" t="n">
        <v>3629.1</v>
      </c>
      <c r="V23" t="n">
        <v>3694.6</v>
      </c>
      <c r="W23" t="n">
        <v>4147.2</v>
      </c>
      <c r="X23" t="n">
        <v>4477.9</v>
      </c>
      <c r="Y23" t="n">
        <v>4682.3</v>
      </c>
      <c r="Z23" t="n">
        <v>5112.3</v>
      </c>
      <c r="AA23" t="n">
        <v>5530.7</v>
      </c>
      <c r="AB23" t="n">
        <v>5678</v>
      </c>
      <c r="AC23" t="n">
        <v>6864.8</v>
      </c>
      <c r="AD23" t="n">
        <v>7187.9</v>
      </c>
      <c r="AE23" t="n">
        <v>7358.3</v>
      </c>
      <c r="AF23" t="n">
        <v>7181.3</v>
      </c>
    </row>
    <row r="24">
      <c r="A24" t="s">
        <v>128</v>
      </c>
      <c r="B24" t="s">
        <v>318</v>
      </c>
      <c r="C24" t="s">
        <v>203</v>
      </c>
      <c r="D24" t="s">
        <v>319</v>
      </c>
      <c r="E24" t="s">
        <v>204</v>
      </c>
      <c r="F24"/>
      <c r="G24"/>
      <c r="H24"/>
      <c r="I24"/>
      <c r="J24"/>
      <c r="K24" t="n">
        <v>1102.4</v>
      </c>
      <c r="L24" t="n">
        <v>1215.2</v>
      </c>
      <c r="M24" t="n">
        <v>1779.8</v>
      </c>
      <c r="N24" t="n">
        <v>2050.3</v>
      </c>
      <c r="O24" t="n">
        <v>2292.9</v>
      </c>
      <c r="P24" t="n">
        <v>2633.7</v>
      </c>
      <c r="Q24" t="n">
        <v>3395.9</v>
      </c>
      <c r="R24" t="n">
        <v>3780.3</v>
      </c>
      <c r="S24" t="n">
        <v>5038.4</v>
      </c>
      <c r="T24" t="n">
        <v>6494.3</v>
      </c>
      <c r="U24" t="n">
        <v>7314.7</v>
      </c>
      <c r="V24" t="n">
        <v>7539.6</v>
      </c>
      <c r="W24" t="n">
        <v>8280.2</v>
      </c>
      <c r="X24" t="n">
        <v>8777.1</v>
      </c>
      <c r="Y24" t="n">
        <v>8959.4</v>
      </c>
      <c r="Z24" t="n">
        <v>8872.7</v>
      </c>
      <c r="AA24" t="n">
        <v>9787.8</v>
      </c>
      <c r="AB24" t="n">
        <v>10234.6</v>
      </c>
      <c r="AC24" t="n">
        <v>12971.2</v>
      </c>
      <c r="AD24" t="n">
        <v>13581.7</v>
      </c>
      <c r="AE24" t="n">
        <v>13903.6</v>
      </c>
      <c r="AF24" t="n">
        <v>13569.1</v>
      </c>
    </row>
    <row r="25">
      <c r="A25" t="s">
        <v>128</v>
      </c>
      <c r="B25" t="s">
        <v>320</v>
      </c>
      <c r="C25" t="s">
        <v>203</v>
      </c>
      <c r="D25" t="s">
        <v>321</v>
      </c>
      <c r="E25" t="s">
        <v>204</v>
      </c>
      <c r="F25"/>
      <c r="G25"/>
      <c r="H25"/>
      <c r="I25"/>
      <c r="J25"/>
      <c r="K25" t="n">
        <v>172.6</v>
      </c>
      <c r="L25" t="n">
        <v>175.8</v>
      </c>
      <c r="M25" t="n">
        <v>233.4</v>
      </c>
      <c r="N25" t="n">
        <v>256</v>
      </c>
      <c r="O25" t="n">
        <v>275.5</v>
      </c>
      <c r="P25" t="n">
        <v>302.7</v>
      </c>
      <c r="Q25" t="n">
        <v>387.2</v>
      </c>
      <c r="R25" t="n">
        <v>421</v>
      </c>
      <c r="S25" t="n">
        <v>555</v>
      </c>
      <c r="T25" t="n">
        <v>724.6</v>
      </c>
      <c r="U25" t="n">
        <v>796</v>
      </c>
      <c r="V25" t="n">
        <v>827</v>
      </c>
      <c r="W25" t="n">
        <v>875</v>
      </c>
      <c r="X25" t="n">
        <v>897.1</v>
      </c>
      <c r="Y25" t="n">
        <v>869</v>
      </c>
      <c r="Z25" t="n">
        <v>870.8</v>
      </c>
      <c r="AA25" t="n">
        <v>927.4</v>
      </c>
      <c r="AB25" t="n">
        <v>991.4</v>
      </c>
      <c r="AC25" t="n">
        <v>1207.5</v>
      </c>
      <c r="AD25" t="n">
        <v>1264.3</v>
      </c>
      <c r="AE25" t="n">
        <v>1294.3</v>
      </c>
      <c r="AF25" t="n">
        <v>1263.1</v>
      </c>
    </row>
    <row r="26">
      <c r="A26" t="s">
        <v>128</v>
      </c>
      <c r="B26" t="s">
        <v>322</v>
      </c>
      <c r="C26" t="s">
        <v>203</v>
      </c>
      <c r="D26" t="s">
        <v>323</v>
      </c>
      <c r="E26" t="s">
        <v>204</v>
      </c>
      <c r="F26"/>
      <c r="G26"/>
      <c r="H26"/>
      <c r="I26"/>
      <c r="J26"/>
      <c r="K26" t="n">
        <v>300.9</v>
      </c>
      <c r="L26" t="n">
        <v>378.3</v>
      </c>
      <c r="M26" t="n">
        <v>644</v>
      </c>
      <c r="N26" t="n">
        <v>794.3</v>
      </c>
      <c r="O26" t="n">
        <v>948.2</v>
      </c>
      <c r="P26" t="n">
        <v>1139.7</v>
      </c>
      <c r="Q26" t="n">
        <v>1510.9</v>
      </c>
      <c r="R26" t="n">
        <v>1729.1</v>
      </c>
      <c r="S26" t="n">
        <v>2335.7</v>
      </c>
      <c r="T26" t="n">
        <v>3087.4</v>
      </c>
      <c r="U26" t="n">
        <v>3508.6</v>
      </c>
      <c r="V26" t="n">
        <v>3627.3</v>
      </c>
      <c r="W26" t="n">
        <v>4076.7</v>
      </c>
      <c r="X26" t="n">
        <v>4406.3</v>
      </c>
      <c r="Y26" t="n">
        <v>4649.7</v>
      </c>
      <c r="Z26" t="n">
        <v>4561</v>
      </c>
      <c r="AA26" t="n">
        <v>5063.1</v>
      </c>
      <c r="AB26" t="n">
        <v>5221.2</v>
      </c>
      <c r="AC26" t="n">
        <v>6380.3</v>
      </c>
      <c r="AD26" t="n">
        <v>6680.6</v>
      </c>
      <c r="AE26" t="n">
        <v>6838.9</v>
      </c>
      <c r="AF26" t="n">
        <v>6674.4</v>
      </c>
    </row>
    <row r="27">
      <c r="A27" t="s">
        <v>128</v>
      </c>
      <c r="B27" t="s">
        <v>324</v>
      </c>
      <c r="C27" t="s">
        <v>203</v>
      </c>
      <c r="D27" t="s">
        <v>325</v>
      </c>
      <c r="E27" t="s">
        <v>204</v>
      </c>
      <c r="F27"/>
      <c r="G27"/>
      <c r="H27"/>
      <c r="I27"/>
      <c r="J27"/>
      <c r="K27" t="n">
        <v>628.9</v>
      </c>
      <c r="L27" t="n">
        <v>661.1</v>
      </c>
      <c r="M27" t="n">
        <v>902.4</v>
      </c>
      <c r="N27" t="n">
        <v>1000</v>
      </c>
      <c r="O27" t="n">
        <v>1069.2</v>
      </c>
      <c r="P27" t="n">
        <v>1191.3</v>
      </c>
      <c r="Q27" t="n">
        <v>1497.8</v>
      </c>
      <c r="R27" t="n">
        <v>1630.2</v>
      </c>
      <c r="S27" t="n">
        <v>2147.7</v>
      </c>
      <c r="T27" t="n">
        <v>2682.3</v>
      </c>
      <c r="U27" t="n">
        <v>3010.1</v>
      </c>
      <c r="V27" t="n">
        <v>3085.3</v>
      </c>
      <c r="W27" t="n">
        <v>3328.5</v>
      </c>
      <c r="X27" t="n">
        <v>3473.7</v>
      </c>
      <c r="Y27" t="n">
        <v>3440.7</v>
      </c>
      <c r="Z27" t="n">
        <v>3440.9</v>
      </c>
      <c r="AA27" t="n">
        <v>3797.3</v>
      </c>
      <c r="AB27" t="n">
        <v>4022</v>
      </c>
      <c r="AC27" t="n">
        <v>5383.4</v>
      </c>
      <c r="AD27" t="n">
        <v>5636.8</v>
      </c>
      <c r="AE27" t="n">
        <v>5770.4</v>
      </c>
      <c r="AF27" t="n">
        <v>5631.6</v>
      </c>
    </row>
    <row r="28">
      <c r="A28" t="s">
        <v>128</v>
      </c>
      <c r="B28" t="s">
        <v>326</v>
      </c>
      <c r="C28" t="s">
        <v>203</v>
      </c>
      <c r="D28" t="s">
        <v>327</v>
      </c>
      <c r="E28" t="s">
        <v>204</v>
      </c>
      <c r="F28"/>
      <c r="G28"/>
      <c r="H28"/>
      <c r="I28"/>
      <c r="J28"/>
      <c r="K28" t="n">
        <v>650</v>
      </c>
      <c r="L28" t="n">
        <v>584.1</v>
      </c>
      <c r="M28" t="n">
        <v>905.2</v>
      </c>
      <c r="N28" t="n">
        <v>1015.6</v>
      </c>
      <c r="O28" t="n">
        <v>1148.3</v>
      </c>
      <c r="P28" t="n">
        <v>1354.9</v>
      </c>
      <c r="Q28" t="n">
        <v>1641.1</v>
      </c>
      <c r="R28" t="n">
        <v>1735.1</v>
      </c>
      <c r="S28" t="n">
        <v>2798.5</v>
      </c>
      <c r="T28" t="n">
        <v>3526.5</v>
      </c>
      <c r="U28" t="n">
        <v>4119.6</v>
      </c>
      <c r="V28" t="n">
        <v>4374.8</v>
      </c>
      <c r="W28" t="n">
        <v>4544.4</v>
      </c>
      <c r="X28" t="n">
        <v>4579.5</v>
      </c>
      <c r="Y28" t="n">
        <v>4407.6</v>
      </c>
      <c r="Z28" t="n">
        <v>5056.2</v>
      </c>
      <c r="AA28" t="n">
        <v>5621.3</v>
      </c>
      <c r="AB28" t="n">
        <v>5653</v>
      </c>
      <c r="AC28" t="n">
        <v>6780.9</v>
      </c>
      <c r="AD28" t="n">
        <v>7100.2</v>
      </c>
      <c r="AE28" t="n">
        <v>7268.4</v>
      </c>
      <c r="AF28" t="n">
        <v>7093.6</v>
      </c>
    </row>
    <row r="29">
      <c r="A29" t="s">
        <v>128</v>
      </c>
      <c r="B29" t="s">
        <v>328</v>
      </c>
      <c r="C29" t="s">
        <v>203</v>
      </c>
      <c r="D29" t="s">
        <v>329</v>
      </c>
      <c r="E29" t="s">
        <v>204</v>
      </c>
      <c r="F29"/>
      <c r="G29"/>
      <c r="H29"/>
      <c r="I29"/>
      <c r="J29"/>
      <c r="K29" t="n">
        <v>470.8</v>
      </c>
      <c r="L29" t="n">
        <v>424.1</v>
      </c>
      <c r="M29" t="n">
        <v>550.8</v>
      </c>
      <c r="N29" t="n">
        <v>582.5</v>
      </c>
      <c r="O29" t="n">
        <v>598.7</v>
      </c>
      <c r="P29" t="n">
        <v>637</v>
      </c>
      <c r="Q29" t="n">
        <v>748.5</v>
      </c>
      <c r="R29" t="n">
        <v>776.2</v>
      </c>
      <c r="S29" t="n">
        <v>1423.1</v>
      </c>
      <c r="T29" t="n">
        <v>1738.8</v>
      </c>
      <c r="U29" t="n">
        <v>2176.8</v>
      </c>
      <c r="V29" t="n">
        <v>2372.4</v>
      </c>
      <c r="W29" t="n">
        <v>2469.2</v>
      </c>
      <c r="X29" t="n">
        <v>2493.1</v>
      </c>
      <c r="Y29" t="n">
        <v>2406.6</v>
      </c>
      <c r="Z29" t="n">
        <v>2691.3</v>
      </c>
      <c r="AA29" t="n">
        <v>3078.1</v>
      </c>
      <c r="AB29" t="n">
        <v>3035.4</v>
      </c>
      <c r="AC29" t="n">
        <v>3560.1</v>
      </c>
      <c r="AD29" t="n">
        <v>3727.7</v>
      </c>
      <c r="AE29" t="n">
        <v>3816</v>
      </c>
      <c r="AF29" t="n">
        <v>3724.3</v>
      </c>
    </row>
    <row r="30">
      <c r="A30" t="s">
        <v>128</v>
      </c>
      <c r="B30" t="s">
        <v>330</v>
      </c>
      <c r="C30" t="s">
        <v>203</v>
      </c>
      <c r="D30" t="s">
        <v>331</v>
      </c>
      <c r="E30" t="s">
        <v>204</v>
      </c>
      <c r="F30"/>
      <c r="G30"/>
      <c r="H30"/>
      <c r="I30"/>
      <c r="J30"/>
      <c r="K30" t="n">
        <v>1.5</v>
      </c>
      <c r="L30" t="n">
        <v>1.8</v>
      </c>
      <c r="M30" t="n">
        <v>2.5</v>
      </c>
      <c r="N30" t="n">
        <v>2.8</v>
      </c>
      <c r="O30" t="n">
        <v>3.6</v>
      </c>
      <c r="P30" t="n">
        <v>4.4</v>
      </c>
      <c r="Q30" t="n">
        <v>11.6</v>
      </c>
      <c r="R30" t="n">
        <v>12.7</v>
      </c>
      <c r="S30" t="n">
        <v>16.2</v>
      </c>
      <c r="T30" t="n">
        <v>18.4</v>
      </c>
      <c r="U30" t="n">
        <v>18.7</v>
      </c>
      <c r="V30" t="n">
        <v>19.3</v>
      </c>
      <c r="W30" t="n">
        <v>19.8</v>
      </c>
      <c r="X30" t="n">
        <v>19.6</v>
      </c>
      <c r="Y30" t="n">
        <v>19.7</v>
      </c>
      <c r="Z30" t="n">
        <v>19</v>
      </c>
      <c r="AA30" t="n">
        <v>17.5</v>
      </c>
      <c r="AB30" t="n">
        <v>17.8</v>
      </c>
      <c r="AC30" t="n">
        <v>24.6</v>
      </c>
      <c r="AD30" t="n">
        <v>25.8</v>
      </c>
      <c r="AE30" t="n">
        <v>26.4</v>
      </c>
      <c r="AF30" t="n">
        <v>25.7</v>
      </c>
    </row>
    <row r="31">
      <c r="A31" t="s">
        <v>128</v>
      </c>
      <c r="B31" t="s">
        <v>332</v>
      </c>
      <c r="C31" t="s">
        <v>203</v>
      </c>
      <c r="D31" t="s">
        <v>333</v>
      </c>
      <c r="E31" t="s">
        <v>204</v>
      </c>
      <c r="F31"/>
      <c r="G31"/>
      <c r="H31"/>
      <c r="I31"/>
      <c r="J31"/>
      <c r="K31" t="n">
        <v>1.9</v>
      </c>
      <c r="L31" t="n">
        <v>1.9</v>
      </c>
      <c r="M31" t="n">
        <v>2.8</v>
      </c>
      <c r="N31" t="n">
        <v>3.2</v>
      </c>
      <c r="O31" t="n">
        <v>11.4</v>
      </c>
      <c r="P31" t="n">
        <v>14</v>
      </c>
      <c r="Q31" t="n">
        <v>16.5</v>
      </c>
      <c r="R31" t="n">
        <v>16.3</v>
      </c>
      <c r="S31" t="n">
        <v>20.3</v>
      </c>
      <c r="T31" t="n">
        <v>25.2</v>
      </c>
      <c r="U31" t="n">
        <v>27.7</v>
      </c>
      <c r="V31" t="n">
        <v>28.6</v>
      </c>
      <c r="W31" t="n">
        <v>34.1</v>
      </c>
      <c r="X31" t="n">
        <v>38.5</v>
      </c>
      <c r="Y31" t="n">
        <v>0</v>
      </c>
      <c r="Z31" t="n">
        <v>116</v>
      </c>
      <c r="AA31" t="n">
        <v>120.8</v>
      </c>
      <c r="AB31" t="n">
        <v>117.9</v>
      </c>
      <c r="AC31" t="n">
        <v>141.2</v>
      </c>
      <c r="AD31" t="n">
        <v>147.8</v>
      </c>
      <c r="AE31" t="n">
        <v>151.3</v>
      </c>
      <c r="AF31" t="n">
        <v>147.7</v>
      </c>
    </row>
    <row r="32">
      <c r="A32" t="s">
        <v>128</v>
      </c>
      <c r="B32" t="s">
        <v>334</v>
      </c>
      <c r="C32" t="s">
        <v>203</v>
      </c>
      <c r="D32" t="s">
        <v>335</v>
      </c>
      <c r="E32" t="s">
        <v>204</v>
      </c>
      <c r="F32"/>
      <c r="G32"/>
      <c r="H32"/>
      <c r="I32"/>
      <c r="J32"/>
      <c r="K32" t="n">
        <v>164.9</v>
      </c>
      <c r="L32" t="n">
        <v>146.7</v>
      </c>
      <c r="M32" t="n">
        <v>336.3</v>
      </c>
      <c r="N32" t="n">
        <v>413.1</v>
      </c>
      <c r="O32" t="n">
        <v>520.2</v>
      </c>
      <c r="P32" t="n">
        <v>683</v>
      </c>
      <c r="Q32" t="n">
        <v>840.4</v>
      </c>
      <c r="R32" t="n">
        <v>895</v>
      </c>
      <c r="S32" t="n">
        <v>1292</v>
      </c>
      <c r="T32" t="n">
        <v>1682</v>
      </c>
      <c r="U32" t="n">
        <v>1833.3</v>
      </c>
      <c r="V32" t="n">
        <v>1888.7</v>
      </c>
      <c r="W32" t="n">
        <v>1954.1</v>
      </c>
      <c r="X32" t="n">
        <v>1961.8</v>
      </c>
      <c r="Y32" t="n">
        <v>1917.9</v>
      </c>
      <c r="Z32" t="n">
        <v>2160.6</v>
      </c>
      <c r="AA32" t="n">
        <v>2323.9</v>
      </c>
      <c r="AB32" t="n">
        <v>2400.3</v>
      </c>
      <c r="AC32" t="n">
        <v>2928.5</v>
      </c>
      <c r="AD32" t="n">
        <v>3066.4</v>
      </c>
      <c r="AE32" t="n">
        <v>3139.1</v>
      </c>
      <c r="AF32" t="n">
        <v>3063.6</v>
      </c>
    </row>
    <row r="33">
      <c r="A33" t="s">
        <v>128</v>
      </c>
      <c r="B33" t="s">
        <v>336</v>
      </c>
      <c r="C33" t="s">
        <v>203</v>
      </c>
      <c r="D33" t="s">
        <v>337</v>
      </c>
      <c r="E33" t="s">
        <v>204</v>
      </c>
      <c r="F33"/>
      <c r="G33"/>
      <c r="H33"/>
      <c r="I33"/>
      <c r="J33"/>
      <c r="K33" t="n">
        <v>10.9</v>
      </c>
      <c r="L33" t="n">
        <v>9.6</v>
      </c>
      <c r="M33" t="n">
        <v>12.8</v>
      </c>
      <c r="N33" t="n">
        <v>14</v>
      </c>
      <c r="O33" t="n">
        <v>14.4</v>
      </c>
      <c r="P33" t="n">
        <v>16.5</v>
      </c>
      <c r="Q33" t="n">
        <v>24.1</v>
      </c>
      <c r="R33" t="n">
        <v>34.9</v>
      </c>
      <c r="S33" t="n">
        <v>46.9</v>
      </c>
      <c r="T33" t="n">
        <v>62.1</v>
      </c>
      <c r="U33" t="n">
        <v>63.1</v>
      </c>
      <c r="V33" t="n">
        <v>65.8</v>
      </c>
      <c r="W33" t="n">
        <v>67.2</v>
      </c>
      <c r="X33" t="n">
        <v>66.5</v>
      </c>
      <c r="Y33" t="n">
        <v>63.4</v>
      </c>
      <c r="Z33" t="n">
        <v>69.3</v>
      </c>
      <c r="AA33" t="n">
        <v>81</v>
      </c>
      <c r="AB33" t="n">
        <v>81.6</v>
      </c>
      <c r="AC33" t="n">
        <v>126.5</v>
      </c>
      <c r="AD33" t="n">
        <v>132.5</v>
      </c>
      <c r="AE33" t="n">
        <v>135.6</v>
      </c>
      <c r="AF33" t="n">
        <v>132.3</v>
      </c>
    </row>
    <row r="34">
      <c r="A34" t="s">
        <v>128</v>
      </c>
      <c r="B34" t="s">
        <v>338</v>
      </c>
      <c r="C34" t="s">
        <v>203</v>
      </c>
      <c r="D34" t="s">
        <v>339</v>
      </c>
      <c r="E34" t="s">
        <v>204</v>
      </c>
      <c r="F34"/>
      <c r="G34"/>
      <c r="H34"/>
      <c r="I34"/>
      <c r="J34"/>
      <c r="K34" t="n">
        <v>504</v>
      </c>
      <c r="L34" t="n">
        <v>480.4</v>
      </c>
      <c r="M34" t="n">
        <v>816.9</v>
      </c>
      <c r="N34" t="n">
        <v>986.2</v>
      </c>
      <c r="O34" t="n">
        <v>1182.8</v>
      </c>
      <c r="P34" t="n">
        <v>1447.3</v>
      </c>
      <c r="Q34" t="n">
        <v>1745.3</v>
      </c>
      <c r="R34" t="n">
        <v>1861</v>
      </c>
      <c r="S34" t="n">
        <v>2450.2</v>
      </c>
      <c r="T34" t="n">
        <v>3096.7</v>
      </c>
      <c r="U34" t="n">
        <v>3523</v>
      </c>
      <c r="V34" t="n">
        <v>3632.8</v>
      </c>
      <c r="W34" t="n">
        <v>4035.3</v>
      </c>
      <c r="X34" t="n">
        <v>4319.2</v>
      </c>
      <c r="Y34" t="n">
        <v>4251.4</v>
      </c>
      <c r="Z34" t="n">
        <v>4320.3</v>
      </c>
      <c r="AA34" t="n">
        <v>4639.9</v>
      </c>
      <c r="AB34" t="n">
        <v>4955.5</v>
      </c>
      <c r="AC34" t="n">
        <v>6228.2</v>
      </c>
      <c r="AD34" t="n">
        <v>6521.3</v>
      </c>
      <c r="AE34" t="n">
        <v>6675.9</v>
      </c>
      <c r="AF34" t="n">
        <v>6515.3</v>
      </c>
    </row>
    <row r="35">
      <c r="A35" t="s">
        <v>128</v>
      </c>
      <c r="B35" t="s">
        <v>340</v>
      </c>
      <c r="C35" t="s">
        <v>203</v>
      </c>
      <c r="D35" t="s">
        <v>341</v>
      </c>
      <c r="E35" t="s">
        <v>204</v>
      </c>
      <c r="F35"/>
      <c r="G35"/>
      <c r="H35"/>
      <c r="I35"/>
      <c r="J35"/>
      <c r="K35" t="n">
        <v>240.9</v>
      </c>
      <c r="L35" t="n">
        <v>239.1</v>
      </c>
      <c r="M35" t="n">
        <v>362</v>
      </c>
      <c r="N35" t="n">
        <v>480.6</v>
      </c>
      <c r="O35" t="n">
        <v>564</v>
      </c>
      <c r="P35" t="n">
        <v>619.7</v>
      </c>
      <c r="Q35" t="n">
        <v>748.7</v>
      </c>
      <c r="R35" t="n">
        <v>826.1</v>
      </c>
      <c r="S35" t="n">
        <v>1232.2</v>
      </c>
      <c r="T35" t="n">
        <v>1507</v>
      </c>
      <c r="U35" t="n">
        <v>1731.1</v>
      </c>
      <c r="V35" t="n">
        <v>1816</v>
      </c>
      <c r="W35" t="n">
        <v>2078.5</v>
      </c>
      <c r="X35" t="n">
        <v>2279.9</v>
      </c>
      <c r="Y35" t="n">
        <v>2317.1</v>
      </c>
      <c r="Z35" t="n">
        <v>2260</v>
      </c>
      <c r="AA35" t="n">
        <v>2254.7</v>
      </c>
      <c r="AB35" t="n">
        <v>2244.1</v>
      </c>
      <c r="AC35" t="n">
        <v>2719.4</v>
      </c>
      <c r="AD35" t="n">
        <v>2847.4</v>
      </c>
      <c r="AE35" t="n">
        <v>2914.9</v>
      </c>
      <c r="AF35" t="n">
        <v>2844.7</v>
      </c>
    </row>
    <row r="36">
      <c r="A36" t="s">
        <v>128</v>
      </c>
      <c r="B36" t="s">
        <v>342</v>
      </c>
      <c r="C36" t="s">
        <v>203</v>
      </c>
      <c r="D36" t="s">
        <v>343</v>
      </c>
      <c r="E36" t="s">
        <v>204</v>
      </c>
      <c r="F36"/>
      <c r="G36"/>
      <c r="H36"/>
      <c r="I36"/>
      <c r="J36"/>
      <c r="K36" t="n">
        <v>236.4</v>
      </c>
      <c r="L36" t="n">
        <v>227.7</v>
      </c>
      <c r="M36" t="n">
        <v>342.6</v>
      </c>
      <c r="N36" t="n">
        <v>442.6</v>
      </c>
      <c r="O36" t="n">
        <v>523.8</v>
      </c>
      <c r="P36" t="n">
        <v>531.5</v>
      </c>
      <c r="Q36" t="n">
        <v>592.3</v>
      </c>
      <c r="R36" t="n">
        <v>605.3</v>
      </c>
      <c r="S36" t="n">
        <v>703</v>
      </c>
      <c r="T36" t="n">
        <v>827.3</v>
      </c>
      <c r="U36" t="n">
        <v>883.5</v>
      </c>
      <c r="V36" t="n">
        <v>869.4</v>
      </c>
      <c r="W36" t="n">
        <v>897.8</v>
      </c>
      <c r="X36" t="n">
        <v>899.6</v>
      </c>
      <c r="Y36" t="n">
        <v>880.9</v>
      </c>
      <c r="Z36" t="n">
        <v>842.2</v>
      </c>
      <c r="AA36" t="n">
        <v>848.2</v>
      </c>
      <c r="AB36" t="n">
        <v>828.1</v>
      </c>
      <c r="AC36" t="n">
        <v>968.3</v>
      </c>
      <c r="AD36" t="n">
        <v>1013.8</v>
      </c>
      <c r="AE36" t="n">
        <v>1037.9</v>
      </c>
      <c r="AF36" t="n">
        <v>1012.9</v>
      </c>
    </row>
    <row r="37">
      <c r="A37" t="s">
        <v>128</v>
      </c>
      <c r="B37" t="s">
        <v>344</v>
      </c>
      <c r="C37" t="s">
        <v>203</v>
      </c>
      <c r="D37" t="s">
        <v>345</v>
      </c>
      <c r="E37" t="s">
        <v>204</v>
      </c>
      <c r="F37"/>
      <c r="G37"/>
      <c r="H37"/>
      <c r="I37"/>
      <c r="J37"/>
      <c r="K37" t="n">
        <v>0</v>
      </c>
      <c r="L37" t="n">
        <v>1</v>
      </c>
      <c r="M37" t="n">
        <v>4.8</v>
      </c>
      <c r="N37" t="n">
        <v>7.2</v>
      </c>
      <c r="O37" t="n">
        <v>7</v>
      </c>
      <c r="P37" t="n">
        <v>52.3</v>
      </c>
      <c r="Q37" t="n">
        <v>114.8</v>
      </c>
      <c r="R37" t="n">
        <v>171.8</v>
      </c>
      <c r="S37" t="n">
        <v>462.5</v>
      </c>
      <c r="T37" t="n">
        <v>586.3</v>
      </c>
      <c r="U37" t="n">
        <v>735.6</v>
      </c>
      <c r="V37" t="n">
        <v>830.1</v>
      </c>
      <c r="W37" t="n">
        <v>1053.9</v>
      </c>
      <c r="X37" t="n">
        <v>1246.9</v>
      </c>
      <c r="Y37" t="n">
        <v>1275</v>
      </c>
      <c r="Z37" t="n">
        <v>1248.3</v>
      </c>
      <c r="AA37" t="n">
        <v>1185.8</v>
      </c>
      <c r="AB37" t="n">
        <v>1178</v>
      </c>
      <c r="AC37" t="n">
        <v>1420.7</v>
      </c>
      <c r="AD37" t="n">
        <v>1487.6</v>
      </c>
      <c r="AE37" t="n">
        <v>1522.8</v>
      </c>
      <c r="AF37" t="n">
        <v>1486.2</v>
      </c>
    </row>
    <row r="38">
      <c r="A38" t="s">
        <v>128</v>
      </c>
      <c r="B38" t="s">
        <v>346</v>
      </c>
      <c r="C38" t="s">
        <v>203</v>
      </c>
      <c r="D38" t="s">
        <v>347</v>
      </c>
      <c r="E38" t="s">
        <v>204</v>
      </c>
      <c r="F38"/>
      <c r="G38"/>
      <c r="H38"/>
      <c r="I38"/>
      <c r="J38"/>
      <c r="K38" t="n">
        <v>4.5</v>
      </c>
      <c r="L38" t="n">
        <v>10.4</v>
      </c>
      <c r="M38" t="n">
        <v>14.6</v>
      </c>
      <c r="N38" t="n">
        <v>30.8</v>
      </c>
      <c r="O38" t="n">
        <v>33.2</v>
      </c>
      <c r="P38" t="n">
        <v>35.9</v>
      </c>
      <c r="Q38" t="n">
        <v>41.6</v>
      </c>
      <c r="R38" t="n">
        <v>49</v>
      </c>
      <c r="S38" t="n">
        <v>66.7</v>
      </c>
      <c r="T38" t="n">
        <v>93.4</v>
      </c>
      <c r="U38" t="n">
        <v>112</v>
      </c>
      <c r="V38" t="n">
        <v>116.5</v>
      </c>
      <c r="W38" t="n">
        <v>126.8</v>
      </c>
      <c r="X38" t="n">
        <v>133.4</v>
      </c>
      <c r="Y38" t="n">
        <v>161.2</v>
      </c>
      <c r="Z38" t="n">
        <v>169.5</v>
      </c>
      <c r="AA38" t="n">
        <v>220.7</v>
      </c>
      <c r="AB38" t="n">
        <v>238</v>
      </c>
      <c r="AC38" t="n">
        <v>330.4</v>
      </c>
      <c r="AD38" t="n">
        <v>346</v>
      </c>
      <c r="AE38" t="n">
        <v>354.2</v>
      </c>
      <c r="AF38" t="n">
        <v>345.6</v>
      </c>
    </row>
    <row r="39">
      <c r="A39" t="s">
        <v>128</v>
      </c>
      <c r="B39" t="s">
        <v>348</v>
      </c>
      <c r="C39" t="s">
        <v>203</v>
      </c>
      <c r="D39" t="s">
        <v>349</v>
      </c>
      <c r="E39" t="s">
        <v>204</v>
      </c>
      <c r="F39"/>
      <c r="G39"/>
      <c r="H39"/>
      <c r="I39"/>
      <c r="J39"/>
      <c r="K39" t="n">
        <v>912.5</v>
      </c>
      <c r="L39" t="n">
        <v>806</v>
      </c>
      <c r="M39" t="n">
        <v>998.6</v>
      </c>
      <c r="N39" t="n">
        <v>1059.6</v>
      </c>
      <c r="O39" t="n">
        <v>1046.1</v>
      </c>
      <c r="P39" t="n">
        <v>1051.4</v>
      </c>
      <c r="Q39" t="n">
        <v>1186.8</v>
      </c>
      <c r="R39" t="n">
        <v>1210.8</v>
      </c>
      <c r="S39" t="n">
        <v>1386.1</v>
      </c>
      <c r="T39" t="n">
        <v>1708.2</v>
      </c>
      <c r="U39" t="n">
        <v>1809.9</v>
      </c>
      <c r="V39" t="n">
        <v>1865.3</v>
      </c>
      <c r="W39" t="n">
        <v>2063.7</v>
      </c>
      <c r="X39" t="n">
        <v>2201.4</v>
      </c>
      <c r="Y39" t="n">
        <v>2224.2</v>
      </c>
      <c r="Z39" t="n">
        <v>2086.1</v>
      </c>
      <c r="AA39" t="n">
        <v>2196.6</v>
      </c>
      <c r="AB39" t="n">
        <v>2166.6</v>
      </c>
      <c r="AC39" t="n">
        <v>2544.3</v>
      </c>
      <c r="AD39" t="n">
        <v>2664</v>
      </c>
      <c r="AE39" t="n">
        <v>2727.2</v>
      </c>
      <c r="AF39" t="n">
        <v>2661.6</v>
      </c>
    </row>
    <row r="40">
      <c r="A40" t="s">
        <v>128</v>
      </c>
      <c r="B40" t="s">
        <v>350</v>
      </c>
      <c r="C40" t="s">
        <v>203</v>
      </c>
      <c r="D40" t="s">
        <v>351</v>
      </c>
      <c r="E40" t="s">
        <v>204</v>
      </c>
      <c r="F40"/>
      <c r="G40"/>
      <c r="H40"/>
      <c r="I40"/>
      <c r="J40"/>
      <c r="K40" t="n">
        <v>160.7</v>
      </c>
      <c r="L40" t="n">
        <v>148.5</v>
      </c>
      <c r="M40" t="n">
        <v>249.4</v>
      </c>
      <c r="N40" t="n">
        <v>270.9</v>
      </c>
      <c r="O40" t="n">
        <v>359.3</v>
      </c>
      <c r="P40" t="n">
        <v>522.7</v>
      </c>
      <c r="Q40" t="n">
        <v>824.9</v>
      </c>
      <c r="R40" t="n">
        <v>943</v>
      </c>
      <c r="S40" t="n">
        <v>2424.7</v>
      </c>
      <c r="T40" t="n">
        <v>4531.9</v>
      </c>
      <c r="U40" t="n">
        <v>5411.2</v>
      </c>
      <c r="V40" t="n">
        <v>6154.2</v>
      </c>
      <c r="W40" t="n">
        <v>7392</v>
      </c>
      <c r="X40" t="n">
        <v>8413.4</v>
      </c>
      <c r="Y40" t="n">
        <v>8484.8</v>
      </c>
      <c r="Z40" t="n">
        <v>8161</v>
      </c>
      <c r="AA40" t="n">
        <v>8766.4</v>
      </c>
      <c r="AB40" t="n">
        <v>9251</v>
      </c>
      <c r="AC40" t="n">
        <v>11912.2</v>
      </c>
      <c r="AD40" t="n">
        <v>12472.7</v>
      </c>
      <c r="AE40" t="n">
        <v>12768.5</v>
      </c>
      <c r="AF40" t="n">
        <v>12461.3</v>
      </c>
    </row>
    <row r="41">
      <c r="A41" t="s">
        <v>128</v>
      </c>
      <c r="B41" t="s">
        <v>352</v>
      </c>
      <c r="C41" t="s">
        <v>203</v>
      </c>
      <c r="D41" t="s">
        <v>353</v>
      </c>
      <c r="E41" t="s">
        <v>204</v>
      </c>
      <c r="F41"/>
      <c r="G41"/>
      <c r="H41"/>
      <c r="I41"/>
      <c r="J41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128</v>
      </c>
      <c r="B42" t="s">
        <v>354</v>
      </c>
      <c r="C42" t="s">
        <v>203</v>
      </c>
      <c r="D42" t="s">
        <v>355</v>
      </c>
      <c r="E42" t="s">
        <v>204</v>
      </c>
      <c r="F42"/>
      <c r="G42"/>
      <c r="H42"/>
      <c r="I42"/>
      <c r="J42"/>
      <c r="K42" t="n">
        <v>1091</v>
      </c>
      <c r="L42" t="n">
        <v>1003</v>
      </c>
      <c r="M42" t="n">
        <v>1291</v>
      </c>
      <c r="N42" t="n">
        <v>1347.7</v>
      </c>
      <c r="O42" t="n">
        <v>1341.2</v>
      </c>
      <c r="P42" t="n">
        <v>1362.9</v>
      </c>
      <c r="Q42" t="n">
        <v>1530</v>
      </c>
      <c r="R42" t="n">
        <v>1591.7</v>
      </c>
      <c r="S42" t="n">
        <v>2019.1</v>
      </c>
      <c r="T42" t="n">
        <v>2424.9</v>
      </c>
      <c r="U42" t="n">
        <v>2589.2</v>
      </c>
      <c r="V42" t="n">
        <v>2643.1</v>
      </c>
      <c r="W42" t="n">
        <v>2832</v>
      </c>
      <c r="X42" t="n">
        <v>2937.3</v>
      </c>
      <c r="Y42" t="n">
        <v>2871.5</v>
      </c>
      <c r="Z42" t="n">
        <v>2830.7</v>
      </c>
      <c r="AA42" t="n">
        <v>2977</v>
      </c>
      <c r="AB42" t="n">
        <v>2919.8</v>
      </c>
      <c r="AC42" t="n">
        <v>3500.2</v>
      </c>
      <c r="AD42" t="n">
        <v>3664.9</v>
      </c>
      <c r="AE42" t="n">
        <v>3751.8</v>
      </c>
      <c r="AF42" t="n">
        <v>3661.6</v>
      </c>
    </row>
    <row r="43">
      <c r="A43" t="s">
        <v>128</v>
      </c>
      <c r="B43" t="s">
        <v>356</v>
      </c>
      <c r="C43" t="s">
        <v>203</v>
      </c>
      <c r="D43" t="s">
        <v>357</v>
      </c>
      <c r="E43" t="s">
        <v>204</v>
      </c>
      <c r="F43"/>
      <c r="G43"/>
      <c r="H43"/>
      <c r="I43"/>
      <c r="J43"/>
      <c r="K43" t="n">
        <v>1885.5</v>
      </c>
      <c r="L43" t="n">
        <v>1701</v>
      </c>
      <c r="M43" t="n">
        <v>2158.4</v>
      </c>
      <c r="N43" t="n">
        <v>2292.6</v>
      </c>
      <c r="O43" t="n">
        <v>2508.1</v>
      </c>
      <c r="P43" t="n">
        <v>2530.9</v>
      </c>
      <c r="Q43" t="n">
        <v>3077.4</v>
      </c>
      <c r="R43" t="n">
        <v>3347.8</v>
      </c>
      <c r="S43" t="n">
        <v>4119.4</v>
      </c>
      <c r="T43" t="n">
        <v>4865.8</v>
      </c>
      <c r="U43" t="n">
        <v>5115.9</v>
      </c>
      <c r="V43" t="n">
        <v>5352.8</v>
      </c>
      <c r="W43" t="n">
        <v>5691.3</v>
      </c>
      <c r="X43" t="n">
        <v>5861.9</v>
      </c>
      <c r="Y43" t="n">
        <v>5786.2</v>
      </c>
      <c r="Z43" t="n">
        <v>5905.8</v>
      </c>
      <c r="AA43" t="n">
        <v>6170</v>
      </c>
      <c r="AB43" t="n">
        <v>6081.3</v>
      </c>
      <c r="AC43" t="n">
        <v>7241.1</v>
      </c>
      <c r="AD43" t="n">
        <v>7581.8</v>
      </c>
      <c r="AE43" t="n">
        <v>7761.6</v>
      </c>
      <c r="AF43" t="n">
        <v>7574.9</v>
      </c>
    </row>
    <row r="44">
      <c r="A44" t="s">
        <v>128</v>
      </c>
      <c r="B44" t="s">
        <v>358</v>
      </c>
      <c r="C44" t="s">
        <v>203</v>
      </c>
      <c r="D44" t="s">
        <v>359</v>
      </c>
      <c r="E44" t="s">
        <v>204</v>
      </c>
      <c r="F44"/>
      <c r="G44"/>
      <c r="H44"/>
      <c r="I44"/>
      <c r="J44"/>
      <c r="K44" t="n">
        <v>10128.3</v>
      </c>
      <c r="L44" t="n">
        <v>9772.2</v>
      </c>
      <c r="M44" t="n">
        <v>13531.9</v>
      </c>
      <c r="N44" t="n">
        <v>15174.6</v>
      </c>
      <c r="O44" t="n">
        <v>16728.5</v>
      </c>
      <c r="P44" t="n">
        <v>18743.7</v>
      </c>
      <c r="Q44" t="n">
        <v>23391.4</v>
      </c>
      <c r="R44" t="n">
        <v>25801.6</v>
      </c>
      <c r="S44" t="n">
        <v>34543.8</v>
      </c>
      <c r="T44" t="n">
        <v>45341.2</v>
      </c>
      <c r="U44" t="n">
        <v>50697.8</v>
      </c>
      <c r="V44" t="n">
        <v>52500.1</v>
      </c>
      <c r="W44" t="n">
        <v>58108.4</v>
      </c>
      <c r="X44" t="n">
        <v>62007</v>
      </c>
      <c r="Y44" t="n">
        <v>63537.1</v>
      </c>
      <c r="Z44" t="n">
        <v>66530.6</v>
      </c>
      <c r="AA44" t="n">
        <v>73021.7</v>
      </c>
      <c r="AB44" t="n">
        <v>74652.4</v>
      </c>
      <c r="AC44" t="n">
        <v>90775.9</v>
      </c>
      <c r="AD44" t="n">
        <v>95048</v>
      </c>
      <c r="AE44" t="n">
        <v>97301.5</v>
      </c>
      <c r="AF44" t="n">
        <v>94961.1</v>
      </c>
    </row>
    <row r="45">
      <c r="A45" t="s">
        <v>128</v>
      </c>
      <c r="B45" t="s">
        <v>360</v>
      </c>
      <c r="C45" t="s">
        <v>203</v>
      </c>
      <c r="D45" t="s">
        <v>361</v>
      </c>
      <c r="E45" t="s">
        <v>204</v>
      </c>
      <c r="F45"/>
      <c r="G45"/>
      <c r="H45"/>
      <c r="I45"/>
      <c r="J45"/>
      <c r="K45" t="n">
        <v>9811.6</v>
      </c>
      <c r="L45" t="n">
        <v>9451.9</v>
      </c>
      <c r="M45" t="n">
        <v>13088.1</v>
      </c>
      <c r="N45" t="n">
        <v>14684</v>
      </c>
      <c r="O45" t="n">
        <v>16194.8</v>
      </c>
      <c r="P45" t="n">
        <v>18154.1</v>
      </c>
      <c r="Q45" t="n">
        <v>22682.3</v>
      </c>
      <c r="R45" t="n">
        <v>25044.4</v>
      </c>
      <c r="S45" t="n">
        <v>33479</v>
      </c>
      <c r="T45" t="n">
        <v>43979.1</v>
      </c>
      <c r="U45" t="n">
        <v>49190.4</v>
      </c>
      <c r="V45" t="n">
        <v>50918.6</v>
      </c>
      <c r="W45" t="n">
        <v>56218.1</v>
      </c>
      <c r="X45" t="n">
        <v>59863.2</v>
      </c>
      <c r="Y45" t="n">
        <v>61083.4</v>
      </c>
      <c r="Z45" t="n">
        <v>63949.1</v>
      </c>
      <c r="AA45" t="n">
        <v>70190</v>
      </c>
      <c r="AB45" t="n">
        <v>71589</v>
      </c>
      <c r="AC45" t="n">
        <v>86836.2</v>
      </c>
      <c r="AD45" t="n">
        <v>90922.9</v>
      </c>
      <c r="AE45" t="n">
        <v>93078.5</v>
      </c>
      <c r="AF45" t="n">
        <v>90839.7</v>
      </c>
    </row>
    <row r="46">
      <c r="A46" t="s">
        <v>128</v>
      </c>
      <c r="B46" t="s">
        <v>362</v>
      </c>
      <c r="C46" t="s">
        <v>203</v>
      </c>
      <c r="D46" t="s">
        <v>363</v>
      </c>
      <c r="E46" t="s">
        <v>204</v>
      </c>
      <c r="F46"/>
      <c r="G46"/>
      <c r="H46"/>
      <c r="I46"/>
      <c r="J46"/>
      <c r="K46" t="n">
        <v>794.5</v>
      </c>
      <c r="L46" t="n">
        <v>698</v>
      </c>
      <c r="M46" t="n">
        <v>867.4</v>
      </c>
      <c r="N46" t="n">
        <v>944.9</v>
      </c>
      <c r="O46" t="n">
        <v>1166.9</v>
      </c>
      <c r="P46" t="n">
        <v>1168</v>
      </c>
      <c r="Q46" t="n">
        <v>1547.4</v>
      </c>
      <c r="R46" t="n">
        <v>1756.1</v>
      </c>
      <c r="S46" t="n">
        <v>2100.3</v>
      </c>
      <c r="T46" t="n">
        <v>2440.9</v>
      </c>
      <c r="U46" t="n">
        <v>2526.7</v>
      </c>
      <c r="V46" t="n">
        <v>2709.7</v>
      </c>
      <c r="W46" t="n">
        <v>2859.3</v>
      </c>
      <c r="X46" t="n">
        <v>2924.6</v>
      </c>
      <c r="Y46" t="n">
        <v>2914.7</v>
      </c>
      <c r="Z46" t="n">
        <v>3075.1</v>
      </c>
      <c r="AA46" t="n">
        <v>3193</v>
      </c>
      <c r="AB46" t="n">
        <v>3161.5</v>
      </c>
      <c r="AC46" t="n">
        <v>3740.9</v>
      </c>
      <c r="AD46" t="n">
        <v>3916.9</v>
      </c>
      <c r="AE46" t="n">
        <v>4009.8</v>
      </c>
      <c r="AF46" t="n">
        <v>3913.3</v>
      </c>
    </row>
    <row r="47">
      <c r="A47" t="s">
        <v>128</v>
      </c>
      <c r="B47" t="s">
        <v>364</v>
      </c>
      <c r="C47" t="s">
        <v>203</v>
      </c>
      <c r="D47" t="s">
        <v>365</v>
      </c>
      <c r="E47" t="s">
        <v>204</v>
      </c>
      <c r="F47"/>
      <c r="G47"/>
      <c r="H47"/>
      <c r="I47"/>
      <c r="J47"/>
      <c r="K47" t="n">
        <v>6258</v>
      </c>
      <c r="L47" t="n">
        <v>5780</v>
      </c>
      <c r="M47" t="n">
        <v>7240.8</v>
      </c>
      <c r="N47" t="n">
        <v>7949.7</v>
      </c>
      <c r="O47" t="n">
        <v>8315</v>
      </c>
      <c r="P47" t="n">
        <v>8675.6</v>
      </c>
      <c r="Q47" t="n">
        <v>10251.9</v>
      </c>
      <c r="R47" t="n">
        <v>11091</v>
      </c>
      <c r="S47" t="n">
        <v>14610.8</v>
      </c>
      <c r="T47" t="n">
        <v>19341.3</v>
      </c>
      <c r="U47" t="n">
        <v>21184.9</v>
      </c>
      <c r="V47" t="n">
        <v>22133.4</v>
      </c>
      <c r="W47" t="n">
        <v>24572.9</v>
      </c>
      <c r="X47" t="n">
        <v>26289.8</v>
      </c>
      <c r="Y47" t="n">
        <v>27458.3</v>
      </c>
      <c r="Z47" t="n">
        <v>27159.3</v>
      </c>
      <c r="AA47" t="n">
        <v>27928.5</v>
      </c>
      <c r="AB47" t="n">
        <v>28206</v>
      </c>
      <c r="AC47" t="n">
        <v>34354.6</v>
      </c>
      <c r="AD47" t="n">
        <v>35971.4</v>
      </c>
      <c r="AE47" t="n">
        <v>36824.2</v>
      </c>
      <c r="AF47" t="n">
        <v>35938.4</v>
      </c>
    </row>
    <row r="48">
      <c r="A48" t="s">
        <v>128</v>
      </c>
      <c r="B48" t="s">
        <v>366</v>
      </c>
      <c r="C48" t="s">
        <v>203</v>
      </c>
      <c r="D48" t="s">
        <v>367</v>
      </c>
      <c r="E48" t="s">
        <v>204</v>
      </c>
      <c r="F48"/>
      <c r="G48"/>
      <c r="H48"/>
      <c r="I48"/>
      <c r="J48"/>
      <c r="K48" t="n">
        <v>6602.3</v>
      </c>
      <c r="L48" t="n">
        <v>6122.1</v>
      </c>
      <c r="M48" t="n">
        <v>7750.9</v>
      </c>
      <c r="N48" t="n">
        <v>8635.9</v>
      </c>
      <c r="O48" t="n">
        <v>9157.4</v>
      </c>
      <c r="P48" t="n">
        <v>9826.7</v>
      </c>
      <c r="Q48" t="n">
        <v>11801.5</v>
      </c>
      <c r="R48" t="n">
        <v>13068.9</v>
      </c>
      <c r="S48" t="n">
        <v>17411.7</v>
      </c>
      <c r="T48" t="n">
        <v>22882</v>
      </c>
      <c r="U48" t="n">
        <v>24838.7</v>
      </c>
      <c r="V48" t="n">
        <v>25818.9</v>
      </c>
      <c r="W48" t="n">
        <v>28558.7</v>
      </c>
      <c r="X48" t="n">
        <v>30458.4</v>
      </c>
      <c r="Y48" t="n">
        <v>31527.7</v>
      </c>
      <c r="Z48" t="n">
        <v>31257.9</v>
      </c>
      <c r="AA48" t="n">
        <v>32407.8</v>
      </c>
      <c r="AB48" t="n">
        <v>32649.9</v>
      </c>
      <c r="AC48" t="n">
        <v>39600.4</v>
      </c>
      <c r="AD48" t="n">
        <v>41464</v>
      </c>
      <c r="AE48" t="n">
        <v>42447.1</v>
      </c>
      <c r="AF48" t="n">
        <v>41426</v>
      </c>
    </row>
    <row r="49">
      <c r="A49" t="s">
        <v>128</v>
      </c>
      <c r="B49" t="s">
        <v>368</v>
      </c>
      <c r="C49" t="s">
        <v>203</v>
      </c>
      <c r="D49" t="s">
        <v>369</v>
      </c>
      <c r="E49" t="s">
        <v>204</v>
      </c>
      <c r="F49"/>
      <c r="G49"/>
      <c r="H49"/>
      <c r="I49"/>
      <c r="J49"/>
      <c r="K49" t="n">
        <v>235.9</v>
      </c>
      <c r="L49" t="n">
        <v>219.9</v>
      </c>
      <c r="M49" t="n">
        <v>281</v>
      </c>
      <c r="N49" t="n">
        <v>378.9</v>
      </c>
      <c r="O49" t="n">
        <v>475.8</v>
      </c>
      <c r="P49" t="n">
        <v>671.5</v>
      </c>
      <c r="Q49" t="n">
        <v>906.1</v>
      </c>
      <c r="R49" t="n">
        <v>1232.4</v>
      </c>
      <c r="S49" t="n">
        <v>1872</v>
      </c>
      <c r="T49" t="n">
        <v>2417.4</v>
      </c>
      <c r="U49" t="n">
        <v>2448.8</v>
      </c>
      <c r="V49" t="n">
        <v>2473.4</v>
      </c>
      <c r="W49" t="n">
        <v>2590.9</v>
      </c>
      <c r="X49" t="n">
        <v>2631.9</v>
      </c>
      <c r="Y49" t="n">
        <v>2528.4</v>
      </c>
      <c r="Z49" t="n">
        <v>2536.1</v>
      </c>
      <c r="AA49" t="n">
        <v>2659.7</v>
      </c>
      <c r="AB49" t="n">
        <v>2610.3</v>
      </c>
      <c r="AC49" t="n">
        <v>3074.6</v>
      </c>
      <c r="AD49" t="n">
        <v>3219.3</v>
      </c>
      <c r="AE49" t="n">
        <v>3295.6</v>
      </c>
      <c r="AF49" t="n">
        <v>3216.3</v>
      </c>
    </row>
    <row r="50">
      <c r="A50" t="s">
        <v>128</v>
      </c>
      <c r="B50" t="s">
        <v>370</v>
      </c>
      <c r="C50" t="s">
        <v>203</v>
      </c>
      <c r="D50" t="s">
        <v>371</v>
      </c>
      <c r="E50" t="s">
        <v>204</v>
      </c>
      <c r="F50"/>
      <c r="G50"/>
      <c r="H50"/>
      <c r="I50"/>
      <c r="J50"/>
      <c r="K50" t="n">
        <v>108.5</v>
      </c>
      <c r="L50" t="n">
        <v>122.4</v>
      </c>
      <c r="M50" t="n">
        <v>229.1</v>
      </c>
      <c r="N50" t="n">
        <v>307.4</v>
      </c>
      <c r="O50" t="n">
        <v>366.6</v>
      </c>
      <c r="P50" t="n">
        <v>479.7</v>
      </c>
      <c r="Q50" t="n">
        <v>643.5</v>
      </c>
      <c r="R50" t="n">
        <v>745.5</v>
      </c>
      <c r="S50" t="n">
        <v>928.9</v>
      </c>
      <c r="T50" t="n">
        <v>1123.4</v>
      </c>
      <c r="U50" t="n">
        <v>1205</v>
      </c>
      <c r="V50" t="n">
        <v>1212.1</v>
      </c>
      <c r="W50" t="n">
        <v>1394.9</v>
      </c>
      <c r="X50" t="n">
        <v>1536.7</v>
      </c>
      <c r="Y50" t="n">
        <v>1541</v>
      </c>
      <c r="Z50" t="n">
        <v>1562.5</v>
      </c>
      <c r="AA50" t="n">
        <v>1819.6</v>
      </c>
      <c r="AB50" t="n">
        <v>1833.6</v>
      </c>
      <c r="AC50" t="n">
        <v>2171.2</v>
      </c>
      <c r="AD50" t="n">
        <v>2273.4</v>
      </c>
      <c r="AE50" t="n">
        <v>2327.3</v>
      </c>
      <c r="AF50" t="n">
        <v>2271.4</v>
      </c>
    </row>
    <row r="51">
      <c r="A51" t="s">
        <v>128</v>
      </c>
      <c r="B51" t="s">
        <v>372</v>
      </c>
      <c r="C51" t="s">
        <v>203</v>
      </c>
      <c r="D51" t="s">
        <v>373</v>
      </c>
      <c r="E51" t="s">
        <v>204</v>
      </c>
      <c r="F51"/>
      <c r="G51"/>
      <c r="H51"/>
      <c r="I51"/>
      <c r="J51"/>
      <c r="K51" t="n">
        <v>88.8</v>
      </c>
      <c r="L51" t="n">
        <v>104.9</v>
      </c>
      <c r="M51" t="n">
        <v>203.3</v>
      </c>
      <c r="N51" t="n">
        <v>279.2</v>
      </c>
      <c r="O51" t="n">
        <v>338.9</v>
      </c>
      <c r="P51" t="n">
        <v>451.6</v>
      </c>
      <c r="Q51" t="n">
        <v>612.2</v>
      </c>
      <c r="R51" t="n">
        <v>712.8</v>
      </c>
      <c r="S51" t="n">
        <v>890</v>
      </c>
      <c r="T51" t="n">
        <v>1077.1</v>
      </c>
      <c r="U51" t="n">
        <v>1128.6</v>
      </c>
      <c r="V51" t="n">
        <v>1136.7</v>
      </c>
      <c r="W51" t="n">
        <v>1315.5</v>
      </c>
      <c r="X51" t="n">
        <v>1455.6</v>
      </c>
      <c r="Y51" t="n">
        <v>1461.1</v>
      </c>
      <c r="Z51" t="n">
        <v>1466.6</v>
      </c>
      <c r="AA51" t="n">
        <v>1717</v>
      </c>
      <c r="AB51" t="n">
        <v>1732.6</v>
      </c>
      <c r="AC51" t="n">
        <v>2053.2</v>
      </c>
      <c r="AD51" t="n">
        <v>2149.8</v>
      </c>
      <c r="AE51" t="n">
        <v>2200.8</v>
      </c>
      <c r="AF51" t="n">
        <v>2147.9</v>
      </c>
    </row>
    <row r="52">
      <c r="A52" t="s">
        <v>128</v>
      </c>
      <c r="B52" t="s">
        <v>374</v>
      </c>
      <c r="C52" t="s">
        <v>203</v>
      </c>
      <c r="D52" t="s">
        <v>375</v>
      </c>
      <c r="E52" t="s">
        <v>204</v>
      </c>
      <c r="F52"/>
      <c r="G52"/>
      <c r="H52"/>
      <c r="I52"/>
      <c r="J52"/>
      <c r="K52" t="n">
        <v>19.7</v>
      </c>
      <c r="L52" t="n">
        <v>17.5</v>
      </c>
      <c r="M52" t="n">
        <v>25.8</v>
      </c>
      <c r="N52" t="n">
        <v>28.2</v>
      </c>
      <c r="O52" t="n">
        <v>27.7</v>
      </c>
      <c r="P52" t="n">
        <v>28.1</v>
      </c>
      <c r="Q52" t="n">
        <v>31.3</v>
      </c>
      <c r="R52" t="n">
        <v>32.7</v>
      </c>
      <c r="S52" t="n">
        <v>38.9</v>
      </c>
      <c r="T52" t="n">
        <v>46.3</v>
      </c>
      <c r="U52" t="n">
        <v>76.4</v>
      </c>
      <c r="V52" t="n">
        <v>75.4</v>
      </c>
      <c r="W52" t="n">
        <v>79.4</v>
      </c>
      <c r="X52" t="n">
        <v>81.1</v>
      </c>
      <c r="Y52" t="n">
        <v>79.9</v>
      </c>
      <c r="Z52" t="n">
        <v>95.9</v>
      </c>
      <c r="AA52" t="n">
        <v>102.6</v>
      </c>
      <c r="AB52" t="n">
        <v>101</v>
      </c>
      <c r="AC52" t="n">
        <v>118</v>
      </c>
      <c r="AD52" t="n">
        <v>123.6</v>
      </c>
      <c r="AE52" t="n">
        <v>126.5</v>
      </c>
      <c r="AF52" t="n">
        <v>123.5</v>
      </c>
    </row>
    <row r="53">
      <c r="A53" t="s">
        <v>128</v>
      </c>
      <c r="B53" t="s">
        <v>376</v>
      </c>
      <c r="C53" t="s">
        <v>203</v>
      </c>
      <c r="D53" t="s">
        <v>377</v>
      </c>
      <c r="E53" t="s">
        <v>204</v>
      </c>
      <c r="F53"/>
      <c r="G53"/>
      <c r="H53"/>
      <c r="I53"/>
      <c r="J53"/>
      <c r="K53" t="n">
        <v>55.2</v>
      </c>
      <c r="L53" t="n">
        <v>55.3</v>
      </c>
      <c r="M53" t="n">
        <v>79.7</v>
      </c>
      <c r="N53" t="n">
        <v>91.5</v>
      </c>
      <c r="O53" t="n">
        <v>130.8</v>
      </c>
      <c r="P53" t="n">
        <v>151.2</v>
      </c>
      <c r="Q53" t="n">
        <v>196.2</v>
      </c>
      <c r="R53" t="n">
        <v>247.7</v>
      </c>
      <c r="S53" t="n">
        <v>354.7</v>
      </c>
      <c r="T53" t="n">
        <v>480.3</v>
      </c>
      <c r="U53" t="n">
        <v>580.4</v>
      </c>
      <c r="V53" t="n">
        <v>574.4</v>
      </c>
      <c r="W53" t="n">
        <v>725.4</v>
      </c>
      <c r="X53" t="n">
        <v>855.3</v>
      </c>
      <c r="Y53" t="n">
        <v>863.2</v>
      </c>
      <c r="Z53" t="n">
        <v>1105.4</v>
      </c>
      <c r="AA53" t="n">
        <v>1226</v>
      </c>
      <c r="AB53" t="n">
        <v>1225.2</v>
      </c>
      <c r="AC53" t="n">
        <v>1459.8</v>
      </c>
      <c r="AD53" t="n">
        <v>1528.5</v>
      </c>
      <c r="AE53" t="n">
        <v>1564.8</v>
      </c>
      <c r="AF53" t="n">
        <v>1527.1</v>
      </c>
    </row>
    <row r="54">
      <c r="A54" t="s">
        <v>128</v>
      </c>
      <c r="B54" t="s">
        <v>378</v>
      </c>
      <c r="C54" t="s">
        <v>203</v>
      </c>
      <c r="D54" t="s">
        <v>379</v>
      </c>
      <c r="E54" t="s">
        <v>204</v>
      </c>
      <c r="F54"/>
      <c r="G54"/>
      <c r="H54"/>
      <c r="I54"/>
      <c r="J54"/>
      <c r="K54" t="n">
        <v>69</v>
      </c>
      <c r="L54" t="n">
        <v>67.8</v>
      </c>
      <c r="M54" t="n">
        <v>101.9</v>
      </c>
      <c r="N54" t="n">
        <v>114.3</v>
      </c>
      <c r="O54" t="n">
        <v>153.7</v>
      </c>
      <c r="P54" t="n">
        <v>175.6</v>
      </c>
      <c r="Q54" t="n">
        <v>226.5</v>
      </c>
      <c r="R54" t="n">
        <v>281.8</v>
      </c>
      <c r="S54" t="n">
        <v>393.4</v>
      </c>
      <c r="T54" t="n">
        <v>524.1</v>
      </c>
      <c r="U54" t="n">
        <v>677.8</v>
      </c>
      <c r="V54" t="n">
        <v>677.8</v>
      </c>
      <c r="W54" t="n">
        <v>865.3</v>
      </c>
      <c r="X54" t="n">
        <v>1027.7</v>
      </c>
      <c r="Y54" t="n">
        <v>1062.8</v>
      </c>
      <c r="Z54" t="n">
        <v>1328.3</v>
      </c>
      <c r="AA54" t="n">
        <v>1476.6</v>
      </c>
      <c r="AB54" t="n">
        <v>1488.3</v>
      </c>
      <c r="AC54" t="n">
        <v>1800.9</v>
      </c>
      <c r="AD54" t="n">
        <v>1885.7</v>
      </c>
      <c r="AE54" t="n">
        <v>1930.4</v>
      </c>
      <c r="AF54" t="n">
        <v>1883.9</v>
      </c>
    </row>
    <row r="55">
      <c r="A55" t="s">
        <v>128</v>
      </c>
      <c r="B55" t="s">
        <v>380</v>
      </c>
      <c r="C55" t="s">
        <v>203</v>
      </c>
      <c r="D55" t="s">
        <v>381</v>
      </c>
      <c r="E55" t="s">
        <v>204</v>
      </c>
      <c r="F55"/>
      <c r="G55"/>
      <c r="H55"/>
      <c r="I55"/>
      <c r="J55"/>
      <c r="K55" t="n">
        <v>13.8</v>
      </c>
      <c r="L55" t="n">
        <v>12.5</v>
      </c>
      <c r="M55" t="n">
        <v>22.2</v>
      </c>
      <c r="N55" t="n">
        <v>22.8</v>
      </c>
      <c r="O55" t="n">
        <v>22.9</v>
      </c>
      <c r="P55" t="n">
        <v>24.4</v>
      </c>
      <c r="Q55" t="n">
        <v>30.3</v>
      </c>
      <c r="R55" t="n">
        <v>34.1</v>
      </c>
      <c r="S55" t="n">
        <v>38.7</v>
      </c>
      <c r="T55" t="n">
        <v>43.8</v>
      </c>
      <c r="U55" t="n">
        <v>97.4</v>
      </c>
      <c r="V55" t="n">
        <v>103.4</v>
      </c>
      <c r="W55" t="n">
        <v>139.9</v>
      </c>
      <c r="X55" t="n">
        <v>172.4</v>
      </c>
      <c r="Y55" t="n">
        <v>199.6</v>
      </c>
      <c r="Z55" t="n">
        <v>222.9</v>
      </c>
      <c r="AA55" t="n">
        <v>250.6</v>
      </c>
      <c r="AB55" t="n">
        <v>263.1</v>
      </c>
      <c r="AC55" t="n">
        <v>341.1</v>
      </c>
      <c r="AD55" t="n">
        <v>357.2</v>
      </c>
      <c r="AE55" t="n">
        <v>365.6</v>
      </c>
      <c r="AF55" t="n">
        <v>356.8</v>
      </c>
    </row>
    <row r="56">
      <c r="A56" t="s">
        <v>128</v>
      </c>
      <c r="B56" t="s">
        <v>382</v>
      </c>
      <c r="C56" t="s">
        <v>203</v>
      </c>
      <c r="D56" t="s">
        <v>383</v>
      </c>
      <c r="E56" t="s">
        <v>204</v>
      </c>
      <c r="F56"/>
      <c r="G56"/>
      <c r="H56"/>
      <c r="I56"/>
      <c r="J56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128</v>
      </c>
      <c r="B57" t="s">
        <v>384</v>
      </c>
      <c r="C57" t="s">
        <v>203</v>
      </c>
      <c r="D57" t="s">
        <v>385</v>
      </c>
      <c r="E57" t="s">
        <v>204</v>
      </c>
      <c r="F57"/>
      <c r="G57"/>
      <c r="H57"/>
      <c r="I57"/>
      <c r="J57"/>
      <c r="K57" t="n">
        <v>16891.4</v>
      </c>
      <c r="L57" t="n">
        <v>16043</v>
      </c>
      <c r="M57" t="n">
        <v>21532.2</v>
      </c>
      <c r="N57" t="n">
        <v>24081.5</v>
      </c>
      <c r="O57" t="n">
        <v>26245.2</v>
      </c>
      <c r="P57" t="n">
        <v>29093.2</v>
      </c>
      <c r="Q57" t="n">
        <v>36017.8</v>
      </c>
      <c r="R57" t="n">
        <v>39813.5</v>
      </c>
      <c r="S57" t="n">
        <v>54380.2</v>
      </c>
      <c r="T57" t="n">
        <v>72755.2</v>
      </c>
      <c r="U57" t="n">
        <v>80947.7</v>
      </c>
      <c r="V57" t="n">
        <v>84473.2</v>
      </c>
      <c r="W57" t="n">
        <v>94059.1</v>
      </c>
      <c r="X57" t="n">
        <v>100878.8</v>
      </c>
      <c r="Y57" t="n">
        <v>103549.6</v>
      </c>
      <c r="Z57" t="n">
        <v>105949.5</v>
      </c>
      <c r="AA57" t="n">
        <v>114195.9</v>
      </c>
      <c r="AB57" t="n">
        <v>116553.3</v>
      </c>
      <c r="AC57" t="n">
        <v>142288.5</v>
      </c>
      <c r="AD57" t="n">
        <v>148984.8</v>
      </c>
      <c r="AE57" t="n">
        <v>152517.1</v>
      </c>
      <c r="AF57" t="n">
        <v>148848.5</v>
      </c>
    </row>
    <row r="58">
      <c r="A58" t="s">
        <v>128</v>
      </c>
      <c r="B58" t="s">
        <v>386</v>
      </c>
      <c r="C58" t="s">
        <v>203</v>
      </c>
      <c r="D58" t="s">
        <v>387</v>
      </c>
      <c r="E58" t="s">
        <v>204</v>
      </c>
      <c r="F58"/>
      <c r="G58"/>
      <c r="H58"/>
      <c r="I58"/>
      <c r="J58"/>
      <c r="K58" t="n">
        <v>16891.4</v>
      </c>
      <c r="L58" t="n">
        <v>16043</v>
      </c>
      <c r="M58" t="n">
        <v>21532.2</v>
      </c>
      <c r="N58" t="n">
        <v>24081.5</v>
      </c>
      <c r="O58" t="n">
        <v>26245.2</v>
      </c>
      <c r="P58" t="n">
        <v>29093.2</v>
      </c>
      <c r="Q58" t="n">
        <v>36017.8</v>
      </c>
      <c r="R58" t="n">
        <v>39813.5</v>
      </c>
      <c r="S58" t="n">
        <v>54380.2</v>
      </c>
      <c r="T58" t="n">
        <v>72755.2</v>
      </c>
      <c r="U58" t="n">
        <v>80947.7</v>
      </c>
      <c r="V58" t="n">
        <v>84473.2</v>
      </c>
      <c r="W58" t="n">
        <v>94059.1</v>
      </c>
      <c r="X58" t="n">
        <v>100878.8</v>
      </c>
      <c r="Y58" t="n">
        <v>103549.6</v>
      </c>
      <c r="Z58" t="n">
        <v>105949.5</v>
      </c>
      <c r="AA58" t="n">
        <v>114195.9</v>
      </c>
      <c r="AB58" t="n">
        <v>116553.3</v>
      </c>
      <c r="AC58" t="n">
        <v>142288.5</v>
      </c>
      <c r="AD58" t="n">
        <v>148984.8</v>
      </c>
      <c r="AE58" t="n">
        <v>152517.1</v>
      </c>
      <c r="AF58" t="n">
        <v>148848.5</v>
      </c>
    </row>
    <row r="59">
      <c r="A59" t="s">
        <v>128</v>
      </c>
      <c r="B59" t="s">
        <v>388</v>
      </c>
      <c r="C59" t="s">
        <v>203</v>
      </c>
      <c r="D59" t="s">
        <v>389</v>
      </c>
      <c r="E59" t="s">
        <v>204</v>
      </c>
      <c r="F59"/>
      <c r="G59"/>
      <c r="H59"/>
      <c r="I59"/>
      <c r="J59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130</v>
      </c>
      <c r="B2" t="s">
        <v>197</v>
      </c>
      <c r="C2" t="s">
        <v>203</v>
      </c>
      <c r="D2" t="s">
        <v>199</v>
      </c>
      <c r="E2" t="s">
        <v>204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1335</v>
      </c>
      <c r="L2" t="n">
        <v>1162.9</v>
      </c>
      <c r="M2" t="n">
        <v>1447.2</v>
      </c>
      <c r="N2" t="n">
        <v>1497</v>
      </c>
      <c r="O2" t="n">
        <v>1463.5</v>
      </c>
      <c r="P2" t="n">
        <v>1449.4</v>
      </c>
      <c r="Q2" t="n">
        <v>1567.4</v>
      </c>
      <c r="R2" t="n">
        <v>1553.2</v>
      </c>
      <c r="S2" t="n">
        <v>1815.8</v>
      </c>
      <c r="T2" t="n">
        <v>2114.5</v>
      </c>
      <c r="U2" t="n">
        <v>2095.7</v>
      </c>
      <c r="V2" t="n">
        <v>2025.6</v>
      </c>
      <c r="W2" t="n">
        <v>2066.7</v>
      </c>
      <c r="X2" t="n">
        <v>2127.8</v>
      </c>
      <c r="Y2" t="n">
        <v>2163.4</v>
      </c>
      <c r="Z2" t="n">
        <v>2066.7</v>
      </c>
      <c r="AA2" t="n">
        <v>2110</v>
      </c>
      <c r="AB2" t="n">
        <v>2064</v>
      </c>
      <c r="AC2" t="n">
        <v>1913.1</v>
      </c>
      <c r="AD2" t="n">
        <v>1961.3</v>
      </c>
      <c r="AE2" t="n">
        <v>2007.8</v>
      </c>
      <c r="AF2" t="n">
        <v>1919.8</v>
      </c>
    </row>
    <row r="3">
      <c r="A3" t="s">
        <v>130</v>
      </c>
      <c r="B3" t="s">
        <v>276</v>
      </c>
      <c r="C3" t="s">
        <v>203</v>
      </c>
      <c r="D3" t="s">
        <v>277</v>
      </c>
      <c r="E3" t="s">
        <v>204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209</v>
      </c>
      <c r="L3" t="n">
        <v>181.3</v>
      </c>
      <c r="M3" t="n">
        <v>225</v>
      </c>
      <c r="N3" t="n">
        <v>232.3</v>
      </c>
      <c r="O3" t="n">
        <v>225.7</v>
      </c>
      <c r="P3" t="n">
        <v>223.4</v>
      </c>
      <c r="Q3" t="n">
        <v>241.1</v>
      </c>
      <c r="R3" t="n">
        <v>238.7</v>
      </c>
      <c r="S3" t="n">
        <v>279.4</v>
      </c>
      <c r="T3" t="n">
        <v>335.3</v>
      </c>
      <c r="U3" t="n">
        <v>338</v>
      </c>
      <c r="V3" t="n">
        <v>326.9</v>
      </c>
      <c r="W3" t="n">
        <v>334.5</v>
      </c>
      <c r="X3" t="n">
        <v>345.5</v>
      </c>
      <c r="Y3" t="n">
        <v>351.8</v>
      </c>
      <c r="Z3" t="n">
        <v>335.6</v>
      </c>
      <c r="AA3" t="n">
        <v>344.7</v>
      </c>
      <c r="AB3" t="n">
        <v>340</v>
      </c>
      <c r="AC3" t="n">
        <v>313.3</v>
      </c>
      <c r="AD3" t="n">
        <v>321.2</v>
      </c>
      <c r="AE3" t="n">
        <v>328.8</v>
      </c>
      <c r="AF3" t="n">
        <v>314.4</v>
      </c>
    </row>
    <row r="4">
      <c r="A4" t="s">
        <v>130</v>
      </c>
      <c r="B4" t="s">
        <v>278</v>
      </c>
      <c r="C4" t="s">
        <v>203</v>
      </c>
      <c r="D4" t="s">
        <v>279</v>
      </c>
      <c r="E4" t="s">
        <v>204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5393.1</v>
      </c>
      <c r="L4" t="n">
        <v>4690.9</v>
      </c>
      <c r="M4" t="n">
        <v>5842.2</v>
      </c>
      <c r="N4" t="n">
        <v>6061.2</v>
      </c>
      <c r="O4" t="n">
        <v>5894.6</v>
      </c>
      <c r="P4" t="n">
        <v>5854.1</v>
      </c>
      <c r="Q4" t="n">
        <v>6353.4</v>
      </c>
      <c r="R4" t="n">
        <v>6304.5</v>
      </c>
      <c r="S4" t="n">
        <v>7358.5</v>
      </c>
      <c r="T4" t="n">
        <v>8595.9</v>
      </c>
      <c r="U4" t="n">
        <v>8515.3</v>
      </c>
      <c r="V4" t="n">
        <v>8227</v>
      </c>
      <c r="W4" t="n">
        <v>8388.4</v>
      </c>
      <c r="X4" t="n">
        <v>8630.7</v>
      </c>
      <c r="Y4" t="n">
        <v>8760.5</v>
      </c>
      <c r="Z4" t="n">
        <v>8341.2</v>
      </c>
      <c r="AA4" t="n">
        <v>8518.3</v>
      </c>
      <c r="AB4" t="n">
        <v>8334.5</v>
      </c>
      <c r="AC4" t="n">
        <v>7731.5</v>
      </c>
      <c r="AD4" t="n">
        <v>7926.2</v>
      </c>
      <c r="AE4" t="n">
        <v>8114.2</v>
      </c>
      <c r="AF4" t="n">
        <v>7758.7</v>
      </c>
    </row>
    <row r="5">
      <c r="A5" t="s">
        <v>130</v>
      </c>
      <c r="B5" t="s">
        <v>280</v>
      </c>
      <c r="C5" t="s">
        <v>203</v>
      </c>
      <c r="D5" t="s">
        <v>281</v>
      </c>
      <c r="E5" t="s">
        <v>204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2816.5</v>
      </c>
      <c r="L5" t="n">
        <v>2441.3</v>
      </c>
      <c r="M5" t="n">
        <v>3031.7</v>
      </c>
      <c r="N5" t="n">
        <v>3143.9</v>
      </c>
      <c r="O5" t="n">
        <v>3055</v>
      </c>
      <c r="P5" t="n">
        <v>3026.5</v>
      </c>
      <c r="Q5" t="n">
        <v>3269.5</v>
      </c>
      <c r="R5" t="n">
        <v>3236.9</v>
      </c>
      <c r="S5" t="n">
        <v>3769.3</v>
      </c>
      <c r="T5" t="n">
        <v>4388.1</v>
      </c>
      <c r="U5" t="n">
        <v>4344.8</v>
      </c>
      <c r="V5" t="n">
        <v>4195.6</v>
      </c>
      <c r="W5" t="n">
        <v>4275.8</v>
      </c>
      <c r="X5" t="n">
        <v>4397.2</v>
      </c>
      <c r="Y5" t="n">
        <v>4462.1</v>
      </c>
      <c r="Z5" t="n">
        <v>4246.9</v>
      </c>
      <c r="AA5" t="n">
        <v>4334.1</v>
      </c>
      <c r="AB5" t="n">
        <v>4232</v>
      </c>
      <c r="AC5" t="n">
        <v>3917</v>
      </c>
      <c r="AD5" t="n">
        <v>4015.6</v>
      </c>
      <c r="AE5" t="n">
        <v>4110.8</v>
      </c>
      <c r="AF5" t="n">
        <v>3930.7</v>
      </c>
    </row>
    <row r="6">
      <c r="A6" t="s">
        <v>130</v>
      </c>
      <c r="B6" t="s">
        <v>282</v>
      </c>
      <c r="C6" t="s">
        <v>203</v>
      </c>
      <c r="D6" t="s">
        <v>283</v>
      </c>
      <c r="E6" t="s">
        <v>204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1439.6</v>
      </c>
      <c r="L6" t="n">
        <v>1249.6</v>
      </c>
      <c r="M6" t="n">
        <v>1552.4</v>
      </c>
      <c r="N6" t="n">
        <v>1602.6</v>
      </c>
      <c r="O6" t="n">
        <v>1558.7</v>
      </c>
      <c r="P6" t="n">
        <v>1547.3</v>
      </c>
      <c r="Q6" t="n">
        <v>1679</v>
      </c>
      <c r="R6" t="n">
        <v>1661.7</v>
      </c>
      <c r="S6" t="n">
        <v>1931.1</v>
      </c>
      <c r="T6" t="n">
        <v>2247.5</v>
      </c>
      <c r="U6" t="n">
        <v>2225.4</v>
      </c>
      <c r="V6" t="n">
        <v>2147.5</v>
      </c>
      <c r="W6" t="n">
        <v>2189.2</v>
      </c>
      <c r="X6" t="n">
        <v>2251.9</v>
      </c>
      <c r="Y6" t="n">
        <v>2286.1</v>
      </c>
      <c r="Z6" t="n">
        <v>2176</v>
      </c>
      <c r="AA6" t="n">
        <v>2220.8</v>
      </c>
      <c r="AB6" t="n">
        <v>2172.2</v>
      </c>
      <c r="AC6" t="n">
        <v>2017.8</v>
      </c>
      <c r="AD6" t="n">
        <v>2068.6</v>
      </c>
      <c r="AE6" t="n">
        <v>2117.6</v>
      </c>
      <c r="AF6" t="n">
        <v>2024.8</v>
      </c>
    </row>
    <row r="7">
      <c r="A7" t="s">
        <v>130</v>
      </c>
      <c r="B7" t="s">
        <v>284</v>
      </c>
      <c r="C7" t="s">
        <v>203</v>
      </c>
      <c r="D7" t="s">
        <v>285</v>
      </c>
      <c r="E7" t="s">
        <v>204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104.7</v>
      </c>
      <c r="L7" t="n">
        <v>95.6</v>
      </c>
      <c r="M7" t="n">
        <v>119.9</v>
      </c>
      <c r="N7" t="n">
        <v>123.8</v>
      </c>
      <c r="O7" t="n">
        <v>120.3</v>
      </c>
      <c r="P7" t="n">
        <v>120.8</v>
      </c>
      <c r="Q7" t="n">
        <v>132.4</v>
      </c>
      <c r="R7" t="n">
        <v>133.2</v>
      </c>
      <c r="S7" t="n">
        <v>157.9</v>
      </c>
      <c r="T7" t="n">
        <v>183.6</v>
      </c>
      <c r="U7" t="n">
        <v>181.7</v>
      </c>
      <c r="V7" t="n">
        <v>176</v>
      </c>
      <c r="W7" t="n">
        <v>179.8</v>
      </c>
      <c r="X7" t="n">
        <v>185.3</v>
      </c>
      <c r="Y7" t="n">
        <v>189.2</v>
      </c>
      <c r="Z7" t="n">
        <v>180.4</v>
      </c>
      <c r="AA7" t="n">
        <v>186.6</v>
      </c>
      <c r="AB7" t="n">
        <v>182.9</v>
      </c>
      <c r="AC7" t="n">
        <v>159</v>
      </c>
      <c r="AD7" t="n">
        <v>163</v>
      </c>
      <c r="AE7" t="n">
        <v>166.9</v>
      </c>
      <c r="AF7" t="n">
        <v>159.6</v>
      </c>
    </row>
    <row r="8">
      <c r="A8" t="s">
        <v>130</v>
      </c>
      <c r="B8" t="s">
        <v>286</v>
      </c>
      <c r="C8" t="s">
        <v>203</v>
      </c>
      <c r="D8" t="s">
        <v>287</v>
      </c>
      <c r="E8" t="s">
        <v>204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0.1</v>
      </c>
      <c r="AB8" t="n">
        <v>0.1</v>
      </c>
      <c r="AC8" t="n">
        <v>0.8</v>
      </c>
      <c r="AD8" t="n">
        <v>0.9</v>
      </c>
      <c r="AE8" t="n">
        <v>0.9</v>
      </c>
      <c r="AF8" t="n">
        <v>0.8</v>
      </c>
    </row>
    <row r="9">
      <c r="A9" t="s">
        <v>130</v>
      </c>
      <c r="B9" t="s">
        <v>288</v>
      </c>
      <c r="C9" t="s">
        <v>203</v>
      </c>
      <c r="D9" t="s">
        <v>289</v>
      </c>
      <c r="E9" t="s">
        <v>204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</v>
      </c>
      <c r="M9" t="n">
        <v>7.4</v>
      </c>
      <c r="N9" t="n">
        <v>7.7</v>
      </c>
      <c r="O9" t="n">
        <v>7.4</v>
      </c>
      <c r="P9" t="n">
        <v>7.4</v>
      </c>
      <c r="Q9" t="n">
        <v>8</v>
      </c>
      <c r="R9" t="n">
        <v>7.8</v>
      </c>
      <c r="S9" t="n">
        <v>10.2</v>
      </c>
      <c r="T9" t="n">
        <v>11.8</v>
      </c>
      <c r="U9" t="n">
        <v>12.7</v>
      </c>
      <c r="V9" t="n">
        <v>12.5</v>
      </c>
      <c r="W9" t="n">
        <v>13.1</v>
      </c>
      <c r="X9" t="n">
        <v>13.9</v>
      </c>
      <c r="Y9" t="n">
        <v>14.8</v>
      </c>
      <c r="Z9" t="n">
        <v>14.2</v>
      </c>
      <c r="AA9" t="n">
        <v>15.6</v>
      </c>
      <c r="AB9" t="n">
        <v>15.8</v>
      </c>
      <c r="AC9" t="n">
        <v>16.4</v>
      </c>
      <c r="AD9" t="n">
        <v>16.8</v>
      </c>
      <c r="AE9" t="n">
        <v>17.2</v>
      </c>
      <c r="AF9" t="n">
        <v>16.4</v>
      </c>
    </row>
    <row r="10">
      <c r="A10" t="s">
        <v>130</v>
      </c>
      <c r="B10" t="s">
        <v>290</v>
      </c>
      <c r="C10" t="s">
        <v>203</v>
      </c>
      <c r="D10" t="s">
        <v>291</v>
      </c>
      <c r="E10" t="s">
        <v>204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</v>
      </c>
      <c r="M10" t="n">
        <v>7.4</v>
      </c>
      <c r="N10" t="n">
        <v>7.7</v>
      </c>
      <c r="O10" t="n">
        <v>7.4</v>
      </c>
      <c r="P10" t="n">
        <v>7.4</v>
      </c>
      <c r="Q10" t="n">
        <v>8</v>
      </c>
      <c r="R10" t="n">
        <v>7.8</v>
      </c>
      <c r="S10" t="n">
        <v>10.2</v>
      </c>
      <c r="T10" t="n">
        <v>11.8</v>
      </c>
      <c r="U10" t="n">
        <v>12.7</v>
      </c>
      <c r="V10" t="n">
        <v>12.5</v>
      </c>
      <c r="W10" t="n">
        <v>13.1</v>
      </c>
      <c r="X10" t="n">
        <v>13.9</v>
      </c>
      <c r="Y10" t="n">
        <v>14.8</v>
      </c>
      <c r="Z10" t="n">
        <v>14.2</v>
      </c>
      <c r="AA10" t="n">
        <v>15.6</v>
      </c>
      <c r="AB10" t="n">
        <v>17.8</v>
      </c>
      <c r="AC10" t="n">
        <v>26.4</v>
      </c>
      <c r="AD10" t="n">
        <v>27</v>
      </c>
      <c r="AE10" t="n">
        <v>27.7</v>
      </c>
      <c r="AF10" t="n">
        <v>26.4</v>
      </c>
    </row>
    <row r="11">
      <c r="A11" t="s">
        <v>130</v>
      </c>
      <c r="B11" t="s">
        <v>292</v>
      </c>
      <c r="C11" t="s">
        <v>203</v>
      </c>
      <c r="D11" t="s">
        <v>293</v>
      </c>
      <c r="E11" t="s">
        <v>204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2</v>
      </c>
      <c r="AC11" t="n">
        <v>10</v>
      </c>
      <c r="AD11" t="n">
        <v>10.2</v>
      </c>
      <c r="AE11" t="n">
        <v>10.5</v>
      </c>
      <c r="AF11" t="n">
        <v>10</v>
      </c>
    </row>
    <row r="12">
      <c r="A12" t="s">
        <v>130</v>
      </c>
      <c r="B12" t="s">
        <v>294</v>
      </c>
      <c r="C12" t="s">
        <v>203</v>
      </c>
      <c r="D12" t="s">
        <v>295</v>
      </c>
      <c r="E12" t="s">
        <v>204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209.4</v>
      </c>
      <c r="L12" t="n">
        <v>181.7</v>
      </c>
      <c r="M12" t="n">
        <v>229.1</v>
      </c>
      <c r="N12" t="n">
        <v>236.5</v>
      </c>
      <c r="O12" t="n">
        <v>231.6</v>
      </c>
      <c r="P12" t="n">
        <v>234.6</v>
      </c>
      <c r="Q12" t="n">
        <v>260.2</v>
      </c>
      <c r="R12" t="n">
        <v>260.2</v>
      </c>
      <c r="S12" t="n">
        <v>309.6</v>
      </c>
      <c r="T12" t="n">
        <v>368</v>
      </c>
      <c r="U12" t="n">
        <v>368.2</v>
      </c>
      <c r="V12" t="n">
        <v>357.3</v>
      </c>
      <c r="W12" t="n">
        <v>365.8</v>
      </c>
      <c r="X12" t="n">
        <v>377.9</v>
      </c>
      <c r="Y12" t="n">
        <v>379.2</v>
      </c>
      <c r="Z12" t="n">
        <v>362.3</v>
      </c>
      <c r="AA12" t="n">
        <v>369.5</v>
      </c>
      <c r="AB12" t="n">
        <v>360.8</v>
      </c>
      <c r="AC12" t="n">
        <v>334.7</v>
      </c>
      <c r="AD12" t="n">
        <v>343.1</v>
      </c>
      <c r="AE12" t="n">
        <v>351.3</v>
      </c>
      <c r="AF12" t="n">
        <v>335.9</v>
      </c>
    </row>
    <row r="13">
      <c r="A13" t="s">
        <v>130</v>
      </c>
      <c r="B13" t="s">
        <v>296</v>
      </c>
      <c r="C13" t="s">
        <v>203</v>
      </c>
      <c r="D13" t="s">
        <v>297</v>
      </c>
      <c r="E13" t="s">
        <v>204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718.2</v>
      </c>
      <c r="L13" t="n">
        <v>621.1</v>
      </c>
      <c r="M13" t="n">
        <v>775.8</v>
      </c>
      <c r="N13" t="n">
        <v>813.8</v>
      </c>
      <c r="O13" t="n">
        <v>791.5</v>
      </c>
      <c r="P13" t="n">
        <v>783.4</v>
      </c>
      <c r="Q13" t="n">
        <v>850.5</v>
      </c>
      <c r="R13" t="n">
        <v>844.3</v>
      </c>
      <c r="S13" t="n">
        <v>982.7</v>
      </c>
      <c r="T13" t="n">
        <v>1144.9</v>
      </c>
      <c r="U13" t="n">
        <v>1133.1</v>
      </c>
      <c r="V13" t="n">
        <v>1094.1</v>
      </c>
      <c r="W13" t="n">
        <v>1115.8</v>
      </c>
      <c r="X13" t="n">
        <v>1148.2</v>
      </c>
      <c r="Y13" t="n">
        <v>1167.5</v>
      </c>
      <c r="Z13" t="n">
        <v>1110.7</v>
      </c>
      <c r="AA13" t="n">
        <v>1134.9</v>
      </c>
      <c r="AB13" t="n">
        <v>1115.4</v>
      </c>
      <c r="AC13" t="n">
        <v>1037.9</v>
      </c>
      <c r="AD13" t="n">
        <v>1064.1</v>
      </c>
      <c r="AE13" t="n">
        <v>1089.3</v>
      </c>
      <c r="AF13" t="n">
        <v>1041.6</v>
      </c>
    </row>
    <row r="14">
      <c r="A14" t="s">
        <v>130</v>
      </c>
      <c r="B14" t="s">
        <v>298</v>
      </c>
      <c r="C14" t="s">
        <v>203</v>
      </c>
      <c r="D14" t="s">
        <v>299</v>
      </c>
      <c r="E14" t="s">
        <v>204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1.5</v>
      </c>
      <c r="M14" t="n">
        <v>1.9</v>
      </c>
      <c r="N14" t="n">
        <v>1.9</v>
      </c>
      <c r="O14" t="n">
        <v>1.9</v>
      </c>
      <c r="P14" t="n">
        <v>1.8</v>
      </c>
      <c r="Q14" t="n">
        <v>3</v>
      </c>
      <c r="R14" t="n">
        <v>3.8</v>
      </c>
      <c r="S14" t="n">
        <v>5.5</v>
      </c>
      <c r="T14" t="n">
        <v>6.4</v>
      </c>
      <c r="U14" t="n">
        <v>6.3</v>
      </c>
      <c r="V14" t="n">
        <v>6.3</v>
      </c>
      <c r="W14" t="n">
        <v>6.5</v>
      </c>
      <c r="X14" t="n">
        <v>6.7</v>
      </c>
      <c r="Y14" t="n">
        <v>6.9</v>
      </c>
      <c r="Z14" t="n">
        <v>6.7</v>
      </c>
      <c r="AA14" t="n">
        <v>7</v>
      </c>
      <c r="AB14" t="n">
        <v>4</v>
      </c>
      <c r="AC14" t="n">
        <v>3.7</v>
      </c>
      <c r="AD14" t="n">
        <v>3.8</v>
      </c>
      <c r="AE14" t="n">
        <v>3.9</v>
      </c>
      <c r="AF14" t="n">
        <v>3.7</v>
      </c>
    </row>
    <row r="15">
      <c r="A15" t="s">
        <v>130</v>
      </c>
      <c r="B15" t="s">
        <v>300</v>
      </c>
      <c r="C15" t="s">
        <v>203</v>
      </c>
      <c r="D15" t="s">
        <v>301</v>
      </c>
      <c r="E15" t="s">
        <v>204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1.5</v>
      </c>
      <c r="M15" t="n">
        <v>1.9</v>
      </c>
      <c r="N15" t="n">
        <v>1.9</v>
      </c>
      <c r="O15" t="n">
        <v>1.9</v>
      </c>
      <c r="P15" t="n">
        <v>1.8</v>
      </c>
      <c r="Q15" t="n">
        <v>4</v>
      </c>
      <c r="R15" t="n">
        <v>5.7</v>
      </c>
      <c r="S15" t="n">
        <v>15</v>
      </c>
      <c r="T15" t="n">
        <v>21</v>
      </c>
      <c r="U15" t="n">
        <v>20.7</v>
      </c>
      <c r="V15" t="n">
        <v>22.4</v>
      </c>
      <c r="W15" t="n">
        <v>22.9</v>
      </c>
      <c r="X15" t="n">
        <v>23.6</v>
      </c>
      <c r="Y15" t="n">
        <v>24.2</v>
      </c>
      <c r="Z15" t="n">
        <v>23.2</v>
      </c>
      <c r="AA15" t="n">
        <v>24</v>
      </c>
      <c r="AB15" t="n">
        <v>24.1</v>
      </c>
      <c r="AC15" t="n">
        <v>23.3</v>
      </c>
      <c r="AD15" t="n">
        <v>23.9</v>
      </c>
      <c r="AE15" t="n">
        <v>24.5</v>
      </c>
      <c r="AF15" t="n">
        <v>23.4</v>
      </c>
    </row>
    <row r="16">
      <c r="A16" t="s">
        <v>130</v>
      </c>
      <c r="B16" t="s">
        <v>302</v>
      </c>
      <c r="C16" t="s">
        <v>203</v>
      </c>
      <c r="D16" t="s">
        <v>303</v>
      </c>
      <c r="E16" t="s">
        <v>204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1.9</v>
      </c>
      <c r="S16" t="n">
        <v>9.5</v>
      </c>
      <c r="T16" t="n">
        <v>14.6</v>
      </c>
      <c r="U16" t="n">
        <v>14.4</v>
      </c>
      <c r="V16" t="n">
        <v>16.1</v>
      </c>
      <c r="W16" t="n">
        <v>16.4</v>
      </c>
      <c r="X16" t="n">
        <v>16.9</v>
      </c>
      <c r="Y16" t="n">
        <v>17.3</v>
      </c>
      <c r="Z16" t="n">
        <v>16.5</v>
      </c>
      <c r="AA16" t="n">
        <v>17</v>
      </c>
      <c r="AB16" t="n">
        <v>20.1</v>
      </c>
      <c r="AC16" t="n">
        <v>19.6</v>
      </c>
      <c r="AD16" t="n">
        <v>20.1</v>
      </c>
      <c r="AE16" t="n">
        <v>20.6</v>
      </c>
      <c r="AF16" t="n">
        <v>19.7</v>
      </c>
    </row>
    <row r="17">
      <c r="A17" t="s">
        <v>130</v>
      </c>
      <c r="B17" t="s">
        <v>304</v>
      </c>
      <c r="C17" t="s">
        <v>203</v>
      </c>
      <c r="D17" t="s">
        <v>305</v>
      </c>
      <c r="E17" t="s">
        <v>204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104.7</v>
      </c>
      <c r="L17" t="n">
        <v>91.9</v>
      </c>
      <c r="M17" t="n">
        <v>121.2</v>
      </c>
      <c r="N17" t="n">
        <v>126.1</v>
      </c>
      <c r="O17" t="n">
        <v>123.5</v>
      </c>
      <c r="P17" t="n">
        <v>124.9</v>
      </c>
      <c r="Q17" t="n">
        <v>137.8</v>
      </c>
      <c r="R17" t="n">
        <v>136.8</v>
      </c>
      <c r="S17" t="n">
        <v>161</v>
      </c>
      <c r="T17" t="n">
        <v>199.9</v>
      </c>
      <c r="U17" t="n">
        <v>197.9</v>
      </c>
      <c r="V17" t="n">
        <v>191.4</v>
      </c>
      <c r="W17" t="n">
        <v>195.1</v>
      </c>
      <c r="X17" t="n">
        <v>200.7</v>
      </c>
      <c r="Y17" t="n">
        <v>203.9</v>
      </c>
      <c r="Z17" t="n">
        <v>194.8</v>
      </c>
      <c r="AA17" t="n">
        <v>199.2</v>
      </c>
      <c r="AB17" t="n">
        <v>194.4</v>
      </c>
      <c r="AC17" t="n">
        <v>181.4</v>
      </c>
      <c r="AD17" t="n">
        <v>186</v>
      </c>
      <c r="AE17" t="n">
        <v>190.4</v>
      </c>
      <c r="AF17" t="n">
        <v>182.1</v>
      </c>
    </row>
    <row r="18">
      <c r="A18" t="s">
        <v>130</v>
      </c>
      <c r="B18" t="s">
        <v>306</v>
      </c>
      <c r="C18" t="s">
        <v>203</v>
      </c>
      <c r="D18" t="s">
        <v>307</v>
      </c>
      <c r="E18" t="s">
        <v>204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1.9</v>
      </c>
      <c r="S18" t="n">
        <v>2.1</v>
      </c>
      <c r="T18" t="n">
        <v>2.5</v>
      </c>
      <c r="U18" t="n">
        <v>2.5</v>
      </c>
      <c r="V18" t="n">
        <v>2.5</v>
      </c>
      <c r="W18" t="n">
        <v>2.6</v>
      </c>
      <c r="X18" t="n">
        <v>2.7</v>
      </c>
      <c r="Y18" t="n">
        <v>2.8</v>
      </c>
      <c r="Z18" t="n">
        <v>2.5</v>
      </c>
      <c r="AA18" t="n">
        <v>2.6</v>
      </c>
      <c r="AB18" t="n">
        <v>2.5</v>
      </c>
      <c r="AC18" t="n">
        <v>2.3</v>
      </c>
      <c r="AD18" t="n">
        <v>2.3</v>
      </c>
      <c r="AE18" t="n">
        <v>2.4</v>
      </c>
      <c r="AF18" t="n">
        <v>2.4</v>
      </c>
    </row>
    <row r="19">
      <c r="A19" t="s">
        <v>130</v>
      </c>
      <c r="B19" t="s">
        <v>308</v>
      </c>
      <c r="C19" t="s">
        <v>203</v>
      </c>
      <c r="D19" t="s">
        <v>309</v>
      </c>
      <c r="E19" t="s">
        <v>204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2.2</v>
      </c>
      <c r="M19" t="n">
        <v>2.8</v>
      </c>
      <c r="N19" t="n">
        <v>4.9</v>
      </c>
      <c r="O19" t="n">
        <v>4.7</v>
      </c>
      <c r="P19" t="n">
        <v>7.4</v>
      </c>
      <c r="Q19" t="n">
        <v>11</v>
      </c>
      <c r="R19" t="n">
        <v>16</v>
      </c>
      <c r="S19" t="n">
        <v>19.6</v>
      </c>
      <c r="T19" t="n">
        <v>28.6</v>
      </c>
      <c r="U19" t="n">
        <v>28.3</v>
      </c>
      <c r="V19" t="n">
        <v>27.7</v>
      </c>
      <c r="W19" t="n">
        <v>28.3</v>
      </c>
      <c r="X19" t="n">
        <v>29.3</v>
      </c>
      <c r="Y19" t="n">
        <v>30.7</v>
      </c>
      <c r="Z19" t="n">
        <v>30.2</v>
      </c>
      <c r="AA19" t="n">
        <v>30.9</v>
      </c>
      <c r="AB19" t="n">
        <v>32.3</v>
      </c>
      <c r="AC19" t="n">
        <v>30.9</v>
      </c>
      <c r="AD19" t="n">
        <v>31.7</v>
      </c>
      <c r="AE19" t="n">
        <v>32.4</v>
      </c>
      <c r="AF19" t="n">
        <v>31</v>
      </c>
    </row>
    <row r="20">
      <c r="A20" t="s">
        <v>130</v>
      </c>
      <c r="B20" t="s">
        <v>310</v>
      </c>
      <c r="C20" t="s">
        <v>203</v>
      </c>
      <c r="D20" t="s">
        <v>311</v>
      </c>
      <c r="E20" t="s">
        <v>204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954.1</v>
      </c>
      <c r="L20" t="n">
        <v>824.2</v>
      </c>
      <c r="M20" t="n">
        <v>1027.9</v>
      </c>
      <c r="N20" t="n">
        <v>1066.2</v>
      </c>
      <c r="O20" t="n">
        <v>1036.7</v>
      </c>
      <c r="P20" t="n">
        <v>1027</v>
      </c>
      <c r="Q20" t="n">
        <v>1109.4</v>
      </c>
      <c r="R20" t="n">
        <v>1095.4</v>
      </c>
      <c r="S20" t="n">
        <v>1311.5</v>
      </c>
      <c r="T20" t="n">
        <v>1528.2</v>
      </c>
      <c r="U20" t="n">
        <v>1512.5</v>
      </c>
      <c r="V20" t="n">
        <v>1461.6</v>
      </c>
      <c r="W20" t="n">
        <v>1490.9</v>
      </c>
      <c r="X20" t="n">
        <v>1534.6</v>
      </c>
      <c r="Y20" t="n">
        <v>1557.8</v>
      </c>
      <c r="Z20" t="n">
        <v>1482.2</v>
      </c>
      <c r="AA20" t="n">
        <v>1513.7</v>
      </c>
      <c r="AB20" t="n">
        <v>1478.7</v>
      </c>
      <c r="AC20" t="n">
        <v>1384.7</v>
      </c>
      <c r="AD20" t="n">
        <v>1419.5</v>
      </c>
      <c r="AE20" t="n">
        <v>1453.2</v>
      </c>
      <c r="AF20" t="n">
        <v>1389.5</v>
      </c>
    </row>
    <row r="21">
      <c r="A21" t="s">
        <v>130</v>
      </c>
      <c r="B21" t="s">
        <v>312</v>
      </c>
      <c r="C21" t="s">
        <v>203</v>
      </c>
      <c r="D21" t="s">
        <v>313</v>
      </c>
      <c r="E21" t="s">
        <v>204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954.1</v>
      </c>
      <c r="L21" t="n">
        <v>824.2</v>
      </c>
      <c r="M21" t="n">
        <v>1029.3</v>
      </c>
      <c r="N21" t="n">
        <v>1089.8</v>
      </c>
      <c r="O21" t="n">
        <v>1059.6</v>
      </c>
      <c r="P21" t="n">
        <v>1049.7</v>
      </c>
      <c r="Q21" t="n">
        <v>1133.9</v>
      </c>
      <c r="R21" t="n">
        <v>1122.1</v>
      </c>
      <c r="S21" t="n">
        <v>1342.5</v>
      </c>
      <c r="T21" t="n">
        <v>1564.3</v>
      </c>
      <c r="U21" t="n">
        <v>1548.2</v>
      </c>
      <c r="V21" t="n">
        <v>1496.1</v>
      </c>
      <c r="W21" t="n">
        <v>1526.1</v>
      </c>
      <c r="X21" t="n">
        <v>1570.9</v>
      </c>
      <c r="Y21" t="n">
        <v>1594.3</v>
      </c>
      <c r="Z21" t="n">
        <v>1517.9</v>
      </c>
      <c r="AA21" t="n">
        <v>1549.7</v>
      </c>
      <c r="AB21" t="n">
        <v>1513.5</v>
      </c>
      <c r="AC21" t="n">
        <v>1417.2</v>
      </c>
      <c r="AD21" t="n">
        <v>1452.8</v>
      </c>
      <c r="AE21" t="n">
        <v>1487.3</v>
      </c>
      <c r="AF21" t="n">
        <v>1422.1</v>
      </c>
    </row>
    <row r="22">
      <c r="A22" t="s">
        <v>130</v>
      </c>
      <c r="B22" t="s">
        <v>314</v>
      </c>
      <c r="C22" t="s">
        <v>203</v>
      </c>
      <c r="D22" t="s">
        <v>315</v>
      </c>
      <c r="E22" t="s">
        <v>204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1.4</v>
      </c>
      <c r="N22" t="n">
        <v>23.6</v>
      </c>
      <c r="O22" t="n">
        <v>22.9</v>
      </c>
      <c r="P22" t="n">
        <v>22.7</v>
      </c>
      <c r="Q22" t="n">
        <v>24.5</v>
      </c>
      <c r="R22" t="n">
        <v>26.7</v>
      </c>
      <c r="S22" t="n">
        <v>31</v>
      </c>
      <c r="T22" t="n">
        <v>36.1</v>
      </c>
      <c r="U22" t="n">
        <v>35.7</v>
      </c>
      <c r="V22" t="n">
        <v>34.5</v>
      </c>
      <c r="W22" t="n">
        <v>35.2</v>
      </c>
      <c r="X22" t="n">
        <v>36.3</v>
      </c>
      <c r="Y22" t="n">
        <v>36.5</v>
      </c>
      <c r="Z22" t="n">
        <v>35.7</v>
      </c>
      <c r="AA22" t="n">
        <v>36</v>
      </c>
      <c r="AB22" t="n">
        <v>34.8</v>
      </c>
      <c r="AC22" t="n">
        <v>32.5</v>
      </c>
      <c r="AD22" t="n">
        <v>33.3</v>
      </c>
      <c r="AE22" t="n">
        <v>34.1</v>
      </c>
      <c r="AF22" t="n">
        <v>32.6</v>
      </c>
    </row>
    <row r="23">
      <c r="A23" t="s">
        <v>130</v>
      </c>
      <c r="B23" t="s">
        <v>316</v>
      </c>
      <c r="C23" t="s">
        <v>203</v>
      </c>
      <c r="D23" t="s">
        <v>317</v>
      </c>
      <c r="E23" t="s">
        <v>204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78813.4</v>
      </c>
      <c r="L23" t="n">
        <v>68343.2</v>
      </c>
      <c r="M23" t="n">
        <v>85458.7</v>
      </c>
      <c r="N23" t="n">
        <v>88631.7</v>
      </c>
      <c r="O23" t="n">
        <v>86694.1</v>
      </c>
      <c r="P23" t="n">
        <v>86863.4</v>
      </c>
      <c r="Q23" t="n">
        <v>95816.4</v>
      </c>
      <c r="R23" t="n">
        <v>96336.2</v>
      </c>
      <c r="S23" t="n">
        <v>115143.4</v>
      </c>
      <c r="T23" t="n">
        <v>137064.9</v>
      </c>
      <c r="U23" t="n">
        <v>137190.6</v>
      </c>
      <c r="V23" t="n">
        <v>133631.5</v>
      </c>
      <c r="W23" t="n">
        <v>137391.1</v>
      </c>
      <c r="X23" t="n">
        <v>142525.6</v>
      </c>
      <c r="Y23" t="n">
        <v>145830.5</v>
      </c>
      <c r="Z23" t="n">
        <v>139725.2</v>
      </c>
      <c r="AA23" t="n">
        <v>145011.8</v>
      </c>
      <c r="AB23" t="n">
        <v>143654</v>
      </c>
      <c r="AC23" t="n">
        <v>134926.5</v>
      </c>
      <c r="AD23" t="n">
        <v>138322</v>
      </c>
      <c r="AE23" t="n">
        <v>141601.4</v>
      </c>
      <c r="AF23" t="n">
        <v>135397.4</v>
      </c>
    </row>
    <row r="24">
      <c r="A24" t="s">
        <v>130</v>
      </c>
      <c r="B24" t="s">
        <v>318</v>
      </c>
      <c r="C24" t="s">
        <v>203</v>
      </c>
      <c r="D24" t="s">
        <v>319</v>
      </c>
      <c r="E24" t="s">
        <v>204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5011.4</v>
      </c>
      <c r="L24" t="n">
        <v>4355.9</v>
      </c>
      <c r="M24" t="n">
        <v>5434.6</v>
      </c>
      <c r="N24" t="n">
        <v>5683.8</v>
      </c>
      <c r="O24" t="n">
        <v>5564.9</v>
      </c>
      <c r="P24" t="n">
        <v>5538.6</v>
      </c>
      <c r="Q24" t="n">
        <v>6083</v>
      </c>
      <c r="R24" t="n">
        <v>6116.5</v>
      </c>
      <c r="S24" t="n">
        <v>7305.4</v>
      </c>
      <c r="T24" t="n">
        <v>8565.1</v>
      </c>
      <c r="U24" t="n">
        <v>8508.8</v>
      </c>
      <c r="V24" t="n">
        <v>8254.2</v>
      </c>
      <c r="W24" t="n">
        <v>8430.9</v>
      </c>
      <c r="X24" t="n">
        <v>8689.7</v>
      </c>
      <c r="Y24" t="n">
        <v>8843.4</v>
      </c>
      <c r="Z24" t="n">
        <v>8420.1</v>
      </c>
      <c r="AA24" t="n">
        <v>8604.7</v>
      </c>
      <c r="AB24" t="n">
        <v>8471.2</v>
      </c>
      <c r="AC24" t="n">
        <v>7862.9</v>
      </c>
      <c r="AD24" t="n">
        <v>8060.6</v>
      </c>
      <c r="AE24" t="n">
        <v>8251.9</v>
      </c>
      <c r="AF24" t="n">
        <v>7890.3</v>
      </c>
    </row>
    <row r="25">
      <c r="A25" t="s">
        <v>130</v>
      </c>
      <c r="B25" t="s">
        <v>320</v>
      </c>
      <c r="C25" t="s">
        <v>203</v>
      </c>
      <c r="D25" t="s">
        <v>321</v>
      </c>
      <c r="E25" t="s">
        <v>204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5.2</v>
      </c>
      <c r="M25" t="n">
        <v>7.7</v>
      </c>
      <c r="N25" t="n">
        <v>8.9</v>
      </c>
      <c r="O25" t="n">
        <v>10.5</v>
      </c>
      <c r="P25" t="n">
        <v>13.1</v>
      </c>
      <c r="Q25" t="n">
        <v>18.2</v>
      </c>
      <c r="R25" t="n">
        <v>21.4</v>
      </c>
      <c r="S25" t="n">
        <v>33.3</v>
      </c>
      <c r="T25" t="n">
        <v>45.6</v>
      </c>
      <c r="U25" t="n">
        <v>50.1</v>
      </c>
      <c r="V25" t="n">
        <v>50.9</v>
      </c>
      <c r="W25" t="n">
        <v>53.5</v>
      </c>
      <c r="X25" t="n">
        <v>56.8</v>
      </c>
      <c r="Y25" t="n">
        <v>58.1</v>
      </c>
      <c r="Z25" t="n">
        <v>56.1</v>
      </c>
      <c r="AA25" t="n">
        <v>56.6</v>
      </c>
      <c r="AB25" t="n">
        <v>57.8</v>
      </c>
      <c r="AC25" t="n">
        <v>58.5</v>
      </c>
      <c r="AD25" t="n">
        <v>59.9</v>
      </c>
      <c r="AE25" t="n">
        <v>61.4</v>
      </c>
      <c r="AF25" t="n">
        <v>58.7</v>
      </c>
    </row>
    <row r="26">
      <c r="A26" t="s">
        <v>130</v>
      </c>
      <c r="B26" t="s">
        <v>322</v>
      </c>
      <c r="C26" t="s">
        <v>203</v>
      </c>
      <c r="D26" t="s">
        <v>323</v>
      </c>
      <c r="E26" t="s">
        <v>204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1847.8</v>
      </c>
      <c r="L26" t="n">
        <v>1609.6</v>
      </c>
      <c r="M26" t="n">
        <v>2019.5</v>
      </c>
      <c r="N26" t="n">
        <v>2123</v>
      </c>
      <c r="O26" t="n">
        <v>2083.6</v>
      </c>
      <c r="P26" t="n">
        <v>2089.3</v>
      </c>
      <c r="Q26" t="n">
        <v>2324</v>
      </c>
      <c r="R26" t="n">
        <v>2364.1</v>
      </c>
      <c r="S26" t="n">
        <v>2864.4</v>
      </c>
      <c r="T26" t="n">
        <v>3371.9</v>
      </c>
      <c r="U26" t="n">
        <v>3354.1</v>
      </c>
      <c r="V26" t="n">
        <v>3265.2</v>
      </c>
      <c r="W26" t="n">
        <v>3339.2</v>
      </c>
      <c r="X26" t="n">
        <v>3445.8</v>
      </c>
      <c r="Y26" t="n">
        <v>3504.6</v>
      </c>
      <c r="Z26" t="n">
        <v>3335.6</v>
      </c>
      <c r="AA26" t="n">
        <v>3414.4</v>
      </c>
      <c r="AB26" t="n">
        <v>3363.7</v>
      </c>
      <c r="AC26" t="n">
        <v>3125.3</v>
      </c>
      <c r="AD26" t="n">
        <v>3203.9</v>
      </c>
      <c r="AE26" t="n">
        <v>3279.9</v>
      </c>
      <c r="AF26" t="n">
        <v>3136.2</v>
      </c>
    </row>
    <row r="27">
      <c r="A27" t="s">
        <v>130</v>
      </c>
      <c r="B27" t="s">
        <v>324</v>
      </c>
      <c r="C27" t="s">
        <v>203</v>
      </c>
      <c r="D27" t="s">
        <v>325</v>
      </c>
      <c r="E27" t="s">
        <v>204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3163.6</v>
      </c>
      <c r="L27" t="n">
        <v>2741.1</v>
      </c>
      <c r="M27" t="n">
        <v>3407.4</v>
      </c>
      <c r="N27" t="n">
        <v>3551.9</v>
      </c>
      <c r="O27" t="n">
        <v>3470.8</v>
      </c>
      <c r="P27" t="n">
        <v>3436.2</v>
      </c>
      <c r="Q27" t="n">
        <v>3740.8</v>
      </c>
      <c r="R27" t="n">
        <v>3731</v>
      </c>
      <c r="S27" t="n">
        <v>4407.7</v>
      </c>
      <c r="T27" t="n">
        <v>5147.6</v>
      </c>
      <c r="U27" t="n">
        <v>5104.6</v>
      </c>
      <c r="V27" t="n">
        <v>4938.1</v>
      </c>
      <c r="W27" t="n">
        <v>5038.2</v>
      </c>
      <c r="X27" t="n">
        <v>5187.1</v>
      </c>
      <c r="Y27" t="n">
        <v>5280.7</v>
      </c>
      <c r="Z27" t="n">
        <v>5028.4</v>
      </c>
      <c r="AA27" t="n">
        <v>5133.7</v>
      </c>
      <c r="AB27" t="n">
        <v>5049.7</v>
      </c>
      <c r="AC27" t="n">
        <v>4679.1</v>
      </c>
      <c r="AD27" t="n">
        <v>4796.8</v>
      </c>
      <c r="AE27" t="n">
        <v>4910.6</v>
      </c>
      <c r="AF27" t="n">
        <v>4695.4</v>
      </c>
    </row>
    <row r="28">
      <c r="A28" t="s">
        <v>130</v>
      </c>
      <c r="B28" t="s">
        <v>326</v>
      </c>
      <c r="C28" t="s">
        <v>203</v>
      </c>
      <c r="D28" t="s">
        <v>327</v>
      </c>
      <c r="E28" t="s">
        <v>204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759.4</v>
      </c>
      <c r="L28" t="n">
        <v>667</v>
      </c>
      <c r="M28" t="n">
        <v>830.3</v>
      </c>
      <c r="N28" t="n">
        <v>859.2</v>
      </c>
      <c r="O28" t="n">
        <v>837.4</v>
      </c>
      <c r="P28" t="n">
        <v>831.6</v>
      </c>
      <c r="Q28" t="n">
        <v>906.5</v>
      </c>
      <c r="R28" t="n">
        <v>901.3</v>
      </c>
      <c r="S28" t="n">
        <v>1055.2</v>
      </c>
      <c r="T28" t="n">
        <v>1239.6</v>
      </c>
      <c r="U28" t="n">
        <v>1239.8</v>
      </c>
      <c r="V28" t="n">
        <v>1199</v>
      </c>
      <c r="W28" t="n">
        <v>1222.9</v>
      </c>
      <c r="X28" t="n">
        <v>1258.8</v>
      </c>
      <c r="Y28" t="n">
        <v>1276.1</v>
      </c>
      <c r="Z28" t="n">
        <v>1217.5</v>
      </c>
      <c r="AA28" t="n">
        <v>1248.2</v>
      </c>
      <c r="AB28" t="n">
        <v>1243.3</v>
      </c>
      <c r="AC28" t="n">
        <v>1161</v>
      </c>
      <c r="AD28" t="n">
        <v>1190.3</v>
      </c>
      <c r="AE28" t="n">
        <v>1218.5</v>
      </c>
      <c r="AF28" t="n">
        <v>1165.2</v>
      </c>
    </row>
    <row r="29">
      <c r="A29" t="s">
        <v>130</v>
      </c>
      <c r="B29" t="s">
        <v>328</v>
      </c>
      <c r="C29" t="s">
        <v>203</v>
      </c>
      <c r="D29" t="s">
        <v>329</v>
      </c>
      <c r="E29" t="s">
        <v>204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418.8</v>
      </c>
      <c r="L29" t="n">
        <v>363.3</v>
      </c>
      <c r="M29" t="n">
        <v>452.2</v>
      </c>
      <c r="N29" t="n">
        <v>467.8</v>
      </c>
      <c r="O29" t="n">
        <v>457.2</v>
      </c>
      <c r="P29" t="n">
        <v>454.4</v>
      </c>
      <c r="Q29" t="n">
        <v>495.4</v>
      </c>
      <c r="R29" t="n">
        <v>492.2</v>
      </c>
      <c r="S29" t="n">
        <v>578</v>
      </c>
      <c r="T29" t="n">
        <v>682.4</v>
      </c>
      <c r="U29" t="n">
        <v>679.4</v>
      </c>
      <c r="V29" t="n">
        <v>657.6</v>
      </c>
      <c r="W29" t="n">
        <v>670.9</v>
      </c>
      <c r="X29" t="n">
        <v>690.8</v>
      </c>
      <c r="Y29" t="n">
        <v>702.2</v>
      </c>
      <c r="Z29" t="n">
        <v>671</v>
      </c>
      <c r="AA29" t="n">
        <v>687.8</v>
      </c>
      <c r="AB29" t="n">
        <v>695.3</v>
      </c>
      <c r="AC29" t="n">
        <v>646.7</v>
      </c>
      <c r="AD29" t="n">
        <v>663</v>
      </c>
      <c r="AE29" t="n">
        <v>678.7</v>
      </c>
      <c r="AF29" t="n">
        <v>649</v>
      </c>
    </row>
    <row r="30">
      <c r="A30" t="s">
        <v>130</v>
      </c>
      <c r="B30" t="s">
        <v>330</v>
      </c>
      <c r="C30" t="s">
        <v>203</v>
      </c>
      <c r="D30" t="s">
        <v>331</v>
      </c>
      <c r="E30" t="s">
        <v>204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0.8</v>
      </c>
      <c r="M30" t="n">
        <v>0.9</v>
      </c>
      <c r="N30" t="n">
        <v>1</v>
      </c>
      <c r="O30" t="n">
        <v>0.9</v>
      </c>
      <c r="P30" t="n">
        <v>0.9</v>
      </c>
      <c r="Q30" t="n">
        <v>1</v>
      </c>
      <c r="R30" t="n">
        <v>1</v>
      </c>
      <c r="S30" t="n">
        <v>1.1</v>
      </c>
      <c r="T30" t="n">
        <v>1.3</v>
      </c>
      <c r="U30" t="n">
        <v>1.3</v>
      </c>
      <c r="V30" t="n">
        <v>1.3</v>
      </c>
      <c r="W30" t="n">
        <v>1.3</v>
      </c>
      <c r="X30" t="n">
        <v>1.3</v>
      </c>
      <c r="Y30" t="n">
        <v>1.3</v>
      </c>
      <c r="Z30" t="n">
        <v>1.3</v>
      </c>
      <c r="AA30" t="n">
        <v>1.3</v>
      </c>
      <c r="AB30" t="n">
        <v>1.3</v>
      </c>
      <c r="AC30" t="n">
        <v>1.2</v>
      </c>
      <c r="AD30" t="n">
        <v>1.2</v>
      </c>
      <c r="AE30" t="n">
        <v>1.2</v>
      </c>
      <c r="AF30" t="n">
        <v>1.2</v>
      </c>
    </row>
    <row r="31">
      <c r="A31" t="s">
        <v>130</v>
      </c>
      <c r="B31" t="s">
        <v>332</v>
      </c>
      <c r="C31" t="s">
        <v>203</v>
      </c>
      <c r="D31" t="s">
        <v>333</v>
      </c>
      <c r="E31" t="s">
        <v>204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0.9</v>
      </c>
      <c r="S31" t="n">
        <v>1</v>
      </c>
      <c r="T31" t="n">
        <v>1.2</v>
      </c>
      <c r="U31" t="n">
        <v>1.2</v>
      </c>
      <c r="V31" t="n">
        <v>1.1</v>
      </c>
      <c r="W31" t="n">
        <v>1.2</v>
      </c>
      <c r="X31" t="n">
        <v>1.3</v>
      </c>
      <c r="Y31" t="n">
        <v>1.3</v>
      </c>
      <c r="Z31" t="n">
        <v>1</v>
      </c>
      <c r="AA31" t="n">
        <v>1.4</v>
      </c>
      <c r="AB31" t="n">
        <v>1</v>
      </c>
      <c r="AC31" t="n">
        <v>0.9</v>
      </c>
      <c r="AD31" t="n">
        <v>1</v>
      </c>
      <c r="AE31" t="n">
        <v>1</v>
      </c>
      <c r="AF31" t="n">
        <v>1</v>
      </c>
    </row>
    <row r="32">
      <c r="A32" t="s">
        <v>130</v>
      </c>
      <c r="B32" t="s">
        <v>334</v>
      </c>
      <c r="C32" t="s">
        <v>203</v>
      </c>
      <c r="D32" t="s">
        <v>335</v>
      </c>
      <c r="E32" t="s">
        <v>204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340.6</v>
      </c>
      <c r="L32" t="n">
        <v>302.9</v>
      </c>
      <c r="M32" t="n">
        <v>377.2</v>
      </c>
      <c r="N32" t="n">
        <v>390.4</v>
      </c>
      <c r="O32" t="n">
        <v>379.3</v>
      </c>
      <c r="P32" t="n">
        <v>376.3</v>
      </c>
      <c r="Q32" t="n">
        <v>410.1</v>
      </c>
      <c r="R32" t="n">
        <v>407.2</v>
      </c>
      <c r="S32" t="n">
        <v>475.1</v>
      </c>
      <c r="T32" t="n">
        <v>554.7</v>
      </c>
      <c r="U32" t="n">
        <v>557.9</v>
      </c>
      <c r="V32" t="n">
        <v>539</v>
      </c>
      <c r="W32" t="n">
        <v>549.5</v>
      </c>
      <c r="X32" t="n">
        <v>565.4</v>
      </c>
      <c r="Y32" t="n">
        <v>571.3</v>
      </c>
      <c r="Z32" t="n">
        <v>544</v>
      </c>
      <c r="AA32" t="n">
        <v>557.4</v>
      </c>
      <c r="AB32" t="n">
        <v>545.7</v>
      </c>
      <c r="AC32" t="n">
        <v>511.9</v>
      </c>
      <c r="AD32" t="n">
        <v>524.8</v>
      </c>
      <c r="AE32" t="n">
        <v>537.3</v>
      </c>
      <c r="AF32" t="n">
        <v>513.7</v>
      </c>
    </row>
    <row r="33">
      <c r="A33" t="s">
        <v>130</v>
      </c>
      <c r="B33" t="s">
        <v>336</v>
      </c>
      <c r="C33" t="s">
        <v>203</v>
      </c>
      <c r="D33" t="s">
        <v>337</v>
      </c>
      <c r="E33" t="s">
        <v>204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0.2</v>
      </c>
      <c r="AA33" t="n">
        <v>0.3</v>
      </c>
      <c r="AB33" t="n">
        <v>0</v>
      </c>
      <c r="AC33" t="n">
        <v>0.3</v>
      </c>
      <c r="AD33" t="n">
        <v>0.3</v>
      </c>
      <c r="AE33" t="n">
        <v>0.3</v>
      </c>
      <c r="AF33" t="n">
        <v>0.3</v>
      </c>
    </row>
    <row r="34">
      <c r="A34" t="s">
        <v>130</v>
      </c>
      <c r="B34" t="s">
        <v>338</v>
      </c>
      <c r="C34" t="s">
        <v>203</v>
      </c>
      <c r="D34" t="s">
        <v>339</v>
      </c>
      <c r="E34" t="s">
        <v>204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2949</v>
      </c>
      <c r="L34" t="n">
        <v>2554.2</v>
      </c>
      <c r="M34" t="n">
        <v>3175.4</v>
      </c>
      <c r="N34" t="n">
        <v>3330.4</v>
      </c>
      <c r="O34" t="n">
        <v>3240.9</v>
      </c>
      <c r="P34" t="n">
        <v>3226.7</v>
      </c>
      <c r="Q34" t="n">
        <v>3563.5</v>
      </c>
      <c r="R34" t="n">
        <v>3572.5</v>
      </c>
      <c r="S34" t="n">
        <v>4278.5</v>
      </c>
      <c r="T34" t="n">
        <v>5028.7</v>
      </c>
      <c r="U34" t="n">
        <v>4988.8</v>
      </c>
      <c r="V34" t="n">
        <v>4836.3</v>
      </c>
      <c r="W34" t="n">
        <v>4940.7</v>
      </c>
      <c r="X34" t="n">
        <v>5093.1</v>
      </c>
      <c r="Y34" t="n">
        <v>5178.2</v>
      </c>
      <c r="Z34" t="n">
        <v>4952.9</v>
      </c>
      <c r="AA34" t="n">
        <v>5091.2</v>
      </c>
      <c r="AB34" t="n">
        <v>4991.7</v>
      </c>
      <c r="AC34" t="n">
        <v>4637.5</v>
      </c>
      <c r="AD34" t="n">
        <v>4754.2</v>
      </c>
      <c r="AE34" t="n">
        <v>4866.9</v>
      </c>
      <c r="AF34" t="n">
        <v>4653.7</v>
      </c>
    </row>
    <row r="35">
      <c r="A35" t="s">
        <v>130</v>
      </c>
      <c r="B35" t="s">
        <v>340</v>
      </c>
      <c r="C35" t="s">
        <v>203</v>
      </c>
      <c r="D35" t="s">
        <v>341</v>
      </c>
      <c r="E35" t="s">
        <v>204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</v>
      </c>
      <c r="M35" t="n">
        <v>6.1</v>
      </c>
      <c r="N35" t="n">
        <v>11.3</v>
      </c>
      <c r="O35" t="n">
        <v>11</v>
      </c>
      <c r="P35" t="n">
        <v>21.8</v>
      </c>
      <c r="Q35" t="n">
        <v>26.4</v>
      </c>
      <c r="R35" t="n">
        <v>36.3</v>
      </c>
      <c r="S35" t="n">
        <v>49.7</v>
      </c>
      <c r="T35" t="n">
        <v>65.8</v>
      </c>
      <c r="U35" t="n">
        <v>68.1</v>
      </c>
      <c r="V35" t="n">
        <v>68.2</v>
      </c>
      <c r="W35" t="n">
        <v>72.7</v>
      </c>
      <c r="X35" t="n">
        <v>78.1</v>
      </c>
      <c r="Y35" t="n">
        <v>83.7</v>
      </c>
      <c r="Z35" t="n">
        <v>86.6</v>
      </c>
      <c r="AA35" t="n">
        <v>92.1</v>
      </c>
      <c r="AB35" t="n">
        <v>93.3</v>
      </c>
      <c r="AC35" t="n">
        <v>90.6</v>
      </c>
      <c r="AD35" t="n">
        <v>92.8</v>
      </c>
      <c r="AE35" t="n">
        <v>95</v>
      </c>
      <c r="AF35" t="n">
        <v>90.8</v>
      </c>
    </row>
    <row r="36">
      <c r="A36" t="s">
        <v>130</v>
      </c>
      <c r="B36" t="s">
        <v>342</v>
      </c>
      <c r="C36" t="s">
        <v>203</v>
      </c>
      <c r="D36" t="s">
        <v>343</v>
      </c>
      <c r="E36" t="s">
        <v>204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2.2</v>
      </c>
      <c r="M36" t="n">
        <v>5.2</v>
      </c>
      <c r="N36" t="n">
        <v>5.3</v>
      </c>
      <c r="O36" t="n">
        <v>5.2</v>
      </c>
      <c r="P36" t="n">
        <v>15.1</v>
      </c>
      <c r="Q36" t="n">
        <v>17.2</v>
      </c>
      <c r="R36" t="n">
        <v>19.6</v>
      </c>
      <c r="S36" t="n">
        <v>22.8</v>
      </c>
      <c r="T36" t="n">
        <v>27.6</v>
      </c>
      <c r="U36" t="n">
        <v>27.3</v>
      </c>
      <c r="V36" t="n">
        <v>26.4</v>
      </c>
      <c r="W36" t="n">
        <v>28.6</v>
      </c>
      <c r="X36" t="n">
        <v>31.1</v>
      </c>
      <c r="Y36" t="n">
        <v>31.7</v>
      </c>
      <c r="Z36" t="n">
        <v>30.6</v>
      </c>
      <c r="AA36" t="n">
        <v>32</v>
      </c>
      <c r="AB36" t="n">
        <v>31.5</v>
      </c>
      <c r="AC36" t="n">
        <v>30</v>
      </c>
      <c r="AD36" t="n">
        <v>30.7</v>
      </c>
      <c r="AE36" t="n">
        <v>31.5</v>
      </c>
      <c r="AF36" t="n">
        <v>30.1</v>
      </c>
    </row>
    <row r="37">
      <c r="A37" t="s">
        <v>130</v>
      </c>
      <c r="B37" t="s">
        <v>344</v>
      </c>
      <c r="C37" t="s">
        <v>203</v>
      </c>
      <c r="D37" t="s">
        <v>345</v>
      </c>
      <c r="E37" t="s">
        <v>204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3</v>
      </c>
      <c r="O37" t="n">
        <v>2.9</v>
      </c>
      <c r="P37" t="n">
        <v>2.9</v>
      </c>
      <c r="Q37" t="n">
        <v>3.1</v>
      </c>
      <c r="R37" t="n">
        <v>3.9</v>
      </c>
      <c r="S37" t="n">
        <v>4.6</v>
      </c>
      <c r="T37" t="n">
        <v>5.3</v>
      </c>
      <c r="U37" t="n">
        <v>6.3</v>
      </c>
      <c r="V37" t="n">
        <v>6.1</v>
      </c>
      <c r="W37" t="n">
        <v>6.6</v>
      </c>
      <c r="X37" t="n">
        <v>7.2</v>
      </c>
      <c r="Y37" t="n">
        <v>8.9</v>
      </c>
      <c r="Z37" t="n">
        <v>8.3</v>
      </c>
      <c r="AA37" t="n">
        <v>8.6</v>
      </c>
      <c r="AB37" t="n">
        <v>8.1</v>
      </c>
      <c r="AC37" t="n">
        <v>8.3</v>
      </c>
      <c r="AD37" t="n">
        <v>8.5</v>
      </c>
      <c r="AE37" t="n">
        <v>8.7</v>
      </c>
      <c r="AF37" t="n">
        <v>8.3</v>
      </c>
    </row>
    <row r="38">
      <c r="A38" t="s">
        <v>130</v>
      </c>
      <c r="B38" t="s">
        <v>346</v>
      </c>
      <c r="C38" t="s">
        <v>203</v>
      </c>
      <c r="D38" t="s">
        <v>347</v>
      </c>
      <c r="E38" t="s">
        <v>204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0.8</v>
      </c>
      <c r="M38" t="n">
        <v>0.9</v>
      </c>
      <c r="N38" t="n">
        <v>3</v>
      </c>
      <c r="O38" t="n">
        <v>2.9</v>
      </c>
      <c r="P38" t="n">
        <v>3.8</v>
      </c>
      <c r="Q38" t="n">
        <v>6.1</v>
      </c>
      <c r="R38" t="n">
        <v>12.8</v>
      </c>
      <c r="S38" t="n">
        <v>22.3</v>
      </c>
      <c r="T38" t="n">
        <v>32.9</v>
      </c>
      <c r="U38" t="n">
        <v>34.5</v>
      </c>
      <c r="V38" t="n">
        <v>35.7</v>
      </c>
      <c r="W38" t="n">
        <v>37.5</v>
      </c>
      <c r="X38" t="n">
        <v>39.8</v>
      </c>
      <c r="Y38" t="n">
        <v>43.1</v>
      </c>
      <c r="Z38" t="n">
        <v>47.7</v>
      </c>
      <c r="AA38" t="n">
        <v>51.5</v>
      </c>
      <c r="AB38" t="n">
        <v>53.7</v>
      </c>
      <c r="AC38" t="n">
        <v>52.3</v>
      </c>
      <c r="AD38" t="n">
        <v>53.6</v>
      </c>
      <c r="AE38" t="n">
        <v>54.8</v>
      </c>
      <c r="AF38" t="n">
        <v>52.4</v>
      </c>
    </row>
    <row r="39">
      <c r="A39" t="s">
        <v>130</v>
      </c>
      <c r="B39" t="s">
        <v>348</v>
      </c>
      <c r="C39" t="s">
        <v>203</v>
      </c>
      <c r="D39" t="s">
        <v>349</v>
      </c>
      <c r="E39" t="s">
        <v>204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3813.6</v>
      </c>
      <c r="L39" t="n">
        <v>3307.1</v>
      </c>
      <c r="M39" t="n">
        <v>4113.6</v>
      </c>
      <c r="N39" t="n">
        <v>4273.9</v>
      </c>
      <c r="O39" t="n">
        <v>4159.2</v>
      </c>
      <c r="P39" t="n">
        <v>4120.3</v>
      </c>
      <c r="Q39" t="n">
        <v>4452.1</v>
      </c>
      <c r="R39" t="n">
        <v>4396.8</v>
      </c>
      <c r="S39" t="n">
        <v>5159.8</v>
      </c>
      <c r="T39" t="n">
        <v>5999.5</v>
      </c>
      <c r="U39" t="n">
        <v>5938.7</v>
      </c>
      <c r="V39" t="n">
        <v>5738.4</v>
      </c>
      <c r="W39" t="n">
        <v>5857.7</v>
      </c>
      <c r="X39" t="n">
        <v>6033.8</v>
      </c>
      <c r="Y39" t="n">
        <v>6143.2</v>
      </c>
      <c r="Z39" t="n">
        <v>5858.2</v>
      </c>
      <c r="AA39" t="n">
        <v>6003.9</v>
      </c>
      <c r="AB39" t="n">
        <v>5900.6</v>
      </c>
      <c r="AC39" t="n">
        <v>5480.9</v>
      </c>
      <c r="AD39" t="n">
        <v>5618.8</v>
      </c>
      <c r="AE39" t="n">
        <v>5752.1</v>
      </c>
      <c r="AF39" t="n">
        <v>5500</v>
      </c>
    </row>
    <row r="40">
      <c r="A40" t="s">
        <v>130</v>
      </c>
      <c r="B40" t="s">
        <v>350</v>
      </c>
      <c r="C40" t="s">
        <v>203</v>
      </c>
      <c r="D40" t="s">
        <v>351</v>
      </c>
      <c r="E40" t="s">
        <v>204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4714.4</v>
      </c>
      <c r="L40" t="n">
        <v>4073.3</v>
      </c>
      <c r="M40" t="n">
        <v>5082.5</v>
      </c>
      <c r="N40" t="n">
        <v>5252</v>
      </c>
      <c r="O40" t="n">
        <v>5127.8</v>
      </c>
      <c r="P40" t="n">
        <v>5123.6</v>
      </c>
      <c r="Q40" t="n">
        <v>6085.1</v>
      </c>
      <c r="R40" t="n">
        <v>6385.2</v>
      </c>
      <c r="S40" t="n">
        <v>7936.8</v>
      </c>
      <c r="T40" t="n">
        <v>9457.5</v>
      </c>
      <c r="U40" t="n">
        <v>9439.6</v>
      </c>
      <c r="V40" t="n">
        <v>9351.7</v>
      </c>
      <c r="W40" t="n">
        <v>9571.1</v>
      </c>
      <c r="X40" t="n">
        <v>9884.4</v>
      </c>
      <c r="Y40" t="n">
        <v>10038.5</v>
      </c>
      <c r="Z40" t="n">
        <v>9596.8</v>
      </c>
      <c r="AA40" t="n">
        <v>9792.8</v>
      </c>
      <c r="AB40" t="n">
        <v>10070.3</v>
      </c>
      <c r="AC40" t="n">
        <v>9616.6</v>
      </c>
      <c r="AD40" t="n">
        <v>9858.6</v>
      </c>
      <c r="AE40" t="n">
        <v>10092.4</v>
      </c>
      <c r="AF40" t="n">
        <v>9650.2</v>
      </c>
    </row>
    <row r="41">
      <c r="A41" t="s">
        <v>130</v>
      </c>
      <c r="B41" t="s">
        <v>352</v>
      </c>
      <c r="C41" t="s">
        <v>203</v>
      </c>
      <c r="D41" t="s">
        <v>353</v>
      </c>
      <c r="E41" t="s">
        <v>204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130</v>
      </c>
      <c r="B42" t="s">
        <v>354</v>
      </c>
      <c r="C42" t="s">
        <v>203</v>
      </c>
      <c r="D42" t="s">
        <v>355</v>
      </c>
      <c r="E42" t="s">
        <v>204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3308.9</v>
      </c>
      <c r="L42" t="n">
        <v>2864.4</v>
      </c>
      <c r="M42" t="n">
        <v>3602</v>
      </c>
      <c r="N42" t="n">
        <v>3737.7</v>
      </c>
      <c r="O42" t="n">
        <v>3643</v>
      </c>
      <c r="P42" t="n">
        <v>3624.7</v>
      </c>
      <c r="Q42" t="n">
        <v>3952.1</v>
      </c>
      <c r="R42" t="n">
        <v>3976.5</v>
      </c>
      <c r="S42" t="n">
        <v>4796.4</v>
      </c>
      <c r="T42" t="n">
        <v>5645.7</v>
      </c>
      <c r="U42" t="n">
        <v>5615.5</v>
      </c>
      <c r="V42" t="n">
        <v>5450.8</v>
      </c>
      <c r="W42" t="n">
        <v>5580.6</v>
      </c>
      <c r="X42" t="n">
        <v>5765.2</v>
      </c>
      <c r="Y42" t="n">
        <v>5859.1</v>
      </c>
      <c r="Z42" t="n">
        <v>5596</v>
      </c>
      <c r="AA42" t="n">
        <v>5727.6</v>
      </c>
      <c r="AB42" t="n">
        <v>5701.7</v>
      </c>
      <c r="AC42" t="n">
        <v>5325.6</v>
      </c>
      <c r="AD42" t="n">
        <v>5459.6</v>
      </c>
      <c r="AE42" t="n">
        <v>5589.1</v>
      </c>
      <c r="AF42" t="n">
        <v>5344.2</v>
      </c>
    </row>
    <row r="43">
      <c r="A43" t="s">
        <v>130</v>
      </c>
      <c r="B43" t="s">
        <v>356</v>
      </c>
      <c r="C43" t="s">
        <v>203</v>
      </c>
      <c r="D43" t="s">
        <v>357</v>
      </c>
      <c r="E43" t="s">
        <v>204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7498.2</v>
      </c>
      <c r="L43" t="n">
        <v>6485.6</v>
      </c>
      <c r="M43" t="n">
        <v>8098.3</v>
      </c>
      <c r="N43" t="n">
        <v>8391.8</v>
      </c>
      <c r="O43" t="n">
        <v>8166.1</v>
      </c>
      <c r="P43" t="n">
        <v>8107.9</v>
      </c>
      <c r="Q43" t="n">
        <v>8807.8</v>
      </c>
      <c r="R43" t="n">
        <v>8802.4</v>
      </c>
      <c r="S43" t="n">
        <v>10414.5</v>
      </c>
      <c r="T43" t="n">
        <v>12200.6</v>
      </c>
      <c r="U43" t="n">
        <v>12107.8</v>
      </c>
      <c r="V43" t="n">
        <v>11719.6</v>
      </c>
      <c r="W43" t="n">
        <v>11970.6</v>
      </c>
      <c r="X43" t="n">
        <v>12337.9</v>
      </c>
      <c r="Y43" t="n">
        <v>12530.6</v>
      </c>
      <c r="Z43" t="n">
        <v>11951.6</v>
      </c>
      <c r="AA43" t="n">
        <v>12218.9</v>
      </c>
      <c r="AB43" t="n">
        <v>12101.3</v>
      </c>
      <c r="AC43" t="n">
        <v>11268.1</v>
      </c>
      <c r="AD43" t="n">
        <v>11551.6</v>
      </c>
      <c r="AE43" t="n">
        <v>11825.6</v>
      </c>
      <c r="AF43" t="n">
        <v>11307.4</v>
      </c>
    </row>
    <row r="44">
      <c r="A44" t="s">
        <v>130</v>
      </c>
      <c r="B44" t="s">
        <v>358</v>
      </c>
      <c r="C44" t="s">
        <v>203</v>
      </c>
      <c r="D44" t="s">
        <v>359</v>
      </c>
      <c r="E44" t="s">
        <v>204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107285.5</v>
      </c>
      <c r="L44" t="n">
        <v>93050.6</v>
      </c>
      <c r="M44" t="n">
        <v>116250.6</v>
      </c>
      <c r="N44" t="n">
        <v>120672.5</v>
      </c>
      <c r="O44" t="n">
        <v>117910.5</v>
      </c>
      <c r="P44" t="n">
        <v>117876.2</v>
      </c>
      <c r="Q44" t="n">
        <v>129596.6</v>
      </c>
      <c r="R44" t="n">
        <v>130079.6</v>
      </c>
      <c r="S44" t="n">
        <v>155016.8</v>
      </c>
      <c r="T44" t="n">
        <v>183723.1</v>
      </c>
      <c r="U44" t="n">
        <v>183480.9</v>
      </c>
      <c r="V44" t="n">
        <v>178433.6</v>
      </c>
      <c r="W44" t="n">
        <v>183134.9</v>
      </c>
      <c r="X44" t="n">
        <v>189655.3</v>
      </c>
      <c r="Y44" t="n">
        <v>193737.6</v>
      </c>
      <c r="Z44" t="n">
        <v>185411.3</v>
      </c>
      <c r="AA44" t="n">
        <v>191753.4</v>
      </c>
      <c r="AB44" t="n">
        <v>189665.6</v>
      </c>
      <c r="AC44" t="n">
        <v>177705.4</v>
      </c>
      <c r="AD44" t="n">
        <v>182177.3</v>
      </c>
      <c r="AE44" t="n">
        <v>186496.9</v>
      </c>
      <c r="AF44" t="n">
        <v>178325.7</v>
      </c>
    </row>
    <row r="45">
      <c r="A45" t="s">
        <v>130</v>
      </c>
      <c r="B45" t="s">
        <v>360</v>
      </c>
      <c r="C45" t="s">
        <v>203</v>
      </c>
      <c r="D45" t="s">
        <v>361</v>
      </c>
      <c r="E45" t="s">
        <v>204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105950.5</v>
      </c>
      <c r="L45" t="n">
        <v>91887.7</v>
      </c>
      <c r="M45" t="n">
        <v>114803.4</v>
      </c>
      <c r="N45" t="n">
        <v>119175.5</v>
      </c>
      <c r="O45" t="n">
        <v>116447</v>
      </c>
      <c r="P45" t="n">
        <v>116426.8</v>
      </c>
      <c r="Q45" t="n">
        <v>128029.2</v>
      </c>
      <c r="R45" t="n">
        <v>128526.4</v>
      </c>
      <c r="S45" t="n">
        <v>153201</v>
      </c>
      <c r="T45" t="n">
        <v>181608.6</v>
      </c>
      <c r="U45" t="n">
        <v>181385.2</v>
      </c>
      <c r="V45" t="n">
        <v>176408</v>
      </c>
      <c r="W45" t="n">
        <v>181068.2</v>
      </c>
      <c r="X45" t="n">
        <v>187527.5</v>
      </c>
      <c r="Y45" t="n">
        <v>191574.2</v>
      </c>
      <c r="Z45" t="n">
        <v>183344.6</v>
      </c>
      <c r="AA45" t="n">
        <v>189643.4</v>
      </c>
      <c r="AB45" t="n">
        <v>187601.6</v>
      </c>
      <c r="AC45" t="n">
        <v>175792.3</v>
      </c>
      <c r="AD45" t="n">
        <v>180216</v>
      </c>
      <c r="AE45" t="n">
        <v>184489.1</v>
      </c>
      <c r="AF45" t="n">
        <v>176405.9</v>
      </c>
    </row>
    <row r="46">
      <c r="A46" t="s">
        <v>130</v>
      </c>
      <c r="B46" t="s">
        <v>362</v>
      </c>
      <c r="C46" t="s">
        <v>203</v>
      </c>
      <c r="D46" t="s">
        <v>363</v>
      </c>
      <c r="E46" t="s">
        <v>204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4189.3</v>
      </c>
      <c r="L46" t="n">
        <v>3621.2</v>
      </c>
      <c r="M46" t="n">
        <v>4496.3</v>
      </c>
      <c r="N46" t="n">
        <v>4654.1</v>
      </c>
      <c r="O46" t="n">
        <v>4523.1</v>
      </c>
      <c r="P46" t="n">
        <v>4483.2</v>
      </c>
      <c r="Q46" t="n">
        <v>4855.7</v>
      </c>
      <c r="R46" t="n">
        <v>4825.9</v>
      </c>
      <c r="S46" t="n">
        <v>5618.1</v>
      </c>
      <c r="T46" t="n">
        <v>6554.9</v>
      </c>
      <c r="U46" t="n">
        <v>6492.3</v>
      </c>
      <c r="V46" t="n">
        <v>6268.8</v>
      </c>
      <c r="W46" t="n">
        <v>6390</v>
      </c>
      <c r="X46" t="n">
        <v>6572.7</v>
      </c>
      <c r="Y46" t="n">
        <v>6671.5</v>
      </c>
      <c r="Z46" t="n">
        <v>6355.6</v>
      </c>
      <c r="AA46" t="n">
        <v>6491.3</v>
      </c>
      <c r="AB46" t="n">
        <v>6399.6</v>
      </c>
      <c r="AC46" t="n">
        <v>5942.5</v>
      </c>
      <c r="AD46" t="n">
        <v>6092</v>
      </c>
      <c r="AE46" t="n">
        <v>6236.5</v>
      </c>
      <c r="AF46" t="n">
        <v>5963.2</v>
      </c>
    </row>
    <row r="47">
      <c r="A47" t="s">
        <v>130</v>
      </c>
      <c r="B47" t="s">
        <v>364</v>
      </c>
      <c r="C47" t="s">
        <v>203</v>
      </c>
      <c r="D47" t="s">
        <v>365</v>
      </c>
      <c r="E47" t="s">
        <v>204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1751.7</v>
      </c>
      <c r="L47" t="n">
        <v>1543.1</v>
      </c>
      <c r="M47" t="n">
        <v>1947</v>
      </c>
      <c r="N47" t="n">
        <v>2091.4</v>
      </c>
      <c r="O47" t="n">
        <v>2061.1</v>
      </c>
      <c r="P47" t="n">
        <v>2068</v>
      </c>
      <c r="Q47" t="n">
        <v>2263</v>
      </c>
      <c r="R47" t="n">
        <v>2342.7</v>
      </c>
      <c r="S47" t="n">
        <v>2765.4</v>
      </c>
      <c r="T47" t="n">
        <v>3418.8</v>
      </c>
      <c r="U47" t="n">
        <v>3646.2</v>
      </c>
      <c r="V47" t="n">
        <v>3548.3</v>
      </c>
      <c r="W47" t="n">
        <v>3623.3</v>
      </c>
      <c r="X47" t="n">
        <v>3733.6</v>
      </c>
      <c r="Y47" t="n">
        <v>3846.6</v>
      </c>
      <c r="Z47" t="n">
        <v>3662.8</v>
      </c>
      <c r="AA47" t="n">
        <v>3749.1</v>
      </c>
      <c r="AB47" t="n">
        <v>3670.6</v>
      </c>
      <c r="AC47" t="n">
        <v>3427.5</v>
      </c>
      <c r="AD47" t="n">
        <v>3513.8</v>
      </c>
      <c r="AE47" t="n">
        <v>3597.1</v>
      </c>
      <c r="AF47" t="n">
        <v>3439.5</v>
      </c>
    </row>
    <row r="48">
      <c r="A48" t="s">
        <v>130</v>
      </c>
      <c r="B48" t="s">
        <v>366</v>
      </c>
      <c r="C48" t="s">
        <v>203</v>
      </c>
      <c r="D48" t="s">
        <v>367</v>
      </c>
      <c r="E48" t="s">
        <v>204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2301.7</v>
      </c>
      <c r="L48" t="n">
        <v>2020.5</v>
      </c>
      <c r="M48" t="n">
        <v>2557.5</v>
      </c>
      <c r="N48" t="n">
        <v>2721.6</v>
      </c>
      <c r="O48" t="n">
        <v>2675.2</v>
      </c>
      <c r="P48" t="n">
        <v>2683</v>
      </c>
      <c r="Q48" t="n">
        <v>2931.8</v>
      </c>
      <c r="R48" t="n">
        <v>3006.7</v>
      </c>
      <c r="S48" t="n">
        <v>3541</v>
      </c>
      <c r="T48" t="n">
        <v>4326.3</v>
      </c>
      <c r="U48" t="n">
        <v>4547.4</v>
      </c>
      <c r="V48" t="n">
        <v>4419</v>
      </c>
      <c r="W48" t="n">
        <v>4512</v>
      </c>
      <c r="X48" t="n">
        <v>4648.8</v>
      </c>
      <c r="Y48" t="n">
        <v>4774.8</v>
      </c>
      <c r="Z48" t="n">
        <v>4563.3</v>
      </c>
      <c r="AA48" t="n">
        <v>4712.3</v>
      </c>
      <c r="AB48" t="n">
        <v>4617.5</v>
      </c>
      <c r="AC48" t="n">
        <v>4309.9</v>
      </c>
      <c r="AD48" t="n">
        <v>4418.3</v>
      </c>
      <c r="AE48" t="n">
        <v>4523.1</v>
      </c>
      <c r="AF48" t="n">
        <v>4324.9</v>
      </c>
    </row>
    <row r="49">
      <c r="A49" t="s">
        <v>130</v>
      </c>
      <c r="B49" t="s">
        <v>368</v>
      </c>
      <c r="C49" t="s">
        <v>203</v>
      </c>
      <c r="D49" t="s">
        <v>369</v>
      </c>
      <c r="E49" t="s">
        <v>204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550</v>
      </c>
      <c r="L49" t="n">
        <v>475.9</v>
      </c>
      <c r="M49" t="n">
        <v>606.2</v>
      </c>
      <c r="N49" t="n">
        <v>625.8</v>
      </c>
      <c r="O49" t="n">
        <v>609.8</v>
      </c>
      <c r="P49" t="n">
        <v>606.3</v>
      </c>
      <c r="Q49" t="n">
        <v>657.3</v>
      </c>
      <c r="R49" t="n">
        <v>652</v>
      </c>
      <c r="S49" t="n">
        <v>759.4</v>
      </c>
      <c r="T49" t="n">
        <v>884.1</v>
      </c>
      <c r="U49" t="n">
        <v>876</v>
      </c>
      <c r="V49" t="n">
        <v>845.8</v>
      </c>
      <c r="W49" t="n">
        <v>862.2</v>
      </c>
      <c r="X49" t="n">
        <v>887</v>
      </c>
      <c r="Y49" t="n">
        <v>899.4</v>
      </c>
      <c r="Z49" t="n">
        <v>863.7</v>
      </c>
      <c r="AA49" t="n">
        <v>887.9</v>
      </c>
      <c r="AB49" t="n">
        <v>872.1</v>
      </c>
      <c r="AC49" t="n">
        <v>809.7</v>
      </c>
      <c r="AD49" t="n">
        <v>830</v>
      </c>
      <c r="AE49" t="n">
        <v>849.7</v>
      </c>
      <c r="AF49" t="n">
        <v>812.5</v>
      </c>
    </row>
    <row r="50">
      <c r="A50" t="s">
        <v>130</v>
      </c>
      <c r="B50" t="s">
        <v>370</v>
      </c>
      <c r="C50" t="s">
        <v>203</v>
      </c>
      <c r="D50" t="s">
        <v>371</v>
      </c>
      <c r="E50" t="s">
        <v>204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1.5</v>
      </c>
      <c r="M50" t="n">
        <v>4.2</v>
      </c>
      <c r="N50" t="n">
        <v>4.4</v>
      </c>
      <c r="O50" t="n">
        <v>4.2</v>
      </c>
      <c r="P50" t="n">
        <v>8.7</v>
      </c>
      <c r="Q50" t="n">
        <v>11.4</v>
      </c>
      <c r="R50" t="n">
        <v>12.1</v>
      </c>
      <c r="S50" t="n">
        <v>16.2</v>
      </c>
      <c r="T50" t="n">
        <v>23.4</v>
      </c>
      <c r="U50" t="n">
        <v>25.2</v>
      </c>
      <c r="V50" t="n">
        <v>25</v>
      </c>
      <c r="W50" t="n">
        <v>26.5</v>
      </c>
      <c r="X50" t="n">
        <v>28.3</v>
      </c>
      <c r="Y50" t="n">
        <v>28.8</v>
      </c>
      <c r="Z50" t="n">
        <v>36.9</v>
      </c>
      <c r="AA50" t="n">
        <v>75.4</v>
      </c>
      <c r="AB50" t="n">
        <v>74.8</v>
      </c>
      <c r="AC50" t="n">
        <v>72.7</v>
      </c>
      <c r="AD50" t="n">
        <v>74.5</v>
      </c>
      <c r="AE50" t="n">
        <v>76.3</v>
      </c>
      <c r="AF50" t="n">
        <v>73</v>
      </c>
    </row>
    <row r="51">
      <c r="A51" t="s">
        <v>130</v>
      </c>
      <c r="B51" t="s">
        <v>372</v>
      </c>
      <c r="C51" t="s">
        <v>203</v>
      </c>
      <c r="D51" t="s">
        <v>373</v>
      </c>
      <c r="E51" t="s">
        <v>204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1.5</v>
      </c>
      <c r="M51" t="n">
        <v>4.2</v>
      </c>
      <c r="N51" t="n">
        <v>4.4</v>
      </c>
      <c r="O51" t="n">
        <v>4.2</v>
      </c>
      <c r="P51" t="n">
        <v>8.7</v>
      </c>
      <c r="Q51" t="n">
        <v>10.4</v>
      </c>
      <c r="R51" t="n">
        <v>11.1</v>
      </c>
      <c r="S51" t="n">
        <v>15</v>
      </c>
      <c r="T51" t="n">
        <v>19.8</v>
      </c>
      <c r="U51" t="n">
        <v>21.6</v>
      </c>
      <c r="V51" t="n">
        <v>21.4</v>
      </c>
      <c r="W51" t="n">
        <v>22.8</v>
      </c>
      <c r="X51" t="n">
        <v>24.5</v>
      </c>
      <c r="Y51" t="n">
        <v>25</v>
      </c>
      <c r="Z51" t="n">
        <v>24.8</v>
      </c>
      <c r="AA51" t="n">
        <v>61.2</v>
      </c>
      <c r="AB51" t="n">
        <v>60</v>
      </c>
      <c r="AC51" t="n">
        <v>58.4</v>
      </c>
      <c r="AD51" t="n">
        <v>59.8</v>
      </c>
      <c r="AE51" t="n">
        <v>61.3</v>
      </c>
      <c r="AF51" t="n">
        <v>58.6</v>
      </c>
    </row>
    <row r="52">
      <c r="A52" t="s">
        <v>130</v>
      </c>
      <c r="B52" t="s">
        <v>374</v>
      </c>
      <c r="C52" t="s">
        <v>203</v>
      </c>
      <c r="D52" t="s">
        <v>375</v>
      </c>
      <c r="E52" t="s">
        <v>204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1</v>
      </c>
      <c r="R52" t="n">
        <v>1</v>
      </c>
      <c r="S52" t="n">
        <v>1.2</v>
      </c>
      <c r="T52" t="n">
        <v>3.6</v>
      </c>
      <c r="U52" t="n">
        <v>3.6</v>
      </c>
      <c r="V52" t="n">
        <v>3.6</v>
      </c>
      <c r="W52" t="n">
        <v>3.7</v>
      </c>
      <c r="X52" t="n">
        <v>3.8</v>
      </c>
      <c r="Y52" t="n">
        <v>3.8</v>
      </c>
      <c r="Z52" t="n">
        <v>12.1</v>
      </c>
      <c r="AA52" t="n">
        <v>14.2</v>
      </c>
      <c r="AB52" t="n">
        <v>14.8</v>
      </c>
      <c r="AC52" t="n">
        <v>14.3</v>
      </c>
      <c r="AD52" t="n">
        <v>14.7</v>
      </c>
      <c r="AE52" t="n">
        <v>15</v>
      </c>
      <c r="AF52" t="n">
        <v>14.4</v>
      </c>
    </row>
    <row r="53">
      <c r="A53" t="s">
        <v>130</v>
      </c>
      <c r="B53" t="s">
        <v>376</v>
      </c>
      <c r="C53" t="s">
        <v>203</v>
      </c>
      <c r="D53" t="s">
        <v>377</v>
      </c>
      <c r="E53" t="s">
        <v>204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549.3</v>
      </c>
      <c r="L53" t="n">
        <v>474.5</v>
      </c>
      <c r="M53" t="n">
        <v>589</v>
      </c>
      <c r="N53" t="n">
        <v>609.1</v>
      </c>
      <c r="O53" t="n">
        <v>592.6</v>
      </c>
      <c r="P53" t="n">
        <v>587.5</v>
      </c>
      <c r="Q53" t="n">
        <v>640.1</v>
      </c>
      <c r="R53" t="n">
        <v>692.5</v>
      </c>
      <c r="S53" t="n">
        <v>805.4</v>
      </c>
      <c r="T53" t="n">
        <v>938.7</v>
      </c>
      <c r="U53" t="n">
        <v>930</v>
      </c>
      <c r="V53" t="n">
        <v>898.2</v>
      </c>
      <c r="W53" t="n">
        <v>916.3</v>
      </c>
      <c r="X53" t="n">
        <v>943.2</v>
      </c>
      <c r="Y53" t="n">
        <v>958.2</v>
      </c>
      <c r="Z53" t="n">
        <v>913.3</v>
      </c>
      <c r="AA53" t="n">
        <v>931.5</v>
      </c>
      <c r="AB53" t="n">
        <v>926.4</v>
      </c>
      <c r="AC53" t="n">
        <v>870.4</v>
      </c>
      <c r="AD53" t="n">
        <v>892.3</v>
      </c>
      <c r="AE53" t="n">
        <v>913.4</v>
      </c>
      <c r="AF53" t="n">
        <v>873.4</v>
      </c>
    </row>
    <row r="54">
      <c r="A54" t="s">
        <v>130</v>
      </c>
      <c r="B54" t="s">
        <v>378</v>
      </c>
      <c r="C54" t="s">
        <v>203</v>
      </c>
      <c r="D54" t="s">
        <v>379</v>
      </c>
      <c r="E54" t="s">
        <v>204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549.3</v>
      </c>
      <c r="L54" t="n">
        <v>475.3</v>
      </c>
      <c r="M54" t="n">
        <v>589.9</v>
      </c>
      <c r="N54" t="n">
        <v>610.1</v>
      </c>
      <c r="O54" t="n">
        <v>593.5</v>
      </c>
      <c r="P54" t="n">
        <v>589.3</v>
      </c>
      <c r="Q54" t="n">
        <v>645.1</v>
      </c>
      <c r="R54" t="n">
        <v>699.1</v>
      </c>
      <c r="S54" t="n">
        <v>814.1</v>
      </c>
      <c r="T54" t="n">
        <v>948.9</v>
      </c>
      <c r="U54" t="n">
        <v>941.1</v>
      </c>
      <c r="V54" t="n">
        <v>910.8</v>
      </c>
      <c r="W54" t="n">
        <v>932.6</v>
      </c>
      <c r="X54" t="n">
        <v>963.4</v>
      </c>
      <c r="Y54" t="n">
        <v>981.9</v>
      </c>
      <c r="Z54" t="n">
        <v>937.8</v>
      </c>
      <c r="AA54" t="n">
        <v>959.9</v>
      </c>
      <c r="AB54" t="n">
        <v>958.2</v>
      </c>
      <c r="AC54" t="n">
        <v>902.8</v>
      </c>
      <c r="AD54" t="n">
        <v>925.5</v>
      </c>
      <c r="AE54" t="n">
        <v>947.4</v>
      </c>
      <c r="AF54" t="n">
        <v>905.9</v>
      </c>
    </row>
    <row r="55">
      <c r="A55" t="s">
        <v>130</v>
      </c>
      <c r="B55" t="s">
        <v>380</v>
      </c>
      <c r="C55" t="s">
        <v>203</v>
      </c>
      <c r="D55" t="s">
        <v>381</v>
      </c>
      <c r="E55" t="s">
        <v>204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0.8</v>
      </c>
      <c r="M55" t="n">
        <v>0.9</v>
      </c>
      <c r="N55" t="n">
        <v>1</v>
      </c>
      <c r="O55" t="n">
        <v>0.9</v>
      </c>
      <c r="P55" t="n">
        <v>1.8</v>
      </c>
      <c r="Q55" t="n">
        <v>5</v>
      </c>
      <c r="R55" t="n">
        <v>6.6</v>
      </c>
      <c r="S55" t="n">
        <v>8.7</v>
      </c>
      <c r="T55" t="n">
        <v>10.2</v>
      </c>
      <c r="U55" t="n">
        <v>11.1</v>
      </c>
      <c r="V55" t="n">
        <v>12.6</v>
      </c>
      <c r="W55" t="n">
        <v>16.3</v>
      </c>
      <c r="X55" t="n">
        <v>20.2</v>
      </c>
      <c r="Y55" t="n">
        <v>23.7</v>
      </c>
      <c r="Z55" t="n">
        <v>24.5</v>
      </c>
      <c r="AA55" t="n">
        <v>28.4</v>
      </c>
      <c r="AB55" t="n">
        <v>31.8</v>
      </c>
      <c r="AC55" t="n">
        <v>32.4</v>
      </c>
      <c r="AD55" t="n">
        <v>33.2</v>
      </c>
      <c r="AE55" t="n">
        <v>34</v>
      </c>
      <c r="AF55" t="n">
        <v>32.5</v>
      </c>
    </row>
    <row r="56">
      <c r="A56" t="s">
        <v>130</v>
      </c>
      <c r="B56" t="s">
        <v>382</v>
      </c>
      <c r="C56" t="s">
        <v>203</v>
      </c>
      <c r="D56" t="s">
        <v>383</v>
      </c>
      <c r="E56" t="s">
        <v>204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130</v>
      </c>
      <c r="B57" t="s">
        <v>384</v>
      </c>
      <c r="C57" t="s">
        <v>203</v>
      </c>
      <c r="D57" t="s">
        <v>385</v>
      </c>
      <c r="E57" t="s">
        <v>204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114301.6</v>
      </c>
      <c r="L57" t="n">
        <v>99144.4</v>
      </c>
      <c r="M57" t="n">
        <v>123890.5</v>
      </c>
      <c r="N57" t="n">
        <v>128646.1</v>
      </c>
      <c r="O57" t="n">
        <v>125713.4</v>
      </c>
      <c r="P57" t="n">
        <v>125682.8</v>
      </c>
      <c r="Q57" t="n">
        <v>138613.4</v>
      </c>
      <c r="R57" t="n">
        <v>139471.6</v>
      </c>
      <c r="S57" t="n">
        <v>166494.6</v>
      </c>
      <c r="T57" t="n">
        <v>197506.9</v>
      </c>
      <c r="U57" t="n">
        <v>197467.9</v>
      </c>
      <c r="V57" t="n">
        <v>192204.4</v>
      </c>
      <c r="W57" t="n">
        <v>197218</v>
      </c>
      <c r="X57" t="n">
        <v>204188.6</v>
      </c>
      <c r="Y57" t="n">
        <v>208550.9</v>
      </c>
      <c r="Z57" t="n">
        <v>199571.5</v>
      </c>
      <c r="AA57" t="n">
        <v>206258.6</v>
      </c>
      <c r="AB57" t="n">
        <v>204353.4</v>
      </c>
      <c r="AC57" t="n">
        <v>191631.9</v>
      </c>
      <c r="AD57" t="n">
        <v>196454.2</v>
      </c>
      <c r="AE57" t="n">
        <v>201112.4</v>
      </c>
      <c r="AF57" t="n">
        <v>192300.9</v>
      </c>
    </row>
    <row r="58">
      <c r="A58" t="s">
        <v>130</v>
      </c>
      <c r="B58" t="s">
        <v>386</v>
      </c>
      <c r="C58" t="s">
        <v>203</v>
      </c>
      <c r="D58" t="s">
        <v>387</v>
      </c>
      <c r="E58" t="s">
        <v>204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114301.6</v>
      </c>
      <c r="L58" t="n">
        <v>99144.4</v>
      </c>
      <c r="M58" t="n">
        <v>123890.5</v>
      </c>
      <c r="N58" t="n">
        <v>128646.1</v>
      </c>
      <c r="O58" t="n">
        <v>125713.4</v>
      </c>
      <c r="P58" t="n">
        <v>125682.8</v>
      </c>
      <c r="Q58" t="n">
        <v>138613.4</v>
      </c>
      <c r="R58" t="n">
        <v>139471.6</v>
      </c>
      <c r="S58" t="n">
        <v>166494.6</v>
      </c>
      <c r="T58" t="n">
        <v>197506.9</v>
      </c>
      <c r="U58" t="n">
        <v>197467.9</v>
      </c>
      <c r="V58" t="n">
        <v>192204.4</v>
      </c>
      <c r="W58" t="n">
        <v>197218</v>
      </c>
      <c r="X58" t="n">
        <v>204188.6</v>
      </c>
      <c r="Y58" t="n">
        <v>208550.9</v>
      </c>
      <c r="Z58" t="n">
        <v>199571.5</v>
      </c>
      <c r="AA58" t="n">
        <v>206258.6</v>
      </c>
      <c r="AB58" t="n">
        <v>204353.4</v>
      </c>
      <c r="AC58" t="n">
        <v>191631.9</v>
      </c>
      <c r="AD58" t="n">
        <v>196454.2</v>
      </c>
      <c r="AE58" t="n">
        <v>201112.4</v>
      </c>
      <c r="AF58" t="n">
        <v>192300.9</v>
      </c>
    </row>
    <row r="59">
      <c r="A59" t="s">
        <v>130</v>
      </c>
      <c r="B59" t="s">
        <v>388</v>
      </c>
      <c r="C59" t="s">
        <v>203</v>
      </c>
      <c r="D59" t="s">
        <v>389</v>
      </c>
      <c r="E59" t="s">
        <v>204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132</v>
      </c>
      <c r="B2" t="s">
        <v>197</v>
      </c>
      <c r="C2" t="s">
        <v>203</v>
      </c>
      <c r="D2" t="s">
        <v>199</v>
      </c>
      <c r="E2" t="s">
        <v>204</v>
      </c>
      <c r="F2"/>
      <c r="G2"/>
      <c r="H2"/>
      <c r="I2"/>
      <c r="J2"/>
      <c r="K2" t="n">
        <v>445.8</v>
      </c>
      <c r="L2" t="n">
        <v>614.6</v>
      </c>
      <c r="M2" t="n">
        <v>841.1</v>
      </c>
      <c r="N2" t="n">
        <v>948</v>
      </c>
      <c r="O2" t="n">
        <v>1133.5</v>
      </c>
      <c r="P2" t="n">
        <v>1084.2</v>
      </c>
      <c r="Q2" t="n">
        <v>1079.2</v>
      </c>
      <c r="R2" t="n">
        <v>1012.4</v>
      </c>
      <c r="S2" t="n">
        <v>1114</v>
      </c>
      <c r="T2" t="n">
        <v>1265</v>
      </c>
      <c r="U2" t="n">
        <v>1001.5</v>
      </c>
      <c r="V2" t="n">
        <v>814.3</v>
      </c>
      <c r="W2" t="n">
        <v>853.5</v>
      </c>
      <c r="X2" t="n">
        <v>775.3</v>
      </c>
      <c r="Y2" t="n">
        <v>941.1</v>
      </c>
      <c r="Z2" t="n">
        <v>865.5</v>
      </c>
      <c r="AA2" t="n">
        <v>650.4</v>
      </c>
      <c r="AB2" t="n">
        <v>542.7</v>
      </c>
      <c r="AC2" t="n">
        <v>548.1</v>
      </c>
      <c r="AD2" t="n">
        <v>686</v>
      </c>
      <c r="AE2" t="n">
        <v>786.5</v>
      </c>
      <c r="AF2" t="n">
        <v>868.4</v>
      </c>
    </row>
    <row r="3">
      <c r="A3" t="s">
        <v>132</v>
      </c>
      <c r="B3" t="s">
        <v>276</v>
      </c>
      <c r="C3" t="s">
        <v>203</v>
      </c>
      <c r="D3" t="s">
        <v>277</v>
      </c>
      <c r="E3" t="s">
        <v>204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132</v>
      </c>
      <c r="B4" t="s">
        <v>278</v>
      </c>
      <c r="C4" t="s">
        <v>203</v>
      </c>
      <c r="D4" t="s">
        <v>279</v>
      </c>
      <c r="E4" t="s">
        <v>204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132</v>
      </c>
      <c r="B5" t="s">
        <v>280</v>
      </c>
      <c r="C5" t="s">
        <v>203</v>
      </c>
      <c r="D5" t="s">
        <v>281</v>
      </c>
      <c r="E5" t="s">
        <v>204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132</v>
      </c>
      <c r="B6" t="s">
        <v>282</v>
      </c>
      <c r="C6" t="s">
        <v>203</v>
      </c>
      <c r="D6" t="s">
        <v>283</v>
      </c>
      <c r="E6" t="s">
        <v>204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132</v>
      </c>
      <c r="B7" t="s">
        <v>284</v>
      </c>
      <c r="C7" t="s">
        <v>203</v>
      </c>
      <c r="D7" t="s">
        <v>285</v>
      </c>
      <c r="E7" t="s">
        <v>204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132</v>
      </c>
      <c r="B8" t="s">
        <v>286</v>
      </c>
      <c r="C8" t="s">
        <v>203</v>
      </c>
      <c r="D8" t="s">
        <v>287</v>
      </c>
      <c r="E8" t="s">
        <v>204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132</v>
      </c>
      <c r="B9" t="s">
        <v>288</v>
      </c>
      <c r="C9" t="s">
        <v>203</v>
      </c>
      <c r="D9" t="s">
        <v>289</v>
      </c>
      <c r="E9" t="s">
        <v>204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132</v>
      </c>
      <c r="B10" t="s">
        <v>290</v>
      </c>
      <c r="C10" t="s">
        <v>203</v>
      </c>
      <c r="D10" t="s">
        <v>291</v>
      </c>
      <c r="E10" t="s">
        <v>204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132</v>
      </c>
      <c r="B11" t="s">
        <v>292</v>
      </c>
      <c r="C11" t="s">
        <v>203</v>
      </c>
      <c r="D11" t="s">
        <v>293</v>
      </c>
      <c r="E11" t="s">
        <v>204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132</v>
      </c>
      <c r="B12" t="s">
        <v>294</v>
      </c>
      <c r="C12" t="s">
        <v>203</v>
      </c>
      <c r="D12" t="s">
        <v>295</v>
      </c>
      <c r="E12" t="s">
        <v>204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132</v>
      </c>
      <c r="B13" t="s">
        <v>296</v>
      </c>
      <c r="C13" t="s">
        <v>203</v>
      </c>
      <c r="D13" t="s">
        <v>297</v>
      </c>
      <c r="E13" t="s">
        <v>204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132</v>
      </c>
      <c r="B14" t="s">
        <v>298</v>
      </c>
      <c r="C14" t="s">
        <v>203</v>
      </c>
      <c r="D14" t="s">
        <v>299</v>
      </c>
      <c r="E14" t="s">
        <v>204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132</v>
      </c>
      <c r="B15" t="s">
        <v>300</v>
      </c>
      <c r="C15" t="s">
        <v>203</v>
      </c>
      <c r="D15" t="s">
        <v>301</v>
      </c>
      <c r="E15" t="s">
        <v>204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132</v>
      </c>
      <c r="B16" t="s">
        <v>302</v>
      </c>
      <c r="C16" t="s">
        <v>203</v>
      </c>
      <c r="D16" t="s">
        <v>303</v>
      </c>
      <c r="E16" t="s">
        <v>204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132</v>
      </c>
      <c r="B17" t="s">
        <v>304</v>
      </c>
      <c r="C17" t="s">
        <v>203</v>
      </c>
      <c r="D17" t="s">
        <v>305</v>
      </c>
      <c r="E17" t="s">
        <v>204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132</v>
      </c>
      <c r="B18" t="s">
        <v>306</v>
      </c>
      <c r="C18" t="s">
        <v>203</v>
      </c>
      <c r="D18" t="s">
        <v>307</v>
      </c>
      <c r="E18" t="s">
        <v>204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132</v>
      </c>
      <c r="B19" t="s">
        <v>308</v>
      </c>
      <c r="C19" t="s">
        <v>203</v>
      </c>
      <c r="D19" t="s">
        <v>309</v>
      </c>
      <c r="E19" t="s">
        <v>204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132</v>
      </c>
      <c r="B20" t="s">
        <v>310</v>
      </c>
      <c r="C20" t="s">
        <v>203</v>
      </c>
      <c r="D20" t="s">
        <v>311</v>
      </c>
      <c r="E20" t="s">
        <v>204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132</v>
      </c>
      <c r="B21" t="s">
        <v>312</v>
      </c>
      <c r="C21" t="s">
        <v>203</v>
      </c>
      <c r="D21" t="s">
        <v>313</v>
      </c>
      <c r="E21" t="s">
        <v>204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132</v>
      </c>
      <c r="B22" t="s">
        <v>314</v>
      </c>
      <c r="C22" t="s">
        <v>203</v>
      </c>
      <c r="D22" t="s">
        <v>315</v>
      </c>
      <c r="E22" t="s">
        <v>204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132</v>
      </c>
      <c r="B23" t="s">
        <v>316</v>
      </c>
      <c r="C23" t="s">
        <v>203</v>
      </c>
      <c r="D23" t="s">
        <v>317</v>
      </c>
      <c r="E23" t="s">
        <v>204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132</v>
      </c>
      <c r="B24" t="s">
        <v>318</v>
      </c>
      <c r="C24" t="s">
        <v>203</v>
      </c>
      <c r="D24" t="s">
        <v>319</v>
      </c>
      <c r="E24" t="s">
        <v>204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132</v>
      </c>
      <c r="B25" t="s">
        <v>320</v>
      </c>
      <c r="C25" t="s">
        <v>203</v>
      </c>
      <c r="D25" t="s">
        <v>321</v>
      </c>
      <c r="E25" t="s">
        <v>204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132</v>
      </c>
      <c r="B26" t="s">
        <v>322</v>
      </c>
      <c r="C26" t="s">
        <v>203</v>
      </c>
      <c r="D26" t="s">
        <v>323</v>
      </c>
      <c r="E26" t="s">
        <v>204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132</v>
      </c>
      <c r="B27" t="s">
        <v>324</v>
      </c>
      <c r="C27" t="s">
        <v>203</v>
      </c>
      <c r="D27" t="s">
        <v>325</v>
      </c>
      <c r="E27" t="s">
        <v>204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132</v>
      </c>
      <c r="B28" t="s">
        <v>326</v>
      </c>
      <c r="C28" t="s">
        <v>203</v>
      </c>
      <c r="D28" t="s">
        <v>327</v>
      </c>
      <c r="E28" t="s">
        <v>204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132</v>
      </c>
      <c r="B29" t="s">
        <v>328</v>
      </c>
      <c r="C29" t="s">
        <v>203</v>
      </c>
      <c r="D29" t="s">
        <v>329</v>
      </c>
      <c r="E29" t="s">
        <v>204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132</v>
      </c>
      <c r="B30" t="s">
        <v>330</v>
      </c>
      <c r="C30" t="s">
        <v>203</v>
      </c>
      <c r="D30" t="s">
        <v>331</v>
      </c>
      <c r="E30" t="s">
        <v>204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132</v>
      </c>
      <c r="B31" t="s">
        <v>332</v>
      </c>
      <c r="C31" t="s">
        <v>203</v>
      </c>
      <c r="D31" t="s">
        <v>333</v>
      </c>
      <c r="E31" t="s">
        <v>204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132</v>
      </c>
      <c r="B32" t="s">
        <v>334</v>
      </c>
      <c r="C32" t="s">
        <v>203</v>
      </c>
      <c r="D32" t="s">
        <v>335</v>
      </c>
      <c r="E32" t="s">
        <v>204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132</v>
      </c>
      <c r="B33" t="s">
        <v>336</v>
      </c>
      <c r="C33" t="s">
        <v>203</v>
      </c>
      <c r="D33" t="s">
        <v>337</v>
      </c>
      <c r="E33" t="s">
        <v>204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132</v>
      </c>
      <c r="B34" t="s">
        <v>338</v>
      </c>
      <c r="C34" t="s">
        <v>203</v>
      </c>
      <c r="D34" t="s">
        <v>339</v>
      </c>
      <c r="E34" t="s">
        <v>204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132</v>
      </c>
      <c r="B35" t="s">
        <v>340</v>
      </c>
      <c r="C35" t="s">
        <v>203</v>
      </c>
      <c r="D35" t="s">
        <v>341</v>
      </c>
      <c r="E35" t="s">
        <v>204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132</v>
      </c>
      <c r="B36" t="s">
        <v>342</v>
      </c>
      <c r="C36" t="s">
        <v>203</v>
      </c>
      <c r="D36" t="s">
        <v>343</v>
      </c>
      <c r="E36" t="s">
        <v>204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132</v>
      </c>
      <c r="B37" t="s">
        <v>344</v>
      </c>
      <c r="C37" t="s">
        <v>203</v>
      </c>
      <c r="D37" t="s">
        <v>345</v>
      </c>
      <c r="E37" t="s">
        <v>204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132</v>
      </c>
      <c r="B38" t="s">
        <v>346</v>
      </c>
      <c r="C38" t="s">
        <v>203</v>
      </c>
      <c r="D38" t="s">
        <v>347</v>
      </c>
      <c r="E38" t="s">
        <v>204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132</v>
      </c>
      <c r="B39" t="s">
        <v>348</v>
      </c>
      <c r="C39" t="s">
        <v>203</v>
      </c>
      <c r="D39" t="s">
        <v>349</v>
      </c>
      <c r="E39" t="s">
        <v>204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132</v>
      </c>
      <c r="B40" t="s">
        <v>350</v>
      </c>
      <c r="C40" t="s">
        <v>203</v>
      </c>
      <c r="D40" t="s">
        <v>351</v>
      </c>
      <c r="E40" t="s">
        <v>204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132</v>
      </c>
      <c r="B41" t="s">
        <v>352</v>
      </c>
      <c r="C41" t="s">
        <v>203</v>
      </c>
      <c r="D41" t="s">
        <v>353</v>
      </c>
      <c r="E41" t="s">
        <v>204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132</v>
      </c>
      <c r="B42" t="s">
        <v>354</v>
      </c>
      <c r="C42" t="s">
        <v>203</v>
      </c>
      <c r="D42" t="s">
        <v>355</v>
      </c>
      <c r="E42" t="s">
        <v>204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132</v>
      </c>
      <c r="B43" t="s">
        <v>356</v>
      </c>
      <c r="C43" t="s">
        <v>203</v>
      </c>
      <c r="D43" t="s">
        <v>357</v>
      </c>
      <c r="E43" t="s">
        <v>204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132</v>
      </c>
      <c r="B44" t="s">
        <v>358</v>
      </c>
      <c r="C44" t="s">
        <v>203</v>
      </c>
      <c r="D44" t="s">
        <v>359</v>
      </c>
      <c r="E44" t="s">
        <v>204</v>
      </c>
      <c r="F44"/>
      <c r="G44"/>
      <c r="H44"/>
      <c r="I44"/>
      <c r="J44"/>
      <c r="K44" t="n">
        <v>445.8</v>
      </c>
      <c r="L44" t="n">
        <v>614.6</v>
      </c>
      <c r="M44" t="n">
        <v>841.1</v>
      </c>
      <c r="N44" t="n">
        <v>948</v>
      </c>
      <c r="O44" t="n">
        <v>1133.5</v>
      </c>
      <c r="P44" t="n">
        <v>1084.2</v>
      </c>
      <c r="Q44" t="n">
        <v>1079.2</v>
      </c>
      <c r="R44" t="n">
        <v>1012.4</v>
      </c>
      <c r="S44" t="n">
        <v>1114</v>
      </c>
      <c r="T44" t="n">
        <v>1265</v>
      </c>
      <c r="U44" t="n">
        <v>1001.5</v>
      </c>
      <c r="V44" t="n">
        <v>814.3</v>
      </c>
      <c r="W44" t="n">
        <v>853.5</v>
      </c>
      <c r="X44" t="n">
        <v>775.3</v>
      </c>
      <c r="Y44" t="n">
        <v>947.1</v>
      </c>
      <c r="Z44" t="n">
        <v>872</v>
      </c>
      <c r="AA44" t="n">
        <v>662.2</v>
      </c>
      <c r="AB44" t="n">
        <v>564.8</v>
      </c>
      <c r="AC44" t="n">
        <v>576.7</v>
      </c>
      <c r="AD44" t="n">
        <v>722.2</v>
      </c>
      <c r="AE44" t="n">
        <v>827.5</v>
      </c>
      <c r="AF44" t="n">
        <v>913.8</v>
      </c>
    </row>
    <row r="45">
      <c r="A45" t="s">
        <v>132</v>
      </c>
      <c r="B45" t="s">
        <v>360</v>
      </c>
      <c r="C45" t="s">
        <v>203</v>
      </c>
      <c r="D45" t="s">
        <v>361</v>
      </c>
      <c r="E45" t="s">
        <v>204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132</v>
      </c>
      <c r="B46" t="s">
        <v>362</v>
      </c>
      <c r="C46" t="s">
        <v>203</v>
      </c>
      <c r="D46" t="s">
        <v>363</v>
      </c>
      <c r="E46" t="s">
        <v>204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132</v>
      </c>
      <c r="B47" t="s">
        <v>364</v>
      </c>
      <c r="C47" t="s">
        <v>203</v>
      </c>
      <c r="D47" t="s">
        <v>365</v>
      </c>
      <c r="E47" t="s">
        <v>204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132</v>
      </c>
      <c r="B48" t="s">
        <v>366</v>
      </c>
      <c r="C48" t="s">
        <v>203</v>
      </c>
      <c r="D48" t="s">
        <v>367</v>
      </c>
      <c r="E48" t="s">
        <v>204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132</v>
      </c>
      <c r="B49" t="s">
        <v>368</v>
      </c>
      <c r="C49" t="s">
        <v>203</v>
      </c>
      <c r="D49" t="s">
        <v>369</v>
      </c>
      <c r="E49" t="s">
        <v>204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132</v>
      </c>
      <c r="B50" t="s">
        <v>370</v>
      </c>
      <c r="C50" t="s">
        <v>203</v>
      </c>
      <c r="D50" t="s">
        <v>371</v>
      </c>
      <c r="E50" t="s">
        <v>204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132</v>
      </c>
      <c r="B51" t="s">
        <v>372</v>
      </c>
      <c r="C51" t="s">
        <v>203</v>
      </c>
      <c r="D51" t="s">
        <v>373</v>
      </c>
      <c r="E51" t="s">
        <v>204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132</v>
      </c>
      <c r="B52" t="s">
        <v>374</v>
      </c>
      <c r="C52" t="s">
        <v>203</v>
      </c>
      <c r="D52" t="s">
        <v>375</v>
      </c>
      <c r="E52" t="s">
        <v>204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132</v>
      </c>
      <c r="B53" t="s">
        <v>376</v>
      </c>
      <c r="C53" t="s">
        <v>203</v>
      </c>
      <c r="D53" t="s">
        <v>377</v>
      </c>
      <c r="E53" t="s">
        <v>204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132</v>
      </c>
      <c r="B54" t="s">
        <v>378</v>
      </c>
      <c r="C54" t="s">
        <v>203</v>
      </c>
      <c r="D54" t="s">
        <v>379</v>
      </c>
      <c r="E54" t="s">
        <v>204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132</v>
      </c>
      <c r="B55" t="s">
        <v>380</v>
      </c>
      <c r="C55" t="s">
        <v>203</v>
      </c>
      <c r="D55" t="s">
        <v>381</v>
      </c>
      <c r="E55" t="s">
        <v>204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132</v>
      </c>
      <c r="B56" t="s">
        <v>382</v>
      </c>
      <c r="C56" t="s">
        <v>203</v>
      </c>
      <c r="D56" t="s">
        <v>383</v>
      </c>
      <c r="E56" t="s">
        <v>204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132</v>
      </c>
      <c r="B57" t="s">
        <v>384</v>
      </c>
      <c r="C57" t="s">
        <v>203</v>
      </c>
      <c r="D57" t="s">
        <v>385</v>
      </c>
      <c r="E57" t="s">
        <v>204</v>
      </c>
      <c r="F57"/>
      <c r="G57"/>
      <c r="H57"/>
      <c r="I57"/>
      <c r="J57"/>
      <c r="K57" t="n">
        <v>445.8</v>
      </c>
      <c r="L57" t="n">
        <v>614.6</v>
      </c>
      <c r="M57" t="n">
        <v>841.1</v>
      </c>
      <c r="N57" t="n">
        <v>948</v>
      </c>
      <c r="O57" t="n">
        <v>1133.5</v>
      </c>
      <c r="P57" t="n">
        <v>1084.2</v>
      </c>
      <c r="Q57" t="n">
        <v>1079.2</v>
      </c>
      <c r="R57" t="n">
        <v>1012.4</v>
      </c>
      <c r="S57" t="n">
        <v>1114</v>
      </c>
      <c r="T57" t="n">
        <v>1265</v>
      </c>
      <c r="U57" t="n">
        <v>1001.5</v>
      </c>
      <c r="V57" t="n">
        <v>814.3</v>
      </c>
      <c r="W57" t="n">
        <v>853.5</v>
      </c>
      <c r="X57" t="n">
        <v>775.3</v>
      </c>
      <c r="Y57" t="n">
        <v>947.2</v>
      </c>
      <c r="Z57" t="n">
        <v>872.6</v>
      </c>
      <c r="AA57" t="n">
        <v>663.2</v>
      </c>
      <c r="AB57" t="n">
        <v>566.1</v>
      </c>
      <c r="AC57" t="n">
        <v>578.6</v>
      </c>
      <c r="AD57" t="n">
        <v>724.6</v>
      </c>
      <c r="AE57" t="n">
        <v>830.2</v>
      </c>
      <c r="AF57" t="n">
        <v>916.8</v>
      </c>
    </row>
    <row r="58">
      <c r="A58" t="s">
        <v>132</v>
      </c>
      <c r="B58" t="s">
        <v>386</v>
      </c>
      <c r="C58" t="s">
        <v>203</v>
      </c>
      <c r="D58" t="s">
        <v>387</v>
      </c>
      <c r="E58" t="s">
        <v>204</v>
      </c>
      <c r="F58"/>
      <c r="G58"/>
      <c r="H58"/>
      <c r="I58"/>
      <c r="J58"/>
      <c r="K58" t="n">
        <v>445.8</v>
      </c>
      <c r="L58" t="n">
        <v>614.6</v>
      </c>
      <c r="M58" t="n">
        <v>841.1</v>
      </c>
      <c r="N58" t="n">
        <v>948</v>
      </c>
      <c r="O58" t="n">
        <v>1133.5</v>
      </c>
      <c r="P58" t="n">
        <v>1084.2</v>
      </c>
      <c r="Q58" t="n">
        <v>1079.2</v>
      </c>
      <c r="R58" t="n">
        <v>1012.4</v>
      </c>
      <c r="S58" t="n">
        <v>1114</v>
      </c>
      <c r="T58" t="n">
        <v>1265</v>
      </c>
      <c r="U58" t="n">
        <v>1001.5</v>
      </c>
      <c r="V58" t="n">
        <v>814.3</v>
      </c>
      <c r="W58" t="n">
        <v>853.5</v>
      </c>
      <c r="X58" t="n">
        <v>775.3</v>
      </c>
      <c r="Y58" t="n">
        <v>947.2</v>
      </c>
      <c r="Z58" t="n">
        <v>872.6</v>
      </c>
      <c r="AA58" t="n">
        <v>663.2</v>
      </c>
      <c r="AB58" t="n">
        <v>566.1</v>
      </c>
      <c r="AC58" t="n">
        <v>578.6</v>
      </c>
      <c r="AD58" t="n">
        <v>724.6</v>
      </c>
      <c r="AE58" t="n">
        <v>830.2</v>
      </c>
      <c r="AF58" t="n">
        <v>916.8</v>
      </c>
    </row>
    <row r="59">
      <c r="A59" t="s">
        <v>132</v>
      </c>
      <c r="B59" t="s">
        <v>388</v>
      </c>
      <c r="C59" t="s">
        <v>203</v>
      </c>
      <c r="D59" t="s">
        <v>389</v>
      </c>
      <c r="E59" t="s">
        <v>204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134</v>
      </c>
      <c r="B2" t="s">
        <v>197</v>
      </c>
      <c r="C2" t="s">
        <v>203</v>
      </c>
      <c r="D2" t="s">
        <v>199</v>
      </c>
      <c r="E2" t="s">
        <v>204</v>
      </c>
      <c r="F2"/>
      <c r="G2"/>
      <c r="H2"/>
      <c r="I2"/>
      <c r="J2"/>
      <c r="K2" t="n">
        <v>10.9</v>
      </c>
      <c r="L2" t="n">
        <v>12.5</v>
      </c>
      <c r="M2" t="n">
        <v>13.4</v>
      </c>
      <c r="N2" t="n">
        <v>13.2</v>
      </c>
      <c r="O2" t="n">
        <v>13.3</v>
      </c>
      <c r="P2" t="n">
        <v>14.6</v>
      </c>
      <c r="Q2" t="n">
        <v>15.8</v>
      </c>
      <c r="R2" t="n">
        <v>12.8</v>
      </c>
      <c r="S2" t="n">
        <v>1.1</v>
      </c>
      <c r="T2" t="n">
        <v>19.6</v>
      </c>
      <c r="U2" t="n">
        <v>20</v>
      </c>
      <c r="V2" t="n">
        <v>17.6</v>
      </c>
      <c r="W2" t="n">
        <v>20.7</v>
      </c>
      <c r="X2" t="n">
        <v>20.3</v>
      </c>
      <c r="Y2" t="n">
        <v>20.5</v>
      </c>
      <c r="Z2" t="n">
        <v>5.6</v>
      </c>
      <c r="AA2" t="n">
        <v>4.7</v>
      </c>
      <c r="AB2" t="n">
        <v>4.6</v>
      </c>
      <c r="AC2" t="n">
        <v>3.3</v>
      </c>
      <c r="AD2" t="n">
        <v>1.5</v>
      </c>
      <c r="AE2" t="n">
        <v>1.3</v>
      </c>
      <c r="AF2" t="n">
        <v>2.4</v>
      </c>
    </row>
    <row r="3">
      <c r="A3" t="s">
        <v>134</v>
      </c>
      <c r="B3" t="s">
        <v>276</v>
      </c>
      <c r="C3" t="s">
        <v>203</v>
      </c>
      <c r="D3" t="s">
        <v>277</v>
      </c>
      <c r="E3" t="s">
        <v>204</v>
      </c>
      <c r="F3"/>
      <c r="G3"/>
      <c r="H3"/>
      <c r="I3"/>
      <c r="J3"/>
      <c r="K3" t="n">
        <v>0.1</v>
      </c>
      <c r="L3" t="n">
        <v>0.1</v>
      </c>
      <c r="M3" t="n">
        <v>0.1</v>
      </c>
      <c r="N3" t="n">
        <v>0.1</v>
      </c>
      <c r="O3" t="n">
        <v>0.1</v>
      </c>
      <c r="P3" t="n">
        <v>0.1</v>
      </c>
      <c r="Q3" t="n">
        <v>0.1</v>
      </c>
      <c r="R3" t="n">
        <v>4.5</v>
      </c>
      <c r="S3" t="n">
        <v>0.6</v>
      </c>
      <c r="T3" t="n">
        <v>0</v>
      </c>
      <c r="U3" t="n">
        <v>0</v>
      </c>
      <c r="V3" t="n">
        <v>0.1</v>
      </c>
      <c r="W3" t="n">
        <v>0</v>
      </c>
      <c r="X3" t="n">
        <v>0</v>
      </c>
      <c r="Y3" t="n">
        <v>0</v>
      </c>
      <c r="Z3" t="n">
        <v>17.2</v>
      </c>
      <c r="AA3" t="n">
        <v>5.9</v>
      </c>
      <c r="AB3" t="n">
        <v>1.8</v>
      </c>
      <c r="AC3" t="n">
        <v>2</v>
      </c>
      <c r="AD3" t="n">
        <v>4.7</v>
      </c>
      <c r="AE3" t="n">
        <v>4.1</v>
      </c>
      <c r="AF3" t="n">
        <v>5.5</v>
      </c>
    </row>
    <row r="4">
      <c r="A4" t="s">
        <v>134</v>
      </c>
      <c r="B4" t="s">
        <v>278</v>
      </c>
      <c r="C4" t="s">
        <v>203</v>
      </c>
      <c r="D4" t="s">
        <v>279</v>
      </c>
      <c r="E4" t="s">
        <v>204</v>
      </c>
      <c r="F4"/>
      <c r="G4"/>
      <c r="H4"/>
      <c r="I4"/>
      <c r="J4"/>
      <c r="K4" t="n">
        <v>102.9</v>
      </c>
      <c r="L4" t="n">
        <v>94</v>
      </c>
      <c r="M4" t="n">
        <v>111.9</v>
      </c>
      <c r="N4" t="n">
        <v>115.3</v>
      </c>
      <c r="O4" t="n">
        <v>103.6</v>
      </c>
      <c r="P4" t="n">
        <v>106.4</v>
      </c>
      <c r="Q4" t="n">
        <v>105.4</v>
      </c>
      <c r="R4" t="n">
        <v>187.3</v>
      </c>
      <c r="S4" t="n">
        <v>173.4</v>
      </c>
      <c r="T4" t="n">
        <v>125.1</v>
      </c>
      <c r="U4" t="n">
        <v>94.6</v>
      </c>
      <c r="V4" t="n">
        <v>84.4</v>
      </c>
      <c r="W4" t="n">
        <v>115.6</v>
      </c>
      <c r="X4" t="n">
        <v>143.7</v>
      </c>
      <c r="Y4" t="n">
        <v>145.7</v>
      </c>
      <c r="Z4" t="n">
        <v>220.3</v>
      </c>
      <c r="AA4" t="n">
        <v>390.1</v>
      </c>
      <c r="AB4" t="n">
        <v>492.3</v>
      </c>
      <c r="AC4" t="n">
        <v>573.7</v>
      </c>
      <c r="AD4" t="n">
        <v>534</v>
      </c>
      <c r="AE4" t="n">
        <v>527.5</v>
      </c>
      <c r="AF4" t="n">
        <v>564.2</v>
      </c>
    </row>
    <row r="5">
      <c r="A5" t="s">
        <v>134</v>
      </c>
      <c r="B5" t="s">
        <v>280</v>
      </c>
      <c r="C5" t="s">
        <v>203</v>
      </c>
      <c r="D5" t="s">
        <v>281</v>
      </c>
      <c r="E5" t="s">
        <v>204</v>
      </c>
      <c r="F5"/>
      <c r="G5"/>
      <c r="H5"/>
      <c r="I5"/>
      <c r="J5"/>
      <c r="K5" t="n">
        <v>1.9</v>
      </c>
      <c r="L5" t="n">
        <v>2</v>
      </c>
      <c r="M5" t="n">
        <v>2</v>
      </c>
      <c r="N5" t="n">
        <v>2.1</v>
      </c>
      <c r="O5" t="n">
        <v>2.2</v>
      </c>
      <c r="P5" t="n">
        <v>2.3</v>
      </c>
      <c r="Q5" t="n">
        <v>2.3</v>
      </c>
      <c r="R5" t="n">
        <v>3.1</v>
      </c>
      <c r="S5" t="n">
        <v>1.1</v>
      </c>
      <c r="T5" t="n">
        <v>2.1</v>
      </c>
      <c r="U5" t="n">
        <v>0.9</v>
      </c>
      <c r="V5" t="n">
        <v>1.7</v>
      </c>
      <c r="W5" t="n">
        <v>2</v>
      </c>
      <c r="X5" t="n">
        <v>2.5</v>
      </c>
      <c r="Y5" t="n">
        <v>2.5</v>
      </c>
      <c r="Z5" t="n">
        <v>3.8</v>
      </c>
      <c r="AA5" t="n">
        <v>4.7</v>
      </c>
      <c r="AB5" t="n">
        <v>4.7</v>
      </c>
      <c r="AC5" t="n">
        <v>10.3</v>
      </c>
      <c r="AD5" t="n">
        <v>15</v>
      </c>
      <c r="AE5" t="n">
        <v>20.9</v>
      </c>
      <c r="AF5" t="n">
        <v>24.8</v>
      </c>
    </row>
    <row r="6">
      <c r="A6" t="s">
        <v>134</v>
      </c>
      <c r="B6" t="s">
        <v>282</v>
      </c>
      <c r="C6" t="s">
        <v>203</v>
      </c>
      <c r="D6" t="s">
        <v>283</v>
      </c>
      <c r="E6" t="s">
        <v>204</v>
      </c>
      <c r="F6"/>
      <c r="G6"/>
      <c r="H6"/>
      <c r="I6"/>
      <c r="J6"/>
      <c r="K6" t="n">
        <v>0.6</v>
      </c>
      <c r="L6" t="n">
        <v>0.7</v>
      </c>
      <c r="M6" t="n">
        <v>0.6</v>
      </c>
      <c r="N6" t="n">
        <v>0.7</v>
      </c>
      <c r="O6" t="n">
        <v>0.8</v>
      </c>
      <c r="P6" t="n">
        <v>0.8</v>
      </c>
      <c r="Q6" t="n">
        <v>0.8</v>
      </c>
      <c r="R6" t="n">
        <v>0.3</v>
      </c>
      <c r="S6" t="n">
        <v>0.3</v>
      </c>
      <c r="T6" t="n">
        <v>1.2</v>
      </c>
      <c r="U6" t="n">
        <v>1.7</v>
      </c>
      <c r="V6" t="n">
        <v>2.4</v>
      </c>
      <c r="W6" t="n">
        <v>2.1</v>
      </c>
      <c r="X6" t="n">
        <v>2.6</v>
      </c>
      <c r="Y6" t="n">
        <v>2.6</v>
      </c>
      <c r="Z6" t="n">
        <v>13.1</v>
      </c>
      <c r="AA6" t="n">
        <v>25.1</v>
      </c>
      <c r="AB6" t="n">
        <v>38.1</v>
      </c>
      <c r="AC6" t="n">
        <v>37.5</v>
      </c>
      <c r="AD6" t="n">
        <v>42.7</v>
      </c>
      <c r="AE6" t="n">
        <v>32.8</v>
      </c>
      <c r="AF6" t="n">
        <v>35.7</v>
      </c>
    </row>
    <row r="7">
      <c r="A7" t="s">
        <v>134</v>
      </c>
      <c r="B7" t="s">
        <v>284</v>
      </c>
      <c r="C7" t="s">
        <v>203</v>
      </c>
      <c r="D7" t="s">
        <v>285</v>
      </c>
      <c r="E7" t="s">
        <v>204</v>
      </c>
      <c r="F7"/>
      <c r="G7"/>
      <c r="H7"/>
      <c r="I7"/>
      <c r="J7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0.1</v>
      </c>
      <c r="U7" t="n">
        <v>0</v>
      </c>
      <c r="V7" t="n">
        <v>0.1</v>
      </c>
      <c r="W7" t="n">
        <v>0.1</v>
      </c>
      <c r="X7" t="n">
        <v>0.1</v>
      </c>
      <c r="Y7" t="n">
        <v>0.1</v>
      </c>
      <c r="Z7" t="n">
        <v>2.4</v>
      </c>
      <c r="AA7" t="n">
        <v>5.3</v>
      </c>
      <c r="AB7" t="n">
        <v>8.3</v>
      </c>
      <c r="AC7" t="n">
        <v>14.5</v>
      </c>
      <c r="AD7" t="n">
        <v>16.6</v>
      </c>
      <c r="AE7" t="n">
        <v>11.8</v>
      </c>
      <c r="AF7" t="n">
        <v>13.6</v>
      </c>
    </row>
    <row r="8">
      <c r="A8" t="s">
        <v>134</v>
      </c>
      <c r="B8" t="s">
        <v>286</v>
      </c>
      <c r="C8" t="s">
        <v>203</v>
      </c>
      <c r="D8" t="s">
        <v>287</v>
      </c>
      <c r="E8" t="s">
        <v>204</v>
      </c>
      <c r="F8"/>
      <c r="G8"/>
      <c r="H8"/>
      <c r="I8"/>
      <c r="J8"/>
      <c r="K8" t="n">
        <v>7.2</v>
      </c>
      <c r="L8" t="n">
        <v>7.8</v>
      </c>
      <c r="M8" t="n">
        <v>7.1</v>
      </c>
      <c r="N8" t="n">
        <v>7.7</v>
      </c>
      <c r="O8" t="n">
        <v>8.6</v>
      </c>
      <c r="P8" t="n">
        <v>8.9</v>
      </c>
      <c r="Q8" t="n">
        <v>8.7</v>
      </c>
      <c r="R8" t="n">
        <v>13.8</v>
      </c>
      <c r="S8" t="n">
        <v>8.7</v>
      </c>
      <c r="T8" t="n">
        <v>9.9</v>
      </c>
      <c r="U8" t="n">
        <v>3.7</v>
      </c>
      <c r="V8" t="n">
        <v>2.4</v>
      </c>
      <c r="W8" t="n">
        <v>2</v>
      </c>
      <c r="X8" t="n">
        <v>2.5</v>
      </c>
      <c r="Y8" t="n">
        <v>2.5</v>
      </c>
      <c r="Z8" t="n">
        <v>1.9</v>
      </c>
      <c r="AA8" t="n">
        <v>1.8</v>
      </c>
      <c r="AB8" t="n">
        <v>2.2</v>
      </c>
      <c r="AC8" t="n">
        <v>2</v>
      </c>
      <c r="AD8" t="n">
        <v>2.5</v>
      </c>
      <c r="AE8" t="n">
        <v>2.1</v>
      </c>
      <c r="AF8" t="n">
        <v>2.6</v>
      </c>
    </row>
    <row r="9">
      <c r="A9" t="s">
        <v>134</v>
      </c>
      <c r="B9" t="s">
        <v>288</v>
      </c>
      <c r="C9" t="s">
        <v>203</v>
      </c>
      <c r="D9" t="s">
        <v>289</v>
      </c>
      <c r="E9" t="s">
        <v>204</v>
      </c>
      <c r="F9"/>
      <c r="G9"/>
      <c r="H9"/>
      <c r="I9"/>
      <c r="J9"/>
      <c r="K9" t="n">
        <v>7.5</v>
      </c>
      <c r="L9" t="n">
        <v>6.7</v>
      </c>
      <c r="M9" t="n">
        <v>8.2</v>
      </c>
      <c r="N9" t="n">
        <v>8.4</v>
      </c>
      <c r="O9" t="n">
        <v>7.4</v>
      </c>
      <c r="P9" t="n">
        <v>7.6</v>
      </c>
      <c r="Q9" t="n">
        <v>7.5</v>
      </c>
      <c r="R9" t="n">
        <v>10.4</v>
      </c>
      <c r="S9" t="n">
        <v>4.7</v>
      </c>
      <c r="T9" t="n">
        <v>3.9</v>
      </c>
      <c r="U9" t="n">
        <v>5.6</v>
      </c>
      <c r="V9" t="n">
        <v>5.5</v>
      </c>
      <c r="W9" t="n">
        <v>2.5</v>
      </c>
      <c r="X9" t="n">
        <v>3.1</v>
      </c>
      <c r="Y9" t="n">
        <v>3.2</v>
      </c>
      <c r="Z9" t="n">
        <v>10.7</v>
      </c>
      <c r="AA9" t="n">
        <v>19</v>
      </c>
      <c r="AB9" t="n">
        <v>25.8</v>
      </c>
      <c r="AC9" t="n">
        <v>34.4</v>
      </c>
      <c r="AD9" t="n">
        <v>33.2</v>
      </c>
      <c r="AE9" t="n">
        <v>32.6</v>
      </c>
      <c r="AF9" t="n">
        <v>33.3</v>
      </c>
    </row>
    <row r="10">
      <c r="A10" t="s">
        <v>134</v>
      </c>
      <c r="B10" t="s">
        <v>290</v>
      </c>
      <c r="C10" t="s">
        <v>203</v>
      </c>
      <c r="D10" t="s">
        <v>291</v>
      </c>
      <c r="E10" t="s">
        <v>204</v>
      </c>
      <c r="F10"/>
      <c r="G10"/>
      <c r="H10"/>
      <c r="I10"/>
      <c r="J10"/>
      <c r="K10" t="n">
        <v>27.4</v>
      </c>
      <c r="L10" t="n">
        <v>27.8</v>
      </c>
      <c r="M10" t="n">
        <v>28.4</v>
      </c>
      <c r="N10" t="n">
        <v>30</v>
      </c>
      <c r="O10" t="n">
        <v>30.7</v>
      </c>
      <c r="P10" t="n">
        <v>31.5</v>
      </c>
      <c r="Q10" t="n">
        <v>31.3</v>
      </c>
      <c r="R10" t="n">
        <v>84.2</v>
      </c>
      <c r="S10" t="n">
        <v>101.6</v>
      </c>
      <c r="T10" t="n">
        <v>35</v>
      </c>
      <c r="U10" t="n">
        <v>31.8</v>
      </c>
      <c r="V10" t="n">
        <v>31.3</v>
      </c>
      <c r="W10" t="n">
        <v>33.7</v>
      </c>
      <c r="X10" t="n">
        <v>41.8</v>
      </c>
      <c r="Y10" t="n">
        <v>42.4</v>
      </c>
      <c r="Z10" t="n">
        <v>33</v>
      </c>
      <c r="AA10" t="n">
        <v>51.3</v>
      </c>
      <c r="AB10" t="n">
        <v>68.3</v>
      </c>
      <c r="AC10" t="n">
        <v>77.8</v>
      </c>
      <c r="AD10" t="n">
        <v>77.4</v>
      </c>
      <c r="AE10" t="n">
        <v>67.8</v>
      </c>
      <c r="AF10" t="n">
        <v>75</v>
      </c>
    </row>
    <row r="11">
      <c r="A11" t="s">
        <v>134</v>
      </c>
      <c r="B11" t="s">
        <v>292</v>
      </c>
      <c r="C11" t="s">
        <v>203</v>
      </c>
      <c r="D11" t="s">
        <v>293</v>
      </c>
      <c r="E11" t="s">
        <v>204</v>
      </c>
      <c r="F11"/>
      <c r="G11"/>
      <c r="H11"/>
      <c r="I11"/>
      <c r="J11"/>
      <c r="K11" t="n">
        <v>19.9</v>
      </c>
      <c r="L11" t="n">
        <v>21.1</v>
      </c>
      <c r="M11" t="n">
        <v>20.2</v>
      </c>
      <c r="N11" t="n">
        <v>21.6</v>
      </c>
      <c r="O11" t="n">
        <v>23.3</v>
      </c>
      <c r="P11" t="n">
        <v>23.9</v>
      </c>
      <c r="Q11" t="n">
        <v>23.8</v>
      </c>
      <c r="R11" t="n">
        <v>73.8</v>
      </c>
      <c r="S11" t="n">
        <v>96.9</v>
      </c>
      <c r="T11" t="n">
        <v>31.1</v>
      </c>
      <c r="U11" t="n">
        <v>26.2</v>
      </c>
      <c r="V11" t="n">
        <v>25.8</v>
      </c>
      <c r="W11" t="n">
        <v>31.2</v>
      </c>
      <c r="X11" t="n">
        <v>38.7</v>
      </c>
      <c r="Y11" t="n">
        <v>39.2</v>
      </c>
      <c r="Z11" t="n">
        <v>22.3</v>
      </c>
      <c r="AA11" t="n">
        <v>32.3</v>
      </c>
      <c r="AB11" t="n">
        <v>42.5</v>
      </c>
      <c r="AC11" t="n">
        <v>43.4</v>
      </c>
      <c r="AD11" t="n">
        <v>44.2</v>
      </c>
      <c r="AE11" t="n">
        <v>35.2</v>
      </c>
      <c r="AF11" t="n">
        <v>41.7</v>
      </c>
    </row>
    <row r="12">
      <c r="A12" t="s">
        <v>134</v>
      </c>
      <c r="B12" t="s">
        <v>294</v>
      </c>
      <c r="C12" t="s">
        <v>203</v>
      </c>
      <c r="D12" t="s">
        <v>295</v>
      </c>
      <c r="E12" t="s">
        <v>204</v>
      </c>
      <c r="F12"/>
      <c r="G12"/>
      <c r="H12"/>
      <c r="I12"/>
      <c r="J12"/>
      <c r="K12" t="n">
        <v>5</v>
      </c>
      <c r="L12" t="n">
        <v>4.3</v>
      </c>
      <c r="M12" t="n">
        <v>5.5</v>
      </c>
      <c r="N12" t="n">
        <v>5.6</v>
      </c>
      <c r="O12" t="n">
        <v>4.7</v>
      </c>
      <c r="P12" t="n">
        <v>4.9</v>
      </c>
      <c r="Q12" t="n">
        <v>4.9</v>
      </c>
      <c r="R12" t="n">
        <v>4.3</v>
      </c>
      <c r="S12" t="n">
        <v>5.3</v>
      </c>
      <c r="T12" t="n">
        <v>5.7</v>
      </c>
      <c r="U12" t="n">
        <v>3.1</v>
      </c>
      <c r="V12" t="n">
        <v>0.9</v>
      </c>
      <c r="W12" t="n">
        <v>0.6</v>
      </c>
      <c r="X12" t="n">
        <v>0.7</v>
      </c>
      <c r="Y12" t="n">
        <v>0.8</v>
      </c>
      <c r="Z12" t="n">
        <v>12.9</v>
      </c>
      <c r="AA12" t="n">
        <v>26</v>
      </c>
      <c r="AB12" t="n">
        <v>24.3</v>
      </c>
      <c r="AC12" t="n">
        <v>31.1</v>
      </c>
      <c r="AD12" t="n">
        <v>38.8</v>
      </c>
      <c r="AE12" t="n">
        <v>46.8</v>
      </c>
      <c r="AF12" t="n">
        <v>41.4</v>
      </c>
    </row>
    <row r="13">
      <c r="A13" t="s">
        <v>134</v>
      </c>
      <c r="B13" t="s">
        <v>296</v>
      </c>
      <c r="C13" t="s">
        <v>203</v>
      </c>
      <c r="D13" t="s">
        <v>297</v>
      </c>
      <c r="E13" t="s">
        <v>204</v>
      </c>
      <c r="F13"/>
      <c r="G13"/>
      <c r="H13"/>
      <c r="I13"/>
      <c r="J13"/>
      <c r="K13" t="n">
        <v>16.8</v>
      </c>
      <c r="L13" t="n">
        <v>13.2</v>
      </c>
      <c r="M13" t="n">
        <v>19.4</v>
      </c>
      <c r="N13" t="n">
        <v>19.4</v>
      </c>
      <c r="O13" t="n">
        <v>14.6</v>
      </c>
      <c r="P13" t="n">
        <v>14.9</v>
      </c>
      <c r="Q13" t="n">
        <v>14.7</v>
      </c>
      <c r="R13" t="n">
        <v>24.7</v>
      </c>
      <c r="S13" t="n">
        <v>22</v>
      </c>
      <c r="T13" t="n">
        <v>28.6</v>
      </c>
      <c r="U13" t="n">
        <v>19.8</v>
      </c>
      <c r="V13" t="n">
        <v>13.6</v>
      </c>
      <c r="W13" t="n">
        <v>11.3</v>
      </c>
      <c r="X13" t="n">
        <v>14</v>
      </c>
      <c r="Y13" t="n">
        <v>14.3</v>
      </c>
      <c r="Z13" t="n">
        <v>24.5</v>
      </c>
      <c r="AA13" t="n">
        <v>72.6</v>
      </c>
      <c r="AB13" t="n">
        <v>103.9</v>
      </c>
      <c r="AC13" t="n">
        <v>103</v>
      </c>
      <c r="AD13" t="n">
        <v>86.2</v>
      </c>
      <c r="AE13" t="n">
        <v>64.8</v>
      </c>
      <c r="AF13" t="n">
        <v>85</v>
      </c>
    </row>
    <row r="14">
      <c r="A14" t="s">
        <v>134</v>
      </c>
      <c r="B14" t="s">
        <v>298</v>
      </c>
      <c r="C14" t="s">
        <v>203</v>
      </c>
      <c r="D14" t="s">
        <v>299</v>
      </c>
      <c r="E14" t="s">
        <v>204</v>
      </c>
      <c r="F14"/>
      <c r="G14"/>
      <c r="H14"/>
      <c r="I14"/>
      <c r="J14"/>
      <c r="K14" t="n">
        <v>7.3</v>
      </c>
      <c r="L14" t="n">
        <v>7.5</v>
      </c>
      <c r="M14" t="n">
        <v>7.6</v>
      </c>
      <c r="N14" t="n">
        <v>8</v>
      </c>
      <c r="O14" t="n">
        <v>8.2</v>
      </c>
      <c r="P14" t="n">
        <v>8.5</v>
      </c>
      <c r="Q14" t="n">
        <v>8.4</v>
      </c>
      <c r="R14" t="n">
        <v>17</v>
      </c>
      <c r="S14" t="n">
        <v>10.5</v>
      </c>
      <c r="T14" t="n">
        <v>15</v>
      </c>
      <c r="U14" t="n">
        <v>15.8</v>
      </c>
      <c r="V14" t="n">
        <v>3.9</v>
      </c>
      <c r="W14" t="n">
        <v>12.1</v>
      </c>
      <c r="X14" t="n">
        <v>15.2</v>
      </c>
      <c r="Y14" t="n">
        <v>15.4</v>
      </c>
      <c r="Z14" t="n">
        <v>31.3</v>
      </c>
      <c r="AA14" t="n">
        <v>57.5</v>
      </c>
      <c r="AB14" t="n">
        <v>61.1</v>
      </c>
      <c r="AC14" t="n">
        <v>105.5</v>
      </c>
      <c r="AD14" t="n">
        <v>67</v>
      </c>
      <c r="AE14" t="n">
        <v>97.1</v>
      </c>
      <c r="AF14" t="n">
        <v>94.7</v>
      </c>
    </row>
    <row r="15">
      <c r="A15" t="s">
        <v>134</v>
      </c>
      <c r="B15" t="s">
        <v>300</v>
      </c>
      <c r="C15" t="s">
        <v>203</v>
      </c>
      <c r="D15" t="s">
        <v>301</v>
      </c>
      <c r="E15" t="s">
        <v>204</v>
      </c>
      <c r="F15"/>
      <c r="G15"/>
      <c r="H15"/>
      <c r="I15"/>
      <c r="J15"/>
      <c r="K15" t="n">
        <v>17.2</v>
      </c>
      <c r="L15" t="n">
        <v>13.8</v>
      </c>
      <c r="M15" t="n">
        <v>19.8</v>
      </c>
      <c r="N15" t="n">
        <v>19.8</v>
      </c>
      <c r="O15" t="n">
        <v>15.1</v>
      </c>
      <c r="P15" t="n">
        <v>15.6</v>
      </c>
      <c r="Q15" t="n">
        <v>15.4</v>
      </c>
      <c r="R15" t="n">
        <v>22.8</v>
      </c>
      <c r="S15" t="n">
        <v>16.4</v>
      </c>
      <c r="T15" t="n">
        <v>22.3</v>
      </c>
      <c r="U15" t="n">
        <v>20.7</v>
      </c>
      <c r="V15" t="n">
        <v>11.4</v>
      </c>
      <c r="W15" t="n">
        <v>23.6</v>
      </c>
      <c r="X15" t="n">
        <v>29.5</v>
      </c>
      <c r="Y15" t="n">
        <v>29.9</v>
      </c>
      <c r="Z15" t="n">
        <v>50.8</v>
      </c>
      <c r="AA15" t="n">
        <v>89.1</v>
      </c>
      <c r="AB15" t="n">
        <v>112.5</v>
      </c>
      <c r="AC15" t="n">
        <v>145.4</v>
      </c>
      <c r="AD15" t="n">
        <v>100.8</v>
      </c>
      <c r="AE15" t="n">
        <v>124</v>
      </c>
      <c r="AF15" t="n">
        <v>120.6</v>
      </c>
    </row>
    <row r="16">
      <c r="A16" t="s">
        <v>134</v>
      </c>
      <c r="B16" t="s">
        <v>302</v>
      </c>
      <c r="C16" t="s">
        <v>203</v>
      </c>
      <c r="D16" t="s">
        <v>303</v>
      </c>
      <c r="E16" t="s">
        <v>204</v>
      </c>
      <c r="F16"/>
      <c r="G16"/>
      <c r="H16"/>
      <c r="I16"/>
      <c r="J16"/>
      <c r="K16" t="n">
        <v>9.9</v>
      </c>
      <c r="L16" t="n">
        <v>6.3</v>
      </c>
      <c r="M16" t="n">
        <v>12.2</v>
      </c>
      <c r="N16" t="n">
        <v>11.8</v>
      </c>
      <c r="O16" t="n">
        <v>6.9</v>
      </c>
      <c r="P16" t="n">
        <v>7.1</v>
      </c>
      <c r="Q16" t="n">
        <v>7</v>
      </c>
      <c r="R16" t="n">
        <v>5.8</v>
      </c>
      <c r="S16" t="n">
        <v>5.9</v>
      </c>
      <c r="T16" t="n">
        <v>7.3</v>
      </c>
      <c r="U16" t="n">
        <v>4.9</v>
      </c>
      <c r="V16" t="n">
        <v>7.5</v>
      </c>
      <c r="W16" t="n">
        <v>11.5</v>
      </c>
      <c r="X16" t="n">
        <v>14.3</v>
      </c>
      <c r="Y16" t="n">
        <v>14.5</v>
      </c>
      <c r="Z16" t="n">
        <v>19.5</v>
      </c>
      <c r="AA16" t="n">
        <v>31.6</v>
      </c>
      <c r="AB16" t="n">
        <v>51.4</v>
      </c>
      <c r="AC16" t="n">
        <v>39.9</v>
      </c>
      <c r="AD16" t="n">
        <v>33.8</v>
      </c>
      <c r="AE16" t="n">
        <v>26.9</v>
      </c>
      <c r="AF16" t="n">
        <v>25.9</v>
      </c>
    </row>
    <row r="17">
      <c r="A17" t="s">
        <v>134</v>
      </c>
      <c r="B17" t="s">
        <v>304</v>
      </c>
      <c r="C17" t="s">
        <v>203</v>
      </c>
      <c r="D17" t="s">
        <v>305</v>
      </c>
      <c r="E17" t="s">
        <v>204</v>
      </c>
      <c r="F17"/>
      <c r="G17"/>
      <c r="H17"/>
      <c r="I17"/>
      <c r="J17"/>
      <c r="K17" t="n">
        <v>21.1</v>
      </c>
      <c r="L17" t="n">
        <v>19</v>
      </c>
      <c r="M17" t="n">
        <v>23</v>
      </c>
      <c r="N17" t="n">
        <v>23.6</v>
      </c>
      <c r="O17" t="n">
        <v>20.9</v>
      </c>
      <c r="P17" t="n">
        <v>21.4</v>
      </c>
      <c r="Q17" t="n">
        <v>21.2</v>
      </c>
      <c r="R17" t="n">
        <v>28.4</v>
      </c>
      <c r="S17" t="n">
        <v>16.3</v>
      </c>
      <c r="T17" t="n">
        <v>16.8</v>
      </c>
      <c r="U17" t="n">
        <v>10.2</v>
      </c>
      <c r="V17" t="n">
        <v>14.5</v>
      </c>
      <c r="W17" t="n">
        <v>30.8</v>
      </c>
      <c r="X17" t="n">
        <v>38.4</v>
      </c>
      <c r="Y17" t="n">
        <v>38.9</v>
      </c>
      <c r="Z17" t="n">
        <v>36.6</v>
      </c>
      <c r="AA17" t="n">
        <v>59.6</v>
      </c>
      <c r="AB17" t="n">
        <v>77.6</v>
      </c>
      <c r="AC17" t="n">
        <v>86.2</v>
      </c>
      <c r="AD17" t="n">
        <v>90.5</v>
      </c>
      <c r="AE17" t="n">
        <v>81.9</v>
      </c>
      <c r="AF17" t="n">
        <v>88.3</v>
      </c>
    </row>
    <row r="18">
      <c r="A18" t="s">
        <v>134</v>
      </c>
      <c r="B18" t="s">
        <v>306</v>
      </c>
      <c r="C18" t="s">
        <v>203</v>
      </c>
      <c r="D18" t="s">
        <v>307</v>
      </c>
      <c r="E18" t="s">
        <v>204</v>
      </c>
      <c r="F18"/>
      <c r="G18"/>
      <c r="H18"/>
      <c r="I18"/>
      <c r="J18"/>
      <c r="K18" t="n">
        <v>1.1</v>
      </c>
      <c r="L18" t="n">
        <v>1.2</v>
      </c>
      <c r="M18" t="n">
        <v>1.1</v>
      </c>
      <c r="N18" t="n">
        <v>1.2</v>
      </c>
      <c r="O18" t="n">
        <v>1.4</v>
      </c>
      <c r="P18" t="n">
        <v>1.4</v>
      </c>
      <c r="Q18" t="n">
        <v>1.4</v>
      </c>
      <c r="R18" t="n">
        <v>0.4</v>
      </c>
      <c r="S18" t="n">
        <v>0.3</v>
      </c>
      <c r="T18" t="n">
        <v>0.8</v>
      </c>
      <c r="U18" t="n">
        <v>0.9</v>
      </c>
      <c r="V18" t="n">
        <v>5.2</v>
      </c>
      <c r="W18" t="n">
        <v>8</v>
      </c>
      <c r="X18" t="n">
        <v>9.9</v>
      </c>
      <c r="Y18" t="n">
        <v>10</v>
      </c>
      <c r="Z18" t="n">
        <v>6.7</v>
      </c>
      <c r="AA18" t="n">
        <v>16.5</v>
      </c>
      <c r="AB18" t="n">
        <v>24.3</v>
      </c>
      <c r="AC18" t="n">
        <v>23.1</v>
      </c>
      <c r="AD18" t="n">
        <v>24.3</v>
      </c>
      <c r="AE18" t="n">
        <v>28.5</v>
      </c>
      <c r="AF18" t="n">
        <v>47.5</v>
      </c>
    </row>
    <row r="19">
      <c r="A19" t="s">
        <v>134</v>
      </c>
      <c r="B19" t="s">
        <v>308</v>
      </c>
      <c r="C19" t="s">
        <v>203</v>
      </c>
      <c r="D19" t="s">
        <v>309</v>
      </c>
      <c r="E19" t="s">
        <v>204</v>
      </c>
      <c r="F19"/>
      <c r="G19"/>
      <c r="H19"/>
      <c r="I19"/>
      <c r="J19"/>
      <c r="K19" t="n">
        <v>4.6</v>
      </c>
      <c r="L19" t="n">
        <v>4.2</v>
      </c>
      <c r="M19" t="n">
        <v>5</v>
      </c>
      <c r="N19" t="n">
        <v>5.2</v>
      </c>
      <c r="O19" t="n">
        <v>4.6</v>
      </c>
      <c r="P19" t="n">
        <v>4.7</v>
      </c>
      <c r="Q19" t="n">
        <v>4.7</v>
      </c>
      <c r="R19" t="n">
        <v>5.3</v>
      </c>
      <c r="S19" t="n">
        <v>1.4</v>
      </c>
      <c r="T19" t="n">
        <v>2.6</v>
      </c>
      <c r="U19" t="n">
        <v>1.8</v>
      </c>
      <c r="V19" t="n">
        <v>0.9</v>
      </c>
      <c r="W19" t="n">
        <v>1.4</v>
      </c>
      <c r="X19" t="n">
        <v>1.7</v>
      </c>
      <c r="Y19" t="n">
        <v>1.7</v>
      </c>
      <c r="Z19" t="n">
        <v>34.6</v>
      </c>
      <c r="AA19" t="n">
        <v>38.1</v>
      </c>
      <c r="AB19" t="n">
        <v>28.1</v>
      </c>
      <c r="AC19" t="n">
        <v>42.8</v>
      </c>
      <c r="AD19" t="n">
        <v>39.2</v>
      </c>
      <c r="AE19" t="n">
        <v>46.1</v>
      </c>
      <c r="AF19" t="n">
        <v>29.7</v>
      </c>
    </row>
    <row r="20">
      <c r="A20" t="s">
        <v>134</v>
      </c>
      <c r="B20" t="s">
        <v>310</v>
      </c>
      <c r="C20" t="s">
        <v>203</v>
      </c>
      <c r="D20" t="s">
        <v>311</v>
      </c>
      <c r="E20" t="s">
        <v>204</v>
      </c>
      <c r="F20"/>
      <c r="G20"/>
      <c r="H20"/>
      <c r="I20"/>
      <c r="J20"/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0.3</v>
      </c>
      <c r="AA20" t="n">
        <v>2.9</v>
      </c>
      <c r="AB20" t="n">
        <v>1</v>
      </c>
      <c r="AC20" t="n">
        <v>0.1</v>
      </c>
      <c r="AD20" t="n">
        <v>25.1</v>
      </c>
      <c r="AE20" t="n">
        <v>0.7</v>
      </c>
      <c r="AF20" t="n">
        <v>0.9</v>
      </c>
    </row>
    <row r="21">
      <c r="A21" t="s">
        <v>134</v>
      </c>
      <c r="B21" t="s">
        <v>312</v>
      </c>
      <c r="C21" t="s">
        <v>203</v>
      </c>
      <c r="D21" t="s">
        <v>313</v>
      </c>
      <c r="E21" t="s">
        <v>204</v>
      </c>
      <c r="F21"/>
      <c r="G21"/>
      <c r="H21"/>
      <c r="I21"/>
      <c r="J21"/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0.7</v>
      </c>
      <c r="AA21" t="n">
        <v>3.3</v>
      </c>
      <c r="AB21" t="n">
        <v>3.1</v>
      </c>
      <c r="AC21" t="n">
        <v>0.8</v>
      </c>
      <c r="AD21" t="n">
        <v>27.5</v>
      </c>
      <c r="AE21" t="n">
        <v>1.5</v>
      </c>
      <c r="AF21" t="n">
        <v>1.8</v>
      </c>
    </row>
    <row r="22">
      <c r="A22" t="s">
        <v>134</v>
      </c>
      <c r="B22" t="s">
        <v>314</v>
      </c>
      <c r="C22" t="s">
        <v>203</v>
      </c>
      <c r="D22" t="s">
        <v>315</v>
      </c>
      <c r="E22" t="s">
        <v>204</v>
      </c>
      <c r="F22"/>
      <c r="G22"/>
      <c r="H22"/>
      <c r="I22"/>
      <c r="J22"/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0.4</v>
      </c>
      <c r="AA22" t="n">
        <v>0.4</v>
      </c>
      <c r="AB22" t="n">
        <v>2.1</v>
      </c>
      <c r="AC22" t="n">
        <v>0.7</v>
      </c>
      <c r="AD22" t="n">
        <v>2.4</v>
      </c>
      <c r="AE22" t="n">
        <v>0.8</v>
      </c>
      <c r="AF22" t="n">
        <v>0.9</v>
      </c>
    </row>
    <row r="23">
      <c r="A23" t="s">
        <v>134</v>
      </c>
      <c r="B23" t="s">
        <v>316</v>
      </c>
      <c r="C23" t="s">
        <v>203</v>
      </c>
      <c r="D23" t="s">
        <v>317</v>
      </c>
      <c r="E23" t="s">
        <v>204</v>
      </c>
      <c r="F23"/>
      <c r="G23"/>
      <c r="H23"/>
      <c r="I23"/>
      <c r="J23"/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1.2</v>
      </c>
      <c r="S23" t="n">
        <v>0.2</v>
      </c>
      <c r="T23" t="n">
        <v>6.3</v>
      </c>
      <c r="U23" t="n">
        <v>3.8</v>
      </c>
      <c r="V23" t="n">
        <v>3.3</v>
      </c>
      <c r="W23" t="n">
        <v>1</v>
      </c>
      <c r="X23" t="n">
        <v>1.2</v>
      </c>
      <c r="Y23" t="n">
        <v>1.2</v>
      </c>
      <c r="Z23" t="n">
        <v>2.9</v>
      </c>
      <c r="AA23" t="n">
        <v>6.2</v>
      </c>
      <c r="AB23" t="n">
        <v>8.4</v>
      </c>
      <c r="AC23" t="n">
        <v>9.8</v>
      </c>
      <c r="AD23" t="n">
        <v>15.3</v>
      </c>
      <c r="AE23" t="n">
        <v>11.2</v>
      </c>
      <c r="AF23" t="n">
        <v>6.6</v>
      </c>
    </row>
    <row r="24">
      <c r="A24" t="s">
        <v>134</v>
      </c>
      <c r="B24" t="s">
        <v>318</v>
      </c>
      <c r="C24" t="s">
        <v>203</v>
      </c>
      <c r="D24" t="s">
        <v>319</v>
      </c>
      <c r="E24" t="s">
        <v>204</v>
      </c>
      <c r="F24"/>
      <c r="G24"/>
      <c r="H24"/>
      <c r="I24"/>
      <c r="J24"/>
      <c r="K24" t="n">
        <v>2.7</v>
      </c>
      <c r="L24" t="n">
        <v>2.2</v>
      </c>
      <c r="M24" t="n">
        <v>3.2</v>
      </c>
      <c r="N24" t="n">
        <v>3.2</v>
      </c>
      <c r="O24" t="n">
        <v>2.4</v>
      </c>
      <c r="P24" t="n">
        <v>2.4</v>
      </c>
      <c r="Q24" t="n">
        <v>2</v>
      </c>
      <c r="R24" t="n">
        <v>4.8</v>
      </c>
      <c r="S24" t="n">
        <v>6.7</v>
      </c>
      <c r="T24" t="n">
        <v>24.4</v>
      </c>
      <c r="U24" t="n">
        <v>13.4</v>
      </c>
      <c r="V24" t="n">
        <v>4.1</v>
      </c>
      <c r="W24" t="n">
        <v>5.3</v>
      </c>
      <c r="X24" t="n">
        <v>6.7</v>
      </c>
      <c r="Y24" t="n">
        <v>6.8</v>
      </c>
      <c r="Z24" t="n">
        <v>28.4</v>
      </c>
      <c r="AA24" t="n">
        <v>23</v>
      </c>
      <c r="AB24" t="n">
        <v>31.4</v>
      </c>
      <c r="AC24" t="n">
        <v>44.1</v>
      </c>
      <c r="AD24" t="n">
        <v>46.5</v>
      </c>
      <c r="AE24" t="n">
        <v>33.5</v>
      </c>
      <c r="AF24" t="n">
        <v>35.7</v>
      </c>
    </row>
    <row r="25">
      <c r="A25" t="s">
        <v>134</v>
      </c>
      <c r="B25" t="s">
        <v>320</v>
      </c>
      <c r="C25" t="s">
        <v>203</v>
      </c>
      <c r="D25" t="s">
        <v>321</v>
      </c>
      <c r="E25" t="s">
        <v>204</v>
      </c>
      <c r="F25"/>
      <c r="G25"/>
      <c r="H25"/>
      <c r="I25"/>
      <c r="J25"/>
      <c r="K25" t="n">
        <v>0.2</v>
      </c>
      <c r="L25" t="n">
        <v>0.2</v>
      </c>
      <c r="M25" t="n">
        <v>0.3</v>
      </c>
      <c r="N25" t="n">
        <v>0.3</v>
      </c>
      <c r="O25" t="n">
        <v>0.2</v>
      </c>
      <c r="P25" t="n">
        <v>0.2</v>
      </c>
      <c r="Q25" t="n">
        <v>0.2</v>
      </c>
      <c r="R25" t="n">
        <v>0.7</v>
      </c>
      <c r="S25" t="n">
        <v>0</v>
      </c>
      <c r="T25" t="n">
        <v>0.1</v>
      </c>
      <c r="U25" t="n">
        <v>0</v>
      </c>
      <c r="V25" t="n">
        <v>0</v>
      </c>
      <c r="W25" t="n">
        <v>0.1</v>
      </c>
      <c r="X25" t="n">
        <v>0.1</v>
      </c>
      <c r="Y25" t="n">
        <v>0.1</v>
      </c>
      <c r="Z25" t="n">
        <v>0.3</v>
      </c>
      <c r="AA25" t="n">
        <v>0.3</v>
      </c>
      <c r="AB25" t="n">
        <v>0.4</v>
      </c>
      <c r="AC25" t="n">
        <v>2.8</v>
      </c>
      <c r="AD25" t="n">
        <v>2.7</v>
      </c>
      <c r="AE25" t="n">
        <v>2.5</v>
      </c>
      <c r="AF25" t="n">
        <v>4.7</v>
      </c>
    </row>
    <row r="26">
      <c r="A26" t="s">
        <v>134</v>
      </c>
      <c r="B26" t="s">
        <v>322</v>
      </c>
      <c r="C26" t="s">
        <v>203</v>
      </c>
      <c r="D26" t="s">
        <v>323</v>
      </c>
      <c r="E26" t="s">
        <v>204</v>
      </c>
      <c r="F26"/>
      <c r="G26"/>
      <c r="H26"/>
      <c r="I26"/>
      <c r="J26"/>
      <c r="K26" t="n">
        <v>2</v>
      </c>
      <c r="L26" t="n">
        <v>1.5</v>
      </c>
      <c r="M26" t="n">
        <v>2.3</v>
      </c>
      <c r="N26" t="n">
        <v>2.3</v>
      </c>
      <c r="O26" t="n">
        <v>1.7</v>
      </c>
      <c r="P26" t="n">
        <v>1.7</v>
      </c>
      <c r="Q26" t="n">
        <v>1.7</v>
      </c>
      <c r="R26" t="n">
        <v>4</v>
      </c>
      <c r="S26" t="n">
        <v>6.7</v>
      </c>
      <c r="T26" t="n">
        <v>22.2</v>
      </c>
      <c r="U26" t="n">
        <v>13</v>
      </c>
      <c r="V26" t="n">
        <v>4</v>
      </c>
      <c r="W26" t="n">
        <v>3.8</v>
      </c>
      <c r="X26" t="n">
        <v>4.8</v>
      </c>
      <c r="Y26" t="n">
        <v>4.9</v>
      </c>
      <c r="Z26" t="n">
        <v>22.7</v>
      </c>
      <c r="AA26" t="n">
        <v>12.8</v>
      </c>
      <c r="AB26" t="n">
        <v>20.3</v>
      </c>
      <c r="AC26" t="n">
        <v>28.1</v>
      </c>
      <c r="AD26" t="n">
        <v>30.7</v>
      </c>
      <c r="AE26" t="n">
        <v>19.3</v>
      </c>
      <c r="AF26" t="n">
        <v>16.7</v>
      </c>
    </row>
    <row r="27">
      <c r="A27" t="s">
        <v>134</v>
      </c>
      <c r="B27" t="s">
        <v>324</v>
      </c>
      <c r="C27" t="s">
        <v>203</v>
      </c>
      <c r="D27" t="s">
        <v>325</v>
      </c>
      <c r="E27" t="s">
        <v>204</v>
      </c>
      <c r="F27"/>
      <c r="G27"/>
      <c r="H27"/>
      <c r="I27"/>
      <c r="J27"/>
      <c r="K27" t="n">
        <v>0.5</v>
      </c>
      <c r="L27" t="n">
        <v>0.5</v>
      </c>
      <c r="M27" t="n">
        <v>0.6</v>
      </c>
      <c r="N27" t="n">
        <v>0.6</v>
      </c>
      <c r="O27" t="n">
        <v>0.5</v>
      </c>
      <c r="P27" t="n">
        <v>0.5</v>
      </c>
      <c r="Q27" t="n">
        <v>0</v>
      </c>
      <c r="R27" t="n">
        <v>0</v>
      </c>
      <c r="S27" t="n">
        <v>0</v>
      </c>
      <c r="T27" t="n">
        <v>2.1</v>
      </c>
      <c r="U27" t="n">
        <v>0.4</v>
      </c>
      <c r="V27" t="n">
        <v>0.1</v>
      </c>
      <c r="W27" t="n">
        <v>1.4</v>
      </c>
      <c r="X27" t="n">
        <v>1.8</v>
      </c>
      <c r="Y27" t="n">
        <v>1.8</v>
      </c>
      <c r="Z27" t="n">
        <v>5.4</v>
      </c>
      <c r="AA27" t="n">
        <v>9.9</v>
      </c>
      <c r="AB27" t="n">
        <v>10.7</v>
      </c>
      <c r="AC27" t="n">
        <v>13.2</v>
      </c>
      <c r="AD27" t="n">
        <v>13.1</v>
      </c>
      <c r="AE27" t="n">
        <v>11.7</v>
      </c>
      <c r="AF27" t="n">
        <v>14.3</v>
      </c>
    </row>
    <row r="28">
      <c r="A28" t="s">
        <v>134</v>
      </c>
      <c r="B28" t="s">
        <v>326</v>
      </c>
      <c r="C28" t="s">
        <v>203</v>
      </c>
      <c r="D28" t="s">
        <v>327</v>
      </c>
      <c r="E28" t="s">
        <v>204</v>
      </c>
      <c r="F28"/>
      <c r="G28"/>
      <c r="H28"/>
      <c r="I28"/>
      <c r="J28"/>
      <c r="K28" t="n">
        <v>3</v>
      </c>
      <c r="L28" t="n">
        <v>1.9</v>
      </c>
      <c r="M28" t="n">
        <v>3.6</v>
      </c>
      <c r="N28" t="n">
        <v>3.5</v>
      </c>
      <c r="O28" t="n">
        <v>2.1</v>
      </c>
      <c r="P28" t="n">
        <v>2.1</v>
      </c>
      <c r="Q28" t="n">
        <v>2.1</v>
      </c>
      <c r="R28" t="n">
        <v>2</v>
      </c>
      <c r="S28" t="n">
        <v>0.5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0.1</v>
      </c>
      <c r="AA28" t="n">
        <v>0.6</v>
      </c>
      <c r="AB28" t="n">
        <v>0.9</v>
      </c>
      <c r="AC28" t="n">
        <v>2.4</v>
      </c>
      <c r="AD28" t="n">
        <v>3</v>
      </c>
      <c r="AE28" t="n">
        <v>2.6</v>
      </c>
      <c r="AF28" t="n">
        <v>2.5</v>
      </c>
    </row>
    <row r="29">
      <c r="A29" t="s">
        <v>134</v>
      </c>
      <c r="B29" t="s">
        <v>328</v>
      </c>
      <c r="C29" t="s">
        <v>203</v>
      </c>
      <c r="D29" t="s">
        <v>329</v>
      </c>
      <c r="E29" t="s">
        <v>204</v>
      </c>
      <c r="F29"/>
      <c r="G29"/>
      <c r="H29"/>
      <c r="I29"/>
      <c r="J29"/>
      <c r="K29" t="n">
        <v>0.3</v>
      </c>
      <c r="L29" t="n">
        <v>0.3</v>
      </c>
      <c r="M29" t="n">
        <v>0.3</v>
      </c>
      <c r="N29" t="n">
        <v>0.3</v>
      </c>
      <c r="O29" t="n">
        <v>0.3</v>
      </c>
      <c r="P29" t="n">
        <v>0.3</v>
      </c>
      <c r="Q29" t="n">
        <v>0.3</v>
      </c>
      <c r="R29" t="n">
        <v>0.6</v>
      </c>
      <c r="S29" t="n">
        <v>0.5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0.5</v>
      </c>
      <c r="AB29" t="n">
        <v>0.8</v>
      </c>
      <c r="AC29" t="n">
        <v>0.9</v>
      </c>
      <c r="AD29" t="n">
        <v>0.3</v>
      </c>
      <c r="AE29" t="n">
        <v>0.3</v>
      </c>
      <c r="AF29" t="n">
        <v>0.3</v>
      </c>
    </row>
    <row r="30">
      <c r="A30" t="s">
        <v>134</v>
      </c>
      <c r="B30" t="s">
        <v>330</v>
      </c>
      <c r="C30" t="s">
        <v>203</v>
      </c>
      <c r="D30" t="s">
        <v>331</v>
      </c>
      <c r="E30" t="s">
        <v>204</v>
      </c>
      <c r="F30"/>
      <c r="G30"/>
      <c r="H30"/>
      <c r="I30"/>
      <c r="J30"/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134</v>
      </c>
      <c r="B31" t="s">
        <v>332</v>
      </c>
      <c r="C31" t="s">
        <v>203</v>
      </c>
      <c r="D31" t="s">
        <v>333</v>
      </c>
      <c r="E31" t="s">
        <v>204</v>
      </c>
      <c r="F31"/>
      <c r="G31"/>
      <c r="H31"/>
      <c r="I31"/>
      <c r="J31"/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134</v>
      </c>
      <c r="B32" t="s">
        <v>334</v>
      </c>
      <c r="C32" t="s">
        <v>203</v>
      </c>
      <c r="D32" t="s">
        <v>335</v>
      </c>
      <c r="E32" t="s">
        <v>204</v>
      </c>
      <c r="F32"/>
      <c r="G32"/>
      <c r="H32"/>
      <c r="I32"/>
      <c r="J32"/>
      <c r="K32" t="n">
        <v>0.8</v>
      </c>
      <c r="L32" t="n">
        <v>0.8</v>
      </c>
      <c r="M32" t="n">
        <v>0.8</v>
      </c>
      <c r="N32" t="n">
        <v>0.8</v>
      </c>
      <c r="O32" t="n">
        <v>0.9</v>
      </c>
      <c r="P32" t="n">
        <v>0.9</v>
      </c>
      <c r="Q32" t="n">
        <v>0.9</v>
      </c>
      <c r="R32" t="n">
        <v>1.4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1.4</v>
      </c>
      <c r="AD32" t="n">
        <v>0</v>
      </c>
      <c r="AE32" t="n">
        <v>0.1</v>
      </c>
      <c r="AF32" t="n">
        <v>0</v>
      </c>
    </row>
    <row r="33">
      <c r="A33" t="s">
        <v>134</v>
      </c>
      <c r="B33" t="s">
        <v>336</v>
      </c>
      <c r="C33" t="s">
        <v>203</v>
      </c>
      <c r="D33" t="s">
        <v>337</v>
      </c>
      <c r="E33" t="s">
        <v>204</v>
      </c>
      <c r="F33"/>
      <c r="G33"/>
      <c r="H33"/>
      <c r="I33"/>
      <c r="J33"/>
      <c r="K33" t="n">
        <v>1.9</v>
      </c>
      <c r="L33" t="n">
        <v>0.8</v>
      </c>
      <c r="M33" t="n">
        <v>2.6</v>
      </c>
      <c r="N33" t="n">
        <v>2.4</v>
      </c>
      <c r="O33" t="n">
        <v>0.9</v>
      </c>
      <c r="P33" t="n">
        <v>0.9</v>
      </c>
      <c r="Q33" t="n">
        <v>0.9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0.1</v>
      </c>
      <c r="AA33" t="n">
        <v>0.1</v>
      </c>
      <c r="AB33" t="n">
        <v>0</v>
      </c>
      <c r="AC33" t="n">
        <v>0.1</v>
      </c>
      <c r="AD33" t="n">
        <v>2.7</v>
      </c>
      <c r="AE33" t="n">
        <v>2.2</v>
      </c>
      <c r="AF33" t="n">
        <v>2.2</v>
      </c>
    </row>
    <row r="34">
      <c r="A34" t="s">
        <v>134</v>
      </c>
      <c r="B34" t="s">
        <v>338</v>
      </c>
      <c r="C34" t="s">
        <v>203</v>
      </c>
      <c r="D34" t="s">
        <v>339</v>
      </c>
      <c r="E34" t="s">
        <v>204</v>
      </c>
      <c r="F34"/>
      <c r="G34"/>
      <c r="H34"/>
      <c r="I34"/>
      <c r="J34"/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0.2</v>
      </c>
      <c r="AA34" t="n">
        <v>0.7</v>
      </c>
      <c r="AB34" t="n">
        <v>0.1</v>
      </c>
      <c r="AC34" t="n">
        <v>1.4</v>
      </c>
      <c r="AD34" t="n">
        <v>3.3</v>
      </c>
      <c r="AE34" t="n">
        <v>2.2</v>
      </c>
      <c r="AF34" t="n">
        <v>3.3</v>
      </c>
    </row>
    <row r="35">
      <c r="A35" t="s">
        <v>134</v>
      </c>
      <c r="B35" t="s">
        <v>340</v>
      </c>
      <c r="C35" t="s">
        <v>203</v>
      </c>
      <c r="D35" t="s">
        <v>341</v>
      </c>
      <c r="E35" t="s">
        <v>204</v>
      </c>
      <c r="F35"/>
      <c r="G35"/>
      <c r="H35"/>
      <c r="I35"/>
      <c r="J35"/>
      <c r="K35" t="n">
        <v>81</v>
      </c>
      <c r="L35" t="n">
        <v>78.4</v>
      </c>
      <c r="M35" t="n">
        <v>85.8</v>
      </c>
      <c r="N35" t="n">
        <v>89.4</v>
      </c>
      <c r="O35" t="n">
        <v>86.1</v>
      </c>
      <c r="P35" t="n">
        <v>88.4</v>
      </c>
      <c r="Q35" t="n">
        <v>88.3</v>
      </c>
      <c r="R35" t="n">
        <v>217</v>
      </c>
      <c r="S35" t="n">
        <v>89.5</v>
      </c>
      <c r="T35" t="n">
        <v>58.4</v>
      </c>
      <c r="U35" t="n">
        <v>27.5</v>
      </c>
      <c r="V35" t="n">
        <v>16.4</v>
      </c>
      <c r="W35" t="n">
        <v>31.1</v>
      </c>
      <c r="X35" t="n">
        <v>38.8</v>
      </c>
      <c r="Y35" t="n">
        <v>39.4</v>
      </c>
      <c r="Z35" t="n">
        <v>128.2</v>
      </c>
      <c r="AA35" t="n">
        <v>438</v>
      </c>
      <c r="AB35" t="n">
        <v>522.7</v>
      </c>
      <c r="AC35" t="n">
        <v>628.6</v>
      </c>
      <c r="AD35" t="n">
        <v>756.2</v>
      </c>
      <c r="AE35" t="n">
        <v>695.8</v>
      </c>
      <c r="AF35" t="n">
        <v>808.1</v>
      </c>
    </row>
    <row r="36">
      <c r="A36" t="s">
        <v>134</v>
      </c>
      <c r="B36" t="s">
        <v>342</v>
      </c>
      <c r="C36" t="s">
        <v>203</v>
      </c>
      <c r="D36" t="s">
        <v>343</v>
      </c>
      <c r="E36" t="s">
        <v>204</v>
      </c>
      <c r="F36"/>
      <c r="G36"/>
      <c r="H36"/>
      <c r="I36"/>
      <c r="J36"/>
      <c r="K36" t="n">
        <v>5.3</v>
      </c>
      <c r="L36" t="n">
        <v>5.8</v>
      </c>
      <c r="M36" t="n">
        <v>5.3</v>
      </c>
      <c r="N36" t="n">
        <v>5.7</v>
      </c>
      <c r="O36" t="n">
        <v>6.3</v>
      </c>
      <c r="P36" t="n">
        <v>6.5</v>
      </c>
      <c r="Q36" t="n">
        <v>6.3</v>
      </c>
      <c r="R36" t="n">
        <v>39.9</v>
      </c>
      <c r="S36" t="n">
        <v>0.2</v>
      </c>
      <c r="T36" t="n">
        <v>1</v>
      </c>
      <c r="U36" t="n">
        <v>0.6</v>
      </c>
      <c r="V36" t="n">
        <v>0</v>
      </c>
      <c r="W36" t="n">
        <v>0.1</v>
      </c>
      <c r="X36" t="n">
        <v>0.1</v>
      </c>
      <c r="Y36" t="n">
        <v>0.1</v>
      </c>
      <c r="Z36" t="n">
        <v>7.4</v>
      </c>
      <c r="AA36" t="n">
        <v>7.6</v>
      </c>
      <c r="AB36" t="n">
        <v>14.9</v>
      </c>
      <c r="AC36" t="n">
        <v>14.4</v>
      </c>
      <c r="AD36" t="n">
        <v>10.5</v>
      </c>
      <c r="AE36" t="n">
        <v>10.5</v>
      </c>
      <c r="AF36" t="n">
        <v>12.3</v>
      </c>
    </row>
    <row r="37">
      <c r="A37" t="s">
        <v>134</v>
      </c>
      <c r="B37" t="s">
        <v>344</v>
      </c>
      <c r="C37" t="s">
        <v>203</v>
      </c>
      <c r="D37" t="s">
        <v>345</v>
      </c>
      <c r="E37" t="s">
        <v>204</v>
      </c>
      <c r="F37"/>
      <c r="G37"/>
      <c r="H37"/>
      <c r="I37"/>
      <c r="J37"/>
      <c r="K37" t="n">
        <v>31.2</v>
      </c>
      <c r="L37" t="n">
        <v>27.7</v>
      </c>
      <c r="M37" t="n">
        <v>34.3</v>
      </c>
      <c r="N37" t="n">
        <v>35</v>
      </c>
      <c r="O37" t="n">
        <v>30.4</v>
      </c>
      <c r="P37" t="n">
        <v>31.2</v>
      </c>
      <c r="Q37" t="n">
        <v>32.1</v>
      </c>
      <c r="R37" t="n">
        <v>76.2</v>
      </c>
      <c r="S37" t="n">
        <v>16</v>
      </c>
      <c r="T37" t="n">
        <v>10.4</v>
      </c>
      <c r="U37" t="n">
        <v>0.1</v>
      </c>
      <c r="V37" t="n">
        <v>0</v>
      </c>
      <c r="W37" t="n">
        <v>0.2</v>
      </c>
      <c r="X37" t="n">
        <v>0.3</v>
      </c>
      <c r="Y37" t="n">
        <v>0.3</v>
      </c>
      <c r="Z37" t="n">
        <v>11.9</v>
      </c>
      <c r="AA37" t="n">
        <v>27.3</v>
      </c>
      <c r="AB37" t="n">
        <v>25.1</v>
      </c>
      <c r="AC37" t="n">
        <v>30.3</v>
      </c>
      <c r="AD37" t="n">
        <v>34</v>
      </c>
      <c r="AE37" t="n">
        <v>18.4</v>
      </c>
      <c r="AF37" t="n">
        <v>20.8</v>
      </c>
    </row>
    <row r="38">
      <c r="A38" t="s">
        <v>134</v>
      </c>
      <c r="B38" t="s">
        <v>346</v>
      </c>
      <c r="C38" t="s">
        <v>203</v>
      </c>
      <c r="D38" t="s">
        <v>347</v>
      </c>
      <c r="E38" t="s">
        <v>204</v>
      </c>
      <c r="F38"/>
      <c r="G38"/>
      <c r="H38"/>
      <c r="I38"/>
      <c r="J38"/>
      <c r="K38" t="n">
        <v>44.5</v>
      </c>
      <c r="L38" t="n">
        <v>44.9</v>
      </c>
      <c r="M38" t="n">
        <v>46.2</v>
      </c>
      <c r="N38" t="n">
        <v>48.7</v>
      </c>
      <c r="O38" t="n">
        <v>49.4</v>
      </c>
      <c r="P38" t="n">
        <v>50.7</v>
      </c>
      <c r="Q38" t="n">
        <v>49.9</v>
      </c>
      <c r="R38" t="n">
        <v>100.9</v>
      </c>
      <c r="S38" t="n">
        <v>73.3</v>
      </c>
      <c r="T38" t="n">
        <v>47</v>
      </c>
      <c r="U38" t="n">
        <v>26.8</v>
      </c>
      <c r="V38" t="n">
        <v>16.4</v>
      </c>
      <c r="W38" t="n">
        <v>30.8</v>
      </c>
      <c r="X38" t="n">
        <v>38.4</v>
      </c>
      <c r="Y38" t="n">
        <v>39</v>
      </c>
      <c r="Z38" t="n">
        <v>108.9</v>
      </c>
      <c r="AA38" t="n">
        <v>403.1</v>
      </c>
      <c r="AB38" t="n">
        <v>482.7</v>
      </c>
      <c r="AC38" t="n">
        <v>583.9</v>
      </c>
      <c r="AD38" t="n">
        <v>711.7</v>
      </c>
      <c r="AE38" t="n">
        <v>666.9</v>
      </c>
      <c r="AF38" t="n">
        <v>775</v>
      </c>
    </row>
    <row r="39">
      <c r="A39" t="s">
        <v>134</v>
      </c>
      <c r="B39" t="s">
        <v>348</v>
      </c>
      <c r="C39" t="s">
        <v>203</v>
      </c>
      <c r="D39" t="s">
        <v>349</v>
      </c>
      <c r="E39" t="s">
        <v>204</v>
      </c>
      <c r="F39"/>
      <c r="G39"/>
      <c r="H39"/>
      <c r="I39"/>
      <c r="J39"/>
      <c r="K39" t="n">
        <v>13.4</v>
      </c>
      <c r="L39" t="n">
        <v>6.5</v>
      </c>
      <c r="M39" t="n">
        <v>17.4</v>
      </c>
      <c r="N39" t="n">
        <v>16.4</v>
      </c>
      <c r="O39" t="n">
        <v>7.1</v>
      </c>
      <c r="P39" t="n">
        <v>7.3</v>
      </c>
      <c r="Q39" t="n">
        <v>6.6</v>
      </c>
      <c r="R39" t="n">
        <v>3.9</v>
      </c>
      <c r="S39" t="n">
        <v>15.4</v>
      </c>
      <c r="T39" t="n">
        <v>0</v>
      </c>
      <c r="U39" t="n">
        <v>0</v>
      </c>
      <c r="V39" t="n">
        <v>0.4</v>
      </c>
      <c r="W39" t="n">
        <v>3</v>
      </c>
      <c r="X39" t="n">
        <v>2.5</v>
      </c>
      <c r="Y39" t="n">
        <v>2.6</v>
      </c>
      <c r="Z39" t="n">
        <v>1.5</v>
      </c>
      <c r="AA39" t="n">
        <v>7.5</v>
      </c>
      <c r="AB39" t="n">
        <v>4.2</v>
      </c>
      <c r="AC39" t="n">
        <v>6.8</v>
      </c>
      <c r="AD39" t="n">
        <v>6.3</v>
      </c>
      <c r="AE39" t="n">
        <v>1</v>
      </c>
      <c r="AF39" t="n">
        <v>1.5</v>
      </c>
    </row>
    <row r="40">
      <c r="A40" t="s">
        <v>134</v>
      </c>
      <c r="B40" t="s">
        <v>350</v>
      </c>
      <c r="C40" t="s">
        <v>203</v>
      </c>
      <c r="D40" t="s">
        <v>351</v>
      </c>
      <c r="E40" t="s">
        <v>204</v>
      </c>
      <c r="F40"/>
      <c r="G40"/>
      <c r="H40"/>
      <c r="I40"/>
      <c r="J40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0.2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0.1</v>
      </c>
      <c r="AB40" t="n">
        <v>0.1</v>
      </c>
      <c r="AC40" t="n">
        <v>2.2</v>
      </c>
      <c r="AD40" t="n">
        <v>1.3</v>
      </c>
      <c r="AE40" t="n">
        <v>1.6</v>
      </c>
      <c r="AF40" t="n">
        <v>2.2</v>
      </c>
    </row>
    <row r="41">
      <c r="A41" t="s">
        <v>134</v>
      </c>
      <c r="B41" t="s">
        <v>352</v>
      </c>
      <c r="C41" t="s">
        <v>203</v>
      </c>
      <c r="D41" t="s">
        <v>353</v>
      </c>
      <c r="E41" t="s">
        <v>204</v>
      </c>
      <c r="F41"/>
      <c r="G41"/>
      <c r="H41"/>
      <c r="I41"/>
      <c r="J41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134</v>
      </c>
      <c r="B42" t="s">
        <v>354</v>
      </c>
      <c r="C42" t="s">
        <v>203</v>
      </c>
      <c r="D42" t="s">
        <v>355</v>
      </c>
      <c r="E42" t="s">
        <v>204</v>
      </c>
      <c r="F42"/>
      <c r="G42"/>
      <c r="H42"/>
      <c r="I42"/>
      <c r="J42"/>
      <c r="K42" t="n">
        <v>494.8</v>
      </c>
      <c r="L42" t="n">
        <v>554</v>
      </c>
      <c r="M42" t="n">
        <v>586.7</v>
      </c>
      <c r="N42" t="n">
        <v>599.7</v>
      </c>
      <c r="O42" t="n">
        <v>609.1</v>
      </c>
      <c r="P42" t="n">
        <v>648</v>
      </c>
      <c r="Q42" t="n">
        <v>661.8</v>
      </c>
      <c r="R42" t="n">
        <v>563.3</v>
      </c>
      <c r="S42" t="n">
        <v>722.9</v>
      </c>
      <c r="T42" t="n">
        <v>1034.5</v>
      </c>
      <c r="U42" t="n">
        <v>1157.7</v>
      </c>
      <c r="V42" t="n">
        <v>1217.9</v>
      </c>
      <c r="W42" t="n">
        <v>1296.2</v>
      </c>
      <c r="X42" t="n">
        <v>1296.7</v>
      </c>
      <c r="Y42" t="n">
        <v>1314.9</v>
      </c>
      <c r="Z42" t="n">
        <v>1251.8</v>
      </c>
      <c r="AA42" t="n">
        <v>852.7</v>
      </c>
      <c r="AB42" t="n">
        <v>912.3</v>
      </c>
      <c r="AC42" t="n">
        <v>1034.3</v>
      </c>
      <c r="AD42" t="n">
        <v>1235.2</v>
      </c>
      <c r="AE42" t="n">
        <v>1277</v>
      </c>
      <c r="AF42" t="n">
        <v>1387.9</v>
      </c>
    </row>
    <row r="43">
      <c r="A43" t="s">
        <v>134</v>
      </c>
      <c r="B43" t="s">
        <v>356</v>
      </c>
      <c r="C43" t="s">
        <v>203</v>
      </c>
      <c r="D43" t="s">
        <v>357</v>
      </c>
      <c r="E43" t="s">
        <v>204</v>
      </c>
      <c r="F43"/>
      <c r="G43"/>
      <c r="H43"/>
      <c r="I43"/>
      <c r="J43"/>
      <c r="K43" t="n">
        <v>494.8</v>
      </c>
      <c r="L43" t="n">
        <v>554</v>
      </c>
      <c r="M43" t="n">
        <v>586.7</v>
      </c>
      <c r="N43" t="n">
        <v>599.7</v>
      </c>
      <c r="O43" t="n">
        <v>609.1</v>
      </c>
      <c r="P43" t="n">
        <v>648</v>
      </c>
      <c r="Q43" t="n">
        <v>661.8</v>
      </c>
      <c r="R43" t="n">
        <v>563.3</v>
      </c>
      <c r="S43" t="n">
        <v>722.9</v>
      </c>
      <c r="T43" t="n">
        <v>1034.8</v>
      </c>
      <c r="U43" t="n">
        <v>1158.1</v>
      </c>
      <c r="V43" t="n">
        <v>1218.3</v>
      </c>
      <c r="W43" t="n">
        <v>1296.2</v>
      </c>
      <c r="X43" t="n">
        <v>1296.7</v>
      </c>
      <c r="Y43" t="n">
        <v>1314.9</v>
      </c>
      <c r="Z43" t="n">
        <v>1254.2</v>
      </c>
      <c r="AA43" t="n">
        <v>853.5</v>
      </c>
      <c r="AB43" t="n">
        <v>913.9</v>
      </c>
      <c r="AC43" t="n">
        <v>1040.2</v>
      </c>
      <c r="AD43" t="n">
        <v>1241.4</v>
      </c>
      <c r="AE43" t="n">
        <v>1278.9</v>
      </c>
      <c r="AF43" t="n">
        <v>1389.9</v>
      </c>
    </row>
    <row r="44">
      <c r="A44" t="s">
        <v>134</v>
      </c>
      <c r="B44" t="s">
        <v>358</v>
      </c>
      <c r="C44" t="s">
        <v>203</v>
      </c>
      <c r="D44" t="s">
        <v>359</v>
      </c>
      <c r="E44" t="s">
        <v>204</v>
      </c>
      <c r="F44"/>
      <c r="G44"/>
      <c r="H44"/>
      <c r="I44"/>
      <c r="J44"/>
      <c r="K44" t="n">
        <v>720.2</v>
      </c>
      <c r="L44" t="n">
        <v>767.1</v>
      </c>
      <c r="M44" t="n">
        <v>836.6</v>
      </c>
      <c r="N44" t="n">
        <v>855.8</v>
      </c>
      <c r="O44" t="n">
        <v>839.1</v>
      </c>
      <c r="P44" t="n">
        <v>889.8</v>
      </c>
      <c r="Q44" t="n">
        <v>902.9</v>
      </c>
      <c r="R44" t="n">
        <v>1011.4</v>
      </c>
      <c r="S44" t="n">
        <v>1038.8</v>
      </c>
      <c r="T44" t="n">
        <v>1291.9</v>
      </c>
      <c r="U44" t="n">
        <v>1342.2</v>
      </c>
      <c r="V44" t="n">
        <v>1368.1</v>
      </c>
      <c r="W44" t="n">
        <v>1507.6</v>
      </c>
      <c r="X44" t="n">
        <v>1533.3</v>
      </c>
      <c r="Y44" t="n">
        <v>1554.8</v>
      </c>
      <c r="Z44" t="n">
        <v>1671.3</v>
      </c>
      <c r="AA44" t="n">
        <v>1750.4</v>
      </c>
      <c r="AB44" t="n">
        <v>2002.1</v>
      </c>
      <c r="AC44" t="n">
        <v>2345</v>
      </c>
      <c r="AD44" t="n">
        <v>2673.2</v>
      </c>
      <c r="AE44" t="n">
        <v>2592.3</v>
      </c>
      <c r="AF44" t="n">
        <v>2852.7</v>
      </c>
    </row>
    <row r="45">
      <c r="A45" t="s">
        <v>134</v>
      </c>
      <c r="B45" t="s">
        <v>360</v>
      </c>
      <c r="C45" t="s">
        <v>203</v>
      </c>
      <c r="D45" t="s">
        <v>361</v>
      </c>
      <c r="E45" t="s">
        <v>204</v>
      </c>
      <c r="F45"/>
      <c r="G45"/>
      <c r="H45"/>
      <c r="I45"/>
      <c r="J45"/>
      <c r="K45" t="n">
        <v>709.3</v>
      </c>
      <c r="L45" t="n">
        <v>754.6</v>
      </c>
      <c r="M45" t="n">
        <v>823.2</v>
      </c>
      <c r="N45" t="n">
        <v>842.6</v>
      </c>
      <c r="O45" t="n">
        <v>825.8</v>
      </c>
      <c r="P45" t="n">
        <v>875.2</v>
      </c>
      <c r="Q45" t="n">
        <v>887.1</v>
      </c>
      <c r="R45" t="n">
        <v>998.6</v>
      </c>
      <c r="S45" t="n">
        <v>1037.7</v>
      </c>
      <c r="T45" t="n">
        <v>1272.3</v>
      </c>
      <c r="U45" t="n">
        <v>1322.2</v>
      </c>
      <c r="V45" t="n">
        <v>1350.5</v>
      </c>
      <c r="W45" t="n">
        <v>1486.9</v>
      </c>
      <c r="X45" t="n">
        <v>1513</v>
      </c>
      <c r="Y45" t="n">
        <v>1534.3</v>
      </c>
      <c r="Z45" t="n">
        <v>1665.7</v>
      </c>
      <c r="AA45" t="n">
        <v>1745.7</v>
      </c>
      <c r="AB45" t="n">
        <v>1997.5</v>
      </c>
      <c r="AC45" t="n">
        <v>2341.7</v>
      </c>
      <c r="AD45" t="n">
        <v>2671.7</v>
      </c>
      <c r="AE45" t="n">
        <v>2591</v>
      </c>
      <c r="AF45" t="n">
        <v>2850.3</v>
      </c>
    </row>
    <row r="46">
      <c r="A46" t="s">
        <v>134</v>
      </c>
      <c r="B46" t="s">
        <v>362</v>
      </c>
      <c r="C46" t="s">
        <v>203</v>
      </c>
      <c r="D46" t="s">
        <v>363</v>
      </c>
      <c r="E46" t="s">
        <v>204</v>
      </c>
      <c r="F46"/>
      <c r="G46"/>
      <c r="H46"/>
      <c r="I46"/>
      <c r="J46"/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0.3</v>
      </c>
      <c r="U46" t="n">
        <v>0.4</v>
      </c>
      <c r="V46" t="n">
        <v>0.4</v>
      </c>
      <c r="W46" t="n">
        <v>0</v>
      </c>
      <c r="X46" t="n">
        <v>0</v>
      </c>
      <c r="Y46" t="n">
        <v>0</v>
      </c>
      <c r="Z46" t="n">
        <v>2.4</v>
      </c>
      <c r="AA46" t="n">
        <v>0.8</v>
      </c>
      <c r="AB46" t="n">
        <v>1.6</v>
      </c>
      <c r="AC46" t="n">
        <v>5.9</v>
      </c>
      <c r="AD46" t="n">
        <v>6.2</v>
      </c>
      <c r="AE46" t="n">
        <v>1.9</v>
      </c>
      <c r="AF46" t="n">
        <v>2</v>
      </c>
    </row>
    <row r="47">
      <c r="A47" t="s">
        <v>134</v>
      </c>
      <c r="B47" t="s">
        <v>364</v>
      </c>
      <c r="C47" t="s">
        <v>203</v>
      </c>
      <c r="D47" t="s">
        <v>365</v>
      </c>
      <c r="E47" t="s">
        <v>204</v>
      </c>
      <c r="F47"/>
      <c r="G47"/>
      <c r="H47"/>
      <c r="I47"/>
      <c r="J47"/>
      <c r="K47" t="n">
        <v>16.8</v>
      </c>
      <c r="L47" t="n">
        <v>19.1</v>
      </c>
      <c r="M47" t="n">
        <v>20.6</v>
      </c>
      <c r="N47" t="n">
        <v>20.3</v>
      </c>
      <c r="O47" t="n">
        <v>20.5</v>
      </c>
      <c r="P47" t="n">
        <v>22.5</v>
      </c>
      <c r="Q47" t="n">
        <v>24.4</v>
      </c>
      <c r="R47" t="n">
        <v>19.6</v>
      </c>
      <c r="S47" t="n">
        <v>0.1</v>
      </c>
      <c r="T47" t="n">
        <v>9.2</v>
      </c>
      <c r="U47" t="n">
        <v>28.9</v>
      </c>
      <c r="V47" t="n">
        <v>37.7</v>
      </c>
      <c r="W47" t="n">
        <v>21.3</v>
      </c>
      <c r="X47" t="n">
        <v>25.7</v>
      </c>
      <c r="Y47" t="n">
        <v>26</v>
      </c>
      <c r="Z47" t="n">
        <v>7.8</v>
      </c>
      <c r="AA47" t="n">
        <v>7.6</v>
      </c>
      <c r="AB47" t="n">
        <v>10.2</v>
      </c>
      <c r="AC47" t="n">
        <v>8.6</v>
      </c>
      <c r="AD47" t="n">
        <v>9.9</v>
      </c>
      <c r="AE47" t="n">
        <v>11.5</v>
      </c>
      <c r="AF47" t="n">
        <v>6.3</v>
      </c>
    </row>
    <row r="48">
      <c r="A48" t="s">
        <v>134</v>
      </c>
      <c r="B48" t="s">
        <v>366</v>
      </c>
      <c r="C48" t="s">
        <v>203</v>
      </c>
      <c r="D48" t="s">
        <v>367</v>
      </c>
      <c r="E48" t="s">
        <v>204</v>
      </c>
      <c r="F48"/>
      <c r="G48"/>
      <c r="H48"/>
      <c r="I48"/>
      <c r="J48"/>
      <c r="K48" t="n">
        <v>72.4</v>
      </c>
      <c r="L48" t="n">
        <v>84</v>
      </c>
      <c r="M48" t="n">
        <v>89.2</v>
      </c>
      <c r="N48" t="n">
        <v>90.4</v>
      </c>
      <c r="O48" t="n">
        <v>92.2</v>
      </c>
      <c r="P48" t="n">
        <v>98.5</v>
      </c>
      <c r="Q48" t="n">
        <v>104.7</v>
      </c>
      <c r="R48" t="n">
        <v>87.9</v>
      </c>
      <c r="S48" t="n">
        <v>75.2</v>
      </c>
      <c r="T48" t="n">
        <v>118.9</v>
      </c>
      <c r="U48" t="n">
        <v>124.8</v>
      </c>
      <c r="V48" t="n">
        <v>137.3</v>
      </c>
      <c r="W48" t="n">
        <v>109.2</v>
      </c>
      <c r="X48" t="n">
        <v>130.9</v>
      </c>
      <c r="Y48" t="n">
        <v>132.9</v>
      </c>
      <c r="Z48" t="n">
        <v>94.1</v>
      </c>
      <c r="AA48" t="n">
        <v>102.5</v>
      </c>
      <c r="AB48" t="n">
        <v>113.3</v>
      </c>
      <c r="AC48" t="n">
        <v>87.1</v>
      </c>
      <c r="AD48" t="n">
        <v>122.2</v>
      </c>
      <c r="AE48" t="n">
        <v>141.3</v>
      </c>
      <c r="AF48" t="n">
        <v>151.3</v>
      </c>
    </row>
    <row r="49">
      <c r="A49" t="s">
        <v>134</v>
      </c>
      <c r="B49" t="s">
        <v>368</v>
      </c>
      <c r="C49" t="s">
        <v>203</v>
      </c>
      <c r="D49" t="s">
        <v>369</v>
      </c>
      <c r="E49" t="s">
        <v>204</v>
      </c>
      <c r="F49"/>
      <c r="G49"/>
      <c r="H49"/>
      <c r="I49"/>
      <c r="J49"/>
      <c r="K49" t="n">
        <v>46</v>
      </c>
      <c r="L49" t="n">
        <v>53.9</v>
      </c>
      <c r="M49" t="n">
        <v>57</v>
      </c>
      <c r="N49" t="n">
        <v>58.6</v>
      </c>
      <c r="O49" t="n">
        <v>60</v>
      </c>
      <c r="P49" t="n">
        <v>63.2</v>
      </c>
      <c r="Q49" t="n">
        <v>66.5</v>
      </c>
      <c r="R49" t="n">
        <v>57.4</v>
      </c>
      <c r="S49" t="n">
        <v>67.9</v>
      </c>
      <c r="T49" t="n">
        <v>85.9</v>
      </c>
      <c r="U49" t="n">
        <v>80.2</v>
      </c>
      <c r="V49" t="n">
        <v>76.5</v>
      </c>
      <c r="W49" t="n">
        <v>72.3</v>
      </c>
      <c r="X49" t="n">
        <v>95.4</v>
      </c>
      <c r="Y49" t="n">
        <v>96.8</v>
      </c>
      <c r="Z49" t="n">
        <v>66.1</v>
      </c>
      <c r="AA49" t="n">
        <v>76</v>
      </c>
      <c r="AB49" t="n">
        <v>81.2</v>
      </c>
      <c r="AC49" t="n">
        <v>47.5</v>
      </c>
      <c r="AD49" t="n">
        <v>69.9</v>
      </c>
      <c r="AE49" t="n">
        <v>78.2</v>
      </c>
      <c r="AF49" t="n">
        <v>89.1</v>
      </c>
    </row>
    <row r="50">
      <c r="A50" t="s">
        <v>134</v>
      </c>
      <c r="B50" t="s">
        <v>370</v>
      </c>
      <c r="C50" t="s">
        <v>203</v>
      </c>
      <c r="D50" t="s">
        <v>371</v>
      </c>
      <c r="E50" t="s">
        <v>204</v>
      </c>
      <c r="F50"/>
      <c r="G50"/>
      <c r="H50"/>
      <c r="I50"/>
      <c r="J50"/>
      <c r="K50" t="n">
        <v>9.7</v>
      </c>
      <c r="L50" t="n">
        <v>11</v>
      </c>
      <c r="M50" t="n">
        <v>11.7</v>
      </c>
      <c r="N50" t="n">
        <v>11.6</v>
      </c>
      <c r="O50" t="n">
        <v>11.8</v>
      </c>
      <c r="P50" t="n">
        <v>12.9</v>
      </c>
      <c r="Q50" t="n">
        <v>13.8</v>
      </c>
      <c r="R50" t="n">
        <v>11</v>
      </c>
      <c r="S50" t="n">
        <v>7.3</v>
      </c>
      <c r="T50" t="n">
        <v>23.9</v>
      </c>
      <c r="U50" t="n">
        <v>15.8</v>
      </c>
      <c r="V50" t="n">
        <v>23.1</v>
      </c>
      <c r="W50" t="n">
        <v>15.6</v>
      </c>
      <c r="X50" t="n">
        <v>9.9</v>
      </c>
      <c r="Y50" t="n">
        <v>10</v>
      </c>
      <c r="Z50" t="n">
        <v>20.2</v>
      </c>
      <c r="AA50" t="n">
        <v>18.9</v>
      </c>
      <c r="AB50" t="n">
        <v>21.8</v>
      </c>
      <c r="AC50" t="n">
        <v>31</v>
      </c>
      <c r="AD50" t="n">
        <v>42.4</v>
      </c>
      <c r="AE50" t="n">
        <v>51.6</v>
      </c>
      <c r="AF50" t="n">
        <v>55.9</v>
      </c>
    </row>
    <row r="51">
      <c r="A51" t="s">
        <v>134</v>
      </c>
      <c r="B51" t="s">
        <v>372</v>
      </c>
      <c r="C51" t="s">
        <v>203</v>
      </c>
      <c r="D51" t="s">
        <v>373</v>
      </c>
      <c r="E51" t="s">
        <v>204</v>
      </c>
      <c r="F51"/>
      <c r="G51"/>
      <c r="H51"/>
      <c r="I51"/>
      <c r="J51"/>
      <c r="K51" t="n">
        <v>9.7</v>
      </c>
      <c r="L51" t="n">
        <v>11</v>
      </c>
      <c r="M51" t="n">
        <v>11.7</v>
      </c>
      <c r="N51" t="n">
        <v>11.6</v>
      </c>
      <c r="O51" t="n">
        <v>11.8</v>
      </c>
      <c r="P51" t="n">
        <v>12.9</v>
      </c>
      <c r="Q51" t="n">
        <v>13.8</v>
      </c>
      <c r="R51" t="n">
        <v>11</v>
      </c>
      <c r="S51" t="n">
        <v>6.6</v>
      </c>
      <c r="T51" t="n">
        <v>23.9</v>
      </c>
      <c r="U51" t="n">
        <v>15.8</v>
      </c>
      <c r="V51" t="n">
        <v>23.1</v>
      </c>
      <c r="W51" t="n">
        <v>15.6</v>
      </c>
      <c r="X51" t="n">
        <v>9.9</v>
      </c>
      <c r="Y51" t="n">
        <v>10</v>
      </c>
      <c r="Z51" t="n">
        <v>20.2</v>
      </c>
      <c r="AA51" t="n">
        <v>18.9</v>
      </c>
      <c r="AB51" t="n">
        <v>21.8</v>
      </c>
      <c r="AC51" t="n">
        <v>31</v>
      </c>
      <c r="AD51" t="n">
        <v>42.3</v>
      </c>
      <c r="AE51" t="n">
        <v>51.5</v>
      </c>
      <c r="AF51" t="n">
        <v>55.7</v>
      </c>
    </row>
    <row r="52">
      <c r="A52" t="s">
        <v>134</v>
      </c>
      <c r="B52" t="s">
        <v>374</v>
      </c>
      <c r="C52" t="s">
        <v>203</v>
      </c>
      <c r="D52" t="s">
        <v>375</v>
      </c>
      <c r="E52" t="s">
        <v>204</v>
      </c>
      <c r="F52"/>
      <c r="G52"/>
      <c r="H52"/>
      <c r="I52"/>
      <c r="J52"/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0.7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0.1</v>
      </c>
      <c r="AE52" t="n">
        <v>0.1</v>
      </c>
      <c r="AF52" t="n">
        <v>0.2</v>
      </c>
    </row>
    <row r="53">
      <c r="A53" t="s">
        <v>134</v>
      </c>
      <c r="B53" t="s">
        <v>376</v>
      </c>
      <c r="C53" t="s">
        <v>203</v>
      </c>
      <c r="D53" t="s">
        <v>377</v>
      </c>
      <c r="E53" t="s">
        <v>204</v>
      </c>
      <c r="F53"/>
      <c r="G53"/>
      <c r="H53"/>
      <c r="I53"/>
      <c r="J53"/>
      <c r="K53" t="n">
        <v>6.1</v>
      </c>
      <c r="L53" t="n">
        <v>6.9</v>
      </c>
      <c r="M53" t="n">
        <v>7.5</v>
      </c>
      <c r="N53" t="n">
        <v>7.5</v>
      </c>
      <c r="O53" t="n">
        <v>7.6</v>
      </c>
      <c r="P53" t="n">
        <v>8.1</v>
      </c>
      <c r="Q53" t="n">
        <v>8.7</v>
      </c>
      <c r="R53" t="n">
        <v>7</v>
      </c>
      <c r="S53" t="n">
        <v>5.2</v>
      </c>
      <c r="T53" t="n">
        <v>12.8</v>
      </c>
      <c r="U53" t="n">
        <v>10.4</v>
      </c>
      <c r="V53" t="n">
        <v>10.2</v>
      </c>
      <c r="W53" t="n">
        <v>8.5</v>
      </c>
      <c r="X53" t="n">
        <v>10.9</v>
      </c>
      <c r="Y53" t="n">
        <v>11.1</v>
      </c>
      <c r="Z53" t="n">
        <v>8.3</v>
      </c>
      <c r="AA53" t="n">
        <v>11.2</v>
      </c>
      <c r="AB53" t="n">
        <v>11</v>
      </c>
      <c r="AC53" t="n">
        <v>12.6</v>
      </c>
      <c r="AD53" t="n">
        <v>12.3</v>
      </c>
      <c r="AE53" t="n">
        <v>12.9</v>
      </c>
      <c r="AF53" t="n">
        <v>5.1</v>
      </c>
    </row>
    <row r="54">
      <c r="A54" t="s">
        <v>134</v>
      </c>
      <c r="B54" t="s">
        <v>378</v>
      </c>
      <c r="C54" t="s">
        <v>203</v>
      </c>
      <c r="D54" t="s">
        <v>379</v>
      </c>
      <c r="E54" t="s">
        <v>204</v>
      </c>
      <c r="F54"/>
      <c r="G54"/>
      <c r="H54"/>
      <c r="I54"/>
      <c r="J54"/>
      <c r="K54" t="n">
        <v>11.4</v>
      </c>
      <c r="L54" t="n">
        <v>17.5</v>
      </c>
      <c r="M54" t="n">
        <v>14.5</v>
      </c>
      <c r="N54" t="n">
        <v>15</v>
      </c>
      <c r="O54" t="n">
        <v>15.3</v>
      </c>
      <c r="P54" t="n">
        <v>20.5</v>
      </c>
      <c r="Q54" t="n">
        <v>20.8</v>
      </c>
      <c r="R54" t="n">
        <v>14.2</v>
      </c>
      <c r="S54" t="n">
        <v>28.5</v>
      </c>
      <c r="T54" t="n">
        <v>23.3</v>
      </c>
      <c r="U54" t="n">
        <v>24.8</v>
      </c>
      <c r="V54" t="n">
        <v>23.5</v>
      </c>
      <c r="W54" t="n">
        <v>34.7</v>
      </c>
      <c r="X54" t="n">
        <v>23.4</v>
      </c>
      <c r="Y54" t="n">
        <v>23.7</v>
      </c>
      <c r="Z54" t="n">
        <v>12</v>
      </c>
      <c r="AA54" t="n">
        <v>16.9</v>
      </c>
      <c r="AB54" t="n">
        <v>18.7</v>
      </c>
      <c r="AC54" t="n">
        <v>31.9</v>
      </c>
      <c r="AD54" t="n">
        <v>33.5</v>
      </c>
      <c r="AE54" t="n">
        <v>32.7</v>
      </c>
      <c r="AF54" t="n">
        <v>31.2</v>
      </c>
    </row>
    <row r="55">
      <c r="A55" t="s">
        <v>134</v>
      </c>
      <c r="B55" t="s">
        <v>380</v>
      </c>
      <c r="C55" t="s">
        <v>203</v>
      </c>
      <c r="D55" t="s">
        <v>381</v>
      </c>
      <c r="E55" t="s">
        <v>204</v>
      </c>
      <c r="F55"/>
      <c r="G55"/>
      <c r="H55"/>
      <c r="I55"/>
      <c r="J55"/>
      <c r="K55" t="n">
        <v>5.3</v>
      </c>
      <c r="L55" t="n">
        <v>10.6</v>
      </c>
      <c r="M55" t="n">
        <v>7</v>
      </c>
      <c r="N55" t="n">
        <v>7.5</v>
      </c>
      <c r="O55" t="n">
        <v>7.7</v>
      </c>
      <c r="P55" t="n">
        <v>12.4</v>
      </c>
      <c r="Q55" t="n">
        <v>12.1</v>
      </c>
      <c r="R55" t="n">
        <v>7.2</v>
      </c>
      <c r="S55" t="n">
        <v>23.3</v>
      </c>
      <c r="T55" t="n">
        <v>10.5</v>
      </c>
      <c r="U55" t="n">
        <v>14.4</v>
      </c>
      <c r="V55" t="n">
        <v>13.3</v>
      </c>
      <c r="W55" t="n">
        <v>26.2</v>
      </c>
      <c r="X55" t="n">
        <v>12.5</v>
      </c>
      <c r="Y55" t="n">
        <v>12.6</v>
      </c>
      <c r="Z55" t="n">
        <v>3.7</v>
      </c>
      <c r="AA55" t="n">
        <v>5.7</v>
      </c>
      <c r="AB55" t="n">
        <v>7.7</v>
      </c>
      <c r="AC55" t="n">
        <v>19.3</v>
      </c>
      <c r="AD55" t="n">
        <v>21.2</v>
      </c>
      <c r="AE55" t="n">
        <v>19.8</v>
      </c>
      <c r="AF55" t="n">
        <v>26.1</v>
      </c>
    </row>
    <row r="56">
      <c r="A56" t="s">
        <v>134</v>
      </c>
      <c r="B56" t="s">
        <v>382</v>
      </c>
      <c r="C56" t="s">
        <v>203</v>
      </c>
      <c r="D56" t="s">
        <v>383</v>
      </c>
      <c r="E56" t="s">
        <v>204</v>
      </c>
      <c r="F56"/>
      <c r="G56"/>
      <c r="H56"/>
      <c r="I56"/>
      <c r="J56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134</v>
      </c>
      <c r="B57" t="s">
        <v>384</v>
      </c>
      <c r="C57" t="s">
        <v>203</v>
      </c>
      <c r="D57" t="s">
        <v>385</v>
      </c>
      <c r="E57" t="s">
        <v>204</v>
      </c>
      <c r="F57"/>
      <c r="G57"/>
      <c r="H57"/>
      <c r="I57"/>
      <c r="J57"/>
      <c r="K57" t="n">
        <v>792.7</v>
      </c>
      <c r="L57" t="n">
        <v>851.1</v>
      </c>
      <c r="M57" t="n">
        <v>925.9</v>
      </c>
      <c r="N57" t="n">
        <v>946.3</v>
      </c>
      <c r="O57" t="n">
        <v>931.4</v>
      </c>
      <c r="P57" t="n">
        <v>988.4</v>
      </c>
      <c r="Q57" t="n">
        <v>1007.6</v>
      </c>
      <c r="R57" t="n">
        <v>1099.4</v>
      </c>
      <c r="S57" t="n">
        <v>1115.1</v>
      </c>
      <c r="T57" t="n">
        <v>1411.1</v>
      </c>
      <c r="U57" t="n">
        <v>1467.1</v>
      </c>
      <c r="V57" t="n">
        <v>1505.4</v>
      </c>
      <c r="W57" t="n">
        <v>1616.8</v>
      </c>
      <c r="X57" t="n">
        <v>1664.3</v>
      </c>
      <c r="Y57" t="n">
        <v>1687.6</v>
      </c>
      <c r="Z57" t="n">
        <v>1765.4</v>
      </c>
      <c r="AA57" t="n">
        <v>1853</v>
      </c>
      <c r="AB57" t="n">
        <v>2115.4</v>
      </c>
      <c r="AC57" t="n">
        <v>2434.3</v>
      </c>
      <c r="AD57" t="n">
        <v>2796.7</v>
      </c>
      <c r="AE57" t="n">
        <v>2735.2</v>
      </c>
      <c r="AF57" t="n">
        <v>3006.2</v>
      </c>
    </row>
    <row r="58">
      <c r="A58" t="s">
        <v>134</v>
      </c>
      <c r="B58" t="s">
        <v>386</v>
      </c>
      <c r="C58" t="s">
        <v>203</v>
      </c>
      <c r="D58" t="s">
        <v>387</v>
      </c>
      <c r="E58" t="s">
        <v>204</v>
      </c>
      <c r="F58"/>
      <c r="G58"/>
      <c r="H58"/>
      <c r="I58"/>
      <c r="J58"/>
      <c r="K58" t="n">
        <v>792.7</v>
      </c>
      <c r="L58" t="n">
        <v>851.1</v>
      </c>
      <c r="M58" t="n">
        <v>925.9</v>
      </c>
      <c r="N58" t="n">
        <v>946.3</v>
      </c>
      <c r="O58" t="n">
        <v>931.4</v>
      </c>
      <c r="P58" t="n">
        <v>988.4</v>
      </c>
      <c r="Q58" t="n">
        <v>1007.6</v>
      </c>
      <c r="R58" t="n">
        <v>1099.4</v>
      </c>
      <c r="S58" t="n">
        <v>1115.1</v>
      </c>
      <c r="T58" t="n">
        <v>1411.1</v>
      </c>
      <c r="U58" t="n">
        <v>1467.1</v>
      </c>
      <c r="V58" t="n">
        <v>1505.4</v>
      </c>
      <c r="W58" t="n">
        <v>1616.8</v>
      </c>
      <c r="X58" t="n">
        <v>1664.3</v>
      </c>
      <c r="Y58" t="n">
        <v>1687.6</v>
      </c>
      <c r="Z58" t="n">
        <v>1765.4</v>
      </c>
      <c r="AA58" t="n">
        <v>1853</v>
      </c>
      <c r="AB58" t="n">
        <v>2115.4</v>
      </c>
      <c r="AC58" t="n">
        <v>2434.3</v>
      </c>
      <c r="AD58" t="n">
        <v>2796.7</v>
      </c>
      <c r="AE58" t="n">
        <v>2735.2</v>
      </c>
      <c r="AF58" t="n">
        <v>3006.2</v>
      </c>
    </row>
    <row r="59">
      <c r="A59" t="s">
        <v>134</v>
      </c>
      <c r="B59" t="s">
        <v>388</v>
      </c>
      <c r="C59" t="s">
        <v>203</v>
      </c>
      <c r="D59" t="s">
        <v>389</v>
      </c>
      <c r="E59" t="s">
        <v>204</v>
      </c>
      <c r="F59"/>
      <c r="G59"/>
      <c r="H59"/>
      <c r="I59"/>
      <c r="J59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136</v>
      </c>
      <c r="B2" t="s">
        <v>197</v>
      </c>
      <c r="C2" t="s">
        <v>203</v>
      </c>
      <c r="D2" t="s">
        <v>199</v>
      </c>
      <c r="E2" t="s">
        <v>204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136</v>
      </c>
      <c r="B3" t="s">
        <v>276</v>
      </c>
      <c r="C3" t="s">
        <v>203</v>
      </c>
      <c r="D3" t="s">
        <v>277</v>
      </c>
      <c r="E3" t="s">
        <v>204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136</v>
      </c>
      <c r="B4" t="s">
        <v>278</v>
      </c>
      <c r="C4" t="s">
        <v>203</v>
      </c>
      <c r="D4" t="s">
        <v>279</v>
      </c>
      <c r="E4" t="s">
        <v>204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136</v>
      </c>
      <c r="B5" t="s">
        <v>280</v>
      </c>
      <c r="C5" t="s">
        <v>203</v>
      </c>
      <c r="D5" t="s">
        <v>281</v>
      </c>
      <c r="E5" t="s">
        <v>204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136</v>
      </c>
      <c r="B6" t="s">
        <v>282</v>
      </c>
      <c r="C6" t="s">
        <v>203</v>
      </c>
      <c r="D6" t="s">
        <v>283</v>
      </c>
      <c r="E6" t="s">
        <v>204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136</v>
      </c>
      <c r="B7" t="s">
        <v>284</v>
      </c>
      <c r="C7" t="s">
        <v>203</v>
      </c>
      <c r="D7" t="s">
        <v>285</v>
      </c>
      <c r="E7" t="s">
        <v>204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136</v>
      </c>
      <c r="B8" t="s">
        <v>286</v>
      </c>
      <c r="C8" t="s">
        <v>203</v>
      </c>
      <c r="D8" t="s">
        <v>287</v>
      </c>
      <c r="E8" t="s">
        <v>204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136</v>
      </c>
      <c r="B9" t="s">
        <v>288</v>
      </c>
      <c r="C9" t="s">
        <v>203</v>
      </c>
      <c r="D9" t="s">
        <v>289</v>
      </c>
      <c r="E9" t="s">
        <v>204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136</v>
      </c>
      <c r="B10" t="s">
        <v>290</v>
      </c>
      <c r="C10" t="s">
        <v>203</v>
      </c>
      <c r="D10" t="s">
        <v>291</v>
      </c>
      <c r="E10" t="s">
        <v>204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136</v>
      </c>
      <c r="B11" t="s">
        <v>292</v>
      </c>
      <c r="C11" t="s">
        <v>203</v>
      </c>
      <c r="D11" t="s">
        <v>293</v>
      </c>
      <c r="E11" t="s">
        <v>204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136</v>
      </c>
      <c r="B12" t="s">
        <v>294</v>
      </c>
      <c r="C12" t="s">
        <v>203</v>
      </c>
      <c r="D12" t="s">
        <v>295</v>
      </c>
      <c r="E12" t="s">
        <v>204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136</v>
      </c>
      <c r="B13" t="s">
        <v>296</v>
      </c>
      <c r="C13" t="s">
        <v>203</v>
      </c>
      <c r="D13" t="s">
        <v>297</v>
      </c>
      <c r="E13" t="s">
        <v>204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136</v>
      </c>
      <c r="B14" t="s">
        <v>298</v>
      </c>
      <c r="C14" t="s">
        <v>203</v>
      </c>
      <c r="D14" t="s">
        <v>299</v>
      </c>
      <c r="E14" t="s">
        <v>204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136</v>
      </c>
      <c r="B15" t="s">
        <v>300</v>
      </c>
      <c r="C15" t="s">
        <v>203</v>
      </c>
      <c r="D15" t="s">
        <v>301</v>
      </c>
      <c r="E15" t="s">
        <v>204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136</v>
      </c>
      <c r="B16" t="s">
        <v>302</v>
      </c>
      <c r="C16" t="s">
        <v>203</v>
      </c>
      <c r="D16" t="s">
        <v>303</v>
      </c>
      <c r="E16" t="s">
        <v>204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136</v>
      </c>
      <c r="B17" t="s">
        <v>304</v>
      </c>
      <c r="C17" t="s">
        <v>203</v>
      </c>
      <c r="D17" t="s">
        <v>305</v>
      </c>
      <c r="E17" t="s">
        <v>204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136</v>
      </c>
      <c r="B18" t="s">
        <v>306</v>
      </c>
      <c r="C18" t="s">
        <v>203</v>
      </c>
      <c r="D18" t="s">
        <v>307</v>
      </c>
      <c r="E18" t="s">
        <v>204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136</v>
      </c>
      <c r="B19" t="s">
        <v>308</v>
      </c>
      <c r="C19" t="s">
        <v>203</v>
      </c>
      <c r="D19" t="s">
        <v>309</v>
      </c>
      <c r="E19" t="s">
        <v>204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136</v>
      </c>
      <c r="B20" t="s">
        <v>310</v>
      </c>
      <c r="C20" t="s">
        <v>203</v>
      </c>
      <c r="D20" t="s">
        <v>311</v>
      </c>
      <c r="E20" t="s">
        <v>204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136</v>
      </c>
      <c r="B21" t="s">
        <v>312</v>
      </c>
      <c r="C21" t="s">
        <v>203</v>
      </c>
      <c r="D21" t="s">
        <v>313</v>
      </c>
      <c r="E21" t="s">
        <v>204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136</v>
      </c>
      <c r="B22" t="s">
        <v>314</v>
      </c>
      <c r="C22" t="s">
        <v>203</v>
      </c>
      <c r="D22" t="s">
        <v>315</v>
      </c>
      <c r="E22" t="s">
        <v>204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136</v>
      </c>
      <c r="B23" t="s">
        <v>316</v>
      </c>
      <c r="C23" t="s">
        <v>203</v>
      </c>
      <c r="D23" t="s">
        <v>317</v>
      </c>
      <c r="E23" t="s">
        <v>204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136</v>
      </c>
      <c r="B24" t="s">
        <v>318</v>
      </c>
      <c r="C24" t="s">
        <v>203</v>
      </c>
      <c r="D24" t="s">
        <v>319</v>
      </c>
      <c r="E24" t="s">
        <v>204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136</v>
      </c>
      <c r="B25" t="s">
        <v>320</v>
      </c>
      <c r="C25" t="s">
        <v>203</v>
      </c>
      <c r="D25" t="s">
        <v>321</v>
      </c>
      <c r="E25" t="s">
        <v>204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136</v>
      </c>
      <c r="B26" t="s">
        <v>322</v>
      </c>
      <c r="C26" t="s">
        <v>203</v>
      </c>
      <c r="D26" t="s">
        <v>323</v>
      </c>
      <c r="E26" t="s">
        <v>204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136</v>
      </c>
      <c r="B27" t="s">
        <v>324</v>
      </c>
      <c r="C27" t="s">
        <v>203</v>
      </c>
      <c r="D27" t="s">
        <v>325</v>
      </c>
      <c r="E27" t="s">
        <v>204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136</v>
      </c>
      <c r="B28" t="s">
        <v>326</v>
      </c>
      <c r="C28" t="s">
        <v>203</v>
      </c>
      <c r="D28" t="s">
        <v>327</v>
      </c>
      <c r="E28" t="s">
        <v>204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136</v>
      </c>
      <c r="B29" t="s">
        <v>328</v>
      </c>
      <c r="C29" t="s">
        <v>203</v>
      </c>
      <c r="D29" t="s">
        <v>329</v>
      </c>
      <c r="E29" t="s">
        <v>204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136</v>
      </c>
      <c r="B30" t="s">
        <v>330</v>
      </c>
      <c r="C30" t="s">
        <v>203</v>
      </c>
      <c r="D30" t="s">
        <v>331</v>
      </c>
      <c r="E30" t="s">
        <v>204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136</v>
      </c>
      <c r="B31" t="s">
        <v>332</v>
      </c>
      <c r="C31" t="s">
        <v>203</v>
      </c>
      <c r="D31" t="s">
        <v>333</v>
      </c>
      <c r="E31" t="s">
        <v>204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136</v>
      </c>
      <c r="B32" t="s">
        <v>334</v>
      </c>
      <c r="C32" t="s">
        <v>203</v>
      </c>
      <c r="D32" t="s">
        <v>335</v>
      </c>
      <c r="E32" t="s">
        <v>204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136</v>
      </c>
      <c r="B33" t="s">
        <v>336</v>
      </c>
      <c r="C33" t="s">
        <v>203</v>
      </c>
      <c r="D33" t="s">
        <v>337</v>
      </c>
      <c r="E33" t="s">
        <v>204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136</v>
      </c>
      <c r="B34" t="s">
        <v>338</v>
      </c>
      <c r="C34" t="s">
        <v>203</v>
      </c>
      <c r="D34" t="s">
        <v>339</v>
      </c>
      <c r="E34" t="s">
        <v>204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136</v>
      </c>
      <c r="B35" t="s">
        <v>340</v>
      </c>
      <c r="C35" t="s">
        <v>203</v>
      </c>
      <c r="D35" t="s">
        <v>341</v>
      </c>
      <c r="E35" t="s">
        <v>204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136</v>
      </c>
      <c r="B36" t="s">
        <v>342</v>
      </c>
      <c r="C36" t="s">
        <v>203</v>
      </c>
      <c r="D36" t="s">
        <v>343</v>
      </c>
      <c r="E36" t="s">
        <v>204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136</v>
      </c>
      <c r="B37" t="s">
        <v>344</v>
      </c>
      <c r="C37" t="s">
        <v>203</v>
      </c>
      <c r="D37" t="s">
        <v>345</v>
      </c>
      <c r="E37" t="s">
        <v>204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136</v>
      </c>
      <c r="B38" t="s">
        <v>346</v>
      </c>
      <c r="C38" t="s">
        <v>203</v>
      </c>
      <c r="D38" t="s">
        <v>347</v>
      </c>
      <c r="E38" t="s">
        <v>204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136</v>
      </c>
      <c r="B39" t="s">
        <v>348</v>
      </c>
      <c r="C39" t="s">
        <v>203</v>
      </c>
      <c r="D39" t="s">
        <v>349</v>
      </c>
      <c r="E39" t="s">
        <v>204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136</v>
      </c>
      <c r="B40" t="s">
        <v>350</v>
      </c>
      <c r="C40" t="s">
        <v>203</v>
      </c>
      <c r="D40" t="s">
        <v>351</v>
      </c>
      <c r="E40" t="s">
        <v>204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136</v>
      </c>
      <c r="B41" t="s">
        <v>352</v>
      </c>
      <c r="C41" t="s">
        <v>203</v>
      </c>
      <c r="D41" t="s">
        <v>353</v>
      </c>
      <c r="E41" t="s">
        <v>204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136</v>
      </c>
      <c r="B42" t="s">
        <v>354</v>
      </c>
      <c r="C42" t="s">
        <v>203</v>
      </c>
      <c r="D42" t="s">
        <v>355</v>
      </c>
      <c r="E42" t="s">
        <v>204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136</v>
      </c>
      <c r="B43" t="s">
        <v>356</v>
      </c>
      <c r="C43" t="s">
        <v>203</v>
      </c>
      <c r="D43" t="s">
        <v>357</v>
      </c>
      <c r="E43" t="s">
        <v>204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136</v>
      </c>
      <c r="B44" t="s">
        <v>358</v>
      </c>
      <c r="C44" t="s">
        <v>203</v>
      </c>
      <c r="D44" t="s">
        <v>359</v>
      </c>
      <c r="E44" t="s">
        <v>204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</row>
    <row r="45">
      <c r="A45" t="s">
        <v>136</v>
      </c>
      <c r="B45" t="s">
        <v>360</v>
      </c>
      <c r="C45" t="s">
        <v>203</v>
      </c>
      <c r="D45" t="s">
        <v>361</v>
      </c>
      <c r="E45" t="s">
        <v>204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136</v>
      </c>
      <c r="B46" t="s">
        <v>362</v>
      </c>
      <c r="C46" t="s">
        <v>203</v>
      </c>
      <c r="D46" t="s">
        <v>363</v>
      </c>
      <c r="E46" t="s">
        <v>204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136</v>
      </c>
      <c r="B47" t="s">
        <v>364</v>
      </c>
      <c r="C47" t="s">
        <v>203</v>
      </c>
      <c r="D47" t="s">
        <v>365</v>
      </c>
      <c r="E47" t="s">
        <v>204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136</v>
      </c>
      <c r="B48" t="s">
        <v>366</v>
      </c>
      <c r="C48" t="s">
        <v>203</v>
      </c>
      <c r="D48" t="s">
        <v>367</v>
      </c>
      <c r="E48" t="s">
        <v>204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136</v>
      </c>
      <c r="B49" t="s">
        <v>368</v>
      </c>
      <c r="C49" t="s">
        <v>203</v>
      </c>
      <c r="D49" t="s">
        <v>369</v>
      </c>
      <c r="E49" t="s">
        <v>204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136</v>
      </c>
      <c r="B50" t="s">
        <v>370</v>
      </c>
      <c r="C50" t="s">
        <v>203</v>
      </c>
      <c r="D50" t="s">
        <v>371</v>
      </c>
      <c r="E50" t="s">
        <v>204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136</v>
      </c>
      <c r="B51" t="s">
        <v>372</v>
      </c>
      <c r="C51" t="s">
        <v>203</v>
      </c>
      <c r="D51" t="s">
        <v>373</v>
      </c>
      <c r="E51" t="s">
        <v>204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136</v>
      </c>
      <c r="B52" t="s">
        <v>374</v>
      </c>
      <c r="C52" t="s">
        <v>203</v>
      </c>
      <c r="D52" t="s">
        <v>375</v>
      </c>
      <c r="E52" t="s">
        <v>204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136</v>
      </c>
      <c r="B53" t="s">
        <v>376</v>
      </c>
      <c r="C53" t="s">
        <v>203</v>
      </c>
      <c r="D53" t="s">
        <v>377</v>
      </c>
      <c r="E53" t="s">
        <v>204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136</v>
      </c>
      <c r="B54" t="s">
        <v>378</v>
      </c>
      <c r="C54" t="s">
        <v>203</v>
      </c>
      <c r="D54" t="s">
        <v>379</v>
      </c>
      <c r="E54" t="s">
        <v>204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136</v>
      </c>
      <c r="B55" t="s">
        <v>380</v>
      </c>
      <c r="C55" t="s">
        <v>203</v>
      </c>
      <c r="D55" t="s">
        <v>381</v>
      </c>
      <c r="E55" t="s">
        <v>204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136</v>
      </c>
      <c r="B56" t="s">
        <v>382</v>
      </c>
      <c r="C56" t="s">
        <v>203</v>
      </c>
      <c r="D56" t="s">
        <v>383</v>
      </c>
      <c r="E56" t="s">
        <v>204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136</v>
      </c>
      <c r="B57" t="s">
        <v>384</v>
      </c>
      <c r="C57" t="s">
        <v>203</v>
      </c>
      <c r="D57" t="s">
        <v>385</v>
      </c>
      <c r="E57" t="s">
        <v>204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109.2</v>
      </c>
      <c r="L57" t="n">
        <v>118</v>
      </c>
      <c r="M57" t="n">
        <v>130.2</v>
      </c>
      <c r="N57" t="n">
        <v>131.8</v>
      </c>
      <c r="O57" t="n">
        <v>138.9</v>
      </c>
      <c r="P57" t="n">
        <v>152.9</v>
      </c>
      <c r="Q57" t="n">
        <v>167.8</v>
      </c>
      <c r="R57" t="n">
        <v>191.4</v>
      </c>
      <c r="S57" t="n">
        <v>226.5</v>
      </c>
      <c r="T57" t="n">
        <v>279.1</v>
      </c>
      <c r="U57" t="n">
        <v>320.5</v>
      </c>
      <c r="V57" t="n">
        <v>348.1</v>
      </c>
      <c r="W57" t="n">
        <v>317</v>
      </c>
      <c r="X57" t="n">
        <v>501.9</v>
      </c>
      <c r="Y57" t="n">
        <v>426</v>
      </c>
      <c r="Z57" t="n">
        <v>456.4</v>
      </c>
      <c r="AA57" t="n">
        <v>594</v>
      </c>
      <c r="AB57" t="n">
        <v>875.1</v>
      </c>
      <c r="AC57" t="n">
        <v>1263.3</v>
      </c>
      <c r="AD57" t="n">
        <v>1358.2</v>
      </c>
      <c r="AE57" t="n">
        <v>1328.3</v>
      </c>
      <c r="AF57" t="n">
        <v>1152.4</v>
      </c>
    </row>
    <row r="58">
      <c r="A58" t="s">
        <v>136</v>
      </c>
      <c r="B58" t="s">
        <v>386</v>
      </c>
      <c r="C58" t="s">
        <v>203</v>
      </c>
      <c r="D58" t="s">
        <v>387</v>
      </c>
      <c r="E58" t="s">
        <v>204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</row>
    <row r="59">
      <c r="A59" t="s">
        <v>136</v>
      </c>
      <c r="B59" t="s">
        <v>388</v>
      </c>
      <c r="C59" t="s">
        <v>203</v>
      </c>
      <c r="D59" t="s">
        <v>389</v>
      </c>
      <c r="E59" t="s">
        <v>204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138</v>
      </c>
      <c r="B2" t="s">
        <v>197</v>
      </c>
      <c r="C2" t="s">
        <v>203</v>
      </c>
      <c r="D2" t="s">
        <v>199</v>
      </c>
      <c r="E2" t="s">
        <v>204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138</v>
      </c>
      <c r="B3" t="s">
        <v>276</v>
      </c>
      <c r="C3" t="s">
        <v>203</v>
      </c>
      <c r="D3" t="s">
        <v>277</v>
      </c>
      <c r="E3" t="s">
        <v>204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 t="n">
        <v>0</v>
      </c>
      <c r="AB3"/>
      <c r="AC3"/>
      <c r="AD3"/>
      <c r="AE3"/>
      <c r="AF3"/>
    </row>
    <row r="4">
      <c r="A4" t="s">
        <v>138</v>
      </c>
      <c r="B4" t="s">
        <v>278</v>
      </c>
      <c r="C4" t="s">
        <v>203</v>
      </c>
      <c r="D4" t="s">
        <v>279</v>
      </c>
      <c r="E4" t="s">
        <v>204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 t="n">
        <v>0</v>
      </c>
      <c r="AB4"/>
      <c r="AC4"/>
      <c r="AD4"/>
      <c r="AE4"/>
      <c r="AF4"/>
    </row>
    <row r="5">
      <c r="A5" t="s">
        <v>138</v>
      </c>
      <c r="B5" t="s">
        <v>280</v>
      </c>
      <c r="C5" t="s">
        <v>203</v>
      </c>
      <c r="D5" t="s">
        <v>281</v>
      </c>
      <c r="E5" t="s">
        <v>204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 t="n">
        <v>0</v>
      </c>
      <c r="AB5"/>
      <c r="AC5"/>
      <c r="AD5"/>
      <c r="AE5"/>
      <c r="AF5"/>
    </row>
    <row r="6">
      <c r="A6" t="s">
        <v>138</v>
      </c>
      <c r="B6" t="s">
        <v>282</v>
      </c>
      <c r="C6" t="s">
        <v>203</v>
      </c>
      <c r="D6" t="s">
        <v>283</v>
      </c>
      <c r="E6" t="s">
        <v>204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 t="n">
        <v>0</v>
      </c>
      <c r="AB6"/>
      <c r="AC6"/>
      <c r="AD6"/>
      <c r="AE6"/>
      <c r="AF6"/>
    </row>
    <row r="7">
      <c r="A7" t="s">
        <v>138</v>
      </c>
      <c r="B7" t="s">
        <v>284</v>
      </c>
      <c r="C7" t="s">
        <v>203</v>
      </c>
      <c r="D7" t="s">
        <v>285</v>
      </c>
      <c r="E7" t="s">
        <v>204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 t="n">
        <v>0</v>
      </c>
      <c r="AB7"/>
      <c r="AC7"/>
      <c r="AD7"/>
      <c r="AE7"/>
      <c r="AF7"/>
    </row>
    <row r="8">
      <c r="A8" t="s">
        <v>138</v>
      </c>
      <c r="B8" t="s">
        <v>286</v>
      </c>
      <c r="C8" t="s">
        <v>203</v>
      </c>
      <c r="D8" t="s">
        <v>287</v>
      </c>
      <c r="E8" t="s">
        <v>204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 t="n">
        <v>0</v>
      </c>
      <c r="AB8"/>
      <c r="AC8"/>
      <c r="AD8"/>
      <c r="AE8"/>
      <c r="AF8"/>
    </row>
    <row r="9">
      <c r="A9" t="s">
        <v>138</v>
      </c>
      <c r="B9" t="s">
        <v>288</v>
      </c>
      <c r="C9" t="s">
        <v>203</v>
      </c>
      <c r="D9" t="s">
        <v>289</v>
      </c>
      <c r="E9" t="s">
        <v>204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 t="n">
        <v>0</v>
      </c>
      <c r="AB9"/>
      <c r="AC9"/>
      <c r="AD9"/>
      <c r="AE9"/>
      <c r="AF9"/>
    </row>
    <row r="10">
      <c r="A10" t="s">
        <v>138</v>
      </c>
      <c r="B10" t="s">
        <v>290</v>
      </c>
      <c r="C10" t="s">
        <v>203</v>
      </c>
      <c r="D10" t="s">
        <v>291</v>
      </c>
      <c r="E10" t="s">
        <v>204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 t="n">
        <v>0</v>
      </c>
      <c r="AB10"/>
      <c r="AC10"/>
      <c r="AD10"/>
      <c r="AE10"/>
      <c r="AF10"/>
    </row>
    <row r="11">
      <c r="A11" t="s">
        <v>138</v>
      </c>
      <c r="B11" t="s">
        <v>292</v>
      </c>
      <c r="C11" t="s">
        <v>203</v>
      </c>
      <c r="D11" t="s">
        <v>293</v>
      </c>
      <c r="E11" t="s">
        <v>204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 t="n">
        <v>0</v>
      </c>
      <c r="AB11"/>
      <c r="AC11"/>
      <c r="AD11"/>
      <c r="AE11"/>
      <c r="AF11"/>
    </row>
    <row r="12">
      <c r="A12" t="s">
        <v>138</v>
      </c>
      <c r="B12" t="s">
        <v>294</v>
      </c>
      <c r="C12" t="s">
        <v>203</v>
      </c>
      <c r="D12" t="s">
        <v>295</v>
      </c>
      <c r="E12" t="s">
        <v>204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 t="n">
        <v>0</v>
      </c>
      <c r="AB12"/>
      <c r="AC12"/>
      <c r="AD12"/>
      <c r="AE12"/>
      <c r="AF12"/>
    </row>
    <row r="13">
      <c r="A13" t="s">
        <v>138</v>
      </c>
      <c r="B13" t="s">
        <v>296</v>
      </c>
      <c r="C13" t="s">
        <v>203</v>
      </c>
      <c r="D13" t="s">
        <v>297</v>
      </c>
      <c r="E13" t="s">
        <v>204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 t="n">
        <v>0</v>
      </c>
      <c r="AB13"/>
      <c r="AC13"/>
      <c r="AD13"/>
      <c r="AE13"/>
      <c r="AF13"/>
    </row>
    <row r="14">
      <c r="A14" t="s">
        <v>138</v>
      </c>
      <c r="B14" t="s">
        <v>298</v>
      </c>
      <c r="C14" t="s">
        <v>203</v>
      </c>
      <c r="D14" t="s">
        <v>299</v>
      </c>
      <c r="E14" t="s">
        <v>204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 t="n">
        <v>0</v>
      </c>
      <c r="AB14"/>
      <c r="AC14"/>
      <c r="AD14"/>
      <c r="AE14"/>
      <c r="AF14"/>
    </row>
    <row r="15">
      <c r="A15" t="s">
        <v>138</v>
      </c>
      <c r="B15" t="s">
        <v>300</v>
      </c>
      <c r="C15" t="s">
        <v>203</v>
      </c>
      <c r="D15" t="s">
        <v>301</v>
      </c>
      <c r="E15" t="s">
        <v>204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 t="n">
        <v>0</v>
      </c>
      <c r="AB15"/>
      <c r="AC15"/>
      <c r="AD15"/>
      <c r="AE15"/>
      <c r="AF15"/>
    </row>
    <row r="16">
      <c r="A16" t="s">
        <v>138</v>
      </c>
      <c r="B16" t="s">
        <v>302</v>
      </c>
      <c r="C16" t="s">
        <v>203</v>
      </c>
      <c r="D16" t="s">
        <v>303</v>
      </c>
      <c r="E16" t="s">
        <v>204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 t="n">
        <v>0</v>
      </c>
      <c r="AB16"/>
      <c r="AC16"/>
      <c r="AD16"/>
      <c r="AE16"/>
      <c r="AF16"/>
    </row>
    <row r="17">
      <c r="A17" t="s">
        <v>138</v>
      </c>
      <c r="B17" t="s">
        <v>304</v>
      </c>
      <c r="C17" t="s">
        <v>203</v>
      </c>
      <c r="D17" t="s">
        <v>305</v>
      </c>
      <c r="E17" t="s">
        <v>204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 t="n">
        <v>0</v>
      </c>
      <c r="AB17"/>
      <c r="AC17"/>
      <c r="AD17"/>
      <c r="AE17"/>
      <c r="AF17"/>
    </row>
    <row r="18">
      <c r="A18" t="s">
        <v>138</v>
      </c>
      <c r="B18" t="s">
        <v>306</v>
      </c>
      <c r="C18" t="s">
        <v>203</v>
      </c>
      <c r="D18" t="s">
        <v>307</v>
      </c>
      <c r="E18" t="s">
        <v>204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 t="n">
        <v>0</v>
      </c>
      <c r="AB18"/>
      <c r="AC18"/>
      <c r="AD18"/>
      <c r="AE18"/>
      <c r="AF18"/>
    </row>
    <row r="19">
      <c r="A19" t="s">
        <v>138</v>
      </c>
      <c r="B19" t="s">
        <v>308</v>
      </c>
      <c r="C19" t="s">
        <v>203</v>
      </c>
      <c r="D19" t="s">
        <v>309</v>
      </c>
      <c r="E19" t="s">
        <v>204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 t="n">
        <v>0</v>
      </c>
      <c r="AB19"/>
      <c r="AC19"/>
      <c r="AD19"/>
      <c r="AE19"/>
      <c r="AF19"/>
    </row>
    <row r="20">
      <c r="A20" t="s">
        <v>138</v>
      </c>
      <c r="B20" t="s">
        <v>310</v>
      </c>
      <c r="C20" t="s">
        <v>203</v>
      </c>
      <c r="D20" t="s">
        <v>311</v>
      </c>
      <c r="E20" t="s">
        <v>204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 t="n">
        <v>0</v>
      </c>
      <c r="AB20"/>
      <c r="AC20"/>
      <c r="AD20"/>
      <c r="AE20"/>
      <c r="AF20"/>
    </row>
    <row r="21">
      <c r="A21" t="s">
        <v>138</v>
      </c>
      <c r="B21" t="s">
        <v>312</v>
      </c>
      <c r="C21" t="s">
        <v>203</v>
      </c>
      <c r="D21" t="s">
        <v>313</v>
      </c>
      <c r="E21" t="s">
        <v>204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 t="n">
        <v>0</v>
      </c>
      <c r="AB21"/>
      <c r="AC21"/>
      <c r="AD21"/>
      <c r="AE21"/>
      <c r="AF21"/>
    </row>
    <row r="22">
      <c r="A22" t="s">
        <v>138</v>
      </c>
      <c r="B22" t="s">
        <v>314</v>
      </c>
      <c r="C22" t="s">
        <v>203</v>
      </c>
      <c r="D22" t="s">
        <v>315</v>
      </c>
      <c r="E22" t="s">
        <v>204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 t="n">
        <v>0</v>
      </c>
      <c r="AB22"/>
      <c r="AC22"/>
      <c r="AD22"/>
      <c r="AE22"/>
      <c r="AF22"/>
    </row>
    <row r="23">
      <c r="A23" t="s">
        <v>138</v>
      </c>
      <c r="B23" t="s">
        <v>316</v>
      </c>
      <c r="C23" t="s">
        <v>203</v>
      </c>
      <c r="D23" t="s">
        <v>317</v>
      </c>
      <c r="E23" t="s">
        <v>204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 t="n">
        <v>0</v>
      </c>
      <c r="AB23"/>
      <c r="AC23"/>
      <c r="AD23"/>
      <c r="AE23"/>
      <c r="AF23"/>
    </row>
    <row r="24">
      <c r="A24" t="s">
        <v>138</v>
      </c>
      <c r="B24" t="s">
        <v>318</v>
      </c>
      <c r="C24" t="s">
        <v>203</v>
      </c>
      <c r="D24" t="s">
        <v>319</v>
      </c>
      <c r="E24" t="s">
        <v>204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 t="n">
        <v>0</v>
      </c>
      <c r="AB24"/>
      <c r="AC24"/>
      <c r="AD24"/>
      <c r="AE24"/>
      <c r="AF24"/>
    </row>
    <row r="25">
      <c r="A25" t="s">
        <v>138</v>
      </c>
      <c r="B25" t="s">
        <v>320</v>
      </c>
      <c r="C25" t="s">
        <v>203</v>
      </c>
      <c r="D25" t="s">
        <v>321</v>
      </c>
      <c r="E25" t="s">
        <v>204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 t="n">
        <v>0</v>
      </c>
      <c r="AB25"/>
      <c r="AC25"/>
      <c r="AD25"/>
      <c r="AE25"/>
      <c r="AF25"/>
    </row>
    <row r="26">
      <c r="A26" t="s">
        <v>138</v>
      </c>
      <c r="B26" t="s">
        <v>322</v>
      </c>
      <c r="C26" t="s">
        <v>203</v>
      </c>
      <c r="D26" t="s">
        <v>323</v>
      </c>
      <c r="E26" t="s">
        <v>204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 t="n">
        <v>0</v>
      </c>
      <c r="AB26"/>
      <c r="AC26"/>
      <c r="AD26"/>
      <c r="AE26"/>
      <c r="AF26"/>
    </row>
    <row r="27">
      <c r="A27" t="s">
        <v>138</v>
      </c>
      <c r="B27" t="s">
        <v>324</v>
      </c>
      <c r="C27" t="s">
        <v>203</v>
      </c>
      <c r="D27" t="s">
        <v>325</v>
      </c>
      <c r="E27" t="s">
        <v>204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 t="n">
        <v>0</v>
      </c>
      <c r="AB27"/>
      <c r="AC27"/>
      <c r="AD27"/>
      <c r="AE27"/>
      <c r="AF27"/>
    </row>
    <row r="28">
      <c r="A28" t="s">
        <v>138</v>
      </c>
      <c r="B28" t="s">
        <v>326</v>
      </c>
      <c r="C28" t="s">
        <v>203</v>
      </c>
      <c r="D28" t="s">
        <v>327</v>
      </c>
      <c r="E28" t="s">
        <v>204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 t="n">
        <v>0</v>
      </c>
      <c r="AB28"/>
      <c r="AC28"/>
      <c r="AD28"/>
      <c r="AE28"/>
      <c r="AF28"/>
    </row>
    <row r="29">
      <c r="A29" t="s">
        <v>138</v>
      </c>
      <c r="B29" t="s">
        <v>328</v>
      </c>
      <c r="C29" t="s">
        <v>203</v>
      </c>
      <c r="D29" t="s">
        <v>329</v>
      </c>
      <c r="E29" t="s">
        <v>204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 t="n">
        <v>0</v>
      </c>
      <c r="AB29"/>
      <c r="AC29"/>
      <c r="AD29"/>
      <c r="AE29"/>
      <c r="AF29"/>
    </row>
    <row r="30">
      <c r="A30" t="s">
        <v>138</v>
      </c>
      <c r="B30" t="s">
        <v>330</v>
      </c>
      <c r="C30" t="s">
        <v>203</v>
      </c>
      <c r="D30" t="s">
        <v>331</v>
      </c>
      <c r="E30" t="s">
        <v>204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 t="n">
        <v>0</v>
      </c>
      <c r="AB30"/>
      <c r="AC30"/>
      <c r="AD30"/>
      <c r="AE30"/>
      <c r="AF30"/>
    </row>
    <row r="31">
      <c r="A31" t="s">
        <v>138</v>
      </c>
      <c r="B31" t="s">
        <v>332</v>
      </c>
      <c r="C31" t="s">
        <v>203</v>
      </c>
      <c r="D31" t="s">
        <v>333</v>
      </c>
      <c r="E31" t="s">
        <v>204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 t="n">
        <v>0</v>
      </c>
      <c r="AB31"/>
      <c r="AC31"/>
      <c r="AD31"/>
      <c r="AE31"/>
      <c r="AF31"/>
    </row>
    <row r="32">
      <c r="A32" t="s">
        <v>138</v>
      </c>
      <c r="B32" t="s">
        <v>334</v>
      </c>
      <c r="C32" t="s">
        <v>203</v>
      </c>
      <c r="D32" t="s">
        <v>335</v>
      </c>
      <c r="E32" t="s">
        <v>204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 t="n">
        <v>0</v>
      </c>
      <c r="AB32"/>
      <c r="AC32"/>
      <c r="AD32"/>
      <c r="AE32"/>
      <c r="AF32"/>
    </row>
    <row r="33">
      <c r="A33" t="s">
        <v>138</v>
      </c>
      <c r="B33" t="s">
        <v>336</v>
      </c>
      <c r="C33" t="s">
        <v>203</v>
      </c>
      <c r="D33" t="s">
        <v>337</v>
      </c>
      <c r="E33" t="s">
        <v>204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 t="n">
        <v>0</v>
      </c>
      <c r="AB33"/>
      <c r="AC33"/>
      <c r="AD33"/>
      <c r="AE33"/>
      <c r="AF33"/>
    </row>
    <row r="34">
      <c r="A34" t="s">
        <v>138</v>
      </c>
      <c r="B34" t="s">
        <v>338</v>
      </c>
      <c r="C34" t="s">
        <v>203</v>
      </c>
      <c r="D34" t="s">
        <v>339</v>
      </c>
      <c r="E34" t="s">
        <v>204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 t="n">
        <v>0</v>
      </c>
      <c r="AB34"/>
      <c r="AC34"/>
      <c r="AD34"/>
      <c r="AE34"/>
      <c r="AF34"/>
    </row>
    <row r="35">
      <c r="A35" t="s">
        <v>138</v>
      </c>
      <c r="B35" t="s">
        <v>340</v>
      </c>
      <c r="C35" t="s">
        <v>203</v>
      </c>
      <c r="D35" t="s">
        <v>341</v>
      </c>
      <c r="E35" t="s">
        <v>204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 t="n">
        <v>0</v>
      </c>
      <c r="AB35"/>
      <c r="AC35"/>
      <c r="AD35"/>
      <c r="AE35"/>
      <c r="AF35"/>
    </row>
    <row r="36">
      <c r="A36" t="s">
        <v>138</v>
      </c>
      <c r="B36" t="s">
        <v>342</v>
      </c>
      <c r="C36" t="s">
        <v>203</v>
      </c>
      <c r="D36" t="s">
        <v>343</v>
      </c>
      <c r="E36" t="s">
        <v>204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 t="n">
        <v>0</v>
      </c>
      <c r="AB36"/>
      <c r="AC36"/>
      <c r="AD36"/>
      <c r="AE36"/>
      <c r="AF36"/>
    </row>
    <row r="37">
      <c r="A37" t="s">
        <v>138</v>
      </c>
      <c r="B37" t="s">
        <v>344</v>
      </c>
      <c r="C37" t="s">
        <v>203</v>
      </c>
      <c r="D37" t="s">
        <v>345</v>
      </c>
      <c r="E37" t="s">
        <v>204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 t="n">
        <v>0</v>
      </c>
      <c r="AB37"/>
      <c r="AC37"/>
      <c r="AD37"/>
      <c r="AE37"/>
      <c r="AF37"/>
    </row>
    <row r="38">
      <c r="A38" t="s">
        <v>138</v>
      </c>
      <c r="B38" t="s">
        <v>346</v>
      </c>
      <c r="C38" t="s">
        <v>203</v>
      </c>
      <c r="D38" t="s">
        <v>347</v>
      </c>
      <c r="E38" t="s">
        <v>204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 t="n">
        <v>0</v>
      </c>
      <c r="AB38"/>
      <c r="AC38"/>
      <c r="AD38"/>
      <c r="AE38"/>
      <c r="AF38"/>
    </row>
    <row r="39">
      <c r="A39" t="s">
        <v>138</v>
      </c>
      <c r="B39" t="s">
        <v>348</v>
      </c>
      <c r="C39" t="s">
        <v>203</v>
      </c>
      <c r="D39" t="s">
        <v>349</v>
      </c>
      <c r="E39" t="s">
        <v>204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 t="n">
        <v>0</v>
      </c>
      <c r="AB39"/>
      <c r="AC39"/>
      <c r="AD39"/>
      <c r="AE39"/>
      <c r="AF39"/>
    </row>
    <row r="40">
      <c r="A40" t="s">
        <v>138</v>
      </c>
      <c r="B40" t="s">
        <v>350</v>
      </c>
      <c r="C40" t="s">
        <v>203</v>
      </c>
      <c r="D40" t="s">
        <v>351</v>
      </c>
      <c r="E40" t="s">
        <v>204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 t="n">
        <v>0</v>
      </c>
      <c r="AB40"/>
      <c r="AC40"/>
      <c r="AD40"/>
      <c r="AE40"/>
      <c r="AF40"/>
    </row>
    <row r="41">
      <c r="A41" t="s">
        <v>138</v>
      </c>
      <c r="B41" t="s">
        <v>352</v>
      </c>
      <c r="C41" t="s">
        <v>203</v>
      </c>
      <c r="D41" t="s">
        <v>353</v>
      </c>
      <c r="E41" t="s">
        <v>204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 t="n">
        <v>0</v>
      </c>
      <c r="AB41"/>
      <c r="AC41"/>
      <c r="AD41"/>
      <c r="AE41"/>
      <c r="AF41"/>
    </row>
    <row r="42">
      <c r="A42" t="s">
        <v>138</v>
      </c>
      <c r="B42" t="s">
        <v>354</v>
      </c>
      <c r="C42" t="s">
        <v>203</v>
      </c>
      <c r="D42" t="s">
        <v>355</v>
      </c>
      <c r="E42" t="s">
        <v>204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 t="n">
        <v>0</v>
      </c>
      <c r="AB42"/>
      <c r="AC42"/>
      <c r="AD42"/>
      <c r="AE42"/>
      <c r="AF42"/>
    </row>
    <row r="43">
      <c r="A43" t="s">
        <v>138</v>
      </c>
      <c r="B43" t="s">
        <v>356</v>
      </c>
      <c r="C43" t="s">
        <v>203</v>
      </c>
      <c r="D43" t="s">
        <v>357</v>
      </c>
      <c r="E43" t="s">
        <v>204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 t="n">
        <v>0</v>
      </c>
      <c r="AB43"/>
      <c r="AC43"/>
      <c r="AD43"/>
      <c r="AE43"/>
      <c r="AF43"/>
    </row>
    <row r="44">
      <c r="A44" t="s">
        <v>138</v>
      </c>
      <c r="B44" t="s">
        <v>358</v>
      </c>
      <c r="C44" t="s">
        <v>203</v>
      </c>
      <c r="D44" t="s">
        <v>359</v>
      </c>
      <c r="E44" t="s">
        <v>204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 t="n">
        <v>0</v>
      </c>
      <c r="AB44"/>
      <c r="AC44"/>
      <c r="AD44"/>
      <c r="AE44"/>
      <c r="AF44"/>
    </row>
    <row r="45">
      <c r="A45" t="s">
        <v>138</v>
      </c>
      <c r="B45" t="s">
        <v>360</v>
      </c>
      <c r="C45" t="s">
        <v>203</v>
      </c>
      <c r="D45" t="s">
        <v>361</v>
      </c>
      <c r="E45" t="s">
        <v>204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 t="n">
        <v>0</v>
      </c>
      <c r="AB45"/>
      <c r="AC45"/>
      <c r="AD45"/>
      <c r="AE45"/>
      <c r="AF45"/>
    </row>
    <row r="46">
      <c r="A46" t="s">
        <v>138</v>
      </c>
      <c r="B46" t="s">
        <v>362</v>
      </c>
      <c r="C46" t="s">
        <v>203</v>
      </c>
      <c r="D46" t="s">
        <v>363</v>
      </c>
      <c r="E46" t="s">
        <v>204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 t="n">
        <v>0</v>
      </c>
      <c r="AB46"/>
      <c r="AC46"/>
      <c r="AD46"/>
      <c r="AE46"/>
      <c r="AF46"/>
    </row>
    <row r="47">
      <c r="A47" t="s">
        <v>138</v>
      </c>
      <c r="B47" t="s">
        <v>364</v>
      </c>
      <c r="C47" t="s">
        <v>203</v>
      </c>
      <c r="D47" t="s">
        <v>365</v>
      </c>
      <c r="E47" t="s">
        <v>204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 t="n">
        <v>0</v>
      </c>
      <c r="AB47"/>
      <c r="AC47"/>
      <c r="AD47"/>
      <c r="AE47"/>
      <c r="AF47"/>
    </row>
    <row r="48">
      <c r="A48" t="s">
        <v>138</v>
      </c>
      <c r="B48" t="s">
        <v>366</v>
      </c>
      <c r="C48" t="s">
        <v>203</v>
      </c>
      <c r="D48" t="s">
        <v>367</v>
      </c>
      <c r="E48" t="s">
        <v>204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 t="n">
        <v>0</v>
      </c>
      <c r="AB48"/>
      <c r="AC48"/>
      <c r="AD48"/>
      <c r="AE48"/>
      <c r="AF48"/>
    </row>
    <row r="49">
      <c r="A49" t="s">
        <v>138</v>
      </c>
      <c r="B49" t="s">
        <v>368</v>
      </c>
      <c r="C49" t="s">
        <v>203</v>
      </c>
      <c r="D49" t="s">
        <v>369</v>
      </c>
      <c r="E49" t="s">
        <v>204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 t="n">
        <v>0</v>
      </c>
      <c r="AB49"/>
      <c r="AC49"/>
      <c r="AD49"/>
      <c r="AE49"/>
      <c r="AF49"/>
    </row>
    <row r="50">
      <c r="A50" t="s">
        <v>138</v>
      </c>
      <c r="B50" t="s">
        <v>370</v>
      </c>
      <c r="C50" t="s">
        <v>203</v>
      </c>
      <c r="D50" t="s">
        <v>371</v>
      </c>
      <c r="E50" t="s">
        <v>204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 t="n">
        <v>0</v>
      </c>
      <c r="AB50"/>
      <c r="AC50"/>
      <c r="AD50"/>
      <c r="AE50"/>
      <c r="AF50"/>
    </row>
    <row r="51">
      <c r="A51" t="s">
        <v>138</v>
      </c>
      <c r="B51" t="s">
        <v>372</v>
      </c>
      <c r="C51" t="s">
        <v>203</v>
      </c>
      <c r="D51" t="s">
        <v>373</v>
      </c>
      <c r="E51" t="s">
        <v>204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 t="n">
        <v>0</v>
      </c>
      <c r="AB51"/>
      <c r="AC51"/>
      <c r="AD51"/>
      <c r="AE51"/>
      <c r="AF51"/>
    </row>
    <row r="52">
      <c r="A52" t="s">
        <v>138</v>
      </c>
      <c r="B52" t="s">
        <v>374</v>
      </c>
      <c r="C52" t="s">
        <v>203</v>
      </c>
      <c r="D52" t="s">
        <v>375</v>
      </c>
      <c r="E52" t="s">
        <v>204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 t="n">
        <v>0</v>
      </c>
      <c r="AB52"/>
      <c r="AC52"/>
      <c r="AD52"/>
      <c r="AE52"/>
      <c r="AF52"/>
    </row>
    <row r="53">
      <c r="A53" t="s">
        <v>138</v>
      </c>
      <c r="B53" t="s">
        <v>376</v>
      </c>
      <c r="C53" t="s">
        <v>203</v>
      </c>
      <c r="D53" t="s">
        <v>377</v>
      </c>
      <c r="E53" t="s">
        <v>204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 t="n">
        <v>0</v>
      </c>
      <c r="AB53"/>
      <c r="AC53"/>
      <c r="AD53"/>
      <c r="AE53"/>
      <c r="AF53"/>
    </row>
    <row r="54">
      <c r="A54" t="s">
        <v>138</v>
      </c>
      <c r="B54" t="s">
        <v>378</v>
      </c>
      <c r="C54" t="s">
        <v>203</v>
      </c>
      <c r="D54" t="s">
        <v>379</v>
      </c>
      <c r="E54" t="s">
        <v>204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 t="n">
        <v>0</v>
      </c>
      <c r="AB54"/>
      <c r="AC54"/>
      <c r="AD54"/>
      <c r="AE54"/>
      <c r="AF54"/>
    </row>
    <row r="55">
      <c r="A55" t="s">
        <v>138</v>
      </c>
      <c r="B55" t="s">
        <v>380</v>
      </c>
      <c r="C55" t="s">
        <v>203</v>
      </c>
      <c r="D55" t="s">
        <v>381</v>
      </c>
      <c r="E55" t="s">
        <v>204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 t="n">
        <v>0</v>
      </c>
      <c r="AB55"/>
      <c r="AC55"/>
      <c r="AD55"/>
      <c r="AE55"/>
      <c r="AF55"/>
    </row>
    <row r="56">
      <c r="A56" t="s">
        <v>138</v>
      </c>
      <c r="B56" t="s">
        <v>382</v>
      </c>
      <c r="C56" t="s">
        <v>203</v>
      </c>
      <c r="D56" t="s">
        <v>383</v>
      </c>
      <c r="E56" t="s">
        <v>204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 t="n">
        <v>0</v>
      </c>
      <c r="AB56"/>
      <c r="AC56"/>
      <c r="AD56"/>
      <c r="AE56"/>
      <c r="AF56"/>
    </row>
    <row r="57">
      <c r="A57" t="s">
        <v>138</v>
      </c>
      <c r="B57" t="s">
        <v>384</v>
      </c>
      <c r="C57" t="s">
        <v>203</v>
      </c>
      <c r="D57" t="s">
        <v>385</v>
      </c>
      <c r="E57" t="s">
        <v>204</v>
      </c>
      <c r="F57"/>
      <c r="G57"/>
      <c r="H57"/>
      <c r="I57"/>
      <c r="J57"/>
      <c r="K57" t="n">
        <v>146252.3</v>
      </c>
      <c r="L57" t="n">
        <v>130863.9</v>
      </c>
      <c r="M57" t="n">
        <v>162687.4</v>
      </c>
      <c r="N57" t="n">
        <v>171218.5</v>
      </c>
      <c r="O57" t="n">
        <v>171214.6</v>
      </c>
      <c r="P57" t="n">
        <v>175588.7</v>
      </c>
      <c r="Q57" t="n">
        <v>201060.3</v>
      </c>
      <c r="R57" t="n">
        <v>213222</v>
      </c>
      <c r="S57" t="n">
        <v>257587</v>
      </c>
      <c r="T57" t="n">
        <v>310212.3</v>
      </c>
      <c r="U57" t="n">
        <v>325104.2</v>
      </c>
      <c r="V57" t="n">
        <v>322304.4</v>
      </c>
      <c r="W57" t="n">
        <v>340198.9</v>
      </c>
      <c r="X57" t="n">
        <v>354331.9</v>
      </c>
      <c r="Y57" t="n">
        <v>360769.1</v>
      </c>
      <c r="Z57" t="n">
        <v>354862.4</v>
      </c>
      <c r="AA57" t="n">
        <v>370360</v>
      </c>
      <c r="AB57" t="n">
        <v>372013.3</v>
      </c>
      <c r="AC57" t="n">
        <v>388165.6</v>
      </c>
      <c r="AD57" t="n">
        <v>401849.6</v>
      </c>
      <c r="AE57" t="n">
        <v>410490.8</v>
      </c>
      <c r="AF57" t="n">
        <v>399527.8</v>
      </c>
    </row>
    <row r="58">
      <c r="A58" t="s">
        <v>138</v>
      </c>
      <c r="B58" t="s">
        <v>386</v>
      </c>
      <c r="C58" t="s">
        <v>203</v>
      </c>
      <c r="D58" t="s">
        <v>387</v>
      </c>
      <c r="E58" t="s">
        <v>204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 t="n">
        <v>0</v>
      </c>
      <c r="AB58"/>
      <c r="AC58"/>
      <c r="AD58"/>
      <c r="AE58"/>
      <c r="AF58"/>
    </row>
    <row r="59">
      <c r="A59" t="s">
        <v>138</v>
      </c>
      <c r="B59" t="s">
        <v>388</v>
      </c>
      <c r="C59" t="s">
        <v>203</v>
      </c>
      <c r="D59" t="s">
        <v>389</v>
      </c>
      <c r="E59" t="s">
        <v>204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 t="n">
        <v>0</v>
      </c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49</v>
      </c>
      <c r="B2" t="s">
        <v>197</v>
      </c>
      <c r="C2" t="s">
        <v>203</v>
      </c>
      <c r="D2" t="s">
        <v>199</v>
      </c>
      <c r="E2" t="s">
        <v>204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/>
      <c r="AE2"/>
      <c r="AF2"/>
    </row>
    <row r="3">
      <c r="A3" t="s">
        <v>49</v>
      </c>
      <c r="B3" t="s">
        <v>276</v>
      </c>
      <c r="C3" t="s">
        <v>203</v>
      </c>
      <c r="D3" t="s">
        <v>277</v>
      </c>
      <c r="E3" t="s">
        <v>204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/>
      <c r="AE3"/>
      <c r="AF3"/>
    </row>
    <row r="4">
      <c r="A4" t="s">
        <v>49</v>
      </c>
      <c r="B4" t="s">
        <v>278</v>
      </c>
      <c r="C4" t="s">
        <v>203</v>
      </c>
      <c r="D4" t="s">
        <v>279</v>
      </c>
      <c r="E4" t="s">
        <v>204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/>
      <c r="AE4"/>
      <c r="AF4"/>
    </row>
    <row r="5">
      <c r="A5" t="s">
        <v>49</v>
      </c>
      <c r="B5" t="s">
        <v>280</v>
      </c>
      <c r="C5" t="s">
        <v>203</v>
      </c>
      <c r="D5" t="s">
        <v>281</v>
      </c>
      <c r="E5" t="s">
        <v>204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/>
      <c r="AE5"/>
      <c r="AF5"/>
    </row>
    <row r="6">
      <c r="A6" t="s">
        <v>49</v>
      </c>
      <c r="B6" t="s">
        <v>282</v>
      </c>
      <c r="C6" t="s">
        <v>203</v>
      </c>
      <c r="D6" t="s">
        <v>283</v>
      </c>
      <c r="E6" t="s">
        <v>204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/>
      <c r="AE6"/>
      <c r="AF6"/>
    </row>
    <row r="7">
      <c r="A7" t="s">
        <v>49</v>
      </c>
      <c r="B7" t="s">
        <v>284</v>
      </c>
      <c r="C7" t="s">
        <v>203</v>
      </c>
      <c r="D7" t="s">
        <v>285</v>
      </c>
      <c r="E7" t="s">
        <v>204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/>
      <c r="AE7"/>
      <c r="AF7"/>
    </row>
    <row r="8">
      <c r="A8" t="s">
        <v>49</v>
      </c>
      <c r="B8" t="s">
        <v>286</v>
      </c>
      <c r="C8" t="s">
        <v>203</v>
      </c>
      <c r="D8" t="s">
        <v>287</v>
      </c>
      <c r="E8" t="s">
        <v>204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/>
      <c r="AE8"/>
      <c r="AF8"/>
    </row>
    <row r="9">
      <c r="A9" t="s">
        <v>49</v>
      </c>
      <c r="B9" t="s">
        <v>288</v>
      </c>
      <c r="C9" t="s">
        <v>203</v>
      </c>
      <c r="D9" t="s">
        <v>289</v>
      </c>
      <c r="E9" t="s">
        <v>204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/>
      <c r="AE9"/>
      <c r="AF9"/>
    </row>
    <row r="10">
      <c r="A10" t="s">
        <v>49</v>
      </c>
      <c r="B10" t="s">
        <v>290</v>
      </c>
      <c r="C10" t="s">
        <v>203</v>
      </c>
      <c r="D10" t="s">
        <v>291</v>
      </c>
      <c r="E10" t="s">
        <v>204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/>
      <c r="AE10"/>
      <c r="AF10"/>
    </row>
    <row r="11">
      <c r="A11" t="s">
        <v>49</v>
      </c>
      <c r="B11" t="s">
        <v>292</v>
      </c>
      <c r="C11" t="s">
        <v>203</v>
      </c>
      <c r="D11" t="s">
        <v>293</v>
      </c>
      <c r="E11" t="s">
        <v>204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/>
      <c r="AE11"/>
      <c r="AF11"/>
    </row>
    <row r="12">
      <c r="A12" t="s">
        <v>49</v>
      </c>
      <c r="B12" t="s">
        <v>294</v>
      </c>
      <c r="C12" t="s">
        <v>203</v>
      </c>
      <c r="D12" t="s">
        <v>295</v>
      </c>
      <c r="E12" t="s">
        <v>204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/>
      <c r="AE12"/>
      <c r="AF12"/>
    </row>
    <row r="13">
      <c r="A13" t="s">
        <v>49</v>
      </c>
      <c r="B13" t="s">
        <v>296</v>
      </c>
      <c r="C13" t="s">
        <v>203</v>
      </c>
      <c r="D13" t="s">
        <v>297</v>
      </c>
      <c r="E13" t="s">
        <v>204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/>
      <c r="AE13"/>
      <c r="AF13"/>
    </row>
    <row r="14">
      <c r="A14" t="s">
        <v>49</v>
      </c>
      <c r="B14" t="s">
        <v>298</v>
      </c>
      <c r="C14" t="s">
        <v>203</v>
      </c>
      <c r="D14" t="s">
        <v>299</v>
      </c>
      <c r="E14" t="s">
        <v>204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/>
      <c r="AE14"/>
      <c r="AF14"/>
    </row>
    <row r="15">
      <c r="A15" t="s">
        <v>49</v>
      </c>
      <c r="B15" t="s">
        <v>300</v>
      </c>
      <c r="C15" t="s">
        <v>203</v>
      </c>
      <c r="D15" t="s">
        <v>301</v>
      </c>
      <c r="E15" t="s">
        <v>204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/>
      <c r="AE15"/>
      <c r="AF15"/>
    </row>
    <row r="16">
      <c r="A16" t="s">
        <v>49</v>
      </c>
      <c r="B16" t="s">
        <v>302</v>
      </c>
      <c r="C16" t="s">
        <v>203</v>
      </c>
      <c r="D16" t="s">
        <v>303</v>
      </c>
      <c r="E16" t="s">
        <v>204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/>
      <c r="AE16"/>
      <c r="AF16"/>
    </row>
    <row r="17">
      <c r="A17" t="s">
        <v>49</v>
      </c>
      <c r="B17" t="s">
        <v>304</v>
      </c>
      <c r="C17" t="s">
        <v>203</v>
      </c>
      <c r="D17" t="s">
        <v>305</v>
      </c>
      <c r="E17" t="s">
        <v>204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/>
      <c r="AE17"/>
      <c r="AF17"/>
    </row>
    <row r="18">
      <c r="A18" t="s">
        <v>49</v>
      </c>
      <c r="B18" t="s">
        <v>306</v>
      </c>
      <c r="C18" t="s">
        <v>203</v>
      </c>
      <c r="D18" t="s">
        <v>307</v>
      </c>
      <c r="E18" t="s">
        <v>204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/>
      <c r="AE18"/>
      <c r="AF18"/>
    </row>
    <row r="19">
      <c r="A19" t="s">
        <v>49</v>
      </c>
      <c r="B19" t="s">
        <v>308</v>
      </c>
      <c r="C19" t="s">
        <v>203</v>
      </c>
      <c r="D19" t="s">
        <v>309</v>
      </c>
      <c r="E19" t="s">
        <v>204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/>
      <c r="AE19"/>
      <c r="AF19"/>
    </row>
    <row r="20">
      <c r="A20" t="s">
        <v>49</v>
      </c>
      <c r="B20" t="s">
        <v>310</v>
      </c>
      <c r="C20" t="s">
        <v>203</v>
      </c>
      <c r="D20" t="s">
        <v>311</v>
      </c>
      <c r="E20" t="s">
        <v>204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/>
      <c r="AE20"/>
      <c r="AF20"/>
    </row>
    <row r="21">
      <c r="A21" t="s">
        <v>49</v>
      </c>
      <c r="B21" t="s">
        <v>312</v>
      </c>
      <c r="C21" t="s">
        <v>203</v>
      </c>
      <c r="D21" t="s">
        <v>313</v>
      </c>
      <c r="E21" t="s">
        <v>204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/>
      <c r="AE21"/>
      <c r="AF21"/>
    </row>
    <row r="22">
      <c r="A22" t="s">
        <v>49</v>
      </c>
      <c r="B22" t="s">
        <v>314</v>
      </c>
      <c r="C22" t="s">
        <v>203</v>
      </c>
      <c r="D22" t="s">
        <v>315</v>
      </c>
      <c r="E22" t="s">
        <v>204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/>
      <c r="AE22"/>
      <c r="AF22"/>
    </row>
    <row r="23">
      <c r="A23" t="s">
        <v>49</v>
      </c>
      <c r="B23" t="s">
        <v>316</v>
      </c>
      <c r="C23" t="s">
        <v>203</v>
      </c>
      <c r="D23" t="s">
        <v>317</v>
      </c>
      <c r="E23" t="s">
        <v>204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/>
      <c r="AE23"/>
      <c r="AF23"/>
    </row>
    <row r="24">
      <c r="A24" t="s">
        <v>49</v>
      </c>
      <c r="B24" t="s">
        <v>318</v>
      </c>
      <c r="C24" t="s">
        <v>203</v>
      </c>
      <c r="D24" t="s">
        <v>319</v>
      </c>
      <c r="E24" t="s">
        <v>204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/>
      <c r="AE24"/>
      <c r="AF24"/>
    </row>
    <row r="25">
      <c r="A25" t="s">
        <v>49</v>
      </c>
      <c r="B25" t="s">
        <v>320</v>
      </c>
      <c r="C25" t="s">
        <v>203</v>
      </c>
      <c r="D25" t="s">
        <v>321</v>
      </c>
      <c r="E25" t="s">
        <v>204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/>
      <c r="AE25"/>
      <c r="AF25"/>
    </row>
    <row r="26">
      <c r="A26" t="s">
        <v>49</v>
      </c>
      <c r="B26" t="s">
        <v>322</v>
      </c>
      <c r="C26" t="s">
        <v>203</v>
      </c>
      <c r="D26" t="s">
        <v>323</v>
      </c>
      <c r="E26" t="s">
        <v>204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/>
      <c r="AE26"/>
      <c r="AF26"/>
    </row>
    <row r="27">
      <c r="A27" t="s">
        <v>49</v>
      </c>
      <c r="B27" t="s">
        <v>324</v>
      </c>
      <c r="C27" t="s">
        <v>203</v>
      </c>
      <c r="D27" t="s">
        <v>325</v>
      </c>
      <c r="E27" t="s">
        <v>204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/>
      <c r="AE27"/>
      <c r="AF27"/>
    </row>
    <row r="28">
      <c r="A28" t="s">
        <v>49</v>
      </c>
      <c r="B28" t="s">
        <v>326</v>
      </c>
      <c r="C28" t="s">
        <v>203</v>
      </c>
      <c r="D28" t="s">
        <v>327</v>
      </c>
      <c r="E28" t="s">
        <v>204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/>
      <c r="AE28"/>
      <c r="AF28"/>
    </row>
    <row r="29">
      <c r="A29" t="s">
        <v>49</v>
      </c>
      <c r="B29" t="s">
        <v>328</v>
      </c>
      <c r="C29" t="s">
        <v>203</v>
      </c>
      <c r="D29" t="s">
        <v>329</v>
      </c>
      <c r="E29" t="s">
        <v>204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/>
      <c r="AE29"/>
      <c r="AF29"/>
    </row>
    <row r="30">
      <c r="A30" t="s">
        <v>49</v>
      </c>
      <c r="B30" t="s">
        <v>330</v>
      </c>
      <c r="C30" t="s">
        <v>203</v>
      </c>
      <c r="D30" t="s">
        <v>331</v>
      </c>
      <c r="E30" t="s">
        <v>204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/>
      <c r="AE30"/>
      <c r="AF30"/>
    </row>
    <row r="31">
      <c r="A31" t="s">
        <v>49</v>
      </c>
      <c r="B31" t="s">
        <v>332</v>
      </c>
      <c r="C31" t="s">
        <v>203</v>
      </c>
      <c r="D31" t="s">
        <v>333</v>
      </c>
      <c r="E31" t="s">
        <v>204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/>
      <c r="AE31"/>
      <c r="AF31"/>
    </row>
    <row r="32">
      <c r="A32" t="s">
        <v>49</v>
      </c>
      <c r="B32" t="s">
        <v>334</v>
      </c>
      <c r="C32" t="s">
        <v>203</v>
      </c>
      <c r="D32" t="s">
        <v>335</v>
      </c>
      <c r="E32" t="s">
        <v>204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/>
      <c r="AE32"/>
      <c r="AF32"/>
    </row>
    <row r="33">
      <c r="A33" t="s">
        <v>49</v>
      </c>
      <c r="B33" t="s">
        <v>336</v>
      </c>
      <c r="C33" t="s">
        <v>203</v>
      </c>
      <c r="D33" t="s">
        <v>337</v>
      </c>
      <c r="E33" t="s">
        <v>204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/>
      <c r="AE33"/>
      <c r="AF33"/>
    </row>
    <row r="34">
      <c r="A34" t="s">
        <v>49</v>
      </c>
      <c r="B34" t="s">
        <v>338</v>
      </c>
      <c r="C34" t="s">
        <v>203</v>
      </c>
      <c r="D34" t="s">
        <v>339</v>
      </c>
      <c r="E34" t="s">
        <v>204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/>
      <c r="AE34"/>
      <c r="AF34"/>
    </row>
    <row r="35">
      <c r="A35" t="s">
        <v>49</v>
      </c>
      <c r="B35" t="s">
        <v>340</v>
      </c>
      <c r="C35" t="s">
        <v>203</v>
      </c>
      <c r="D35" t="s">
        <v>341</v>
      </c>
      <c r="E35" t="s">
        <v>204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/>
      <c r="AE35"/>
      <c r="AF35"/>
    </row>
    <row r="36">
      <c r="A36" t="s">
        <v>49</v>
      </c>
      <c r="B36" t="s">
        <v>342</v>
      </c>
      <c r="C36" t="s">
        <v>203</v>
      </c>
      <c r="D36" t="s">
        <v>343</v>
      </c>
      <c r="E36" t="s">
        <v>204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/>
      <c r="AE36"/>
      <c r="AF36"/>
    </row>
    <row r="37">
      <c r="A37" t="s">
        <v>49</v>
      </c>
      <c r="B37" t="s">
        <v>344</v>
      </c>
      <c r="C37" t="s">
        <v>203</v>
      </c>
      <c r="D37" t="s">
        <v>345</v>
      </c>
      <c r="E37" t="s">
        <v>204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/>
      <c r="AE37"/>
      <c r="AF37"/>
    </row>
    <row r="38">
      <c r="A38" t="s">
        <v>49</v>
      </c>
      <c r="B38" t="s">
        <v>346</v>
      </c>
      <c r="C38" t="s">
        <v>203</v>
      </c>
      <c r="D38" t="s">
        <v>347</v>
      </c>
      <c r="E38" t="s">
        <v>204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/>
      <c r="AE38"/>
      <c r="AF38"/>
    </row>
    <row r="39">
      <c r="A39" t="s">
        <v>49</v>
      </c>
      <c r="B39" t="s">
        <v>348</v>
      </c>
      <c r="C39" t="s">
        <v>203</v>
      </c>
      <c r="D39" t="s">
        <v>349</v>
      </c>
      <c r="E39" t="s">
        <v>204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/>
      <c r="AE39"/>
      <c r="AF39"/>
    </row>
    <row r="40">
      <c r="A40" t="s">
        <v>49</v>
      </c>
      <c r="B40" t="s">
        <v>350</v>
      </c>
      <c r="C40" t="s">
        <v>203</v>
      </c>
      <c r="D40" t="s">
        <v>351</v>
      </c>
      <c r="E40" t="s">
        <v>204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/>
      <c r="AE40"/>
      <c r="AF40"/>
    </row>
    <row r="41">
      <c r="A41" t="s">
        <v>49</v>
      </c>
      <c r="B41" t="s">
        <v>352</v>
      </c>
      <c r="C41" t="s">
        <v>203</v>
      </c>
      <c r="D41" t="s">
        <v>353</v>
      </c>
      <c r="E41" t="s">
        <v>204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/>
      <c r="AE41"/>
      <c r="AF41"/>
    </row>
    <row r="42">
      <c r="A42" t="s">
        <v>49</v>
      </c>
      <c r="B42" t="s">
        <v>354</v>
      </c>
      <c r="C42" t="s">
        <v>203</v>
      </c>
      <c r="D42" t="s">
        <v>355</v>
      </c>
      <c r="E42" t="s">
        <v>204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/>
      <c r="AE42"/>
      <c r="AF42"/>
    </row>
    <row r="43">
      <c r="A43" t="s">
        <v>49</v>
      </c>
      <c r="B43" t="s">
        <v>356</v>
      </c>
      <c r="C43" t="s">
        <v>203</v>
      </c>
      <c r="D43" t="s">
        <v>357</v>
      </c>
      <c r="E43" t="s">
        <v>204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/>
      <c r="AE43"/>
      <c r="AF43"/>
    </row>
    <row r="44">
      <c r="A44" t="s">
        <v>49</v>
      </c>
      <c r="B44" t="s">
        <v>358</v>
      </c>
      <c r="C44" t="s">
        <v>203</v>
      </c>
      <c r="D44" t="s">
        <v>359</v>
      </c>
      <c r="E44" t="s">
        <v>204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/>
      <c r="AE44"/>
      <c r="AF44"/>
    </row>
    <row r="45">
      <c r="A45" t="s">
        <v>49</v>
      </c>
      <c r="B45" t="s">
        <v>360</v>
      </c>
      <c r="C45" t="s">
        <v>203</v>
      </c>
      <c r="D45" t="s">
        <v>361</v>
      </c>
      <c r="E45" t="s">
        <v>204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/>
      <c r="AE45"/>
      <c r="AF45"/>
    </row>
    <row r="46">
      <c r="A46" t="s">
        <v>49</v>
      </c>
      <c r="B46" t="s">
        <v>362</v>
      </c>
      <c r="C46" t="s">
        <v>203</v>
      </c>
      <c r="D46" t="s">
        <v>363</v>
      </c>
      <c r="E46" t="s">
        <v>204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/>
      <c r="AE46"/>
      <c r="AF46"/>
    </row>
    <row r="47">
      <c r="A47" t="s">
        <v>49</v>
      </c>
      <c r="B47" t="s">
        <v>364</v>
      </c>
      <c r="C47" t="s">
        <v>203</v>
      </c>
      <c r="D47" t="s">
        <v>365</v>
      </c>
      <c r="E47" t="s">
        <v>204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/>
      <c r="AE47"/>
      <c r="AF47"/>
    </row>
    <row r="48">
      <c r="A48" t="s">
        <v>49</v>
      </c>
      <c r="B48" t="s">
        <v>366</v>
      </c>
      <c r="C48" t="s">
        <v>203</v>
      </c>
      <c r="D48" t="s">
        <v>367</v>
      </c>
      <c r="E48" t="s">
        <v>204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/>
      <c r="AE48"/>
      <c r="AF48"/>
    </row>
    <row r="49">
      <c r="A49" t="s">
        <v>49</v>
      </c>
      <c r="B49" t="s">
        <v>368</v>
      </c>
      <c r="C49" t="s">
        <v>203</v>
      </c>
      <c r="D49" t="s">
        <v>369</v>
      </c>
      <c r="E49" t="s">
        <v>204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/>
      <c r="AE49"/>
      <c r="AF49"/>
    </row>
    <row r="50">
      <c r="A50" t="s">
        <v>49</v>
      </c>
      <c r="B50" t="s">
        <v>370</v>
      </c>
      <c r="C50" t="s">
        <v>203</v>
      </c>
      <c r="D50" t="s">
        <v>371</v>
      </c>
      <c r="E50" t="s">
        <v>204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/>
      <c r="AE50"/>
      <c r="AF50"/>
    </row>
    <row r="51">
      <c r="A51" t="s">
        <v>49</v>
      </c>
      <c r="B51" t="s">
        <v>372</v>
      </c>
      <c r="C51" t="s">
        <v>203</v>
      </c>
      <c r="D51" t="s">
        <v>373</v>
      </c>
      <c r="E51" t="s">
        <v>204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/>
      <c r="AE51"/>
      <c r="AF51"/>
    </row>
    <row r="52">
      <c r="A52" t="s">
        <v>49</v>
      </c>
      <c r="B52" t="s">
        <v>374</v>
      </c>
      <c r="C52" t="s">
        <v>203</v>
      </c>
      <c r="D52" t="s">
        <v>375</v>
      </c>
      <c r="E52" t="s">
        <v>204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/>
      <c r="AE52"/>
      <c r="AF52"/>
    </row>
    <row r="53">
      <c r="A53" t="s">
        <v>49</v>
      </c>
      <c r="B53" t="s">
        <v>376</v>
      </c>
      <c r="C53" t="s">
        <v>203</v>
      </c>
      <c r="D53" t="s">
        <v>377</v>
      </c>
      <c r="E53" t="s">
        <v>204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/>
      <c r="AE53"/>
      <c r="AF53"/>
    </row>
    <row r="54">
      <c r="A54" t="s">
        <v>49</v>
      </c>
      <c r="B54" t="s">
        <v>378</v>
      </c>
      <c r="C54" t="s">
        <v>203</v>
      </c>
      <c r="D54" t="s">
        <v>379</v>
      </c>
      <c r="E54" t="s">
        <v>204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/>
      <c r="AE54"/>
      <c r="AF54"/>
    </row>
    <row r="55">
      <c r="A55" t="s">
        <v>49</v>
      </c>
      <c r="B55" t="s">
        <v>380</v>
      </c>
      <c r="C55" t="s">
        <v>203</v>
      </c>
      <c r="D55" t="s">
        <v>381</v>
      </c>
      <c r="E55" t="s">
        <v>204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/>
      <c r="AE55"/>
      <c r="AF55"/>
    </row>
    <row r="56">
      <c r="A56" t="s">
        <v>49</v>
      </c>
      <c r="B56" t="s">
        <v>382</v>
      </c>
      <c r="C56" t="s">
        <v>203</v>
      </c>
      <c r="D56" t="s">
        <v>383</v>
      </c>
      <c r="E56" t="s">
        <v>204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/>
      <c r="AE56"/>
      <c r="AF56"/>
    </row>
    <row r="57">
      <c r="A57" t="s">
        <v>49</v>
      </c>
      <c r="B57" t="s">
        <v>384</v>
      </c>
      <c r="C57" t="s">
        <v>203</v>
      </c>
      <c r="D57" t="s">
        <v>385</v>
      </c>
      <c r="E57" t="s">
        <v>204</v>
      </c>
      <c r="F57" t="n">
        <v>48.7920227159242</v>
      </c>
      <c r="G57" t="n">
        <v>15.1022927454051</v>
      </c>
      <c r="H57" t="n">
        <v>38.1531606199708</v>
      </c>
      <c r="I57" t="n">
        <v>94.641034537872</v>
      </c>
      <c r="J57" t="n">
        <v>251.037226890907</v>
      </c>
      <c r="K57" t="n">
        <v>390.402556786813</v>
      </c>
      <c r="L57" t="n">
        <v>495.672651875718</v>
      </c>
      <c r="M57" t="n">
        <v>547.996249434701</v>
      </c>
      <c r="N57" t="n">
        <v>470.123943259538</v>
      </c>
      <c r="O57" t="n">
        <v>329.295990383093</v>
      </c>
      <c r="P57" t="n">
        <v>276.493426327495</v>
      </c>
      <c r="Q57" t="n">
        <v>173.283466070367</v>
      </c>
      <c r="R57" t="n">
        <v>264.519836463478</v>
      </c>
      <c r="S57" t="n">
        <v>357.508403569773</v>
      </c>
      <c r="T57" t="n">
        <v>321.58183543387</v>
      </c>
      <c r="U57" t="n">
        <v>395.295152165823</v>
      </c>
      <c r="V57" t="n">
        <v>505.60166763753</v>
      </c>
      <c r="W57" t="n">
        <v>476.056403228132</v>
      </c>
      <c r="X57" t="n">
        <v>492.440969681509</v>
      </c>
      <c r="Y57" t="n">
        <v>391.140189374326</v>
      </c>
      <c r="Z57" t="n">
        <v>114.961843614725</v>
      </c>
      <c r="AA57" t="n">
        <v>127.77567686726</v>
      </c>
      <c r="AB57" t="n">
        <v>112.017491096824</v>
      </c>
      <c r="AC57" t="n">
        <v>51.0249164953751</v>
      </c>
      <c r="AD57" t="n">
        <v>60.6193452380952</v>
      </c>
      <c r="AE57" t="n">
        <v>70.6</v>
      </c>
      <c r="AF57" t="n">
        <v>44.3</v>
      </c>
    </row>
    <row r="58">
      <c r="A58" t="s">
        <v>49</v>
      </c>
      <c r="B58" t="s">
        <v>386</v>
      </c>
      <c r="C58" t="s">
        <v>203</v>
      </c>
      <c r="D58" t="s">
        <v>387</v>
      </c>
      <c r="E58" t="s">
        <v>204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/>
      <c r="AE58"/>
      <c r="AF58"/>
    </row>
    <row r="59">
      <c r="A59" t="s">
        <v>49</v>
      </c>
      <c r="B59" t="s">
        <v>388</v>
      </c>
      <c r="C59" t="s">
        <v>203</v>
      </c>
      <c r="D59" t="s">
        <v>389</v>
      </c>
      <c r="E59" t="s">
        <v>204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51</v>
      </c>
      <c r="B2" t="s">
        <v>197</v>
      </c>
      <c r="C2" t="s">
        <v>203</v>
      </c>
      <c r="D2" t="s">
        <v>199</v>
      </c>
      <c r="E2" t="s">
        <v>204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/>
      <c r="AE2"/>
      <c r="AF2"/>
    </row>
    <row r="3">
      <c r="A3" t="s">
        <v>51</v>
      </c>
      <c r="B3" t="s">
        <v>276</v>
      </c>
      <c r="C3" t="s">
        <v>203</v>
      </c>
      <c r="D3" t="s">
        <v>277</v>
      </c>
      <c r="E3" t="s">
        <v>204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/>
      <c r="AE3"/>
      <c r="AF3"/>
    </row>
    <row r="4">
      <c r="A4" t="s">
        <v>51</v>
      </c>
      <c r="B4" t="s">
        <v>278</v>
      </c>
      <c r="C4" t="s">
        <v>203</v>
      </c>
      <c r="D4" t="s">
        <v>279</v>
      </c>
      <c r="E4" t="s">
        <v>204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/>
      <c r="AE4"/>
      <c r="AF4"/>
    </row>
    <row r="5">
      <c r="A5" t="s">
        <v>51</v>
      </c>
      <c r="B5" t="s">
        <v>280</v>
      </c>
      <c r="C5" t="s">
        <v>203</v>
      </c>
      <c r="D5" t="s">
        <v>281</v>
      </c>
      <c r="E5" t="s">
        <v>204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/>
      <c r="AE5"/>
      <c r="AF5"/>
    </row>
    <row r="6">
      <c r="A6" t="s">
        <v>51</v>
      </c>
      <c r="B6" t="s">
        <v>282</v>
      </c>
      <c r="C6" t="s">
        <v>203</v>
      </c>
      <c r="D6" t="s">
        <v>283</v>
      </c>
      <c r="E6" t="s">
        <v>204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/>
      <c r="AE6"/>
      <c r="AF6"/>
    </row>
    <row r="7">
      <c r="A7" t="s">
        <v>51</v>
      </c>
      <c r="B7" t="s">
        <v>284</v>
      </c>
      <c r="C7" t="s">
        <v>203</v>
      </c>
      <c r="D7" t="s">
        <v>285</v>
      </c>
      <c r="E7" t="s">
        <v>204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/>
      <c r="AE7"/>
      <c r="AF7"/>
    </row>
    <row r="8">
      <c r="A8" t="s">
        <v>51</v>
      </c>
      <c r="B8" t="s">
        <v>286</v>
      </c>
      <c r="C8" t="s">
        <v>203</v>
      </c>
      <c r="D8" t="s">
        <v>287</v>
      </c>
      <c r="E8" t="s">
        <v>204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/>
      <c r="AE8"/>
      <c r="AF8"/>
    </row>
    <row r="9">
      <c r="A9" t="s">
        <v>51</v>
      </c>
      <c r="B9" t="s">
        <v>288</v>
      </c>
      <c r="C9" t="s">
        <v>203</v>
      </c>
      <c r="D9" t="s">
        <v>289</v>
      </c>
      <c r="E9" t="s">
        <v>204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/>
      <c r="AE9"/>
      <c r="AF9"/>
    </row>
    <row r="10">
      <c r="A10" t="s">
        <v>51</v>
      </c>
      <c r="B10" t="s">
        <v>290</v>
      </c>
      <c r="C10" t="s">
        <v>203</v>
      </c>
      <c r="D10" t="s">
        <v>291</v>
      </c>
      <c r="E10" t="s">
        <v>204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/>
      <c r="AE10"/>
      <c r="AF10"/>
    </row>
    <row r="11">
      <c r="A11" t="s">
        <v>51</v>
      </c>
      <c r="B11" t="s">
        <v>292</v>
      </c>
      <c r="C11" t="s">
        <v>203</v>
      </c>
      <c r="D11" t="s">
        <v>293</v>
      </c>
      <c r="E11" t="s">
        <v>204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/>
      <c r="AE11"/>
      <c r="AF11"/>
    </row>
    <row r="12">
      <c r="A12" t="s">
        <v>51</v>
      </c>
      <c r="B12" t="s">
        <v>294</v>
      </c>
      <c r="C12" t="s">
        <v>203</v>
      </c>
      <c r="D12" t="s">
        <v>295</v>
      </c>
      <c r="E12" t="s">
        <v>204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/>
      <c r="AE12"/>
      <c r="AF12"/>
    </row>
    <row r="13">
      <c r="A13" t="s">
        <v>51</v>
      </c>
      <c r="B13" t="s">
        <v>296</v>
      </c>
      <c r="C13" t="s">
        <v>203</v>
      </c>
      <c r="D13" t="s">
        <v>297</v>
      </c>
      <c r="E13" t="s">
        <v>204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/>
      <c r="AE13"/>
      <c r="AF13"/>
    </row>
    <row r="14">
      <c r="A14" t="s">
        <v>51</v>
      </c>
      <c r="B14" t="s">
        <v>298</v>
      </c>
      <c r="C14" t="s">
        <v>203</v>
      </c>
      <c r="D14" t="s">
        <v>299</v>
      </c>
      <c r="E14" t="s">
        <v>204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/>
      <c r="AE14"/>
      <c r="AF14"/>
    </row>
    <row r="15">
      <c r="A15" t="s">
        <v>51</v>
      </c>
      <c r="B15" t="s">
        <v>300</v>
      </c>
      <c r="C15" t="s">
        <v>203</v>
      </c>
      <c r="D15" t="s">
        <v>301</v>
      </c>
      <c r="E15" t="s">
        <v>204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/>
      <c r="AE15"/>
      <c r="AF15"/>
    </row>
    <row r="16">
      <c r="A16" t="s">
        <v>51</v>
      </c>
      <c r="B16" t="s">
        <v>302</v>
      </c>
      <c r="C16" t="s">
        <v>203</v>
      </c>
      <c r="D16" t="s">
        <v>303</v>
      </c>
      <c r="E16" t="s">
        <v>204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/>
      <c r="AE16"/>
      <c r="AF16"/>
    </row>
    <row r="17">
      <c r="A17" t="s">
        <v>51</v>
      </c>
      <c r="B17" t="s">
        <v>304</v>
      </c>
      <c r="C17" t="s">
        <v>203</v>
      </c>
      <c r="D17" t="s">
        <v>305</v>
      </c>
      <c r="E17" t="s">
        <v>204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/>
      <c r="AE17"/>
      <c r="AF17"/>
    </row>
    <row r="18">
      <c r="A18" t="s">
        <v>51</v>
      </c>
      <c r="B18" t="s">
        <v>306</v>
      </c>
      <c r="C18" t="s">
        <v>203</v>
      </c>
      <c r="D18" t="s">
        <v>307</v>
      </c>
      <c r="E18" t="s">
        <v>204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/>
      <c r="AE18"/>
      <c r="AF18"/>
    </row>
    <row r="19">
      <c r="A19" t="s">
        <v>51</v>
      </c>
      <c r="B19" t="s">
        <v>308</v>
      </c>
      <c r="C19" t="s">
        <v>203</v>
      </c>
      <c r="D19" t="s">
        <v>309</v>
      </c>
      <c r="E19" t="s">
        <v>204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/>
      <c r="AE19"/>
      <c r="AF19"/>
    </row>
    <row r="20">
      <c r="A20" t="s">
        <v>51</v>
      </c>
      <c r="B20" t="s">
        <v>310</v>
      </c>
      <c r="C20" t="s">
        <v>203</v>
      </c>
      <c r="D20" t="s">
        <v>311</v>
      </c>
      <c r="E20" t="s">
        <v>204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/>
      <c r="AE20"/>
      <c r="AF20"/>
    </row>
    <row r="21">
      <c r="A21" t="s">
        <v>51</v>
      </c>
      <c r="B21" t="s">
        <v>312</v>
      </c>
      <c r="C21" t="s">
        <v>203</v>
      </c>
      <c r="D21" t="s">
        <v>313</v>
      </c>
      <c r="E21" t="s">
        <v>204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/>
      <c r="AE21"/>
      <c r="AF21"/>
    </row>
    <row r="22">
      <c r="A22" t="s">
        <v>51</v>
      </c>
      <c r="B22" t="s">
        <v>314</v>
      </c>
      <c r="C22" t="s">
        <v>203</v>
      </c>
      <c r="D22" t="s">
        <v>315</v>
      </c>
      <c r="E22" t="s">
        <v>204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/>
      <c r="AE22"/>
      <c r="AF22"/>
    </row>
    <row r="23">
      <c r="A23" t="s">
        <v>51</v>
      </c>
      <c r="B23" t="s">
        <v>316</v>
      </c>
      <c r="C23" t="s">
        <v>203</v>
      </c>
      <c r="D23" t="s">
        <v>317</v>
      </c>
      <c r="E23" t="s">
        <v>204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/>
      <c r="AE23"/>
      <c r="AF23"/>
    </row>
    <row r="24">
      <c r="A24" t="s">
        <v>51</v>
      </c>
      <c r="B24" t="s">
        <v>318</v>
      </c>
      <c r="C24" t="s">
        <v>203</v>
      </c>
      <c r="D24" t="s">
        <v>319</v>
      </c>
      <c r="E24" t="s">
        <v>204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/>
      <c r="AE24"/>
      <c r="AF24"/>
    </row>
    <row r="25">
      <c r="A25" t="s">
        <v>51</v>
      </c>
      <c r="B25" t="s">
        <v>320</v>
      </c>
      <c r="C25" t="s">
        <v>203</v>
      </c>
      <c r="D25" t="s">
        <v>321</v>
      </c>
      <c r="E25" t="s">
        <v>204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/>
      <c r="AE25"/>
      <c r="AF25"/>
    </row>
    <row r="26">
      <c r="A26" t="s">
        <v>51</v>
      </c>
      <c r="B26" t="s">
        <v>322</v>
      </c>
      <c r="C26" t="s">
        <v>203</v>
      </c>
      <c r="D26" t="s">
        <v>323</v>
      </c>
      <c r="E26" t="s">
        <v>204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/>
      <c r="AE26"/>
      <c r="AF26"/>
    </row>
    <row r="27">
      <c r="A27" t="s">
        <v>51</v>
      </c>
      <c r="B27" t="s">
        <v>324</v>
      </c>
      <c r="C27" t="s">
        <v>203</v>
      </c>
      <c r="D27" t="s">
        <v>325</v>
      </c>
      <c r="E27" t="s">
        <v>204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/>
      <c r="AE27"/>
      <c r="AF27"/>
    </row>
    <row r="28">
      <c r="A28" t="s">
        <v>51</v>
      </c>
      <c r="B28" t="s">
        <v>326</v>
      </c>
      <c r="C28" t="s">
        <v>203</v>
      </c>
      <c r="D28" t="s">
        <v>327</v>
      </c>
      <c r="E28" t="s">
        <v>204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/>
      <c r="AE28"/>
      <c r="AF28"/>
    </row>
    <row r="29">
      <c r="A29" t="s">
        <v>51</v>
      </c>
      <c r="B29" t="s">
        <v>328</v>
      </c>
      <c r="C29" t="s">
        <v>203</v>
      </c>
      <c r="D29" t="s">
        <v>329</v>
      </c>
      <c r="E29" t="s">
        <v>204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/>
      <c r="AE29"/>
      <c r="AF29"/>
    </row>
    <row r="30">
      <c r="A30" t="s">
        <v>51</v>
      </c>
      <c r="B30" t="s">
        <v>330</v>
      </c>
      <c r="C30" t="s">
        <v>203</v>
      </c>
      <c r="D30" t="s">
        <v>331</v>
      </c>
      <c r="E30" t="s">
        <v>204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/>
      <c r="AE30"/>
      <c r="AF30"/>
    </row>
    <row r="31">
      <c r="A31" t="s">
        <v>51</v>
      </c>
      <c r="B31" t="s">
        <v>332</v>
      </c>
      <c r="C31" t="s">
        <v>203</v>
      </c>
      <c r="D31" t="s">
        <v>333</v>
      </c>
      <c r="E31" t="s">
        <v>204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/>
      <c r="AE31"/>
      <c r="AF31"/>
    </row>
    <row r="32">
      <c r="A32" t="s">
        <v>51</v>
      </c>
      <c r="B32" t="s">
        <v>334</v>
      </c>
      <c r="C32" t="s">
        <v>203</v>
      </c>
      <c r="D32" t="s">
        <v>335</v>
      </c>
      <c r="E32" t="s">
        <v>204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/>
      <c r="AE32"/>
      <c r="AF32"/>
    </row>
    <row r="33">
      <c r="A33" t="s">
        <v>51</v>
      </c>
      <c r="B33" t="s">
        <v>336</v>
      </c>
      <c r="C33" t="s">
        <v>203</v>
      </c>
      <c r="D33" t="s">
        <v>337</v>
      </c>
      <c r="E33" t="s">
        <v>204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/>
      <c r="AE33"/>
      <c r="AF33"/>
    </row>
    <row r="34">
      <c r="A34" t="s">
        <v>51</v>
      </c>
      <c r="B34" t="s">
        <v>338</v>
      </c>
      <c r="C34" t="s">
        <v>203</v>
      </c>
      <c r="D34" t="s">
        <v>339</v>
      </c>
      <c r="E34" t="s">
        <v>204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/>
      <c r="AE34"/>
      <c r="AF34"/>
    </row>
    <row r="35">
      <c r="A35" t="s">
        <v>51</v>
      </c>
      <c r="B35" t="s">
        <v>340</v>
      </c>
      <c r="C35" t="s">
        <v>203</v>
      </c>
      <c r="D35" t="s">
        <v>341</v>
      </c>
      <c r="E35" t="s">
        <v>204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/>
      <c r="AE35"/>
      <c r="AF35"/>
    </row>
    <row r="36">
      <c r="A36" t="s">
        <v>51</v>
      </c>
      <c r="B36" t="s">
        <v>342</v>
      </c>
      <c r="C36" t="s">
        <v>203</v>
      </c>
      <c r="D36" t="s">
        <v>343</v>
      </c>
      <c r="E36" t="s">
        <v>204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/>
      <c r="AE36"/>
      <c r="AF36"/>
    </row>
    <row r="37">
      <c r="A37" t="s">
        <v>51</v>
      </c>
      <c r="B37" t="s">
        <v>344</v>
      </c>
      <c r="C37" t="s">
        <v>203</v>
      </c>
      <c r="D37" t="s">
        <v>345</v>
      </c>
      <c r="E37" t="s">
        <v>204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/>
      <c r="AE37"/>
      <c r="AF37"/>
    </row>
    <row r="38">
      <c r="A38" t="s">
        <v>51</v>
      </c>
      <c r="B38" t="s">
        <v>346</v>
      </c>
      <c r="C38" t="s">
        <v>203</v>
      </c>
      <c r="D38" t="s">
        <v>347</v>
      </c>
      <c r="E38" t="s">
        <v>204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/>
      <c r="AE38"/>
      <c r="AF38"/>
    </row>
    <row r="39">
      <c r="A39" t="s">
        <v>51</v>
      </c>
      <c r="B39" t="s">
        <v>348</v>
      </c>
      <c r="C39" t="s">
        <v>203</v>
      </c>
      <c r="D39" t="s">
        <v>349</v>
      </c>
      <c r="E39" t="s">
        <v>204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/>
      <c r="AE39"/>
      <c r="AF39"/>
    </row>
    <row r="40">
      <c r="A40" t="s">
        <v>51</v>
      </c>
      <c r="B40" t="s">
        <v>350</v>
      </c>
      <c r="C40" t="s">
        <v>203</v>
      </c>
      <c r="D40" t="s">
        <v>351</v>
      </c>
      <c r="E40" t="s">
        <v>204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/>
      <c r="AE40"/>
      <c r="AF40"/>
    </row>
    <row r="41">
      <c r="A41" t="s">
        <v>51</v>
      </c>
      <c r="B41" t="s">
        <v>352</v>
      </c>
      <c r="C41" t="s">
        <v>203</v>
      </c>
      <c r="D41" t="s">
        <v>353</v>
      </c>
      <c r="E41" t="s">
        <v>204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/>
      <c r="AE41"/>
      <c r="AF41"/>
    </row>
    <row r="42">
      <c r="A42" t="s">
        <v>51</v>
      </c>
      <c r="B42" t="s">
        <v>354</v>
      </c>
      <c r="C42" t="s">
        <v>203</v>
      </c>
      <c r="D42" t="s">
        <v>355</v>
      </c>
      <c r="E42" t="s">
        <v>204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/>
      <c r="AE42"/>
      <c r="AF42"/>
    </row>
    <row r="43">
      <c r="A43" t="s">
        <v>51</v>
      </c>
      <c r="B43" t="s">
        <v>356</v>
      </c>
      <c r="C43" t="s">
        <v>203</v>
      </c>
      <c r="D43" t="s">
        <v>357</v>
      </c>
      <c r="E43" t="s">
        <v>204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/>
      <c r="AE43"/>
      <c r="AF43"/>
    </row>
    <row r="44">
      <c r="A44" t="s">
        <v>51</v>
      </c>
      <c r="B44" t="s">
        <v>358</v>
      </c>
      <c r="C44" t="s">
        <v>203</v>
      </c>
      <c r="D44" t="s">
        <v>359</v>
      </c>
      <c r="E44" t="s">
        <v>204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/>
      <c r="AE44"/>
      <c r="AF44"/>
    </row>
    <row r="45">
      <c r="A45" t="s">
        <v>51</v>
      </c>
      <c r="B45" t="s">
        <v>360</v>
      </c>
      <c r="C45" t="s">
        <v>203</v>
      </c>
      <c r="D45" t="s">
        <v>361</v>
      </c>
      <c r="E45" t="s">
        <v>204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/>
      <c r="AE45"/>
      <c r="AF45"/>
    </row>
    <row r="46">
      <c r="A46" t="s">
        <v>51</v>
      </c>
      <c r="B46" t="s">
        <v>362</v>
      </c>
      <c r="C46" t="s">
        <v>203</v>
      </c>
      <c r="D46" t="s">
        <v>363</v>
      </c>
      <c r="E46" t="s">
        <v>204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/>
      <c r="AE46"/>
      <c r="AF46"/>
    </row>
    <row r="47">
      <c r="A47" t="s">
        <v>51</v>
      </c>
      <c r="B47" t="s">
        <v>364</v>
      </c>
      <c r="C47" t="s">
        <v>203</v>
      </c>
      <c r="D47" t="s">
        <v>365</v>
      </c>
      <c r="E47" t="s">
        <v>204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/>
      <c r="AE47"/>
      <c r="AF47"/>
    </row>
    <row r="48">
      <c r="A48" t="s">
        <v>51</v>
      </c>
      <c r="B48" t="s">
        <v>366</v>
      </c>
      <c r="C48" t="s">
        <v>203</v>
      </c>
      <c r="D48" t="s">
        <v>367</v>
      </c>
      <c r="E48" t="s">
        <v>204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/>
      <c r="AE48"/>
      <c r="AF48"/>
    </row>
    <row r="49">
      <c r="A49" t="s">
        <v>51</v>
      </c>
      <c r="B49" t="s">
        <v>368</v>
      </c>
      <c r="C49" t="s">
        <v>203</v>
      </c>
      <c r="D49" t="s">
        <v>369</v>
      </c>
      <c r="E49" t="s">
        <v>204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/>
      <c r="AE49"/>
      <c r="AF49"/>
    </row>
    <row r="50">
      <c r="A50" t="s">
        <v>51</v>
      </c>
      <c r="B50" t="s">
        <v>370</v>
      </c>
      <c r="C50" t="s">
        <v>203</v>
      </c>
      <c r="D50" t="s">
        <v>371</v>
      </c>
      <c r="E50" t="s">
        <v>204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/>
      <c r="AE50"/>
      <c r="AF50"/>
    </row>
    <row r="51">
      <c r="A51" t="s">
        <v>51</v>
      </c>
      <c r="B51" t="s">
        <v>372</v>
      </c>
      <c r="C51" t="s">
        <v>203</v>
      </c>
      <c r="D51" t="s">
        <v>373</v>
      </c>
      <c r="E51" t="s">
        <v>204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/>
      <c r="AE51"/>
      <c r="AF51"/>
    </row>
    <row r="52">
      <c r="A52" t="s">
        <v>51</v>
      </c>
      <c r="B52" t="s">
        <v>374</v>
      </c>
      <c r="C52" t="s">
        <v>203</v>
      </c>
      <c r="D52" t="s">
        <v>375</v>
      </c>
      <c r="E52" t="s">
        <v>204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/>
      <c r="AE52"/>
      <c r="AF52"/>
    </row>
    <row r="53">
      <c r="A53" t="s">
        <v>51</v>
      </c>
      <c r="B53" t="s">
        <v>376</v>
      </c>
      <c r="C53" t="s">
        <v>203</v>
      </c>
      <c r="D53" t="s">
        <v>377</v>
      </c>
      <c r="E53" t="s">
        <v>204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/>
      <c r="AE53"/>
      <c r="AF53"/>
    </row>
    <row r="54">
      <c r="A54" t="s">
        <v>51</v>
      </c>
      <c r="B54" t="s">
        <v>378</v>
      </c>
      <c r="C54" t="s">
        <v>203</v>
      </c>
      <c r="D54" t="s">
        <v>379</v>
      </c>
      <c r="E54" t="s">
        <v>204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/>
      <c r="AE54"/>
      <c r="AF54"/>
    </row>
    <row r="55">
      <c r="A55" t="s">
        <v>51</v>
      </c>
      <c r="B55" t="s">
        <v>380</v>
      </c>
      <c r="C55" t="s">
        <v>203</v>
      </c>
      <c r="D55" t="s">
        <v>381</v>
      </c>
      <c r="E55" t="s">
        <v>204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/>
      <c r="AE55"/>
      <c r="AF55"/>
    </row>
    <row r="56">
      <c r="A56" t="s">
        <v>51</v>
      </c>
      <c r="B56" t="s">
        <v>382</v>
      </c>
      <c r="C56" t="s">
        <v>203</v>
      </c>
      <c r="D56" t="s">
        <v>383</v>
      </c>
      <c r="E56" t="s">
        <v>204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/>
      <c r="AE56"/>
      <c r="AF56"/>
    </row>
    <row r="57">
      <c r="A57" t="s">
        <v>51</v>
      </c>
      <c r="B57" t="s">
        <v>384</v>
      </c>
      <c r="C57" t="s">
        <v>203</v>
      </c>
      <c r="D57" t="s">
        <v>385</v>
      </c>
      <c r="E57" t="s">
        <v>204</v>
      </c>
      <c r="F57" t="n">
        <v>676.830048384603</v>
      </c>
      <c r="G57" t="n">
        <v>215.627272051732</v>
      </c>
      <c r="H57" t="n">
        <v>534.921501820643</v>
      </c>
      <c r="I57" t="n">
        <v>240.85183517873</v>
      </c>
      <c r="J57" t="n">
        <v>187.944558273031</v>
      </c>
      <c r="K57" t="n">
        <v>285.568973818439</v>
      </c>
      <c r="L57" t="n">
        <v>529.047945354529</v>
      </c>
      <c r="M57" t="n">
        <v>345.488768734284</v>
      </c>
      <c r="N57" t="n">
        <v>182.010655312261</v>
      </c>
      <c r="O57" t="n">
        <v>221.735802488298</v>
      </c>
      <c r="P57" t="n">
        <v>322.244021724143</v>
      </c>
      <c r="Q57" t="n">
        <v>626.982053340781</v>
      </c>
      <c r="R57" t="n">
        <v>956.902350979813</v>
      </c>
      <c r="S57" t="n">
        <v>1345.00675784304</v>
      </c>
      <c r="T57" t="n">
        <v>360.763837418454</v>
      </c>
      <c r="U57" t="n">
        <v>567.187798024273</v>
      </c>
      <c r="V57" t="n">
        <v>829.001595077568</v>
      </c>
      <c r="W57" t="n">
        <v>204.956883290053</v>
      </c>
      <c r="X57" t="n">
        <v>218.861543641461</v>
      </c>
      <c r="Y57" t="n">
        <v>231.974163358542</v>
      </c>
      <c r="Z57" t="n">
        <v>81.1295883492044</v>
      </c>
      <c r="AA57" t="n">
        <v>132.273874298107</v>
      </c>
      <c r="AB57" t="n">
        <v>113.709120010653</v>
      </c>
      <c r="AC57" t="n">
        <v>49.7329032196907</v>
      </c>
      <c r="AD57" t="n">
        <v>489.585531914894</v>
      </c>
      <c r="AE57" t="n">
        <v>49.4</v>
      </c>
      <c r="AF57" t="n">
        <v>55.3</v>
      </c>
    </row>
    <row r="58">
      <c r="A58" t="s">
        <v>51</v>
      </c>
      <c r="B58" t="s">
        <v>386</v>
      </c>
      <c r="C58" t="s">
        <v>203</v>
      </c>
      <c r="D58" t="s">
        <v>387</v>
      </c>
      <c r="E58" t="s">
        <v>204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/>
      <c r="AE58"/>
      <c r="AF58"/>
    </row>
    <row r="59">
      <c r="A59" t="s">
        <v>51</v>
      </c>
      <c r="B59" t="s">
        <v>388</v>
      </c>
      <c r="C59" t="s">
        <v>203</v>
      </c>
      <c r="D59" t="s">
        <v>389</v>
      </c>
      <c r="E59" t="s">
        <v>204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53</v>
      </c>
      <c r="B2" t="s">
        <v>197</v>
      </c>
      <c r="C2" t="s">
        <v>203</v>
      </c>
      <c r="D2" t="s">
        <v>199</v>
      </c>
      <c r="E2" t="s">
        <v>204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/>
      <c r="AE2"/>
      <c r="AF2"/>
    </row>
    <row r="3">
      <c r="A3" t="s">
        <v>53</v>
      </c>
      <c r="B3" t="s">
        <v>276</v>
      </c>
      <c r="C3" t="s">
        <v>203</v>
      </c>
      <c r="D3" t="s">
        <v>277</v>
      </c>
      <c r="E3" t="s">
        <v>204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/>
      <c r="AE3"/>
      <c r="AF3"/>
    </row>
    <row r="4">
      <c r="A4" t="s">
        <v>53</v>
      </c>
      <c r="B4" t="s">
        <v>278</v>
      </c>
      <c r="C4" t="s">
        <v>203</v>
      </c>
      <c r="D4" t="s">
        <v>279</v>
      </c>
      <c r="E4" t="s">
        <v>204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/>
      <c r="AE4"/>
      <c r="AF4"/>
    </row>
    <row r="5">
      <c r="A5" t="s">
        <v>53</v>
      </c>
      <c r="B5" t="s">
        <v>280</v>
      </c>
      <c r="C5" t="s">
        <v>203</v>
      </c>
      <c r="D5" t="s">
        <v>281</v>
      </c>
      <c r="E5" t="s">
        <v>204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/>
      <c r="AE5"/>
      <c r="AF5"/>
    </row>
    <row r="6">
      <c r="A6" t="s">
        <v>53</v>
      </c>
      <c r="B6" t="s">
        <v>282</v>
      </c>
      <c r="C6" t="s">
        <v>203</v>
      </c>
      <c r="D6" t="s">
        <v>283</v>
      </c>
      <c r="E6" t="s">
        <v>204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/>
      <c r="AE6"/>
      <c r="AF6"/>
    </row>
    <row r="7">
      <c r="A7" t="s">
        <v>53</v>
      </c>
      <c r="B7" t="s">
        <v>284</v>
      </c>
      <c r="C7" t="s">
        <v>203</v>
      </c>
      <c r="D7" t="s">
        <v>285</v>
      </c>
      <c r="E7" t="s">
        <v>204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/>
      <c r="AE7"/>
      <c r="AF7"/>
    </row>
    <row r="8">
      <c r="A8" t="s">
        <v>53</v>
      </c>
      <c r="B8" t="s">
        <v>286</v>
      </c>
      <c r="C8" t="s">
        <v>203</v>
      </c>
      <c r="D8" t="s">
        <v>287</v>
      </c>
      <c r="E8" t="s">
        <v>204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/>
      <c r="AE8"/>
      <c r="AF8"/>
    </row>
    <row r="9">
      <c r="A9" t="s">
        <v>53</v>
      </c>
      <c r="B9" t="s">
        <v>288</v>
      </c>
      <c r="C9" t="s">
        <v>203</v>
      </c>
      <c r="D9" t="s">
        <v>289</v>
      </c>
      <c r="E9" t="s">
        <v>204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/>
      <c r="AE9"/>
      <c r="AF9"/>
    </row>
    <row r="10">
      <c r="A10" t="s">
        <v>53</v>
      </c>
      <c r="B10" t="s">
        <v>290</v>
      </c>
      <c r="C10" t="s">
        <v>203</v>
      </c>
      <c r="D10" t="s">
        <v>291</v>
      </c>
      <c r="E10" t="s">
        <v>204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/>
      <c r="AE10"/>
      <c r="AF10"/>
    </row>
    <row r="11">
      <c r="A11" t="s">
        <v>53</v>
      </c>
      <c r="B11" t="s">
        <v>292</v>
      </c>
      <c r="C11" t="s">
        <v>203</v>
      </c>
      <c r="D11" t="s">
        <v>293</v>
      </c>
      <c r="E11" t="s">
        <v>204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/>
      <c r="AE11"/>
      <c r="AF11"/>
    </row>
    <row r="12">
      <c r="A12" t="s">
        <v>53</v>
      </c>
      <c r="B12" t="s">
        <v>294</v>
      </c>
      <c r="C12" t="s">
        <v>203</v>
      </c>
      <c r="D12" t="s">
        <v>295</v>
      </c>
      <c r="E12" t="s">
        <v>204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/>
      <c r="AE12"/>
      <c r="AF12"/>
    </row>
    <row r="13">
      <c r="A13" t="s">
        <v>53</v>
      </c>
      <c r="B13" t="s">
        <v>296</v>
      </c>
      <c r="C13" t="s">
        <v>203</v>
      </c>
      <c r="D13" t="s">
        <v>297</v>
      </c>
      <c r="E13" t="s">
        <v>204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/>
      <c r="AE13"/>
      <c r="AF13"/>
    </row>
    <row r="14">
      <c r="A14" t="s">
        <v>53</v>
      </c>
      <c r="B14" t="s">
        <v>298</v>
      </c>
      <c r="C14" t="s">
        <v>203</v>
      </c>
      <c r="D14" t="s">
        <v>299</v>
      </c>
      <c r="E14" t="s">
        <v>204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/>
      <c r="AE14"/>
      <c r="AF14"/>
    </row>
    <row r="15">
      <c r="A15" t="s">
        <v>53</v>
      </c>
      <c r="B15" t="s">
        <v>300</v>
      </c>
      <c r="C15" t="s">
        <v>203</v>
      </c>
      <c r="D15" t="s">
        <v>301</v>
      </c>
      <c r="E15" t="s">
        <v>204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/>
      <c r="AE15"/>
      <c r="AF15"/>
    </row>
    <row r="16">
      <c r="A16" t="s">
        <v>53</v>
      </c>
      <c r="B16" t="s">
        <v>302</v>
      </c>
      <c r="C16" t="s">
        <v>203</v>
      </c>
      <c r="D16" t="s">
        <v>303</v>
      </c>
      <c r="E16" t="s">
        <v>204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/>
      <c r="AE16"/>
      <c r="AF16"/>
    </row>
    <row r="17">
      <c r="A17" t="s">
        <v>53</v>
      </c>
      <c r="B17" t="s">
        <v>304</v>
      </c>
      <c r="C17" t="s">
        <v>203</v>
      </c>
      <c r="D17" t="s">
        <v>305</v>
      </c>
      <c r="E17" t="s">
        <v>204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/>
      <c r="AE17"/>
      <c r="AF17"/>
    </row>
    <row r="18">
      <c r="A18" t="s">
        <v>53</v>
      </c>
      <c r="B18" t="s">
        <v>306</v>
      </c>
      <c r="C18" t="s">
        <v>203</v>
      </c>
      <c r="D18" t="s">
        <v>307</v>
      </c>
      <c r="E18" t="s">
        <v>204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/>
      <c r="AE18"/>
      <c r="AF18"/>
    </row>
    <row r="19">
      <c r="A19" t="s">
        <v>53</v>
      </c>
      <c r="B19" t="s">
        <v>308</v>
      </c>
      <c r="C19" t="s">
        <v>203</v>
      </c>
      <c r="D19" t="s">
        <v>309</v>
      </c>
      <c r="E19" t="s">
        <v>204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/>
      <c r="AE19"/>
      <c r="AF19"/>
    </row>
    <row r="20">
      <c r="A20" t="s">
        <v>53</v>
      </c>
      <c r="B20" t="s">
        <v>310</v>
      </c>
      <c r="C20" t="s">
        <v>203</v>
      </c>
      <c r="D20" t="s">
        <v>311</v>
      </c>
      <c r="E20" t="s">
        <v>204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/>
      <c r="AE20"/>
      <c r="AF20"/>
    </row>
    <row r="21">
      <c r="A21" t="s">
        <v>53</v>
      </c>
      <c r="B21" t="s">
        <v>312</v>
      </c>
      <c r="C21" t="s">
        <v>203</v>
      </c>
      <c r="D21" t="s">
        <v>313</v>
      </c>
      <c r="E21" t="s">
        <v>204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/>
      <c r="AE21"/>
      <c r="AF21"/>
    </row>
    <row r="22">
      <c r="A22" t="s">
        <v>53</v>
      </c>
      <c r="B22" t="s">
        <v>314</v>
      </c>
      <c r="C22" t="s">
        <v>203</v>
      </c>
      <c r="D22" t="s">
        <v>315</v>
      </c>
      <c r="E22" t="s">
        <v>204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/>
      <c r="AE22"/>
      <c r="AF22"/>
    </row>
    <row r="23">
      <c r="A23" t="s">
        <v>53</v>
      </c>
      <c r="B23" t="s">
        <v>316</v>
      </c>
      <c r="C23" t="s">
        <v>203</v>
      </c>
      <c r="D23" t="s">
        <v>317</v>
      </c>
      <c r="E23" t="s">
        <v>204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/>
      <c r="AE23"/>
      <c r="AF23"/>
    </row>
    <row r="24">
      <c r="A24" t="s">
        <v>53</v>
      </c>
      <c r="B24" t="s">
        <v>318</v>
      </c>
      <c r="C24" t="s">
        <v>203</v>
      </c>
      <c r="D24" t="s">
        <v>319</v>
      </c>
      <c r="E24" t="s">
        <v>204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/>
      <c r="AE24"/>
      <c r="AF24"/>
    </row>
    <row r="25">
      <c r="A25" t="s">
        <v>53</v>
      </c>
      <c r="B25" t="s">
        <v>320</v>
      </c>
      <c r="C25" t="s">
        <v>203</v>
      </c>
      <c r="D25" t="s">
        <v>321</v>
      </c>
      <c r="E25" t="s">
        <v>204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/>
      <c r="AE25"/>
      <c r="AF25"/>
    </row>
    <row r="26">
      <c r="A26" t="s">
        <v>53</v>
      </c>
      <c r="B26" t="s">
        <v>322</v>
      </c>
      <c r="C26" t="s">
        <v>203</v>
      </c>
      <c r="D26" t="s">
        <v>323</v>
      </c>
      <c r="E26" t="s">
        <v>204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/>
      <c r="AE26"/>
      <c r="AF26"/>
    </row>
    <row r="27">
      <c r="A27" t="s">
        <v>53</v>
      </c>
      <c r="B27" t="s">
        <v>324</v>
      </c>
      <c r="C27" t="s">
        <v>203</v>
      </c>
      <c r="D27" t="s">
        <v>325</v>
      </c>
      <c r="E27" t="s">
        <v>204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/>
      <c r="AE27"/>
      <c r="AF27"/>
    </row>
    <row r="28">
      <c r="A28" t="s">
        <v>53</v>
      </c>
      <c r="B28" t="s">
        <v>326</v>
      </c>
      <c r="C28" t="s">
        <v>203</v>
      </c>
      <c r="D28" t="s">
        <v>327</v>
      </c>
      <c r="E28" t="s">
        <v>204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/>
      <c r="AE28"/>
      <c r="AF28"/>
    </row>
    <row r="29">
      <c r="A29" t="s">
        <v>53</v>
      </c>
      <c r="B29" t="s">
        <v>328</v>
      </c>
      <c r="C29" t="s">
        <v>203</v>
      </c>
      <c r="D29" t="s">
        <v>329</v>
      </c>
      <c r="E29" t="s">
        <v>204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/>
      <c r="AE29"/>
      <c r="AF29"/>
    </row>
    <row r="30">
      <c r="A30" t="s">
        <v>53</v>
      </c>
      <c r="B30" t="s">
        <v>330</v>
      </c>
      <c r="C30" t="s">
        <v>203</v>
      </c>
      <c r="D30" t="s">
        <v>331</v>
      </c>
      <c r="E30" t="s">
        <v>204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/>
      <c r="AE30"/>
      <c r="AF30"/>
    </row>
    <row r="31">
      <c r="A31" t="s">
        <v>53</v>
      </c>
      <c r="B31" t="s">
        <v>332</v>
      </c>
      <c r="C31" t="s">
        <v>203</v>
      </c>
      <c r="D31" t="s">
        <v>333</v>
      </c>
      <c r="E31" t="s">
        <v>204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/>
      <c r="AE31"/>
      <c r="AF31"/>
    </row>
    <row r="32">
      <c r="A32" t="s">
        <v>53</v>
      </c>
      <c r="B32" t="s">
        <v>334</v>
      </c>
      <c r="C32" t="s">
        <v>203</v>
      </c>
      <c r="D32" t="s">
        <v>335</v>
      </c>
      <c r="E32" t="s">
        <v>204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/>
      <c r="AE32"/>
      <c r="AF32"/>
    </row>
    <row r="33">
      <c r="A33" t="s">
        <v>53</v>
      </c>
      <c r="B33" t="s">
        <v>336</v>
      </c>
      <c r="C33" t="s">
        <v>203</v>
      </c>
      <c r="D33" t="s">
        <v>337</v>
      </c>
      <c r="E33" t="s">
        <v>204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/>
      <c r="AE33"/>
      <c r="AF33"/>
    </row>
    <row r="34">
      <c r="A34" t="s">
        <v>53</v>
      </c>
      <c r="B34" t="s">
        <v>338</v>
      </c>
      <c r="C34" t="s">
        <v>203</v>
      </c>
      <c r="D34" t="s">
        <v>339</v>
      </c>
      <c r="E34" t="s">
        <v>204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/>
      <c r="AE34"/>
      <c r="AF34"/>
    </row>
    <row r="35">
      <c r="A35" t="s">
        <v>53</v>
      </c>
      <c r="B35" t="s">
        <v>340</v>
      </c>
      <c r="C35" t="s">
        <v>203</v>
      </c>
      <c r="D35" t="s">
        <v>341</v>
      </c>
      <c r="E35" t="s">
        <v>204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/>
      <c r="AE35"/>
      <c r="AF35"/>
    </row>
    <row r="36">
      <c r="A36" t="s">
        <v>53</v>
      </c>
      <c r="B36" t="s">
        <v>342</v>
      </c>
      <c r="C36" t="s">
        <v>203</v>
      </c>
      <c r="D36" t="s">
        <v>343</v>
      </c>
      <c r="E36" t="s">
        <v>204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/>
      <c r="AE36"/>
      <c r="AF36"/>
    </row>
    <row r="37">
      <c r="A37" t="s">
        <v>53</v>
      </c>
      <c r="B37" t="s">
        <v>344</v>
      </c>
      <c r="C37" t="s">
        <v>203</v>
      </c>
      <c r="D37" t="s">
        <v>345</v>
      </c>
      <c r="E37" t="s">
        <v>204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/>
      <c r="AE37"/>
      <c r="AF37"/>
    </row>
    <row r="38">
      <c r="A38" t="s">
        <v>53</v>
      </c>
      <c r="B38" t="s">
        <v>346</v>
      </c>
      <c r="C38" t="s">
        <v>203</v>
      </c>
      <c r="D38" t="s">
        <v>347</v>
      </c>
      <c r="E38" t="s">
        <v>204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/>
      <c r="AE38"/>
      <c r="AF38"/>
    </row>
    <row r="39">
      <c r="A39" t="s">
        <v>53</v>
      </c>
      <c r="B39" t="s">
        <v>348</v>
      </c>
      <c r="C39" t="s">
        <v>203</v>
      </c>
      <c r="D39" t="s">
        <v>349</v>
      </c>
      <c r="E39" t="s">
        <v>204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/>
      <c r="AE39"/>
      <c r="AF39"/>
    </row>
    <row r="40">
      <c r="A40" t="s">
        <v>53</v>
      </c>
      <c r="B40" t="s">
        <v>350</v>
      </c>
      <c r="C40" t="s">
        <v>203</v>
      </c>
      <c r="D40" t="s">
        <v>351</v>
      </c>
      <c r="E40" t="s">
        <v>204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/>
      <c r="AE40"/>
      <c r="AF40"/>
    </row>
    <row r="41">
      <c r="A41" t="s">
        <v>53</v>
      </c>
      <c r="B41" t="s">
        <v>352</v>
      </c>
      <c r="C41" t="s">
        <v>203</v>
      </c>
      <c r="D41" t="s">
        <v>353</v>
      </c>
      <c r="E41" t="s">
        <v>204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/>
      <c r="AE41"/>
      <c r="AF41"/>
    </row>
    <row r="42">
      <c r="A42" t="s">
        <v>53</v>
      </c>
      <c r="B42" t="s">
        <v>354</v>
      </c>
      <c r="C42" t="s">
        <v>203</v>
      </c>
      <c r="D42" t="s">
        <v>355</v>
      </c>
      <c r="E42" t="s">
        <v>204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/>
      <c r="AE42"/>
      <c r="AF42"/>
    </row>
    <row r="43">
      <c r="A43" t="s">
        <v>53</v>
      </c>
      <c r="B43" t="s">
        <v>356</v>
      </c>
      <c r="C43" t="s">
        <v>203</v>
      </c>
      <c r="D43" t="s">
        <v>357</v>
      </c>
      <c r="E43" t="s">
        <v>204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/>
      <c r="AE43"/>
      <c r="AF43"/>
    </row>
    <row r="44">
      <c r="A44" t="s">
        <v>53</v>
      </c>
      <c r="B44" t="s">
        <v>358</v>
      </c>
      <c r="C44" t="s">
        <v>203</v>
      </c>
      <c r="D44" t="s">
        <v>359</v>
      </c>
      <c r="E44" t="s">
        <v>204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/>
      <c r="AE44"/>
      <c r="AF44"/>
    </row>
    <row r="45">
      <c r="A45" t="s">
        <v>53</v>
      </c>
      <c r="B45" t="s">
        <v>360</v>
      </c>
      <c r="C45" t="s">
        <v>203</v>
      </c>
      <c r="D45" t="s">
        <v>361</v>
      </c>
      <c r="E45" t="s">
        <v>204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/>
      <c r="AE45"/>
      <c r="AF45"/>
    </row>
    <row r="46">
      <c r="A46" t="s">
        <v>53</v>
      </c>
      <c r="B46" t="s">
        <v>362</v>
      </c>
      <c r="C46" t="s">
        <v>203</v>
      </c>
      <c r="D46" t="s">
        <v>363</v>
      </c>
      <c r="E46" t="s">
        <v>204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/>
      <c r="AE46"/>
      <c r="AF46"/>
    </row>
    <row r="47">
      <c r="A47" t="s">
        <v>53</v>
      </c>
      <c r="B47" t="s">
        <v>364</v>
      </c>
      <c r="C47" t="s">
        <v>203</v>
      </c>
      <c r="D47" t="s">
        <v>365</v>
      </c>
      <c r="E47" t="s">
        <v>204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/>
      <c r="AE47"/>
      <c r="AF47"/>
    </row>
    <row r="48">
      <c r="A48" t="s">
        <v>53</v>
      </c>
      <c r="B48" t="s">
        <v>366</v>
      </c>
      <c r="C48" t="s">
        <v>203</v>
      </c>
      <c r="D48" t="s">
        <v>367</v>
      </c>
      <c r="E48" t="s">
        <v>204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/>
      <c r="AE48"/>
      <c r="AF48"/>
    </row>
    <row r="49">
      <c r="A49" t="s">
        <v>53</v>
      </c>
      <c r="B49" t="s">
        <v>368</v>
      </c>
      <c r="C49" t="s">
        <v>203</v>
      </c>
      <c r="D49" t="s">
        <v>369</v>
      </c>
      <c r="E49" t="s">
        <v>204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/>
      <c r="AE49"/>
      <c r="AF49"/>
    </row>
    <row r="50">
      <c r="A50" t="s">
        <v>53</v>
      </c>
      <c r="B50" t="s">
        <v>370</v>
      </c>
      <c r="C50" t="s">
        <v>203</v>
      </c>
      <c r="D50" t="s">
        <v>371</v>
      </c>
      <c r="E50" t="s">
        <v>204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/>
      <c r="AE50"/>
      <c r="AF50"/>
    </row>
    <row r="51">
      <c r="A51" t="s">
        <v>53</v>
      </c>
      <c r="B51" t="s">
        <v>372</v>
      </c>
      <c r="C51" t="s">
        <v>203</v>
      </c>
      <c r="D51" t="s">
        <v>373</v>
      </c>
      <c r="E51" t="s">
        <v>204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/>
      <c r="AE51"/>
      <c r="AF51"/>
    </row>
    <row r="52">
      <c r="A52" t="s">
        <v>53</v>
      </c>
      <c r="B52" t="s">
        <v>374</v>
      </c>
      <c r="C52" t="s">
        <v>203</v>
      </c>
      <c r="D52" t="s">
        <v>375</v>
      </c>
      <c r="E52" t="s">
        <v>204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/>
      <c r="AE52"/>
      <c r="AF52"/>
    </row>
    <row r="53">
      <c r="A53" t="s">
        <v>53</v>
      </c>
      <c r="B53" t="s">
        <v>376</v>
      </c>
      <c r="C53" t="s">
        <v>203</v>
      </c>
      <c r="D53" t="s">
        <v>377</v>
      </c>
      <c r="E53" t="s">
        <v>204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/>
      <c r="AE53"/>
      <c r="AF53"/>
    </row>
    <row r="54">
      <c r="A54" t="s">
        <v>53</v>
      </c>
      <c r="B54" t="s">
        <v>378</v>
      </c>
      <c r="C54" t="s">
        <v>203</v>
      </c>
      <c r="D54" t="s">
        <v>379</v>
      </c>
      <c r="E54" t="s">
        <v>204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/>
      <c r="AE54"/>
      <c r="AF54"/>
    </row>
    <row r="55">
      <c r="A55" t="s">
        <v>53</v>
      </c>
      <c r="B55" t="s">
        <v>380</v>
      </c>
      <c r="C55" t="s">
        <v>203</v>
      </c>
      <c r="D55" t="s">
        <v>381</v>
      </c>
      <c r="E55" t="s">
        <v>204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/>
      <c r="AE55"/>
      <c r="AF55"/>
    </row>
    <row r="56">
      <c r="A56" t="s">
        <v>53</v>
      </c>
      <c r="B56" t="s">
        <v>382</v>
      </c>
      <c r="C56" t="s">
        <v>203</v>
      </c>
      <c r="D56" t="s">
        <v>383</v>
      </c>
      <c r="E56" t="s">
        <v>204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/>
      <c r="AE56"/>
      <c r="AF56"/>
    </row>
    <row r="57">
      <c r="A57" t="s">
        <v>53</v>
      </c>
      <c r="B57" t="s">
        <v>384</v>
      </c>
      <c r="C57" t="s">
        <v>203</v>
      </c>
      <c r="D57" t="s">
        <v>385</v>
      </c>
      <c r="E57" t="s">
        <v>204</v>
      </c>
      <c r="F57" t="n">
        <v>287.004569778054</v>
      </c>
      <c r="G57" t="n">
        <v>-105.738525707704</v>
      </c>
      <c r="H57" t="n">
        <v>150.542985753342</v>
      </c>
      <c r="I57" t="n">
        <v>316.945059628498</v>
      </c>
      <c r="J57" t="n">
        <v>178.868460072032</v>
      </c>
      <c r="K57" t="n">
        <v>327.410998487182</v>
      </c>
      <c r="L57" t="n">
        <v>233.247940874773</v>
      </c>
      <c r="M57" t="n">
        <v>225.149054038844</v>
      </c>
      <c r="N57" t="n">
        <v>235.613728381494</v>
      </c>
      <c r="O57" t="n">
        <v>331.512102276014</v>
      </c>
      <c r="P57" t="n">
        <v>553.259822629313</v>
      </c>
      <c r="Q57" t="n">
        <v>595.329592250017</v>
      </c>
      <c r="R57" t="n">
        <v>585.03994497656</v>
      </c>
      <c r="S57" t="n">
        <v>339.565986221803</v>
      </c>
      <c r="T57" t="n">
        <v>525.820038415971</v>
      </c>
      <c r="U57" t="n">
        <v>478.652353352757</v>
      </c>
      <c r="V57" t="n">
        <v>549.696380419618</v>
      </c>
      <c r="W57" t="n">
        <v>475.820390643132</v>
      </c>
      <c r="X57" t="n">
        <v>507.195591697845</v>
      </c>
      <c r="Y57" t="n">
        <v>544.518788984414</v>
      </c>
      <c r="Z57" t="n">
        <v>607.520962916495</v>
      </c>
      <c r="AA57" t="n">
        <v>734.343131578607</v>
      </c>
      <c r="AB57" t="n">
        <v>904.84046433629</v>
      </c>
      <c r="AC57" t="n">
        <v>825.298988206405</v>
      </c>
      <c r="AD57" t="n">
        <v>1279.17015437393</v>
      </c>
      <c r="AE57" t="n">
        <v>1466.1</v>
      </c>
      <c r="AF57" t="n">
        <v>1395.1</v>
      </c>
    </row>
    <row r="58">
      <c r="A58" t="s">
        <v>53</v>
      </c>
      <c r="B58" t="s">
        <v>386</v>
      </c>
      <c r="C58" t="s">
        <v>203</v>
      </c>
      <c r="D58" t="s">
        <v>387</v>
      </c>
      <c r="E58" t="s">
        <v>204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/>
      <c r="AE58"/>
      <c r="AF58"/>
    </row>
    <row r="59">
      <c r="A59" t="s">
        <v>53</v>
      </c>
      <c r="B59" t="s">
        <v>388</v>
      </c>
      <c r="C59" t="s">
        <v>203</v>
      </c>
      <c r="D59" t="s">
        <v>389</v>
      </c>
      <c r="E59" t="s">
        <v>204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55</v>
      </c>
      <c r="B2" t="s">
        <v>197</v>
      </c>
      <c r="C2" t="s">
        <v>203</v>
      </c>
      <c r="D2" t="s">
        <v>199</v>
      </c>
      <c r="E2" t="s">
        <v>204</v>
      </c>
      <c r="F2" t="n">
        <v>12.6949071299372</v>
      </c>
      <c r="G2" t="n">
        <v>3.1737267824843</v>
      </c>
      <c r="H2" t="n">
        <v>7.93431695621075</v>
      </c>
      <c r="I2" t="n">
        <v>11.0662841757676</v>
      </c>
      <c r="J2" t="n">
        <v>6.77809905765768</v>
      </c>
      <c r="K2" t="n">
        <v>32.7043279531983</v>
      </c>
      <c r="L2" t="n">
        <v>104.309593366517</v>
      </c>
      <c r="M2" t="n">
        <v>76.9904141514766</v>
      </c>
      <c r="N2" t="n">
        <v>69.2913727363289</v>
      </c>
      <c r="O2" t="n">
        <v>100.738995747432</v>
      </c>
      <c r="P2" t="n">
        <v>147.475283938454</v>
      </c>
      <c r="Q2" t="n">
        <v>97.7415977592093</v>
      </c>
      <c r="R2" t="n">
        <v>69.732065267018</v>
      </c>
      <c r="S2" t="n">
        <v>259.574055198042</v>
      </c>
      <c r="T2" t="n">
        <v>37.5664964306715</v>
      </c>
      <c r="U2" t="n">
        <v>41.8413046451961</v>
      </c>
      <c r="V2" t="n">
        <v>69.3648206576507</v>
      </c>
      <c r="W2" t="n">
        <v>109.16640594276</v>
      </c>
      <c r="X2" t="n">
        <v>105.280616187289</v>
      </c>
      <c r="Y2" t="n">
        <v>108.384126415033</v>
      </c>
      <c r="Z2" t="n">
        <v>141.907325389797</v>
      </c>
      <c r="AA2" t="n">
        <v>78.1731132711681</v>
      </c>
      <c r="AB2" t="n">
        <v>87.4158033018047</v>
      </c>
      <c r="AC2" t="n">
        <v>117.432073110256</v>
      </c>
      <c r="AD2" t="n">
        <v>94.9787234042553</v>
      </c>
      <c r="AE2" t="n">
        <v>67.2</v>
      </c>
      <c r="AF2" t="n">
        <v>100.5</v>
      </c>
    </row>
    <row r="3">
      <c r="A3" t="s">
        <v>55</v>
      </c>
      <c r="B3" t="s">
        <v>276</v>
      </c>
      <c r="C3" t="s">
        <v>203</v>
      </c>
      <c r="D3" t="s">
        <v>277</v>
      </c>
      <c r="E3" t="s">
        <v>204</v>
      </c>
      <c r="F3" t="e">
        <v>#NUM!</v>
      </c>
      <c r="G3" t="e">
        <v>#NUM!</v>
      </c>
      <c r="H3" t="e">
        <v>#NUM!</v>
      </c>
      <c r="I3" t="e">
        <v>#NUM!</v>
      </c>
      <c r="J3" t="e">
        <v>#NUM!</v>
      </c>
      <c r="K3" t="e">
        <v>#NUM!</v>
      </c>
      <c r="L3" t="e">
        <v>#NUM!</v>
      </c>
      <c r="M3" t="e">
        <v>#NUM!</v>
      </c>
      <c r="N3" t="e">
        <v>#NUM!</v>
      </c>
      <c r="O3" t="e">
        <v>#NUM!</v>
      </c>
      <c r="P3" t="e">
        <v>#NUM!</v>
      </c>
      <c r="Q3" t="e">
        <v>#NUM!</v>
      </c>
      <c r="R3" t="e">
        <v>#NUM!</v>
      </c>
      <c r="S3" t="e">
        <v>#NUM!</v>
      </c>
      <c r="T3" t="e">
        <v>#NUM!</v>
      </c>
      <c r="U3" t="e">
        <v>#NUM!</v>
      </c>
      <c r="V3" t="e">
        <v>#NUM!</v>
      </c>
      <c r="W3" t="e">
        <v>#NUM!</v>
      </c>
      <c r="X3" t="e">
        <v>#NUM!</v>
      </c>
      <c r="Y3" t="e">
        <v>#NUM!</v>
      </c>
      <c r="Z3" t="e">
        <v>#NUM!</v>
      </c>
      <c r="AA3" t="e">
        <v>#NUM!</v>
      </c>
      <c r="AB3" t="e">
        <v>#NUM!</v>
      </c>
      <c r="AC3" t="e">
        <v>#NUM!</v>
      </c>
      <c r="AD3" t="n">
        <v>0</v>
      </c>
      <c r="AE3" t="n">
        <v>35.8</v>
      </c>
      <c r="AF3" t="n">
        <v>-0.9</v>
      </c>
    </row>
    <row r="4">
      <c r="A4" t="s">
        <v>55</v>
      </c>
      <c r="B4" t="s">
        <v>278</v>
      </c>
      <c r="C4" t="s">
        <v>203</v>
      </c>
      <c r="D4" t="s">
        <v>279</v>
      </c>
      <c r="E4" t="s">
        <v>204</v>
      </c>
      <c r="F4" t="n">
        <v>97.1525718177185</v>
      </c>
      <c r="G4" t="n">
        <v>30.8044739909839</v>
      </c>
      <c r="H4" t="n">
        <v>76.2005409250655</v>
      </c>
      <c r="I4" t="n">
        <v>105.361083122646</v>
      </c>
      <c r="J4" t="n">
        <v>51.1352456755244</v>
      </c>
      <c r="K4" t="n">
        <v>169.428114004904</v>
      </c>
      <c r="L4" t="n">
        <v>277.654643971302</v>
      </c>
      <c r="M4" t="n">
        <v>742.51834729092</v>
      </c>
      <c r="N4" t="n">
        <v>872.879034507606</v>
      </c>
      <c r="O4" t="n">
        <v>579.483304305539</v>
      </c>
      <c r="P4" t="n">
        <v>1166.58267489624</v>
      </c>
      <c r="Q4" t="n">
        <v>880.872913434253</v>
      </c>
      <c r="R4" t="n">
        <v>939.305610842827</v>
      </c>
      <c r="S4" t="n">
        <v>797.832765163026</v>
      </c>
      <c r="T4" t="n">
        <v>206.313546474236</v>
      </c>
      <c r="U4" t="n">
        <v>79.4112518504606</v>
      </c>
      <c r="V4" t="n">
        <v>74.2655139897477</v>
      </c>
      <c r="W4" t="n">
        <v>120.392364374383</v>
      </c>
      <c r="X4" t="n">
        <v>115.761888821523</v>
      </c>
      <c r="Y4" t="n">
        <v>93.0400304784551</v>
      </c>
      <c r="Z4" t="n">
        <v>122.391270300526</v>
      </c>
      <c r="AA4" t="n">
        <v>53.2775307870125</v>
      </c>
      <c r="AB4" t="n">
        <v>92.9570307036997</v>
      </c>
      <c r="AC4" t="n">
        <v>117.458148524924</v>
      </c>
      <c r="AD4" t="n">
        <v>103.46</v>
      </c>
      <c r="AE4" t="n">
        <v>73.9</v>
      </c>
      <c r="AF4" t="n">
        <v>108</v>
      </c>
    </row>
    <row r="5">
      <c r="A5" t="s">
        <v>55</v>
      </c>
      <c r="B5" t="s">
        <v>280</v>
      </c>
      <c r="C5" t="s">
        <v>203</v>
      </c>
      <c r="D5" t="s">
        <v>281</v>
      </c>
      <c r="E5" t="s">
        <v>204</v>
      </c>
      <c r="F5" t="n">
        <v>18.639148789037</v>
      </c>
      <c r="G5" t="n">
        <v>6.21304959634566</v>
      </c>
      <c r="H5" t="n">
        <v>17.0858863899506</v>
      </c>
      <c r="I5" t="n">
        <v>23.6249293293143</v>
      </c>
      <c r="J5" t="n">
        <v>21.9572872590098</v>
      </c>
      <c r="K5" t="n">
        <v>10.3030347907661</v>
      </c>
      <c r="L5" t="n">
        <v>54.4343671445478</v>
      </c>
      <c r="M5" t="n">
        <v>141.694307203535</v>
      </c>
      <c r="N5" t="n">
        <v>214.04175346981</v>
      </c>
      <c r="O5" t="n">
        <v>157.789457929811</v>
      </c>
      <c r="P5" t="n">
        <v>268.242078480678</v>
      </c>
      <c r="Q5" t="n">
        <v>136.227652422124</v>
      </c>
      <c r="R5" t="n">
        <v>197.385172977589</v>
      </c>
      <c r="S5" t="n">
        <v>165.854446921713</v>
      </c>
      <c r="T5" t="n">
        <v>46.3874156234167</v>
      </c>
      <c r="U5" t="n">
        <v>24.8688089314428</v>
      </c>
      <c r="V5" t="n">
        <v>23.7635285344898</v>
      </c>
      <c r="W5" t="n">
        <v>25.4244203137821</v>
      </c>
      <c r="X5" t="n">
        <v>24.4558709684952</v>
      </c>
      <c r="Y5" t="n">
        <v>31.57894018262</v>
      </c>
      <c r="Z5" t="n">
        <v>38.3217743853146</v>
      </c>
      <c r="AA5" t="n">
        <v>9.97262549793276</v>
      </c>
      <c r="AB5" t="n">
        <v>26.0396332446022</v>
      </c>
      <c r="AC5" t="n">
        <v>27.9296066252588</v>
      </c>
      <c r="AD5" t="n">
        <v>21.734693877551</v>
      </c>
      <c r="AE5" t="n">
        <v>15</v>
      </c>
      <c r="AF5" t="n">
        <v>16.4</v>
      </c>
    </row>
    <row r="6">
      <c r="A6" t="s">
        <v>55</v>
      </c>
      <c r="B6" t="s">
        <v>282</v>
      </c>
      <c r="C6" t="s">
        <v>203</v>
      </c>
      <c r="D6" t="s">
        <v>283</v>
      </c>
      <c r="E6" t="s">
        <v>204</v>
      </c>
      <c r="F6" t="n">
        <v>14.4409197006326</v>
      </c>
      <c r="G6" t="n">
        <v>3.61022992515815</v>
      </c>
      <c r="H6" t="n">
        <v>7.22045985031631</v>
      </c>
      <c r="I6" t="n">
        <v>10.0648834277136</v>
      </c>
      <c r="J6" t="n">
        <v>7.04541839939955</v>
      </c>
      <c r="K6" t="n">
        <v>37.5168529768026</v>
      </c>
      <c r="L6" t="n">
        <v>32.6932575940708</v>
      </c>
      <c r="M6" t="n">
        <v>104.274284747405</v>
      </c>
      <c r="N6" t="n">
        <v>116.265827493356</v>
      </c>
      <c r="O6" t="n">
        <v>68.6522029008391</v>
      </c>
      <c r="P6" t="n">
        <v>104.351348409275</v>
      </c>
      <c r="Q6" t="n">
        <v>116.580022050987</v>
      </c>
      <c r="R6" t="n">
        <v>51.628295479723</v>
      </c>
      <c r="S6" t="n">
        <v>46.0229376847816</v>
      </c>
      <c r="T6" t="n">
        <v>14.7544123754153</v>
      </c>
      <c r="U6" t="n">
        <v>6.0358959717608</v>
      </c>
      <c r="V6" t="n">
        <v>6.32331958946369</v>
      </c>
      <c r="W6" t="n">
        <v>8.2993569611711</v>
      </c>
      <c r="X6" t="n">
        <v>8.04786129568107</v>
      </c>
      <c r="Y6" t="n">
        <v>10.6479395604396</v>
      </c>
      <c r="Z6" t="n">
        <v>8.07371241395967</v>
      </c>
      <c r="AA6" t="n">
        <v>4.09536136939983</v>
      </c>
      <c r="AB6" t="n">
        <v>5.91552197802198</v>
      </c>
      <c r="AC6" t="n">
        <v>9.14217032967033</v>
      </c>
      <c r="AD6" t="n">
        <v>6.02307692307692</v>
      </c>
      <c r="AE6" t="n">
        <v>2.7</v>
      </c>
      <c r="AF6" t="n">
        <v>2.4</v>
      </c>
    </row>
    <row r="7">
      <c r="A7" t="s">
        <v>55</v>
      </c>
      <c r="B7" t="s">
        <v>284</v>
      </c>
      <c r="C7" t="s">
        <v>203</v>
      </c>
      <c r="D7" t="s">
        <v>285</v>
      </c>
      <c r="E7" t="s">
        <v>204</v>
      </c>
      <c r="F7" t="n">
        <v>3.02516031259812</v>
      </c>
      <c r="G7" t="n">
        <v>1.51258015629906</v>
      </c>
      <c r="H7" t="n">
        <v>3.02516031259812</v>
      </c>
      <c r="I7" t="n">
        <v>4.32165758942589</v>
      </c>
      <c r="J7" t="n">
        <v>3.45732607154071</v>
      </c>
      <c r="K7" t="n">
        <v>10.5448445181992</v>
      </c>
      <c r="L7" t="n">
        <v>45.6943262455297</v>
      </c>
      <c r="M7" t="n">
        <v>89.019317056106</v>
      </c>
      <c r="N7" t="n">
        <v>66.5932967977408</v>
      </c>
      <c r="O7" t="n">
        <v>48.8108905683713</v>
      </c>
      <c r="P7" t="n">
        <v>79.9488724826772</v>
      </c>
      <c r="Q7" t="n">
        <v>71.3143942545481</v>
      </c>
      <c r="R7" t="n">
        <v>125.543048218944</v>
      </c>
      <c r="S7" t="n">
        <v>59.6582881963148</v>
      </c>
      <c r="T7" t="n">
        <v>13.1248234031893</v>
      </c>
      <c r="U7" t="n">
        <v>6.29991523353084</v>
      </c>
      <c r="V7" t="n">
        <v>6.29991523353084</v>
      </c>
      <c r="W7" t="n">
        <v>8.99987890504406</v>
      </c>
      <c r="X7" t="n">
        <v>8.63501894943416</v>
      </c>
      <c r="Y7" t="n">
        <v>8.63501894943416</v>
      </c>
      <c r="Z7" t="n">
        <v>10.5665363460181</v>
      </c>
      <c r="AA7" t="n">
        <v>6.18254786203188</v>
      </c>
      <c r="AB7" t="n">
        <v>10.0044865403789</v>
      </c>
      <c r="AC7" t="n">
        <v>9.68519441674975</v>
      </c>
      <c r="AD7" t="n">
        <v>12.5588235294118</v>
      </c>
      <c r="AE7" t="n">
        <v>7</v>
      </c>
      <c r="AF7" t="n">
        <v>13.6</v>
      </c>
    </row>
    <row r="8">
      <c r="A8" t="s">
        <v>55</v>
      </c>
      <c r="B8" t="s">
        <v>286</v>
      </c>
      <c r="C8" t="s">
        <v>203</v>
      </c>
      <c r="D8" t="s">
        <v>287</v>
      </c>
      <c r="E8" t="s">
        <v>204</v>
      </c>
      <c r="F8" t="e">
        <v>#NUM!</v>
      </c>
      <c r="G8" t="e">
        <v>#NUM!</v>
      </c>
      <c r="H8" t="e">
        <v>#NUM!</v>
      </c>
      <c r="I8" t="e">
        <v>#NUM!</v>
      </c>
      <c r="J8" t="n">
        <v>0</v>
      </c>
      <c r="K8" t="n">
        <v>0</v>
      </c>
      <c r="L8" t="n">
        <v>0</v>
      </c>
      <c r="M8" t="n">
        <v>57.8351479823682</v>
      </c>
      <c r="N8" t="n">
        <v>87.5789383733004</v>
      </c>
      <c r="O8" t="n">
        <v>27.1494708957231</v>
      </c>
      <c r="P8" t="n">
        <v>51.5839947018739</v>
      </c>
      <c r="Q8" t="n">
        <v>52.6156745959114</v>
      </c>
      <c r="R8" t="n">
        <v>37.3092965316463</v>
      </c>
      <c r="S8" t="n">
        <v>59.9280575539568</v>
      </c>
      <c r="T8" t="n">
        <v>29.75</v>
      </c>
      <c r="U8" t="n">
        <v>1.9125</v>
      </c>
      <c r="V8" t="n">
        <v>0.6375</v>
      </c>
      <c r="W8" t="n">
        <v>1.275</v>
      </c>
      <c r="X8" t="n">
        <v>1.275</v>
      </c>
      <c r="Y8" t="n">
        <v>-2.975</v>
      </c>
      <c r="Z8" t="n">
        <v>-0.2125</v>
      </c>
      <c r="AA8" t="n">
        <v>-8.925</v>
      </c>
      <c r="AB8" t="n">
        <v>3.4</v>
      </c>
      <c r="AC8" t="n">
        <v>2.4</v>
      </c>
      <c r="AD8" t="n">
        <v>-0.2</v>
      </c>
      <c r="AE8" t="n">
        <v>-2.6</v>
      </c>
      <c r="AF8" t="n">
        <v>0.5</v>
      </c>
    </row>
    <row r="9">
      <c r="A9" t="s">
        <v>55</v>
      </c>
      <c r="B9" t="s">
        <v>288</v>
      </c>
      <c r="C9" t="s">
        <v>203</v>
      </c>
      <c r="D9" t="s">
        <v>289</v>
      </c>
      <c r="E9" t="s">
        <v>204</v>
      </c>
      <c r="F9" t="n">
        <v>13.366584270896</v>
      </c>
      <c r="G9" t="n">
        <v>3.341646067724</v>
      </c>
      <c r="H9" t="n">
        <v>8.35411516931001</v>
      </c>
      <c r="I9" t="n">
        <v>11.6517922098271</v>
      </c>
      <c r="J9" t="n">
        <v>1.74776883147407</v>
      </c>
      <c r="K9" t="n">
        <v>3.49553766294814</v>
      </c>
      <c r="L9" t="n">
        <v>3.32076077980073</v>
      </c>
      <c r="M9" t="n">
        <v>48.6491454240807</v>
      </c>
      <c r="N9" t="n">
        <v>28.5184645589439</v>
      </c>
      <c r="O9" t="n">
        <v>26.5578201205165</v>
      </c>
      <c r="P9" t="n">
        <v>47.3061170896699</v>
      </c>
      <c r="Q9" t="n">
        <v>51.2482935138091</v>
      </c>
      <c r="R9" t="n">
        <v>51.3947172095628</v>
      </c>
      <c r="S9" t="n">
        <v>50.9664278994832</v>
      </c>
      <c r="T9" t="n">
        <v>12.9376316975611</v>
      </c>
      <c r="U9" t="n">
        <v>4.52817109414639</v>
      </c>
      <c r="V9" t="n">
        <v>5.37720317429883</v>
      </c>
      <c r="W9" t="n">
        <v>24.6564438236142</v>
      </c>
      <c r="X9" t="n">
        <v>23.6652300015593</v>
      </c>
      <c r="Y9" t="n">
        <v>4.24760538489526</v>
      </c>
      <c r="Z9" t="n">
        <v>8.1508103331774</v>
      </c>
      <c r="AA9" t="n">
        <v>6.31400800457404</v>
      </c>
      <c r="AB9" t="n">
        <v>3.0442538593482</v>
      </c>
      <c r="AC9" t="n">
        <v>0.944768439108062</v>
      </c>
      <c r="AD9" t="n">
        <v>6.92830188679245</v>
      </c>
      <c r="AE9" t="n">
        <v>10.8</v>
      </c>
      <c r="AF9" t="n">
        <v>9</v>
      </c>
    </row>
    <row r="10">
      <c r="A10" t="s">
        <v>55</v>
      </c>
      <c r="B10" t="s">
        <v>290</v>
      </c>
      <c r="C10" t="s">
        <v>203</v>
      </c>
      <c r="D10" t="s">
        <v>291</v>
      </c>
      <c r="E10" t="s">
        <v>204</v>
      </c>
      <c r="F10" t="n">
        <v>15.5469820774238</v>
      </c>
      <c r="G10" t="n">
        <v>3.10939641548477</v>
      </c>
      <c r="H10" t="n">
        <v>9.3281892464543</v>
      </c>
      <c r="I10" t="n">
        <v>13.0160780183083</v>
      </c>
      <c r="J10" t="n">
        <v>1.73547706910778</v>
      </c>
      <c r="K10" t="n">
        <v>3.47095413821555</v>
      </c>
      <c r="L10" t="n">
        <v>3.29740643130477</v>
      </c>
      <c r="M10" t="n">
        <v>76.664699527836</v>
      </c>
      <c r="N10" t="n">
        <v>45.9988197167016</v>
      </c>
      <c r="O10" t="n">
        <v>36.2683001612455</v>
      </c>
      <c r="P10" t="n">
        <v>81.4388194529785</v>
      </c>
      <c r="Q10" t="n">
        <v>72.6684850503501</v>
      </c>
      <c r="R10" t="n">
        <v>66.5643323061206</v>
      </c>
      <c r="S10" t="n">
        <v>88.2331468653472</v>
      </c>
      <c r="T10" t="n">
        <v>15.4408007014358</v>
      </c>
      <c r="U10" t="n">
        <v>5.91897360221704</v>
      </c>
      <c r="V10" t="n">
        <v>7.1873250884064</v>
      </c>
      <c r="W10" t="n">
        <v>28.8799789915966</v>
      </c>
      <c r="X10" t="n">
        <v>27.6457918552036</v>
      </c>
      <c r="Y10" t="n">
        <v>3.38027149321267</v>
      </c>
      <c r="Z10" t="n">
        <v>8.7420814479638</v>
      </c>
      <c r="AA10" t="n">
        <v>5.24524886877828</v>
      </c>
      <c r="AB10" t="n">
        <v>2.96470588235294</v>
      </c>
      <c r="AC10" t="n">
        <v>-0.741176470588235</v>
      </c>
      <c r="AD10" t="n">
        <v>8.25882352941177</v>
      </c>
      <c r="AE10" t="n">
        <v>10.4</v>
      </c>
      <c r="AF10" t="n">
        <v>10.1</v>
      </c>
    </row>
    <row r="11">
      <c r="A11" t="s">
        <v>55</v>
      </c>
      <c r="B11" t="s">
        <v>292</v>
      </c>
      <c r="C11" t="s">
        <v>203</v>
      </c>
      <c r="D11" t="s">
        <v>293</v>
      </c>
      <c r="E11" t="s">
        <v>204</v>
      </c>
      <c r="F11" t="e">
        <v>#NUM!</v>
      </c>
      <c r="G11" t="n">
        <v>0</v>
      </c>
      <c r="H11" t="e">
        <v>#NUM!</v>
      </c>
      <c r="I11" t="e">
        <v>#NUM!</v>
      </c>
      <c r="J11" t="n">
        <v>0</v>
      </c>
      <c r="K11" t="n">
        <v>0</v>
      </c>
      <c r="L11" t="n">
        <v>0</v>
      </c>
      <c r="M11" t="n">
        <v>28.9767407223948</v>
      </c>
      <c r="N11" t="n">
        <v>18.0678500974932</v>
      </c>
      <c r="O11" t="n">
        <v>10.1179960545962</v>
      </c>
      <c r="P11" t="n">
        <v>35.2443529235101</v>
      </c>
      <c r="Q11" t="n">
        <v>22.2680229834905</v>
      </c>
      <c r="R11" t="n">
        <v>15.8845230615566</v>
      </c>
      <c r="S11" t="n">
        <v>38.4116648579459</v>
      </c>
      <c r="T11" t="n">
        <v>2.64908033503075</v>
      </c>
      <c r="U11" t="n">
        <v>1.45699418426691</v>
      </c>
      <c r="V11" t="n">
        <v>1.89409243954699</v>
      </c>
      <c r="W11" t="n">
        <v>4.46464646464647</v>
      </c>
      <c r="X11" t="n">
        <v>4.20952380952381</v>
      </c>
      <c r="Y11" t="n">
        <v>-0.866666666666667</v>
      </c>
      <c r="Z11" t="n">
        <v>0.433333333333333</v>
      </c>
      <c r="AA11" t="n">
        <v>-1.08333333333333</v>
      </c>
      <c r="AB11" t="n">
        <v>-0.108333333333333</v>
      </c>
      <c r="AC11" t="n">
        <v>-1.73333333333333</v>
      </c>
      <c r="AD11" t="n">
        <v>1.3</v>
      </c>
      <c r="AE11" t="n">
        <v>-0.4</v>
      </c>
      <c r="AF11" t="n">
        <v>1.1</v>
      </c>
    </row>
    <row r="12">
      <c r="A12" t="s">
        <v>55</v>
      </c>
      <c r="B12" t="s">
        <v>294</v>
      </c>
      <c r="C12" t="s">
        <v>203</v>
      </c>
      <c r="D12" t="s">
        <v>295</v>
      </c>
      <c r="E12" t="s">
        <v>204</v>
      </c>
      <c r="F12" t="n">
        <v>14.6868586697256</v>
      </c>
      <c r="G12" t="n">
        <v>4.8956195565752</v>
      </c>
      <c r="H12" t="n">
        <v>9.7912391131504</v>
      </c>
      <c r="I12" t="n">
        <v>13.4629537805818</v>
      </c>
      <c r="J12" t="n">
        <v>8.2124018061549</v>
      </c>
      <c r="K12" t="n">
        <v>11.66161056474</v>
      </c>
      <c r="L12" t="n">
        <v>20.8243045798928</v>
      </c>
      <c r="M12" t="n">
        <v>67.9192703221119</v>
      </c>
      <c r="N12" t="n">
        <v>108.185694870221</v>
      </c>
      <c r="O12" t="n">
        <v>89.2961290992301</v>
      </c>
      <c r="P12" t="n">
        <v>293.879939160502</v>
      </c>
      <c r="Q12" t="n">
        <v>182.993281704065</v>
      </c>
      <c r="R12" t="n">
        <v>168.916875419137</v>
      </c>
      <c r="S12" t="n">
        <v>115.769858518969</v>
      </c>
      <c r="T12" t="n">
        <v>41.2744712980674</v>
      </c>
      <c r="U12" t="n">
        <v>10.2560807467925</v>
      </c>
      <c r="V12" t="n">
        <v>7.15226683657898</v>
      </c>
      <c r="W12" t="n">
        <v>16.9395793497923</v>
      </c>
      <c r="X12" t="n">
        <v>16.3431152881799</v>
      </c>
      <c r="Y12" t="n">
        <v>13.874011539606</v>
      </c>
      <c r="Z12" t="n">
        <v>24.9508433333236</v>
      </c>
      <c r="AA12" t="n">
        <v>9.17474956651363</v>
      </c>
      <c r="AB12" t="n">
        <v>11.3855325945892</v>
      </c>
      <c r="AC12" t="n">
        <v>33.4254167914545</v>
      </c>
      <c r="AD12" t="n">
        <v>16.6603174603175</v>
      </c>
      <c r="AE12" t="n">
        <v>12.8</v>
      </c>
      <c r="AF12" t="n">
        <v>31.2</v>
      </c>
    </row>
    <row r="13">
      <c r="A13" t="s">
        <v>55</v>
      </c>
      <c r="B13" t="s">
        <v>296</v>
      </c>
      <c r="C13" t="s">
        <v>203</v>
      </c>
      <c r="D13" t="s">
        <v>297</v>
      </c>
      <c r="E13" t="s">
        <v>204</v>
      </c>
      <c r="F13" t="n">
        <v>16.4242646737304</v>
      </c>
      <c r="G13" t="n">
        <v>4.69264704963727</v>
      </c>
      <c r="H13" t="n">
        <v>12.5137254656994</v>
      </c>
      <c r="I13" t="n">
        <v>17.3435844173728</v>
      </c>
      <c r="J13" t="n">
        <v>3.46871688347457</v>
      </c>
      <c r="K13" t="n">
        <v>29.8309651978813</v>
      </c>
      <c r="L13" t="n">
        <v>27.023344943963</v>
      </c>
      <c r="M13" t="n">
        <v>153.69527436879</v>
      </c>
      <c r="N13" t="n">
        <v>174.017205090885</v>
      </c>
      <c r="O13" t="n">
        <v>89.1838176090787</v>
      </c>
      <c r="P13" t="n">
        <v>140.674851926773</v>
      </c>
      <c r="Q13" t="n">
        <v>108.383579098128</v>
      </c>
      <c r="R13" t="n">
        <v>180.985730028243</v>
      </c>
      <c r="S13" t="n">
        <v>116.844387306234</v>
      </c>
      <c r="T13" t="n">
        <v>23.7672105997907</v>
      </c>
      <c r="U13" t="n">
        <v>9.11076406325311</v>
      </c>
      <c r="V13" t="n">
        <v>8.26977045741437</v>
      </c>
      <c r="W13" t="n">
        <v>11.5001495423419</v>
      </c>
      <c r="X13" t="n">
        <v>11.1331234931182</v>
      </c>
      <c r="Y13" t="n">
        <v>8.71287925548379</v>
      </c>
      <c r="Z13" t="n">
        <v>12.3814599946349</v>
      </c>
      <c r="AA13" t="n">
        <v>4.92965536823425</v>
      </c>
      <c r="AB13" t="n">
        <v>18.0380571428571</v>
      </c>
      <c r="AC13" t="n">
        <v>16.4557714285714</v>
      </c>
      <c r="AD13" t="n">
        <v>10.5485714285714</v>
      </c>
      <c r="AE13" t="n">
        <v>14.2</v>
      </c>
      <c r="AF13" t="n">
        <v>16.8</v>
      </c>
    </row>
    <row r="14">
      <c r="A14" t="s">
        <v>55</v>
      </c>
      <c r="B14" t="s">
        <v>298</v>
      </c>
      <c r="C14" t="s">
        <v>203</v>
      </c>
      <c r="D14" t="s">
        <v>299</v>
      </c>
      <c r="E14" t="s">
        <v>204</v>
      </c>
      <c r="F14" t="e">
        <v>#NUM!</v>
      </c>
      <c r="G14" t="n">
        <v>2.1351832772787</v>
      </c>
      <c r="H14" t="n">
        <v>2.1351832772787</v>
      </c>
      <c r="I14" t="n">
        <v>2.77573826046232</v>
      </c>
      <c r="J14" t="n">
        <v>1.66544295627739</v>
      </c>
      <c r="K14" t="n">
        <v>6.8283161207373</v>
      </c>
      <c r="L14" t="n">
        <v>13.1445085324193</v>
      </c>
      <c r="M14" t="n">
        <v>16.5949420221794</v>
      </c>
      <c r="N14" t="n">
        <v>26.3859578152652</v>
      </c>
      <c r="O14" t="n">
        <v>14.7761363765485</v>
      </c>
      <c r="P14" t="n">
        <v>17.0746464795672</v>
      </c>
      <c r="Q14" t="n">
        <v>18.7821111275239</v>
      </c>
      <c r="R14" t="n">
        <v>8.52418889633776</v>
      </c>
      <c r="S14" t="n">
        <v>15.6276796432859</v>
      </c>
      <c r="T14" t="n">
        <v>1.30230663694049</v>
      </c>
      <c r="U14" t="n">
        <v>0.911614645858344</v>
      </c>
      <c r="V14" t="n">
        <v>0.651153318470245</v>
      </c>
      <c r="W14" t="n">
        <v>1.82322929171669</v>
      </c>
      <c r="X14" t="n">
        <v>1.70168067226891</v>
      </c>
      <c r="Y14" t="n">
        <v>1.58823529411765</v>
      </c>
      <c r="Z14" t="n">
        <v>1.16470588235294</v>
      </c>
      <c r="AA14" t="n">
        <v>-0.211764705882353</v>
      </c>
      <c r="AB14" t="n">
        <v>1.8</v>
      </c>
      <c r="AC14" t="n">
        <v>1.2</v>
      </c>
      <c r="AD14" t="n">
        <v>0.6</v>
      </c>
      <c r="AE14" t="n">
        <v>0.9</v>
      </c>
      <c r="AF14" t="n">
        <v>1</v>
      </c>
    </row>
    <row r="15">
      <c r="A15" t="s">
        <v>55</v>
      </c>
      <c r="B15" t="s">
        <v>300</v>
      </c>
      <c r="C15" t="s">
        <v>203</v>
      </c>
      <c r="D15" t="s">
        <v>301</v>
      </c>
      <c r="E15" t="s">
        <v>204</v>
      </c>
      <c r="F15" t="e">
        <v>#NUM!</v>
      </c>
      <c r="G15" t="n">
        <v>1.51350051475408</v>
      </c>
      <c r="H15" t="n">
        <v>3.02700102950816</v>
      </c>
      <c r="I15" t="n">
        <v>4.03600137267754</v>
      </c>
      <c r="J15" t="n">
        <v>1.61440054907102</v>
      </c>
      <c r="K15" t="n">
        <v>8.23344280026218</v>
      </c>
      <c r="L15" t="n">
        <v>17.4548987365558</v>
      </c>
      <c r="M15" t="n">
        <v>24.119496435968</v>
      </c>
      <c r="N15" t="n">
        <v>37.4656177972037</v>
      </c>
      <c r="O15" t="n">
        <v>22.1387741528931</v>
      </c>
      <c r="P15" t="n">
        <v>40.482329879576</v>
      </c>
      <c r="Q15" t="n">
        <v>36.2841623365088</v>
      </c>
      <c r="R15" t="n">
        <v>30.0042111628823</v>
      </c>
      <c r="S15" t="n">
        <v>52.507369535044</v>
      </c>
      <c r="T15" t="n">
        <v>6.25087732560048</v>
      </c>
      <c r="U15" t="n">
        <v>3.12543866280024</v>
      </c>
      <c r="V15" t="n">
        <v>2.6045322190002</v>
      </c>
      <c r="W15" t="n">
        <v>4.83698840671465</v>
      </c>
      <c r="X15" t="n">
        <v>4.60103775272857</v>
      </c>
      <c r="Y15" t="n">
        <v>3.02995169082126</v>
      </c>
      <c r="Z15" t="n">
        <v>3.35458937198068</v>
      </c>
      <c r="AA15" t="n">
        <v>2.27246376811594</v>
      </c>
      <c r="AB15" t="n">
        <v>2.48888888888889</v>
      </c>
      <c r="AC15" t="n">
        <v>1.86666666666667</v>
      </c>
      <c r="AD15" t="n">
        <v>2.8</v>
      </c>
      <c r="AE15" t="n">
        <v>2.5</v>
      </c>
      <c r="AF15" t="n">
        <v>3.7</v>
      </c>
    </row>
    <row r="16">
      <c r="A16" t="s">
        <v>55</v>
      </c>
      <c r="B16" t="s">
        <v>302</v>
      </c>
      <c r="C16" t="s">
        <v>203</v>
      </c>
      <c r="D16" t="s">
        <v>303</v>
      </c>
      <c r="E16" t="s">
        <v>204</v>
      </c>
      <c r="F16" t="e">
        <v>#NUM!</v>
      </c>
      <c r="G16" t="n">
        <v>0</v>
      </c>
      <c r="H16" t="e">
        <v>#NUM!</v>
      </c>
      <c r="I16" t="e">
        <v>#NUM!</v>
      </c>
      <c r="J16" t="n">
        <v>0</v>
      </c>
      <c r="K16" t="n">
        <v>1.50624321792326</v>
      </c>
      <c r="L16" t="n">
        <v>4.36810533197746</v>
      </c>
      <c r="M16" t="n">
        <v>7.42577906436169</v>
      </c>
      <c r="N16" t="n">
        <v>10.9901530152553</v>
      </c>
      <c r="O16" t="n">
        <v>7.22210055288205</v>
      </c>
      <c r="P16" t="n">
        <v>21.9551856807614</v>
      </c>
      <c r="Q16" t="n">
        <v>16.6036091710758</v>
      </c>
      <c r="R16" t="n">
        <v>19.924331005291</v>
      </c>
      <c r="S16" t="n">
        <v>34.2449439153439</v>
      </c>
      <c r="T16" t="n">
        <v>4.56599252204586</v>
      </c>
      <c r="U16" t="n">
        <v>2.05469663492064</v>
      </c>
      <c r="V16" t="n">
        <v>1.81296761904762</v>
      </c>
      <c r="W16" t="n">
        <v>2.83276190476191</v>
      </c>
      <c r="X16" t="n">
        <v>2.72380952380952</v>
      </c>
      <c r="Y16" t="n">
        <v>1.36190476190476</v>
      </c>
      <c r="Z16" t="n">
        <v>2.0952380952381</v>
      </c>
      <c r="AA16" t="n">
        <v>2.40952380952381</v>
      </c>
      <c r="AB16" t="n">
        <v>0.628571428571429</v>
      </c>
      <c r="AC16" t="n">
        <v>0.628571428571429</v>
      </c>
      <c r="AD16" t="n">
        <v>2.2</v>
      </c>
      <c r="AE16" t="n">
        <v>1.6</v>
      </c>
      <c r="AF16" t="n">
        <v>2.7</v>
      </c>
    </row>
    <row r="17">
      <c r="A17" t="s">
        <v>55</v>
      </c>
      <c r="B17" t="s">
        <v>304</v>
      </c>
      <c r="C17" t="s">
        <v>203</v>
      </c>
      <c r="D17" t="s">
        <v>305</v>
      </c>
      <c r="E17" t="s">
        <v>204</v>
      </c>
      <c r="F17" t="n">
        <v>5.00910241374874</v>
      </c>
      <c r="G17" t="n">
        <v>1.66970080458291</v>
      </c>
      <c r="H17" t="n">
        <v>5.00910241374874</v>
      </c>
      <c r="I17" t="n">
        <v>6.88751581890452</v>
      </c>
      <c r="J17" t="n">
        <v>1.65300379653708</v>
      </c>
      <c r="K17" t="n">
        <v>11.7363269554133</v>
      </c>
      <c r="L17" t="n">
        <v>49.9632204673309</v>
      </c>
      <c r="M17" t="n">
        <v>37.3918295110347</v>
      </c>
      <c r="N17" t="n">
        <v>36.253817308525</v>
      </c>
      <c r="O17" t="n">
        <v>23.996574313738</v>
      </c>
      <c r="P17" t="n">
        <v>51.6726233555824</v>
      </c>
      <c r="Q17" t="n">
        <v>48.0251440598942</v>
      </c>
      <c r="R17" t="n">
        <v>49.5788987206555</v>
      </c>
      <c r="S17" t="n">
        <v>31.5376883528614</v>
      </c>
      <c r="T17" t="n">
        <v>7.56904520468674</v>
      </c>
      <c r="U17" t="n">
        <v>3.65837184893193</v>
      </c>
      <c r="V17" t="n">
        <v>3.52287659526778</v>
      </c>
      <c r="W17" t="n">
        <v>4.27777872282516</v>
      </c>
      <c r="X17" t="n">
        <v>4.04012434933488</v>
      </c>
      <c r="Y17" t="n">
        <v>3.2320994794679</v>
      </c>
      <c r="Z17" t="n">
        <v>3.67790630422209</v>
      </c>
      <c r="AA17" t="n">
        <v>1.44887218045113</v>
      </c>
      <c r="AB17" t="n">
        <v>4.23516483516484</v>
      </c>
      <c r="AC17" t="n">
        <v>4.23516483516484</v>
      </c>
      <c r="AD17" t="n">
        <v>9.4</v>
      </c>
      <c r="AE17" t="n">
        <v>2.1</v>
      </c>
      <c r="AF17" t="n">
        <v>3</v>
      </c>
    </row>
    <row r="18">
      <c r="A18" t="s">
        <v>55</v>
      </c>
      <c r="B18" t="s">
        <v>306</v>
      </c>
      <c r="C18" t="s">
        <v>203</v>
      </c>
      <c r="D18" t="s">
        <v>307</v>
      </c>
      <c r="E18" t="s">
        <v>204</v>
      </c>
      <c r="F18" t="n">
        <v>3.73957681557851</v>
      </c>
      <c r="G18" t="n">
        <v>1.86978840778925</v>
      </c>
      <c r="H18" t="n">
        <v>3.73957681557851</v>
      </c>
      <c r="I18" t="n">
        <v>5.34225259368358</v>
      </c>
      <c r="J18" t="n">
        <v>2.13690103747343</v>
      </c>
      <c r="K18" t="n">
        <v>23.9332916197024</v>
      </c>
      <c r="L18" t="n">
        <v>4.13393218885769</v>
      </c>
      <c r="M18" t="n">
        <v>8.26786437771539</v>
      </c>
      <c r="N18" t="n">
        <v>8.68125759660116</v>
      </c>
      <c r="O18" t="n">
        <v>14.1070435944769</v>
      </c>
      <c r="P18" t="n">
        <v>15.3162187597178</v>
      </c>
      <c r="Q18" t="n">
        <v>33.8871340058755</v>
      </c>
      <c r="R18" t="n">
        <v>10.5228468755087</v>
      </c>
      <c r="S18" t="n">
        <v>52.9649959400605</v>
      </c>
      <c r="T18" t="n">
        <v>6.41999950788613</v>
      </c>
      <c r="U18" t="n">
        <v>2.4074998154573</v>
      </c>
      <c r="V18" t="n">
        <v>3.26732117812062</v>
      </c>
      <c r="W18" t="n">
        <v>3.88966806919121</v>
      </c>
      <c r="X18" t="n">
        <v>3.7400654511454</v>
      </c>
      <c r="Y18" t="n">
        <v>3.44086021505376</v>
      </c>
      <c r="Z18" t="n">
        <v>2.20215053763441</v>
      </c>
      <c r="AA18" t="n">
        <v>-2.06451612903226</v>
      </c>
      <c r="AB18" t="n">
        <v>0.412903225806452</v>
      </c>
      <c r="AC18" t="n">
        <v>2.06451612903226</v>
      </c>
      <c r="AD18" t="n">
        <v>3.2</v>
      </c>
      <c r="AE18" t="n">
        <v>2.1</v>
      </c>
      <c r="AF18" t="n">
        <v>0.5</v>
      </c>
    </row>
    <row r="19">
      <c r="A19" t="s">
        <v>55</v>
      </c>
      <c r="B19" t="s">
        <v>308</v>
      </c>
      <c r="C19" t="s">
        <v>203</v>
      </c>
      <c r="D19" t="s">
        <v>309</v>
      </c>
      <c r="E19" t="s">
        <v>204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28.3235127850262</v>
      </c>
      <c r="L19" t="n">
        <v>22.1277443633017</v>
      </c>
      <c r="M19" t="n">
        <v>6.80853672716976</v>
      </c>
      <c r="N19" t="n">
        <v>12.5957929452641</v>
      </c>
      <c r="O19" t="n">
        <v>13.3155525421363</v>
      </c>
      <c r="P19" t="n">
        <v>52.0970993211082</v>
      </c>
      <c r="Q19" t="n">
        <v>44.0457294260279</v>
      </c>
      <c r="R19" t="n">
        <v>32.8874779714341</v>
      </c>
      <c r="S19" t="n">
        <v>36.7481819072112</v>
      </c>
      <c r="T19" t="n">
        <v>12.9931071743354</v>
      </c>
      <c r="U19" t="n">
        <v>6.62648465891105</v>
      </c>
      <c r="V19" t="n">
        <v>5.92153948243115</v>
      </c>
      <c r="W19" t="n">
        <v>7.20883067426401</v>
      </c>
      <c r="X19" t="n">
        <v>6.96446353276353</v>
      </c>
      <c r="Y19" t="n">
        <v>8.6455409372237</v>
      </c>
      <c r="Z19" t="n">
        <v>10.4656548187445</v>
      </c>
      <c r="AA19" t="n">
        <v>16.494782051282</v>
      </c>
      <c r="AB19" t="n">
        <v>9.87442735042735</v>
      </c>
      <c r="AC19" t="n">
        <v>12.2103133903134</v>
      </c>
      <c r="AD19" t="n">
        <v>12.4226666666667</v>
      </c>
      <c r="AE19" t="n">
        <v>7.7</v>
      </c>
      <c r="AF19" t="n">
        <v>9.8</v>
      </c>
    </row>
    <row r="20">
      <c r="A20" t="s">
        <v>55</v>
      </c>
      <c r="B20" t="s">
        <v>310</v>
      </c>
      <c r="C20" t="s">
        <v>203</v>
      </c>
      <c r="D20" t="s">
        <v>311</v>
      </c>
      <c r="E20" t="s">
        <v>204</v>
      </c>
      <c r="F20" t="e">
        <v>#NUM!</v>
      </c>
      <c r="G20" t="e">
        <v>#NUM!</v>
      </c>
      <c r="H20" t="e">
        <v>#NUM!</v>
      </c>
      <c r="I20" t="e">
        <v>#NUM!</v>
      </c>
      <c r="J20" t="e">
        <v>#NUM!</v>
      </c>
      <c r="K20" t="n">
        <v>0</v>
      </c>
      <c r="L20" t="n">
        <v>1.68870819609266</v>
      </c>
      <c r="M20" t="n">
        <v>160.427278628802</v>
      </c>
      <c r="N20" t="n">
        <v>599.554287045726</v>
      </c>
      <c r="O20" t="n">
        <v>295.973324783298</v>
      </c>
      <c r="P20" t="n">
        <v>484.258799730717</v>
      </c>
      <c r="Q20" t="n">
        <v>107.524306241759</v>
      </c>
      <c r="R20" t="n">
        <v>414.354716042139</v>
      </c>
      <c r="S20" t="n">
        <v>491.575367668174</v>
      </c>
      <c r="T20" t="n">
        <v>135.84051894234</v>
      </c>
      <c r="U20" t="n">
        <v>11.6057919096368</v>
      </c>
      <c r="V20" t="n">
        <v>5.66136190713991</v>
      </c>
      <c r="W20" t="n">
        <v>12.7709791858737</v>
      </c>
      <c r="X20" t="n">
        <v>12.2750188291408</v>
      </c>
      <c r="Y20" t="n">
        <v>12.0319491493558</v>
      </c>
      <c r="Z20" t="n">
        <v>-13.7507990278352</v>
      </c>
      <c r="AA20" t="n">
        <v>23.7513801389881</v>
      </c>
      <c r="AB20" t="n">
        <v>19.3820224719101</v>
      </c>
      <c r="AC20" t="n">
        <v>27.1136489224535</v>
      </c>
      <c r="AD20" t="n">
        <v>9.42622950819672</v>
      </c>
      <c r="AE20" t="n">
        <v>12.5</v>
      </c>
      <c r="AF20" t="n">
        <v>17.7</v>
      </c>
    </row>
    <row r="21">
      <c r="A21" t="s">
        <v>55</v>
      </c>
      <c r="B21" t="s">
        <v>312</v>
      </c>
      <c r="C21" t="s">
        <v>203</v>
      </c>
      <c r="D21" t="s">
        <v>313</v>
      </c>
      <c r="E21" t="s">
        <v>204</v>
      </c>
      <c r="F21" t="n">
        <v>8.67523236266089</v>
      </c>
      <c r="G21" t="n">
        <v>2.89174412088696</v>
      </c>
      <c r="H21" t="n">
        <v>10.1211044231044</v>
      </c>
      <c r="I21" t="n">
        <v>13.9165185817685</v>
      </c>
      <c r="J21" t="n">
        <v>6.81909410506657</v>
      </c>
      <c r="K21" t="n">
        <v>1.70477352626664</v>
      </c>
      <c r="L21" t="n">
        <v>6.64861675243991</v>
      </c>
      <c r="M21" t="n">
        <v>179.678867734689</v>
      </c>
      <c r="N21" t="n">
        <v>607.717590964334</v>
      </c>
      <c r="O21" t="n">
        <v>306.353823714865</v>
      </c>
      <c r="P21" t="n">
        <v>526.643904408807</v>
      </c>
      <c r="Q21" t="n">
        <v>130.600144602721</v>
      </c>
      <c r="R21" t="n">
        <v>427.591301176918</v>
      </c>
      <c r="S21" t="n">
        <v>503.132431051507</v>
      </c>
      <c r="T21" t="n">
        <v>141.45701527227</v>
      </c>
      <c r="U21" t="n">
        <v>26.7340781156766</v>
      </c>
      <c r="V21" t="n">
        <v>16.5695588321121</v>
      </c>
      <c r="W21" t="n">
        <v>20.9708478968918</v>
      </c>
      <c r="X21" t="n">
        <v>20.1173831569021</v>
      </c>
      <c r="Y21" t="n">
        <v>35.8041521661531</v>
      </c>
      <c r="Z21" t="n">
        <v>21.0745958952673</v>
      </c>
      <c r="AA21" t="n">
        <v>32.9715451909827</v>
      </c>
      <c r="AB21" t="n">
        <v>50.5191133095735</v>
      </c>
      <c r="AC21" t="n">
        <v>38.470621850805</v>
      </c>
      <c r="AD21" t="n">
        <v>21.771835443038</v>
      </c>
      <c r="AE21" t="n">
        <v>32.3</v>
      </c>
      <c r="AF21" t="n">
        <v>34.3</v>
      </c>
    </row>
    <row r="22">
      <c r="A22" t="s">
        <v>55</v>
      </c>
      <c r="B22" t="s">
        <v>314</v>
      </c>
      <c r="C22" t="s">
        <v>203</v>
      </c>
      <c r="D22" t="s">
        <v>315</v>
      </c>
      <c r="E22" t="s">
        <v>204</v>
      </c>
      <c r="F22" t="e">
        <v>#NUM!</v>
      </c>
      <c r="G22" t="n">
        <v>0</v>
      </c>
      <c r="H22" t="n">
        <v>0.99421377971082</v>
      </c>
      <c r="I22" t="n">
        <v>1.39189929159515</v>
      </c>
      <c r="J22" t="n">
        <v>5.15002737890205</v>
      </c>
      <c r="K22" t="n">
        <v>1.71667579296735</v>
      </c>
      <c r="L22" t="n">
        <v>4.97835979960531</v>
      </c>
      <c r="M22" t="n">
        <v>21.7388377916099</v>
      </c>
      <c r="N22" t="n">
        <v>17.7255138916203</v>
      </c>
      <c r="O22" t="n">
        <v>15.0666868078773</v>
      </c>
      <c r="P22" t="n">
        <v>49.7855737999424</v>
      </c>
      <c r="Q22" t="n">
        <v>24.5816270637215</v>
      </c>
      <c r="R22" t="n">
        <v>19.8098994572344</v>
      </c>
      <c r="S22" t="n">
        <v>19.3854016117222</v>
      </c>
      <c r="T22" t="n">
        <v>7.7541606446889</v>
      </c>
      <c r="U22" t="n">
        <v>15.2498492678882</v>
      </c>
      <c r="V22" t="n">
        <v>10.9521644742106</v>
      </c>
      <c r="W22" t="n">
        <v>8.37518459792575</v>
      </c>
      <c r="X22" t="n">
        <v>8.01104613714637</v>
      </c>
      <c r="Y22" t="n">
        <v>23.9135705586459</v>
      </c>
      <c r="Z22" t="n">
        <v>34.6803440329177</v>
      </c>
      <c r="AA22" t="n">
        <v>9.26315378077932</v>
      </c>
      <c r="AB22" t="n">
        <v>31.1375892149088</v>
      </c>
      <c r="AC22" t="n">
        <v>11.3995241871531</v>
      </c>
      <c r="AD22" t="n">
        <v>12.3494845360825</v>
      </c>
      <c r="AE22" t="n">
        <v>19.8</v>
      </c>
      <c r="AF22" t="n">
        <v>16.6</v>
      </c>
    </row>
    <row r="23">
      <c r="A23" t="s">
        <v>55</v>
      </c>
      <c r="B23" t="s">
        <v>316</v>
      </c>
      <c r="C23" t="s">
        <v>203</v>
      </c>
      <c r="D23" t="s">
        <v>317</v>
      </c>
      <c r="E23" t="s">
        <v>204</v>
      </c>
      <c r="F23" t="n">
        <v>9.61174367577622</v>
      </c>
      <c r="G23" t="n">
        <v>3.20391455859207</v>
      </c>
      <c r="H23" t="n">
        <v>6.40782911718415</v>
      </c>
      <c r="I23" t="n">
        <v>8.61742536448903</v>
      </c>
      <c r="J23" t="n">
        <v>19.2455833140255</v>
      </c>
      <c r="K23" t="n">
        <v>115.298540035844</v>
      </c>
      <c r="L23" t="n">
        <v>114.411628189414</v>
      </c>
      <c r="M23" t="n">
        <v>51.7413781214813</v>
      </c>
      <c r="N23" t="n">
        <v>93.3069518790713</v>
      </c>
      <c r="O23" t="n">
        <v>103.735375912615</v>
      </c>
      <c r="P23" t="n">
        <v>277.874761051167</v>
      </c>
      <c r="Q23" t="n">
        <v>301.784914909059</v>
      </c>
      <c r="R23" t="n">
        <v>380.759474731031</v>
      </c>
      <c r="S23" t="n">
        <v>105.620635902401</v>
      </c>
      <c r="T23" t="n">
        <v>49.4678927644157</v>
      </c>
      <c r="U23" t="n">
        <v>56.6487159076373</v>
      </c>
      <c r="V23" t="n">
        <v>59.7958667913949</v>
      </c>
      <c r="W23" t="n">
        <v>70.7518423845202</v>
      </c>
      <c r="X23" t="n">
        <v>68.1267740274974</v>
      </c>
      <c r="Y23" t="n">
        <v>73.5278155720197</v>
      </c>
      <c r="Z23" t="n">
        <v>137.73356260876</v>
      </c>
      <c r="AA23" t="n">
        <v>39.8000100882936</v>
      </c>
      <c r="AB23" t="n">
        <v>1.26167178954245</v>
      </c>
      <c r="AC23" t="n">
        <v>90.8403688470564</v>
      </c>
      <c r="AD23" t="n">
        <v>133.576394052045</v>
      </c>
      <c r="AE23" t="n">
        <v>54.9</v>
      </c>
      <c r="AF23" t="n">
        <v>174.6</v>
      </c>
    </row>
    <row r="24">
      <c r="A24" t="s">
        <v>55</v>
      </c>
      <c r="B24" t="s">
        <v>318</v>
      </c>
      <c r="C24" t="s">
        <v>203</v>
      </c>
      <c r="D24" t="s">
        <v>319</v>
      </c>
      <c r="E24" t="s">
        <v>204</v>
      </c>
      <c r="F24" t="n">
        <v>22.9296954466801</v>
      </c>
      <c r="G24" t="n">
        <v>8.33807107152002</v>
      </c>
      <c r="H24" t="n">
        <v>20.011370571648</v>
      </c>
      <c r="I24" t="n">
        <v>27.4624128057723</v>
      </c>
      <c r="J24" t="n">
        <v>84.8964944097226</v>
      </c>
      <c r="K24" t="n">
        <v>201.544277728681</v>
      </c>
      <c r="L24" t="n">
        <v>588.095866808306</v>
      </c>
      <c r="M24" t="n">
        <v>270.510838396605</v>
      </c>
      <c r="N24" t="n">
        <v>424.944889790828</v>
      </c>
      <c r="O24" t="n">
        <v>261.012174984492</v>
      </c>
      <c r="P24" t="n">
        <v>503.522221109324</v>
      </c>
      <c r="Q24" t="n">
        <v>425.562550115139</v>
      </c>
      <c r="R24" t="n">
        <v>648.254185928814</v>
      </c>
      <c r="S24" t="n">
        <v>181.113121244147</v>
      </c>
      <c r="T24" t="n">
        <v>95.7684490031999</v>
      </c>
      <c r="U24" t="n">
        <v>169.277204454305</v>
      </c>
      <c r="V24" t="n">
        <v>187.052005250163</v>
      </c>
      <c r="W24" t="n">
        <v>201.391378684809</v>
      </c>
      <c r="X24" t="n">
        <v>194.107784518993</v>
      </c>
      <c r="Y24" t="n">
        <v>134.097817946741</v>
      </c>
      <c r="Z24" t="n">
        <v>182.572367001814</v>
      </c>
      <c r="AA24" t="n">
        <v>179.412894643315</v>
      </c>
      <c r="AB24" t="n">
        <v>-24.9462994414044</v>
      </c>
      <c r="AC24" t="n">
        <v>187.991944313706</v>
      </c>
      <c r="AD24" t="n">
        <v>174.819863013699</v>
      </c>
      <c r="AE24" t="n">
        <v>163.9</v>
      </c>
      <c r="AF24" t="n">
        <v>158</v>
      </c>
    </row>
    <row r="25">
      <c r="A25" t="s">
        <v>55</v>
      </c>
      <c r="B25" t="s">
        <v>320</v>
      </c>
      <c r="C25" t="s">
        <v>203</v>
      </c>
      <c r="D25" t="s">
        <v>321</v>
      </c>
      <c r="E25" t="s">
        <v>204</v>
      </c>
      <c r="F25" t="e">
        <v>#NUM!</v>
      </c>
      <c r="G25" t="n">
        <v>2.13833752597449</v>
      </c>
      <c r="H25" t="n">
        <v>2.13833752597449</v>
      </c>
      <c r="I25" t="n">
        <v>2.77983878376684</v>
      </c>
      <c r="J25" t="n">
        <v>11.8143148310091</v>
      </c>
      <c r="K25" t="n">
        <v>18.9029037296145</v>
      </c>
      <c r="L25" t="n">
        <v>41.4145436257918</v>
      </c>
      <c r="M25" t="n">
        <v>26.8366242695131</v>
      </c>
      <c r="N25" t="n">
        <v>33.8812381402603</v>
      </c>
      <c r="O25" t="n">
        <v>31.5630481622425</v>
      </c>
      <c r="P25" t="n">
        <v>66.2824011407092</v>
      </c>
      <c r="Q25" t="n">
        <v>49.8696160963431</v>
      </c>
      <c r="R25" t="n">
        <v>45.7627065354678</v>
      </c>
      <c r="S25" t="n">
        <v>19.5921587354971</v>
      </c>
      <c r="T25" t="n">
        <v>11.6246808497283</v>
      </c>
      <c r="U25" t="n">
        <v>17.0495319129348</v>
      </c>
      <c r="V25" t="n">
        <v>31.4653962946033</v>
      </c>
      <c r="W25" t="n">
        <v>31.593304409622</v>
      </c>
      <c r="X25" t="n">
        <v>30.499690026212</v>
      </c>
      <c r="Y25" t="n">
        <v>22.127226097448</v>
      </c>
      <c r="Z25" t="n">
        <v>77.7289737269326</v>
      </c>
      <c r="AA25" t="n">
        <v>56.2318776452482</v>
      </c>
      <c r="AB25" t="n">
        <v>15.7628126202386</v>
      </c>
      <c r="AC25" t="n">
        <v>-6.98218545594459</v>
      </c>
      <c r="AD25" t="n">
        <v>11.954347826087</v>
      </c>
      <c r="AE25" t="n">
        <v>4.7</v>
      </c>
      <c r="AF25" t="n">
        <v>46.1</v>
      </c>
    </row>
    <row r="26">
      <c r="A26" t="s">
        <v>55</v>
      </c>
      <c r="B26" t="s">
        <v>322</v>
      </c>
      <c r="C26" t="s">
        <v>203</v>
      </c>
      <c r="D26" t="s">
        <v>323</v>
      </c>
      <c r="E26" t="s">
        <v>204</v>
      </c>
      <c r="F26" t="n">
        <v>18.3689876761497</v>
      </c>
      <c r="G26" t="n">
        <v>4.59224691903743</v>
      </c>
      <c r="H26" t="n">
        <v>13.7767407571123</v>
      </c>
      <c r="I26" t="n">
        <v>19.0754872021555</v>
      </c>
      <c r="J26" t="n">
        <v>52.6316362220057</v>
      </c>
      <c r="K26" t="n">
        <v>96.4347399164491</v>
      </c>
      <c r="L26" t="n">
        <v>412.25851314282</v>
      </c>
      <c r="M26" t="n">
        <v>149.791678408806</v>
      </c>
      <c r="N26" t="n">
        <v>284.18577646721</v>
      </c>
      <c r="O26" t="n">
        <v>158.433570380469</v>
      </c>
      <c r="P26" t="n">
        <v>310.265741995086</v>
      </c>
      <c r="Q26" t="n">
        <v>264.979479653379</v>
      </c>
      <c r="R26" t="n">
        <v>380.580417480183</v>
      </c>
      <c r="S26" t="n">
        <v>98.97931006854</v>
      </c>
      <c r="T26" t="n">
        <v>49.2291831656686</v>
      </c>
      <c r="U26" t="n">
        <v>103.640385611934</v>
      </c>
      <c r="V26" t="n">
        <v>104.614187892851</v>
      </c>
      <c r="W26" t="n">
        <v>133.716419083632</v>
      </c>
      <c r="X26" t="n">
        <v>128.854003844228</v>
      </c>
      <c r="Y26" t="n">
        <v>80.3695501271225</v>
      </c>
      <c r="Z26" t="n">
        <v>77.3089325623378</v>
      </c>
      <c r="AA26" t="n">
        <v>106.539609253791</v>
      </c>
      <c r="AB26" t="n">
        <v>-64.5694601538128</v>
      </c>
      <c r="AC26" t="n">
        <v>156.060389036251</v>
      </c>
      <c r="AD26" t="n">
        <v>131.419274977896</v>
      </c>
      <c r="AE26" t="n">
        <v>115.4</v>
      </c>
      <c r="AF26" t="n">
        <v>124.7</v>
      </c>
    </row>
    <row r="27">
      <c r="A27" t="s">
        <v>55</v>
      </c>
      <c r="B27" t="s">
        <v>324</v>
      </c>
      <c r="C27" t="s">
        <v>203</v>
      </c>
      <c r="D27" t="s">
        <v>325</v>
      </c>
      <c r="E27" t="s">
        <v>204</v>
      </c>
      <c r="F27" t="n">
        <v>2.74757142381137</v>
      </c>
      <c r="G27" t="n">
        <v>1.37378571190568</v>
      </c>
      <c r="H27" t="n">
        <v>4.12135713571705</v>
      </c>
      <c r="I27" t="n">
        <v>5.6397518699286</v>
      </c>
      <c r="J27" t="n">
        <v>20.5850943252394</v>
      </c>
      <c r="K27" t="n">
        <v>86.9720235241364</v>
      </c>
      <c r="L27" t="n">
        <v>135.502412650605</v>
      </c>
      <c r="M27" t="n">
        <v>94.6844019262249</v>
      </c>
      <c r="N27" t="n">
        <v>107.703507191081</v>
      </c>
      <c r="O27" t="n">
        <v>71.6228322820687</v>
      </c>
      <c r="P27" t="n">
        <v>128.088274476537</v>
      </c>
      <c r="Q27" t="n">
        <v>111.642372568438</v>
      </c>
      <c r="R27" t="n">
        <v>223.578540854162</v>
      </c>
      <c r="S27" t="n">
        <v>63.0606140870713</v>
      </c>
      <c r="T27" t="n">
        <v>35.2088428652815</v>
      </c>
      <c r="U27" t="n">
        <v>49.0315737679476</v>
      </c>
      <c r="V27" t="n">
        <v>51.4063223549991</v>
      </c>
      <c r="W27" t="n">
        <v>36.4611258808641</v>
      </c>
      <c r="X27" t="n">
        <v>35.1197466678557</v>
      </c>
      <c r="Y27" t="n">
        <v>31.883456019282</v>
      </c>
      <c r="Z27" t="n">
        <v>27.8980240168717</v>
      </c>
      <c r="AA27" t="n">
        <v>16.8975836524955</v>
      </c>
      <c r="AB27" t="n">
        <v>24.0594734124935</v>
      </c>
      <c r="AC27" t="n">
        <v>38.8328342798141</v>
      </c>
      <c r="AD27" t="n">
        <v>31.4461538461538</v>
      </c>
      <c r="AE27" t="n">
        <v>43.8</v>
      </c>
      <c r="AF27" t="n">
        <v>-12.8</v>
      </c>
    </row>
    <row r="28">
      <c r="A28" t="s">
        <v>55</v>
      </c>
      <c r="B28" t="s">
        <v>326</v>
      </c>
      <c r="C28" t="s">
        <v>203</v>
      </c>
      <c r="D28" t="s">
        <v>327</v>
      </c>
      <c r="E28" t="s">
        <v>204</v>
      </c>
      <c r="F28" t="n">
        <v>32.3018934061294</v>
      </c>
      <c r="G28" t="n">
        <v>11.5363905021891</v>
      </c>
      <c r="H28" t="n">
        <v>26.3688925764322</v>
      </c>
      <c r="I28" t="n">
        <v>36.3635534723379</v>
      </c>
      <c r="J28" t="n">
        <v>254.125294843223</v>
      </c>
      <c r="K28" t="n">
        <v>24.2186522602266</v>
      </c>
      <c r="L28" t="n">
        <v>39.960776229374</v>
      </c>
      <c r="M28" t="n">
        <v>176.493428346402</v>
      </c>
      <c r="N28" t="n">
        <v>149.935369604753</v>
      </c>
      <c r="O28" t="n">
        <v>180.636421476202</v>
      </c>
      <c r="P28" t="n">
        <v>412.149339643408</v>
      </c>
      <c r="Q28" t="n">
        <v>387.137223229934</v>
      </c>
      <c r="R28" t="n">
        <v>455.945386302122</v>
      </c>
      <c r="S28" t="n">
        <v>39.0403237021192</v>
      </c>
      <c r="T28" t="n">
        <v>67.2794911799854</v>
      </c>
      <c r="U28" t="n">
        <v>257.990971947867</v>
      </c>
      <c r="V28" t="n">
        <v>263.958487705672</v>
      </c>
      <c r="W28" t="n">
        <v>286.232385310321</v>
      </c>
      <c r="X28" t="n">
        <v>276.040134201348</v>
      </c>
      <c r="Y28" t="n">
        <v>569.019637052908</v>
      </c>
      <c r="Z28" t="n">
        <v>521.827674314033</v>
      </c>
      <c r="AA28" t="n">
        <v>738.673558845394</v>
      </c>
      <c r="AB28" t="n">
        <v>494.859006671157</v>
      </c>
      <c r="AC28" t="n">
        <v>488.650909415449</v>
      </c>
      <c r="AD28" t="n">
        <v>512.135640622269</v>
      </c>
      <c r="AE28" t="n">
        <v>584</v>
      </c>
      <c r="AF28" t="n">
        <v>410.2</v>
      </c>
    </row>
    <row r="29">
      <c r="A29" t="s">
        <v>55</v>
      </c>
      <c r="B29" t="s">
        <v>328</v>
      </c>
      <c r="C29" t="s">
        <v>203</v>
      </c>
      <c r="D29" t="s">
        <v>329</v>
      </c>
      <c r="E29" t="s">
        <v>204</v>
      </c>
      <c r="F29" t="n">
        <v>25.3930627745572</v>
      </c>
      <c r="G29" t="n">
        <v>6.3482656936393</v>
      </c>
      <c r="H29" t="n">
        <v>14.2835978106884</v>
      </c>
      <c r="I29" t="n">
        <v>19.6132984863184</v>
      </c>
      <c r="J29" t="n">
        <v>204.958969182027</v>
      </c>
      <c r="K29" t="n">
        <v>17.2507132394873</v>
      </c>
      <c r="L29" t="n">
        <v>29.843733904313</v>
      </c>
      <c r="M29" t="n">
        <v>113.903584401461</v>
      </c>
      <c r="N29" t="n">
        <v>71.1897402509134</v>
      </c>
      <c r="O29" t="n">
        <v>119.064840569653</v>
      </c>
      <c r="P29" t="n">
        <v>312.545206495338</v>
      </c>
      <c r="Q29" t="n">
        <v>266.998417609083</v>
      </c>
      <c r="R29" t="n">
        <v>365.773242046979</v>
      </c>
      <c r="S29" t="n">
        <v>18.2174999930013</v>
      </c>
      <c r="T29" t="n">
        <v>45.2834999826032</v>
      </c>
      <c r="U29" t="n">
        <v>224.218015628147</v>
      </c>
      <c r="V29" t="n">
        <v>228.244221481531</v>
      </c>
      <c r="W29" t="n">
        <v>229.267738169789</v>
      </c>
      <c r="X29" t="n">
        <v>221.140257504511</v>
      </c>
      <c r="Y29" t="n">
        <v>573.247075278684</v>
      </c>
      <c r="Z29" t="n">
        <v>514.394463404071</v>
      </c>
      <c r="AA29" t="n">
        <v>691.495866430105</v>
      </c>
      <c r="AB29" t="n">
        <v>495.37179749248</v>
      </c>
      <c r="AC29" t="n">
        <v>436.238630502087</v>
      </c>
      <c r="AD29" t="n">
        <v>422.652251135894</v>
      </c>
      <c r="AE29" t="n">
        <v>494.2</v>
      </c>
      <c r="AF29" t="n">
        <v>368</v>
      </c>
    </row>
    <row r="30">
      <c r="A30" t="s">
        <v>55</v>
      </c>
      <c r="B30" t="s">
        <v>330</v>
      </c>
      <c r="C30" t="s">
        <v>203</v>
      </c>
      <c r="D30" t="s">
        <v>331</v>
      </c>
      <c r="E30" t="s">
        <v>204</v>
      </c>
      <c r="F30" t="e">
        <v>#NUM!</v>
      </c>
      <c r="G30" t="e">
        <v>#NUM!</v>
      </c>
      <c r="H30" t="e">
        <v>#NUM!</v>
      </c>
      <c r="I30" t="e">
        <v>#NUM!</v>
      </c>
      <c r="J30" t="e">
        <v>#NUM!</v>
      </c>
      <c r="K30" t="n">
        <v>0</v>
      </c>
      <c r="L30" t="n">
        <v>1.6007310460381</v>
      </c>
      <c r="M30" t="n">
        <v>6.40292418415241</v>
      </c>
      <c r="N30" t="n">
        <v>23.8508925859677</v>
      </c>
      <c r="O30" t="n">
        <v>17.3770788840622</v>
      </c>
      <c r="P30" t="n">
        <v>37.439706322934</v>
      </c>
      <c r="Q30" t="n">
        <v>41.7827122563944</v>
      </c>
      <c r="R30" t="n">
        <v>32.5905155599876</v>
      </c>
      <c r="S30" t="n">
        <v>1.22214433349954</v>
      </c>
      <c r="T30" t="n">
        <v>4.88857733399814</v>
      </c>
      <c r="U30" t="n">
        <v>3.66643300049861</v>
      </c>
      <c r="V30" t="n">
        <v>7.07097792953303</v>
      </c>
      <c r="W30" t="n">
        <v>5.36419015343885</v>
      </c>
      <c r="X30" t="n">
        <v>5.13592674265422</v>
      </c>
      <c r="Y30" t="n">
        <v>-1.11650581362048</v>
      </c>
      <c r="Z30" t="n">
        <v>3.57281860358554</v>
      </c>
      <c r="AA30" t="n">
        <v>10.1602029039464</v>
      </c>
      <c r="AB30" t="n">
        <v>17.4490441176471</v>
      </c>
      <c r="AC30" t="n">
        <v>13.1651470588235</v>
      </c>
      <c r="AD30" t="n">
        <v>8.88125</v>
      </c>
      <c r="AE30" t="n">
        <v>-9.8</v>
      </c>
      <c r="AF30" t="n">
        <v>8</v>
      </c>
    </row>
    <row r="31">
      <c r="A31" t="s">
        <v>55</v>
      </c>
      <c r="B31" t="s">
        <v>332</v>
      </c>
      <c r="C31" t="s">
        <v>203</v>
      </c>
      <c r="D31" t="s">
        <v>333</v>
      </c>
      <c r="E31" t="s">
        <v>204</v>
      </c>
      <c r="F31" t="e">
        <v>#NUM!</v>
      </c>
      <c r="G31" t="n">
        <v>0</v>
      </c>
      <c r="H31" t="e">
        <v>#NUM!</v>
      </c>
      <c r="I31" t="e">
        <v>#NUM!</v>
      </c>
      <c r="J31" t="e">
        <v>#NUM!</v>
      </c>
      <c r="K31" t="n">
        <v>0</v>
      </c>
      <c r="L31" t="n">
        <v>0</v>
      </c>
      <c r="M31" t="n">
        <v>5.43319035776356</v>
      </c>
      <c r="N31" t="n">
        <v>19.1972725974313</v>
      </c>
      <c r="O31" t="n">
        <v>19.5812180493799</v>
      </c>
      <c r="P31" t="n">
        <v>21.8953620006702</v>
      </c>
      <c r="Q31" t="n">
        <v>34.3588757548979</v>
      </c>
      <c r="R31" t="n">
        <v>32.0162251352458</v>
      </c>
      <c r="S31" t="n">
        <v>8.3852018211358</v>
      </c>
      <c r="T31" t="n">
        <v>11.0405157311621</v>
      </c>
      <c r="U31" t="n">
        <v>10.9025092845226</v>
      </c>
      <c r="V31" t="n">
        <v>11.1971716976178</v>
      </c>
      <c r="W31" t="n">
        <v>6.96409459242083</v>
      </c>
      <c r="X31" t="n">
        <v>6.70616516307191</v>
      </c>
      <c r="Y31" t="n">
        <v>-52.3840071228636</v>
      </c>
      <c r="Z31" t="n">
        <v>-31.5986098011769</v>
      </c>
      <c r="AA31" t="n">
        <v>-1.67568385309271</v>
      </c>
      <c r="AB31" t="n">
        <v>-38.093879593641</v>
      </c>
      <c r="AC31" t="n">
        <v>14.0345872187099</v>
      </c>
      <c r="AD31" t="n">
        <v>31.8680100755667</v>
      </c>
      <c r="AE31" t="n">
        <v>81.1</v>
      </c>
      <c r="AF31" t="n">
        <v>4.3</v>
      </c>
    </row>
    <row r="32">
      <c r="A32" t="s">
        <v>55</v>
      </c>
      <c r="B32" t="s">
        <v>334</v>
      </c>
      <c r="C32" t="s">
        <v>203</v>
      </c>
      <c r="D32" t="s">
        <v>335</v>
      </c>
      <c r="E32" t="s">
        <v>204</v>
      </c>
      <c r="F32" t="n">
        <v>2.69263246977312</v>
      </c>
      <c r="G32" t="n">
        <v>1.34631623488656</v>
      </c>
      <c r="H32" t="n">
        <v>4.03894870465968</v>
      </c>
      <c r="I32" t="n">
        <v>5.52698243795535</v>
      </c>
      <c r="J32" t="n">
        <v>35.3726876029142</v>
      </c>
      <c r="K32" t="n">
        <v>6.90609615104515</v>
      </c>
      <c r="L32" t="n">
        <v>8.28731538125419</v>
      </c>
      <c r="M32" t="n">
        <v>48.5636681341495</v>
      </c>
      <c r="N32" t="n">
        <v>31.9850365986985</v>
      </c>
      <c r="O32" t="n">
        <v>23.1003042101711</v>
      </c>
      <c r="P32" t="n">
        <v>34.4854541423269</v>
      </c>
      <c r="Q32" t="n">
        <v>36.3664789137265</v>
      </c>
      <c r="R32" t="n">
        <v>21.2380236856163</v>
      </c>
      <c r="S32" t="n">
        <v>10.3358381936666</v>
      </c>
      <c r="T32" t="n">
        <v>5.1679190968333</v>
      </c>
      <c r="U32" t="n">
        <v>15.8913512227624</v>
      </c>
      <c r="V32" t="n">
        <v>14.0949376062762</v>
      </c>
      <c r="W32" t="n">
        <v>37.543788351263</v>
      </c>
      <c r="X32" t="n">
        <v>36.2072780863313</v>
      </c>
      <c r="Y32" t="n">
        <v>37.880221628274</v>
      </c>
      <c r="Z32" t="n">
        <v>27.4461486049171</v>
      </c>
      <c r="AA32" t="n">
        <v>32.7546629441397</v>
      </c>
      <c r="AB32" t="n">
        <v>16.6001523084246</v>
      </c>
      <c r="AC32" t="n">
        <v>23.3242646358877</v>
      </c>
      <c r="AD32" t="n">
        <v>28.8926701570681</v>
      </c>
      <c r="AE32" t="n">
        <v>19.5</v>
      </c>
      <c r="AF32" t="n">
        <v>15.7</v>
      </c>
    </row>
    <row r="33">
      <c r="A33" t="s">
        <v>55</v>
      </c>
      <c r="B33" t="s">
        <v>336</v>
      </c>
      <c r="C33" t="s">
        <v>203</v>
      </c>
      <c r="D33" t="s">
        <v>337</v>
      </c>
      <c r="E33" t="s">
        <v>204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1.77919016513265</v>
      </c>
      <c r="N33" t="n">
        <v>3.73629934677857</v>
      </c>
      <c r="O33" t="n">
        <v>1.68133470605035</v>
      </c>
      <c r="P33" t="n">
        <v>4.70773717694099</v>
      </c>
      <c r="Q33" t="n">
        <v>7.21853033797619</v>
      </c>
      <c r="R33" t="n">
        <v>4.18674759602619</v>
      </c>
      <c r="S33" t="n">
        <v>1.25602427880786</v>
      </c>
      <c r="T33" t="n">
        <v>1.25602427880786</v>
      </c>
      <c r="U33" t="n">
        <v>3.64247040854278</v>
      </c>
      <c r="V33" t="n">
        <v>3.50756409711527</v>
      </c>
      <c r="W33" t="n">
        <v>7.01512819423055</v>
      </c>
      <c r="X33" t="n">
        <v>6.77732723849392</v>
      </c>
      <c r="Y33" t="n">
        <v>8.29638334367359</v>
      </c>
      <c r="Z33" t="n">
        <v>6.0840144520273</v>
      </c>
      <c r="AA33" t="n">
        <v>5.75808510638298</v>
      </c>
      <c r="AB33" t="n">
        <v>3.19893617021277</v>
      </c>
      <c r="AC33" t="n">
        <v>1.75425531914894</v>
      </c>
      <c r="AD33" t="n">
        <v>19.4</v>
      </c>
      <c r="AE33" t="n">
        <v>-1</v>
      </c>
      <c r="AF33" t="n">
        <v>14.2</v>
      </c>
    </row>
    <row r="34">
      <c r="A34" t="s">
        <v>55</v>
      </c>
      <c r="B34" t="s">
        <v>338</v>
      </c>
      <c r="C34" t="s">
        <v>203</v>
      </c>
      <c r="D34" t="s">
        <v>339</v>
      </c>
      <c r="E34" t="s">
        <v>204</v>
      </c>
      <c r="F34" t="e">
        <v>#NUM!</v>
      </c>
      <c r="G34" t="n">
        <v>2.194779064381</v>
      </c>
      <c r="H34" t="n">
        <v>2.194779064381</v>
      </c>
      <c r="I34" t="n">
        <v>2.8532127836953</v>
      </c>
      <c r="J34" t="n">
        <v>3.42385534043436</v>
      </c>
      <c r="K34" t="n">
        <v>10.4427587883248</v>
      </c>
      <c r="L34" t="n">
        <v>60.219909012673</v>
      </c>
      <c r="M34" t="n">
        <v>33.790060057111</v>
      </c>
      <c r="N34" t="n">
        <v>41.2238732696754</v>
      </c>
      <c r="O34" t="n">
        <v>36.563783247886</v>
      </c>
      <c r="P34" t="n">
        <v>61.4936354623537</v>
      </c>
      <c r="Q34" t="n">
        <v>46.8297685444078</v>
      </c>
      <c r="R34" t="n">
        <v>179.855579815866</v>
      </c>
      <c r="S34" t="n">
        <v>36.6848285814902</v>
      </c>
      <c r="T34" t="n">
        <v>12.9707072484555</v>
      </c>
      <c r="U34" t="n">
        <v>10.6359799437335</v>
      </c>
      <c r="V34" t="n">
        <v>9.93624442111943</v>
      </c>
      <c r="W34" t="n">
        <v>12.9042135339213</v>
      </c>
      <c r="X34" t="n">
        <v>12.5355217186664</v>
      </c>
      <c r="Y34" t="n">
        <v>14.8478995114302</v>
      </c>
      <c r="Z34" t="n">
        <v>15.0780995038554</v>
      </c>
      <c r="AA34" t="n">
        <v>10.5089784420811</v>
      </c>
      <c r="AB34" t="n">
        <v>11.7387525150905</v>
      </c>
      <c r="AC34" t="n">
        <v>14.9113883299799</v>
      </c>
      <c r="AD34" t="n">
        <v>7.50857142857143</v>
      </c>
      <c r="AE34" t="n">
        <v>3.6</v>
      </c>
      <c r="AF34" t="n">
        <v>10.4</v>
      </c>
    </row>
    <row r="35">
      <c r="A35" t="s">
        <v>55</v>
      </c>
      <c r="B35" t="s">
        <v>340</v>
      </c>
      <c r="C35" t="s">
        <v>203</v>
      </c>
      <c r="D35" t="s">
        <v>341</v>
      </c>
      <c r="E35" t="s">
        <v>204</v>
      </c>
      <c r="F35" t="n">
        <v>15.5152653829895</v>
      </c>
      <c r="G35" t="n">
        <v>4.43293296656844</v>
      </c>
      <c r="H35" t="n">
        <v>11.8211545775158</v>
      </c>
      <c r="I35" t="n">
        <v>16.3837054670834</v>
      </c>
      <c r="J35" t="n">
        <v>5.05164251901737</v>
      </c>
      <c r="K35" t="n">
        <v>15.3233156410194</v>
      </c>
      <c r="L35" t="n">
        <v>47.50227848716</v>
      </c>
      <c r="M35" t="n">
        <v>350.861656963782</v>
      </c>
      <c r="N35" t="n">
        <v>258.015718493649</v>
      </c>
      <c r="O35" t="n">
        <v>264.158949886355</v>
      </c>
      <c r="P35" t="n">
        <v>493.912011855413</v>
      </c>
      <c r="Q35" t="n">
        <v>318.023596348282</v>
      </c>
      <c r="R35" t="n">
        <v>286.365138793249</v>
      </c>
      <c r="S35" t="n">
        <v>177.574461065422</v>
      </c>
      <c r="T35" t="n">
        <v>53.7870469024248</v>
      </c>
      <c r="U35" t="n">
        <v>10.757409380485</v>
      </c>
      <c r="V35" t="n">
        <v>11.446986904875</v>
      </c>
      <c r="W35" t="n">
        <v>17.552046587475</v>
      </c>
      <c r="X35" t="n">
        <v>16.8356365226801</v>
      </c>
      <c r="Y35" t="n">
        <v>6.82843998821992</v>
      </c>
      <c r="Z35" t="n">
        <v>12.5374635849284</v>
      </c>
      <c r="AA35" t="n">
        <v>0.887608041410858</v>
      </c>
      <c r="AB35" t="n">
        <v>39.3876068376068</v>
      </c>
      <c r="AC35" t="n">
        <v>12.6752670940171</v>
      </c>
      <c r="AD35" t="n">
        <v>15.0846153846154</v>
      </c>
      <c r="AE35" t="n">
        <v>10.6</v>
      </c>
      <c r="AF35" t="n">
        <v>11</v>
      </c>
    </row>
    <row r="36">
      <c r="A36" t="s">
        <v>55</v>
      </c>
      <c r="B36" t="s">
        <v>342</v>
      </c>
      <c r="C36" t="s">
        <v>203</v>
      </c>
      <c r="D36" t="s">
        <v>343</v>
      </c>
      <c r="E36" t="s">
        <v>204</v>
      </c>
      <c r="F36" t="n">
        <v>14.8819511682628</v>
      </c>
      <c r="G36" t="n">
        <v>4.25198604807508</v>
      </c>
      <c r="H36" t="n">
        <v>11.3386294615336</v>
      </c>
      <c r="I36" t="n">
        <v>15.7149425870377</v>
      </c>
      <c r="J36" t="n">
        <v>4.8454406310033</v>
      </c>
      <c r="K36" t="n">
        <v>14.69783658071</v>
      </c>
      <c r="L36" t="n">
        <v>37.7244472238224</v>
      </c>
      <c r="M36" t="n">
        <v>330.403283601978</v>
      </c>
      <c r="N36" t="n">
        <v>190.45843126864</v>
      </c>
      <c r="O36" t="n">
        <v>247.427413364924</v>
      </c>
      <c r="P36" t="n">
        <v>34.138719059211</v>
      </c>
      <c r="Q36" t="n">
        <v>24.7876786212532</v>
      </c>
      <c r="R36" t="n">
        <v>24.2368413185587</v>
      </c>
      <c r="S36" t="n">
        <v>16.023245093936</v>
      </c>
      <c r="T36" t="n">
        <v>4.93022925967262</v>
      </c>
      <c r="U36" t="n">
        <v>2.95813755580357</v>
      </c>
      <c r="V36" t="n">
        <v>2.68921595982143</v>
      </c>
      <c r="W36" t="n">
        <v>3.91158685064935</v>
      </c>
      <c r="X36" t="n">
        <v>3.79654017857143</v>
      </c>
      <c r="Y36" t="n">
        <v>-0.57523336038961</v>
      </c>
      <c r="Z36" t="n">
        <v>4.60186688311688</v>
      </c>
      <c r="AA36" t="n">
        <v>0.460186688311688</v>
      </c>
      <c r="AB36" t="n">
        <v>1.84074675324675</v>
      </c>
      <c r="AC36" t="n">
        <v>1.19107142857143</v>
      </c>
      <c r="AD36" t="n">
        <v>3.03181818181818</v>
      </c>
      <c r="AE36" t="n">
        <v>2.3</v>
      </c>
      <c r="AF36" t="n">
        <v>3.2</v>
      </c>
    </row>
    <row r="37">
      <c r="A37" t="s">
        <v>55</v>
      </c>
      <c r="B37" t="s">
        <v>344</v>
      </c>
      <c r="C37" t="s">
        <v>203</v>
      </c>
      <c r="D37" t="s">
        <v>345</v>
      </c>
      <c r="E37" t="s">
        <v>204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e">
        <v>#NUM!</v>
      </c>
      <c r="N37" t="e">
        <v>#NUM!</v>
      </c>
      <c r="O37" t="n">
        <v>0</v>
      </c>
      <c r="P37" t="e">
        <v>#NUM!</v>
      </c>
      <c r="Q37" t="e">
        <v>#NUM!</v>
      </c>
      <c r="R37" t="e">
        <v>#NUM!</v>
      </c>
      <c r="S37" t="e">
        <v>#NUM!</v>
      </c>
      <c r="T37" t="e">
        <v>#NUM!</v>
      </c>
      <c r="U37" t="e">
        <v>#NUM!</v>
      </c>
      <c r="V37" t="e">
        <v>#NUM!</v>
      </c>
      <c r="W37" t="e">
        <v>#NUM!</v>
      </c>
      <c r="X37" t="e">
        <v>#NUM!</v>
      </c>
      <c r="Y37" t="e">
        <v>#NUM!</v>
      </c>
      <c r="Z37" t="e">
        <v>#NUM!</v>
      </c>
      <c r="AA37" t="e">
        <v>#NUM!</v>
      </c>
      <c r="AB37" t="n">
        <v>0</v>
      </c>
      <c r="AC37" t="n">
        <v>2.4</v>
      </c>
      <c r="AD37" t="n">
        <v>1.4</v>
      </c>
      <c r="AE37" t="n">
        <v>0.3</v>
      </c>
      <c r="AF37" t="n">
        <v>-2.8</v>
      </c>
    </row>
    <row r="38">
      <c r="A38" t="s">
        <v>55</v>
      </c>
      <c r="B38" t="s">
        <v>346</v>
      </c>
      <c r="C38" t="s">
        <v>203</v>
      </c>
      <c r="D38" t="s">
        <v>347</v>
      </c>
      <c r="E38" t="s">
        <v>204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8.31250350405481</v>
      </c>
      <c r="M38" t="n">
        <v>3.32500140162192</v>
      </c>
      <c r="N38" t="n">
        <v>52.8675222857886</v>
      </c>
      <c r="O38" t="n">
        <v>6.52032774858059</v>
      </c>
      <c r="P38" t="n">
        <v>23.1471635074611</v>
      </c>
      <c r="Q38" t="n">
        <v>17.2832154189043</v>
      </c>
      <c r="R38" t="n">
        <v>11.2340900222878</v>
      </c>
      <c r="S38" t="n">
        <v>32.1575826887988</v>
      </c>
      <c r="T38" t="n">
        <v>6.43151653775976</v>
      </c>
      <c r="U38" t="n">
        <v>4.50206157643183</v>
      </c>
      <c r="V38" t="n">
        <v>7.03447121317474</v>
      </c>
      <c r="W38" t="n">
        <v>9.77009890718713</v>
      </c>
      <c r="X38" t="n">
        <v>9.40372019816762</v>
      </c>
      <c r="Y38" t="n">
        <v>9.28315968280649</v>
      </c>
      <c r="Z38" t="n">
        <v>11.3460840567635</v>
      </c>
      <c r="AA38" t="n">
        <v>4.08459026043486</v>
      </c>
      <c r="AB38" t="n">
        <v>37.4236783320923</v>
      </c>
      <c r="AC38" t="n">
        <v>8.96500372300819</v>
      </c>
      <c r="AD38" t="n">
        <v>10.6329113924051</v>
      </c>
      <c r="AE38" t="n">
        <v>8</v>
      </c>
      <c r="AF38" t="n">
        <v>10.6</v>
      </c>
    </row>
    <row r="39">
      <c r="A39" t="s">
        <v>55</v>
      </c>
      <c r="B39" t="s">
        <v>348</v>
      </c>
      <c r="C39" t="s">
        <v>203</v>
      </c>
      <c r="D39" t="s">
        <v>349</v>
      </c>
      <c r="E39" t="s">
        <v>204</v>
      </c>
      <c r="F39" t="n">
        <v>12.8375396602492</v>
      </c>
      <c r="G39" t="n">
        <v>3.2093849150623</v>
      </c>
      <c r="H39" t="n">
        <v>8.02346228765574</v>
      </c>
      <c r="I39" t="n">
        <v>11.1906184538356</v>
      </c>
      <c r="J39" t="n">
        <v>8.53284657104967</v>
      </c>
      <c r="K39" t="n">
        <v>5.1197079426298</v>
      </c>
      <c r="L39" t="n">
        <v>8.19153270820768</v>
      </c>
      <c r="M39" t="n">
        <v>56.3577450324689</v>
      </c>
      <c r="N39" t="n">
        <v>24.6979529701114</v>
      </c>
      <c r="O39" t="n">
        <v>55.7468081325371</v>
      </c>
      <c r="P39" t="n">
        <v>12.6250124300157</v>
      </c>
      <c r="Q39" t="n">
        <v>94.1420679966606</v>
      </c>
      <c r="R39" t="n">
        <v>76.3274920526772</v>
      </c>
      <c r="S39" t="n">
        <v>63.464896169726</v>
      </c>
      <c r="T39" t="n">
        <v>15.2833831592401</v>
      </c>
      <c r="U39" t="n">
        <v>20.8059501831673</v>
      </c>
      <c r="V39" t="n">
        <v>30.4510926521852</v>
      </c>
      <c r="W39" t="n">
        <v>47.9604709271917</v>
      </c>
      <c r="X39" t="n">
        <v>46.2734191860342</v>
      </c>
      <c r="Y39" t="n">
        <v>-21.1839949726346</v>
      </c>
      <c r="Z39" t="n">
        <v>-4.6199137972235</v>
      </c>
      <c r="AA39" t="n">
        <v>23.7756539320526</v>
      </c>
      <c r="AB39" t="n">
        <v>52.773063634229</v>
      </c>
      <c r="AC39" t="n">
        <v>42.4707524068297</v>
      </c>
      <c r="AD39" t="n">
        <v>54.980701754386</v>
      </c>
      <c r="AE39" t="n">
        <v>40.7</v>
      </c>
      <c r="AF39" t="n">
        <v>38</v>
      </c>
    </row>
    <row r="40">
      <c r="A40" t="s">
        <v>55</v>
      </c>
      <c r="B40" t="s">
        <v>350</v>
      </c>
      <c r="C40" t="s">
        <v>203</v>
      </c>
      <c r="D40" t="s">
        <v>351</v>
      </c>
      <c r="E40" t="s">
        <v>204</v>
      </c>
      <c r="F40" t="e">
        <v>#NUM!</v>
      </c>
      <c r="G40" t="n">
        <v>0</v>
      </c>
      <c r="H40" t="e">
        <v>#NUM!</v>
      </c>
      <c r="I40" t="e">
        <v>#NUM!</v>
      </c>
      <c r="J40" t="n">
        <v>0</v>
      </c>
      <c r="K40" t="n">
        <v>5.3163960809328</v>
      </c>
      <c r="L40" t="n">
        <v>51.2146155796526</v>
      </c>
      <c r="M40" t="n">
        <v>18.9494077644715</v>
      </c>
      <c r="N40" t="n">
        <v>3.61761420958092</v>
      </c>
      <c r="O40" t="n">
        <v>16.8219060745513</v>
      </c>
      <c r="P40" t="n">
        <v>43.0640795508512</v>
      </c>
      <c r="Q40" t="n">
        <v>48.9654534152272</v>
      </c>
      <c r="R40" t="n">
        <v>55.0490400516645</v>
      </c>
      <c r="S40" t="n">
        <v>43.749500251586</v>
      </c>
      <c r="T40" t="n">
        <v>18.4278198029408</v>
      </c>
      <c r="U40" t="n">
        <v>13.5576102835921</v>
      </c>
      <c r="V40" t="n">
        <v>19.9127401040259</v>
      </c>
      <c r="W40" t="n">
        <v>35.4004268516017</v>
      </c>
      <c r="X40" t="n">
        <v>34.1669625013716</v>
      </c>
      <c r="Y40" t="n">
        <v>3.15014547884987</v>
      </c>
      <c r="Z40" t="n">
        <v>2.02509352211777</v>
      </c>
      <c r="AA40" t="n">
        <v>-12.2630663283798</v>
      </c>
      <c r="AB40" t="n">
        <v>-86.3988764044944</v>
      </c>
      <c r="AC40" t="n">
        <v>3.90324594257179</v>
      </c>
      <c r="AD40" t="n">
        <v>6.64606741573034</v>
      </c>
      <c r="AE40" t="n">
        <v>-9.1</v>
      </c>
      <c r="AF40" t="n">
        <v>9.8</v>
      </c>
    </row>
    <row r="41">
      <c r="A41" t="s">
        <v>55</v>
      </c>
      <c r="B41" t="s">
        <v>352</v>
      </c>
      <c r="C41" t="s">
        <v>203</v>
      </c>
      <c r="D41" t="s">
        <v>353</v>
      </c>
      <c r="E41" t="s">
        <v>204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55</v>
      </c>
      <c r="B42" t="s">
        <v>354</v>
      </c>
      <c r="C42" t="s">
        <v>203</v>
      </c>
      <c r="D42" t="s">
        <v>355</v>
      </c>
      <c r="E42" t="s">
        <v>204</v>
      </c>
      <c r="F42" t="n">
        <v>20.5399048448746</v>
      </c>
      <c r="G42" t="n">
        <v>6.84663494829153</v>
      </c>
      <c r="H42" t="n">
        <v>17.1165873707288</v>
      </c>
      <c r="I42" t="n">
        <v>23.6479167621911</v>
      </c>
      <c r="J42" t="n">
        <v>9.01576826558537</v>
      </c>
      <c r="K42" t="n">
        <v>71.2245692981244</v>
      </c>
      <c r="L42" t="n">
        <v>93.139821389855</v>
      </c>
      <c r="M42" t="n">
        <v>26.7117978325622</v>
      </c>
      <c r="N42" t="n">
        <v>54.848224882861</v>
      </c>
      <c r="O42" t="n">
        <v>26.2893215817851</v>
      </c>
      <c r="P42" t="n">
        <v>66.5996146738556</v>
      </c>
      <c r="Q42" t="n">
        <v>60.2726512798393</v>
      </c>
      <c r="R42" t="n">
        <v>52.6999335549364</v>
      </c>
      <c r="S42" t="n">
        <v>48.3333676318131</v>
      </c>
      <c r="T42" t="n">
        <v>83.6857736710822</v>
      </c>
      <c r="U42" t="n">
        <v>35.9437257406943</v>
      </c>
      <c r="V42" t="n">
        <v>32.4082773071834</v>
      </c>
      <c r="W42" t="n">
        <v>46.7060467074114</v>
      </c>
      <c r="X42" t="n">
        <v>45.0287577372557</v>
      </c>
      <c r="Y42" t="n">
        <v>29.9346107774432</v>
      </c>
      <c r="Z42" t="n">
        <v>22.9337743859444</v>
      </c>
      <c r="AA42" t="n">
        <v>1.44086540644677</v>
      </c>
      <c r="AB42" t="n">
        <v>68.0531815044859</v>
      </c>
      <c r="AC42" t="n">
        <v>-35.4421808143547</v>
      </c>
      <c r="AD42" t="n">
        <v>7.2352380952381</v>
      </c>
      <c r="AE42" t="n">
        <v>32.1</v>
      </c>
      <c r="AF42" t="n">
        <v>41.9</v>
      </c>
    </row>
    <row r="43">
      <c r="A43" t="s">
        <v>55</v>
      </c>
      <c r="B43" t="s">
        <v>356</v>
      </c>
      <c r="C43" t="s">
        <v>203</v>
      </c>
      <c r="D43" t="s">
        <v>357</v>
      </c>
      <c r="E43" t="s">
        <v>204</v>
      </c>
      <c r="F43" t="n">
        <v>27.6961803939108</v>
      </c>
      <c r="G43" t="n">
        <v>8.30885411817325</v>
      </c>
      <c r="H43" t="n">
        <v>18.2794790599812</v>
      </c>
      <c r="I43" t="n">
        <v>25.0811456869509</v>
      </c>
      <c r="J43" t="n">
        <v>18.6715195669523</v>
      </c>
      <c r="K43" t="n">
        <v>72.1399619632249</v>
      </c>
      <c r="L43" t="n">
        <v>104.087659404082</v>
      </c>
      <c r="M43" t="n">
        <v>50.2264261251442</v>
      </c>
      <c r="N43" t="n">
        <v>141.471100252489</v>
      </c>
      <c r="O43" t="n">
        <v>75.8896479997651</v>
      </c>
      <c r="P43" t="n">
        <v>162.997765703843</v>
      </c>
      <c r="Q43" t="n">
        <v>132.435684634373</v>
      </c>
      <c r="R43" t="n">
        <v>146.697989133459</v>
      </c>
      <c r="S43" t="n">
        <v>76.8282789169422</v>
      </c>
      <c r="T43" t="n">
        <v>95.7098050914449</v>
      </c>
      <c r="U43" t="n">
        <v>64.6687872239493</v>
      </c>
      <c r="V43" t="n">
        <v>93.1175026336265</v>
      </c>
      <c r="W43" t="n">
        <v>112.303801253192</v>
      </c>
      <c r="X43" t="n">
        <v>108.305931305668</v>
      </c>
      <c r="Y43" t="n">
        <v>207.437432786763</v>
      </c>
      <c r="Z43" t="n">
        <v>198.841334154378</v>
      </c>
      <c r="AA43" t="n">
        <v>226.329881198949</v>
      </c>
      <c r="AB43" t="n">
        <v>388.660738553718</v>
      </c>
      <c r="AC43" t="n">
        <v>156.599378162531</v>
      </c>
      <c r="AD43" t="n">
        <v>293.834317089911</v>
      </c>
      <c r="AE43" t="n">
        <v>148.6</v>
      </c>
      <c r="AF43" t="n">
        <v>237.1</v>
      </c>
    </row>
    <row r="44">
      <c r="A44" t="s">
        <v>55</v>
      </c>
      <c r="B44" t="s">
        <v>358</v>
      </c>
      <c r="C44" t="s">
        <v>203</v>
      </c>
      <c r="D44" t="s">
        <v>359</v>
      </c>
      <c r="E44" t="s">
        <v>204</v>
      </c>
      <c r="F44" t="n">
        <v>245.425865391772</v>
      </c>
      <c r="G44" t="n">
        <v>78.6315879410533</v>
      </c>
      <c r="H44" t="n">
        <v>190.962427856844</v>
      </c>
      <c r="I44" t="n">
        <v>263.235666368701</v>
      </c>
      <c r="J44" t="n">
        <v>458.953546556983</v>
      </c>
      <c r="K44" t="n">
        <v>678.911283314293</v>
      </c>
      <c r="L44" t="n">
        <v>1383.84175540535</v>
      </c>
      <c r="M44" t="n">
        <v>2054.37839898641</v>
      </c>
      <c r="N44" t="n">
        <v>2736.26787817709</v>
      </c>
      <c r="O44" t="n">
        <v>2016.15996064994</v>
      </c>
      <c r="P44" t="n">
        <v>3937.2164787207</v>
      </c>
      <c r="Q44" t="n">
        <v>2950.67806590916</v>
      </c>
      <c r="R44" t="n">
        <v>3715.51759617592</v>
      </c>
      <c r="S44" t="n">
        <v>2391.87510645398</v>
      </c>
      <c r="T44" t="n">
        <v>812.524087708429</v>
      </c>
      <c r="U44" t="n">
        <v>754.569814297607</v>
      </c>
      <c r="V44" t="n">
        <v>825.223978292728</v>
      </c>
      <c r="W44" t="n">
        <v>1013.57222841974</v>
      </c>
      <c r="X44" t="n">
        <v>976.918077661417</v>
      </c>
      <c r="Y44" t="n">
        <v>1232.92811486515</v>
      </c>
      <c r="Z44" t="n">
        <v>1359.582531512</v>
      </c>
      <c r="AA44" t="n">
        <v>1406.0331495552</v>
      </c>
      <c r="AB44" t="n">
        <v>1218.6955576689</v>
      </c>
      <c r="AC44" t="n">
        <v>1352.10710624217</v>
      </c>
      <c r="AD44" t="n">
        <v>1425.50991433087</v>
      </c>
      <c r="AE44" t="n">
        <v>1227.1</v>
      </c>
      <c r="AF44" t="n">
        <v>1293.6</v>
      </c>
    </row>
    <row r="45">
      <c r="A45" t="s">
        <v>55</v>
      </c>
      <c r="B45" t="s">
        <v>360</v>
      </c>
      <c r="C45" t="s">
        <v>203</v>
      </c>
      <c r="D45" t="s">
        <v>361</v>
      </c>
      <c r="E45" t="s">
        <v>204</v>
      </c>
      <c r="F45" t="n">
        <v>233.409246713898</v>
      </c>
      <c r="G45" t="n">
        <v>75.4454130792397</v>
      </c>
      <c r="H45" t="n">
        <v>182.995257256028</v>
      </c>
      <c r="I45" t="n">
        <v>252.122086764099</v>
      </c>
      <c r="J45" t="n">
        <v>452.201263532067</v>
      </c>
      <c r="K45" t="n">
        <v>646.171805520822</v>
      </c>
      <c r="L45" t="n">
        <v>1279.42017493123</v>
      </c>
      <c r="M45" t="n">
        <v>1977.31586506604</v>
      </c>
      <c r="N45" t="n">
        <v>2666.90581987137</v>
      </c>
      <c r="O45" t="n">
        <v>1915.34427841858</v>
      </c>
      <c r="P45" t="n">
        <v>3789.57824519798</v>
      </c>
      <c r="Q45" t="n">
        <v>2852.80566586498</v>
      </c>
      <c r="R45" t="n">
        <v>3645.54302460871</v>
      </c>
      <c r="S45" t="n">
        <v>2132.5560263179</v>
      </c>
      <c r="T45" t="n">
        <v>774.942377284241</v>
      </c>
      <c r="U45" t="n">
        <v>712.724503227536</v>
      </c>
      <c r="V45" t="n">
        <v>755.890485798863</v>
      </c>
      <c r="W45" t="n">
        <v>904.43071339952</v>
      </c>
      <c r="X45" t="n">
        <v>871.66148465316</v>
      </c>
      <c r="Y45" t="n">
        <v>1124.55902775768</v>
      </c>
      <c r="Z45" t="n">
        <v>1217.70637878873</v>
      </c>
      <c r="AA45" t="n">
        <v>1327.85350702469</v>
      </c>
      <c r="AB45" t="n">
        <v>1131.29514672372</v>
      </c>
      <c r="AC45" t="n">
        <v>1234.71401859478</v>
      </c>
      <c r="AD45" t="n">
        <v>1330.54256929168</v>
      </c>
      <c r="AE45" t="n">
        <v>1159.9</v>
      </c>
      <c r="AF45" t="n">
        <v>1193.1</v>
      </c>
    </row>
    <row r="46">
      <c r="A46" t="s">
        <v>55</v>
      </c>
      <c r="B46" t="s">
        <v>362</v>
      </c>
      <c r="C46" t="s">
        <v>203</v>
      </c>
      <c r="D46" t="s">
        <v>363</v>
      </c>
      <c r="E46" t="s">
        <v>204</v>
      </c>
      <c r="F46" t="e">
        <v>#NUM!</v>
      </c>
      <c r="G46" t="n">
        <v>2.18108765235122</v>
      </c>
      <c r="H46" t="n">
        <v>2.18108765235122</v>
      </c>
      <c r="I46" t="n">
        <v>2.83541394805658</v>
      </c>
      <c r="J46" t="n">
        <v>10.3492609104065</v>
      </c>
      <c r="K46" t="n">
        <v>5.17463045520326</v>
      </c>
      <c r="L46" t="n">
        <v>16.5588174566504</v>
      </c>
      <c r="M46" t="n">
        <v>25.1694025341086</v>
      </c>
      <c r="N46" t="n">
        <v>90.1064610721089</v>
      </c>
      <c r="O46" t="n">
        <v>51.285890886892</v>
      </c>
      <c r="P46" t="n">
        <v>100.586521481388</v>
      </c>
      <c r="Q46" t="n">
        <v>75.9113904304852</v>
      </c>
      <c r="R46" t="n">
        <v>97.3709565714108</v>
      </c>
      <c r="S46" t="n">
        <v>31.3639977243197</v>
      </c>
      <c r="T46" t="n">
        <v>16.8581487768219</v>
      </c>
      <c r="U46" t="n">
        <v>30.8633800683354</v>
      </c>
      <c r="V46" t="n">
        <v>62.6999297784652</v>
      </c>
      <c r="W46" t="n">
        <v>68.4580865948548</v>
      </c>
      <c r="X46" t="n">
        <v>66.034791494152</v>
      </c>
      <c r="Y46" t="n">
        <v>179.390543679962</v>
      </c>
      <c r="Z46" t="n">
        <v>177.354585428865</v>
      </c>
      <c r="AA46" t="n">
        <v>225.017221792531</v>
      </c>
      <c r="AB46" t="n">
        <v>320.627306151017</v>
      </c>
      <c r="AC46" t="n">
        <v>192.229162231571</v>
      </c>
      <c r="AD46" t="n">
        <v>286.659369527145</v>
      </c>
      <c r="AE46" t="n">
        <v>116.5</v>
      </c>
      <c r="AF46" t="n">
        <v>195.2</v>
      </c>
    </row>
    <row r="47">
      <c r="A47" t="s">
        <v>55</v>
      </c>
      <c r="B47" t="s">
        <v>364</v>
      </c>
      <c r="C47" t="s">
        <v>203</v>
      </c>
      <c r="D47" t="s">
        <v>365</v>
      </c>
      <c r="E47" t="s">
        <v>204</v>
      </c>
      <c r="F47" t="n">
        <v>30.2560148411234</v>
      </c>
      <c r="G47" t="n">
        <v>9.30954302803796</v>
      </c>
      <c r="H47" t="n">
        <v>23.2738575700949</v>
      </c>
      <c r="I47" t="n">
        <v>31.9762564876086</v>
      </c>
      <c r="J47" t="n">
        <v>2.39821923657065</v>
      </c>
      <c r="K47" t="n">
        <v>25.5239047320733</v>
      </c>
      <c r="L47" t="n">
        <v>6.59801618924345</v>
      </c>
      <c r="M47" t="n">
        <v>25.0724615191251</v>
      </c>
      <c r="N47" t="n">
        <v>279.307221323054</v>
      </c>
      <c r="O47" t="n">
        <v>67.6086730140301</v>
      </c>
      <c r="P47" t="n">
        <v>229.869488247702</v>
      </c>
      <c r="Q47" t="n">
        <v>439.382686664205</v>
      </c>
      <c r="R47" t="n">
        <v>874.255153697089</v>
      </c>
      <c r="S47" t="n">
        <v>372.589066315458</v>
      </c>
      <c r="T47" t="n">
        <v>76.8627794147274</v>
      </c>
      <c r="U47" t="n">
        <v>50.5948598504351</v>
      </c>
      <c r="V47" t="n">
        <v>19.4595614809366</v>
      </c>
      <c r="W47" t="n">
        <v>49.4170442871152</v>
      </c>
      <c r="X47" t="n">
        <v>47.6002411883242</v>
      </c>
      <c r="Y47" t="n">
        <v>430.663182151364</v>
      </c>
      <c r="Z47" t="n">
        <v>39.2949101700772</v>
      </c>
      <c r="AA47" t="n">
        <v>76.788334487085</v>
      </c>
      <c r="AB47" t="n">
        <v>61.3417664788291</v>
      </c>
      <c r="AC47" t="n">
        <v>116.160051788383</v>
      </c>
      <c r="AD47" t="n">
        <v>176.820242024202</v>
      </c>
      <c r="AE47" t="n">
        <v>92.8</v>
      </c>
      <c r="AF47" t="n">
        <v>119.3</v>
      </c>
    </row>
    <row r="48">
      <c r="A48" t="s">
        <v>55</v>
      </c>
      <c r="B48" t="s">
        <v>366</v>
      </c>
      <c r="C48" t="s">
        <v>203</v>
      </c>
      <c r="D48" t="s">
        <v>367</v>
      </c>
      <c r="E48" t="s">
        <v>204</v>
      </c>
      <c r="F48" t="n">
        <v>23.2583329426007</v>
      </c>
      <c r="G48" t="n">
        <v>8.30654747950024</v>
      </c>
      <c r="H48" t="n">
        <v>18.9863942388577</v>
      </c>
      <c r="I48" t="n">
        <v>26.182850119715</v>
      </c>
      <c r="J48" t="n">
        <v>1.81265885444181</v>
      </c>
      <c r="K48" t="n">
        <v>41.5616780197015</v>
      </c>
      <c r="L48" t="n">
        <v>35.2684270892735</v>
      </c>
      <c r="M48" t="n">
        <v>66.2542594605638</v>
      </c>
      <c r="N48" t="n">
        <v>256.098195222564</v>
      </c>
      <c r="O48" t="n">
        <v>86.6731484359364</v>
      </c>
      <c r="P48" t="n">
        <v>233.64066100122</v>
      </c>
      <c r="Q48" t="n">
        <v>368.121266184251</v>
      </c>
      <c r="R48" t="n">
        <v>736.575172066861</v>
      </c>
      <c r="S48" t="n">
        <v>339.582818298472</v>
      </c>
      <c r="T48" t="n">
        <v>76.3564875062938</v>
      </c>
      <c r="U48" t="n">
        <v>108.319668322882</v>
      </c>
      <c r="V48" t="n">
        <v>43.3066904634005</v>
      </c>
      <c r="W48" t="n">
        <v>53.1579871679128</v>
      </c>
      <c r="X48" t="n">
        <v>58.6643922131946</v>
      </c>
      <c r="Y48" t="n">
        <v>436.644317651867</v>
      </c>
      <c r="Z48" t="n">
        <v>55.2027012989925</v>
      </c>
      <c r="AA48" t="n">
        <v>91.9293964489345</v>
      </c>
      <c r="AB48" t="n">
        <v>75.0330623978606</v>
      </c>
      <c r="AC48" t="n">
        <v>160.154603773585</v>
      </c>
      <c r="AD48" t="n">
        <v>189.618</v>
      </c>
      <c r="AE48" t="n">
        <v>112.2</v>
      </c>
      <c r="AF48" t="n">
        <v>136.8</v>
      </c>
    </row>
    <row r="49">
      <c r="A49" t="s">
        <v>55</v>
      </c>
      <c r="B49" t="s">
        <v>368</v>
      </c>
      <c r="C49" t="s">
        <v>203</v>
      </c>
      <c r="D49" t="s">
        <v>369</v>
      </c>
      <c r="E49" t="s">
        <v>204</v>
      </c>
      <c r="F49" t="e">
        <v>#NUM!</v>
      </c>
      <c r="G49" t="n">
        <v>0</v>
      </c>
      <c r="H49" t="e">
        <v>#NUM!</v>
      </c>
      <c r="I49" t="e">
        <v>#NUM!</v>
      </c>
      <c r="J49" t="n">
        <v>0</v>
      </c>
      <c r="K49" t="n">
        <v>24.3132091111363</v>
      </c>
      <c r="L49" t="n">
        <v>8.97718490257342</v>
      </c>
      <c r="M49" t="n">
        <v>7.18174792205873</v>
      </c>
      <c r="N49" t="n">
        <v>57.0948959803669</v>
      </c>
      <c r="O49" t="n">
        <v>15.9865708745027</v>
      </c>
      <c r="P49" t="n">
        <v>11.7234853079687</v>
      </c>
      <c r="Q49" t="n">
        <v>7.70400463095085</v>
      </c>
      <c r="R49" t="n">
        <v>46.5321879709431</v>
      </c>
      <c r="S49" t="n">
        <v>9.60664525851729</v>
      </c>
      <c r="T49" t="n">
        <v>4.1171336822217</v>
      </c>
      <c r="U49" t="n">
        <v>68.0699435460654</v>
      </c>
      <c r="V49" t="n">
        <v>17.7893372982158</v>
      </c>
      <c r="W49" t="n">
        <v>2.15628330887464</v>
      </c>
      <c r="X49" t="n">
        <v>2.02944311423496</v>
      </c>
      <c r="Y49" t="n">
        <v>-4.77516026878813</v>
      </c>
      <c r="Z49" t="n">
        <v>2.95605159496408</v>
      </c>
      <c r="AA49" t="n">
        <v>3.29713447130609</v>
      </c>
      <c r="AB49" t="n">
        <v>2.50127442650807</v>
      </c>
      <c r="AC49" t="n">
        <v>33.4545454545454</v>
      </c>
      <c r="AD49" t="n">
        <v>2.3</v>
      </c>
      <c r="AE49" t="n">
        <v>2.4</v>
      </c>
      <c r="AF49" t="n">
        <v>3.7</v>
      </c>
    </row>
    <row r="50">
      <c r="A50" t="s">
        <v>55</v>
      </c>
      <c r="B50" t="s">
        <v>370</v>
      </c>
      <c r="C50" t="s">
        <v>203</v>
      </c>
      <c r="D50" t="s">
        <v>371</v>
      </c>
      <c r="E50" t="s">
        <v>204</v>
      </c>
      <c r="F50" t="e">
        <v>#NUM!</v>
      </c>
      <c r="G50" t="n">
        <v>0</v>
      </c>
      <c r="H50" t="e">
        <v>#NUM!</v>
      </c>
      <c r="I50" t="e">
        <v>#NUM!</v>
      </c>
      <c r="J50" t="n">
        <v>0</v>
      </c>
      <c r="K50" t="n">
        <v>1.84848767328687</v>
      </c>
      <c r="L50" t="n">
        <v>8.45683110528745</v>
      </c>
      <c r="M50" t="n">
        <v>14.8662188903474</v>
      </c>
      <c r="N50" t="n">
        <v>0.946032111203927</v>
      </c>
      <c r="O50" t="n">
        <v>8.37238418415475</v>
      </c>
      <c r="P50" t="n">
        <v>17.582006786725</v>
      </c>
      <c r="Q50" t="n">
        <v>9.71196565361951</v>
      </c>
      <c r="R50" t="n">
        <v>12.8974903880067</v>
      </c>
      <c r="S50" t="n">
        <v>17.0322740712206</v>
      </c>
      <c r="T50" t="n">
        <v>5.17920170737117</v>
      </c>
      <c r="U50" t="n">
        <v>7.28541040170211</v>
      </c>
      <c r="V50" t="n">
        <v>5.43632146725995</v>
      </c>
      <c r="W50" t="n">
        <v>4.82473530219321</v>
      </c>
      <c r="X50" t="n">
        <v>9.14819940415855</v>
      </c>
      <c r="Y50" t="n">
        <v>9.99079671769947</v>
      </c>
      <c r="Z50" t="n">
        <v>13.0913888025028</v>
      </c>
      <c r="AA50" t="n">
        <v>12.0668453310025</v>
      </c>
      <c r="AB50" t="n">
        <v>11.390199798423</v>
      </c>
      <c r="AC50" t="n">
        <v>10.5385960751764</v>
      </c>
      <c r="AD50" t="n">
        <v>10.751497005988</v>
      </c>
      <c r="AE50" t="n">
        <v>17.1</v>
      </c>
      <c r="AF50" t="n">
        <v>13.7</v>
      </c>
    </row>
    <row r="51">
      <c r="A51" t="s">
        <v>55</v>
      </c>
      <c r="B51" t="s">
        <v>372</v>
      </c>
      <c r="C51" t="s">
        <v>203</v>
      </c>
      <c r="D51" t="s">
        <v>373</v>
      </c>
      <c r="E51" t="s">
        <v>204</v>
      </c>
      <c r="F51" t="e">
        <v>#NUM!</v>
      </c>
      <c r="G51" t="n">
        <v>0</v>
      </c>
      <c r="H51" t="e">
        <v>#NUM!</v>
      </c>
      <c r="I51" t="e">
        <v>#NUM!</v>
      </c>
      <c r="J51" t="n">
        <v>0</v>
      </c>
      <c r="K51" t="e">
        <v>#NUM!</v>
      </c>
      <c r="L51" t="e">
        <v>#NUM!</v>
      </c>
      <c r="M51" t="e">
        <v>#NUM!</v>
      </c>
      <c r="N51" t="n">
        <v>0</v>
      </c>
      <c r="O51" t="n">
        <v>8.34948263341983</v>
      </c>
      <c r="P51" t="n">
        <v>17.0944670757911</v>
      </c>
      <c r="Q51" t="n">
        <v>9.29772233634493</v>
      </c>
      <c r="R51" t="n">
        <v>12.4744441345961</v>
      </c>
      <c r="S51" t="n">
        <v>16.6325921794615</v>
      </c>
      <c r="T51" t="n">
        <v>5.1630338223745</v>
      </c>
      <c r="U51" t="n">
        <v>7.1938271258418</v>
      </c>
      <c r="V51" t="n">
        <v>5.34925606793365</v>
      </c>
      <c r="W51" t="n">
        <v>4.63827899561335</v>
      </c>
      <c r="X51" t="n">
        <v>8.77512242413337</v>
      </c>
      <c r="Y51" t="n">
        <v>9.73677967609319</v>
      </c>
      <c r="Z51" t="n">
        <v>11.5695852621813</v>
      </c>
      <c r="AA51" t="n">
        <v>8.84732990637396</v>
      </c>
      <c r="AB51" t="n">
        <v>11.087160262418</v>
      </c>
      <c r="AC51" t="n">
        <v>10.2424242424242</v>
      </c>
      <c r="AD51" t="n">
        <v>10.2424242424242</v>
      </c>
      <c r="AE51" t="n">
        <v>16.9</v>
      </c>
      <c r="AF51" t="n">
        <v>13</v>
      </c>
    </row>
    <row r="52">
      <c r="A52" t="s">
        <v>55</v>
      </c>
      <c r="B52" t="s">
        <v>374</v>
      </c>
      <c r="C52" t="s">
        <v>203</v>
      </c>
      <c r="D52" t="s">
        <v>375</v>
      </c>
      <c r="E52" t="s">
        <v>204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e">
        <v>#NUM!</v>
      </c>
      <c r="O52" t="n">
        <v>0</v>
      </c>
      <c r="P52" t="e">
        <v>#NUM!</v>
      </c>
      <c r="Q52" t="e">
        <v>#NUM!</v>
      </c>
      <c r="R52" t="e">
        <v>#NUM!</v>
      </c>
      <c r="S52" t="e">
        <v>#NUM!</v>
      </c>
      <c r="T52" t="n">
        <v>0</v>
      </c>
      <c r="U52" t="n">
        <v>0.075</v>
      </c>
      <c r="V52" t="n">
        <v>0.075</v>
      </c>
      <c r="W52" t="n">
        <v>0.1875</v>
      </c>
      <c r="X52" t="n">
        <v>0.375</v>
      </c>
      <c r="Y52" t="n">
        <v>0.25</v>
      </c>
      <c r="Z52" t="n">
        <v>1.625</v>
      </c>
      <c r="AA52" t="n">
        <v>3.5</v>
      </c>
      <c r="AB52" t="n">
        <v>0.25</v>
      </c>
      <c r="AC52" t="n">
        <v>0.25</v>
      </c>
      <c r="AD52" t="n">
        <v>0.5</v>
      </c>
      <c r="AE52" t="n">
        <v>0.2</v>
      </c>
      <c r="AF52" t="n">
        <v>0.7</v>
      </c>
    </row>
    <row r="53">
      <c r="A53" t="s">
        <v>55</v>
      </c>
      <c r="B53" t="s">
        <v>376</v>
      </c>
      <c r="C53" t="s">
        <v>203</v>
      </c>
      <c r="D53" t="s">
        <v>377</v>
      </c>
      <c r="E53" t="s">
        <v>204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3.3179076399479</v>
      </c>
      <c r="L53" t="n">
        <v>12.7739444137994</v>
      </c>
      <c r="M53" t="n">
        <v>17.7238478741467</v>
      </c>
      <c r="N53" t="n">
        <v>8.5396721575434</v>
      </c>
      <c r="O53" t="n">
        <v>6.31935739658212</v>
      </c>
      <c r="P53" t="n">
        <v>9.00508429012952</v>
      </c>
      <c r="Q53" t="n">
        <v>12.6071180061813</v>
      </c>
      <c r="R53" t="n">
        <v>12.3269598282662</v>
      </c>
      <c r="S53" t="n">
        <v>21.3667303689947</v>
      </c>
      <c r="T53" t="n">
        <v>3.77059947688142</v>
      </c>
      <c r="U53" t="n">
        <v>4.77609267071647</v>
      </c>
      <c r="V53" t="n">
        <v>5.17410039327617</v>
      </c>
      <c r="W53" t="n">
        <v>3.57259312869069</v>
      </c>
      <c r="X53" t="n">
        <v>3.45734818905551</v>
      </c>
      <c r="Y53" t="n">
        <v>1.61342915489257</v>
      </c>
      <c r="Z53" t="n">
        <v>4.03357288723142</v>
      </c>
      <c r="AA53" t="n">
        <v>2.99636843051477</v>
      </c>
      <c r="AB53" t="n">
        <v>4.55004095004095</v>
      </c>
      <c r="AC53" t="n">
        <v>18.9408681408681</v>
      </c>
      <c r="AD53" t="n">
        <v>3.49189189189189</v>
      </c>
      <c r="AE53" t="n">
        <v>3.8</v>
      </c>
      <c r="AF53" t="n">
        <v>3.7</v>
      </c>
    </row>
    <row r="54">
      <c r="A54" t="s">
        <v>55</v>
      </c>
      <c r="B54" t="s">
        <v>378</v>
      </c>
      <c r="C54" t="s">
        <v>203</v>
      </c>
      <c r="D54" t="s">
        <v>379</v>
      </c>
      <c r="E54" t="s">
        <v>204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3.44438390161748</v>
      </c>
      <c r="L54" t="n">
        <v>33.0660854555278</v>
      </c>
      <c r="M54" t="n">
        <v>20.0049817005943</v>
      </c>
      <c r="N54" t="n">
        <v>8.83553358442915</v>
      </c>
      <c r="O54" t="n">
        <v>8.12869089767482</v>
      </c>
      <c r="P54" t="n">
        <v>13.8187745260472</v>
      </c>
      <c r="Q54" t="n">
        <v>15.8148197353651</v>
      </c>
      <c r="R54" t="n">
        <v>16.8212173548884</v>
      </c>
      <c r="S54" t="n">
        <v>27.0541245791121</v>
      </c>
      <c r="T54" t="n">
        <v>5.15316658649755</v>
      </c>
      <c r="U54" t="n">
        <v>6.57028739778437</v>
      </c>
      <c r="V54" t="n">
        <v>5.3383585106998</v>
      </c>
      <c r="W54" t="n">
        <v>7.49912266979258</v>
      </c>
      <c r="X54" t="n">
        <v>7.25721548689604</v>
      </c>
      <c r="Y54" t="n">
        <v>5.8295665386542</v>
      </c>
      <c r="Z54" t="n">
        <v>9.83024945733845</v>
      </c>
      <c r="AA54" t="n">
        <v>6.10153414593421</v>
      </c>
      <c r="AB54" t="n">
        <v>11.7593203539823</v>
      </c>
      <c r="AC54" t="n">
        <v>26.5908955752212</v>
      </c>
      <c r="AD54" t="n">
        <v>13.2424778761062</v>
      </c>
      <c r="AE54" t="n">
        <v>11.6</v>
      </c>
      <c r="AF54" t="n">
        <v>12.4</v>
      </c>
    </row>
    <row r="55">
      <c r="A55" t="s">
        <v>55</v>
      </c>
      <c r="B55" t="s">
        <v>380</v>
      </c>
      <c r="C55" t="s">
        <v>203</v>
      </c>
      <c r="D55" t="s">
        <v>381</v>
      </c>
      <c r="E55" t="s">
        <v>204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e">
        <v>#NUM!</v>
      </c>
      <c r="M55" t="e">
        <v>#NUM!</v>
      </c>
      <c r="N55" t="n">
        <v>0</v>
      </c>
      <c r="O55" t="e">
        <v>#NUM!</v>
      </c>
      <c r="P55" t="e">
        <v>#NUM!</v>
      </c>
      <c r="Q55" t="e">
        <v>#NUM!</v>
      </c>
      <c r="R55" t="e">
        <v>#NUM!</v>
      </c>
      <c r="S55" t="e">
        <v>#NUM!</v>
      </c>
      <c r="T55" t="e">
        <v>#NUM!</v>
      </c>
      <c r="U55" t="e">
        <v>#NUM!</v>
      </c>
      <c r="V55" t="n">
        <v>0</v>
      </c>
      <c r="W55" t="n">
        <v>3.82808281573499</v>
      </c>
      <c r="X55" t="n">
        <v>3.70459627329193</v>
      </c>
      <c r="Y55" t="n">
        <v>4.18260869565217</v>
      </c>
      <c r="Z55" t="n">
        <v>5.76521739130435</v>
      </c>
      <c r="AA55" t="n">
        <v>3.10434782608696</v>
      </c>
      <c r="AB55" t="n">
        <v>7.20652173913044</v>
      </c>
      <c r="AC55" t="n">
        <v>7.6304347826087</v>
      </c>
      <c r="AD55" t="n">
        <v>9.75</v>
      </c>
      <c r="AE55" t="n">
        <v>7.8</v>
      </c>
      <c r="AF55" t="n">
        <v>8.7</v>
      </c>
    </row>
    <row r="56">
      <c r="A56" t="s">
        <v>55</v>
      </c>
      <c r="B56" t="s">
        <v>382</v>
      </c>
      <c r="C56" t="s">
        <v>203</v>
      </c>
      <c r="D56" t="s">
        <v>383</v>
      </c>
      <c r="E56" t="s">
        <v>204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55</v>
      </c>
      <c r="B57" t="s">
        <v>384</v>
      </c>
      <c r="C57" t="s">
        <v>203</v>
      </c>
      <c r="D57" t="s">
        <v>385</v>
      </c>
      <c r="E57" t="s">
        <v>204</v>
      </c>
      <c r="F57" t="n">
        <v>265.170497127441</v>
      </c>
      <c r="G57" t="n">
        <v>84.6762932003593</v>
      </c>
      <c r="H57" t="n">
        <v>214.826892008319</v>
      </c>
      <c r="I57" t="n">
        <v>296.090216822329</v>
      </c>
      <c r="J57" t="n">
        <v>454.087360801235</v>
      </c>
      <c r="K57" t="n">
        <v>727.142103921212</v>
      </c>
      <c r="L57" t="n">
        <v>1456.82844193592</v>
      </c>
      <c r="M57" t="n">
        <v>2126.17323011033</v>
      </c>
      <c r="N57" t="n">
        <v>3028.41595327154</v>
      </c>
      <c r="O57" t="n">
        <v>2113.2593440608</v>
      </c>
      <c r="P57" t="n">
        <v>4219.85430591205</v>
      </c>
      <c r="Q57" t="n">
        <v>3428.17821186973</v>
      </c>
      <c r="R57" t="n">
        <v>4663.54999554802</v>
      </c>
      <c r="S57" t="n">
        <v>2836.23747929388</v>
      </c>
      <c r="T57" t="n">
        <v>916.565488629957</v>
      </c>
      <c r="U57" t="n">
        <v>896.055823074791</v>
      </c>
      <c r="V57" t="n">
        <v>887.581835730276</v>
      </c>
      <c r="W57" t="n">
        <v>1100.59139301289</v>
      </c>
      <c r="X57" t="n">
        <v>1069.40395638375</v>
      </c>
      <c r="Y57" t="n">
        <v>1672.94195452581</v>
      </c>
      <c r="Z57" t="n">
        <v>1416.90713036225</v>
      </c>
      <c r="AA57" t="n">
        <v>1485.9090531586</v>
      </c>
      <c r="AB57" t="n">
        <v>1207.66268134446</v>
      </c>
      <c r="AC57" t="n">
        <v>1516.3647467796</v>
      </c>
      <c r="AD57" t="n">
        <v>1621.99843486267</v>
      </c>
      <c r="AE57" t="n">
        <v>1330.3</v>
      </c>
      <c r="AF57" t="n">
        <v>1440.1</v>
      </c>
    </row>
    <row r="58">
      <c r="A58" t="s">
        <v>55</v>
      </c>
      <c r="B58" t="s">
        <v>386</v>
      </c>
      <c r="C58" t="s">
        <v>203</v>
      </c>
      <c r="D58" t="s">
        <v>387</v>
      </c>
      <c r="E58" t="s">
        <v>204</v>
      </c>
      <c r="F58" t="n">
        <v>277.380550048224</v>
      </c>
      <c r="G58" t="n">
        <v>86.2443727040697</v>
      </c>
      <c r="H58" t="n">
        <v>214.826892008319</v>
      </c>
      <c r="I58" t="n">
        <v>296.090216822329</v>
      </c>
      <c r="J58" t="n">
        <v>454.087360801235</v>
      </c>
      <c r="K58" t="n">
        <v>727.142103921212</v>
      </c>
      <c r="L58" t="n">
        <v>1456.82844193592</v>
      </c>
      <c r="M58" t="n">
        <v>2126.17323011033</v>
      </c>
      <c r="N58" t="n">
        <v>3028.41595327154</v>
      </c>
      <c r="O58" t="n">
        <v>2113.2593440608</v>
      </c>
      <c r="P58" t="n">
        <v>4219.85430591205</v>
      </c>
      <c r="Q58" t="n">
        <v>3428.17821186973</v>
      </c>
      <c r="R58" t="n">
        <v>4663.54999554802</v>
      </c>
      <c r="S58" t="n">
        <v>2836.23747929388</v>
      </c>
      <c r="T58" t="n">
        <v>916.565488629957</v>
      </c>
      <c r="U58" t="n">
        <v>896.055823074791</v>
      </c>
      <c r="V58" t="n">
        <v>887.581835730276</v>
      </c>
      <c r="W58" t="n">
        <v>1100.59139301289</v>
      </c>
      <c r="X58" t="n">
        <v>1069.40395638375</v>
      </c>
      <c r="Y58" t="n">
        <v>1672.94195452581</v>
      </c>
      <c r="Z58" t="n">
        <v>1416.90713036225</v>
      </c>
      <c r="AA58" t="n">
        <v>1485.9090531586</v>
      </c>
      <c r="AB58" t="n">
        <v>1207.66268134446</v>
      </c>
      <c r="AC58" t="n">
        <v>1516.3647467796</v>
      </c>
      <c r="AD58" t="n">
        <v>1621.99843486267</v>
      </c>
      <c r="AE58" t="n">
        <v>1330.3</v>
      </c>
      <c r="AF58" t="n">
        <v>1440.1</v>
      </c>
    </row>
    <row r="59">
      <c r="A59" t="s">
        <v>55</v>
      </c>
      <c r="B59" t="s">
        <v>388</v>
      </c>
      <c r="C59" t="s">
        <v>203</v>
      </c>
      <c r="D59" t="s">
        <v>389</v>
      </c>
      <c r="E59" t="s">
        <v>204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57</v>
      </c>
      <c r="B2" t="s">
        <v>197</v>
      </c>
      <c r="C2" t="s">
        <v>203</v>
      </c>
      <c r="D2" t="s">
        <v>199</v>
      </c>
      <c r="E2" t="s">
        <v>204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/>
      <c r="AE2"/>
      <c r="AF2"/>
    </row>
    <row r="3">
      <c r="A3" t="s">
        <v>57</v>
      </c>
      <c r="B3" t="s">
        <v>276</v>
      </c>
      <c r="C3" t="s">
        <v>203</v>
      </c>
      <c r="D3" t="s">
        <v>277</v>
      </c>
      <c r="E3" t="s">
        <v>204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/>
      <c r="AE3"/>
      <c r="AF3"/>
    </row>
    <row r="4">
      <c r="A4" t="s">
        <v>57</v>
      </c>
      <c r="B4" t="s">
        <v>278</v>
      </c>
      <c r="C4" t="s">
        <v>203</v>
      </c>
      <c r="D4" t="s">
        <v>279</v>
      </c>
      <c r="E4" t="s">
        <v>204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/>
      <c r="AE4"/>
      <c r="AF4"/>
    </row>
    <row r="5">
      <c r="A5" t="s">
        <v>57</v>
      </c>
      <c r="B5" t="s">
        <v>280</v>
      </c>
      <c r="C5" t="s">
        <v>203</v>
      </c>
      <c r="D5" t="s">
        <v>281</v>
      </c>
      <c r="E5" t="s">
        <v>204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/>
      <c r="AE5"/>
      <c r="AF5"/>
    </row>
    <row r="6">
      <c r="A6" t="s">
        <v>57</v>
      </c>
      <c r="B6" t="s">
        <v>282</v>
      </c>
      <c r="C6" t="s">
        <v>203</v>
      </c>
      <c r="D6" t="s">
        <v>283</v>
      </c>
      <c r="E6" t="s">
        <v>204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/>
      <c r="AE6"/>
      <c r="AF6"/>
    </row>
    <row r="7">
      <c r="A7" t="s">
        <v>57</v>
      </c>
      <c r="B7" t="s">
        <v>284</v>
      </c>
      <c r="C7" t="s">
        <v>203</v>
      </c>
      <c r="D7" t="s">
        <v>285</v>
      </c>
      <c r="E7" t="s">
        <v>204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/>
      <c r="AE7"/>
      <c r="AF7"/>
    </row>
    <row r="8">
      <c r="A8" t="s">
        <v>57</v>
      </c>
      <c r="B8" t="s">
        <v>286</v>
      </c>
      <c r="C8" t="s">
        <v>203</v>
      </c>
      <c r="D8" t="s">
        <v>287</v>
      </c>
      <c r="E8" t="s">
        <v>204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/>
      <c r="AE8"/>
      <c r="AF8"/>
    </row>
    <row r="9">
      <c r="A9" t="s">
        <v>57</v>
      </c>
      <c r="B9" t="s">
        <v>288</v>
      </c>
      <c r="C9" t="s">
        <v>203</v>
      </c>
      <c r="D9" t="s">
        <v>289</v>
      </c>
      <c r="E9" t="s">
        <v>204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/>
      <c r="AE9"/>
      <c r="AF9"/>
    </row>
    <row r="10">
      <c r="A10" t="s">
        <v>57</v>
      </c>
      <c r="B10" t="s">
        <v>290</v>
      </c>
      <c r="C10" t="s">
        <v>203</v>
      </c>
      <c r="D10" t="s">
        <v>291</v>
      </c>
      <c r="E10" t="s">
        <v>204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/>
      <c r="AE10"/>
      <c r="AF10"/>
    </row>
    <row r="11">
      <c r="A11" t="s">
        <v>57</v>
      </c>
      <c r="B11" t="s">
        <v>292</v>
      </c>
      <c r="C11" t="s">
        <v>203</v>
      </c>
      <c r="D11" t="s">
        <v>293</v>
      </c>
      <c r="E11" t="s">
        <v>204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/>
      <c r="AE11"/>
      <c r="AF11"/>
    </row>
    <row r="12">
      <c r="A12" t="s">
        <v>57</v>
      </c>
      <c r="B12" t="s">
        <v>294</v>
      </c>
      <c r="C12" t="s">
        <v>203</v>
      </c>
      <c r="D12" t="s">
        <v>295</v>
      </c>
      <c r="E12" t="s">
        <v>204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/>
      <c r="AE12"/>
      <c r="AF12"/>
    </row>
    <row r="13">
      <c r="A13" t="s">
        <v>57</v>
      </c>
      <c r="B13" t="s">
        <v>296</v>
      </c>
      <c r="C13" t="s">
        <v>203</v>
      </c>
      <c r="D13" t="s">
        <v>297</v>
      </c>
      <c r="E13" t="s">
        <v>204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/>
      <c r="AE13"/>
      <c r="AF13"/>
    </row>
    <row r="14">
      <c r="A14" t="s">
        <v>57</v>
      </c>
      <c r="B14" t="s">
        <v>298</v>
      </c>
      <c r="C14" t="s">
        <v>203</v>
      </c>
      <c r="D14" t="s">
        <v>299</v>
      </c>
      <c r="E14" t="s">
        <v>204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/>
      <c r="AE14"/>
      <c r="AF14"/>
    </row>
    <row r="15">
      <c r="A15" t="s">
        <v>57</v>
      </c>
      <c r="B15" t="s">
        <v>300</v>
      </c>
      <c r="C15" t="s">
        <v>203</v>
      </c>
      <c r="D15" t="s">
        <v>301</v>
      </c>
      <c r="E15" t="s">
        <v>204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/>
      <c r="AE15"/>
      <c r="AF15"/>
    </row>
    <row r="16">
      <c r="A16" t="s">
        <v>57</v>
      </c>
      <c r="B16" t="s">
        <v>302</v>
      </c>
      <c r="C16" t="s">
        <v>203</v>
      </c>
      <c r="D16" t="s">
        <v>303</v>
      </c>
      <c r="E16" t="s">
        <v>204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/>
      <c r="AE16"/>
      <c r="AF16"/>
    </row>
    <row r="17">
      <c r="A17" t="s">
        <v>57</v>
      </c>
      <c r="B17" t="s">
        <v>304</v>
      </c>
      <c r="C17" t="s">
        <v>203</v>
      </c>
      <c r="D17" t="s">
        <v>305</v>
      </c>
      <c r="E17" t="s">
        <v>204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/>
      <c r="AE17"/>
      <c r="AF17"/>
    </row>
    <row r="18">
      <c r="A18" t="s">
        <v>57</v>
      </c>
      <c r="B18" t="s">
        <v>306</v>
      </c>
      <c r="C18" t="s">
        <v>203</v>
      </c>
      <c r="D18" t="s">
        <v>307</v>
      </c>
      <c r="E18" t="s">
        <v>204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/>
      <c r="AE18"/>
      <c r="AF18"/>
    </row>
    <row r="19">
      <c r="A19" t="s">
        <v>57</v>
      </c>
      <c r="B19" t="s">
        <v>308</v>
      </c>
      <c r="C19" t="s">
        <v>203</v>
      </c>
      <c r="D19" t="s">
        <v>309</v>
      </c>
      <c r="E19" t="s">
        <v>204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/>
      <c r="AE19"/>
      <c r="AF19"/>
    </row>
    <row r="20">
      <c r="A20" t="s">
        <v>57</v>
      </c>
      <c r="B20" t="s">
        <v>310</v>
      </c>
      <c r="C20" t="s">
        <v>203</v>
      </c>
      <c r="D20" t="s">
        <v>311</v>
      </c>
      <c r="E20" t="s">
        <v>204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/>
      <c r="AE20"/>
      <c r="AF20"/>
    </row>
    <row r="21">
      <c r="A21" t="s">
        <v>57</v>
      </c>
      <c r="B21" t="s">
        <v>312</v>
      </c>
      <c r="C21" t="s">
        <v>203</v>
      </c>
      <c r="D21" t="s">
        <v>313</v>
      </c>
      <c r="E21" t="s">
        <v>204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/>
      <c r="AE21"/>
      <c r="AF21"/>
    </row>
    <row r="22">
      <c r="A22" t="s">
        <v>57</v>
      </c>
      <c r="B22" t="s">
        <v>314</v>
      </c>
      <c r="C22" t="s">
        <v>203</v>
      </c>
      <c r="D22" t="s">
        <v>315</v>
      </c>
      <c r="E22" t="s">
        <v>204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/>
      <c r="AE22"/>
      <c r="AF22"/>
    </row>
    <row r="23">
      <c r="A23" t="s">
        <v>57</v>
      </c>
      <c r="B23" t="s">
        <v>316</v>
      </c>
      <c r="C23" t="s">
        <v>203</v>
      </c>
      <c r="D23" t="s">
        <v>317</v>
      </c>
      <c r="E23" t="s">
        <v>204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/>
      <c r="AE23"/>
      <c r="AF23"/>
    </row>
    <row r="24">
      <c r="A24" t="s">
        <v>57</v>
      </c>
      <c r="B24" t="s">
        <v>318</v>
      </c>
      <c r="C24" t="s">
        <v>203</v>
      </c>
      <c r="D24" t="s">
        <v>319</v>
      </c>
      <c r="E24" t="s">
        <v>204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/>
      <c r="AE24"/>
      <c r="AF24"/>
    </row>
    <row r="25">
      <c r="A25" t="s">
        <v>57</v>
      </c>
      <c r="B25" t="s">
        <v>320</v>
      </c>
      <c r="C25" t="s">
        <v>203</v>
      </c>
      <c r="D25" t="s">
        <v>321</v>
      </c>
      <c r="E25" t="s">
        <v>204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/>
      <c r="AE25"/>
      <c r="AF25"/>
    </row>
    <row r="26">
      <c r="A26" t="s">
        <v>57</v>
      </c>
      <c r="B26" t="s">
        <v>322</v>
      </c>
      <c r="C26" t="s">
        <v>203</v>
      </c>
      <c r="D26" t="s">
        <v>323</v>
      </c>
      <c r="E26" t="s">
        <v>204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/>
      <c r="AE26"/>
      <c r="AF26"/>
    </row>
    <row r="27">
      <c r="A27" t="s">
        <v>57</v>
      </c>
      <c r="B27" t="s">
        <v>324</v>
      </c>
      <c r="C27" t="s">
        <v>203</v>
      </c>
      <c r="D27" t="s">
        <v>325</v>
      </c>
      <c r="E27" t="s">
        <v>204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/>
      <c r="AE27"/>
      <c r="AF27"/>
    </row>
    <row r="28">
      <c r="A28" t="s">
        <v>57</v>
      </c>
      <c r="B28" t="s">
        <v>326</v>
      </c>
      <c r="C28" t="s">
        <v>203</v>
      </c>
      <c r="D28" t="s">
        <v>327</v>
      </c>
      <c r="E28" t="s">
        <v>204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/>
      <c r="AE28"/>
      <c r="AF28"/>
    </row>
    <row r="29">
      <c r="A29" t="s">
        <v>57</v>
      </c>
      <c r="B29" t="s">
        <v>328</v>
      </c>
      <c r="C29" t="s">
        <v>203</v>
      </c>
      <c r="D29" t="s">
        <v>329</v>
      </c>
      <c r="E29" t="s">
        <v>204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/>
      <c r="AE29"/>
      <c r="AF29"/>
    </row>
    <row r="30">
      <c r="A30" t="s">
        <v>57</v>
      </c>
      <c r="B30" t="s">
        <v>330</v>
      </c>
      <c r="C30" t="s">
        <v>203</v>
      </c>
      <c r="D30" t="s">
        <v>331</v>
      </c>
      <c r="E30" t="s">
        <v>204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/>
      <c r="AE30"/>
      <c r="AF30"/>
    </row>
    <row r="31">
      <c r="A31" t="s">
        <v>57</v>
      </c>
      <c r="B31" t="s">
        <v>332</v>
      </c>
      <c r="C31" t="s">
        <v>203</v>
      </c>
      <c r="D31" t="s">
        <v>333</v>
      </c>
      <c r="E31" t="s">
        <v>204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/>
      <c r="AE31"/>
      <c r="AF31"/>
    </row>
    <row r="32">
      <c r="A32" t="s">
        <v>57</v>
      </c>
      <c r="B32" t="s">
        <v>334</v>
      </c>
      <c r="C32" t="s">
        <v>203</v>
      </c>
      <c r="D32" t="s">
        <v>335</v>
      </c>
      <c r="E32" t="s">
        <v>204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/>
      <c r="AE32"/>
      <c r="AF32"/>
    </row>
    <row r="33">
      <c r="A33" t="s">
        <v>57</v>
      </c>
      <c r="B33" t="s">
        <v>336</v>
      </c>
      <c r="C33" t="s">
        <v>203</v>
      </c>
      <c r="D33" t="s">
        <v>337</v>
      </c>
      <c r="E33" t="s">
        <v>204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/>
      <c r="AE33"/>
      <c r="AF33"/>
    </row>
    <row r="34">
      <c r="A34" t="s">
        <v>57</v>
      </c>
      <c r="B34" t="s">
        <v>338</v>
      </c>
      <c r="C34" t="s">
        <v>203</v>
      </c>
      <c r="D34" t="s">
        <v>339</v>
      </c>
      <c r="E34" t="s">
        <v>204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/>
      <c r="AE34"/>
      <c r="AF34"/>
    </row>
    <row r="35">
      <c r="A35" t="s">
        <v>57</v>
      </c>
      <c r="B35" t="s">
        <v>340</v>
      </c>
      <c r="C35" t="s">
        <v>203</v>
      </c>
      <c r="D35" t="s">
        <v>341</v>
      </c>
      <c r="E35" t="s">
        <v>204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/>
      <c r="AE35"/>
      <c r="AF35"/>
    </row>
    <row r="36">
      <c r="A36" t="s">
        <v>57</v>
      </c>
      <c r="B36" t="s">
        <v>342</v>
      </c>
      <c r="C36" t="s">
        <v>203</v>
      </c>
      <c r="D36" t="s">
        <v>343</v>
      </c>
      <c r="E36" t="s">
        <v>204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/>
      <c r="AE36"/>
      <c r="AF36"/>
    </row>
    <row r="37">
      <c r="A37" t="s">
        <v>57</v>
      </c>
      <c r="B37" t="s">
        <v>344</v>
      </c>
      <c r="C37" t="s">
        <v>203</v>
      </c>
      <c r="D37" t="s">
        <v>345</v>
      </c>
      <c r="E37" t="s">
        <v>204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/>
      <c r="AE37"/>
      <c r="AF37"/>
    </row>
    <row r="38">
      <c r="A38" t="s">
        <v>57</v>
      </c>
      <c r="B38" t="s">
        <v>346</v>
      </c>
      <c r="C38" t="s">
        <v>203</v>
      </c>
      <c r="D38" t="s">
        <v>347</v>
      </c>
      <c r="E38" t="s">
        <v>204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/>
      <c r="AE38"/>
      <c r="AF38"/>
    </row>
    <row r="39">
      <c r="A39" t="s">
        <v>57</v>
      </c>
      <c r="B39" t="s">
        <v>348</v>
      </c>
      <c r="C39" t="s">
        <v>203</v>
      </c>
      <c r="D39" t="s">
        <v>349</v>
      </c>
      <c r="E39" t="s">
        <v>204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/>
      <c r="AE39"/>
      <c r="AF39"/>
    </row>
    <row r="40">
      <c r="A40" t="s">
        <v>57</v>
      </c>
      <c r="B40" t="s">
        <v>350</v>
      </c>
      <c r="C40" t="s">
        <v>203</v>
      </c>
      <c r="D40" t="s">
        <v>351</v>
      </c>
      <c r="E40" t="s">
        <v>204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/>
      <c r="AE40"/>
      <c r="AF40"/>
    </row>
    <row r="41">
      <c r="A41" t="s">
        <v>57</v>
      </c>
      <c r="B41" t="s">
        <v>352</v>
      </c>
      <c r="C41" t="s">
        <v>203</v>
      </c>
      <c r="D41" t="s">
        <v>353</v>
      </c>
      <c r="E41" t="s">
        <v>204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/>
      <c r="AE41"/>
      <c r="AF41"/>
    </row>
    <row r="42">
      <c r="A42" t="s">
        <v>57</v>
      </c>
      <c r="B42" t="s">
        <v>354</v>
      </c>
      <c r="C42" t="s">
        <v>203</v>
      </c>
      <c r="D42" t="s">
        <v>355</v>
      </c>
      <c r="E42" t="s">
        <v>204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/>
      <c r="AE42"/>
      <c r="AF42"/>
    </row>
    <row r="43">
      <c r="A43" t="s">
        <v>57</v>
      </c>
      <c r="B43" t="s">
        <v>356</v>
      </c>
      <c r="C43" t="s">
        <v>203</v>
      </c>
      <c r="D43" t="s">
        <v>357</v>
      </c>
      <c r="E43" t="s">
        <v>204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/>
      <c r="AE43"/>
      <c r="AF43"/>
    </row>
    <row r="44">
      <c r="A44" t="s">
        <v>57</v>
      </c>
      <c r="B44" t="s">
        <v>358</v>
      </c>
      <c r="C44" t="s">
        <v>203</v>
      </c>
      <c r="D44" t="s">
        <v>359</v>
      </c>
      <c r="E44" t="s">
        <v>204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/>
      <c r="AE44"/>
      <c r="AF44"/>
    </row>
    <row r="45">
      <c r="A45" t="s">
        <v>57</v>
      </c>
      <c r="B45" t="s">
        <v>360</v>
      </c>
      <c r="C45" t="s">
        <v>203</v>
      </c>
      <c r="D45" t="s">
        <v>361</v>
      </c>
      <c r="E45" t="s">
        <v>204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/>
      <c r="AE45"/>
      <c r="AF45"/>
    </row>
    <row r="46">
      <c r="A46" t="s">
        <v>57</v>
      </c>
      <c r="B46" t="s">
        <v>362</v>
      </c>
      <c r="C46" t="s">
        <v>203</v>
      </c>
      <c r="D46" t="s">
        <v>363</v>
      </c>
      <c r="E46" t="s">
        <v>204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/>
      <c r="AE46"/>
      <c r="AF46"/>
    </row>
    <row r="47">
      <c r="A47" t="s">
        <v>57</v>
      </c>
      <c r="B47" t="s">
        <v>364</v>
      </c>
      <c r="C47" t="s">
        <v>203</v>
      </c>
      <c r="D47" t="s">
        <v>365</v>
      </c>
      <c r="E47" t="s">
        <v>204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/>
      <c r="AE47"/>
      <c r="AF47"/>
    </row>
    <row r="48">
      <c r="A48" t="s">
        <v>57</v>
      </c>
      <c r="B48" t="s">
        <v>366</v>
      </c>
      <c r="C48" t="s">
        <v>203</v>
      </c>
      <c r="D48" t="s">
        <v>367</v>
      </c>
      <c r="E48" t="s">
        <v>204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/>
      <c r="AE48"/>
      <c r="AF48"/>
    </row>
    <row r="49">
      <c r="A49" t="s">
        <v>57</v>
      </c>
      <c r="B49" t="s">
        <v>368</v>
      </c>
      <c r="C49" t="s">
        <v>203</v>
      </c>
      <c r="D49" t="s">
        <v>369</v>
      </c>
      <c r="E49" t="s">
        <v>204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/>
      <c r="AE49"/>
      <c r="AF49"/>
    </row>
    <row r="50">
      <c r="A50" t="s">
        <v>57</v>
      </c>
      <c r="B50" t="s">
        <v>370</v>
      </c>
      <c r="C50" t="s">
        <v>203</v>
      </c>
      <c r="D50" t="s">
        <v>371</v>
      </c>
      <c r="E50" t="s">
        <v>204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/>
      <c r="AE50"/>
      <c r="AF50"/>
    </row>
    <row r="51">
      <c r="A51" t="s">
        <v>57</v>
      </c>
      <c r="B51" t="s">
        <v>372</v>
      </c>
      <c r="C51" t="s">
        <v>203</v>
      </c>
      <c r="D51" t="s">
        <v>373</v>
      </c>
      <c r="E51" t="s">
        <v>204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/>
      <c r="AE51"/>
      <c r="AF51"/>
    </row>
    <row r="52">
      <c r="A52" t="s">
        <v>57</v>
      </c>
      <c r="B52" t="s">
        <v>374</v>
      </c>
      <c r="C52" t="s">
        <v>203</v>
      </c>
      <c r="D52" t="s">
        <v>375</v>
      </c>
      <c r="E52" t="s">
        <v>204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/>
      <c r="AE52"/>
      <c r="AF52"/>
    </row>
    <row r="53">
      <c r="A53" t="s">
        <v>57</v>
      </c>
      <c r="B53" t="s">
        <v>376</v>
      </c>
      <c r="C53" t="s">
        <v>203</v>
      </c>
      <c r="D53" t="s">
        <v>377</v>
      </c>
      <c r="E53" t="s">
        <v>204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/>
      <c r="AE53"/>
      <c r="AF53"/>
    </row>
    <row r="54">
      <c r="A54" t="s">
        <v>57</v>
      </c>
      <c r="B54" t="s">
        <v>378</v>
      </c>
      <c r="C54" t="s">
        <v>203</v>
      </c>
      <c r="D54" t="s">
        <v>379</v>
      </c>
      <c r="E54" t="s">
        <v>204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/>
      <c r="AE54"/>
      <c r="AF54"/>
    </row>
    <row r="55">
      <c r="A55" t="s">
        <v>57</v>
      </c>
      <c r="B55" t="s">
        <v>380</v>
      </c>
      <c r="C55" t="s">
        <v>203</v>
      </c>
      <c r="D55" t="s">
        <v>381</v>
      </c>
      <c r="E55" t="s">
        <v>204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/>
      <c r="AE55"/>
      <c r="AF55"/>
    </row>
    <row r="56">
      <c r="A56" t="s">
        <v>57</v>
      </c>
      <c r="B56" t="s">
        <v>382</v>
      </c>
      <c r="C56" t="s">
        <v>203</v>
      </c>
      <c r="D56" t="s">
        <v>383</v>
      </c>
      <c r="E56" t="s">
        <v>204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/>
      <c r="AE56"/>
      <c r="AF56"/>
    </row>
    <row r="57">
      <c r="A57" t="s">
        <v>57</v>
      </c>
      <c r="B57" t="s">
        <v>384</v>
      </c>
      <c r="C57" t="s">
        <v>203</v>
      </c>
      <c r="D57" t="s">
        <v>385</v>
      </c>
      <c r="E57" t="s">
        <v>204</v>
      </c>
      <c r="F57" t="n">
        <v>1421.72160964599</v>
      </c>
      <c r="G57" t="n">
        <v>458.75319381019</v>
      </c>
      <c r="H57" t="n">
        <v>1149.06752354362</v>
      </c>
      <c r="I57" t="n">
        <v>1730.92264109924</v>
      </c>
      <c r="J57" t="n">
        <v>2195.43812663667</v>
      </c>
      <c r="K57" t="n">
        <v>2136.64465664699</v>
      </c>
      <c r="L57" t="n">
        <v>2564.17438471755</v>
      </c>
      <c r="M57" t="n">
        <v>2999.13126742409</v>
      </c>
      <c r="N57" t="n">
        <v>3155.02274017455</v>
      </c>
      <c r="O57" t="n">
        <v>3906.28672391222</v>
      </c>
      <c r="P57" t="n">
        <v>4443.2048140779</v>
      </c>
      <c r="Q57" t="n">
        <v>4904.68842539561</v>
      </c>
      <c r="R57" t="n">
        <v>5906.9302174135</v>
      </c>
      <c r="S57" t="n">
        <v>7544.49642152254</v>
      </c>
      <c r="T57" t="n">
        <v>5116.6582873714</v>
      </c>
      <c r="U57" t="n">
        <v>4109.81922532611</v>
      </c>
      <c r="V57" t="n">
        <v>5302.88979185885</v>
      </c>
      <c r="W57" t="n">
        <v>5380.87038668208</v>
      </c>
      <c r="X57" t="n">
        <v>5512.6847770311</v>
      </c>
      <c r="Y57" t="n">
        <v>6041.15460746312</v>
      </c>
      <c r="Z57" t="n">
        <v>7481.10561103211</v>
      </c>
      <c r="AA57" t="n">
        <v>6018.5931993624</v>
      </c>
      <c r="AB57" t="n">
        <v>6662.50046608989</v>
      </c>
      <c r="AC57" t="n">
        <v>7170.01254688431</v>
      </c>
      <c r="AD57" t="n">
        <v>7958.60568876721</v>
      </c>
      <c r="AE57" t="n">
        <v>8988.2</v>
      </c>
      <c r="AF57" t="n">
        <v>8519.1</v>
      </c>
    </row>
    <row r="58">
      <c r="A58" t="s">
        <v>57</v>
      </c>
      <c r="B58" t="s">
        <v>386</v>
      </c>
      <c r="C58" t="s">
        <v>203</v>
      </c>
      <c r="D58" t="s">
        <v>387</v>
      </c>
      <c r="E58" t="s">
        <v>204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/>
      <c r="AE58"/>
      <c r="AF58"/>
    </row>
    <row r="59">
      <c r="A59" t="s">
        <v>57</v>
      </c>
      <c r="B59" t="s">
        <v>388</v>
      </c>
      <c r="C59" t="s">
        <v>203</v>
      </c>
      <c r="D59" t="s">
        <v>389</v>
      </c>
      <c r="E59" t="s">
        <v>204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59</v>
      </c>
      <c r="B2" t="s">
        <v>197</v>
      </c>
      <c r="C2" t="s">
        <v>203</v>
      </c>
      <c r="D2" t="s">
        <v>199</v>
      </c>
      <c r="E2" t="s">
        <v>204</v>
      </c>
      <c r="F2" t="n">
        <v>36.6741287504501</v>
      </c>
      <c r="G2" t="n">
        <v>13.7527982814188</v>
      </c>
      <c r="H2" t="n">
        <v>30.9437961331922</v>
      </c>
      <c r="I2" t="n">
        <v>36.1737335078163</v>
      </c>
      <c r="J2" t="n">
        <v>50.0120074000681</v>
      </c>
      <c r="K2" t="n">
        <v>118.334421881036</v>
      </c>
      <c r="L2" t="n">
        <v>136.705975963023</v>
      </c>
      <c r="M2" t="n">
        <v>104.346756952908</v>
      </c>
      <c r="N2" t="n">
        <v>76.685870950305</v>
      </c>
      <c r="O2" t="n">
        <v>130.804185592377</v>
      </c>
      <c r="P2" t="n">
        <v>139.496868812124</v>
      </c>
      <c r="Q2" t="n">
        <v>113.726362927153</v>
      </c>
      <c r="R2" t="n">
        <v>102.647995762256</v>
      </c>
      <c r="S2" t="n">
        <v>274.281482794144</v>
      </c>
      <c r="T2" t="n">
        <v>189.90832125326</v>
      </c>
      <c r="U2" t="n">
        <v>204.600369029301</v>
      </c>
      <c r="V2" t="n">
        <v>178.973932988792</v>
      </c>
      <c r="W2" t="n">
        <v>365.910965840689</v>
      </c>
      <c r="X2" t="n">
        <v>364.250057127026</v>
      </c>
      <c r="Y2" t="n">
        <v>559.277499604438</v>
      </c>
      <c r="Z2" t="n">
        <v>331.286719179955</v>
      </c>
      <c r="AA2" t="n">
        <v>253.927879523074</v>
      </c>
      <c r="AB2" t="n">
        <v>394.804821037349</v>
      </c>
      <c r="AC2" t="n">
        <v>379.193627540743</v>
      </c>
      <c r="AD2" t="n">
        <v>219.897674418605</v>
      </c>
      <c r="AE2" t="n">
        <v>215.6</v>
      </c>
      <c r="AF2" t="n">
        <v>180.7</v>
      </c>
    </row>
    <row r="3">
      <c r="A3" t="s">
        <v>59</v>
      </c>
      <c r="B3" t="s">
        <v>276</v>
      </c>
      <c r="C3" t="s">
        <v>203</v>
      </c>
      <c r="D3" t="s">
        <v>277</v>
      </c>
      <c r="E3" t="s">
        <v>204</v>
      </c>
      <c r="F3" t="n">
        <v>205.445482962605</v>
      </c>
      <c r="G3" t="n">
        <v>68.4818276542016</v>
      </c>
      <c r="H3" t="n">
        <v>171.204569135504</v>
      </c>
      <c r="I3" t="n">
        <v>200.765070281203</v>
      </c>
      <c r="J3" t="n">
        <v>90.0456608126217</v>
      </c>
      <c r="K3" t="n">
        <v>254.611868504655</v>
      </c>
      <c r="L3" t="n">
        <v>5.62960915286674</v>
      </c>
      <c r="M3" t="n">
        <v>52.6931416708326</v>
      </c>
      <c r="N3" t="n">
        <v>75.3684690291827</v>
      </c>
      <c r="O3" t="n">
        <v>113.052703543774</v>
      </c>
      <c r="P3" t="n">
        <v>85.7847099073357</v>
      </c>
      <c r="Q3" t="n">
        <v>91.1799746813819</v>
      </c>
      <c r="R3" t="n">
        <v>75.1776390883058</v>
      </c>
      <c r="S3" t="n">
        <v>149.191987823214</v>
      </c>
      <c r="T3" t="n">
        <v>112.390414961765</v>
      </c>
      <c r="U3" t="n">
        <v>122.738716572463</v>
      </c>
      <c r="V3" t="n">
        <v>103.07412649795</v>
      </c>
      <c r="W3" t="n">
        <v>179.374120137287</v>
      </c>
      <c r="X3" t="n">
        <v>178.5129275166</v>
      </c>
      <c r="Y3" t="n">
        <v>343.294091378077</v>
      </c>
      <c r="Z3" t="n">
        <v>-4.83333659591217</v>
      </c>
      <c r="AA3" t="n">
        <v>84.5214245746692</v>
      </c>
      <c r="AB3" t="n">
        <v>42.5071304347826</v>
      </c>
      <c r="AC3" t="n">
        <v>54.8955721925134</v>
      </c>
      <c r="AD3" t="n">
        <v>89.8588235294118</v>
      </c>
      <c r="AE3" t="n">
        <v>91.2</v>
      </c>
      <c r="AF3" t="n">
        <v>23.5</v>
      </c>
    </row>
    <row r="4">
      <c r="A4" t="s">
        <v>59</v>
      </c>
      <c r="B4" t="s">
        <v>278</v>
      </c>
      <c r="C4" t="s">
        <v>203</v>
      </c>
      <c r="D4" t="s">
        <v>279</v>
      </c>
      <c r="E4" t="s">
        <v>204</v>
      </c>
      <c r="F4" t="n">
        <v>422.118241900663</v>
      </c>
      <c r="G4" t="n">
        <v>137.743847357059</v>
      </c>
      <c r="H4" t="n">
        <v>344.359618392646</v>
      </c>
      <c r="I4" t="n">
        <v>405.300835708193</v>
      </c>
      <c r="J4" t="n">
        <v>368.093657372395</v>
      </c>
      <c r="K4" t="n">
        <v>802.370343398423</v>
      </c>
      <c r="L4" t="n">
        <v>1280.35046671636</v>
      </c>
      <c r="M4" t="n">
        <v>675.213072754552</v>
      </c>
      <c r="N4" t="n">
        <v>713.375404419549</v>
      </c>
      <c r="O4" t="n">
        <v>959.556540127926</v>
      </c>
      <c r="P4" t="n">
        <v>994.55495499295</v>
      </c>
      <c r="Q4" t="n">
        <v>1002.49983843879</v>
      </c>
      <c r="R4" t="n">
        <v>936.079204950773</v>
      </c>
      <c r="S4" t="n">
        <v>923.545682978834</v>
      </c>
      <c r="T4" t="n">
        <v>1396.53272337782</v>
      </c>
      <c r="U4" t="n">
        <v>862.293949755387</v>
      </c>
      <c r="V4" t="n">
        <v>691.97734075601</v>
      </c>
      <c r="W4" t="n">
        <v>1136.02764521565</v>
      </c>
      <c r="X4" t="n">
        <v>1130.96876246841</v>
      </c>
      <c r="Y4" t="n">
        <v>1052.06396508689</v>
      </c>
      <c r="Z4" t="n">
        <v>1846.15153708554</v>
      </c>
      <c r="AA4" t="n">
        <v>1401.23144260264</v>
      </c>
      <c r="AB4" t="n">
        <v>1414.48584613572</v>
      </c>
      <c r="AC4" t="n">
        <v>1079.13661817649</v>
      </c>
      <c r="AD4" t="n">
        <v>782.533715798764</v>
      </c>
      <c r="AE4" t="n">
        <v>696.2</v>
      </c>
      <c r="AF4" t="n">
        <v>667.4</v>
      </c>
    </row>
    <row r="5">
      <c r="A5" t="s">
        <v>59</v>
      </c>
      <c r="B5" t="s">
        <v>280</v>
      </c>
      <c r="C5" t="s">
        <v>203</v>
      </c>
      <c r="D5" t="s">
        <v>281</v>
      </c>
      <c r="E5" t="s">
        <v>204</v>
      </c>
      <c r="F5" t="n">
        <v>115.475170834748</v>
      </c>
      <c r="G5" t="n">
        <v>35.1446172105755</v>
      </c>
      <c r="H5" t="n">
        <v>86.264060425958</v>
      </c>
      <c r="I5" t="n">
        <v>101.360271000501</v>
      </c>
      <c r="J5" t="n">
        <v>74.8135333575124</v>
      </c>
      <c r="K5" t="n">
        <v>50.3291042586902</v>
      </c>
      <c r="L5" t="n">
        <v>237.381122760239</v>
      </c>
      <c r="M5" t="n">
        <v>152.96858205375</v>
      </c>
      <c r="N5" t="n">
        <v>189.421621344336</v>
      </c>
      <c r="O5" t="n">
        <v>270.508897685064</v>
      </c>
      <c r="P5" t="n">
        <v>258.756605636247</v>
      </c>
      <c r="Q5" t="n">
        <v>266.575150554752</v>
      </c>
      <c r="R5" t="n">
        <v>255.360014770895</v>
      </c>
      <c r="S5" t="n">
        <v>237.624592909232</v>
      </c>
      <c r="T5" t="n">
        <v>216.27123087361</v>
      </c>
      <c r="U5" t="n">
        <v>229.822059875716</v>
      </c>
      <c r="V5" t="n">
        <v>169.945570685544</v>
      </c>
      <c r="W5" t="n">
        <v>246.401573411711</v>
      </c>
      <c r="X5" t="n">
        <v>245.382858896314</v>
      </c>
      <c r="Y5" t="n">
        <v>374.150681583736</v>
      </c>
      <c r="Z5" t="n">
        <v>194.911301916202</v>
      </c>
      <c r="AA5" t="n">
        <v>186.774349684633</v>
      </c>
      <c r="AB5" t="n">
        <v>229.398170005211</v>
      </c>
      <c r="AC5" t="n">
        <v>228.946376465073</v>
      </c>
      <c r="AD5" t="n">
        <v>194.480168776371</v>
      </c>
      <c r="AE5" t="n">
        <v>145.4</v>
      </c>
      <c r="AF5" t="n">
        <v>76.8</v>
      </c>
    </row>
    <row r="6">
      <c r="A6" t="s">
        <v>59</v>
      </c>
      <c r="B6" t="s">
        <v>282</v>
      </c>
      <c r="C6" t="s">
        <v>203</v>
      </c>
      <c r="D6" t="s">
        <v>283</v>
      </c>
      <c r="E6" t="s">
        <v>204</v>
      </c>
      <c r="F6" t="n">
        <v>26.1900914616768</v>
      </c>
      <c r="G6" t="n">
        <v>8.7300304872256</v>
      </c>
      <c r="H6" t="n">
        <v>20.3700711368597</v>
      </c>
      <c r="I6" t="n">
        <v>23.9647895727762</v>
      </c>
      <c r="J6" t="n">
        <v>33.0081063926917</v>
      </c>
      <c r="K6" t="n">
        <v>99.2782276887881</v>
      </c>
      <c r="L6" t="n">
        <v>92.509257619098</v>
      </c>
      <c r="M6" t="n">
        <v>84.8908481681134</v>
      </c>
      <c r="N6" t="n">
        <v>126.606252673329</v>
      </c>
      <c r="O6" t="n">
        <v>105.67456081883</v>
      </c>
      <c r="P6" t="n">
        <v>97.7970026486989</v>
      </c>
      <c r="Q6" t="n">
        <v>133.863982348928</v>
      </c>
      <c r="R6" t="n">
        <v>70.387063948176</v>
      </c>
      <c r="S6" t="n">
        <v>54.7143976217432</v>
      </c>
      <c r="T6" t="n">
        <v>55.3520945637215</v>
      </c>
      <c r="U6" t="n">
        <v>46.021673156625</v>
      </c>
      <c r="V6" t="n">
        <v>46.6573316256391</v>
      </c>
      <c r="W6" t="n">
        <v>58.0489918147562</v>
      </c>
      <c r="X6" t="n">
        <v>57.8115726253298</v>
      </c>
      <c r="Y6" t="n">
        <v>41.0703047192447</v>
      </c>
      <c r="Z6" t="n">
        <v>38.1191450987002</v>
      </c>
      <c r="AA6" t="n">
        <v>121.256298979608</v>
      </c>
      <c r="AB6" t="n">
        <v>86.7278993660472</v>
      </c>
      <c r="AC6" t="n">
        <v>28.5691903794038</v>
      </c>
      <c r="AD6" t="n">
        <v>46.5731707317073</v>
      </c>
      <c r="AE6" t="n">
        <v>33.5</v>
      </c>
      <c r="AF6" t="n">
        <v>12.3</v>
      </c>
    </row>
    <row r="7">
      <c r="A7" t="s">
        <v>59</v>
      </c>
      <c r="B7" t="s">
        <v>284</v>
      </c>
      <c r="C7" t="s">
        <v>203</v>
      </c>
      <c r="D7" t="s">
        <v>285</v>
      </c>
      <c r="E7" t="s">
        <v>204</v>
      </c>
      <c r="F7" t="n">
        <v>23.7142692257825</v>
      </c>
      <c r="G7" t="n">
        <v>5.92856730644562</v>
      </c>
      <c r="H7" t="n">
        <v>14.8214182661141</v>
      </c>
      <c r="I7" t="n">
        <v>17.3622328260193</v>
      </c>
      <c r="J7" t="n">
        <v>28.5406567003057</v>
      </c>
      <c r="K7" t="n">
        <v>69.7361328809357</v>
      </c>
      <c r="L7" t="n">
        <v>88.9002610008875</v>
      </c>
      <c r="M7" t="n">
        <v>32.7891871743533</v>
      </c>
      <c r="N7" t="n">
        <v>32.3460900503756</v>
      </c>
      <c r="O7" t="n">
        <v>54.4890510244582</v>
      </c>
      <c r="P7" t="n">
        <v>37.8965204493412</v>
      </c>
      <c r="Q7" t="n">
        <v>32.350688188462</v>
      </c>
      <c r="R7" t="n">
        <v>43.9900892298134</v>
      </c>
      <c r="S7" t="n">
        <v>31.613216666849</v>
      </c>
      <c r="T7" t="n">
        <v>56.3068022177782</v>
      </c>
      <c r="U7" t="n">
        <v>44.3466461381069</v>
      </c>
      <c r="V7" t="n">
        <v>27.5814506468714</v>
      </c>
      <c r="W7" t="n">
        <v>78.7489081553197</v>
      </c>
      <c r="X7" t="n">
        <v>78.3703076353422</v>
      </c>
      <c r="Y7" t="n">
        <v>60.5705155416942</v>
      </c>
      <c r="Z7" t="n">
        <v>49.8892633386427</v>
      </c>
      <c r="AA7" t="n">
        <v>35.4052836596819</v>
      </c>
      <c r="AB7" t="n">
        <v>199.64646063654</v>
      </c>
      <c r="AC7" t="n">
        <v>210.327603095182</v>
      </c>
      <c r="AD7" t="n">
        <v>47.5987377279102</v>
      </c>
      <c r="AE7" t="n">
        <v>73.3</v>
      </c>
      <c r="AF7" t="n">
        <v>69.2</v>
      </c>
    </row>
    <row r="8">
      <c r="A8" t="s">
        <v>59</v>
      </c>
      <c r="B8" t="s">
        <v>286</v>
      </c>
      <c r="C8" t="s">
        <v>203</v>
      </c>
      <c r="D8" t="s">
        <v>287</v>
      </c>
      <c r="E8" t="s">
        <v>204</v>
      </c>
      <c r="F8" t="n">
        <v>83.6198075404104</v>
      </c>
      <c r="G8" t="n">
        <v>22.8054020564756</v>
      </c>
      <c r="H8" t="n">
        <v>54.7329649355413</v>
      </c>
      <c r="I8" t="n">
        <v>64.3563433857464</v>
      </c>
      <c r="J8" t="n">
        <v>34.3683090332258</v>
      </c>
      <c r="K8" t="n">
        <v>15.6566741151362</v>
      </c>
      <c r="L8" t="n">
        <v>0.763740200738351</v>
      </c>
      <c r="M8" t="n">
        <v>32.5862485648363</v>
      </c>
      <c r="N8" t="n">
        <v>88.9384077371097</v>
      </c>
      <c r="O8" t="n">
        <v>72.4417675923232</v>
      </c>
      <c r="P8" t="n">
        <v>108.209890341033</v>
      </c>
      <c r="Q8" t="n">
        <v>71.5944454052202</v>
      </c>
      <c r="R8" t="n">
        <v>74.8228421476306</v>
      </c>
      <c r="S8" t="n">
        <v>104.884116476259</v>
      </c>
      <c r="T8" t="n">
        <v>519.161350179765</v>
      </c>
      <c r="U8" t="n">
        <v>78.9672520611444</v>
      </c>
      <c r="V8" t="n">
        <v>62.2166228360531</v>
      </c>
      <c r="W8" t="n">
        <v>130.839991730739</v>
      </c>
      <c r="X8" t="n">
        <v>130.282632873526</v>
      </c>
      <c r="Y8" t="n">
        <v>-32.5352937686329</v>
      </c>
      <c r="Z8" t="n">
        <v>1083.5980362677</v>
      </c>
      <c r="AA8" t="n">
        <v>416.494735930606</v>
      </c>
      <c r="AB8" t="n">
        <v>103.071243746766</v>
      </c>
      <c r="AC8" t="n">
        <v>42.2682512733447</v>
      </c>
      <c r="AD8" t="n">
        <v>4.12903225806452</v>
      </c>
      <c r="AE8" t="n">
        <v>41.6</v>
      </c>
      <c r="AF8" t="n">
        <v>8.7</v>
      </c>
    </row>
    <row r="9">
      <c r="A9" t="s">
        <v>59</v>
      </c>
      <c r="B9" t="s">
        <v>288</v>
      </c>
      <c r="C9" t="s">
        <v>203</v>
      </c>
      <c r="D9" t="s">
        <v>289</v>
      </c>
      <c r="E9" t="s">
        <v>204</v>
      </c>
      <c r="F9" t="n">
        <v>40.7311157434046</v>
      </c>
      <c r="G9" t="n">
        <v>14.8113148157835</v>
      </c>
      <c r="H9" t="n">
        <v>38.5094185210371</v>
      </c>
      <c r="I9" t="n">
        <v>45.4005776248016</v>
      </c>
      <c r="J9" t="n">
        <v>35.8185461663008</v>
      </c>
      <c r="K9" t="n">
        <v>28.6548369330406</v>
      </c>
      <c r="L9" t="n">
        <v>8.29482121745912</v>
      </c>
      <c r="M9" t="n">
        <v>42.324856981394</v>
      </c>
      <c r="N9" t="n">
        <v>23.5138094341078</v>
      </c>
      <c r="O9" t="n">
        <v>21.3218441478774</v>
      </c>
      <c r="P9" t="n">
        <v>23.963488555579</v>
      </c>
      <c r="Q9" t="n">
        <v>20.1977974968452</v>
      </c>
      <c r="R9" t="n">
        <v>31.5590585888206</v>
      </c>
      <c r="S9" t="n">
        <v>35.8126708334007</v>
      </c>
      <c r="T9" t="n">
        <v>71.7505607955895</v>
      </c>
      <c r="U9" t="n">
        <v>41.0180235290849</v>
      </c>
      <c r="V9" t="n">
        <v>27.8024901124192</v>
      </c>
      <c r="W9" t="n">
        <v>73.0706470903326</v>
      </c>
      <c r="X9" t="n">
        <v>72.8379380231659</v>
      </c>
      <c r="Y9" t="n">
        <v>170.506991281502</v>
      </c>
      <c r="Z9" t="n">
        <v>40.0058806399001</v>
      </c>
      <c r="AA9" t="n">
        <v>64.88059725554</v>
      </c>
      <c r="AB9" t="n">
        <v>138.070463984158</v>
      </c>
      <c r="AC9" t="n">
        <v>40.2135922330097</v>
      </c>
      <c r="AD9" t="n">
        <v>33.5837837837838</v>
      </c>
      <c r="AE9" t="n">
        <v>45.6</v>
      </c>
      <c r="AF9" t="n">
        <v>43.3</v>
      </c>
    </row>
    <row r="10">
      <c r="A10" t="s">
        <v>59</v>
      </c>
      <c r="B10" t="s">
        <v>290</v>
      </c>
      <c r="C10" t="s">
        <v>203</v>
      </c>
      <c r="D10" t="s">
        <v>291</v>
      </c>
      <c r="E10" t="s">
        <v>204</v>
      </c>
      <c r="F10" t="n">
        <v>45.2515366975813</v>
      </c>
      <c r="G10" t="n">
        <v>16.4551042536659</v>
      </c>
      <c r="H10" t="n">
        <v>42.7832710595314</v>
      </c>
      <c r="I10" t="n">
        <v>50.6414228867922</v>
      </c>
      <c r="J10" t="n">
        <v>45.7247798880746</v>
      </c>
      <c r="K10" t="n">
        <v>32.7786072691619</v>
      </c>
      <c r="L10" t="n">
        <v>9.48141532579062</v>
      </c>
      <c r="M10" t="n">
        <v>87.5902177715896</v>
      </c>
      <c r="N10" t="n">
        <v>65.4758558589605</v>
      </c>
      <c r="O10" t="n">
        <v>64.8422185441964</v>
      </c>
      <c r="P10" t="n">
        <v>61.2509572094409</v>
      </c>
      <c r="Q10" t="n">
        <v>42.5153702983178</v>
      </c>
      <c r="R10" t="n">
        <v>62.2783744604265</v>
      </c>
      <c r="S10" t="n">
        <v>110.684999621083</v>
      </c>
      <c r="T10" t="n">
        <v>80.6419282953603</v>
      </c>
      <c r="U10" t="n">
        <v>79.2088730267836</v>
      </c>
      <c r="V10" t="n">
        <v>88.3887093047221</v>
      </c>
      <c r="W10" t="n">
        <v>142.272066745083</v>
      </c>
      <c r="X10" t="n">
        <v>141.660406956841</v>
      </c>
      <c r="Y10" t="n">
        <v>206.774488751038</v>
      </c>
      <c r="Z10" t="n">
        <v>59.2593145961335</v>
      </c>
      <c r="AA10" t="n">
        <v>106.71494457759</v>
      </c>
      <c r="AB10" t="n">
        <v>221.924015909674</v>
      </c>
      <c r="AC10" t="n">
        <v>126.813723376957</v>
      </c>
      <c r="AD10" t="n">
        <v>102.514087759815</v>
      </c>
      <c r="AE10" t="n">
        <v>88.6</v>
      </c>
      <c r="AF10" t="n">
        <v>103.3</v>
      </c>
    </row>
    <row r="11">
      <c r="A11" t="s">
        <v>59</v>
      </c>
      <c r="B11" t="s">
        <v>292</v>
      </c>
      <c r="C11" t="s">
        <v>203</v>
      </c>
      <c r="D11" t="s">
        <v>293</v>
      </c>
      <c r="E11" t="s">
        <v>204</v>
      </c>
      <c r="F11" t="n">
        <v>0</v>
      </c>
      <c r="G11" t="n">
        <v>0</v>
      </c>
      <c r="H11" t="n">
        <v>1.78479982443522</v>
      </c>
      <c r="I11" t="n">
        <v>2.37973309924695</v>
      </c>
      <c r="J11" t="n">
        <v>9.85889426830881</v>
      </c>
      <c r="K11" t="n">
        <v>2.6543176876216</v>
      </c>
      <c r="L11" t="n">
        <v>0.758376482177601</v>
      </c>
      <c r="M11" t="n">
        <v>47.7777183771889</v>
      </c>
      <c r="N11" t="n">
        <v>45.3524534849458</v>
      </c>
      <c r="O11" t="n">
        <v>47.2421390468185</v>
      </c>
      <c r="P11" t="n">
        <v>40.1112501340912</v>
      </c>
      <c r="Q11" t="n">
        <v>23.6656375791138</v>
      </c>
      <c r="R11" t="n">
        <v>32.3553638776947</v>
      </c>
      <c r="S11" t="n">
        <v>81.290839593213</v>
      </c>
      <c r="T11" t="n">
        <v>5.7226403323742</v>
      </c>
      <c r="U11" t="n">
        <v>39.6292843016913</v>
      </c>
      <c r="V11" t="n">
        <v>64.9920262547738</v>
      </c>
      <c r="W11" t="n">
        <v>71.8622193049613</v>
      </c>
      <c r="X11" t="n">
        <v>71.4592535892325</v>
      </c>
      <c r="Y11" t="n">
        <v>30.2747219404764</v>
      </c>
      <c r="Z11" t="n">
        <v>18.8869824949761</v>
      </c>
      <c r="AA11" t="n">
        <v>42.2645762125339</v>
      </c>
      <c r="AB11" t="n">
        <v>84.2666395293378</v>
      </c>
      <c r="AC11" t="n">
        <v>86.4071022981311</v>
      </c>
      <c r="AD11" t="n">
        <v>68.7796208530806</v>
      </c>
      <c r="AE11" t="n">
        <v>43</v>
      </c>
      <c r="AF11" t="n">
        <v>60</v>
      </c>
    </row>
    <row r="12">
      <c r="A12" t="s">
        <v>59</v>
      </c>
      <c r="B12" t="s">
        <v>294</v>
      </c>
      <c r="C12" t="s">
        <v>203</v>
      </c>
      <c r="D12" t="s">
        <v>295</v>
      </c>
      <c r="E12" t="s">
        <v>204</v>
      </c>
      <c r="F12" t="n">
        <v>93.0116682636021</v>
      </c>
      <c r="G12" t="n">
        <v>31.0038894212007</v>
      </c>
      <c r="H12" t="n">
        <v>74.4093346108817</v>
      </c>
      <c r="I12" t="n">
        <v>87.2801384354666</v>
      </c>
      <c r="J12" t="n">
        <v>44.2038944014249</v>
      </c>
      <c r="K12" t="n">
        <v>111.271872113932</v>
      </c>
      <c r="L12" t="n">
        <v>439.812749597053</v>
      </c>
      <c r="M12" t="n">
        <v>47.9241232844733</v>
      </c>
      <c r="N12" t="n">
        <v>42.9233452026153</v>
      </c>
      <c r="O12" t="n">
        <v>161.115115642044</v>
      </c>
      <c r="P12" t="n">
        <v>226.369624844736</v>
      </c>
      <c r="Q12" t="n">
        <v>143.089248269752</v>
      </c>
      <c r="R12" t="n">
        <v>114.084670917775</v>
      </c>
      <c r="S12" t="n">
        <v>164.664081669499</v>
      </c>
      <c r="T12" t="n">
        <v>212.094496498213</v>
      </c>
      <c r="U12" t="n">
        <v>97.5685303103353</v>
      </c>
      <c r="V12" t="n">
        <v>109.939964872561</v>
      </c>
      <c r="W12" t="n">
        <v>182.057663068831</v>
      </c>
      <c r="X12" t="n">
        <v>181.224174748699</v>
      </c>
      <c r="Y12" t="n">
        <v>76.8390500934485</v>
      </c>
      <c r="Z12" t="n">
        <v>282.605160199462</v>
      </c>
      <c r="AA12" t="n">
        <v>221.729152202892</v>
      </c>
      <c r="AB12" t="n">
        <v>146.65733232707</v>
      </c>
      <c r="AC12" t="n">
        <v>99.6270181648648</v>
      </c>
      <c r="AD12" t="n">
        <v>83.5826235093697</v>
      </c>
      <c r="AE12" t="n">
        <v>60.2</v>
      </c>
      <c r="AF12" t="n">
        <v>126.8</v>
      </c>
    </row>
    <row r="13">
      <c r="A13" t="s">
        <v>59</v>
      </c>
      <c r="B13" t="s">
        <v>296</v>
      </c>
      <c r="C13" t="s">
        <v>203</v>
      </c>
      <c r="D13" t="s">
        <v>297</v>
      </c>
      <c r="E13" t="s">
        <v>204</v>
      </c>
      <c r="F13" t="n">
        <v>47.5772225807633</v>
      </c>
      <c r="G13" t="n">
        <v>17.3008082111867</v>
      </c>
      <c r="H13" t="n">
        <v>41.521939706848</v>
      </c>
      <c r="I13" t="n">
        <v>49.0312266751077</v>
      </c>
      <c r="J13" t="n">
        <v>58.4412600774011</v>
      </c>
      <c r="K13" t="n">
        <v>158.069693923637</v>
      </c>
      <c r="L13" t="n">
        <v>44.3366214663861</v>
      </c>
      <c r="M13" t="n">
        <v>171.38726255017</v>
      </c>
      <c r="N13" t="n">
        <v>114.258175033447</v>
      </c>
      <c r="O13" t="n">
        <v>154.34876276448</v>
      </c>
      <c r="P13" t="n">
        <v>106.9054955213</v>
      </c>
      <c r="Q13" t="n">
        <v>138.292340291788</v>
      </c>
      <c r="R13" t="n">
        <v>178.98728374071</v>
      </c>
      <c r="S13" t="n">
        <v>82.432393969778</v>
      </c>
      <c r="T13" t="n">
        <v>168.21797006714</v>
      </c>
      <c r="U13" t="n">
        <v>136.426570629636</v>
      </c>
      <c r="V13" t="n">
        <v>62.9232754332608</v>
      </c>
      <c r="W13" t="n">
        <v>141.11274638303</v>
      </c>
      <c r="X13" t="n">
        <v>140.463056022151</v>
      </c>
      <c r="Y13" t="n">
        <v>144.815432405935</v>
      </c>
      <c r="Z13" t="n">
        <v>80.7366186233462</v>
      </c>
      <c r="AA13" t="n">
        <v>119.127964919756</v>
      </c>
      <c r="AB13" t="n">
        <v>144.755067064368</v>
      </c>
      <c r="AC13" t="n">
        <v>153.32980213599</v>
      </c>
      <c r="AD13" t="n">
        <v>88.5881545064378</v>
      </c>
      <c r="AE13" t="n">
        <v>118.9</v>
      </c>
      <c r="AF13" t="n">
        <v>94.7</v>
      </c>
    </row>
    <row r="14">
      <c r="A14" t="s">
        <v>59</v>
      </c>
      <c r="B14" t="s">
        <v>298</v>
      </c>
      <c r="C14" t="s">
        <v>203</v>
      </c>
      <c r="D14" t="s">
        <v>299</v>
      </c>
      <c r="E14" t="s">
        <v>204</v>
      </c>
      <c r="F14" t="e">
        <v>#NUM!</v>
      </c>
      <c r="G14" t="n">
        <v>2.4841552119827</v>
      </c>
      <c r="H14" t="n">
        <v>4.96831042396539</v>
      </c>
      <c r="I14" t="n">
        <v>5.79636216129296</v>
      </c>
      <c r="J14" t="n">
        <v>10.665306376779</v>
      </c>
      <c r="K14" t="n">
        <v>19.249577362967</v>
      </c>
      <c r="L14" t="n">
        <v>51.8455283642579</v>
      </c>
      <c r="M14" t="n">
        <v>17.4308241914315</v>
      </c>
      <c r="N14" t="n">
        <v>11.8357448213424</v>
      </c>
      <c r="O14" t="n">
        <v>13.5265655101056</v>
      </c>
      <c r="P14" t="n">
        <v>8.75248356536245</v>
      </c>
      <c r="Q14" t="n">
        <v>18.0408334714614</v>
      </c>
      <c r="R14" t="n">
        <v>11.4203441241361</v>
      </c>
      <c r="S14" t="n">
        <v>21.2505137499748</v>
      </c>
      <c r="T14" t="n">
        <v>7.78745534936964</v>
      </c>
      <c r="U14" t="n">
        <v>11.551392101565</v>
      </c>
      <c r="V14" t="n">
        <v>19.9524045390667</v>
      </c>
      <c r="W14" t="n">
        <v>22.8205626915576</v>
      </c>
      <c r="X14" t="n">
        <v>22.6985275969503</v>
      </c>
      <c r="Y14" t="n">
        <v>45.6437783199545</v>
      </c>
      <c r="Z14" t="n">
        <v>26.7091340168964</v>
      </c>
      <c r="AA14" t="n">
        <v>11.2082973106619</v>
      </c>
      <c r="AB14" t="n">
        <v>30.6439617961714</v>
      </c>
      <c r="AC14" t="n">
        <v>36.2978292862399</v>
      </c>
      <c r="AD14" t="n">
        <v>23.4039735099338</v>
      </c>
      <c r="AE14" t="n">
        <v>15.5</v>
      </c>
      <c r="AF14" t="n">
        <v>16.7</v>
      </c>
    </row>
    <row r="15">
      <c r="A15" t="s">
        <v>59</v>
      </c>
      <c r="B15" t="s">
        <v>300</v>
      </c>
      <c r="C15" t="s">
        <v>203</v>
      </c>
      <c r="D15" t="s">
        <v>301</v>
      </c>
      <c r="E15" t="s">
        <v>204</v>
      </c>
      <c r="F15" t="e">
        <v>#NUM!</v>
      </c>
      <c r="G15" t="n">
        <v>6.10235148736177</v>
      </c>
      <c r="H15" t="n">
        <v>9.15352723104265</v>
      </c>
      <c r="I15" t="n">
        <v>10.7454450103544</v>
      </c>
      <c r="J15" t="n">
        <v>23.2817975224346</v>
      </c>
      <c r="K15" t="n">
        <v>31.6328770685252</v>
      </c>
      <c r="L15" t="n">
        <v>54.227789260329</v>
      </c>
      <c r="M15" t="n">
        <v>24.9272902245061</v>
      </c>
      <c r="N15" t="n">
        <v>19.2235882239835</v>
      </c>
      <c r="O15" t="n">
        <v>20.2571144725847</v>
      </c>
      <c r="P15" t="n">
        <v>27.6587524529523</v>
      </c>
      <c r="Q15" t="n">
        <v>52.4987785412724</v>
      </c>
      <c r="R15" t="n">
        <v>47.9336673637705</v>
      </c>
      <c r="S15" t="n">
        <v>46.2318803567727</v>
      </c>
      <c r="T15" t="n">
        <v>43.261675752846</v>
      </c>
      <c r="U15" t="n">
        <v>42.6235979393822</v>
      </c>
      <c r="V15" t="n">
        <v>40.8207871504053</v>
      </c>
      <c r="W15" t="n">
        <v>58.7181893244568</v>
      </c>
      <c r="X15" t="n">
        <v>58.4780331309008</v>
      </c>
      <c r="Y15" t="n">
        <v>64.5694949153696</v>
      </c>
      <c r="Z15" t="n">
        <v>109.681387716127</v>
      </c>
      <c r="AA15" t="n">
        <v>61.9169124203942</v>
      </c>
      <c r="AB15" t="n">
        <v>94.3439860978683</v>
      </c>
      <c r="AC15" t="n">
        <v>89.0272386798829</v>
      </c>
      <c r="AD15" t="n">
        <v>83.6119565217391</v>
      </c>
      <c r="AE15" t="n">
        <v>37.8</v>
      </c>
      <c r="AF15" t="n">
        <v>59.7</v>
      </c>
    </row>
    <row r="16">
      <c r="A16" t="s">
        <v>59</v>
      </c>
      <c r="B16" t="s">
        <v>302</v>
      </c>
      <c r="C16" t="s">
        <v>203</v>
      </c>
      <c r="D16" t="s">
        <v>303</v>
      </c>
      <c r="E16" t="s">
        <v>204</v>
      </c>
      <c r="F16" t="e">
        <v>#NUM!</v>
      </c>
      <c r="G16" t="n">
        <v>4.20983639044619</v>
      </c>
      <c r="H16" t="n">
        <v>4.20983639044619</v>
      </c>
      <c r="I16" t="n">
        <v>4.97526118870914</v>
      </c>
      <c r="J16" t="n">
        <v>12.5463108237013</v>
      </c>
      <c r="K16" t="n">
        <v>12.5463108237013</v>
      </c>
      <c r="L16" t="n">
        <v>3.4440853241533</v>
      </c>
      <c r="M16" t="n">
        <v>7.74919197934492</v>
      </c>
      <c r="N16" t="n">
        <v>7.53975435828155</v>
      </c>
      <c r="O16" t="n">
        <v>6.92842292382629</v>
      </c>
      <c r="P16" t="n">
        <v>18.8607068481938</v>
      </c>
      <c r="Q16" t="n">
        <v>34.4033263805016</v>
      </c>
      <c r="R16" t="n">
        <v>36.3415419512341</v>
      </c>
      <c r="S16" t="n">
        <v>25.1163552481502</v>
      </c>
      <c r="T16" t="n">
        <v>35.1883961852257</v>
      </c>
      <c r="U16" t="n">
        <v>30.9002045354132</v>
      </c>
      <c r="V16" t="n">
        <v>20.9816203635522</v>
      </c>
      <c r="W16" t="n">
        <v>35.8991885989101</v>
      </c>
      <c r="X16" t="n">
        <v>35.7803171134833</v>
      </c>
      <c r="Y16" t="n">
        <v>19.3407119532342</v>
      </c>
      <c r="Z16" t="n">
        <v>82.7831747297667</v>
      </c>
      <c r="AA16" t="n">
        <v>50.537603836444</v>
      </c>
      <c r="AB16" t="n">
        <v>63.7264011424906</v>
      </c>
      <c r="AC16" t="n">
        <v>52.7468968603919</v>
      </c>
      <c r="AD16" t="n">
        <v>60.2202764976959</v>
      </c>
      <c r="AE16" t="n">
        <v>22.3</v>
      </c>
      <c r="AF16" t="n">
        <v>43</v>
      </c>
    </row>
    <row r="17">
      <c r="A17" t="s">
        <v>59</v>
      </c>
      <c r="B17" t="s">
        <v>304</v>
      </c>
      <c r="C17" t="s">
        <v>203</v>
      </c>
      <c r="D17" t="s">
        <v>305</v>
      </c>
      <c r="E17" t="s">
        <v>204</v>
      </c>
      <c r="F17" t="n">
        <v>16.0186287426982</v>
      </c>
      <c r="G17" t="n">
        <v>5.33954291423274</v>
      </c>
      <c r="H17" t="n">
        <v>10.6790858284655</v>
      </c>
      <c r="I17" t="n">
        <v>12.5860654406915</v>
      </c>
      <c r="J17" t="n">
        <v>23.7037565799689</v>
      </c>
      <c r="K17" t="n">
        <v>60.2075417131211</v>
      </c>
      <c r="L17" t="n">
        <v>204.518225352353</v>
      </c>
      <c r="M17" t="n">
        <v>29.8551927773544</v>
      </c>
      <c r="N17" t="n">
        <v>22.44017757775</v>
      </c>
      <c r="O17" t="n">
        <v>37.2735152986356</v>
      </c>
      <c r="P17" t="n">
        <v>20.1673126253487</v>
      </c>
      <c r="Q17" t="n">
        <v>45.8643722608738</v>
      </c>
      <c r="R17" t="n">
        <v>28.3634933718561</v>
      </c>
      <c r="S17" t="n">
        <v>19.3029329891799</v>
      </c>
      <c r="T17" t="n">
        <v>33.0907422671655</v>
      </c>
      <c r="U17" t="n">
        <v>37.2419106519354</v>
      </c>
      <c r="V17" t="n">
        <v>17.6660345400206</v>
      </c>
      <c r="W17" t="n">
        <v>26.1001413526756</v>
      </c>
      <c r="X17" t="n">
        <v>25.9886022870659</v>
      </c>
      <c r="Y17" t="n">
        <v>29.279735327786</v>
      </c>
      <c r="Z17" t="n">
        <v>39.4639910939725</v>
      </c>
      <c r="AA17" t="n">
        <v>28.9109461217682</v>
      </c>
      <c r="AB17" t="n">
        <v>53.6604681805545</v>
      </c>
      <c r="AC17" t="n">
        <v>26.3774031351671</v>
      </c>
      <c r="AD17" t="n">
        <v>34.8095238095238</v>
      </c>
      <c r="AE17" t="n">
        <v>55.9</v>
      </c>
      <c r="AF17" t="n">
        <v>57.4</v>
      </c>
    </row>
    <row r="18">
      <c r="A18" t="s">
        <v>59</v>
      </c>
      <c r="B18" t="s">
        <v>306</v>
      </c>
      <c r="C18" t="s">
        <v>203</v>
      </c>
      <c r="D18" t="s">
        <v>307</v>
      </c>
      <c r="E18" t="s">
        <v>204</v>
      </c>
      <c r="F18" t="e">
        <v>#NUM!</v>
      </c>
      <c r="G18" t="n">
        <v>2.20817281890855</v>
      </c>
      <c r="H18" t="n">
        <v>4.41634563781711</v>
      </c>
      <c r="I18" t="n">
        <v>5.21931757196567</v>
      </c>
      <c r="J18" t="n">
        <v>7.39403322695137</v>
      </c>
      <c r="K18" t="n">
        <v>8.87283987234165</v>
      </c>
      <c r="L18" t="n">
        <v>16.266873099293</v>
      </c>
      <c r="M18" t="n">
        <v>5.13690729451358</v>
      </c>
      <c r="N18" t="n">
        <v>11.3011960479299</v>
      </c>
      <c r="O18" t="n">
        <v>7.66866874680957</v>
      </c>
      <c r="P18" t="n">
        <v>12.7187676776354</v>
      </c>
      <c r="Q18" t="n">
        <v>31.1275103689497</v>
      </c>
      <c r="R18" t="n">
        <v>26.1718868276244</v>
      </c>
      <c r="S18" t="n">
        <v>26.3067934607565</v>
      </c>
      <c r="T18" t="n">
        <v>19.3324342641838</v>
      </c>
      <c r="U18" t="n">
        <v>17.036707695312</v>
      </c>
      <c r="V18" t="n">
        <v>23.1212461579234</v>
      </c>
      <c r="W18" t="n">
        <v>29.9420137745109</v>
      </c>
      <c r="X18" t="n">
        <v>29.7160363120617</v>
      </c>
      <c r="Y18" t="n">
        <v>40.4595263633456</v>
      </c>
      <c r="Z18" t="n">
        <v>-1.86020810865957</v>
      </c>
      <c r="AA18" t="n">
        <v>33.155473936697</v>
      </c>
      <c r="AB18" t="n">
        <v>67.07439628641</v>
      </c>
      <c r="AC18" t="n">
        <v>38.409155981576</v>
      </c>
      <c r="AD18" t="n">
        <v>75.0920577617329</v>
      </c>
      <c r="AE18" t="n">
        <v>28.3</v>
      </c>
      <c r="AF18" t="n">
        <v>9.7</v>
      </c>
    </row>
    <row r="19">
      <c r="A19" t="s">
        <v>59</v>
      </c>
      <c r="B19" t="s">
        <v>308</v>
      </c>
      <c r="C19" t="s">
        <v>203</v>
      </c>
      <c r="D19" t="s">
        <v>309</v>
      </c>
      <c r="E19" t="s">
        <v>204</v>
      </c>
      <c r="F19" t="e">
        <v>#NUM!</v>
      </c>
      <c r="G19" t="n">
        <v>0</v>
      </c>
      <c r="H19" t="n">
        <v>3.44590671083354</v>
      </c>
      <c r="I19" t="n">
        <v>4.21166375768544</v>
      </c>
      <c r="J19" t="n">
        <v>5.76332935262218</v>
      </c>
      <c r="K19" t="n">
        <v>157.113369743222</v>
      </c>
      <c r="L19" t="n">
        <v>54.7666478127004</v>
      </c>
      <c r="M19" t="n">
        <v>12.6714989056836</v>
      </c>
      <c r="N19" t="n">
        <v>11.8539828472524</v>
      </c>
      <c r="O19" t="n">
        <v>19.6896664242498</v>
      </c>
      <c r="P19" t="n">
        <v>44.301749454562</v>
      </c>
      <c r="Q19" t="n">
        <v>46.3543401628815</v>
      </c>
      <c r="R19" t="n">
        <v>43.8143763183401</v>
      </c>
      <c r="S19" t="n">
        <v>51.9949086056251</v>
      </c>
      <c r="T19" t="n">
        <v>49.9707759105156</v>
      </c>
      <c r="U19" t="n">
        <v>61.2423794993537</v>
      </c>
      <c r="V19" t="n">
        <v>44.9866861754512</v>
      </c>
      <c r="W19" t="n">
        <v>53.4066541762041</v>
      </c>
      <c r="X19" t="n">
        <v>53.1713825719036</v>
      </c>
      <c r="Y19" t="n">
        <v>45.6437486347577</v>
      </c>
      <c r="Z19" t="n">
        <v>23.8564659531</v>
      </c>
      <c r="AA19" t="n">
        <v>102.953389477213</v>
      </c>
      <c r="AB19" t="n">
        <v>68.865913766637</v>
      </c>
      <c r="AC19" t="n">
        <v>36.4315530539921</v>
      </c>
      <c r="AD19" t="n">
        <v>21.269918699187</v>
      </c>
      <c r="AE19" t="n">
        <v>12.7</v>
      </c>
      <c r="AF19" t="n">
        <v>48.8</v>
      </c>
    </row>
    <row r="20">
      <c r="A20" t="s">
        <v>59</v>
      </c>
      <c r="B20" t="s">
        <v>310</v>
      </c>
      <c r="C20" t="s">
        <v>203</v>
      </c>
      <c r="D20" t="s">
        <v>311</v>
      </c>
      <c r="E20" t="s">
        <v>204</v>
      </c>
      <c r="F20" t="n">
        <v>126.856093395329</v>
      </c>
      <c r="G20" t="n">
        <v>42.2853644651097</v>
      </c>
      <c r="H20" t="n">
        <v>109.237191534867</v>
      </c>
      <c r="I20" t="n">
        <v>127.990357463599</v>
      </c>
      <c r="J20" t="n">
        <v>162.348424733541</v>
      </c>
      <c r="K20" t="n">
        <v>5.91433241287945</v>
      </c>
      <c r="L20" t="n">
        <v>22.1787465482979</v>
      </c>
      <c r="M20" t="n">
        <v>360.017792807255</v>
      </c>
      <c r="N20" t="n">
        <v>284.354712725511</v>
      </c>
      <c r="O20" t="n">
        <v>549.190161272406</v>
      </c>
      <c r="P20" t="n">
        <v>1126.42116515025</v>
      </c>
      <c r="Q20" t="n">
        <v>1331.86128262466</v>
      </c>
      <c r="R20" t="n">
        <v>1103.68393066662</v>
      </c>
      <c r="S20" t="n">
        <v>1764.16536710862</v>
      </c>
      <c r="T20" t="n">
        <v>2500.04148369082</v>
      </c>
      <c r="U20" t="n">
        <v>2018.78611929692</v>
      </c>
      <c r="V20" t="n">
        <v>1247.92202846938</v>
      </c>
      <c r="W20" t="n">
        <v>1585.16717059462</v>
      </c>
      <c r="X20" t="n">
        <v>1577.99064811789</v>
      </c>
      <c r="Y20" t="n">
        <v>1466.87862673716</v>
      </c>
      <c r="Z20" t="n">
        <v>540.65869638517</v>
      </c>
      <c r="AA20" t="n">
        <v>2315.23113715604</v>
      </c>
      <c r="AB20" t="n">
        <v>354.204004617089</v>
      </c>
      <c r="AC20" t="n">
        <v>122.442299276462</v>
      </c>
      <c r="AD20" t="n">
        <v>85.3153409090909</v>
      </c>
      <c r="AE20" t="n">
        <v>254.5</v>
      </c>
      <c r="AF20" t="n">
        <v>114.7</v>
      </c>
    </row>
    <row r="21">
      <c r="A21" t="s">
        <v>59</v>
      </c>
      <c r="B21" t="s">
        <v>312</v>
      </c>
      <c r="C21" t="s">
        <v>203</v>
      </c>
      <c r="D21" t="s">
        <v>313</v>
      </c>
      <c r="E21" t="s">
        <v>204</v>
      </c>
      <c r="F21" t="n">
        <v>130.874107074447</v>
      </c>
      <c r="G21" t="n">
        <v>45.1290024394645</v>
      </c>
      <c r="H21" t="n">
        <v>118.02969868783</v>
      </c>
      <c r="I21" t="n">
        <v>138.09008225928</v>
      </c>
      <c r="J21" t="n">
        <v>193.847209813027</v>
      </c>
      <c r="K21" t="n">
        <v>21.1469683432393</v>
      </c>
      <c r="L21" t="n">
        <v>28.1959577909857</v>
      </c>
      <c r="M21" t="n">
        <v>400.895254410015</v>
      </c>
      <c r="N21" t="n">
        <v>322.485943461643</v>
      </c>
      <c r="O21" t="n">
        <v>620.773461745257</v>
      </c>
      <c r="P21" t="n">
        <v>1188.28596565549</v>
      </c>
      <c r="Q21" t="n">
        <v>1368.97418808941</v>
      </c>
      <c r="R21" t="n">
        <v>1195.81355720473</v>
      </c>
      <c r="S21" t="n">
        <v>1880.41062063832</v>
      </c>
      <c r="T21" t="n">
        <v>2708.29085067369</v>
      </c>
      <c r="U21" t="n">
        <v>2091.0441592984</v>
      </c>
      <c r="V21" t="n">
        <v>1318.80483191319</v>
      </c>
      <c r="W21" t="n">
        <v>1620.92375417852</v>
      </c>
      <c r="X21" t="n">
        <v>1613.50950036205</v>
      </c>
      <c r="Y21" t="n">
        <v>1836.68916904389</v>
      </c>
      <c r="Z21" t="n">
        <v>2247.73496937641</v>
      </c>
      <c r="AA21" t="n">
        <v>2379.8899590106</v>
      </c>
      <c r="AB21" t="n">
        <v>383.795983525709</v>
      </c>
      <c r="AC21" t="n">
        <v>165.626242890559</v>
      </c>
      <c r="AD21" t="n">
        <v>117.350517104216</v>
      </c>
      <c r="AE21" t="n">
        <v>259.7</v>
      </c>
      <c r="AF21" t="n">
        <v>166.8</v>
      </c>
    </row>
    <row r="22">
      <c r="A22" t="s">
        <v>59</v>
      </c>
      <c r="B22" t="s">
        <v>314</v>
      </c>
      <c r="C22" t="s">
        <v>203</v>
      </c>
      <c r="D22" t="s">
        <v>315</v>
      </c>
      <c r="E22" t="s">
        <v>204</v>
      </c>
      <c r="F22" t="n">
        <v>5.88459385836802</v>
      </c>
      <c r="G22" t="n">
        <v>2.94229692918401</v>
      </c>
      <c r="H22" t="n">
        <v>8.82689078755203</v>
      </c>
      <c r="I22" t="n">
        <v>10.1509244056848</v>
      </c>
      <c r="J22" t="n">
        <v>30.2110845407287</v>
      </c>
      <c r="K22" t="n">
        <v>14.1529405055666</v>
      </c>
      <c r="L22" t="n">
        <v>5.71561058878651</v>
      </c>
      <c r="M22" t="n">
        <v>40.0092741215056</v>
      </c>
      <c r="N22" t="n">
        <v>37.0371566153366</v>
      </c>
      <c r="O22" t="n">
        <v>69.612005204729</v>
      </c>
      <c r="P22" t="n">
        <v>63.7055320358429</v>
      </c>
      <c r="Q22" t="n">
        <v>41.836468799658</v>
      </c>
      <c r="R22" t="n">
        <v>91.7930961005155</v>
      </c>
      <c r="S22" t="n">
        <v>117.821675363917</v>
      </c>
      <c r="T22" t="n">
        <v>207.48383021874</v>
      </c>
      <c r="U22" t="n">
        <v>78.2225135316641</v>
      </c>
      <c r="V22" t="n">
        <v>72.7748741964233</v>
      </c>
      <c r="W22" t="n">
        <v>41.9087483946496</v>
      </c>
      <c r="X22" t="n">
        <v>41.6484456095896</v>
      </c>
      <c r="Y22" t="n">
        <v>351.375810111285</v>
      </c>
      <c r="Z22" t="n">
        <v>1587.70307778599</v>
      </c>
      <c r="AA22" t="n">
        <v>72.8936606429044</v>
      </c>
      <c r="AB22" t="n">
        <v>29.5136636459927</v>
      </c>
      <c r="AC22" t="n">
        <v>43.4634812286689</v>
      </c>
      <c r="AD22" t="n">
        <v>32.24</v>
      </c>
      <c r="AE22" t="n">
        <v>5.2</v>
      </c>
      <c r="AF22" t="n">
        <v>52.1</v>
      </c>
    </row>
    <row r="23">
      <c r="A23" t="s">
        <v>59</v>
      </c>
      <c r="B23" t="s">
        <v>316</v>
      </c>
      <c r="C23" t="s">
        <v>203</v>
      </c>
      <c r="D23" t="s">
        <v>317</v>
      </c>
      <c r="E23" t="s">
        <v>204</v>
      </c>
      <c r="F23" t="n">
        <v>62.5567875275983</v>
      </c>
      <c r="G23" t="n">
        <v>22.3417098312851</v>
      </c>
      <c r="H23" t="n">
        <v>54.2584381616924</v>
      </c>
      <c r="I23" t="n">
        <v>63.3738557728567</v>
      </c>
      <c r="J23" t="n">
        <v>89.1118968147066</v>
      </c>
      <c r="K23" t="n">
        <v>226.87998268775</v>
      </c>
      <c r="L23" t="n">
        <v>127.90730847593</v>
      </c>
      <c r="M23" t="n">
        <v>155.784542374531</v>
      </c>
      <c r="N23" t="n">
        <v>114.421835596878</v>
      </c>
      <c r="O23" t="n">
        <v>165.495183669813</v>
      </c>
      <c r="P23" t="n">
        <v>289.305490249862</v>
      </c>
      <c r="Q23" t="n">
        <v>306.158237254708</v>
      </c>
      <c r="R23" t="n">
        <v>490.825110519452</v>
      </c>
      <c r="S23" t="n">
        <v>435.784956413143</v>
      </c>
      <c r="T23" t="n">
        <v>904.604780021217</v>
      </c>
      <c r="U23" t="n">
        <v>778.314323533315</v>
      </c>
      <c r="V23" t="n">
        <v>271.052009746534</v>
      </c>
      <c r="W23" t="n">
        <v>510.069411491185</v>
      </c>
      <c r="X23" t="n">
        <v>507.256293653931</v>
      </c>
      <c r="Y23" t="n">
        <v>577.776974397029</v>
      </c>
      <c r="Z23" t="n">
        <v>889.578445608774</v>
      </c>
      <c r="AA23" t="n">
        <v>407.561275151176</v>
      </c>
      <c r="AB23" t="n">
        <v>379.144158718617</v>
      </c>
      <c r="AC23" t="n">
        <v>278.816078141478</v>
      </c>
      <c r="AD23" t="n">
        <v>301.265919468659</v>
      </c>
      <c r="AE23" t="n">
        <v>248.8</v>
      </c>
      <c r="AF23" t="n">
        <v>259.9</v>
      </c>
    </row>
    <row r="24">
      <c r="A24" t="s">
        <v>59</v>
      </c>
      <c r="B24" t="s">
        <v>318</v>
      </c>
      <c r="C24" t="s">
        <v>203</v>
      </c>
      <c r="D24" t="s">
        <v>319</v>
      </c>
      <c r="E24" t="s">
        <v>204</v>
      </c>
      <c r="F24" t="n">
        <v>179.848448064763</v>
      </c>
      <c r="G24" t="n">
        <v>57.0251176790712</v>
      </c>
      <c r="H24" t="n">
        <v>144.063455189233</v>
      </c>
      <c r="I24" t="n">
        <v>168.874383582934</v>
      </c>
      <c r="J24" t="n">
        <v>126.711854879625</v>
      </c>
      <c r="K24" t="n">
        <v>375.835960780684</v>
      </c>
      <c r="L24" t="n">
        <v>728.150896053122</v>
      </c>
      <c r="M24" t="n">
        <v>537.651346966519</v>
      </c>
      <c r="N24" t="n">
        <v>452.167902632577</v>
      </c>
      <c r="O24" t="n">
        <v>636.684849446768</v>
      </c>
      <c r="P24" t="n">
        <v>752.323694090262</v>
      </c>
      <c r="Q24" t="n">
        <v>833.740257807145</v>
      </c>
      <c r="R24" t="n">
        <v>706.769032561583</v>
      </c>
      <c r="S24" t="n">
        <v>927.066128600469</v>
      </c>
      <c r="T24" t="n">
        <v>887.462067337454</v>
      </c>
      <c r="U24" t="n">
        <v>1064.87887705081</v>
      </c>
      <c r="V24" t="n">
        <v>627.280015267388</v>
      </c>
      <c r="W24" t="n">
        <v>744.683425989175</v>
      </c>
      <c r="X24" t="n">
        <v>741.251159721901</v>
      </c>
      <c r="Y24" t="n">
        <v>751.341112309268</v>
      </c>
      <c r="Z24" t="n">
        <v>411.279719620757</v>
      </c>
      <c r="AA24" t="n">
        <v>871.54070146509</v>
      </c>
      <c r="AB24" t="n">
        <v>843.788310812095</v>
      </c>
      <c r="AC24" t="n">
        <v>1077.32779515239</v>
      </c>
      <c r="AD24" t="n">
        <v>662.672075960294</v>
      </c>
      <c r="AE24" t="n">
        <v>473.6</v>
      </c>
      <c r="AF24" t="n">
        <v>609.2</v>
      </c>
    </row>
    <row r="25">
      <c r="A25" t="s">
        <v>59</v>
      </c>
      <c r="B25" t="s">
        <v>320</v>
      </c>
      <c r="C25" t="s">
        <v>203</v>
      </c>
      <c r="D25" t="s">
        <v>321</v>
      </c>
      <c r="E25" t="s">
        <v>204</v>
      </c>
      <c r="F25" t="n">
        <v>28.0689381827966</v>
      </c>
      <c r="G25" t="n">
        <v>9.35631272759888</v>
      </c>
      <c r="H25" t="n">
        <v>21.8313963643974</v>
      </c>
      <c r="I25" t="n">
        <v>25.60990727362</v>
      </c>
      <c r="J25" t="n">
        <v>20.6758884410877</v>
      </c>
      <c r="K25" t="n">
        <v>63.6181182802699</v>
      </c>
      <c r="L25" t="n">
        <v>76.236588021811</v>
      </c>
      <c r="M25" t="n">
        <v>36.7487744656035</v>
      </c>
      <c r="N25" t="n">
        <v>34.7800901192319</v>
      </c>
      <c r="O25" t="n">
        <v>59.3806416669813</v>
      </c>
      <c r="P25" t="n">
        <v>66.602611599452</v>
      </c>
      <c r="Q25" t="n">
        <v>95.0947369975827</v>
      </c>
      <c r="R25" t="n">
        <v>67.3727730318563</v>
      </c>
      <c r="S25" t="n">
        <v>100.180384247369</v>
      </c>
      <c r="T25" t="n">
        <v>113.253190713737</v>
      </c>
      <c r="U25" t="n">
        <v>97.9415705240007</v>
      </c>
      <c r="V25" t="n">
        <v>80.5090355530169</v>
      </c>
      <c r="W25" t="n">
        <v>44.1214872007084</v>
      </c>
      <c r="X25" t="n">
        <v>43.873613677109</v>
      </c>
      <c r="Y25" t="n">
        <v>18.7311416558431</v>
      </c>
      <c r="Z25" t="n">
        <v>55.551947513562</v>
      </c>
      <c r="AA25" t="n">
        <v>49.8136144736996</v>
      </c>
      <c r="AB25" t="n">
        <v>110.777721724967</v>
      </c>
      <c r="AC25" t="n">
        <v>56.9195663315592</v>
      </c>
      <c r="AD25" t="n">
        <v>48.1543859649123</v>
      </c>
      <c r="AE25" t="n">
        <v>29.2</v>
      </c>
      <c r="AF25" t="n">
        <v>31.7</v>
      </c>
    </row>
    <row r="26">
      <c r="A26" t="s">
        <v>59</v>
      </c>
      <c r="B26" t="s">
        <v>322</v>
      </c>
      <c r="C26" t="s">
        <v>203</v>
      </c>
      <c r="D26" t="s">
        <v>323</v>
      </c>
      <c r="E26" t="s">
        <v>204</v>
      </c>
      <c r="F26" t="n">
        <v>121.867469608995</v>
      </c>
      <c r="G26" t="n">
        <v>37.497682956614</v>
      </c>
      <c r="H26" t="n">
        <v>93.7442073915349</v>
      </c>
      <c r="I26" t="n">
        <v>109.921305127242</v>
      </c>
      <c r="J26" t="n">
        <v>59.7246837583536</v>
      </c>
      <c r="K26" t="n">
        <v>27.504788572926</v>
      </c>
      <c r="L26" t="n">
        <v>344.588294574017</v>
      </c>
      <c r="M26" t="n">
        <v>339.639898698933</v>
      </c>
      <c r="N26" t="n">
        <v>279.906405403946</v>
      </c>
      <c r="O26" t="n">
        <v>385.896509328505</v>
      </c>
      <c r="P26" t="n">
        <v>425.08290744073</v>
      </c>
      <c r="Q26" t="n">
        <v>442.510228667167</v>
      </c>
      <c r="R26" t="n">
        <v>406.0368601771</v>
      </c>
      <c r="S26" t="n">
        <v>479.756204340776</v>
      </c>
      <c r="T26" t="n">
        <v>516.487745185374</v>
      </c>
      <c r="U26" t="n">
        <v>566.175173836119</v>
      </c>
      <c r="V26" t="n">
        <v>326.988870450807</v>
      </c>
      <c r="W26" t="n">
        <v>486.657774203732</v>
      </c>
      <c r="X26" t="n">
        <v>484.44736796208</v>
      </c>
      <c r="Y26" t="n">
        <v>590.011278603676</v>
      </c>
      <c r="Z26" t="n">
        <v>163.27835254666</v>
      </c>
      <c r="AA26" t="n">
        <v>502.385647931814</v>
      </c>
      <c r="AB26" t="n">
        <v>362.700855607097</v>
      </c>
      <c r="AC26" t="n">
        <v>319.524873418904</v>
      </c>
      <c r="AD26" t="n">
        <v>240.454906435418</v>
      </c>
      <c r="AE26" t="n">
        <v>223.9</v>
      </c>
      <c r="AF26" t="n">
        <v>298.1</v>
      </c>
    </row>
    <row r="27">
      <c r="A27" t="s">
        <v>59</v>
      </c>
      <c r="B27" t="s">
        <v>324</v>
      </c>
      <c r="C27" t="s">
        <v>203</v>
      </c>
      <c r="D27" t="s">
        <v>325</v>
      </c>
      <c r="E27" t="s">
        <v>204</v>
      </c>
      <c r="F27" t="n">
        <v>34.1389634629618</v>
      </c>
      <c r="G27" t="n">
        <v>11.3796544876539</v>
      </c>
      <c r="H27" t="n">
        <v>31.2940498410483</v>
      </c>
      <c r="I27" t="n">
        <v>36.636936399276</v>
      </c>
      <c r="J27" t="n">
        <v>47.1352398119341</v>
      </c>
      <c r="K27" t="n">
        <v>275.801582694445</v>
      </c>
      <c r="L27" t="n">
        <v>308.783054455133</v>
      </c>
      <c r="M27" t="n">
        <v>167.240218084089</v>
      </c>
      <c r="N27" t="n">
        <v>142.412394734313</v>
      </c>
      <c r="O27" t="n">
        <v>198.602319187307</v>
      </c>
      <c r="P27" t="n">
        <v>266.39093367006</v>
      </c>
      <c r="Q27" t="n">
        <v>302.130338435732</v>
      </c>
      <c r="R27" t="n">
        <v>239.742186358947</v>
      </c>
      <c r="S27" t="n">
        <v>352.334199228358</v>
      </c>
      <c r="T27" t="n">
        <v>268.809839369876</v>
      </c>
      <c r="U27" t="n">
        <v>406.401989812443</v>
      </c>
      <c r="V27" t="n">
        <v>224.635188051872</v>
      </c>
      <c r="W27" t="n">
        <v>222.903673241606</v>
      </c>
      <c r="X27" t="n">
        <v>221.886880003301</v>
      </c>
      <c r="Y27" t="n">
        <v>157.32754489123</v>
      </c>
      <c r="Z27" t="n">
        <v>191.783094811729</v>
      </c>
      <c r="AA27" t="n">
        <v>324.265568529386</v>
      </c>
      <c r="AB27" t="n">
        <v>370.873221771688</v>
      </c>
      <c r="AC27" t="n">
        <v>700.525793932554</v>
      </c>
      <c r="AD27" t="n">
        <v>374.073447636701</v>
      </c>
      <c r="AE27" t="n">
        <v>220.5</v>
      </c>
      <c r="AF27" t="n">
        <v>279.4</v>
      </c>
    </row>
    <row r="28">
      <c r="A28" t="s">
        <v>59</v>
      </c>
      <c r="B28" t="s">
        <v>326</v>
      </c>
      <c r="C28" t="s">
        <v>203</v>
      </c>
      <c r="D28" t="s">
        <v>327</v>
      </c>
      <c r="E28" t="s">
        <v>204</v>
      </c>
      <c r="F28" t="n">
        <v>99.1164974100418</v>
      </c>
      <c r="G28" t="n">
        <v>33.0388324700139</v>
      </c>
      <c r="H28" t="n">
        <v>81.0953160627615</v>
      </c>
      <c r="I28" t="n">
        <v>95.6609796274322</v>
      </c>
      <c r="J28" t="n">
        <v>122.834883771021</v>
      </c>
      <c r="K28" t="n">
        <v>164.693424285284</v>
      </c>
      <c r="L28" t="n">
        <v>48.4247829614941</v>
      </c>
      <c r="M28" t="n">
        <v>338.12763299314</v>
      </c>
      <c r="N28" t="n">
        <v>170.178077719735</v>
      </c>
      <c r="O28" t="n">
        <v>333.438347402082</v>
      </c>
      <c r="P28" t="n">
        <v>436.409201456627</v>
      </c>
      <c r="Q28" t="n">
        <v>254.205824551033</v>
      </c>
      <c r="R28" t="n">
        <v>187.054162770003</v>
      </c>
      <c r="S28" t="n">
        <v>1000.53496699166</v>
      </c>
      <c r="T28" t="n">
        <v>392.632293257971</v>
      </c>
      <c r="U28" t="n">
        <v>746.394973524239</v>
      </c>
      <c r="V28" t="n">
        <v>510.065466474082</v>
      </c>
      <c r="W28" t="n">
        <v>119.369487640115</v>
      </c>
      <c r="X28" t="n">
        <v>118.676821367542</v>
      </c>
      <c r="Y28" t="n">
        <v>42.5268372718832</v>
      </c>
      <c r="Z28" t="n">
        <v>1056.63747914358</v>
      </c>
      <c r="AA28" t="n">
        <v>530.690414118819</v>
      </c>
      <c r="AB28" t="n">
        <v>210.61635623735</v>
      </c>
      <c r="AC28" t="n">
        <v>224.178773116271</v>
      </c>
      <c r="AD28" t="n">
        <v>71.9249325626204</v>
      </c>
      <c r="AE28" t="n">
        <v>267.4</v>
      </c>
      <c r="AF28" t="n">
        <v>245.7</v>
      </c>
    </row>
    <row r="29">
      <c r="A29" t="s">
        <v>59</v>
      </c>
      <c r="B29" t="s">
        <v>328</v>
      </c>
      <c r="C29" t="s">
        <v>203</v>
      </c>
      <c r="D29" t="s">
        <v>329</v>
      </c>
      <c r="E29" t="s">
        <v>204</v>
      </c>
      <c r="F29" t="n">
        <v>41.877703189438</v>
      </c>
      <c r="G29" t="n">
        <v>12.5633109568314</v>
      </c>
      <c r="H29" t="n">
        <v>34.5491051312863</v>
      </c>
      <c r="I29" t="n">
        <v>40.7185881904446</v>
      </c>
      <c r="J29" t="n">
        <v>82.1312432250445</v>
      </c>
      <c r="K29" t="n">
        <v>163.741018239136</v>
      </c>
      <c r="L29" t="n">
        <v>39.9054368350096</v>
      </c>
      <c r="M29" t="n">
        <v>63.7595247754903</v>
      </c>
      <c r="N29" t="n">
        <v>35.1850220332973</v>
      </c>
      <c r="O29" t="n">
        <v>72.8683888263554</v>
      </c>
      <c r="P29" t="n">
        <v>100.119981395561</v>
      </c>
      <c r="Q29" t="n">
        <v>88.3621188117411</v>
      </c>
      <c r="R29" t="n">
        <v>64.5786700100762</v>
      </c>
      <c r="S29" t="n">
        <v>688.647376410345</v>
      </c>
      <c r="T29" t="n">
        <v>147.314755364449</v>
      </c>
      <c r="U29" t="n">
        <v>576.950400736932</v>
      </c>
      <c r="V29" t="n">
        <v>365.976000467457</v>
      </c>
      <c r="W29" t="n">
        <v>74.1154251711194</v>
      </c>
      <c r="X29" t="n">
        <v>73.7503245545129</v>
      </c>
      <c r="Y29" t="n">
        <v>40.2723715322801</v>
      </c>
      <c r="Z29" t="n">
        <v>519.639443927451</v>
      </c>
      <c r="AA29" t="n">
        <v>400.348510103903</v>
      </c>
      <c r="AB29" t="n">
        <v>48.9301649845174</v>
      </c>
      <c r="AC29" t="n">
        <v>40.813245092226</v>
      </c>
      <c r="AD29" t="n">
        <v>51.3984984984985</v>
      </c>
      <c r="AE29" t="n">
        <v>102.9</v>
      </c>
      <c r="AF29" t="n">
        <v>46.3</v>
      </c>
    </row>
    <row r="30">
      <c r="A30" t="s">
        <v>59</v>
      </c>
      <c r="B30" t="s">
        <v>330</v>
      </c>
      <c r="C30" t="s">
        <v>203</v>
      </c>
      <c r="D30" t="s">
        <v>331</v>
      </c>
      <c r="E30" t="s">
        <v>204</v>
      </c>
      <c r="F30" t="n">
        <v>0</v>
      </c>
      <c r="G30" t="n">
        <v>0</v>
      </c>
      <c r="H30" t="e">
        <v>#NUM!</v>
      </c>
      <c r="I30" t="e">
        <v>#NUM!</v>
      </c>
      <c r="J30" t="n">
        <v>0</v>
      </c>
      <c r="K30" t="n">
        <v>0</v>
      </c>
      <c r="L30" t="e">
        <v>#NUM!</v>
      </c>
      <c r="M30" t="e">
        <v>#NUM!</v>
      </c>
      <c r="N30" t="e">
        <v>#NUM!</v>
      </c>
      <c r="O30" t="e">
        <v>#NUM!</v>
      </c>
      <c r="P30" t="e">
        <v>#NUM!</v>
      </c>
      <c r="Q30" t="e">
        <v>#NUM!</v>
      </c>
      <c r="R30" t="e">
        <v>#NUM!</v>
      </c>
      <c r="S30" t="e">
        <v>#NUM!</v>
      </c>
      <c r="T30" t="n">
        <v>0</v>
      </c>
      <c r="U30" t="e">
        <v>#NUM!</v>
      </c>
      <c r="V30" t="e">
        <v>#NUM!</v>
      </c>
      <c r="W30" t="e">
        <v>#NUM!</v>
      </c>
      <c r="X30" t="e">
        <v>#NUM!</v>
      </c>
      <c r="Y30" t="e">
        <v>#NUM!</v>
      </c>
      <c r="Z30" t="e">
        <v>#NUM!</v>
      </c>
      <c r="AA30" t="e">
        <v>#NUM!</v>
      </c>
      <c r="AB30" t="e">
        <v>#NUM!</v>
      </c>
      <c r="AC30" t="e">
        <v>#NUM!</v>
      </c>
      <c r="AD30" t="n">
        <v>0</v>
      </c>
      <c r="AE30" t="n">
        <v>0</v>
      </c>
      <c r="AF30" t="e">
        <v>#NUM!</v>
      </c>
    </row>
    <row r="31">
      <c r="A31" t="s">
        <v>59</v>
      </c>
      <c r="B31" t="s">
        <v>332</v>
      </c>
      <c r="C31" t="s">
        <v>203</v>
      </c>
      <c r="D31" t="s">
        <v>333</v>
      </c>
      <c r="E31" t="s">
        <v>204</v>
      </c>
      <c r="F31" t="n">
        <v>0</v>
      </c>
      <c r="G31" t="n">
        <v>0</v>
      </c>
      <c r="H31" t="e">
        <v>#NUM!</v>
      </c>
      <c r="I31" t="e">
        <v>#NUM!</v>
      </c>
      <c r="J31" t="e">
        <v>#NUM!</v>
      </c>
      <c r="K31" t="e">
        <v>#NUM!</v>
      </c>
      <c r="L31" t="e">
        <v>#NUM!</v>
      </c>
      <c r="M31" t="e">
        <v>#NUM!</v>
      </c>
      <c r="N31" t="e">
        <v>#NUM!</v>
      </c>
      <c r="O31" t="e">
        <v>#NUM!</v>
      </c>
      <c r="P31" t="e">
        <v>#NUM!</v>
      </c>
      <c r="Q31" t="e">
        <v>#NUM!</v>
      </c>
      <c r="R31" t="n">
        <v>0</v>
      </c>
      <c r="S31" t="e">
        <v>#NUM!</v>
      </c>
      <c r="T31" t="e">
        <v>#NUM!</v>
      </c>
      <c r="U31" t="e">
        <v>#NUM!</v>
      </c>
      <c r="V31" t="e">
        <v>#NUM!</v>
      </c>
      <c r="W31" t="e">
        <v>#NUM!</v>
      </c>
      <c r="X31" t="e">
        <v>#NUM!</v>
      </c>
      <c r="Y31" t="e">
        <v>#NUM!</v>
      </c>
      <c r="Z31" t="e">
        <v>#NUM!</v>
      </c>
      <c r="AA31" t="e">
        <v>#NUM!</v>
      </c>
      <c r="AB31" t="e">
        <v>#NUM!</v>
      </c>
      <c r="AC31" t="e">
        <v>#NUM!</v>
      </c>
      <c r="AD31" t="n">
        <v>0</v>
      </c>
      <c r="AE31" t="n">
        <v>0.5</v>
      </c>
      <c r="AF31" t="n">
        <v>30.4</v>
      </c>
    </row>
    <row r="32">
      <c r="A32" t="s">
        <v>59</v>
      </c>
      <c r="B32" t="s">
        <v>334</v>
      </c>
      <c r="C32" t="s">
        <v>203</v>
      </c>
      <c r="D32" t="s">
        <v>335</v>
      </c>
      <c r="E32" t="s">
        <v>204</v>
      </c>
      <c r="F32" t="n">
        <v>56.0277417208014</v>
      </c>
      <c r="G32" t="n">
        <v>17.239305144862</v>
      </c>
      <c r="H32" t="n">
        <v>43.0982628621549</v>
      </c>
      <c r="I32" t="n">
        <v>50.7943812303969</v>
      </c>
      <c r="J32" t="n">
        <v>39.8176293543365</v>
      </c>
      <c r="K32" t="n">
        <v>7.52650310966118</v>
      </c>
      <c r="L32" t="n">
        <v>8.01208395544577</v>
      </c>
      <c r="M32" t="n">
        <v>266.453151031107</v>
      </c>
      <c r="N32" t="n">
        <v>130.174081915419</v>
      </c>
      <c r="O32" t="n">
        <v>236.924508972901</v>
      </c>
      <c r="P32" t="n">
        <v>319.957101458035</v>
      </c>
      <c r="Q32" t="n">
        <v>144.226816503391</v>
      </c>
      <c r="R32" t="n">
        <v>103.040865742149</v>
      </c>
      <c r="S32" t="n">
        <v>323.558913892121</v>
      </c>
      <c r="T32" t="n">
        <v>233.353148856226</v>
      </c>
      <c r="U32" t="n">
        <v>187.876141329769</v>
      </c>
      <c r="V32" t="n">
        <v>147.728584577279</v>
      </c>
      <c r="W32" t="n">
        <v>41.2265817424964</v>
      </c>
      <c r="X32" t="n">
        <v>41.0025242330263</v>
      </c>
      <c r="Y32" t="n">
        <v>57.8124233645717</v>
      </c>
      <c r="Z32" t="n">
        <v>399.715095142649</v>
      </c>
      <c r="AA32" t="n">
        <v>136.206546447124</v>
      </c>
      <c r="AB32" t="n">
        <v>155.992569646906</v>
      </c>
      <c r="AC32" t="n">
        <v>142.945918367347</v>
      </c>
      <c r="AD32" t="n">
        <v>13.7071428571429</v>
      </c>
      <c r="AE32" t="n">
        <v>151.5</v>
      </c>
      <c r="AF32" t="n">
        <v>167.4</v>
      </c>
    </row>
    <row r="33">
      <c r="A33" t="s">
        <v>59</v>
      </c>
      <c r="B33" t="s">
        <v>336</v>
      </c>
      <c r="C33" t="s">
        <v>203</v>
      </c>
      <c r="D33" t="s">
        <v>337</v>
      </c>
      <c r="E33" t="s">
        <v>204</v>
      </c>
      <c r="F33" t="e">
        <v>#NUM!</v>
      </c>
      <c r="G33" t="n">
        <v>0</v>
      </c>
      <c r="H33" t="e">
        <v>#NUM!</v>
      </c>
      <c r="I33" t="e">
        <v>#NUM!</v>
      </c>
      <c r="J33" t="e">
        <v>#NUM!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12.0824934072765</v>
      </c>
      <c r="AA33" t="n">
        <v>12.9544259212036</v>
      </c>
      <c r="AB33" t="n">
        <v>3.45451357898763</v>
      </c>
      <c r="AC33" t="n">
        <v>31.7815249266862</v>
      </c>
      <c r="AD33" t="n">
        <v>6.81818181818182</v>
      </c>
      <c r="AE33" t="n">
        <v>12.5</v>
      </c>
      <c r="AF33" t="n">
        <v>1.2</v>
      </c>
    </row>
    <row r="34">
      <c r="A34" t="s">
        <v>59</v>
      </c>
      <c r="B34" t="s">
        <v>338</v>
      </c>
      <c r="C34" t="s">
        <v>203</v>
      </c>
      <c r="D34" t="s">
        <v>339</v>
      </c>
      <c r="E34" t="s">
        <v>204</v>
      </c>
      <c r="F34" t="n">
        <v>45.6999041375128</v>
      </c>
      <c r="G34" t="n">
        <v>15.2333013791709</v>
      </c>
      <c r="H34" t="n">
        <v>42.6532438616786</v>
      </c>
      <c r="I34" t="n">
        <v>50.0355360685076</v>
      </c>
      <c r="J34" t="n">
        <v>147.352358513678</v>
      </c>
      <c r="K34" t="n">
        <v>100.561521862844</v>
      </c>
      <c r="L34" t="n">
        <v>119.75265198934</v>
      </c>
      <c r="M34" t="n">
        <v>423.569565369704</v>
      </c>
      <c r="N34" t="n">
        <v>305.769595884355</v>
      </c>
      <c r="O34" t="n">
        <v>484.256119312442</v>
      </c>
      <c r="P34" t="n">
        <v>574.085727512158</v>
      </c>
      <c r="Q34" t="n">
        <v>272.168341513321</v>
      </c>
      <c r="R34" t="n">
        <v>234.927706478045</v>
      </c>
      <c r="S34" t="n">
        <v>428.389171398796</v>
      </c>
      <c r="T34" t="n">
        <v>370.463561774832</v>
      </c>
      <c r="U34" t="n">
        <v>564.454564567912</v>
      </c>
      <c r="V34" t="n">
        <v>310.962443408248</v>
      </c>
      <c r="W34" t="n">
        <v>422.488536431802</v>
      </c>
      <c r="X34" t="n">
        <v>420.552181065744</v>
      </c>
      <c r="Y34" t="n">
        <v>175.148192231236</v>
      </c>
      <c r="Z34" t="n">
        <v>343.911425346107</v>
      </c>
      <c r="AA34" t="n">
        <v>286.890458665323</v>
      </c>
      <c r="AB34" t="n">
        <v>535.773555699789</v>
      </c>
      <c r="AC34" t="n">
        <v>470.479325274577</v>
      </c>
      <c r="AD34" t="n">
        <v>352.99434815373</v>
      </c>
      <c r="AE34" t="n">
        <v>271</v>
      </c>
      <c r="AF34" t="n">
        <v>133</v>
      </c>
    </row>
    <row r="35">
      <c r="A35" t="s">
        <v>59</v>
      </c>
      <c r="B35" t="s">
        <v>340</v>
      </c>
      <c r="C35" t="s">
        <v>203</v>
      </c>
      <c r="D35" t="s">
        <v>341</v>
      </c>
      <c r="E35" t="s">
        <v>204</v>
      </c>
      <c r="F35" t="n">
        <v>27.0430805220516</v>
      </c>
      <c r="G35" t="n">
        <v>9.01436017401719</v>
      </c>
      <c r="H35" t="n">
        <v>21.0335070727068</v>
      </c>
      <c r="I35" t="n">
        <v>24.3988682043399</v>
      </c>
      <c r="J35" t="n">
        <v>54.4282444558351</v>
      </c>
      <c r="K35" t="n">
        <v>69.5619514508722</v>
      </c>
      <c r="L35" t="n">
        <v>87.2159315539344</v>
      </c>
      <c r="M35" t="n">
        <v>134.020292728166</v>
      </c>
      <c r="N35" t="n">
        <v>232.345638210105</v>
      </c>
      <c r="O35" t="n">
        <v>215.688506059013</v>
      </c>
      <c r="P35" t="n">
        <v>136.723893822052</v>
      </c>
      <c r="Q35" t="n">
        <v>122.159431097999</v>
      </c>
      <c r="R35" t="n">
        <v>151.012003912581</v>
      </c>
      <c r="S35" t="n">
        <v>382.818367895124</v>
      </c>
      <c r="T35" t="n">
        <v>132.020170898842</v>
      </c>
      <c r="U35" t="n">
        <v>304.122618132704</v>
      </c>
      <c r="V35" t="n">
        <v>199.551328060793</v>
      </c>
      <c r="W35" t="n">
        <v>293.547497866641</v>
      </c>
      <c r="X35" t="n">
        <v>292.304179366571</v>
      </c>
      <c r="Y35" t="n">
        <v>191.587972486379</v>
      </c>
      <c r="Z35" t="n">
        <v>64.890627837439</v>
      </c>
      <c r="AA35" t="n">
        <v>-53.2592888854452</v>
      </c>
      <c r="AB35" t="n">
        <v>62.6436487119424</v>
      </c>
      <c r="AC35" t="n">
        <v>116.485178900491</v>
      </c>
      <c r="AD35" t="n">
        <v>175.330466830467</v>
      </c>
      <c r="AE35" t="n">
        <v>42.1</v>
      </c>
      <c r="AF35" t="n">
        <v>56.2</v>
      </c>
    </row>
    <row r="36">
      <c r="A36" t="s">
        <v>59</v>
      </c>
      <c r="B36" t="s">
        <v>342</v>
      </c>
      <c r="C36" t="s">
        <v>203</v>
      </c>
      <c r="D36" t="s">
        <v>343</v>
      </c>
      <c r="E36" t="s">
        <v>204</v>
      </c>
      <c r="F36" t="n">
        <v>29.7486194583558</v>
      </c>
      <c r="G36" t="n">
        <v>9.91620648611861</v>
      </c>
      <c r="H36" t="n">
        <v>23.1378151342767</v>
      </c>
      <c r="I36" t="n">
        <v>26.839865555761</v>
      </c>
      <c r="J36" t="n">
        <v>58.5831680880553</v>
      </c>
      <c r="K36" t="n">
        <v>74.6133882116525</v>
      </c>
      <c r="L36" t="n">
        <v>71.1429980622733</v>
      </c>
      <c r="M36" t="n">
        <v>135.271897724041</v>
      </c>
      <c r="N36" t="n">
        <v>212.638773509372</v>
      </c>
      <c r="O36" t="n">
        <v>228.81526234305</v>
      </c>
      <c r="P36" t="n">
        <v>39.9096387807646</v>
      </c>
      <c r="Q36" t="n">
        <v>23.5466868806511</v>
      </c>
      <c r="R36" t="n">
        <v>40.286909584864</v>
      </c>
      <c r="S36" t="n">
        <v>23.5006972578373</v>
      </c>
      <c r="T36" t="n">
        <v>40.286909584864</v>
      </c>
      <c r="U36" t="n">
        <v>85.4833350331164</v>
      </c>
      <c r="V36" t="n">
        <v>24.7145696524316</v>
      </c>
      <c r="W36" t="n">
        <v>20.5491927447184</v>
      </c>
      <c r="X36" t="n">
        <v>20.5491927447184</v>
      </c>
      <c r="Y36" t="n">
        <v>34.3405972713751</v>
      </c>
      <c r="Z36" t="n">
        <v>1.96231984407858</v>
      </c>
      <c r="AA36" t="n">
        <v>-11.7739190644715</v>
      </c>
      <c r="AB36" t="n">
        <v>3.92463968815715</v>
      </c>
      <c r="AC36" t="n">
        <v>8.31100169256809</v>
      </c>
      <c r="AD36" t="n">
        <v>10.6074626865672</v>
      </c>
      <c r="AE36" t="n">
        <v>6.9</v>
      </c>
      <c r="AF36" t="n">
        <v>8.4</v>
      </c>
    </row>
    <row r="37">
      <c r="A37" t="s">
        <v>59</v>
      </c>
      <c r="B37" t="s">
        <v>344</v>
      </c>
      <c r="C37" t="s">
        <v>203</v>
      </c>
      <c r="D37" t="s">
        <v>345</v>
      </c>
      <c r="E37" t="s">
        <v>204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e">
        <v>#NUM!</v>
      </c>
      <c r="M37" t="e">
        <v>#NUM!</v>
      </c>
      <c r="N37" t="e">
        <v>#NUM!</v>
      </c>
      <c r="O37" t="n">
        <v>0</v>
      </c>
      <c r="P37" t="n">
        <v>91.2289681572644</v>
      </c>
      <c r="Q37" t="n">
        <v>94.2521503379145</v>
      </c>
      <c r="R37" t="n">
        <v>98.0420095298237</v>
      </c>
      <c r="S37" t="n">
        <v>338.912422401045</v>
      </c>
      <c r="T37" t="n">
        <v>72.2507978364602</v>
      </c>
      <c r="U37" t="n">
        <v>196.072379817371</v>
      </c>
      <c r="V37" t="n">
        <v>161.593825967601</v>
      </c>
      <c r="W37" t="n">
        <v>257.830824394967</v>
      </c>
      <c r="X37" t="n">
        <v>256.616931624746</v>
      </c>
      <c r="Y37" t="n">
        <v>112.354604724805</v>
      </c>
      <c r="Z37" t="n">
        <v>41.050229882694</v>
      </c>
      <c r="AA37" t="n">
        <v>-98.5682845439106</v>
      </c>
      <c r="AB37" t="n">
        <v>29.2976730232803</v>
      </c>
      <c r="AC37" t="n">
        <v>54.9043006263048</v>
      </c>
      <c r="AD37" t="n">
        <v>53.0225</v>
      </c>
      <c r="AE37" t="n">
        <v>16.7</v>
      </c>
      <c r="AF37" t="n">
        <v>23.2</v>
      </c>
    </row>
    <row r="38">
      <c r="A38" t="s">
        <v>59</v>
      </c>
      <c r="B38" t="s">
        <v>346</v>
      </c>
      <c r="C38" t="s">
        <v>203</v>
      </c>
      <c r="D38" t="s">
        <v>347</v>
      </c>
      <c r="E38" t="s">
        <v>204</v>
      </c>
      <c r="F38" t="n">
        <v>0</v>
      </c>
      <c r="G38" t="n">
        <v>0</v>
      </c>
      <c r="H38" t="n">
        <v>0</v>
      </c>
      <c r="I38" t="n">
        <v>0</v>
      </c>
      <c r="J38" t="n">
        <v>0.979680431504748</v>
      </c>
      <c r="K38" t="n">
        <v>1.46952064725712</v>
      </c>
      <c r="L38" t="n">
        <v>18.1240879828378</v>
      </c>
      <c r="M38" t="n">
        <v>3.62481759656757</v>
      </c>
      <c r="N38" t="n">
        <v>32.8365829336121</v>
      </c>
      <c r="O38" t="n">
        <v>7.0661001249545</v>
      </c>
      <c r="P38" t="n">
        <v>6.67353900690147</v>
      </c>
      <c r="Q38" t="n">
        <v>4.03924729365089</v>
      </c>
      <c r="R38" t="n">
        <v>13.6324596160717</v>
      </c>
      <c r="S38" t="n">
        <v>14.3653875524197</v>
      </c>
      <c r="T38" t="n">
        <v>21.212441432545</v>
      </c>
      <c r="U38" t="n">
        <v>25.1897742011471</v>
      </c>
      <c r="V38" t="n">
        <v>11.5229818154184</v>
      </c>
      <c r="W38" t="n">
        <v>10.7547830277238</v>
      </c>
      <c r="X38" t="n">
        <v>10.7547830277238</v>
      </c>
      <c r="Y38" t="n">
        <v>45.7078278678262</v>
      </c>
      <c r="Z38" t="n">
        <v>21.3563640180157</v>
      </c>
      <c r="AA38" t="n">
        <v>58.978330863706</v>
      </c>
      <c r="AB38" t="n">
        <v>29.489165431853</v>
      </c>
      <c r="AC38" t="n">
        <v>53.4207573784722</v>
      </c>
      <c r="AD38" t="n">
        <v>111.411111111111</v>
      </c>
      <c r="AE38" t="n">
        <v>18.5</v>
      </c>
      <c r="AF38" t="n">
        <v>24.6</v>
      </c>
    </row>
    <row r="39">
      <c r="A39" t="s">
        <v>59</v>
      </c>
      <c r="B39" t="s">
        <v>348</v>
      </c>
      <c r="C39" t="s">
        <v>203</v>
      </c>
      <c r="D39" t="s">
        <v>349</v>
      </c>
      <c r="E39" t="s">
        <v>204</v>
      </c>
      <c r="F39" t="n">
        <v>77.9023372486143</v>
      </c>
      <c r="G39" t="n">
        <v>27.265818037015</v>
      </c>
      <c r="H39" t="n">
        <v>72.7088480987067</v>
      </c>
      <c r="I39" t="n">
        <v>84.9631483400617</v>
      </c>
      <c r="J39" t="n">
        <v>39.5124318893298</v>
      </c>
      <c r="K39" t="n">
        <v>438.741938511389</v>
      </c>
      <c r="L39" t="n">
        <v>29.4355493738121</v>
      </c>
      <c r="M39" t="n">
        <v>32.7305735574478</v>
      </c>
      <c r="N39" t="n">
        <v>70.5291068915327</v>
      </c>
      <c r="O39" t="n">
        <v>39.4798499217909</v>
      </c>
      <c r="P39" t="n">
        <v>50.3708430036642</v>
      </c>
      <c r="Q39" t="n">
        <v>65.5173202705003</v>
      </c>
      <c r="R39" t="n">
        <v>68.4582473649367</v>
      </c>
      <c r="S39" t="n">
        <v>16.3673564386023</v>
      </c>
      <c r="T39" t="n">
        <v>157.745230557868</v>
      </c>
      <c r="U39" t="n">
        <v>137.469166161182</v>
      </c>
      <c r="V39" t="n">
        <v>156.594194880151</v>
      </c>
      <c r="W39" t="n">
        <v>204.795845491698</v>
      </c>
      <c r="X39" t="n">
        <v>203.837736273023</v>
      </c>
      <c r="Y39" t="n">
        <v>161.417122105292</v>
      </c>
      <c r="Z39" t="n">
        <v>-47.9052348579356</v>
      </c>
      <c r="AA39" t="n">
        <v>86.1588007764345</v>
      </c>
      <c r="AB39" t="n">
        <v>35.0020128154265</v>
      </c>
      <c r="AC39" t="n">
        <v>31.7381595303867</v>
      </c>
      <c r="AD39" t="n">
        <v>64.7717541436464</v>
      </c>
      <c r="AE39" t="n">
        <v>147.7</v>
      </c>
      <c r="AF39" t="n">
        <v>45.7</v>
      </c>
    </row>
    <row r="40">
      <c r="A40" t="s">
        <v>59</v>
      </c>
      <c r="B40" t="s">
        <v>350</v>
      </c>
      <c r="C40" t="s">
        <v>203</v>
      </c>
      <c r="D40" t="s">
        <v>351</v>
      </c>
      <c r="E40" t="s">
        <v>204</v>
      </c>
      <c r="F40" t="n">
        <v>64.0777293834303</v>
      </c>
      <c r="G40" t="n">
        <v>19.7162244256709</v>
      </c>
      <c r="H40" t="n">
        <v>49.2905610641771</v>
      </c>
      <c r="I40" t="n">
        <v>57.8628325535992</v>
      </c>
      <c r="J40" t="n">
        <v>30.6190822262796</v>
      </c>
      <c r="K40" t="n">
        <v>20.3223997077077</v>
      </c>
      <c r="L40" t="n">
        <v>25.6703996307887</v>
      </c>
      <c r="M40" t="n">
        <v>131.852507194505</v>
      </c>
      <c r="N40" t="n">
        <v>32.4044297342429</v>
      </c>
      <c r="O40" t="n">
        <v>216.609476612791</v>
      </c>
      <c r="P40" t="n">
        <v>357.652719464276</v>
      </c>
      <c r="Q40" t="n">
        <v>435.209237413627</v>
      </c>
      <c r="R40" t="n">
        <v>227.515324113263</v>
      </c>
      <c r="S40" t="n">
        <v>1796.22897564454</v>
      </c>
      <c r="T40" t="n">
        <v>2158.37522429493</v>
      </c>
      <c r="U40" t="n">
        <v>1215.1946325856</v>
      </c>
      <c r="V40" t="n">
        <v>1312.93914139914</v>
      </c>
      <c r="W40" t="n">
        <v>1463.52760897772</v>
      </c>
      <c r="X40" t="n">
        <v>1456.91394462847</v>
      </c>
      <c r="Y40" t="n">
        <v>633.962819605743</v>
      </c>
      <c r="Z40" t="n">
        <v>85.6244389135558</v>
      </c>
      <c r="AA40" t="n">
        <v>570.87125915067</v>
      </c>
      <c r="AB40" t="n">
        <v>920.130618657177</v>
      </c>
      <c r="AC40" t="n">
        <v>1162.78373088843</v>
      </c>
      <c r="AD40" t="n">
        <v>595.164812079435</v>
      </c>
      <c r="AE40" t="n">
        <v>624.8</v>
      </c>
      <c r="AF40" t="n">
        <v>534.8</v>
      </c>
    </row>
    <row r="41">
      <c r="A41" t="s">
        <v>59</v>
      </c>
      <c r="B41" t="s">
        <v>352</v>
      </c>
      <c r="C41" t="s">
        <v>203</v>
      </c>
      <c r="D41" t="s">
        <v>353</v>
      </c>
      <c r="E41" t="s">
        <v>204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59</v>
      </c>
      <c r="B42" t="s">
        <v>354</v>
      </c>
      <c r="C42" t="s">
        <v>203</v>
      </c>
      <c r="D42" t="s">
        <v>355</v>
      </c>
      <c r="E42" t="s">
        <v>204</v>
      </c>
      <c r="F42" t="n">
        <v>114.422260909604</v>
      </c>
      <c r="G42" t="n">
        <v>38.1407536365348</v>
      </c>
      <c r="H42" t="n">
        <v>91.5378087276835</v>
      </c>
      <c r="I42" t="n">
        <v>107.044213484832</v>
      </c>
      <c r="J42" t="n">
        <v>126.049452432531</v>
      </c>
      <c r="K42" t="n">
        <v>582.033346607211</v>
      </c>
      <c r="L42" t="n">
        <v>184.144383214594</v>
      </c>
      <c r="M42" t="n">
        <v>157.374494905864</v>
      </c>
      <c r="N42" t="n">
        <v>56.260733763711</v>
      </c>
      <c r="O42" t="n">
        <v>89.310761221317</v>
      </c>
      <c r="P42" t="n">
        <v>115.339833341968</v>
      </c>
      <c r="Q42" t="n">
        <v>87.5289202557741</v>
      </c>
      <c r="R42" t="n">
        <v>170.261735292054</v>
      </c>
      <c r="S42" t="n">
        <v>329.195924223838</v>
      </c>
      <c r="T42" t="n">
        <v>194.185933132519</v>
      </c>
      <c r="U42" t="n">
        <v>271.577739950896</v>
      </c>
      <c r="V42" t="n">
        <v>234.745601761979</v>
      </c>
      <c r="W42" t="n">
        <v>220.281174439033</v>
      </c>
      <c r="X42" t="n">
        <v>219.395918547115</v>
      </c>
      <c r="Y42" t="n">
        <v>114.115829305735</v>
      </c>
      <c r="Z42" t="n">
        <v>143.712715516046</v>
      </c>
      <c r="AA42" t="n">
        <v>139.067456024618</v>
      </c>
      <c r="AB42" t="n">
        <v>33.9717797981135</v>
      </c>
      <c r="AC42" t="n">
        <v>113.277138657924</v>
      </c>
      <c r="AD42" t="n">
        <v>80.9898928024502</v>
      </c>
      <c r="AE42" t="n">
        <v>67.2</v>
      </c>
      <c r="AF42" t="n">
        <v>93.1</v>
      </c>
    </row>
    <row r="43">
      <c r="A43" t="s">
        <v>59</v>
      </c>
      <c r="B43" t="s">
        <v>356</v>
      </c>
      <c r="C43" t="s">
        <v>203</v>
      </c>
      <c r="D43" t="s">
        <v>357</v>
      </c>
      <c r="E43" t="s">
        <v>204</v>
      </c>
      <c r="F43" t="n">
        <v>155.051337423555</v>
      </c>
      <c r="G43" t="n">
        <v>48.4535429448608</v>
      </c>
      <c r="H43" t="n">
        <v>116.288503067666</v>
      </c>
      <c r="I43" t="n">
        <v>136.091255401653</v>
      </c>
      <c r="J43" t="n">
        <v>504.504671237669</v>
      </c>
      <c r="K43" t="n">
        <v>503.972773851018</v>
      </c>
      <c r="L43" t="n">
        <v>170.882787169099</v>
      </c>
      <c r="M43" t="n">
        <v>167.004272640561</v>
      </c>
      <c r="N43" t="n">
        <v>163.50221711992</v>
      </c>
      <c r="O43" t="n">
        <v>627.327697278649</v>
      </c>
      <c r="P43" t="n">
        <v>145.82440355286</v>
      </c>
      <c r="Q43" t="n">
        <v>532.259072967941</v>
      </c>
      <c r="R43" t="n">
        <v>540.198195922398</v>
      </c>
      <c r="S43" t="n">
        <v>419.614297732034</v>
      </c>
      <c r="T43" t="n">
        <v>238.228308967995</v>
      </c>
      <c r="U43" t="n">
        <v>354.689586960144</v>
      </c>
      <c r="V43" t="n">
        <v>572.312689467893</v>
      </c>
      <c r="W43" t="n">
        <v>321.941806625464</v>
      </c>
      <c r="X43" t="n">
        <v>320.570249742087</v>
      </c>
      <c r="Y43" t="n">
        <v>266.403622466282</v>
      </c>
      <c r="Z43" t="n">
        <v>517.204709444461</v>
      </c>
      <c r="AA43" t="n">
        <v>195.699079249256</v>
      </c>
      <c r="AB43" t="n">
        <v>96.691196164897</v>
      </c>
      <c r="AC43" t="n">
        <v>187.594539038233</v>
      </c>
      <c r="AD43" t="n">
        <v>129.772815533981</v>
      </c>
      <c r="AE43" t="n">
        <v>116.6</v>
      </c>
      <c r="AF43" t="n">
        <v>123</v>
      </c>
    </row>
    <row r="44">
      <c r="A44" t="s">
        <v>59</v>
      </c>
      <c r="B44" t="s">
        <v>358</v>
      </c>
      <c r="C44" t="s">
        <v>203</v>
      </c>
      <c r="D44" t="s">
        <v>359</v>
      </c>
      <c r="E44" t="s">
        <v>204</v>
      </c>
      <c r="F44" t="n">
        <v>1459.46209060388</v>
      </c>
      <c r="G44" t="n">
        <v>482.064751138857</v>
      </c>
      <c r="H44" t="n">
        <v>1206.73725285087</v>
      </c>
      <c r="I44" t="n">
        <v>1415.547243094</v>
      </c>
      <c r="J44" t="n">
        <v>1801.840410793</v>
      </c>
      <c r="K44" t="n">
        <v>3130.125291263</v>
      </c>
      <c r="L44" t="n">
        <v>2818.60491854385</v>
      </c>
      <c r="M44" t="n">
        <v>3065.99032487389</v>
      </c>
      <c r="N44" t="n">
        <v>2717.99781142462</v>
      </c>
      <c r="O44" t="n">
        <v>4406.00410308539</v>
      </c>
      <c r="P44" t="n">
        <v>4779.37726959588</v>
      </c>
      <c r="Q44" t="n">
        <v>4917.67090442093</v>
      </c>
      <c r="R44" t="n">
        <v>4687.88732696259</v>
      </c>
      <c r="S44" t="n">
        <v>6822.88356610694</v>
      </c>
      <c r="T44" t="n">
        <v>7326.87078577523</v>
      </c>
      <c r="U44" t="n">
        <v>7289.15439338639</v>
      </c>
      <c r="V44" t="n">
        <v>4886.21672262073</v>
      </c>
      <c r="W44" t="n">
        <v>5990.81762766454</v>
      </c>
      <c r="X44" t="n">
        <v>5963.06744881932</v>
      </c>
      <c r="Y44" t="n">
        <v>5875.06097160715</v>
      </c>
      <c r="Z44" t="n">
        <v>7894.16491774829</v>
      </c>
      <c r="AA44" t="n">
        <v>6397.01460440526</v>
      </c>
      <c r="AB44" t="n">
        <v>4467.01329880529</v>
      </c>
      <c r="AC44" t="n">
        <v>4144.06253147217</v>
      </c>
      <c r="AD44" t="n">
        <v>3035.79701258422</v>
      </c>
      <c r="AE44" t="n">
        <v>2878</v>
      </c>
      <c r="AF44" t="n">
        <v>2567.3</v>
      </c>
    </row>
    <row r="45">
      <c r="A45" t="s">
        <v>59</v>
      </c>
      <c r="B45" t="s">
        <v>360</v>
      </c>
      <c r="C45" t="s">
        <v>203</v>
      </c>
      <c r="D45" t="s">
        <v>361</v>
      </c>
      <c r="E45" t="s">
        <v>204</v>
      </c>
      <c r="F45" t="n">
        <v>1419.83427268787</v>
      </c>
      <c r="G45" t="n">
        <v>467.398859953149</v>
      </c>
      <c r="H45" t="n">
        <v>1173.20250753341</v>
      </c>
      <c r="I45" t="n">
        <v>1376.32912622284</v>
      </c>
      <c r="J45" t="n">
        <v>1748.09484359686</v>
      </c>
      <c r="K45" t="n">
        <v>3006.38533488156</v>
      </c>
      <c r="L45" t="n">
        <v>2678.05537991315</v>
      </c>
      <c r="M45" t="n">
        <v>2955.9070195324</v>
      </c>
      <c r="N45" t="n">
        <v>2635.66929486785</v>
      </c>
      <c r="O45" t="n">
        <v>4266.27680147684</v>
      </c>
      <c r="P45" t="n">
        <v>4630.12214674516</v>
      </c>
      <c r="Q45" t="n">
        <v>4792.94082031543</v>
      </c>
      <c r="R45" t="n">
        <v>4574.56224485451</v>
      </c>
      <c r="S45" t="n">
        <v>6537.21537373601</v>
      </c>
      <c r="T45" t="n">
        <v>7121.2654262306</v>
      </c>
      <c r="U45" t="n">
        <v>7069.46293046901</v>
      </c>
      <c r="V45" t="n">
        <v>4698.54429910696</v>
      </c>
      <c r="W45" t="n">
        <v>5619.12229878428</v>
      </c>
      <c r="X45" t="n">
        <v>5593.06095432031</v>
      </c>
      <c r="Y45" t="n">
        <v>5316.79851413919</v>
      </c>
      <c r="Z45" t="n">
        <v>7550.24207076555</v>
      </c>
      <c r="AA45" t="n">
        <v>6132.3636455196</v>
      </c>
      <c r="AB45" t="n">
        <v>4072.04476528457</v>
      </c>
      <c r="AC45" t="n">
        <v>3764.68854514685</v>
      </c>
      <c r="AD45" t="n">
        <v>2815.92106074622</v>
      </c>
      <c r="AE45" t="n">
        <v>2662.4</v>
      </c>
      <c r="AF45" t="n">
        <v>2386.6</v>
      </c>
    </row>
    <row r="46">
      <c r="A46" t="s">
        <v>59</v>
      </c>
      <c r="B46" t="s">
        <v>362</v>
      </c>
      <c r="C46" t="s">
        <v>203</v>
      </c>
      <c r="D46" t="s">
        <v>363</v>
      </c>
      <c r="E46" t="s">
        <v>204</v>
      </c>
      <c r="F46" t="n">
        <v>55.4131500318889</v>
      </c>
      <c r="G46" t="n">
        <v>15.1126772814242</v>
      </c>
      <c r="H46" t="n">
        <v>36.2704254754182</v>
      </c>
      <c r="I46" t="n">
        <v>42.5104986754901</v>
      </c>
      <c r="J46" t="n">
        <v>369.88516373313</v>
      </c>
      <c r="K46" t="n">
        <v>11.8600453301204</v>
      </c>
      <c r="L46" t="n">
        <v>14.2804627444307</v>
      </c>
      <c r="M46" t="n">
        <v>31.5010207597736</v>
      </c>
      <c r="N46" t="n">
        <v>107.022698735128</v>
      </c>
      <c r="O46" t="n">
        <v>509.491116446237</v>
      </c>
      <c r="P46" t="n">
        <v>44.5711481810581</v>
      </c>
      <c r="Q46" t="n">
        <v>422.837232178038</v>
      </c>
      <c r="R46" t="n">
        <v>365.638093140316</v>
      </c>
      <c r="S46" t="n">
        <v>130.52682299697</v>
      </c>
      <c r="T46" t="n">
        <v>68.4183252296914</v>
      </c>
      <c r="U46" t="n">
        <v>115.540069797547</v>
      </c>
      <c r="V46" t="n">
        <v>345.140507324796</v>
      </c>
      <c r="W46" t="n">
        <v>125.313276842041</v>
      </c>
      <c r="X46" t="n">
        <v>124.737917444235</v>
      </c>
      <c r="Y46" t="n">
        <v>156.856763228098</v>
      </c>
      <c r="Z46" t="n">
        <v>365.245376591071</v>
      </c>
      <c r="AA46" t="n">
        <v>72.1891419656453</v>
      </c>
      <c r="AB46" t="n">
        <v>62.6462538364387</v>
      </c>
      <c r="AC46" t="n">
        <v>74.3145434298441</v>
      </c>
      <c r="AD46" t="n">
        <v>48.7825</v>
      </c>
      <c r="AE46" t="n">
        <v>49.4</v>
      </c>
      <c r="AF46" t="n">
        <v>29.9</v>
      </c>
    </row>
    <row r="47">
      <c r="A47" t="s">
        <v>59</v>
      </c>
      <c r="B47" t="s">
        <v>364</v>
      </c>
      <c r="C47" t="s">
        <v>203</v>
      </c>
      <c r="D47" t="s">
        <v>365</v>
      </c>
      <c r="E47" t="s">
        <v>204</v>
      </c>
      <c r="F47" t="n">
        <v>1570.88820266234</v>
      </c>
      <c r="G47" t="n">
        <v>510.288524431715</v>
      </c>
      <c r="H47" t="n">
        <v>1275.72131107929</v>
      </c>
      <c r="I47" t="n">
        <v>1497.40249408462</v>
      </c>
      <c r="J47" t="n">
        <v>1803.49844571552</v>
      </c>
      <c r="K47" t="n">
        <v>1101.56106743572</v>
      </c>
      <c r="L47" t="n">
        <v>1084.83963445467</v>
      </c>
      <c r="M47" t="n">
        <v>437.242516208107</v>
      </c>
      <c r="N47" t="n">
        <v>1225.84062579773</v>
      </c>
      <c r="O47" t="n">
        <v>1486.99177192227</v>
      </c>
      <c r="P47" t="n">
        <v>1191.97872516227</v>
      </c>
      <c r="Q47" t="n">
        <v>1480.06903235165</v>
      </c>
      <c r="R47" t="n">
        <v>1888.26005921062</v>
      </c>
      <c r="S47" t="n">
        <v>2942.30618261881</v>
      </c>
      <c r="T47" t="n">
        <v>3689.42103745709</v>
      </c>
      <c r="U47" t="n">
        <v>2830.77332885981</v>
      </c>
      <c r="V47" t="n">
        <v>2589.35609664935</v>
      </c>
      <c r="W47" t="n">
        <v>2935.61544977311</v>
      </c>
      <c r="X47" t="n">
        <v>2878.04095502074</v>
      </c>
      <c r="Y47" t="n">
        <v>3454.25064605823</v>
      </c>
      <c r="Z47" t="n">
        <v>1385.93381831848</v>
      </c>
      <c r="AA47" t="n">
        <v>391.36610307121</v>
      </c>
      <c r="AB47" t="n">
        <v>1390.03350452375</v>
      </c>
      <c r="AC47" t="n">
        <v>1632.78126455476</v>
      </c>
      <c r="AD47" t="n">
        <v>2503.87510188959</v>
      </c>
      <c r="AE47" t="n">
        <v>2504.7</v>
      </c>
      <c r="AF47" t="n">
        <v>1727.5</v>
      </c>
    </row>
    <row r="48">
      <c r="A48" t="s">
        <v>59</v>
      </c>
      <c r="B48" t="s">
        <v>366</v>
      </c>
      <c r="C48" t="s">
        <v>203</v>
      </c>
      <c r="D48" t="s">
        <v>367</v>
      </c>
      <c r="E48" t="s">
        <v>204</v>
      </c>
      <c r="F48" t="n">
        <v>1567.51104939659</v>
      </c>
      <c r="G48" t="n">
        <v>505.499125397127</v>
      </c>
      <c r="H48" t="n">
        <v>1265.37845583281</v>
      </c>
      <c r="I48" t="n">
        <v>1485.27522401953</v>
      </c>
      <c r="J48" t="n">
        <v>1674.98779743616</v>
      </c>
      <c r="K48" t="n">
        <v>1132.21315926403</v>
      </c>
      <c r="L48" t="n">
        <v>1127.35619146929</v>
      </c>
      <c r="M48" t="n">
        <v>582.510254567032</v>
      </c>
      <c r="N48" t="n">
        <v>1482.75337526154</v>
      </c>
      <c r="O48" t="n">
        <v>1766.66160377451</v>
      </c>
      <c r="P48" t="n">
        <v>1781.7683505328</v>
      </c>
      <c r="Q48" t="n">
        <v>1866.23183185853</v>
      </c>
      <c r="R48" t="n">
        <v>2529.18055609336</v>
      </c>
      <c r="S48" t="n">
        <v>3449.45879650492</v>
      </c>
      <c r="T48" t="n">
        <v>3842.01421501177</v>
      </c>
      <c r="U48" t="n">
        <v>2774.56140875983</v>
      </c>
      <c r="V48" t="n">
        <v>2606.01200616491</v>
      </c>
      <c r="W48" t="n">
        <v>3014.0740764342</v>
      </c>
      <c r="X48" t="n">
        <v>3063.77166690988</v>
      </c>
      <c r="Y48" t="n">
        <v>3553.96431855419</v>
      </c>
      <c r="Z48" t="n">
        <v>1679.75287891984</v>
      </c>
      <c r="AA48" t="n">
        <v>786.128013487781</v>
      </c>
      <c r="AB48" t="n">
        <v>1489.23174745144</v>
      </c>
      <c r="AC48" t="n">
        <v>1724.77001003687</v>
      </c>
      <c r="AD48" t="n">
        <v>2588.41221573448</v>
      </c>
      <c r="AE48" t="n">
        <v>2682.6</v>
      </c>
      <c r="AF48" t="n">
        <v>1858.1</v>
      </c>
    </row>
    <row r="49">
      <c r="A49" t="s">
        <v>59</v>
      </c>
      <c r="B49" t="s">
        <v>368</v>
      </c>
      <c r="C49" t="s">
        <v>203</v>
      </c>
      <c r="D49" t="s">
        <v>369</v>
      </c>
      <c r="E49" t="s">
        <v>204</v>
      </c>
      <c r="F49" t="n">
        <v>83.3310467605351</v>
      </c>
      <c r="G49" t="n">
        <v>24.9993140281605</v>
      </c>
      <c r="H49" t="n">
        <v>63.8871358497436</v>
      </c>
      <c r="I49" t="n">
        <v>74.7217963154896</v>
      </c>
      <c r="J49" t="n">
        <v>1.25582850950403</v>
      </c>
      <c r="K49" t="n">
        <v>72.3357221474319</v>
      </c>
      <c r="L49" t="n">
        <v>40.5179474571526</v>
      </c>
      <c r="M49" t="n">
        <v>24.0507602553152</v>
      </c>
      <c r="N49" t="n">
        <v>182.454043316184</v>
      </c>
      <c r="O49" t="n">
        <v>225.693428996874</v>
      </c>
      <c r="P49" t="n">
        <v>399.02445363715</v>
      </c>
      <c r="Q49" t="n">
        <v>275.504562238879</v>
      </c>
      <c r="R49" t="n">
        <v>550.849226298862</v>
      </c>
      <c r="S49" t="n">
        <v>583.030857880814</v>
      </c>
      <c r="T49" t="n">
        <v>333.504814048882</v>
      </c>
      <c r="U49" t="n">
        <v>49.7243623356013</v>
      </c>
      <c r="V49" t="n">
        <v>143.09988244673</v>
      </c>
      <c r="W49" t="n">
        <v>94.7161953800029</v>
      </c>
      <c r="X49" t="n">
        <v>94.3614530752089</v>
      </c>
      <c r="Y49" t="n">
        <v>25.9313916847902</v>
      </c>
      <c r="Z49" t="n">
        <v>157.30080050302</v>
      </c>
      <c r="AA49" t="n">
        <v>91.2646920878571</v>
      </c>
      <c r="AB49" t="n">
        <v>26.3730669151222</v>
      </c>
      <c r="AC49" t="n">
        <v>47.5394339242546</v>
      </c>
      <c r="AD49" t="n">
        <v>29.3880136986301</v>
      </c>
      <c r="AE49" t="n">
        <v>29.9</v>
      </c>
      <c r="AF49" t="n">
        <v>42.3</v>
      </c>
    </row>
    <row r="50">
      <c r="A50" t="s">
        <v>59</v>
      </c>
      <c r="B50" t="s">
        <v>370</v>
      </c>
      <c r="C50" t="s">
        <v>203</v>
      </c>
      <c r="D50" t="s">
        <v>371</v>
      </c>
      <c r="E50" t="s">
        <v>204</v>
      </c>
      <c r="F50" t="n">
        <v>7.36496645484257</v>
      </c>
      <c r="G50" t="n">
        <v>1.84124161371064</v>
      </c>
      <c r="H50" t="n">
        <v>4.60310403427661</v>
      </c>
      <c r="I50" t="n">
        <v>5.4981520409415</v>
      </c>
      <c r="J50" t="n">
        <v>3.76189350169682</v>
      </c>
      <c r="K50" t="n">
        <v>9.43661420764625</v>
      </c>
      <c r="L50" t="n">
        <v>19.9427113588258</v>
      </c>
      <c r="M50" t="n">
        <v>35.9077781023666</v>
      </c>
      <c r="N50" t="n">
        <v>36.6906511714589</v>
      </c>
      <c r="O50" t="n">
        <v>35.9782113428868</v>
      </c>
      <c r="P50" t="n">
        <v>58.8734367429058</v>
      </c>
      <c r="Q50" t="n">
        <v>48.0191895557919</v>
      </c>
      <c r="R50" t="n">
        <v>45.4833899396855</v>
      </c>
      <c r="S50" t="n">
        <v>25.8452262031983</v>
      </c>
      <c r="T50" t="n">
        <v>20.1905846235122</v>
      </c>
      <c r="U50" t="n">
        <v>27.1528551833439</v>
      </c>
      <c r="V50" t="n">
        <v>16.1130339219609</v>
      </c>
      <c r="W50" t="n">
        <v>49.1599544373787</v>
      </c>
      <c r="X50" t="n">
        <v>96.1571046961807</v>
      </c>
      <c r="Y50" t="n">
        <v>94.0565854188369</v>
      </c>
      <c r="Z50" t="n">
        <v>114.29661012922</v>
      </c>
      <c r="AA50" t="n">
        <v>256.346113699132</v>
      </c>
      <c r="AB50" t="n">
        <v>72.7590463311244</v>
      </c>
      <c r="AC50" t="n">
        <v>44.6527480599112</v>
      </c>
      <c r="AD50" t="n">
        <v>56.1132596685083</v>
      </c>
      <c r="AE50" t="n">
        <v>148</v>
      </c>
      <c r="AF50" t="n">
        <v>88.4</v>
      </c>
    </row>
    <row r="51">
      <c r="A51" t="s">
        <v>59</v>
      </c>
      <c r="B51" t="s">
        <v>372</v>
      </c>
      <c r="C51" t="s">
        <v>203</v>
      </c>
      <c r="D51" t="s">
        <v>373</v>
      </c>
      <c r="E51" t="s">
        <v>204</v>
      </c>
      <c r="F51" t="e">
        <v>#NUM!</v>
      </c>
      <c r="G51" t="n">
        <v>1.29978257896123</v>
      </c>
      <c r="H51" t="n">
        <v>1.29978257896123</v>
      </c>
      <c r="I51" t="n">
        <v>1.55973909475348</v>
      </c>
      <c r="J51" t="n">
        <v>3.49084464063873</v>
      </c>
      <c r="K51" t="n">
        <v>9.33007567588897</v>
      </c>
      <c r="L51" t="n">
        <v>19.6620386726788</v>
      </c>
      <c r="M51" t="n">
        <v>33.7839449016746</v>
      </c>
      <c r="N51" t="n">
        <v>35.7620495338219</v>
      </c>
      <c r="O51" t="n">
        <v>35.7112511680068</v>
      </c>
      <c r="P51" t="n">
        <v>58.3492044656263</v>
      </c>
      <c r="Q51" t="n">
        <v>47.7205389681702</v>
      </c>
      <c r="R51" t="n">
        <v>44.6651379895847</v>
      </c>
      <c r="S51" t="n">
        <v>25.2576976396005</v>
      </c>
      <c r="T51" t="n">
        <v>19.541986037213</v>
      </c>
      <c r="U51" t="n">
        <v>17.5182204929061</v>
      </c>
      <c r="V51" t="n">
        <v>15.5434392737058</v>
      </c>
      <c r="W51" t="n">
        <v>48.2393066521847</v>
      </c>
      <c r="X51" t="n">
        <v>94.376173789262</v>
      </c>
      <c r="Y51" t="n">
        <v>90.6477323556121</v>
      </c>
      <c r="Z51" t="n">
        <v>89.5784930486652</v>
      </c>
      <c r="AA51" t="n">
        <v>250.09682674621</v>
      </c>
      <c r="AB51" t="n">
        <v>71.1995456475516</v>
      </c>
      <c r="AC51" t="n">
        <v>43.69320289341</v>
      </c>
      <c r="AD51" t="n">
        <v>50.1822924320353</v>
      </c>
      <c r="AE51" t="n">
        <v>139.1</v>
      </c>
      <c r="AF51" t="n">
        <v>87</v>
      </c>
    </row>
    <row r="52">
      <c r="A52" t="s">
        <v>59</v>
      </c>
      <c r="B52" t="s">
        <v>374</v>
      </c>
      <c r="C52" t="s">
        <v>203</v>
      </c>
      <c r="D52" t="s">
        <v>375</v>
      </c>
      <c r="E52" t="s">
        <v>204</v>
      </c>
      <c r="F52" t="n">
        <v>3.55747536220156</v>
      </c>
      <c r="G52" t="n">
        <v>1.18582512073385</v>
      </c>
      <c r="H52" t="n">
        <v>3.55747536220156</v>
      </c>
      <c r="I52" t="n">
        <v>4.24160523954801</v>
      </c>
      <c r="J52" t="n">
        <v>0.385600476322546</v>
      </c>
      <c r="K52" t="n">
        <v>0.0964001190806366</v>
      </c>
      <c r="L52" t="n">
        <v>0.28920035724191</v>
      </c>
      <c r="M52" t="n">
        <v>2.67510330448766</v>
      </c>
      <c r="N52" t="n">
        <v>1.09747827876417</v>
      </c>
      <c r="O52" t="n">
        <v>0.258230183238628</v>
      </c>
      <c r="P52" t="n">
        <v>0.516460366477257</v>
      </c>
      <c r="Q52" t="n">
        <v>0.28170565444214</v>
      </c>
      <c r="R52" t="n">
        <v>0.892067905733443</v>
      </c>
      <c r="S52" t="n">
        <v>0.648776658715231</v>
      </c>
      <c r="T52" t="n">
        <v>0.720862954128035</v>
      </c>
      <c r="U52" t="n">
        <v>10.9571169027461</v>
      </c>
      <c r="V52" t="n">
        <v>0.618840489523868</v>
      </c>
      <c r="W52" t="n">
        <v>0.962640761481572</v>
      </c>
      <c r="X52" t="n">
        <v>1.86110547219771</v>
      </c>
      <c r="Y52" t="n">
        <v>3.72221094439541</v>
      </c>
      <c r="Z52" t="n">
        <v>28.3990909090909</v>
      </c>
      <c r="AA52" t="n">
        <v>6.44238636363637</v>
      </c>
      <c r="AB52" t="n">
        <v>1.57772727272727</v>
      </c>
      <c r="AC52" t="n">
        <v>0.970909090909091</v>
      </c>
      <c r="AD52" t="n">
        <v>5.93333333333333</v>
      </c>
      <c r="AE52" t="n">
        <v>8.9</v>
      </c>
      <c r="AF52" t="n">
        <v>1.4</v>
      </c>
    </row>
    <row r="53">
      <c r="A53" t="s">
        <v>59</v>
      </c>
      <c r="B53" t="s">
        <v>376</v>
      </c>
      <c r="C53" t="s">
        <v>203</v>
      </c>
      <c r="D53" t="s">
        <v>377</v>
      </c>
      <c r="E53" t="s">
        <v>204</v>
      </c>
      <c r="F53" t="e">
        <v>#NUM!</v>
      </c>
      <c r="G53" t="n">
        <v>2.58180530063125</v>
      </c>
      <c r="H53" t="n">
        <v>5.16361060126251</v>
      </c>
      <c r="I53" t="n">
        <v>6.02421236813959</v>
      </c>
      <c r="J53" t="n">
        <v>19.8296990451262</v>
      </c>
      <c r="K53" t="n">
        <v>9.34828669270233</v>
      </c>
      <c r="L53" t="n">
        <v>22.5458679059292</v>
      </c>
      <c r="M53" t="n">
        <v>24.4646651745189</v>
      </c>
      <c r="N53" t="n">
        <v>21.4923226766801</v>
      </c>
      <c r="O53" t="n">
        <v>96.1615262028781</v>
      </c>
      <c r="P53" t="n">
        <v>49.1305614224312</v>
      </c>
      <c r="Q53" t="n">
        <v>54.6316667554447</v>
      </c>
      <c r="R53" t="n">
        <v>97.1033818782259</v>
      </c>
      <c r="S53" t="n">
        <v>100.022629118236</v>
      </c>
      <c r="T53" t="n">
        <v>97.2247933387048</v>
      </c>
      <c r="U53" t="n">
        <v>141.266793739998</v>
      </c>
      <c r="V53" t="n">
        <v>20.3602683968803</v>
      </c>
      <c r="W53" t="n">
        <v>186.43618316359</v>
      </c>
      <c r="X53" t="n">
        <v>185.654480089529</v>
      </c>
      <c r="Y53" t="n">
        <v>67.0418955878855</v>
      </c>
      <c r="Z53" t="n">
        <v>397.799899574798</v>
      </c>
      <c r="AA53" t="n">
        <v>127.983333261008</v>
      </c>
      <c r="AB53" t="n">
        <v>42.0662350359888</v>
      </c>
      <c r="AC53" t="n">
        <v>38.6646526880652</v>
      </c>
      <c r="AD53" t="n">
        <v>37.5816091954023</v>
      </c>
      <c r="AE53" t="n">
        <v>26.8</v>
      </c>
      <c r="AF53" t="n">
        <v>16.9</v>
      </c>
    </row>
    <row r="54">
      <c r="A54" t="s">
        <v>59</v>
      </c>
      <c r="B54" t="s">
        <v>378</v>
      </c>
      <c r="C54" t="s">
        <v>203</v>
      </c>
      <c r="D54" t="s">
        <v>379</v>
      </c>
      <c r="E54" t="s">
        <v>204</v>
      </c>
      <c r="F54" t="e">
        <v>#NUM!</v>
      </c>
      <c r="G54" t="n">
        <v>2.56978252177692</v>
      </c>
      <c r="H54" t="n">
        <v>5.13956504355384</v>
      </c>
      <c r="I54" t="n">
        <v>5.93026735794674</v>
      </c>
      <c r="J54" t="n">
        <v>19.9256983227011</v>
      </c>
      <c r="K54" t="n">
        <v>16.1559716130009</v>
      </c>
      <c r="L54" t="n">
        <v>23.3069754417061</v>
      </c>
      <c r="M54" t="n">
        <v>36.6911791607057</v>
      </c>
      <c r="N54" t="n">
        <v>20.776932777749</v>
      </c>
      <c r="O54" t="n">
        <v>94.888466191163</v>
      </c>
      <c r="P54" t="n">
        <v>51.6095726178917</v>
      </c>
      <c r="Q54" t="n">
        <v>59.139794957157</v>
      </c>
      <c r="R54" t="n">
        <v>101.699936414764</v>
      </c>
      <c r="S54" t="n">
        <v>97.0772120322749</v>
      </c>
      <c r="T54" t="n">
        <v>94.3617655418616</v>
      </c>
      <c r="U54" t="n">
        <v>209.558393845815</v>
      </c>
      <c r="V54" t="n">
        <v>32.8957943827733</v>
      </c>
      <c r="W54" t="n">
        <v>225.996697629683</v>
      </c>
      <c r="X54" t="n">
        <v>224.982691134429</v>
      </c>
      <c r="Y54" t="n">
        <v>112.94156821957</v>
      </c>
      <c r="Z54" t="n">
        <v>431.302992225258</v>
      </c>
      <c r="AA54" t="n">
        <v>153.742870602412</v>
      </c>
      <c r="AB54" t="n">
        <v>65.3407200060252</v>
      </c>
      <c r="AC54" t="n">
        <v>74.3336065573771</v>
      </c>
      <c r="AD54" t="n">
        <v>66.2916666666667</v>
      </c>
      <c r="AE54" t="n">
        <v>48.1</v>
      </c>
      <c r="AF54" t="n">
        <v>56.2</v>
      </c>
    </row>
    <row r="55">
      <c r="A55" t="s">
        <v>59</v>
      </c>
      <c r="B55" t="s">
        <v>380</v>
      </c>
      <c r="C55" t="s">
        <v>203</v>
      </c>
      <c r="D55" t="s">
        <v>381</v>
      </c>
      <c r="E55" t="s">
        <v>204</v>
      </c>
      <c r="F55" t="n">
        <v>0</v>
      </c>
      <c r="G55" t="n">
        <v>0</v>
      </c>
      <c r="H55" t="e">
        <v>#NUM!</v>
      </c>
      <c r="I55" t="e">
        <v>#NUM!</v>
      </c>
      <c r="J55" t="e">
        <v>#NUM!</v>
      </c>
      <c r="K55" t="e">
        <v>#NUM!</v>
      </c>
      <c r="L55" t="e">
        <v>#NUM!</v>
      </c>
      <c r="M55" t="e">
        <v>#NUM!</v>
      </c>
      <c r="N55" t="n">
        <v>0</v>
      </c>
      <c r="O55" t="e">
        <v>#NUM!</v>
      </c>
      <c r="P55" t="e">
        <v>#NUM!</v>
      </c>
      <c r="Q55" t="e">
        <v>#NUM!</v>
      </c>
      <c r="R55" t="e">
        <v>#NUM!</v>
      </c>
      <c r="S55" t="n">
        <v>0</v>
      </c>
      <c r="T55" t="n">
        <v>0</v>
      </c>
      <c r="U55" t="n">
        <v>68.7320834899872</v>
      </c>
      <c r="V55" t="n">
        <v>12.4617048570631</v>
      </c>
      <c r="W55" t="n">
        <v>42.4438264438585</v>
      </c>
      <c r="X55" t="n">
        <v>42.2026683390638</v>
      </c>
      <c r="Y55" t="n">
        <v>45.3831592863556</v>
      </c>
      <c r="Z55" t="n">
        <v>42.2661840606443</v>
      </c>
      <c r="AA55" t="n">
        <v>27.8222780231132</v>
      </c>
      <c r="AB55" t="n">
        <v>23.2245286887852</v>
      </c>
      <c r="AC55" t="n">
        <v>35.6948421226649</v>
      </c>
      <c r="AD55" t="n">
        <v>28.7086956521739</v>
      </c>
      <c r="AE55" t="n">
        <v>21.3</v>
      </c>
      <c r="AF55" t="n">
        <v>39.3</v>
      </c>
    </row>
    <row r="56">
      <c r="A56" t="s">
        <v>59</v>
      </c>
      <c r="B56" t="s">
        <v>382</v>
      </c>
      <c r="C56" t="s">
        <v>203</v>
      </c>
      <c r="D56" t="s">
        <v>383</v>
      </c>
      <c r="E56" t="s">
        <v>204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59</v>
      </c>
      <c r="B57" t="s">
        <v>384</v>
      </c>
      <c r="C57" t="s">
        <v>203</v>
      </c>
      <c r="D57" t="s">
        <v>385</v>
      </c>
      <c r="E57" t="s">
        <v>204</v>
      </c>
      <c r="F57" t="n">
        <v>3068.61421519822</v>
      </c>
      <c r="G57" t="n">
        <v>1000.34119790603</v>
      </c>
      <c r="H57" t="n">
        <v>2504.0387947584</v>
      </c>
      <c r="I57" t="n">
        <v>2938.29206092133</v>
      </c>
      <c r="J57" t="n">
        <v>3488.52603573151</v>
      </c>
      <c r="K57" t="n">
        <v>4285.94919600819</v>
      </c>
      <c r="L57" t="n">
        <v>3972.2078906377</v>
      </c>
      <c r="M57" t="n">
        <v>3792.68342033967</v>
      </c>
      <c r="N57" t="n">
        <v>4224.55839358316</v>
      </c>
      <c r="O57" t="n">
        <v>6386.49798494868</v>
      </c>
      <c r="P57" t="n">
        <v>6916.44488160068</v>
      </c>
      <c r="Q57" t="n">
        <v>7214.83861234965</v>
      </c>
      <c r="R57" t="n">
        <v>7427.32381913906</v>
      </c>
      <c r="S57" t="n">
        <v>12022.4839434965</v>
      </c>
      <c r="T57" t="n">
        <v>13270.9359509574</v>
      </c>
      <c r="U57" t="n">
        <v>11261.9498070894</v>
      </c>
      <c r="V57" t="n">
        <v>8769.14808928908</v>
      </c>
      <c r="W57" t="n">
        <v>10430.6883575795</v>
      </c>
      <c r="X57" t="n">
        <v>10443.7623887606</v>
      </c>
      <c r="Y57" t="n">
        <v>10001.2637992418</v>
      </c>
      <c r="Z57" t="n">
        <v>9738.21714751141</v>
      </c>
      <c r="AA57" t="n">
        <v>7843.99817591274</v>
      </c>
      <c r="AB57" t="n">
        <v>6887.68407525563</v>
      </c>
      <c r="AC57" t="n">
        <v>7041.77478342957</v>
      </c>
      <c r="AD57" t="n">
        <v>6220.0402958039</v>
      </c>
      <c r="AE57" t="n">
        <v>6185.4</v>
      </c>
      <c r="AF57" t="n">
        <v>4960.3</v>
      </c>
    </row>
    <row r="58">
      <c r="A58" t="s">
        <v>59</v>
      </c>
      <c r="B58" t="s">
        <v>386</v>
      </c>
      <c r="C58" t="s">
        <v>203</v>
      </c>
      <c r="D58" t="s">
        <v>387</v>
      </c>
      <c r="E58" t="s">
        <v>204</v>
      </c>
      <c r="F58" t="n">
        <v>3068.61421519822</v>
      </c>
      <c r="G58" t="n">
        <v>1000.34119790603</v>
      </c>
      <c r="H58" t="n">
        <v>2504.0387947584</v>
      </c>
      <c r="I58" t="n">
        <v>2938.29206092133</v>
      </c>
      <c r="J58" t="n">
        <v>3488.52603573151</v>
      </c>
      <c r="K58" t="n">
        <v>4285.94919600819</v>
      </c>
      <c r="L58" t="n">
        <v>3972.2078906377</v>
      </c>
      <c r="M58" t="n">
        <v>3792.68342033967</v>
      </c>
      <c r="N58" t="n">
        <v>4224.55839358316</v>
      </c>
      <c r="O58" t="n">
        <v>6386.49798494868</v>
      </c>
      <c r="P58" t="n">
        <v>6916.44488160068</v>
      </c>
      <c r="Q58" t="n">
        <v>7214.83861234965</v>
      </c>
      <c r="R58" t="n">
        <v>7427.32381913906</v>
      </c>
      <c r="S58" t="n">
        <v>12022.4839434965</v>
      </c>
      <c r="T58" t="n">
        <v>13270.9359509574</v>
      </c>
      <c r="U58" t="n">
        <v>11261.9498070894</v>
      </c>
      <c r="V58" t="n">
        <v>8769.14808928908</v>
      </c>
      <c r="W58" t="n">
        <v>10430.6883575795</v>
      </c>
      <c r="X58" t="n">
        <v>10443.7623887606</v>
      </c>
      <c r="Y58" t="n">
        <v>10001.2637992418</v>
      </c>
      <c r="Z58" t="n">
        <v>9738.21714751141</v>
      </c>
      <c r="AA58" t="n">
        <v>7843.99817591274</v>
      </c>
      <c r="AB58" t="n">
        <v>6887.68407525563</v>
      </c>
      <c r="AC58" t="n">
        <v>7041.77478342957</v>
      </c>
      <c r="AD58" t="n">
        <v>6220.0402958039</v>
      </c>
      <c r="AE58" t="n">
        <v>6185.4</v>
      </c>
      <c r="AF58" t="n">
        <v>4960.3</v>
      </c>
    </row>
    <row r="59">
      <c r="A59" t="s">
        <v>59</v>
      </c>
      <c r="B59" t="s">
        <v>388</v>
      </c>
      <c r="C59" t="s">
        <v>203</v>
      </c>
      <c r="D59" t="s">
        <v>389</v>
      </c>
      <c r="E59" t="s">
        <v>204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61</v>
      </c>
      <c r="B2" t="s">
        <v>197</v>
      </c>
      <c r="C2" t="s">
        <v>203</v>
      </c>
      <c r="D2" t="s">
        <v>199</v>
      </c>
      <c r="E2" t="s">
        <v>204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26.7381664681486</v>
      </c>
      <c r="L2" t="n">
        <v>24.9556220369387</v>
      </c>
      <c r="M2" t="n">
        <v>5.56702337747093</v>
      </c>
      <c r="N2" t="n">
        <v>5.38145593155524</v>
      </c>
      <c r="O2" t="n">
        <v>17.0412771165916</v>
      </c>
      <c r="P2" t="n">
        <v>1.53371494049324</v>
      </c>
      <c r="Q2" t="n">
        <v>4.29440183338108</v>
      </c>
      <c r="R2" t="n">
        <v>10.0202709445558</v>
      </c>
      <c r="S2" t="n">
        <v>12.5253386806948</v>
      </c>
      <c r="T2" t="n">
        <v>3.41600145837131</v>
      </c>
      <c r="U2" t="n">
        <v>3.41600145837131</v>
      </c>
      <c r="V2" t="n">
        <v>3.98533503476653</v>
      </c>
      <c r="W2" t="n">
        <v>2.65689002317769</v>
      </c>
      <c r="X2" t="n">
        <v>2.65689002317769</v>
      </c>
      <c r="Y2" t="n">
        <v>4.98166879345816</v>
      </c>
      <c r="Z2" t="n">
        <v>9.73689809630459</v>
      </c>
      <c r="AA2" t="n">
        <v>0.973689809630459</v>
      </c>
      <c r="AB2" t="n">
        <v>4.11113475177305</v>
      </c>
      <c r="AC2" t="n">
        <v>5.22225225225225</v>
      </c>
      <c r="AD2" t="n">
        <v>3.94333333333333</v>
      </c>
      <c r="AE2" t="n">
        <v>9.1</v>
      </c>
      <c r="AF2" t="n">
        <v>4.1</v>
      </c>
    </row>
    <row r="3">
      <c r="A3" t="s">
        <v>61</v>
      </c>
      <c r="B3" t="s">
        <v>276</v>
      </c>
      <c r="C3" t="s">
        <v>203</v>
      </c>
      <c r="D3" t="s">
        <v>277</v>
      </c>
      <c r="E3" t="s">
        <v>204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61</v>
      </c>
      <c r="B4" t="s">
        <v>278</v>
      </c>
      <c r="C4" t="s">
        <v>203</v>
      </c>
      <c r="D4" t="s">
        <v>279</v>
      </c>
      <c r="E4" t="s">
        <v>204</v>
      </c>
      <c r="F4" t="n">
        <v>67.6934684572686</v>
      </c>
      <c r="G4" t="n">
        <v>22.5644894857562</v>
      </c>
      <c r="H4" t="n">
        <v>56.4112237143905</v>
      </c>
      <c r="I4" t="n">
        <v>66.3015031967836</v>
      </c>
      <c r="J4" t="n">
        <v>20.9373167989843</v>
      </c>
      <c r="K4" t="n">
        <v>39.082991358104</v>
      </c>
      <c r="L4" t="n">
        <v>85.5227810894983</v>
      </c>
      <c r="M4" t="n">
        <v>30.6290890413552</v>
      </c>
      <c r="N4" t="n">
        <v>55.5152238874563</v>
      </c>
      <c r="O4" t="n">
        <v>12.2953180421883</v>
      </c>
      <c r="P4" t="n">
        <v>35.129480120538</v>
      </c>
      <c r="Q4" t="n">
        <v>51.7361434502469</v>
      </c>
      <c r="R4" t="n">
        <v>54.1012242936867</v>
      </c>
      <c r="S4" t="n">
        <v>39.8030435874981</v>
      </c>
      <c r="T4" t="n">
        <v>40.8566535648142</v>
      </c>
      <c r="U4" t="n">
        <v>9.455396967857</v>
      </c>
      <c r="V4" t="n">
        <v>12.2920160582141</v>
      </c>
      <c r="W4" t="n">
        <v>4.9619147390956</v>
      </c>
      <c r="X4" t="n">
        <v>4.9619147390956</v>
      </c>
      <c r="Y4" t="n">
        <v>3.8342068438466</v>
      </c>
      <c r="Z4" t="n">
        <v>6.766247371494</v>
      </c>
      <c r="AA4" t="n">
        <v>5.90704135606619</v>
      </c>
      <c r="AB4" t="n">
        <v>11.491880456347</v>
      </c>
      <c r="AC4" t="n">
        <v>28.2276286937454</v>
      </c>
      <c r="AD4" t="n">
        <v>26.0891719745223</v>
      </c>
      <c r="AE4" t="n">
        <v>32</v>
      </c>
      <c r="AF4" t="n">
        <v>35</v>
      </c>
    </row>
    <row r="5">
      <c r="A5" t="s">
        <v>61</v>
      </c>
      <c r="B5" t="s">
        <v>280</v>
      </c>
      <c r="C5" t="s">
        <v>203</v>
      </c>
      <c r="D5" t="s">
        <v>281</v>
      </c>
      <c r="E5" t="s">
        <v>204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20.5045409633387</v>
      </c>
      <c r="M5" t="n">
        <v>1.86404917848533</v>
      </c>
      <c r="N5" t="n">
        <v>25.3510688274005</v>
      </c>
      <c r="O5" t="n">
        <v>1.62971156747575</v>
      </c>
      <c r="P5" t="n">
        <v>4.40022123218452</v>
      </c>
      <c r="Q5" t="n">
        <v>4.10687315003889</v>
      </c>
      <c r="R5" t="n">
        <v>15.4692221984798</v>
      </c>
      <c r="S5" t="n">
        <v>9.75750938673341</v>
      </c>
      <c r="T5" t="n">
        <v>5.42083854818523</v>
      </c>
      <c r="U5" t="n">
        <v>2.16833541927409</v>
      </c>
      <c r="V5" t="n">
        <v>3.46933667083855</v>
      </c>
      <c r="W5" t="n">
        <v>0.21026282853567</v>
      </c>
      <c r="X5" t="n">
        <v>0.21026282853567</v>
      </c>
      <c r="Y5" t="n">
        <v>0.630788485607009</v>
      </c>
      <c r="Z5" t="n">
        <v>1.47183979974969</v>
      </c>
      <c r="AA5" t="n">
        <v>-0.105131414267835</v>
      </c>
      <c r="AB5" t="n">
        <v>0.315394242803504</v>
      </c>
      <c r="AC5" t="n">
        <v>3.57446808510638</v>
      </c>
      <c r="AD5" t="n">
        <v>0.817021276595745</v>
      </c>
      <c r="AE5" t="n">
        <v>14.4</v>
      </c>
      <c r="AF5" t="n">
        <v>11.5</v>
      </c>
    </row>
    <row r="6">
      <c r="A6" t="s">
        <v>61</v>
      </c>
      <c r="B6" t="s">
        <v>282</v>
      </c>
      <c r="C6" t="s">
        <v>203</v>
      </c>
      <c r="D6" t="s">
        <v>283</v>
      </c>
      <c r="E6" t="s">
        <v>204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3.24472584785613</v>
      </c>
      <c r="P6" t="n">
        <v>7.46286945006911</v>
      </c>
      <c r="Q6" t="n">
        <v>12.3883632871147</v>
      </c>
      <c r="R6" t="n">
        <v>7.15772101033295</v>
      </c>
      <c r="S6" t="n">
        <v>1.07365815154994</v>
      </c>
      <c r="T6" t="n">
        <v>2.14731630309988</v>
      </c>
      <c r="U6" t="n">
        <v>1.07365815154994</v>
      </c>
      <c r="V6" t="n">
        <v>0.214731630309988</v>
      </c>
      <c r="W6" t="n">
        <v>0.751560706084959</v>
      </c>
      <c r="X6" t="n">
        <v>0.751560706084959</v>
      </c>
      <c r="Y6" t="n">
        <v>1.39575559701492</v>
      </c>
      <c r="Z6" t="n">
        <v>0.930503731343283</v>
      </c>
      <c r="AA6" t="n">
        <v>0.103389303482587</v>
      </c>
      <c r="AB6" t="n">
        <v>4.13557213930348</v>
      </c>
      <c r="AC6" t="n">
        <v>10.4477611940298</v>
      </c>
      <c r="AD6" t="n">
        <v>7</v>
      </c>
      <c r="AE6" t="n">
        <v>2.3</v>
      </c>
      <c r="AF6" t="n">
        <v>4.9</v>
      </c>
    </row>
    <row r="7">
      <c r="A7" t="s">
        <v>61</v>
      </c>
      <c r="B7" t="s">
        <v>284</v>
      </c>
      <c r="C7" t="s">
        <v>203</v>
      </c>
      <c r="D7" t="s">
        <v>285</v>
      </c>
      <c r="E7" t="s">
        <v>204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0.936943721758182</v>
      </c>
      <c r="W7" t="n">
        <v>0.535396412433247</v>
      </c>
      <c r="X7" t="n">
        <v>0.535396412433247</v>
      </c>
      <c r="Y7" t="n">
        <v>1.60618923729974</v>
      </c>
      <c r="Z7" t="n">
        <v>0.535396412433247</v>
      </c>
      <c r="AA7" t="n">
        <v>3.34622757770779</v>
      </c>
      <c r="AB7" t="n">
        <v>-8.96788990825688</v>
      </c>
      <c r="AC7" t="n">
        <v>-15.2734375</v>
      </c>
      <c r="AD7" t="n">
        <v>0.53125</v>
      </c>
      <c r="AE7" t="n">
        <v>1.7</v>
      </c>
      <c r="AF7" t="n">
        <v>1.2</v>
      </c>
    </row>
    <row r="8">
      <c r="A8" t="s">
        <v>61</v>
      </c>
      <c r="B8" t="s">
        <v>286</v>
      </c>
      <c r="C8" t="s">
        <v>203</v>
      </c>
      <c r="D8" t="s">
        <v>287</v>
      </c>
      <c r="E8" t="s">
        <v>204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61</v>
      </c>
      <c r="B9" t="s">
        <v>288</v>
      </c>
      <c r="C9" t="s">
        <v>203</v>
      </c>
      <c r="D9" t="s">
        <v>289</v>
      </c>
      <c r="E9" t="s">
        <v>204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1.05263157894737</v>
      </c>
      <c r="V9" t="n">
        <v>0.210526315789474</v>
      </c>
      <c r="W9" t="n">
        <v>0.421052631578947</v>
      </c>
      <c r="X9" t="n">
        <v>0.421052631578947</v>
      </c>
      <c r="Y9" t="n">
        <v>0.736842105263158</v>
      </c>
      <c r="Z9" t="n">
        <v>0.210526315789474</v>
      </c>
      <c r="AA9" t="n">
        <v>1.05263157894737</v>
      </c>
      <c r="AB9" t="n">
        <v>0.631578947368421</v>
      </c>
      <c r="AC9" t="n">
        <v>2</v>
      </c>
      <c r="AD9" t="n">
        <v>-0.2</v>
      </c>
      <c r="AE9" t="n">
        <v>-0.2</v>
      </c>
      <c r="AF9" t="n">
        <v>4.3</v>
      </c>
    </row>
    <row r="10">
      <c r="A10" t="s">
        <v>61</v>
      </c>
      <c r="B10" t="s">
        <v>290</v>
      </c>
      <c r="C10" t="s">
        <v>203</v>
      </c>
      <c r="D10" t="s">
        <v>291</v>
      </c>
      <c r="E10" t="s">
        <v>204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1.09201388888889</v>
      </c>
      <c r="V10" t="n">
        <v>0.218402777777778</v>
      </c>
      <c r="W10" t="n">
        <v>0.436805555555556</v>
      </c>
      <c r="X10" t="n">
        <v>0.436805555555556</v>
      </c>
      <c r="Y10" t="n">
        <v>0.764409722222222</v>
      </c>
      <c r="Z10" t="n">
        <v>0.218402777777778</v>
      </c>
      <c r="AA10" t="n">
        <v>1.09201388888889</v>
      </c>
      <c r="AB10" t="n">
        <v>2.9484375</v>
      </c>
      <c r="AC10" t="n">
        <v>12.0205528846154</v>
      </c>
      <c r="AD10" t="n">
        <v>1.73269230769231</v>
      </c>
      <c r="AE10" t="n">
        <v>5.3</v>
      </c>
      <c r="AF10" t="n">
        <v>6.5</v>
      </c>
    </row>
    <row r="11">
      <c r="A11" t="s">
        <v>61</v>
      </c>
      <c r="B11" t="s">
        <v>292</v>
      </c>
      <c r="C11" t="s">
        <v>203</v>
      </c>
      <c r="D11" t="s">
        <v>293</v>
      </c>
      <c r="E11" t="s">
        <v>204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2.24906579631995</v>
      </c>
      <c r="AC11" t="n">
        <v>9.78343621399177</v>
      </c>
      <c r="AD11" t="n">
        <v>1.93518518518518</v>
      </c>
      <c r="AE11" t="n">
        <v>5.5</v>
      </c>
      <c r="AF11" t="n">
        <v>2.2</v>
      </c>
    </row>
    <row r="12">
      <c r="A12" t="s">
        <v>61</v>
      </c>
      <c r="B12" t="s">
        <v>294</v>
      </c>
      <c r="C12" t="s">
        <v>203</v>
      </c>
      <c r="D12" t="s">
        <v>295</v>
      </c>
      <c r="E12" t="s">
        <v>204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3.43688362919132</v>
      </c>
      <c r="P12" t="n">
        <v>9.45142998027613</v>
      </c>
      <c r="Q12" t="n">
        <v>10.2390491452991</v>
      </c>
      <c r="R12" t="n">
        <v>5.11952457264957</v>
      </c>
      <c r="S12" t="n">
        <v>8.19123931623932</v>
      </c>
      <c r="T12" t="n">
        <v>8.19123931623932</v>
      </c>
      <c r="U12" t="n">
        <v>4.68070818070818</v>
      </c>
      <c r="V12" t="n">
        <v>2.45737179487179</v>
      </c>
      <c r="W12" t="n">
        <v>1.8988782051282</v>
      </c>
      <c r="X12" t="n">
        <v>1.8988782051282</v>
      </c>
      <c r="Y12" t="n">
        <v>-4.69134615384615</v>
      </c>
      <c r="Z12" t="n">
        <v>1.83076923076923</v>
      </c>
      <c r="AA12" t="n">
        <v>-0.215384615384615</v>
      </c>
      <c r="AB12" t="n">
        <v>0.107692307692308</v>
      </c>
      <c r="AC12" t="n">
        <v>1.18461538461538</v>
      </c>
      <c r="AD12" t="n">
        <v>0.969230769230769</v>
      </c>
      <c r="AE12" t="n">
        <v>1.4</v>
      </c>
      <c r="AF12" t="n">
        <v>0.2</v>
      </c>
    </row>
    <row r="13">
      <c r="A13" t="s">
        <v>61</v>
      </c>
      <c r="B13" t="s">
        <v>296</v>
      </c>
      <c r="C13" t="s">
        <v>203</v>
      </c>
      <c r="D13" t="s">
        <v>297</v>
      </c>
      <c r="E13" t="s">
        <v>204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1.28128428093645</v>
      </c>
      <c r="W13" t="n">
        <v>1.28128428093645</v>
      </c>
      <c r="X13" t="n">
        <v>1.28128428093645</v>
      </c>
      <c r="Y13" t="n">
        <v>4.00401337792642</v>
      </c>
      <c r="Z13" t="n">
        <v>-0.320321070234114</v>
      </c>
      <c r="AA13" t="n">
        <v>1.49483166109253</v>
      </c>
      <c r="AB13" t="n">
        <v>8.00802675585284</v>
      </c>
      <c r="AC13" t="n">
        <v>7.67435897435897</v>
      </c>
      <c r="AD13" t="n">
        <v>12.3</v>
      </c>
      <c r="AE13" t="n">
        <v>1.2</v>
      </c>
      <c r="AF13" t="n">
        <v>3.3</v>
      </c>
    </row>
    <row r="14">
      <c r="A14" t="s">
        <v>61</v>
      </c>
      <c r="B14" t="s">
        <v>298</v>
      </c>
      <c r="C14" t="s">
        <v>203</v>
      </c>
      <c r="D14" t="s">
        <v>299</v>
      </c>
      <c r="E14" t="s">
        <v>204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-0.102272727272727</v>
      </c>
      <c r="AE14" t="n">
        <v>4.5</v>
      </c>
      <c r="AF14" t="n">
        <v>0</v>
      </c>
    </row>
    <row r="15">
      <c r="A15" t="s">
        <v>61</v>
      </c>
      <c r="B15" t="s">
        <v>300</v>
      </c>
      <c r="C15" t="s">
        <v>203</v>
      </c>
      <c r="D15" t="s">
        <v>301</v>
      </c>
      <c r="E15" t="s">
        <v>204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2.53787878787879</v>
      </c>
      <c r="W15" t="n">
        <v>0.101515151515152</v>
      </c>
      <c r="X15" t="n">
        <v>0.101515151515152</v>
      </c>
      <c r="Y15" t="n">
        <v>0.101515151515152</v>
      </c>
      <c r="Z15" t="n">
        <v>0.304545454545455</v>
      </c>
      <c r="AA15" t="n">
        <v>0.304545454545455</v>
      </c>
      <c r="AB15" t="n">
        <v>0.710606060606061</v>
      </c>
      <c r="AC15" t="n">
        <v>1.11666666666667</v>
      </c>
      <c r="AD15" t="n">
        <v>-0.203030303030303</v>
      </c>
      <c r="AE15" t="n">
        <v>6.7</v>
      </c>
      <c r="AF15" t="n">
        <v>0.1</v>
      </c>
    </row>
    <row r="16">
      <c r="A16" t="s">
        <v>61</v>
      </c>
      <c r="B16" t="s">
        <v>302</v>
      </c>
      <c r="C16" t="s">
        <v>203</v>
      </c>
      <c r="D16" t="s">
        <v>303</v>
      </c>
      <c r="E16" t="s">
        <v>204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0.0972222222222222</v>
      </c>
      <c r="Z16" t="n">
        <v>0.0972222222222222</v>
      </c>
      <c r="AA16" t="n">
        <v>0.194444444444444</v>
      </c>
      <c r="AB16" t="n">
        <v>3.5</v>
      </c>
      <c r="AC16" t="n">
        <v>1.1</v>
      </c>
      <c r="AD16" t="n">
        <v>-0.1</v>
      </c>
      <c r="AE16" t="n">
        <v>2.2</v>
      </c>
      <c r="AF16" t="n">
        <v>0.1</v>
      </c>
    </row>
    <row r="17">
      <c r="A17" t="s">
        <v>61</v>
      </c>
      <c r="B17" t="s">
        <v>304</v>
      </c>
      <c r="C17" t="s">
        <v>203</v>
      </c>
      <c r="D17" t="s">
        <v>305</v>
      </c>
      <c r="E17" t="s">
        <v>204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0.344117647058824</v>
      </c>
      <c r="Z17" t="n">
        <v>1.37647058823529</v>
      </c>
      <c r="AA17" t="n">
        <v>0.611764705882353</v>
      </c>
      <c r="AB17" t="n">
        <v>-0.152941176470588</v>
      </c>
      <c r="AC17" t="n">
        <v>2.6</v>
      </c>
      <c r="AD17" t="n">
        <v>-0.433333333333333</v>
      </c>
      <c r="AE17" t="n">
        <v>-1.3</v>
      </c>
      <c r="AF17" t="n">
        <v>0.6</v>
      </c>
    </row>
    <row r="18">
      <c r="A18" t="s">
        <v>61</v>
      </c>
      <c r="B18" t="s">
        <v>306</v>
      </c>
      <c r="C18" t="s">
        <v>203</v>
      </c>
      <c r="D18" t="s">
        <v>307</v>
      </c>
      <c r="E18" t="s">
        <v>204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0.2</v>
      </c>
      <c r="AF18" t="n">
        <v>1.3</v>
      </c>
    </row>
    <row r="19">
      <c r="A19" t="s">
        <v>61</v>
      </c>
      <c r="B19" t="s">
        <v>308</v>
      </c>
      <c r="C19" t="s">
        <v>203</v>
      </c>
      <c r="D19" t="s">
        <v>309</v>
      </c>
      <c r="E19" t="s">
        <v>204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2.475</v>
      </c>
      <c r="AC19" t="n">
        <v>1.17857142857143</v>
      </c>
      <c r="AD19" t="n">
        <v>3</v>
      </c>
      <c r="AE19" t="n">
        <v>0.1</v>
      </c>
      <c r="AF19" t="n">
        <v>5.5</v>
      </c>
    </row>
    <row r="20">
      <c r="A20" t="s">
        <v>61</v>
      </c>
      <c r="B20" t="s">
        <v>310</v>
      </c>
      <c r="C20" t="s">
        <v>203</v>
      </c>
      <c r="D20" t="s">
        <v>311</v>
      </c>
      <c r="E20" t="s">
        <v>204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2.52674388674389</v>
      </c>
      <c r="W20" t="n">
        <v>1.53801801801802</v>
      </c>
      <c r="X20" t="n">
        <v>1.53801801801802</v>
      </c>
      <c r="Y20" t="n">
        <v>0.878867438867439</v>
      </c>
      <c r="Z20" t="n">
        <v>-0.10985842985843</v>
      </c>
      <c r="AA20" t="n">
        <v>1.0985842985843</v>
      </c>
      <c r="AB20" t="n">
        <v>0.878867438867439</v>
      </c>
      <c r="AC20" t="n">
        <v>20.3238095238095</v>
      </c>
      <c r="AD20" t="n">
        <v>2.2</v>
      </c>
      <c r="AE20" t="n">
        <v>0.9</v>
      </c>
      <c r="AF20" t="n">
        <v>-4.3</v>
      </c>
    </row>
    <row r="21">
      <c r="A21" t="s">
        <v>61</v>
      </c>
      <c r="B21" t="s">
        <v>312</v>
      </c>
      <c r="C21" t="s">
        <v>203</v>
      </c>
      <c r="D21" t="s">
        <v>313</v>
      </c>
      <c r="E21" t="s">
        <v>204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2.79432624113475</v>
      </c>
      <c r="W21" t="n">
        <v>1.63002364066194</v>
      </c>
      <c r="X21" t="n">
        <v>1.63002364066194</v>
      </c>
      <c r="Y21" t="n">
        <v>0.582151300236407</v>
      </c>
      <c r="Z21" t="n">
        <v>1.04787234042553</v>
      </c>
      <c r="AA21" t="n">
        <v>0.523936170212766</v>
      </c>
      <c r="AB21" t="n">
        <v>0.523936170212766</v>
      </c>
      <c r="AC21" t="n">
        <v>19.7</v>
      </c>
      <c r="AD21" t="n">
        <v>1.1</v>
      </c>
      <c r="AE21" t="n">
        <v>0.7</v>
      </c>
      <c r="AF21" t="n">
        <v>-3.9</v>
      </c>
    </row>
    <row r="22">
      <c r="A22" t="s">
        <v>61</v>
      </c>
      <c r="B22" t="s">
        <v>314</v>
      </c>
      <c r="C22" t="s">
        <v>203</v>
      </c>
      <c r="D22" t="s">
        <v>315</v>
      </c>
      <c r="E22" t="s">
        <v>204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-0.363</v>
      </c>
      <c r="Z22" t="n">
        <v>1.21</v>
      </c>
      <c r="AA22" t="n">
        <v>-0.55</v>
      </c>
      <c r="AB22" t="n">
        <v>-0.33</v>
      </c>
      <c r="AC22" t="n">
        <v>0.33</v>
      </c>
      <c r="AD22" t="n">
        <v>-1.1</v>
      </c>
      <c r="AE22" t="n">
        <v>-0.2</v>
      </c>
      <c r="AF22" t="n">
        <v>0.4</v>
      </c>
    </row>
    <row r="23">
      <c r="A23" t="s">
        <v>61</v>
      </c>
      <c r="B23" t="s">
        <v>316</v>
      </c>
      <c r="C23" t="s">
        <v>203</v>
      </c>
      <c r="D23" t="s">
        <v>317</v>
      </c>
      <c r="E23" t="s">
        <v>204</v>
      </c>
      <c r="F23" t="n">
        <v>332.498875817436</v>
      </c>
      <c r="G23" t="n">
        <v>106.399640261579</v>
      </c>
      <c r="H23" t="n">
        <v>269.128501838113</v>
      </c>
      <c r="I23" t="n">
        <v>315.987547612699</v>
      </c>
      <c r="J23" t="n">
        <v>659.603690497927</v>
      </c>
      <c r="K23" t="n">
        <v>936.642477535167</v>
      </c>
      <c r="L23" t="n">
        <v>778.340343890541</v>
      </c>
      <c r="M23" t="n">
        <v>1116.60357423884</v>
      </c>
      <c r="N23" t="n">
        <v>841.297145930909</v>
      </c>
      <c r="O23" t="n">
        <v>1266.41296726325</v>
      </c>
      <c r="P23" t="n">
        <v>2097.25692390173</v>
      </c>
      <c r="Q23" t="n">
        <v>3427.49142238675</v>
      </c>
      <c r="R23" t="n">
        <v>3032.82869710902</v>
      </c>
      <c r="S23" t="n">
        <v>4038.13678507456</v>
      </c>
      <c r="T23" t="n">
        <v>3613.98319315418</v>
      </c>
      <c r="U23" t="n">
        <v>2030.96209104234</v>
      </c>
      <c r="V23" t="n">
        <v>1704.31305592265</v>
      </c>
      <c r="W23" t="n">
        <v>1489.20436509932</v>
      </c>
      <c r="X23" t="n">
        <v>1423.87183276918</v>
      </c>
      <c r="Y23" t="n">
        <v>1350.09376631024</v>
      </c>
      <c r="Z23" t="n">
        <v>1164.37142817478</v>
      </c>
      <c r="AA23" t="n">
        <v>2578.27434895139</v>
      </c>
      <c r="AB23" t="n">
        <v>2302.52597871768</v>
      </c>
      <c r="AC23" t="n">
        <v>2526.00213021949</v>
      </c>
      <c r="AD23" t="n">
        <v>2870.12945861586</v>
      </c>
      <c r="AE23" t="n">
        <v>2843.2</v>
      </c>
      <c r="AF23" t="n">
        <v>2649.9</v>
      </c>
    </row>
    <row r="24">
      <c r="A24" t="s">
        <v>61</v>
      </c>
      <c r="B24" t="s">
        <v>318</v>
      </c>
      <c r="C24" t="s">
        <v>203</v>
      </c>
      <c r="D24" t="s">
        <v>319</v>
      </c>
      <c r="E24" t="s">
        <v>204</v>
      </c>
      <c r="F24" t="n">
        <v>88.1679027674562</v>
      </c>
      <c r="G24" t="n">
        <v>28.053423607827</v>
      </c>
      <c r="H24" t="n">
        <v>72.9389013803501</v>
      </c>
      <c r="I24" t="n">
        <v>85.6564534158984</v>
      </c>
      <c r="J24" t="n">
        <v>21.2562697665989</v>
      </c>
      <c r="K24" t="n">
        <v>16.2964734877258</v>
      </c>
      <c r="L24" t="n">
        <v>72.6357104024349</v>
      </c>
      <c r="M24" t="n">
        <v>44.3884896903769</v>
      </c>
      <c r="N24" t="n">
        <v>137.218331173296</v>
      </c>
      <c r="O24" t="n">
        <v>84.0227315540591</v>
      </c>
      <c r="P24" t="n">
        <v>55.184421147793</v>
      </c>
      <c r="Q24" t="n">
        <v>157.762521634279</v>
      </c>
      <c r="R24" t="n">
        <v>175.341774044956</v>
      </c>
      <c r="S24" t="n">
        <v>226.243229346066</v>
      </c>
      <c r="T24" t="n">
        <v>73.4695118455382</v>
      </c>
      <c r="U24" t="n">
        <v>38.1567464746183</v>
      </c>
      <c r="V24" t="n">
        <v>54.0156442281315</v>
      </c>
      <c r="W24" t="n">
        <v>21.6062576912526</v>
      </c>
      <c r="X24" t="n">
        <v>21.3835127666005</v>
      </c>
      <c r="Y24" t="n">
        <v>29.5992834611365</v>
      </c>
      <c r="Z24" t="n">
        <v>6.6541024835113</v>
      </c>
      <c r="AA24" t="n">
        <v>12.6537030833985</v>
      </c>
      <c r="AB24" t="n">
        <v>77.1118828928475</v>
      </c>
      <c r="AC24" t="n">
        <v>34.6722042788278</v>
      </c>
      <c r="AD24" t="n">
        <v>68.2676320272572</v>
      </c>
      <c r="AE24" t="n">
        <v>59.9</v>
      </c>
      <c r="AF24" t="n">
        <v>70.4</v>
      </c>
    </row>
    <row r="25">
      <c r="A25" t="s">
        <v>61</v>
      </c>
      <c r="B25" t="s">
        <v>320</v>
      </c>
      <c r="C25" t="s">
        <v>203</v>
      </c>
      <c r="D25" t="s">
        <v>321</v>
      </c>
      <c r="E25" t="s">
        <v>204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12.4607283947407</v>
      </c>
      <c r="M25" t="n">
        <v>1.78010405639153</v>
      </c>
      <c r="N25" t="n">
        <v>1.78010405639153</v>
      </c>
      <c r="O25" t="n">
        <v>3.38219770714391</v>
      </c>
      <c r="P25" t="n">
        <v>4.56596690464428</v>
      </c>
      <c r="Q25" t="n">
        <v>5.63135918239461</v>
      </c>
      <c r="R25" t="n">
        <v>4.92743928459528</v>
      </c>
      <c r="S25" t="n">
        <v>8.9925766943864</v>
      </c>
      <c r="T25" t="n">
        <v>6.7444325207898</v>
      </c>
      <c r="U25" t="n">
        <v>5.6203604339915</v>
      </c>
      <c r="V25" t="n">
        <v>2.92258742567558</v>
      </c>
      <c r="W25" t="n">
        <v>1.84014763838833</v>
      </c>
      <c r="X25" t="n">
        <v>1.84014763838833</v>
      </c>
      <c r="Y25" t="n">
        <v>0.541219893643626</v>
      </c>
      <c r="Z25" t="n">
        <v>0.974195808558526</v>
      </c>
      <c r="AA25" t="n">
        <v>-0.649463872372351</v>
      </c>
      <c r="AB25" t="n">
        <v>2.81434344694685</v>
      </c>
      <c r="AC25" t="n">
        <v>6.0789818454052</v>
      </c>
      <c r="AD25" t="n">
        <v>14.8717948717949</v>
      </c>
      <c r="AE25" t="n">
        <v>8</v>
      </c>
      <c r="AF25" t="n">
        <v>9.9</v>
      </c>
    </row>
    <row r="26">
      <c r="A26" t="s">
        <v>61</v>
      </c>
      <c r="B26" t="s">
        <v>322</v>
      </c>
      <c r="C26" t="s">
        <v>203</v>
      </c>
      <c r="D26" t="s">
        <v>323</v>
      </c>
      <c r="E26" t="s">
        <v>204</v>
      </c>
      <c r="F26" t="n">
        <v>15.4081367016571</v>
      </c>
      <c r="G26" t="n">
        <v>5.13604556721905</v>
      </c>
      <c r="H26" t="n">
        <v>10.2720911344381</v>
      </c>
      <c r="I26" t="n">
        <v>12.0431413300309</v>
      </c>
      <c r="J26" t="n">
        <v>18.0647119950463</v>
      </c>
      <c r="K26" t="n">
        <v>8.80654709758507</v>
      </c>
      <c r="L26" t="n">
        <v>34.3455336805818</v>
      </c>
      <c r="M26" t="n">
        <v>32.8190655170004</v>
      </c>
      <c r="N26" t="n">
        <v>67.4614124516118</v>
      </c>
      <c r="O26" t="n">
        <v>38.7015471432931</v>
      </c>
      <c r="P26" t="n">
        <v>46.1053213794014</v>
      </c>
      <c r="Q26" t="n">
        <v>98.2043345381249</v>
      </c>
      <c r="R26" t="n">
        <v>102.901063581253</v>
      </c>
      <c r="S26" t="n">
        <v>126.332751553369</v>
      </c>
      <c r="T26" t="n">
        <v>40.3813616572376</v>
      </c>
      <c r="U26" t="n">
        <v>19.1811467871879</v>
      </c>
      <c r="V26" t="n">
        <v>33.6234220151882</v>
      </c>
      <c r="W26" t="n">
        <v>12.3536534560595</v>
      </c>
      <c r="X26" t="n">
        <v>12.2480666743838</v>
      </c>
      <c r="Y26" t="n">
        <v>8.83990899107702</v>
      </c>
      <c r="Z26" t="n">
        <v>1.09134678902185</v>
      </c>
      <c r="AA26" t="n">
        <v>11.0226025691207</v>
      </c>
      <c r="AB26" t="n">
        <v>33.0678077073622</v>
      </c>
      <c r="AC26" t="n">
        <v>17.6586592178771</v>
      </c>
      <c r="AD26" t="n">
        <v>44.1466480446927</v>
      </c>
      <c r="AE26" t="n">
        <v>36.5</v>
      </c>
      <c r="AF26" t="n">
        <v>37.9</v>
      </c>
    </row>
    <row r="27">
      <c r="A27" t="s">
        <v>61</v>
      </c>
      <c r="B27" t="s">
        <v>324</v>
      </c>
      <c r="C27" t="s">
        <v>203</v>
      </c>
      <c r="D27" t="s">
        <v>325</v>
      </c>
      <c r="E27" t="s">
        <v>204</v>
      </c>
      <c r="F27" t="n">
        <v>82.2508583143984</v>
      </c>
      <c r="G27" t="n">
        <v>25.9739552571784</v>
      </c>
      <c r="H27" t="n">
        <v>63.4918906286584</v>
      </c>
      <c r="I27" t="n">
        <v>74.5838474252313</v>
      </c>
      <c r="J27" t="n">
        <v>2.36432945728399</v>
      </c>
      <c r="K27" t="n">
        <v>7.09298837185197</v>
      </c>
      <c r="L27" t="n">
        <v>22.4611298441979</v>
      </c>
      <c r="M27" t="n">
        <v>7.75929940072291</v>
      </c>
      <c r="N27" t="n">
        <v>64.2082025409821</v>
      </c>
      <c r="O27" t="n">
        <v>39.658007451783</v>
      </c>
      <c r="P27" t="n">
        <v>1.60775705885607</v>
      </c>
      <c r="Q27" t="n">
        <v>47.5896089421396</v>
      </c>
      <c r="R27" t="n">
        <v>60.8254689291722</v>
      </c>
      <c r="S27" t="n">
        <v>82.4379227827292</v>
      </c>
      <c r="T27" t="n">
        <v>23.4359237625187</v>
      </c>
      <c r="U27" t="n">
        <v>11.835141500072</v>
      </c>
      <c r="V27" t="n">
        <v>15.2673325350928</v>
      </c>
      <c r="W27" t="n">
        <v>6.55929842248432</v>
      </c>
      <c r="X27" t="n">
        <v>6.44997678210958</v>
      </c>
      <c r="Y27" t="n">
        <v>19.461136842572</v>
      </c>
      <c r="Z27" t="n">
        <v>4.52584577734233</v>
      </c>
      <c r="AA27" t="n">
        <v>2.26292288867117</v>
      </c>
      <c r="AB27" t="n">
        <v>41.0558866944626</v>
      </c>
      <c r="AC27" t="n">
        <v>10.8809317195707</v>
      </c>
      <c r="AD27" t="n">
        <v>9.28079470198676</v>
      </c>
      <c r="AE27" t="n">
        <v>15.4</v>
      </c>
      <c r="AF27" t="n">
        <v>22.6</v>
      </c>
    </row>
    <row r="28">
      <c r="A28" t="s">
        <v>61</v>
      </c>
      <c r="B28" t="s">
        <v>326</v>
      </c>
      <c r="C28" t="s">
        <v>203</v>
      </c>
      <c r="D28" t="s">
        <v>327</v>
      </c>
      <c r="E28" t="s">
        <v>204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11.4859135501129</v>
      </c>
      <c r="L28" t="n">
        <v>28.9445021462844</v>
      </c>
      <c r="M28" t="n">
        <v>3.76675027931098</v>
      </c>
      <c r="N28" t="n">
        <v>3.57841276534543</v>
      </c>
      <c r="O28" t="n">
        <v>5.00977787148361</v>
      </c>
      <c r="P28" t="n">
        <v>4.50880008433525</v>
      </c>
      <c r="Q28" t="n">
        <v>12.4743468999942</v>
      </c>
      <c r="R28" t="n">
        <v>9.70226981110659</v>
      </c>
      <c r="S28" t="n">
        <v>8.85332120263476</v>
      </c>
      <c r="T28" t="n">
        <v>12.0626501385899</v>
      </c>
      <c r="U28" t="n">
        <v>14.3655197105025</v>
      </c>
      <c r="V28" t="n">
        <v>2.98360793987359</v>
      </c>
      <c r="W28" t="n">
        <v>1.13171335650378</v>
      </c>
      <c r="X28" t="n">
        <v>1.13171335650378</v>
      </c>
      <c r="Y28" t="n">
        <v>-1.02883032409434</v>
      </c>
      <c r="Z28" t="n">
        <v>3.88669233546751</v>
      </c>
      <c r="AA28" t="n">
        <v>6.04596585517168</v>
      </c>
      <c r="AB28" t="n">
        <v>26.2351732644057</v>
      </c>
      <c r="AC28" t="n">
        <v>13.6242745278673</v>
      </c>
      <c r="AD28" t="n">
        <v>13.9461077844311</v>
      </c>
      <c r="AE28" t="n">
        <v>17</v>
      </c>
      <c r="AF28" t="n">
        <v>1.2</v>
      </c>
    </row>
    <row r="29">
      <c r="A29" t="s">
        <v>61</v>
      </c>
      <c r="B29" t="s">
        <v>328</v>
      </c>
      <c r="C29" t="s">
        <v>203</v>
      </c>
      <c r="D29" t="s">
        <v>329</v>
      </c>
      <c r="E29" t="s">
        <v>204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9.10808876555019</v>
      </c>
      <c r="L29" t="n">
        <v>3.87093772535883</v>
      </c>
      <c r="M29" t="n">
        <v>1.93546886267942</v>
      </c>
      <c r="N29" t="n">
        <v>1.93546886267942</v>
      </c>
      <c r="O29" t="n">
        <v>5.41931281550236</v>
      </c>
      <c r="P29" t="n">
        <v>3.25158768930142</v>
      </c>
      <c r="Q29" t="n">
        <v>7.47865168539326</v>
      </c>
      <c r="R29" t="n">
        <v>5.23505617977528</v>
      </c>
      <c r="S29" t="n">
        <v>7.19820224719101</v>
      </c>
      <c r="T29" t="n">
        <v>10.6773333333333</v>
      </c>
      <c r="U29" t="n">
        <v>4.74548148148148</v>
      </c>
      <c r="V29" t="n">
        <v>2.37274074074074</v>
      </c>
      <c r="W29" t="n">
        <v>0.862814814814815</v>
      </c>
      <c r="X29" t="n">
        <v>0.862814814814815</v>
      </c>
      <c r="Y29" t="n">
        <v>1.40207407407407</v>
      </c>
      <c r="Z29" t="n">
        <v>3.23555555555556</v>
      </c>
      <c r="AA29" t="n">
        <v>3.03333333333333</v>
      </c>
      <c r="AB29" t="n">
        <v>24.57</v>
      </c>
      <c r="AC29" t="n">
        <v>4.2</v>
      </c>
      <c r="AD29" t="n">
        <v>0.1</v>
      </c>
      <c r="AE29" t="n">
        <v>0.9</v>
      </c>
      <c r="AF29" t="n">
        <v>-10.7</v>
      </c>
    </row>
    <row r="30">
      <c r="A30" t="s">
        <v>61</v>
      </c>
      <c r="B30" t="s">
        <v>330</v>
      </c>
      <c r="C30" t="s">
        <v>203</v>
      </c>
      <c r="D30" t="s">
        <v>331</v>
      </c>
      <c r="E30" t="s">
        <v>204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61</v>
      </c>
      <c r="B31" t="s">
        <v>332</v>
      </c>
      <c r="C31" t="s">
        <v>203</v>
      </c>
      <c r="D31" t="s">
        <v>333</v>
      </c>
      <c r="E31" t="s">
        <v>204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11.5809523809524</v>
      </c>
      <c r="AE31" t="n">
        <v>12.8</v>
      </c>
      <c r="AF31" t="n">
        <v>0</v>
      </c>
    </row>
    <row r="32">
      <c r="A32" t="s">
        <v>61</v>
      </c>
      <c r="B32" t="s">
        <v>334</v>
      </c>
      <c r="C32" t="s">
        <v>203</v>
      </c>
      <c r="D32" t="s">
        <v>335</v>
      </c>
      <c r="E32" t="s">
        <v>204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1.46234140574249</v>
      </c>
      <c r="Q32" t="n">
        <v>5.4106632012472</v>
      </c>
      <c r="R32" t="n">
        <v>3.51693108081068</v>
      </c>
      <c r="S32" t="n">
        <v>2.11015864848641</v>
      </c>
      <c r="T32" t="n">
        <v>2.11015864848641</v>
      </c>
      <c r="U32" t="n">
        <v>9.60122185061315</v>
      </c>
      <c r="V32" t="n">
        <v>0.746761699492134</v>
      </c>
      <c r="W32" t="n">
        <v>0.213360485569181</v>
      </c>
      <c r="X32" t="n">
        <v>0.213360485569181</v>
      </c>
      <c r="Y32" t="n">
        <v>-2.45364558404558</v>
      </c>
      <c r="Z32" t="n">
        <v>0.446117378917379</v>
      </c>
      <c r="AA32" t="n">
        <v>2.56517492877493</v>
      </c>
      <c r="AB32" t="n">
        <v>1.67294017094017</v>
      </c>
      <c r="AC32" t="n">
        <v>9.32066666666667</v>
      </c>
      <c r="AD32" t="n">
        <v>2.27333333333333</v>
      </c>
      <c r="AE32" t="n">
        <v>3.1</v>
      </c>
      <c r="AF32" t="n">
        <v>2.4</v>
      </c>
    </row>
    <row r="33">
      <c r="A33" t="s">
        <v>61</v>
      </c>
      <c r="B33" t="s">
        <v>336</v>
      </c>
      <c r="C33" t="s">
        <v>203</v>
      </c>
      <c r="D33" t="s">
        <v>337</v>
      </c>
      <c r="E33" t="s">
        <v>204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0.3</v>
      </c>
      <c r="AA33" t="n">
        <v>0.1</v>
      </c>
      <c r="AB33" t="n">
        <v>-1.2</v>
      </c>
      <c r="AC33" t="n">
        <v>0.3</v>
      </c>
      <c r="AD33" t="n">
        <v>0.1</v>
      </c>
      <c r="AE33" t="n">
        <v>0.2</v>
      </c>
      <c r="AF33" t="n">
        <v>9.5</v>
      </c>
    </row>
    <row r="34">
      <c r="A34" t="s">
        <v>61</v>
      </c>
      <c r="B34" t="s">
        <v>338</v>
      </c>
      <c r="C34" t="s">
        <v>203</v>
      </c>
      <c r="D34" t="s">
        <v>339</v>
      </c>
      <c r="E34" t="s">
        <v>204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17.8724995476292</v>
      </c>
      <c r="M34" t="n">
        <v>7.54616647566564</v>
      </c>
      <c r="N34" t="n">
        <v>95.4590059171704</v>
      </c>
      <c r="O34" t="n">
        <v>10.4637756486129</v>
      </c>
      <c r="P34" t="n">
        <v>33.4840820755613</v>
      </c>
      <c r="Q34" t="n">
        <v>119.586007412719</v>
      </c>
      <c r="R34" t="n">
        <v>84.8913015584116</v>
      </c>
      <c r="S34" t="n">
        <v>142.771734439147</v>
      </c>
      <c r="T34" t="n">
        <v>54.651147527116</v>
      </c>
      <c r="U34" t="n">
        <v>14.0697635123001</v>
      </c>
      <c r="V34" t="n">
        <v>27.2015427904468</v>
      </c>
      <c r="W34" t="n">
        <v>13.3209201319472</v>
      </c>
      <c r="X34" t="n">
        <v>13.3209201319472</v>
      </c>
      <c r="Y34" t="n">
        <v>11.7537530576005</v>
      </c>
      <c r="Z34" t="n">
        <v>31.0390372006537</v>
      </c>
      <c r="AA34" t="n">
        <v>38.8530605518672</v>
      </c>
      <c r="AB34" t="n">
        <v>23.0520944221385</v>
      </c>
      <c r="AC34" t="n">
        <v>25.5259777259777</v>
      </c>
      <c r="AD34" t="n">
        <v>25.0969696969697</v>
      </c>
      <c r="AE34" t="n">
        <v>10.1</v>
      </c>
      <c r="AF34" t="n">
        <v>65.6</v>
      </c>
    </row>
    <row r="35">
      <c r="A35" t="s">
        <v>61</v>
      </c>
      <c r="B35" t="s">
        <v>340</v>
      </c>
      <c r="C35" t="s">
        <v>203</v>
      </c>
      <c r="D35" t="s">
        <v>341</v>
      </c>
      <c r="E35" t="s">
        <v>204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19.3663185943966</v>
      </c>
      <c r="Q35" t="n">
        <v>4.51880767202587</v>
      </c>
      <c r="R35" t="n">
        <v>15.8158268520905</v>
      </c>
      <c r="S35" t="n">
        <v>8.43510765444828</v>
      </c>
      <c r="T35" t="n">
        <v>8.43510765444828</v>
      </c>
      <c r="U35" t="n">
        <v>3.61504613762069</v>
      </c>
      <c r="V35" t="n">
        <v>2.89203691009655</v>
      </c>
      <c r="W35" t="n">
        <v>3.55943004319576</v>
      </c>
      <c r="X35" t="n">
        <v>3.55943004319576</v>
      </c>
      <c r="Y35" t="n">
        <v>4.89421630939417</v>
      </c>
      <c r="Z35" t="n">
        <v>8.30878582757615</v>
      </c>
      <c r="AA35" t="n">
        <v>3.99253344961451</v>
      </c>
      <c r="AB35" t="n">
        <v>3.66881452126739</v>
      </c>
      <c r="AC35" t="n">
        <v>5.22528128786568</v>
      </c>
      <c r="AD35" t="n">
        <v>11.3036697247706</v>
      </c>
      <c r="AE35" t="n">
        <v>11.1</v>
      </c>
      <c r="AF35" t="n">
        <v>56.8</v>
      </c>
    </row>
    <row r="36">
      <c r="A36" t="s">
        <v>61</v>
      </c>
      <c r="B36" t="s">
        <v>342</v>
      </c>
      <c r="C36" t="s">
        <v>203</v>
      </c>
      <c r="D36" t="s">
        <v>343</v>
      </c>
      <c r="E36" t="s">
        <v>204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1.77846153846154</v>
      </c>
      <c r="X36" t="n">
        <v>1.77846153846154</v>
      </c>
      <c r="Y36" t="n">
        <v>0.104615384615385</v>
      </c>
      <c r="Z36" t="n">
        <v>0.523076923076923</v>
      </c>
      <c r="AA36" t="n">
        <v>0.836923076923077</v>
      </c>
      <c r="AB36" t="n">
        <v>0.209230769230769</v>
      </c>
      <c r="AC36" t="n">
        <v>1.04615384615385</v>
      </c>
      <c r="AD36" t="n">
        <v>6.8</v>
      </c>
      <c r="AE36" t="n">
        <v>1.2</v>
      </c>
      <c r="AF36" t="n">
        <v>4.4</v>
      </c>
    </row>
    <row r="37">
      <c r="A37" t="s">
        <v>61</v>
      </c>
      <c r="B37" t="s">
        <v>344</v>
      </c>
      <c r="C37" t="s">
        <v>203</v>
      </c>
      <c r="D37" t="s">
        <v>345</v>
      </c>
      <c r="E37" t="s">
        <v>204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0.43010752688172</v>
      </c>
      <c r="X37" t="n">
        <v>0.43010752688172</v>
      </c>
      <c r="Y37" t="n">
        <v>1.72043010752688</v>
      </c>
      <c r="Z37" t="n">
        <v>-0.229390681003584</v>
      </c>
      <c r="AA37" t="n">
        <v>0.114695340501792</v>
      </c>
      <c r="AB37" t="n">
        <v>-0.344086021505376</v>
      </c>
      <c r="AC37" t="n">
        <v>1.03225806451613</v>
      </c>
      <c r="AD37" t="n">
        <v>-0.825806451612903</v>
      </c>
      <c r="AE37" t="n">
        <v>3.2</v>
      </c>
      <c r="AF37" t="n">
        <v>0</v>
      </c>
    </row>
    <row r="38">
      <c r="A38" t="s">
        <v>61</v>
      </c>
      <c r="B38" t="s">
        <v>346</v>
      </c>
      <c r="C38" t="s">
        <v>203</v>
      </c>
      <c r="D38" t="s">
        <v>347</v>
      </c>
      <c r="E38" t="s">
        <v>204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1.48324960271691</v>
      </c>
      <c r="Q38" t="n">
        <v>2.81817424516213</v>
      </c>
      <c r="R38" t="n">
        <v>9.86360985806746</v>
      </c>
      <c r="S38" t="n">
        <v>7.89088788645397</v>
      </c>
      <c r="T38" t="n">
        <v>6.76361818838912</v>
      </c>
      <c r="U38" t="n">
        <v>2.25453939612971</v>
      </c>
      <c r="V38" t="n">
        <v>2.70544727535565</v>
      </c>
      <c r="W38" t="n">
        <v>1.29861469217071</v>
      </c>
      <c r="X38" t="n">
        <v>1.29861469217071</v>
      </c>
      <c r="Y38" t="n">
        <v>2.9218830573841</v>
      </c>
      <c r="Z38" t="n">
        <v>7.86660823141873</v>
      </c>
      <c r="AA38" t="n">
        <v>2.97655446594222</v>
      </c>
      <c r="AB38" t="n">
        <v>3.72069308242778</v>
      </c>
      <c r="AC38" t="n">
        <v>3.06410018552876</v>
      </c>
      <c r="AD38" t="n">
        <v>5.17727272727273</v>
      </c>
      <c r="AE38" t="n">
        <v>6.7</v>
      </c>
      <c r="AF38" t="n">
        <v>52.4</v>
      </c>
    </row>
    <row r="39">
      <c r="A39" t="s">
        <v>61</v>
      </c>
      <c r="B39" t="s">
        <v>348</v>
      </c>
      <c r="C39" t="s">
        <v>203</v>
      </c>
      <c r="D39" t="s">
        <v>349</v>
      </c>
      <c r="E39" t="s">
        <v>204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34.0946267779157</v>
      </c>
      <c r="M39" t="n">
        <v>13.4372940830609</v>
      </c>
      <c r="N39" t="n">
        <v>50.4858334835002</v>
      </c>
      <c r="O39" t="n">
        <v>14.210827202763</v>
      </c>
      <c r="P39" t="n">
        <v>6.39487224124336</v>
      </c>
      <c r="Q39" t="n">
        <v>7.35410307742986</v>
      </c>
      <c r="R39" t="n">
        <v>6.47161070813828</v>
      </c>
      <c r="S39" t="n">
        <v>58.8916574440583</v>
      </c>
      <c r="T39" t="n">
        <v>0.588916574440583</v>
      </c>
      <c r="U39" t="n">
        <v>1.17783314888117</v>
      </c>
      <c r="V39" t="n">
        <v>9.65823182082556</v>
      </c>
      <c r="W39" t="n">
        <v>10.7812820325495</v>
      </c>
      <c r="X39" t="n">
        <v>10.7812820325495</v>
      </c>
      <c r="Y39" t="n">
        <v>23.4717494250296</v>
      </c>
      <c r="Z39" t="n">
        <v>15.5715020575806</v>
      </c>
      <c r="AA39" t="n">
        <v>27.1140140722907</v>
      </c>
      <c r="AB39" t="n">
        <v>42.8401422342193</v>
      </c>
      <c r="AC39" t="n">
        <v>29.1629464285714</v>
      </c>
      <c r="AD39" t="n">
        <v>-6.91269841269841</v>
      </c>
      <c r="AE39" t="n">
        <v>6.5</v>
      </c>
      <c r="AF39" t="n">
        <v>61.6</v>
      </c>
    </row>
    <row r="40">
      <c r="A40" t="s">
        <v>61</v>
      </c>
      <c r="B40" t="s">
        <v>350</v>
      </c>
      <c r="C40" t="s">
        <v>203</v>
      </c>
      <c r="D40" t="s">
        <v>351</v>
      </c>
      <c r="E40" t="s">
        <v>204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1.99274067136972</v>
      </c>
      <c r="M40" t="n">
        <v>41.8475540987642</v>
      </c>
      <c r="N40" t="n">
        <v>9.32059159472475</v>
      </c>
      <c r="O40" t="n">
        <v>49.3991354520412</v>
      </c>
      <c r="P40" t="n">
        <v>85.9192105898002</v>
      </c>
      <c r="Q40" t="n">
        <v>827.495318470679</v>
      </c>
      <c r="R40" t="n">
        <v>576.192959828008</v>
      </c>
      <c r="S40" t="n">
        <v>580.992405913924</v>
      </c>
      <c r="T40" t="n">
        <v>233.482929479427</v>
      </c>
      <c r="U40" t="n">
        <v>94.2144685286332</v>
      </c>
      <c r="V40" t="n">
        <v>297.283247813407</v>
      </c>
      <c r="W40" t="n">
        <v>45.233862839133</v>
      </c>
      <c r="X40" t="n">
        <v>45.0137467182613</v>
      </c>
      <c r="Y40" t="n">
        <v>10.6111809881757</v>
      </c>
      <c r="Z40" t="n">
        <v>54.0827934236054</v>
      </c>
      <c r="AA40" t="n">
        <v>-1.19220586705343</v>
      </c>
      <c r="AB40" t="n">
        <v>564.780433928673</v>
      </c>
      <c r="AC40" t="n">
        <v>369.9041180683</v>
      </c>
      <c r="AD40" t="n">
        <v>347.531318836487</v>
      </c>
      <c r="AE40" t="n">
        <v>361.2</v>
      </c>
      <c r="AF40" t="n">
        <v>414.3</v>
      </c>
    </row>
    <row r="41">
      <c r="A41" t="s">
        <v>61</v>
      </c>
      <c r="B41" t="s">
        <v>352</v>
      </c>
      <c r="C41" t="s">
        <v>203</v>
      </c>
      <c r="D41" t="s">
        <v>353</v>
      </c>
      <c r="E41" t="s">
        <v>204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61</v>
      </c>
      <c r="B42" t="s">
        <v>354</v>
      </c>
      <c r="C42" t="s">
        <v>203</v>
      </c>
      <c r="D42" t="s">
        <v>355</v>
      </c>
      <c r="E42" t="s">
        <v>204</v>
      </c>
      <c r="F42" t="n">
        <v>22.6883123620317</v>
      </c>
      <c r="G42" t="n">
        <v>5.67207809050793</v>
      </c>
      <c r="H42" t="n">
        <v>14.1801952262698</v>
      </c>
      <c r="I42" t="n">
        <v>16.7923364521616</v>
      </c>
      <c r="J42" t="n">
        <v>23.7191752386783</v>
      </c>
      <c r="K42" t="n">
        <v>33.2068453341496</v>
      </c>
      <c r="L42" t="n">
        <v>16.135720620115</v>
      </c>
      <c r="M42" t="n">
        <v>75.232797391286</v>
      </c>
      <c r="N42" t="n">
        <v>35.687352608687</v>
      </c>
      <c r="O42" t="n">
        <v>23.1028651098342</v>
      </c>
      <c r="P42" t="n">
        <v>34.1211546237551</v>
      </c>
      <c r="Q42" t="n">
        <v>60.1182248132828</v>
      </c>
      <c r="R42" t="n">
        <v>117.831720634034</v>
      </c>
      <c r="S42" t="n">
        <v>200.183000943821</v>
      </c>
      <c r="T42" t="n">
        <v>71.017302715784</v>
      </c>
      <c r="U42" t="n">
        <v>33.3781322764185</v>
      </c>
      <c r="V42" t="n">
        <v>39.6961358858834</v>
      </c>
      <c r="W42" t="n">
        <v>28.6946353689386</v>
      </c>
      <c r="X42" t="n">
        <v>28.583845270989</v>
      </c>
      <c r="Y42" t="n">
        <v>10.6908082706455</v>
      </c>
      <c r="Z42" t="n">
        <v>25.4050390087382</v>
      </c>
      <c r="AA42" t="n">
        <v>17.7726238558984</v>
      </c>
      <c r="AB42" t="n">
        <v>121.265646919209</v>
      </c>
      <c r="AC42" t="n">
        <v>64.0138359201774</v>
      </c>
      <c r="AD42" t="n">
        <v>17.6145454545455</v>
      </c>
      <c r="AE42" t="n">
        <v>28</v>
      </c>
      <c r="AF42" t="n">
        <v>46.5</v>
      </c>
    </row>
    <row r="43">
      <c r="A43" t="s">
        <v>61</v>
      </c>
      <c r="B43" t="s">
        <v>356</v>
      </c>
      <c r="C43" t="s">
        <v>203</v>
      </c>
      <c r="D43" t="s">
        <v>357</v>
      </c>
      <c r="E43" t="s">
        <v>204</v>
      </c>
      <c r="F43" t="n">
        <v>22.6382485000519</v>
      </c>
      <c r="G43" t="n">
        <v>5.65956212501298</v>
      </c>
      <c r="H43" t="n">
        <v>14.1489053125324</v>
      </c>
      <c r="I43" t="n">
        <v>16.7552826069463</v>
      </c>
      <c r="J43" t="n">
        <v>106.396044554109</v>
      </c>
      <c r="K43" t="n">
        <v>33.1009916390562</v>
      </c>
      <c r="L43" t="n">
        <v>22.1450296176784</v>
      </c>
      <c r="M43" t="n">
        <v>77.1049667597348</v>
      </c>
      <c r="N43" t="n">
        <v>58.5997747373985</v>
      </c>
      <c r="O43" t="n">
        <v>26.6704102971493</v>
      </c>
      <c r="P43" t="n">
        <v>45.5175002404682</v>
      </c>
      <c r="Q43" t="n">
        <v>85.6704379525954</v>
      </c>
      <c r="R43" t="n">
        <v>171.491174919143</v>
      </c>
      <c r="S43" t="n">
        <v>214.429423295844</v>
      </c>
      <c r="T43" t="n">
        <v>94.7063286223312</v>
      </c>
      <c r="U43" t="n">
        <v>39.3031263782674</v>
      </c>
      <c r="V43" t="n">
        <v>44.6626436116676</v>
      </c>
      <c r="W43" t="n">
        <v>30.3796662130124</v>
      </c>
      <c r="X43" t="n">
        <v>30.2691946995106</v>
      </c>
      <c r="Y43" t="n">
        <v>13.7280362577706</v>
      </c>
      <c r="Z43" t="n">
        <v>34.5488912487227</v>
      </c>
      <c r="AA43" t="n">
        <v>23.141238477918</v>
      </c>
      <c r="AB43" t="n">
        <v>189.130963074199</v>
      </c>
      <c r="AC43" t="n">
        <v>93.1037083385475</v>
      </c>
      <c r="AD43" t="n">
        <v>14.0513661202186</v>
      </c>
      <c r="AE43" t="n">
        <v>55.9</v>
      </c>
      <c r="AF43" t="n">
        <v>62.1</v>
      </c>
    </row>
    <row r="44">
      <c r="A44" t="s">
        <v>61</v>
      </c>
      <c r="B44" t="s">
        <v>358</v>
      </c>
      <c r="C44" t="s">
        <v>203</v>
      </c>
      <c r="D44" t="s">
        <v>359</v>
      </c>
      <c r="E44" t="s">
        <v>204</v>
      </c>
      <c r="F44" t="n">
        <v>748.223840769203</v>
      </c>
      <c r="G44" t="n">
        <v>237.671102361982</v>
      </c>
      <c r="H44" t="n">
        <v>601.894350137487</v>
      </c>
      <c r="I44" t="n">
        <v>707.482642277647</v>
      </c>
      <c r="J44" t="n">
        <v>839.026956423051</v>
      </c>
      <c r="K44" t="n">
        <v>1089.51379011516</v>
      </c>
      <c r="L44" t="n">
        <v>1104.37895121294</v>
      </c>
      <c r="M44" t="n">
        <v>1325.38774574512</v>
      </c>
      <c r="N44" t="n">
        <v>1353.59199697458</v>
      </c>
      <c r="O44" t="n">
        <v>1449.55483865672</v>
      </c>
      <c r="P44" t="n">
        <v>2310.69778725131</v>
      </c>
      <c r="Q44" t="n">
        <v>3911.45237145498</v>
      </c>
      <c r="R44" t="n">
        <v>3706.91367294767</v>
      </c>
      <c r="S44" t="n">
        <v>4850.51612967486</v>
      </c>
      <c r="T44" t="n">
        <v>3926.58963969156</v>
      </c>
      <c r="U44" t="n">
        <v>2165.31087193413</v>
      </c>
      <c r="V44" t="n">
        <v>1874.58089250999</v>
      </c>
      <c r="W44" t="n">
        <v>1585.4459741477</v>
      </c>
      <c r="X44" t="n">
        <v>1520.03164765879</v>
      </c>
      <c r="Y44" t="n">
        <v>1448.14583637435</v>
      </c>
      <c r="Z44" t="n">
        <v>1287.4061135291</v>
      </c>
      <c r="AA44" t="n">
        <v>2702.59501174565</v>
      </c>
      <c r="AB44" t="n">
        <v>2708.01146799815</v>
      </c>
      <c r="AC44" t="n">
        <v>2800.89751260667</v>
      </c>
      <c r="AD44" t="n">
        <v>3034.12642480123</v>
      </c>
      <c r="AE44" t="n">
        <v>3053.2</v>
      </c>
      <c r="AF44" t="n">
        <v>3010</v>
      </c>
    </row>
    <row r="45">
      <c r="A45" t="s">
        <v>61</v>
      </c>
      <c r="B45" t="s">
        <v>360</v>
      </c>
      <c r="C45" t="s">
        <v>203</v>
      </c>
      <c r="D45" t="s">
        <v>361</v>
      </c>
      <c r="E45" t="s">
        <v>204</v>
      </c>
      <c r="F45" t="n">
        <v>745.420393247332</v>
      </c>
      <c r="G45" t="n">
        <v>238.181664114532</v>
      </c>
      <c r="H45" t="n">
        <v>600.094062834016</v>
      </c>
      <c r="I45" t="n">
        <v>705.316035495323</v>
      </c>
      <c r="J45" t="n">
        <v>839.190134359349</v>
      </c>
      <c r="K45" t="n">
        <v>1059.0584693448</v>
      </c>
      <c r="L45" t="n">
        <v>1075.97879347376</v>
      </c>
      <c r="M45" t="n">
        <v>1319.47110906201</v>
      </c>
      <c r="N45" t="n">
        <v>1347.89701398393</v>
      </c>
      <c r="O45" t="n">
        <v>1430.47609280052</v>
      </c>
      <c r="P45" t="n">
        <v>2309.65744021185</v>
      </c>
      <c r="Q45" t="n">
        <v>3907.71957347794</v>
      </c>
      <c r="R45" t="n">
        <v>3696.52267981389</v>
      </c>
      <c r="S45" t="n">
        <v>4837.59132886988</v>
      </c>
      <c r="T45" t="n">
        <v>3923.84004365278</v>
      </c>
      <c r="U45" t="n">
        <v>2162.04703272428</v>
      </c>
      <c r="V45" t="n">
        <v>1870.57474314267</v>
      </c>
      <c r="W45" t="n">
        <v>1582.86110858922</v>
      </c>
      <c r="X45" t="n">
        <v>1517.43712242981</v>
      </c>
      <c r="Y45" t="n">
        <v>1443.19149234492</v>
      </c>
      <c r="Z45" t="n">
        <v>1277.63378525006</v>
      </c>
      <c r="AA45" t="n">
        <v>2701.66537601735</v>
      </c>
      <c r="AB45" t="n">
        <v>2703.9403258107</v>
      </c>
      <c r="AC45" t="n">
        <v>2795.70249646066</v>
      </c>
      <c r="AD45" t="n">
        <v>3030.22794531564</v>
      </c>
      <c r="AE45" t="n">
        <v>3044.1</v>
      </c>
      <c r="AF45" t="n">
        <v>3005.9</v>
      </c>
    </row>
    <row r="46">
      <c r="A46" t="s">
        <v>61</v>
      </c>
      <c r="B46" t="s">
        <v>362</v>
      </c>
      <c r="C46" t="s">
        <v>203</v>
      </c>
      <c r="D46" t="s">
        <v>363</v>
      </c>
      <c r="E46" t="s">
        <v>204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5.82100309646894</v>
      </c>
      <c r="M46" t="n">
        <v>1.94033436548965</v>
      </c>
      <c r="N46" t="n">
        <v>23.0899789493268</v>
      </c>
      <c r="O46" t="n">
        <v>3.59598032817385</v>
      </c>
      <c r="P46" t="n">
        <v>11.5071370501563</v>
      </c>
      <c r="Q46" t="n">
        <v>25.8088645267792</v>
      </c>
      <c r="R46" t="n">
        <v>54.1986155062362</v>
      </c>
      <c r="S46" t="n">
        <v>14.4089002199506</v>
      </c>
      <c r="T46" t="n">
        <v>23.8947595314181</v>
      </c>
      <c r="U46" t="n">
        <v>5.97368988285452</v>
      </c>
      <c r="V46" t="n">
        <v>5.0178995015978</v>
      </c>
      <c r="W46" t="n">
        <v>1.71064755736289</v>
      </c>
      <c r="X46" t="n">
        <v>1.71064755736289</v>
      </c>
      <c r="Y46" t="n">
        <v>3.07916560325319</v>
      </c>
      <c r="Z46" t="n">
        <v>9.23749680975958</v>
      </c>
      <c r="AA46" t="n">
        <v>5.43382165279975</v>
      </c>
      <c r="AB46" t="n">
        <v>68.4661528252769</v>
      </c>
      <c r="AC46" t="n">
        <v>29.3749170537492</v>
      </c>
      <c r="AD46" t="n">
        <v>-3.56386861313869</v>
      </c>
      <c r="AE46" t="n">
        <v>27.9</v>
      </c>
      <c r="AF46" t="n">
        <v>15.6</v>
      </c>
    </row>
    <row r="47">
      <c r="A47" t="s">
        <v>61</v>
      </c>
      <c r="B47" t="s">
        <v>364</v>
      </c>
      <c r="C47" t="s">
        <v>203</v>
      </c>
      <c r="D47" t="s">
        <v>365</v>
      </c>
      <c r="E47" t="s">
        <v>204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79.0328742135756</v>
      </c>
      <c r="M47" t="n">
        <v>50.1858751256205</v>
      </c>
      <c r="N47" t="n">
        <v>148.670938342064</v>
      </c>
      <c r="O47" t="n">
        <v>55.6139436020312</v>
      </c>
      <c r="P47" t="n">
        <v>49.1835813730464</v>
      </c>
      <c r="Q47" t="n">
        <v>45.5344769485946</v>
      </c>
      <c r="R47" t="n">
        <v>163.630346195917</v>
      </c>
      <c r="S47" t="n">
        <v>48.833431442844</v>
      </c>
      <c r="T47" t="n">
        <v>203.588901086714</v>
      </c>
      <c r="U47" t="n">
        <v>306.654337959216</v>
      </c>
      <c r="V47" t="n">
        <v>35.9469614679051</v>
      </c>
      <c r="W47" t="n">
        <v>7.98821365953447</v>
      </c>
      <c r="X47" t="n">
        <v>7.98821365953447</v>
      </c>
      <c r="Y47" t="n">
        <v>63.0302886012583</v>
      </c>
      <c r="Z47" t="n">
        <v>3.24091909474555</v>
      </c>
      <c r="AA47" t="n">
        <v>11.7753393775755</v>
      </c>
      <c r="AB47" t="n">
        <v>11.1271555586264</v>
      </c>
      <c r="AC47" t="n">
        <v>39.9004062960845</v>
      </c>
      <c r="AD47" t="n">
        <v>15.9816143497758</v>
      </c>
      <c r="AE47" t="n">
        <v>22.7</v>
      </c>
      <c r="AF47" t="n">
        <v>40.4</v>
      </c>
    </row>
    <row r="48">
      <c r="A48" t="s">
        <v>61</v>
      </c>
      <c r="B48" t="s">
        <v>366</v>
      </c>
      <c r="C48" t="s">
        <v>203</v>
      </c>
      <c r="D48" t="s">
        <v>367</v>
      </c>
      <c r="E48" t="s">
        <v>204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75.7658827513693</v>
      </c>
      <c r="M48" t="n">
        <v>70.1274914768488</v>
      </c>
      <c r="N48" t="n">
        <v>132.837652124415</v>
      </c>
      <c r="O48" t="n">
        <v>52.8070666469898</v>
      </c>
      <c r="P48" t="n">
        <v>55.2921050774364</v>
      </c>
      <c r="Q48" t="n">
        <v>47.2109512584265</v>
      </c>
      <c r="R48" t="n">
        <v>151.861893214605</v>
      </c>
      <c r="S48" t="n">
        <v>47.8422054563305</v>
      </c>
      <c r="T48" t="n">
        <v>186.272586896278</v>
      </c>
      <c r="U48" t="n">
        <v>276.411152808351</v>
      </c>
      <c r="V48" t="n">
        <v>33.5106894594461</v>
      </c>
      <c r="W48" t="n">
        <v>8.42724439068911</v>
      </c>
      <c r="X48" t="n">
        <v>8.94110075597503</v>
      </c>
      <c r="Y48" t="n">
        <v>64.4876892024699</v>
      </c>
      <c r="Z48" t="n">
        <v>24.0830131357897</v>
      </c>
      <c r="AA48" t="n">
        <v>58.7972663044955</v>
      </c>
      <c r="AB48" t="n">
        <v>18.2660625100363</v>
      </c>
      <c r="AC48" t="n">
        <v>48.1457326653425</v>
      </c>
      <c r="AD48" t="n">
        <v>51.0538641686183</v>
      </c>
      <c r="AE48" t="n">
        <v>43.6</v>
      </c>
      <c r="AF48" t="n">
        <v>55.2</v>
      </c>
    </row>
    <row r="49">
      <c r="A49" t="s">
        <v>61</v>
      </c>
      <c r="B49" t="s">
        <v>368</v>
      </c>
      <c r="C49" t="s">
        <v>203</v>
      </c>
      <c r="D49" t="s">
        <v>369</v>
      </c>
      <c r="E49" t="s">
        <v>204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3.46183269968807</v>
      </c>
      <c r="P49" t="n">
        <v>4.6734741445789</v>
      </c>
      <c r="Q49" t="n">
        <v>4.36190920160697</v>
      </c>
      <c r="R49" t="n">
        <v>5.08889406854147</v>
      </c>
      <c r="S49" t="n">
        <v>2.29000233084366</v>
      </c>
      <c r="T49" t="n">
        <v>1.14500116542183</v>
      </c>
      <c r="U49" t="n">
        <v>1.14500116542183</v>
      </c>
      <c r="V49" t="n">
        <v>0.687000699253098</v>
      </c>
      <c r="W49" t="n">
        <v>0.343500349626549</v>
      </c>
      <c r="X49" t="n">
        <v>0.343500349626549</v>
      </c>
      <c r="Y49" t="n">
        <v>-0.572500582710915</v>
      </c>
      <c r="Z49" t="n">
        <v>9.5035096730012</v>
      </c>
      <c r="AA49" t="n">
        <v>6.88185183217328</v>
      </c>
      <c r="AB49" t="n">
        <v>5.89873014186281</v>
      </c>
      <c r="AC49" t="n">
        <v>3.74342489772063</v>
      </c>
      <c r="AD49" t="n">
        <v>31.0169491525424</v>
      </c>
      <c r="AE49" t="n">
        <v>6</v>
      </c>
      <c r="AF49" t="n">
        <v>9.8</v>
      </c>
    </row>
    <row r="50">
      <c r="A50" t="s">
        <v>61</v>
      </c>
      <c r="B50" t="s">
        <v>370</v>
      </c>
      <c r="C50" t="s">
        <v>203</v>
      </c>
      <c r="D50" t="s">
        <v>371</v>
      </c>
      <c r="E50" t="s">
        <v>204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1.9474906926051</v>
      </c>
      <c r="Q50" t="n">
        <v>0.740046463189938</v>
      </c>
      <c r="R50" t="n">
        <v>0.333020908435472</v>
      </c>
      <c r="S50" t="n">
        <v>0.59943763518385</v>
      </c>
      <c r="T50" t="n">
        <v>1.1988752703677</v>
      </c>
      <c r="U50" t="n">
        <v>0.59943763518385</v>
      </c>
      <c r="V50" t="n">
        <v>0.209803172314348</v>
      </c>
      <c r="W50" t="n">
        <v>0.299718817591925</v>
      </c>
      <c r="X50" t="n">
        <v>0.59943763518385</v>
      </c>
      <c r="Y50" t="n">
        <v>0.11988752703677</v>
      </c>
      <c r="Z50" t="n">
        <v>11.988752703677</v>
      </c>
      <c r="AA50" t="n">
        <v>42.2460809558142</v>
      </c>
      <c r="AB50" t="n">
        <v>1.36277680502626</v>
      </c>
      <c r="AC50" t="n">
        <v>4.31545988258317</v>
      </c>
      <c r="AD50" t="n">
        <v>3.77602739726027</v>
      </c>
      <c r="AE50" t="n">
        <v>14.9</v>
      </c>
      <c r="AF50" t="n">
        <v>5.1</v>
      </c>
    </row>
    <row r="51">
      <c r="A51" t="s">
        <v>61</v>
      </c>
      <c r="B51" t="s">
        <v>372</v>
      </c>
      <c r="C51" t="s">
        <v>203</v>
      </c>
      <c r="D51" t="s">
        <v>373</v>
      </c>
      <c r="E51" t="s">
        <v>204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1.00789510537273</v>
      </c>
      <c r="Q51" t="n">
        <v>0.181421118967092</v>
      </c>
      <c r="R51" t="n">
        <v>0.163279007070383</v>
      </c>
      <c r="S51" t="n">
        <v>0.293902212726689</v>
      </c>
      <c r="T51" t="n">
        <v>0.293902212726689</v>
      </c>
      <c r="U51" t="n">
        <v>0.293902212726689</v>
      </c>
      <c r="V51" t="n">
        <v>0.0881706638180067</v>
      </c>
      <c r="W51" t="n">
        <v>0.146951106363345</v>
      </c>
      <c r="X51" t="n">
        <v>0.293902212726689</v>
      </c>
      <c r="Y51" t="n">
        <v>0.117560885090676</v>
      </c>
      <c r="Z51" t="n">
        <v>1.29316973599743</v>
      </c>
      <c r="AA51" t="n">
        <v>41.3814315519178</v>
      </c>
      <c r="AB51" t="n">
        <v>0.233793398598406</v>
      </c>
      <c r="AC51" t="n">
        <v>3.62379767827529</v>
      </c>
      <c r="AD51" t="n">
        <v>2.96492537313433</v>
      </c>
      <c r="AE51" t="n">
        <v>13.7</v>
      </c>
      <c r="AF51" t="n">
        <v>4.5</v>
      </c>
    </row>
    <row r="52">
      <c r="A52" t="s">
        <v>61</v>
      </c>
      <c r="B52" t="s">
        <v>374</v>
      </c>
      <c r="C52" t="s">
        <v>203</v>
      </c>
      <c r="D52" t="s">
        <v>375</v>
      </c>
      <c r="E52" t="s">
        <v>204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8.46</v>
      </c>
      <c r="AA52" t="n">
        <v>1.62</v>
      </c>
      <c r="AB52" t="n">
        <v>0.9</v>
      </c>
      <c r="AC52" t="n">
        <v>0.7</v>
      </c>
      <c r="AD52" t="n">
        <v>0.8</v>
      </c>
      <c r="AE52" t="n">
        <v>1.2</v>
      </c>
      <c r="AF52" t="n">
        <v>0.6</v>
      </c>
    </row>
    <row r="53">
      <c r="A53" t="s">
        <v>61</v>
      </c>
      <c r="B53" t="s">
        <v>376</v>
      </c>
      <c r="C53" t="s">
        <v>203</v>
      </c>
      <c r="D53" t="s">
        <v>377</v>
      </c>
      <c r="E53" t="s">
        <v>204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1.92602972192657</v>
      </c>
      <c r="O53" t="n">
        <v>1.73342674973391</v>
      </c>
      <c r="P53" t="n">
        <v>1.56008407476052</v>
      </c>
      <c r="Q53" t="n">
        <v>8.7364708186589</v>
      </c>
      <c r="R53" t="n">
        <v>89.9856494321867</v>
      </c>
      <c r="S53" t="n">
        <v>1.14066316181645</v>
      </c>
      <c r="T53" t="n">
        <v>2.2813263236329</v>
      </c>
      <c r="U53" t="n">
        <v>1.14066316181645</v>
      </c>
      <c r="V53" t="n">
        <v>1.02659684563481</v>
      </c>
      <c r="W53" t="n">
        <v>1.02659684563481</v>
      </c>
      <c r="X53" t="n">
        <v>1.02659684563481</v>
      </c>
      <c r="Y53" t="n">
        <v>1.36879579417974</v>
      </c>
      <c r="Z53" t="n">
        <v>1.93912737508797</v>
      </c>
      <c r="AA53" t="n">
        <v>-0.646375791695989</v>
      </c>
      <c r="AB53" t="n">
        <v>18.7448979591837</v>
      </c>
      <c r="AC53" t="n">
        <v>16.5</v>
      </c>
      <c r="AD53" t="n">
        <v>1.5</v>
      </c>
      <c r="AE53" t="n">
        <v>2.6</v>
      </c>
      <c r="AF53" t="n">
        <v>0.3</v>
      </c>
    </row>
    <row r="54">
      <c r="A54" t="s">
        <v>61</v>
      </c>
      <c r="B54" t="s">
        <v>378</v>
      </c>
      <c r="C54" t="s">
        <v>203</v>
      </c>
      <c r="D54" t="s">
        <v>379</v>
      </c>
      <c r="E54" t="s">
        <v>204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1.98555632399546</v>
      </c>
      <c r="O54" t="n">
        <v>1.78700069159591</v>
      </c>
      <c r="P54" t="n">
        <v>3.21660124487264</v>
      </c>
      <c r="Q54" t="n">
        <v>13.5097252284651</v>
      </c>
      <c r="R54" t="n">
        <v>95.3186168897259</v>
      </c>
      <c r="S54" t="n">
        <v>2.35032206029461</v>
      </c>
      <c r="T54" t="n">
        <v>2.35032206029461</v>
      </c>
      <c r="U54" t="n">
        <v>2.35032206029461</v>
      </c>
      <c r="V54" t="n">
        <v>3.40796698742719</v>
      </c>
      <c r="W54" t="n">
        <v>4.77115378239806</v>
      </c>
      <c r="X54" t="n">
        <v>4.77115378239806</v>
      </c>
      <c r="Y54" t="n">
        <v>4.88475268197897</v>
      </c>
      <c r="Z54" t="n">
        <v>4.20315928449353</v>
      </c>
      <c r="AA54" t="n">
        <v>3.01765281963638</v>
      </c>
      <c r="AB54" t="n">
        <v>23.2790360371949</v>
      </c>
      <c r="AC54" t="n">
        <v>20.1301809210526</v>
      </c>
      <c r="AD54" t="n">
        <v>6.88947368421053</v>
      </c>
      <c r="AE54" t="n">
        <v>7.7</v>
      </c>
      <c r="AF54" t="n">
        <v>6.7</v>
      </c>
    </row>
    <row r="55">
      <c r="A55" t="s">
        <v>61</v>
      </c>
      <c r="B55" t="s">
        <v>380</v>
      </c>
      <c r="C55" t="s">
        <v>203</v>
      </c>
      <c r="D55" t="s">
        <v>381</v>
      </c>
      <c r="E55" t="s">
        <v>204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1.170736875</v>
      </c>
      <c r="V55" t="n">
        <v>2.34147375</v>
      </c>
      <c r="W55" t="n">
        <v>3.67945875</v>
      </c>
      <c r="X55" t="n">
        <v>3.67945875</v>
      </c>
      <c r="Y55" t="n">
        <v>3.45646125</v>
      </c>
      <c r="Z55" t="n">
        <v>2.229975</v>
      </c>
      <c r="AA55" t="n">
        <v>3.61043571428571</v>
      </c>
      <c r="AB55" t="n">
        <v>4.45995</v>
      </c>
      <c r="AC55" t="n">
        <v>3.56796</v>
      </c>
      <c r="AD55" t="n">
        <v>5.406</v>
      </c>
      <c r="AE55" t="n">
        <v>5.1</v>
      </c>
      <c r="AF55" t="n">
        <v>6.4</v>
      </c>
    </row>
    <row r="56">
      <c r="A56" t="s">
        <v>61</v>
      </c>
      <c r="B56" t="s">
        <v>382</v>
      </c>
      <c r="C56" t="s">
        <v>203</v>
      </c>
      <c r="D56" t="s">
        <v>383</v>
      </c>
      <c r="E56" t="s">
        <v>204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61</v>
      </c>
      <c r="B57" t="s">
        <v>384</v>
      </c>
      <c r="C57" t="s">
        <v>203</v>
      </c>
      <c r="D57" t="s">
        <v>385</v>
      </c>
      <c r="E57" t="s">
        <v>204</v>
      </c>
      <c r="F57" t="n">
        <v>779.197831712147</v>
      </c>
      <c r="G57" t="n">
        <v>252.477509716785</v>
      </c>
      <c r="H57" t="n">
        <v>631.193774291963</v>
      </c>
      <c r="I57" t="n">
        <v>741.714084965653</v>
      </c>
      <c r="J57" t="n">
        <v>959.662857225898</v>
      </c>
      <c r="K57" t="n">
        <v>1084.892520989</v>
      </c>
      <c r="L57" t="n">
        <v>1196.92917512077</v>
      </c>
      <c r="M57" t="n">
        <v>1453.88704303678</v>
      </c>
      <c r="N57" t="n">
        <v>1524.40668758721</v>
      </c>
      <c r="O57" t="n">
        <v>1563.85756830115</v>
      </c>
      <c r="P57" t="n">
        <v>2464.65507874336</v>
      </c>
      <c r="Q57" t="n">
        <v>4865.6729902493</v>
      </c>
      <c r="R57" t="n">
        <v>4516.09686216785</v>
      </c>
      <c r="S57" t="n">
        <v>5529.83578379614</v>
      </c>
      <c r="T57" t="n">
        <v>4401.37217575891</v>
      </c>
      <c r="U57" t="n">
        <v>2606.87510791807</v>
      </c>
      <c r="V57" t="n">
        <v>2236.17507259998</v>
      </c>
      <c r="W57" t="n">
        <v>1639.14225380463</v>
      </c>
      <c r="X57" t="n">
        <v>1574.24660536557</v>
      </c>
      <c r="Y57" t="n">
        <v>1522.88566041206</v>
      </c>
      <c r="Z57" t="n">
        <v>1365.92608738357</v>
      </c>
      <c r="AA57" t="n">
        <v>2760.47904232487</v>
      </c>
      <c r="AB57" t="n">
        <v>3290.99455860229</v>
      </c>
      <c r="AC57" t="n">
        <v>3218.73561799586</v>
      </c>
      <c r="AD57" t="n">
        <v>3432.50078164174</v>
      </c>
      <c r="AE57" t="n">
        <v>3458</v>
      </c>
      <c r="AF57" t="n">
        <v>3479.6</v>
      </c>
    </row>
    <row r="58">
      <c r="A58" t="s">
        <v>61</v>
      </c>
      <c r="B58" t="s">
        <v>386</v>
      </c>
      <c r="C58" t="s">
        <v>203</v>
      </c>
      <c r="D58" t="s">
        <v>387</v>
      </c>
      <c r="E58" t="s">
        <v>204</v>
      </c>
      <c r="F58" t="n">
        <v>783.198847536087</v>
      </c>
      <c r="G58" t="n">
        <v>249.398515695849</v>
      </c>
      <c r="H58" t="n">
        <v>631.193774291963</v>
      </c>
      <c r="I58" t="n">
        <v>741.714084965653</v>
      </c>
      <c r="J58" t="n">
        <v>959.662857225898</v>
      </c>
      <c r="K58" t="n">
        <v>1084.892520989</v>
      </c>
      <c r="L58" t="n">
        <v>1196.92917512077</v>
      </c>
      <c r="M58" t="n">
        <v>1453.88704303678</v>
      </c>
      <c r="N58" t="n">
        <v>1524.40668758721</v>
      </c>
      <c r="O58" t="n">
        <v>1563.85756830115</v>
      </c>
      <c r="P58" t="n">
        <v>2464.65507874336</v>
      </c>
      <c r="Q58" t="n">
        <v>4865.6729902493</v>
      </c>
      <c r="R58" t="n">
        <v>4516.09686216785</v>
      </c>
      <c r="S58" t="n">
        <v>5529.83578379614</v>
      </c>
      <c r="T58" t="n">
        <v>4401.37217575891</v>
      </c>
      <c r="U58" t="n">
        <v>2606.87510791807</v>
      </c>
      <c r="V58" t="n">
        <v>2236.17507259998</v>
      </c>
      <c r="W58" t="n">
        <v>1639.14225380463</v>
      </c>
      <c r="X58" t="n">
        <v>1574.24660536557</v>
      </c>
      <c r="Y58" t="n">
        <v>1522.88566041206</v>
      </c>
      <c r="Z58" t="n">
        <v>1365.92608738357</v>
      </c>
      <c r="AA58" t="n">
        <v>2760.47904232487</v>
      </c>
      <c r="AB58" t="n">
        <v>3290.99455860229</v>
      </c>
      <c r="AC58" t="n">
        <v>3218.73561799586</v>
      </c>
      <c r="AD58" t="n">
        <v>3432.50078164174</v>
      </c>
      <c r="AE58" t="n">
        <v>3458</v>
      </c>
      <c r="AF58" t="n">
        <v>3479.6</v>
      </c>
    </row>
    <row r="59">
      <c r="A59" t="s">
        <v>61</v>
      </c>
      <c r="B59" t="s">
        <v>388</v>
      </c>
      <c r="C59" t="s">
        <v>203</v>
      </c>
      <c r="D59" t="s">
        <v>389</v>
      </c>
      <c r="E59" t="s">
        <v>204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63</v>
      </c>
      <c r="B2" t="s">
        <v>197</v>
      </c>
      <c r="C2" t="s">
        <v>203</v>
      </c>
      <c r="D2" t="s">
        <v>199</v>
      </c>
      <c r="E2" t="s">
        <v>204</v>
      </c>
      <c r="F2" t="n">
        <v>496.537439745131</v>
      </c>
      <c r="G2" t="n">
        <v>160.644465799895</v>
      </c>
      <c r="H2" t="n">
        <v>399.902180821016</v>
      </c>
      <c r="I2" t="n">
        <v>668.162354154571</v>
      </c>
      <c r="J2" t="n">
        <v>902.54202506686</v>
      </c>
      <c r="K2" t="n">
        <v>339.808250690969</v>
      </c>
      <c r="L2" t="n">
        <v>748.361320343748</v>
      </c>
      <c r="M2" t="n">
        <v>459.855678209097</v>
      </c>
      <c r="N2" t="n">
        <v>874.120326357426</v>
      </c>
      <c r="O2" t="n">
        <v>1160.32909889691</v>
      </c>
      <c r="P2" t="n">
        <v>335.851512847201</v>
      </c>
      <c r="Q2" t="n">
        <v>618.502846513044</v>
      </c>
      <c r="R2" t="n">
        <v>584.186435316171</v>
      </c>
      <c r="S2" t="n">
        <v>535.504232373157</v>
      </c>
      <c r="T2" t="n">
        <v>332.999790964368</v>
      </c>
      <c r="U2" t="n">
        <v>500.067945475502</v>
      </c>
      <c r="V2" t="n">
        <v>437.470535515553</v>
      </c>
      <c r="W2" t="n">
        <v>302.218450974497</v>
      </c>
      <c r="X2" t="n">
        <v>273.963380397596</v>
      </c>
      <c r="Y2" t="n">
        <v>328.709464065484</v>
      </c>
      <c r="Z2" t="n">
        <v>237.057239721679</v>
      </c>
      <c r="AA2" t="n">
        <v>192.837953283529</v>
      </c>
      <c r="AB2" t="n">
        <v>64.4886966463919</v>
      </c>
      <c r="AC2" t="n">
        <v>152.516463990927</v>
      </c>
      <c r="AD2" t="n">
        <v>80.8677966101695</v>
      </c>
      <c r="AE2" t="n">
        <v>149.1</v>
      </c>
      <c r="AF2" t="n">
        <v>79.6</v>
      </c>
    </row>
    <row r="3">
      <c r="A3" t="s">
        <v>63</v>
      </c>
      <c r="B3" t="s">
        <v>276</v>
      </c>
      <c r="C3" t="s">
        <v>203</v>
      </c>
      <c r="D3" t="s">
        <v>277</v>
      </c>
      <c r="E3" t="s">
        <v>204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63</v>
      </c>
      <c r="B4" t="s">
        <v>278</v>
      </c>
      <c r="C4" t="s">
        <v>203</v>
      </c>
      <c r="D4" t="s">
        <v>279</v>
      </c>
      <c r="E4" t="s">
        <v>204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63</v>
      </c>
      <c r="B5" t="s">
        <v>280</v>
      </c>
      <c r="C5" t="s">
        <v>203</v>
      </c>
      <c r="D5" t="s">
        <v>281</v>
      </c>
      <c r="E5" t="s">
        <v>204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63</v>
      </c>
      <c r="B6" t="s">
        <v>282</v>
      </c>
      <c r="C6" t="s">
        <v>203</v>
      </c>
      <c r="D6" t="s">
        <v>283</v>
      </c>
      <c r="E6" t="s">
        <v>204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63</v>
      </c>
      <c r="B7" t="s">
        <v>284</v>
      </c>
      <c r="C7" t="s">
        <v>203</v>
      </c>
      <c r="D7" t="s">
        <v>285</v>
      </c>
      <c r="E7" t="s">
        <v>204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63</v>
      </c>
      <c r="B8" t="s">
        <v>286</v>
      </c>
      <c r="C8" t="s">
        <v>203</v>
      </c>
      <c r="D8" t="s">
        <v>287</v>
      </c>
      <c r="E8" t="s">
        <v>204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63</v>
      </c>
      <c r="B9" t="s">
        <v>288</v>
      </c>
      <c r="C9" t="s">
        <v>203</v>
      </c>
      <c r="D9" t="s">
        <v>289</v>
      </c>
      <c r="E9" t="s">
        <v>204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63</v>
      </c>
      <c r="B10" t="s">
        <v>290</v>
      </c>
      <c r="C10" t="s">
        <v>203</v>
      </c>
      <c r="D10" t="s">
        <v>291</v>
      </c>
      <c r="E10" t="s">
        <v>204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63</v>
      </c>
      <c r="B11" t="s">
        <v>292</v>
      </c>
      <c r="C11" t="s">
        <v>203</v>
      </c>
      <c r="D11" t="s">
        <v>293</v>
      </c>
      <c r="E11" t="s">
        <v>204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63</v>
      </c>
      <c r="B12" t="s">
        <v>294</v>
      </c>
      <c r="C12" t="s">
        <v>203</v>
      </c>
      <c r="D12" t="s">
        <v>295</v>
      </c>
      <c r="E12" t="s">
        <v>204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63</v>
      </c>
      <c r="B13" t="s">
        <v>296</v>
      </c>
      <c r="C13" t="s">
        <v>203</v>
      </c>
      <c r="D13" t="s">
        <v>297</v>
      </c>
      <c r="E13" t="s">
        <v>204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63</v>
      </c>
      <c r="B14" t="s">
        <v>298</v>
      </c>
      <c r="C14" t="s">
        <v>203</v>
      </c>
      <c r="D14" t="s">
        <v>299</v>
      </c>
      <c r="E14" t="s">
        <v>204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63</v>
      </c>
      <c r="B15" t="s">
        <v>300</v>
      </c>
      <c r="C15" t="s">
        <v>203</v>
      </c>
      <c r="D15" t="s">
        <v>301</v>
      </c>
      <c r="E15" t="s">
        <v>204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63</v>
      </c>
      <c r="B16" t="s">
        <v>302</v>
      </c>
      <c r="C16" t="s">
        <v>203</v>
      </c>
      <c r="D16" t="s">
        <v>303</v>
      </c>
      <c r="E16" t="s">
        <v>204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63</v>
      </c>
      <c r="B17" t="s">
        <v>304</v>
      </c>
      <c r="C17" t="s">
        <v>203</v>
      </c>
      <c r="D17" t="s">
        <v>305</v>
      </c>
      <c r="E17" t="s">
        <v>204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63</v>
      </c>
      <c r="B18" t="s">
        <v>306</v>
      </c>
      <c r="C18" t="s">
        <v>203</v>
      </c>
      <c r="D18" t="s">
        <v>307</v>
      </c>
      <c r="E18" t="s">
        <v>204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63</v>
      </c>
      <c r="B19" t="s">
        <v>308</v>
      </c>
      <c r="C19" t="s">
        <v>203</v>
      </c>
      <c r="D19" t="s">
        <v>309</v>
      </c>
      <c r="E19" t="s">
        <v>204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63</v>
      </c>
      <c r="B20" t="s">
        <v>310</v>
      </c>
      <c r="C20" t="s">
        <v>203</v>
      </c>
      <c r="D20" t="s">
        <v>311</v>
      </c>
      <c r="E20" t="s">
        <v>204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63</v>
      </c>
      <c r="B21" t="s">
        <v>312</v>
      </c>
      <c r="C21" t="s">
        <v>203</v>
      </c>
      <c r="D21" t="s">
        <v>313</v>
      </c>
      <c r="E21" t="s">
        <v>204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63</v>
      </c>
      <c r="B22" t="s">
        <v>314</v>
      </c>
      <c r="C22" t="s">
        <v>203</v>
      </c>
      <c r="D22" t="s">
        <v>315</v>
      </c>
      <c r="E22" t="s">
        <v>204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63</v>
      </c>
      <c r="B23" t="s">
        <v>316</v>
      </c>
      <c r="C23" t="s">
        <v>203</v>
      </c>
      <c r="D23" t="s">
        <v>317</v>
      </c>
      <c r="E23" t="s">
        <v>204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63</v>
      </c>
      <c r="B24" t="s">
        <v>318</v>
      </c>
      <c r="C24" t="s">
        <v>203</v>
      </c>
      <c r="D24" t="s">
        <v>319</v>
      </c>
      <c r="E24" t="s">
        <v>204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63</v>
      </c>
      <c r="B25" t="s">
        <v>320</v>
      </c>
      <c r="C25" t="s">
        <v>203</v>
      </c>
      <c r="D25" t="s">
        <v>321</v>
      </c>
      <c r="E25" t="s">
        <v>204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63</v>
      </c>
      <c r="B26" t="s">
        <v>322</v>
      </c>
      <c r="C26" t="s">
        <v>203</v>
      </c>
      <c r="D26" t="s">
        <v>323</v>
      </c>
      <c r="E26" t="s">
        <v>204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63</v>
      </c>
      <c r="B27" t="s">
        <v>324</v>
      </c>
      <c r="C27" t="s">
        <v>203</v>
      </c>
      <c r="D27" t="s">
        <v>325</v>
      </c>
      <c r="E27" t="s">
        <v>204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63</v>
      </c>
      <c r="B28" t="s">
        <v>326</v>
      </c>
      <c r="C28" t="s">
        <v>203</v>
      </c>
      <c r="D28" t="s">
        <v>327</v>
      </c>
      <c r="E28" t="s">
        <v>204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63</v>
      </c>
      <c r="B29" t="s">
        <v>328</v>
      </c>
      <c r="C29" t="s">
        <v>203</v>
      </c>
      <c r="D29" t="s">
        <v>329</v>
      </c>
      <c r="E29" t="s">
        <v>204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63</v>
      </c>
      <c r="B30" t="s">
        <v>330</v>
      </c>
      <c r="C30" t="s">
        <v>203</v>
      </c>
      <c r="D30" t="s">
        <v>331</v>
      </c>
      <c r="E30" t="s">
        <v>204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63</v>
      </c>
      <c r="B31" t="s">
        <v>332</v>
      </c>
      <c r="C31" t="s">
        <v>203</v>
      </c>
      <c r="D31" t="s">
        <v>333</v>
      </c>
      <c r="E31" t="s">
        <v>204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63</v>
      </c>
      <c r="B32" t="s">
        <v>334</v>
      </c>
      <c r="C32" t="s">
        <v>203</v>
      </c>
      <c r="D32" t="s">
        <v>335</v>
      </c>
      <c r="E32" t="s">
        <v>204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63</v>
      </c>
      <c r="B33" t="s">
        <v>336</v>
      </c>
      <c r="C33" t="s">
        <v>203</v>
      </c>
      <c r="D33" t="s">
        <v>337</v>
      </c>
      <c r="E33" t="s">
        <v>204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63</v>
      </c>
      <c r="B34" t="s">
        <v>338</v>
      </c>
      <c r="C34" t="s">
        <v>203</v>
      </c>
      <c r="D34" t="s">
        <v>339</v>
      </c>
      <c r="E34" t="s">
        <v>204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63</v>
      </c>
      <c r="B35" t="s">
        <v>340</v>
      </c>
      <c r="C35" t="s">
        <v>203</v>
      </c>
      <c r="D35" t="s">
        <v>341</v>
      </c>
      <c r="E35" t="s">
        <v>204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63</v>
      </c>
      <c r="B36" t="s">
        <v>342</v>
      </c>
      <c r="C36" t="s">
        <v>203</v>
      </c>
      <c r="D36" t="s">
        <v>343</v>
      </c>
      <c r="E36" t="s">
        <v>204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63</v>
      </c>
      <c r="B37" t="s">
        <v>344</v>
      </c>
      <c r="C37" t="s">
        <v>203</v>
      </c>
      <c r="D37" t="s">
        <v>345</v>
      </c>
      <c r="E37" t="s">
        <v>204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63</v>
      </c>
      <c r="B38" t="s">
        <v>346</v>
      </c>
      <c r="C38" t="s">
        <v>203</v>
      </c>
      <c r="D38" t="s">
        <v>347</v>
      </c>
      <c r="E38" t="s">
        <v>204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63</v>
      </c>
      <c r="B39" t="s">
        <v>348</v>
      </c>
      <c r="C39" t="s">
        <v>203</v>
      </c>
      <c r="D39" t="s">
        <v>349</v>
      </c>
      <c r="E39" t="s">
        <v>204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63</v>
      </c>
      <c r="B40" t="s">
        <v>350</v>
      </c>
      <c r="C40" t="s">
        <v>203</v>
      </c>
      <c r="D40" t="s">
        <v>351</v>
      </c>
      <c r="E40" t="s">
        <v>204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63</v>
      </c>
      <c r="B41" t="s">
        <v>352</v>
      </c>
      <c r="C41" t="s">
        <v>203</v>
      </c>
      <c r="D41" t="s">
        <v>353</v>
      </c>
      <c r="E41" t="s">
        <v>204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63</v>
      </c>
      <c r="B42" t="s">
        <v>354</v>
      </c>
      <c r="C42" t="s">
        <v>203</v>
      </c>
      <c r="D42" t="s">
        <v>355</v>
      </c>
      <c r="E42" t="s">
        <v>204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63</v>
      </c>
      <c r="B43" t="s">
        <v>356</v>
      </c>
      <c r="C43" t="s">
        <v>203</v>
      </c>
      <c r="D43" t="s">
        <v>357</v>
      </c>
      <c r="E43" t="s">
        <v>204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63</v>
      </c>
      <c r="B44" t="s">
        <v>358</v>
      </c>
      <c r="C44" t="s">
        <v>203</v>
      </c>
      <c r="D44" t="s">
        <v>359</v>
      </c>
      <c r="E44" t="s">
        <v>204</v>
      </c>
      <c r="F44" t="n">
        <v>436.445870064275</v>
      </c>
      <c r="G44" t="n">
        <v>141.20307560903</v>
      </c>
      <c r="H44" t="n">
        <v>351.505528643756</v>
      </c>
      <c r="I44" t="n">
        <v>587.300526930801</v>
      </c>
      <c r="J44" t="n">
        <v>793.315282734913</v>
      </c>
      <c r="K44" t="n">
        <v>298.684239609333</v>
      </c>
      <c r="L44" t="n">
        <v>657.793715912999</v>
      </c>
      <c r="M44" t="n">
        <v>404.203380278808</v>
      </c>
      <c r="N44" t="n">
        <v>768.333212846466</v>
      </c>
      <c r="O44" t="n">
        <v>1019.90464885971</v>
      </c>
      <c r="P44" t="n">
        <v>295.206351030123</v>
      </c>
      <c r="Q44" t="n">
        <v>543.650873783407</v>
      </c>
      <c r="R44" t="n">
        <v>513.487476739288</v>
      </c>
      <c r="S44" t="n">
        <v>470.696853677681</v>
      </c>
      <c r="T44" t="n">
        <v>292.699748025578</v>
      </c>
      <c r="U44" t="n">
        <v>439.549109662984</v>
      </c>
      <c r="V44" t="n">
        <v>384.527314996778</v>
      </c>
      <c r="W44" t="n">
        <v>265.64360353722</v>
      </c>
      <c r="X44" t="n">
        <v>240.807996240431</v>
      </c>
      <c r="Y44" t="n">
        <v>298.143233440534</v>
      </c>
      <c r="Z44" t="n">
        <v>207.631571496261</v>
      </c>
      <c r="AA44" t="n">
        <v>183.095399167829</v>
      </c>
      <c r="AB44" t="n">
        <v>84.3783014237283</v>
      </c>
      <c r="AC44" t="n">
        <v>166.291003130529</v>
      </c>
      <c r="AD44" t="n">
        <v>93.6708860759494</v>
      </c>
      <c r="AE44" t="n">
        <v>155.4</v>
      </c>
      <c r="AF44" t="n">
        <v>86.7</v>
      </c>
    </row>
    <row r="45">
      <c r="A45" t="s">
        <v>63</v>
      </c>
      <c r="B45" t="s">
        <v>360</v>
      </c>
      <c r="C45" t="s">
        <v>203</v>
      </c>
      <c r="D45" t="s">
        <v>361</v>
      </c>
      <c r="E45" t="s">
        <v>204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63</v>
      </c>
      <c r="B46" t="s">
        <v>362</v>
      </c>
      <c r="C46" t="s">
        <v>203</v>
      </c>
      <c r="D46" t="s">
        <v>363</v>
      </c>
      <c r="E46" t="s">
        <v>204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63</v>
      </c>
      <c r="B47" t="s">
        <v>364</v>
      </c>
      <c r="C47" t="s">
        <v>203</v>
      </c>
      <c r="D47" t="s">
        <v>365</v>
      </c>
      <c r="E47" t="s">
        <v>204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63</v>
      </c>
      <c r="B48" t="s">
        <v>366</v>
      </c>
      <c r="C48" t="s">
        <v>203</v>
      </c>
      <c r="D48" t="s">
        <v>367</v>
      </c>
      <c r="E48" t="s">
        <v>204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63</v>
      </c>
      <c r="B49" t="s">
        <v>368</v>
      </c>
      <c r="C49" t="s">
        <v>203</v>
      </c>
      <c r="D49" t="s">
        <v>369</v>
      </c>
      <c r="E49" t="s">
        <v>204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63</v>
      </c>
      <c r="B50" t="s">
        <v>370</v>
      </c>
      <c r="C50" t="s">
        <v>203</v>
      </c>
      <c r="D50" t="s">
        <v>371</v>
      </c>
      <c r="E50" t="s">
        <v>204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63</v>
      </c>
      <c r="B51" t="s">
        <v>372</v>
      </c>
      <c r="C51" t="s">
        <v>203</v>
      </c>
      <c r="D51" t="s">
        <v>373</v>
      </c>
      <c r="E51" t="s">
        <v>204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63</v>
      </c>
      <c r="B52" t="s">
        <v>374</v>
      </c>
      <c r="C52" t="s">
        <v>203</v>
      </c>
      <c r="D52" t="s">
        <v>375</v>
      </c>
      <c r="E52" t="s">
        <v>204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63</v>
      </c>
      <c r="B53" t="s">
        <v>376</v>
      </c>
      <c r="C53" t="s">
        <v>203</v>
      </c>
      <c r="D53" t="s">
        <v>377</v>
      </c>
      <c r="E53" t="s">
        <v>204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63</v>
      </c>
      <c r="B54" t="s">
        <v>378</v>
      </c>
      <c r="C54" t="s">
        <v>203</v>
      </c>
      <c r="D54" t="s">
        <v>379</v>
      </c>
      <c r="E54" t="s">
        <v>204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63</v>
      </c>
      <c r="B55" t="s">
        <v>380</v>
      </c>
      <c r="C55" t="s">
        <v>203</v>
      </c>
      <c r="D55" t="s">
        <v>381</v>
      </c>
      <c r="E55" t="s">
        <v>204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63</v>
      </c>
      <c r="B56" t="s">
        <v>382</v>
      </c>
      <c r="C56" t="s">
        <v>203</v>
      </c>
      <c r="D56" t="s">
        <v>383</v>
      </c>
      <c r="E56" t="s">
        <v>204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63</v>
      </c>
      <c r="B57" t="s">
        <v>384</v>
      </c>
      <c r="C57" t="s">
        <v>203</v>
      </c>
      <c r="D57" t="s">
        <v>385</v>
      </c>
      <c r="E57" t="s">
        <v>204</v>
      </c>
      <c r="F57" t="n">
        <v>433.346721083288</v>
      </c>
      <c r="G57" t="n">
        <v>140.20040976224</v>
      </c>
      <c r="H57" t="n">
        <v>349.009530684725</v>
      </c>
      <c r="I57" t="n">
        <v>583.130177399705</v>
      </c>
      <c r="J57" t="n">
        <v>787.682047507535</v>
      </c>
      <c r="K57" t="n">
        <v>296.563319192132</v>
      </c>
      <c r="L57" t="n">
        <v>653.122802830303</v>
      </c>
      <c r="M57" t="n">
        <v>401.33318129189</v>
      </c>
      <c r="N57" t="n">
        <v>762.87737225551</v>
      </c>
      <c r="O57" t="n">
        <v>1012.66243013336</v>
      </c>
      <c r="P57" t="n">
        <v>293.11012667625</v>
      </c>
      <c r="Q57" t="n">
        <v>539.79047512446</v>
      </c>
      <c r="R57" t="n">
        <v>509.841264690009</v>
      </c>
      <c r="S57" t="n">
        <v>467.354492632508</v>
      </c>
      <c r="T57" t="n">
        <v>290.621322754432</v>
      </c>
      <c r="U57" t="n">
        <v>436.427924955462</v>
      </c>
      <c r="V57" t="n">
        <v>381.79683335364</v>
      </c>
      <c r="W57" t="n">
        <v>263.757300653687</v>
      </c>
      <c r="X57" t="n">
        <v>239.09804798029</v>
      </c>
      <c r="Y57" t="n">
        <v>296.229469308914</v>
      </c>
      <c r="Z57" t="n">
        <v>207.447245320131</v>
      </c>
      <c r="AA57" t="n">
        <v>183.784934945853</v>
      </c>
      <c r="AB57" t="n">
        <v>84.9502929918704</v>
      </c>
      <c r="AC57" t="n">
        <v>167.169065308761</v>
      </c>
      <c r="AD57" t="n">
        <v>95.3095152603231</v>
      </c>
      <c r="AE57" t="n">
        <v>156.6</v>
      </c>
      <c r="AF57" t="n">
        <v>86.2</v>
      </c>
    </row>
    <row r="58">
      <c r="A58" t="s">
        <v>63</v>
      </c>
      <c r="B58" t="s">
        <v>386</v>
      </c>
      <c r="C58" t="s">
        <v>203</v>
      </c>
      <c r="D58" t="s">
        <v>387</v>
      </c>
      <c r="E58" t="s">
        <v>204</v>
      </c>
      <c r="F58" t="n">
        <v>433.346721083288</v>
      </c>
      <c r="G58" t="n">
        <v>140.20040976224</v>
      </c>
      <c r="H58" t="n">
        <v>349.009530684725</v>
      </c>
      <c r="I58" t="n">
        <v>583.130177399705</v>
      </c>
      <c r="J58" t="n">
        <v>787.682047507535</v>
      </c>
      <c r="K58" t="n">
        <v>296.563319192132</v>
      </c>
      <c r="L58" t="n">
        <v>653.122802830303</v>
      </c>
      <c r="M58" t="n">
        <v>401.33318129189</v>
      </c>
      <c r="N58" t="n">
        <v>762.87737225551</v>
      </c>
      <c r="O58" t="n">
        <v>1012.66243013336</v>
      </c>
      <c r="P58" t="n">
        <v>293.11012667625</v>
      </c>
      <c r="Q58" t="n">
        <v>539.79047512446</v>
      </c>
      <c r="R58" t="n">
        <v>509.841264690009</v>
      </c>
      <c r="S58" t="n">
        <v>467.354492632508</v>
      </c>
      <c r="T58" t="n">
        <v>290.621322754432</v>
      </c>
      <c r="U58" t="n">
        <v>436.427924955462</v>
      </c>
      <c r="V58" t="n">
        <v>381.79683335364</v>
      </c>
      <c r="W58" t="n">
        <v>263.757300653687</v>
      </c>
      <c r="X58" t="n">
        <v>239.09804798029</v>
      </c>
      <c r="Y58" t="n">
        <v>296.229469308914</v>
      </c>
      <c r="Z58" t="n">
        <v>207.447245320131</v>
      </c>
      <c r="AA58" t="n">
        <v>183.784934945853</v>
      </c>
      <c r="AB58" t="n">
        <v>84.9502929918704</v>
      </c>
      <c r="AC58" t="n">
        <v>167.169065308761</v>
      </c>
      <c r="AD58" t="n">
        <v>95.3095152603231</v>
      </c>
      <c r="AE58" t="n">
        <v>156.6</v>
      </c>
      <c r="AF58" t="n">
        <v>86.2</v>
      </c>
    </row>
    <row r="59">
      <c r="A59" t="s">
        <v>63</v>
      </c>
      <c r="B59" t="s">
        <v>388</v>
      </c>
      <c r="C59" t="s">
        <v>203</v>
      </c>
      <c r="D59" t="s">
        <v>389</v>
      </c>
      <c r="E59" t="s">
        <v>204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65</v>
      </c>
      <c r="B2" t="s">
        <v>197</v>
      </c>
      <c r="C2" t="s">
        <v>203</v>
      </c>
      <c r="D2" t="s">
        <v>199</v>
      </c>
      <c r="E2" t="s">
        <v>204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/>
      <c r="AE2"/>
      <c r="AF2"/>
    </row>
    <row r="3">
      <c r="A3" t="s">
        <v>65</v>
      </c>
      <c r="B3" t="s">
        <v>276</v>
      </c>
      <c r="C3" t="s">
        <v>203</v>
      </c>
      <c r="D3" t="s">
        <v>277</v>
      </c>
      <c r="E3" t="s">
        <v>204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/>
      <c r="AE3"/>
      <c r="AF3"/>
    </row>
    <row r="4">
      <c r="A4" t="s">
        <v>65</v>
      </c>
      <c r="B4" t="s">
        <v>278</v>
      </c>
      <c r="C4" t="s">
        <v>203</v>
      </c>
      <c r="D4" t="s">
        <v>279</v>
      </c>
      <c r="E4" t="s">
        <v>204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/>
      <c r="AE4"/>
      <c r="AF4"/>
    </row>
    <row r="5">
      <c r="A5" t="s">
        <v>65</v>
      </c>
      <c r="B5" t="s">
        <v>280</v>
      </c>
      <c r="C5" t="s">
        <v>203</v>
      </c>
      <c r="D5" t="s">
        <v>281</v>
      </c>
      <c r="E5" t="s">
        <v>204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/>
      <c r="AE5"/>
      <c r="AF5"/>
    </row>
    <row r="6">
      <c r="A6" t="s">
        <v>65</v>
      </c>
      <c r="B6" t="s">
        <v>282</v>
      </c>
      <c r="C6" t="s">
        <v>203</v>
      </c>
      <c r="D6" t="s">
        <v>283</v>
      </c>
      <c r="E6" t="s">
        <v>204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/>
      <c r="AE6"/>
      <c r="AF6"/>
    </row>
    <row r="7">
      <c r="A7" t="s">
        <v>65</v>
      </c>
      <c r="B7" t="s">
        <v>284</v>
      </c>
      <c r="C7" t="s">
        <v>203</v>
      </c>
      <c r="D7" t="s">
        <v>285</v>
      </c>
      <c r="E7" t="s">
        <v>204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/>
      <c r="AE7"/>
      <c r="AF7"/>
    </row>
    <row r="8">
      <c r="A8" t="s">
        <v>65</v>
      </c>
      <c r="B8" t="s">
        <v>286</v>
      </c>
      <c r="C8" t="s">
        <v>203</v>
      </c>
      <c r="D8" t="s">
        <v>287</v>
      </c>
      <c r="E8" t="s">
        <v>204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/>
      <c r="AE8"/>
      <c r="AF8"/>
    </row>
    <row r="9">
      <c r="A9" t="s">
        <v>65</v>
      </c>
      <c r="B9" t="s">
        <v>288</v>
      </c>
      <c r="C9" t="s">
        <v>203</v>
      </c>
      <c r="D9" t="s">
        <v>289</v>
      </c>
      <c r="E9" t="s">
        <v>204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/>
      <c r="AE9"/>
      <c r="AF9"/>
    </row>
    <row r="10">
      <c r="A10" t="s">
        <v>65</v>
      </c>
      <c r="B10" t="s">
        <v>290</v>
      </c>
      <c r="C10" t="s">
        <v>203</v>
      </c>
      <c r="D10" t="s">
        <v>291</v>
      </c>
      <c r="E10" t="s">
        <v>204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/>
      <c r="AE10"/>
      <c r="AF10"/>
    </row>
    <row r="11">
      <c r="A11" t="s">
        <v>65</v>
      </c>
      <c r="B11" t="s">
        <v>292</v>
      </c>
      <c r="C11" t="s">
        <v>203</v>
      </c>
      <c r="D11" t="s">
        <v>293</v>
      </c>
      <c r="E11" t="s">
        <v>204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/>
      <c r="AE11"/>
      <c r="AF11"/>
    </row>
    <row r="12">
      <c r="A12" t="s">
        <v>65</v>
      </c>
      <c r="B12" t="s">
        <v>294</v>
      </c>
      <c r="C12" t="s">
        <v>203</v>
      </c>
      <c r="D12" t="s">
        <v>295</v>
      </c>
      <c r="E12" t="s">
        <v>204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/>
      <c r="AE12"/>
      <c r="AF12"/>
    </row>
    <row r="13">
      <c r="A13" t="s">
        <v>65</v>
      </c>
      <c r="B13" t="s">
        <v>296</v>
      </c>
      <c r="C13" t="s">
        <v>203</v>
      </c>
      <c r="D13" t="s">
        <v>297</v>
      </c>
      <c r="E13" t="s">
        <v>204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/>
      <c r="AE13"/>
      <c r="AF13"/>
    </row>
    <row r="14">
      <c r="A14" t="s">
        <v>65</v>
      </c>
      <c r="B14" t="s">
        <v>298</v>
      </c>
      <c r="C14" t="s">
        <v>203</v>
      </c>
      <c r="D14" t="s">
        <v>299</v>
      </c>
      <c r="E14" t="s">
        <v>204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/>
      <c r="AE14"/>
      <c r="AF14"/>
    </row>
    <row r="15">
      <c r="A15" t="s">
        <v>65</v>
      </c>
      <c r="B15" t="s">
        <v>300</v>
      </c>
      <c r="C15" t="s">
        <v>203</v>
      </c>
      <c r="D15" t="s">
        <v>301</v>
      </c>
      <c r="E15" t="s">
        <v>204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/>
      <c r="AE15"/>
      <c r="AF15"/>
    </row>
    <row r="16">
      <c r="A16" t="s">
        <v>65</v>
      </c>
      <c r="B16" t="s">
        <v>302</v>
      </c>
      <c r="C16" t="s">
        <v>203</v>
      </c>
      <c r="D16" t="s">
        <v>303</v>
      </c>
      <c r="E16" t="s">
        <v>204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/>
      <c r="AE16"/>
      <c r="AF16"/>
    </row>
    <row r="17">
      <c r="A17" t="s">
        <v>65</v>
      </c>
      <c r="B17" t="s">
        <v>304</v>
      </c>
      <c r="C17" t="s">
        <v>203</v>
      </c>
      <c r="D17" t="s">
        <v>305</v>
      </c>
      <c r="E17" t="s">
        <v>204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/>
      <c r="AE17"/>
      <c r="AF17"/>
    </row>
    <row r="18">
      <c r="A18" t="s">
        <v>65</v>
      </c>
      <c r="B18" t="s">
        <v>306</v>
      </c>
      <c r="C18" t="s">
        <v>203</v>
      </c>
      <c r="D18" t="s">
        <v>307</v>
      </c>
      <c r="E18" t="s">
        <v>204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/>
      <c r="AE18"/>
      <c r="AF18"/>
    </row>
    <row r="19">
      <c r="A19" t="s">
        <v>65</v>
      </c>
      <c r="B19" t="s">
        <v>308</v>
      </c>
      <c r="C19" t="s">
        <v>203</v>
      </c>
      <c r="D19" t="s">
        <v>309</v>
      </c>
      <c r="E19" t="s">
        <v>204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/>
      <c r="AE19"/>
      <c r="AF19"/>
    </row>
    <row r="20">
      <c r="A20" t="s">
        <v>65</v>
      </c>
      <c r="B20" t="s">
        <v>310</v>
      </c>
      <c r="C20" t="s">
        <v>203</v>
      </c>
      <c r="D20" t="s">
        <v>311</v>
      </c>
      <c r="E20" t="s">
        <v>204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/>
      <c r="AE20"/>
      <c r="AF20"/>
    </row>
    <row r="21">
      <c r="A21" t="s">
        <v>65</v>
      </c>
      <c r="B21" t="s">
        <v>312</v>
      </c>
      <c r="C21" t="s">
        <v>203</v>
      </c>
      <c r="D21" t="s">
        <v>313</v>
      </c>
      <c r="E21" t="s">
        <v>204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/>
      <c r="AE21"/>
      <c r="AF21"/>
    </row>
    <row r="22">
      <c r="A22" t="s">
        <v>65</v>
      </c>
      <c r="B22" t="s">
        <v>314</v>
      </c>
      <c r="C22" t="s">
        <v>203</v>
      </c>
      <c r="D22" t="s">
        <v>315</v>
      </c>
      <c r="E22" t="s">
        <v>204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/>
      <c r="AE22"/>
      <c r="AF22"/>
    </row>
    <row r="23">
      <c r="A23" t="s">
        <v>65</v>
      </c>
      <c r="B23" t="s">
        <v>316</v>
      </c>
      <c r="C23" t="s">
        <v>203</v>
      </c>
      <c r="D23" t="s">
        <v>317</v>
      </c>
      <c r="E23" t="s">
        <v>204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/>
      <c r="AE23"/>
      <c r="AF23"/>
    </row>
    <row r="24">
      <c r="A24" t="s">
        <v>65</v>
      </c>
      <c r="B24" t="s">
        <v>318</v>
      </c>
      <c r="C24" t="s">
        <v>203</v>
      </c>
      <c r="D24" t="s">
        <v>319</v>
      </c>
      <c r="E24" t="s">
        <v>204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/>
      <c r="AE24"/>
      <c r="AF24"/>
    </row>
    <row r="25">
      <c r="A25" t="s">
        <v>65</v>
      </c>
      <c r="B25" t="s">
        <v>320</v>
      </c>
      <c r="C25" t="s">
        <v>203</v>
      </c>
      <c r="D25" t="s">
        <v>321</v>
      </c>
      <c r="E25" t="s">
        <v>204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/>
      <c r="AE25"/>
      <c r="AF25"/>
    </row>
    <row r="26">
      <c r="A26" t="s">
        <v>65</v>
      </c>
      <c r="B26" t="s">
        <v>322</v>
      </c>
      <c r="C26" t="s">
        <v>203</v>
      </c>
      <c r="D26" t="s">
        <v>323</v>
      </c>
      <c r="E26" t="s">
        <v>204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/>
      <c r="AE26"/>
      <c r="AF26"/>
    </row>
    <row r="27">
      <c r="A27" t="s">
        <v>65</v>
      </c>
      <c r="B27" t="s">
        <v>324</v>
      </c>
      <c r="C27" t="s">
        <v>203</v>
      </c>
      <c r="D27" t="s">
        <v>325</v>
      </c>
      <c r="E27" t="s">
        <v>204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/>
      <c r="AE27"/>
      <c r="AF27"/>
    </row>
    <row r="28">
      <c r="A28" t="s">
        <v>65</v>
      </c>
      <c r="B28" t="s">
        <v>326</v>
      </c>
      <c r="C28" t="s">
        <v>203</v>
      </c>
      <c r="D28" t="s">
        <v>327</v>
      </c>
      <c r="E28" t="s">
        <v>204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/>
      <c r="AE28"/>
      <c r="AF28"/>
    </row>
    <row r="29">
      <c r="A29" t="s">
        <v>65</v>
      </c>
      <c r="B29" t="s">
        <v>328</v>
      </c>
      <c r="C29" t="s">
        <v>203</v>
      </c>
      <c r="D29" t="s">
        <v>329</v>
      </c>
      <c r="E29" t="s">
        <v>204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/>
      <c r="AE29"/>
      <c r="AF29"/>
    </row>
    <row r="30">
      <c r="A30" t="s">
        <v>65</v>
      </c>
      <c r="B30" t="s">
        <v>330</v>
      </c>
      <c r="C30" t="s">
        <v>203</v>
      </c>
      <c r="D30" t="s">
        <v>331</v>
      </c>
      <c r="E30" t="s">
        <v>204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/>
      <c r="AE30"/>
      <c r="AF30"/>
    </row>
    <row r="31">
      <c r="A31" t="s">
        <v>65</v>
      </c>
      <c r="B31" t="s">
        <v>332</v>
      </c>
      <c r="C31" t="s">
        <v>203</v>
      </c>
      <c r="D31" t="s">
        <v>333</v>
      </c>
      <c r="E31" t="s">
        <v>204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/>
      <c r="AE31"/>
      <c r="AF31"/>
    </row>
    <row r="32">
      <c r="A32" t="s">
        <v>65</v>
      </c>
      <c r="B32" t="s">
        <v>334</v>
      </c>
      <c r="C32" t="s">
        <v>203</v>
      </c>
      <c r="D32" t="s">
        <v>335</v>
      </c>
      <c r="E32" t="s">
        <v>204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/>
      <c r="AE32"/>
      <c r="AF32"/>
    </row>
    <row r="33">
      <c r="A33" t="s">
        <v>65</v>
      </c>
      <c r="B33" t="s">
        <v>336</v>
      </c>
      <c r="C33" t="s">
        <v>203</v>
      </c>
      <c r="D33" t="s">
        <v>337</v>
      </c>
      <c r="E33" t="s">
        <v>204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/>
      <c r="AE33"/>
      <c r="AF33"/>
    </row>
    <row r="34">
      <c r="A34" t="s">
        <v>65</v>
      </c>
      <c r="B34" t="s">
        <v>338</v>
      </c>
      <c r="C34" t="s">
        <v>203</v>
      </c>
      <c r="D34" t="s">
        <v>339</v>
      </c>
      <c r="E34" t="s">
        <v>204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/>
      <c r="AE34"/>
      <c r="AF34"/>
    </row>
    <row r="35">
      <c r="A35" t="s">
        <v>65</v>
      </c>
      <c r="B35" t="s">
        <v>340</v>
      </c>
      <c r="C35" t="s">
        <v>203</v>
      </c>
      <c r="D35" t="s">
        <v>341</v>
      </c>
      <c r="E35" t="s">
        <v>204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/>
      <c r="AE35"/>
      <c r="AF35"/>
    </row>
    <row r="36">
      <c r="A36" t="s">
        <v>65</v>
      </c>
      <c r="B36" t="s">
        <v>342</v>
      </c>
      <c r="C36" t="s">
        <v>203</v>
      </c>
      <c r="D36" t="s">
        <v>343</v>
      </c>
      <c r="E36" t="s">
        <v>204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/>
      <c r="AE36"/>
      <c r="AF36"/>
    </row>
    <row r="37">
      <c r="A37" t="s">
        <v>65</v>
      </c>
      <c r="B37" t="s">
        <v>344</v>
      </c>
      <c r="C37" t="s">
        <v>203</v>
      </c>
      <c r="D37" t="s">
        <v>345</v>
      </c>
      <c r="E37" t="s">
        <v>204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/>
      <c r="AE37"/>
      <c r="AF37"/>
    </row>
    <row r="38">
      <c r="A38" t="s">
        <v>65</v>
      </c>
      <c r="B38" t="s">
        <v>346</v>
      </c>
      <c r="C38" t="s">
        <v>203</v>
      </c>
      <c r="D38" t="s">
        <v>347</v>
      </c>
      <c r="E38" t="s">
        <v>204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/>
      <c r="AE38"/>
      <c r="AF38"/>
    </row>
    <row r="39">
      <c r="A39" t="s">
        <v>65</v>
      </c>
      <c r="B39" t="s">
        <v>348</v>
      </c>
      <c r="C39" t="s">
        <v>203</v>
      </c>
      <c r="D39" t="s">
        <v>349</v>
      </c>
      <c r="E39" t="s">
        <v>204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/>
      <c r="AE39"/>
      <c r="AF39"/>
    </row>
    <row r="40">
      <c r="A40" t="s">
        <v>65</v>
      </c>
      <c r="B40" t="s">
        <v>350</v>
      </c>
      <c r="C40" t="s">
        <v>203</v>
      </c>
      <c r="D40" t="s">
        <v>351</v>
      </c>
      <c r="E40" t="s">
        <v>204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/>
      <c r="AE40"/>
      <c r="AF40"/>
    </row>
    <row r="41">
      <c r="A41" t="s">
        <v>65</v>
      </c>
      <c r="B41" t="s">
        <v>352</v>
      </c>
      <c r="C41" t="s">
        <v>203</v>
      </c>
      <c r="D41" t="s">
        <v>353</v>
      </c>
      <c r="E41" t="s">
        <v>204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/>
      <c r="AE41"/>
      <c r="AF41"/>
    </row>
    <row r="42">
      <c r="A42" t="s">
        <v>65</v>
      </c>
      <c r="B42" t="s">
        <v>354</v>
      </c>
      <c r="C42" t="s">
        <v>203</v>
      </c>
      <c r="D42" t="s">
        <v>355</v>
      </c>
      <c r="E42" t="s">
        <v>204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/>
      <c r="AE42"/>
      <c r="AF42"/>
    </row>
    <row r="43">
      <c r="A43" t="s">
        <v>65</v>
      </c>
      <c r="B43" t="s">
        <v>356</v>
      </c>
      <c r="C43" t="s">
        <v>203</v>
      </c>
      <c r="D43" t="s">
        <v>357</v>
      </c>
      <c r="E43" t="s">
        <v>204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/>
      <c r="AE43"/>
      <c r="AF43"/>
    </row>
    <row r="44">
      <c r="A44" t="s">
        <v>65</v>
      </c>
      <c r="B44" t="s">
        <v>358</v>
      </c>
      <c r="C44" t="s">
        <v>203</v>
      </c>
      <c r="D44" t="s">
        <v>359</v>
      </c>
      <c r="E44" t="s">
        <v>204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/>
      <c r="AE44"/>
      <c r="AF44"/>
    </row>
    <row r="45">
      <c r="A45" t="s">
        <v>65</v>
      </c>
      <c r="B45" t="s">
        <v>360</v>
      </c>
      <c r="C45" t="s">
        <v>203</v>
      </c>
      <c r="D45" t="s">
        <v>361</v>
      </c>
      <c r="E45" t="s">
        <v>204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/>
      <c r="AE45"/>
      <c r="AF45"/>
    </row>
    <row r="46">
      <c r="A46" t="s">
        <v>65</v>
      </c>
      <c r="B46" t="s">
        <v>362</v>
      </c>
      <c r="C46" t="s">
        <v>203</v>
      </c>
      <c r="D46" t="s">
        <v>363</v>
      </c>
      <c r="E46" t="s">
        <v>204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/>
      <c r="AE46"/>
      <c r="AF46"/>
    </row>
    <row r="47">
      <c r="A47" t="s">
        <v>65</v>
      </c>
      <c r="B47" t="s">
        <v>364</v>
      </c>
      <c r="C47" t="s">
        <v>203</v>
      </c>
      <c r="D47" t="s">
        <v>365</v>
      </c>
      <c r="E47" t="s">
        <v>204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/>
      <c r="AE47"/>
      <c r="AF47"/>
    </row>
    <row r="48">
      <c r="A48" t="s">
        <v>65</v>
      </c>
      <c r="B48" t="s">
        <v>366</v>
      </c>
      <c r="C48" t="s">
        <v>203</v>
      </c>
      <c r="D48" t="s">
        <v>367</v>
      </c>
      <c r="E48" t="s">
        <v>204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/>
      <c r="AE48"/>
      <c r="AF48"/>
    </row>
    <row r="49">
      <c r="A49" t="s">
        <v>65</v>
      </c>
      <c r="B49" t="s">
        <v>368</v>
      </c>
      <c r="C49" t="s">
        <v>203</v>
      </c>
      <c r="D49" t="s">
        <v>369</v>
      </c>
      <c r="E49" t="s">
        <v>204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/>
      <c r="AE49"/>
      <c r="AF49"/>
    </row>
    <row r="50">
      <c r="A50" t="s">
        <v>65</v>
      </c>
      <c r="B50" t="s">
        <v>370</v>
      </c>
      <c r="C50" t="s">
        <v>203</v>
      </c>
      <c r="D50" t="s">
        <v>371</v>
      </c>
      <c r="E50" t="s">
        <v>204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/>
      <c r="AE50"/>
      <c r="AF50"/>
    </row>
    <row r="51">
      <c r="A51" t="s">
        <v>65</v>
      </c>
      <c r="B51" t="s">
        <v>372</v>
      </c>
      <c r="C51" t="s">
        <v>203</v>
      </c>
      <c r="D51" t="s">
        <v>373</v>
      </c>
      <c r="E51" t="s">
        <v>204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/>
      <c r="AE51"/>
      <c r="AF51"/>
    </row>
    <row r="52">
      <c r="A52" t="s">
        <v>65</v>
      </c>
      <c r="B52" t="s">
        <v>374</v>
      </c>
      <c r="C52" t="s">
        <v>203</v>
      </c>
      <c r="D52" t="s">
        <v>375</v>
      </c>
      <c r="E52" t="s">
        <v>204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/>
      <c r="AE52"/>
      <c r="AF52"/>
    </row>
    <row r="53">
      <c r="A53" t="s">
        <v>65</v>
      </c>
      <c r="B53" t="s">
        <v>376</v>
      </c>
      <c r="C53" t="s">
        <v>203</v>
      </c>
      <c r="D53" t="s">
        <v>377</v>
      </c>
      <c r="E53" t="s">
        <v>204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/>
      <c r="AE53"/>
      <c r="AF53"/>
    </row>
    <row r="54">
      <c r="A54" t="s">
        <v>65</v>
      </c>
      <c r="B54" t="s">
        <v>378</v>
      </c>
      <c r="C54" t="s">
        <v>203</v>
      </c>
      <c r="D54" t="s">
        <v>379</v>
      </c>
      <c r="E54" t="s">
        <v>204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/>
      <c r="AE54"/>
      <c r="AF54"/>
    </row>
    <row r="55">
      <c r="A55" t="s">
        <v>65</v>
      </c>
      <c r="B55" t="s">
        <v>380</v>
      </c>
      <c r="C55" t="s">
        <v>203</v>
      </c>
      <c r="D55" t="s">
        <v>381</v>
      </c>
      <c r="E55" t="s">
        <v>204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/>
      <c r="AE55"/>
      <c r="AF55"/>
    </row>
    <row r="56">
      <c r="A56" t="s">
        <v>65</v>
      </c>
      <c r="B56" t="s">
        <v>382</v>
      </c>
      <c r="C56" t="s">
        <v>203</v>
      </c>
      <c r="D56" t="s">
        <v>383</v>
      </c>
      <c r="E56" t="s">
        <v>204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/>
      <c r="AE56"/>
      <c r="AF56"/>
    </row>
    <row r="57">
      <c r="A57" t="s">
        <v>65</v>
      </c>
      <c r="B57" t="s">
        <v>384</v>
      </c>
      <c r="C57" t="s">
        <v>203</v>
      </c>
      <c r="D57" t="s">
        <v>385</v>
      </c>
      <c r="E57" t="s">
        <v>204</v>
      </c>
      <c r="F57" t="n">
        <v>201.489823312746</v>
      </c>
      <c r="G57" t="n">
        <v>256.010599032665</v>
      </c>
      <c r="H57" t="n">
        <v>241.04894064764</v>
      </c>
      <c r="I57" t="n">
        <v>221.94943442146</v>
      </c>
      <c r="J57" t="n">
        <v>266.053855795243</v>
      </c>
      <c r="K57" t="n">
        <v>266.222137803968</v>
      </c>
      <c r="L57" t="n">
        <v>350.747266343051</v>
      </c>
      <c r="M57" t="n">
        <v>278.556665097434</v>
      </c>
      <c r="N57" t="n">
        <v>304.267327751469</v>
      </c>
      <c r="O57" t="n">
        <v>302.821877263339</v>
      </c>
      <c r="P57" t="n">
        <v>302.959024852679</v>
      </c>
      <c r="Q57" t="n">
        <v>274.941206651092</v>
      </c>
      <c r="R57" t="n">
        <v>347.424580193628</v>
      </c>
      <c r="S57" t="n">
        <v>305.785239893582</v>
      </c>
      <c r="T57" t="n">
        <v>407.713653191442</v>
      </c>
      <c r="U57" t="n">
        <v>332.435540398161</v>
      </c>
      <c r="V57" t="n">
        <v>346.119327775325</v>
      </c>
      <c r="W57" t="n">
        <v>416.027610080228</v>
      </c>
      <c r="X57" t="n">
        <v>432.520775784994</v>
      </c>
      <c r="Y57" t="n">
        <v>595.727794999429</v>
      </c>
      <c r="Z57" t="n">
        <v>595.612611744402</v>
      </c>
      <c r="AA57" t="n">
        <v>569.87198918258</v>
      </c>
      <c r="AB57" t="n">
        <v>812.252607958288</v>
      </c>
      <c r="AC57" t="n">
        <v>873.379046971995</v>
      </c>
      <c r="AD57" t="n">
        <v>958.481395063245</v>
      </c>
      <c r="AE57" t="n">
        <v>851.6</v>
      </c>
      <c r="AF57" t="n">
        <v>706.3</v>
      </c>
    </row>
    <row r="58">
      <c r="A58" t="s">
        <v>65</v>
      </c>
      <c r="B58" t="s">
        <v>386</v>
      </c>
      <c r="C58" t="s">
        <v>203</v>
      </c>
      <c r="D58" t="s">
        <v>387</v>
      </c>
      <c r="E58" t="s">
        <v>204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/>
      <c r="AE58"/>
      <c r="AF58"/>
    </row>
    <row r="59">
      <c r="A59" t="s">
        <v>65</v>
      </c>
      <c r="B59" t="s">
        <v>388</v>
      </c>
      <c r="C59" t="s">
        <v>203</v>
      </c>
      <c r="D59" t="s">
        <v>389</v>
      </c>
      <c r="E59" t="s">
        <v>204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67</v>
      </c>
      <c r="B2" t="s">
        <v>197</v>
      </c>
      <c r="C2" t="s">
        <v>203</v>
      </c>
      <c r="D2" t="s">
        <v>199</v>
      </c>
      <c r="E2" t="s">
        <v>204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67</v>
      </c>
      <c r="B3" t="s">
        <v>276</v>
      </c>
      <c r="C3" t="s">
        <v>203</v>
      </c>
      <c r="D3" t="s">
        <v>277</v>
      </c>
      <c r="E3" t="s">
        <v>204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67</v>
      </c>
      <c r="B4" t="s">
        <v>278</v>
      </c>
      <c r="C4" t="s">
        <v>203</v>
      </c>
      <c r="D4" t="s">
        <v>279</v>
      </c>
      <c r="E4" t="s">
        <v>204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67</v>
      </c>
      <c r="B5" t="s">
        <v>280</v>
      </c>
      <c r="C5" t="s">
        <v>203</v>
      </c>
      <c r="D5" t="s">
        <v>281</v>
      </c>
      <c r="E5" t="s">
        <v>204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67</v>
      </c>
      <c r="B6" t="s">
        <v>282</v>
      </c>
      <c r="C6" t="s">
        <v>203</v>
      </c>
      <c r="D6" t="s">
        <v>283</v>
      </c>
      <c r="E6" t="s">
        <v>204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67</v>
      </c>
      <c r="B7" t="s">
        <v>284</v>
      </c>
      <c r="C7" t="s">
        <v>203</v>
      </c>
      <c r="D7" t="s">
        <v>285</v>
      </c>
      <c r="E7" t="s">
        <v>204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67</v>
      </c>
      <c r="B8" t="s">
        <v>286</v>
      </c>
      <c r="C8" t="s">
        <v>203</v>
      </c>
      <c r="D8" t="s">
        <v>287</v>
      </c>
      <c r="E8" t="s">
        <v>204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67</v>
      </c>
      <c r="B9" t="s">
        <v>288</v>
      </c>
      <c r="C9" t="s">
        <v>203</v>
      </c>
      <c r="D9" t="s">
        <v>289</v>
      </c>
      <c r="E9" t="s">
        <v>204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67</v>
      </c>
      <c r="B10" t="s">
        <v>290</v>
      </c>
      <c r="C10" t="s">
        <v>203</v>
      </c>
      <c r="D10" t="s">
        <v>291</v>
      </c>
      <c r="E10" t="s">
        <v>204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67</v>
      </c>
      <c r="B11" t="s">
        <v>292</v>
      </c>
      <c r="C11" t="s">
        <v>203</v>
      </c>
      <c r="D11" t="s">
        <v>293</v>
      </c>
      <c r="E11" t="s">
        <v>204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67</v>
      </c>
      <c r="B12" t="s">
        <v>294</v>
      </c>
      <c r="C12" t="s">
        <v>203</v>
      </c>
      <c r="D12" t="s">
        <v>295</v>
      </c>
      <c r="E12" t="s">
        <v>204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67</v>
      </c>
      <c r="B13" t="s">
        <v>296</v>
      </c>
      <c r="C13" t="s">
        <v>203</v>
      </c>
      <c r="D13" t="s">
        <v>297</v>
      </c>
      <c r="E13" t="s">
        <v>204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67</v>
      </c>
      <c r="B14" t="s">
        <v>298</v>
      </c>
      <c r="C14" t="s">
        <v>203</v>
      </c>
      <c r="D14" t="s">
        <v>299</v>
      </c>
      <c r="E14" t="s">
        <v>204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67</v>
      </c>
      <c r="B15" t="s">
        <v>300</v>
      </c>
      <c r="C15" t="s">
        <v>203</v>
      </c>
      <c r="D15" t="s">
        <v>301</v>
      </c>
      <c r="E15" t="s">
        <v>204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67</v>
      </c>
      <c r="B16" t="s">
        <v>302</v>
      </c>
      <c r="C16" t="s">
        <v>203</v>
      </c>
      <c r="D16" t="s">
        <v>303</v>
      </c>
      <c r="E16" t="s">
        <v>204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67</v>
      </c>
      <c r="B17" t="s">
        <v>304</v>
      </c>
      <c r="C17" t="s">
        <v>203</v>
      </c>
      <c r="D17" t="s">
        <v>305</v>
      </c>
      <c r="E17" t="s">
        <v>204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67</v>
      </c>
      <c r="B18" t="s">
        <v>306</v>
      </c>
      <c r="C18" t="s">
        <v>203</v>
      </c>
      <c r="D18" t="s">
        <v>307</v>
      </c>
      <c r="E18" t="s">
        <v>204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67</v>
      </c>
      <c r="B19" t="s">
        <v>308</v>
      </c>
      <c r="C19" t="s">
        <v>203</v>
      </c>
      <c r="D19" t="s">
        <v>309</v>
      </c>
      <c r="E19" t="s">
        <v>204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67</v>
      </c>
      <c r="B20" t="s">
        <v>310</v>
      </c>
      <c r="C20" t="s">
        <v>203</v>
      </c>
      <c r="D20" t="s">
        <v>311</v>
      </c>
      <c r="E20" t="s">
        <v>204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67</v>
      </c>
      <c r="B21" t="s">
        <v>312</v>
      </c>
      <c r="C21" t="s">
        <v>203</v>
      </c>
      <c r="D21" t="s">
        <v>313</v>
      </c>
      <c r="E21" t="s">
        <v>204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67</v>
      </c>
      <c r="B22" t="s">
        <v>314</v>
      </c>
      <c r="C22" t="s">
        <v>203</v>
      </c>
      <c r="D22" t="s">
        <v>315</v>
      </c>
      <c r="E22" t="s">
        <v>204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67</v>
      </c>
      <c r="B23" t="s">
        <v>316</v>
      </c>
      <c r="C23" t="s">
        <v>203</v>
      </c>
      <c r="D23" t="s">
        <v>317</v>
      </c>
      <c r="E23" t="s">
        <v>204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67</v>
      </c>
      <c r="B24" t="s">
        <v>318</v>
      </c>
      <c r="C24" t="s">
        <v>203</v>
      </c>
      <c r="D24" t="s">
        <v>319</v>
      </c>
      <c r="E24" t="s">
        <v>204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67</v>
      </c>
      <c r="B25" t="s">
        <v>320</v>
      </c>
      <c r="C25" t="s">
        <v>203</v>
      </c>
      <c r="D25" t="s">
        <v>321</v>
      </c>
      <c r="E25" t="s">
        <v>204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67</v>
      </c>
      <c r="B26" t="s">
        <v>322</v>
      </c>
      <c r="C26" t="s">
        <v>203</v>
      </c>
      <c r="D26" t="s">
        <v>323</v>
      </c>
      <c r="E26" t="s">
        <v>204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67</v>
      </c>
      <c r="B27" t="s">
        <v>324</v>
      </c>
      <c r="C27" t="s">
        <v>203</v>
      </c>
      <c r="D27" t="s">
        <v>325</v>
      </c>
      <c r="E27" t="s">
        <v>204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67</v>
      </c>
      <c r="B28" t="s">
        <v>326</v>
      </c>
      <c r="C28" t="s">
        <v>203</v>
      </c>
      <c r="D28" t="s">
        <v>327</v>
      </c>
      <c r="E28" t="s">
        <v>204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67</v>
      </c>
      <c r="B29" t="s">
        <v>328</v>
      </c>
      <c r="C29" t="s">
        <v>203</v>
      </c>
      <c r="D29" t="s">
        <v>329</v>
      </c>
      <c r="E29" t="s">
        <v>204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67</v>
      </c>
      <c r="B30" t="s">
        <v>330</v>
      </c>
      <c r="C30" t="s">
        <v>203</v>
      </c>
      <c r="D30" t="s">
        <v>331</v>
      </c>
      <c r="E30" t="s">
        <v>204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67</v>
      </c>
      <c r="B31" t="s">
        <v>332</v>
      </c>
      <c r="C31" t="s">
        <v>203</v>
      </c>
      <c r="D31" t="s">
        <v>333</v>
      </c>
      <c r="E31" t="s">
        <v>204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67</v>
      </c>
      <c r="B32" t="s">
        <v>334</v>
      </c>
      <c r="C32" t="s">
        <v>203</v>
      </c>
      <c r="D32" t="s">
        <v>335</v>
      </c>
      <c r="E32" t="s">
        <v>204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67</v>
      </c>
      <c r="B33" t="s">
        <v>336</v>
      </c>
      <c r="C33" t="s">
        <v>203</v>
      </c>
      <c r="D33" t="s">
        <v>337</v>
      </c>
      <c r="E33" t="s">
        <v>204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67</v>
      </c>
      <c r="B34" t="s">
        <v>338</v>
      </c>
      <c r="C34" t="s">
        <v>203</v>
      </c>
      <c r="D34" t="s">
        <v>339</v>
      </c>
      <c r="E34" t="s">
        <v>204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67</v>
      </c>
      <c r="B35" t="s">
        <v>340</v>
      </c>
      <c r="C35" t="s">
        <v>203</v>
      </c>
      <c r="D35" t="s">
        <v>341</v>
      </c>
      <c r="E35" t="s">
        <v>204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67</v>
      </c>
      <c r="B36" t="s">
        <v>342</v>
      </c>
      <c r="C36" t="s">
        <v>203</v>
      </c>
      <c r="D36" t="s">
        <v>343</v>
      </c>
      <c r="E36" t="s">
        <v>204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67</v>
      </c>
      <c r="B37" t="s">
        <v>344</v>
      </c>
      <c r="C37" t="s">
        <v>203</v>
      </c>
      <c r="D37" t="s">
        <v>345</v>
      </c>
      <c r="E37" t="s">
        <v>204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67</v>
      </c>
      <c r="B38" t="s">
        <v>346</v>
      </c>
      <c r="C38" t="s">
        <v>203</v>
      </c>
      <c r="D38" t="s">
        <v>347</v>
      </c>
      <c r="E38" t="s">
        <v>204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67</v>
      </c>
      <c r="B39" t="s">
        <v>348</v>
      </c>
      <c r="C39" t="s">
        <v>203</v>
      </c>
      <c r="D39" t="s">
        <v>349</v>
      </c>
      <c r="E39" t="s">
        <v>204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67</v>
      </c>
      <c r="B40" t="s">
        <v>350</v>
      </c>
      <c r="C40" t="s">
        <v>203</v>
      </c>
      <c r="D40" t="s">
        <v>351</v>
      </c>
      <c r="E40" t="s">
        <v>204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67</v>
      </c>
      <c r="B41" t="s">
        <v>352</v>
      </c>
      <c r="C41" t="s">
        <v>203</v>
      </c>
      <c r="D41" t="s">
        <v>353</v>
      </c>
      <c r="E41" t="s">
        <v>204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67</v>
      </c>
      <c r="B42" t="s">
        <v>354</v>
      </c>
      <c r="C42" t="s">
        <v>203</v>
      </c>
      <c r="D42" t="s">
        <v>355</v>
      </c>
      <c r="E42" t="s">
        <v>204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67</v>
      </c>
      <c r="B43" t="s">
        <v>356</v>
      </c>
      <c r="C43" t="s">
        <v>203</v>
      </c>
      <c r="D43" t="s">
        <v>357</v>
      </c>
      <c r="E43" t="s">
        <v>204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67</v>
      </c>
      <c r="B44" t="s">
        <v>358</v>
      </c>
      <c r="C44" t="s">
        <v>203</v>
      </c>
      <c r="D44" t="s">
        <v>359</v>
      </c>
      <c r="E44" t="s">
        <v>204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</row>
    <row r="45">
      <c r="A45" t="s">
        <v>67</v>
      </c>
      <c r="B45" t="s">
        <v>360</v>
      </c>
      <c r="C45" t="s">
        <v>203</v>
      </c>
      <c r="D45" t="s">
        <v>361</v>
      </c>
      <c r="E45" t="s">
        <v>204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67</v>
      </c>
      <c r="B46" t="s">
        <v>362</v>
      </c>
      <c r="C46" t="s">
        <v>203</v>
      </c>
      <c r="D46" t="s">
        <v>363</v>
      </c>
      <c r="E46" t="s">
        <v>204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67</v>
      </c>
      <c r="B47" t="s">
        <v>364</v>
      </c>
      <c r="C47" t="s">
        <v>203</v>
      </c>
      <c r="D47" t="s">
        <v>365</v>
      </c>
      <c r="E47" t="s">
        <v>204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67</v>
      </c>
      <c r="B48" t="s">
        <v>366</v>
      </c>
      <c r="C48" t="s">
        <v>203</v>
      </c>
      <c r="D48" t="s">
        <v>367</v>
      </c>
      <c r="E48" t="s">
        <v>204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67</v>
      </c>
      <c r="B49" t="s">
        <v>368</v>
      </c>
      <c r="C49" t="s">
        <v>203</v>
      </c>
      <c r="D49" t="s">
        <v>369</v>
      </c>
      <c r="E49" t="s">
        <v>204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67</v>
      </c>
      <c r="B50" t="s">
        <v>370</v>
      </c>
      <c r="C50" t="s">
        <v>203</v>
      </c>
      <c r="D50" t="s">
        <v>371</v>
      </c>
      <c r="E50" t="s">
        <v>204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67</v>
      </c>
      <c r="B51" t="s">
        <v>372</v>
      </c>
      <c r="C51" t="s">
        <v>203</v>
      </c>
      <c r="D51" t="s">
        <v>373</v>
      </c>
      <c r="E51" t="s">
        <v>204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67</v>
      </c>
      <c r="B52" t="s">
        <v>374</v>
      </c>
      <c r="C52" t="s">
        <v>203</v>
      </c>
      <c r="D52" t="s">
        <v>375</v>
      </c>
      <c r="E52" t="s">
        <v>204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67</v>
      </c>
      <c r="B53" t="s">
        <v>376</v>
      </c>
      <c r="C53" t="s">
        <v>203</v>
      </c>
      <c r="D53" t="s">
        <v>377</v>
      </c>
      <c r="E53" t="s">
        <v>204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67</v>
      </c>
      <c r="B54" t="s">
        <v>378</v>
      </c>
      <c r="C54" t="s">
        <v>203</v>
      </c>
      <c r="D54" t="s">
        <v>379</v>
      </c>
      <c r="E54" t="s">
        <v>204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67</v>
      </c>
      <c r="B55" t="s">
        <v>380</v>
      </c>
      <c r="C55" t="s">
        <v>203</v>
      </c>
      <c r="D55" t="s">
        <v>381</v>
      </c>
      <c r="E55" t="s">
        <v>204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67</v>
      </c>
      <c r="B56" t="s">
        <v>382</v>
      </c>
      <c r="C56" t="s">
        <v>203</v>
      </c>
      <c r="D56" t="s">
        <v>383</v>
      </c>
      <c r="E56" t="s">
        <v>204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67</v>
      </c>
      <c r="B57" t="s">
        <v>384</v>
      </c>
      <c r="C57" t="s">
        <v>203</v>
      </c>
      <c r="D57" t="s">
        <v>385</v>
      </c>
      <c r="E57" t="s">
        <v>204</v>
      </c>
      <c r="F57" t="n">
        <v>0</v>
      </c>
      <c r="G57" t="n">
        <v>0</v>
      </c>
      <c r="H57" t="n">
        <v>0</v>
      </c>
      <c r="I57" t="n">
        <v>30.634</v>
      </c>
      <c r="J57" t="n">
        <v>34.933</v>
      </c>
      <c r="K57" t="n">
        <v>446.114</v>
      </c>
      <c r="L57" t="n">
        <v>423.746</v>
      </c>
      <c r="M57" t="n">
        <v>440.448</v>
      </c>
      <c r="N57" t="n">
        <v>470.509</v>
      </c>
      <c r="O57" t="n">
        <v>528.536</v>
      </c>
      <c r="P57" t="n">
        <v>490.246</v>
      </c>
      <c r="Q57" t="n">
        <v>477.3</v>
      </c>
      <c r="R57" t="n">
        <v>490.952</v>
      </c>
      <c r="S57" t="n">
        <v>652.167</v>
      </c>
      <c r="T57" t="n">
        <v>628.137</v>
      </c>
      <c r="U57" t="n">
        <v>818.02</v>
      </c>
      <c r="V57" t="n">
        <v>766.602</v>
      </c>
      <c r="W57" t="n">
        <v>424.514</v>
      </c>
      <c r="X57" t="n">
        <v>354.344</v>
      </c>
      <c r="Y57" t="n">
        <v>211.725</v>
      </c>
      <c r="Z57" t="n">
        <v>293.243</v>
      </c>
      <c r="AA57" t="n">
        <v>449.491</v>
      </c>
      <c r="AB57" t="n">
        <v>720.374</v>
      </c>
      <c r="AC57" t="n">
        <v>978.947</v>
      </c>
      <c r="AD57" t="n">
        <v>754.679</v>
      </c>
      <c r="AE57" t="n">
        <v>424.9</v>
      </c>
      <c r="AF57" t="n">
        <v>381</v>
      </c>
    </row>
    <row r="58">
      <c r="A58" t="s">
        <v>67</v>
      </c>
      <c r="B58" t="s">
        <v>386</v>
      </c>
      <c r="C58" t="s">
        <v>203</v>
      </c>
      <c r="D58" t="s">
        <v>387</v>
      </c>
      <c r="E58" t="s">
        <v>204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</row>
    <row r="59">
      <c r="A59" t="s">
        <v>67</v>
      </c>
      <c r="B59" t="s">
        <v>388</v>
      </c>
      <c r="C59" t="s">
        <v>203</v>
      </c>
      <c r="D59" t="s">
        <v>389</v>
      </c>
      <c r="E59" t="s">
        <v>204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69</v>
      </c>
      <c r="B2" t="s">
        <v>197</v>
      </c>
      <c r="C2" t="s">
        <v>203</v>
      </c>
      <c r="D2" t="s">
        <v>199</v>
      </c>
      <c r="E2" t="s">
        <v>204</v>
      </c>
      <c r="F2" t="n">
        <v>362.327248975559</v>
      </c>
      <c r="G2" t="n">
        <v>117.159709249582</v>
      </c>
      <c r="H2" t="n">
        <v>294.44084824566</v>
      </c>
      <c r="I2" t="n">
        <v>471.350214447314</v>
      </c>
      <c r="J2" t="n">
        <v>526.372246755483</v>
      </c>
      <c r="K2" t="n">
        <v>376.805255717508</v>
      </c>
      <c r="L2" t="n">
        <v>931.761250919525</v>
      </c>
      <c r="M2" t="n">
        <v>501.053556575688</v>
      </c>
      <c r="N2" t="n">
        <v>718.55330448168</v>
      </c>
      <c r="O2" t="n">
        <v>931.606072821638</v>
      </c>
      <c r="P2" t="n">
        <v>631.944060080197</v>
      </c>
      <c r="Q2" t="n">
        <v>586.79311974265</v>
      </c>
      <c r="R2" t="n">
        <v>625.729557478878</v>
      </c>
      <c r="S2" t="n">
        <v>1375.51603333845</v>
      </c>
      <c r="T2" t="n">
        <v>814.396704167227</v>
      </c>
      <c r="U2" t="n">
        <v>931.772994378435</v>
      </c>
      <c r="V2" t="n">
        <v>1284.23309107121</v>
      </c>
      <c r="W2" t="n">
        <v>1230.89395181145</v>
      </c>
      <c r="X2" t="n">
        <v>1232.18296870691</v>
      </c>
      <c r="Y2" t="n">
        <v>1532.30584534589</v>
      </c>
      <c r="Z2" t="n">
        <v>1648.39873541096</v>
      </c>
      <c r="AA2" t="n">
        <v>1161.65604112409</v>
      </c>
      <c r="AB2" t="n">
        <v>1332.49465747053</v>
      </c>
      <c r="AC2" t="n">
        <v>1427.32867895059</v>
      </c>
      <c r="AD2" t="n">
        <v>1145.62996490597</v>
      </c>
      <c r="AE2" t="n">
        <v>1112.3</v>
      </c>
      <c r="AF2" t="n">
        <v>1142.9</v>
      </c>
    </row>
    <row r="3">
      <c r="A3" t="s">
        <v>69</v>
      </c>
      <c r="B3" t="s">
        <v>276</v>
      </c>
      <c r="C3" t="s">
        <v>203</v>
      </c>
      <c r="D3" t="s">
        <v>277</v>
      </c>
      <c r="E3" t="s">
        <v>204</v>
      </c>
      <c r="F3" t="n">
        <v>176.659228275306</v>
      </c>
      <c r="G3" t="n">
        <v>57.92105845092</v>
      </c>
      <c r="H3" t="n">
        <v>144.8026461273</v>
      </c>
      <c r="I3" t="n">
        <v>178.681001070291</v>
      </c>
      <c r="J3" t="n">
        <v>162.744587461319</v>
      </c>
      <c r="K3" t="n">
        <v>521.042181496318</v>
      </c>
      <c r="L3" t="n">
        <v>13.2196276566663</v>
      </c>
      <c r="M3" t="n">
        <v>162.810151139995</v>
      </c>
      <c r="N3" t="n">
        <v>175.226392526612</v>
      </c>
      <c r="O3" t="n">
        <v>245.882195964761</v>
      </c>
      <c r="P3" t="n">
        <v>439.47423463213</v>
      </c>
      <c r="Q3" t="n">
        <v>428.602223949593</v>
      </c>
      <c r="R3" t="n">
        <v>400.000423738884</v>
      </c>
      <c r="S3" t="n">
        <v>704.917667741939</v>
      </c>
      <c r="T3" t="n">
        <v>348.125830995844</v>
      </c>
      <c r="U3" t="n">
        <v>402.71534961094</v>
      </c>
      <c r="V3" t="n">
        <v>446.934609370988</v>
      </c>
      <c r="W3" t="n">
        <v>293.885362291952</v>
      </c>
      <c r="X3" t="n">
        <v>296.806903080568</v>
      </c>
      <c r="Y3" t="n">
        <v>573.019041457587</v>
      </c>
      <c r="Z3" t="n">
        <v>134.01071051687</v>
      </c>
      <c r="AA3" t="n">
        <v>406.055805928098</v>
      </c>
      <c r="AB3" t="n">
        <v>247.217638422781</v>
      </c>
      <c r="AC3" t="n">
        <v>452.122614144183</v>
      </c>
      <c r="AD3" t="n">
        <v>672.784202351897</v>
      </c>
      <c r="AE3" t="n">
        <v>456.8</v>
      </c>
      <c r="AF3" t="n">
        <v>182.9</v>
      </c>
    </row>
    <row r="4">
      <c r="A4" t="s">
        <v>69</v>
      </c>
      <c r="B4" t="s">
        <v>278</v>
      </c>
      <c r="C4" t="s">
        <v>203</v>
      </c>
      <c r="D4" t="s">
        <v>279</v>
      </c>
      <c r="E4" t="s">
        <v>204</v>
      </c>
      <c r="F4" t="n">
        <v>1126.38727279462</v>
      </c>
      <c r="G4" t="n">
        <v>360.228865285152</v>
      </c>
      <c r="H4" t="n">
        <v>905.287200716613</v>
      </c>
      <c r="I4" t="n">
        <v>1215.95679456254</v>
      </c>
      <c r="J4" t="n">
        <v>1230.83822394723</v>
      </c>
      <c r="K4" t="n">
        <v>1422.18234470863</v>
      </c>
      <c r="L4" t="n">
        <v>2007.75372964737</v>
      </c>
      <c r="M4" t="n">
        <v>2422.04107086328</v>
      </c>
      <c r="N4" t="n">
        <v>2708.31571489288</v>
      </c>
      <c r="O4" t="n">
        <v>2634.50268398196</v>
      </c>
      <c r="P4" t="n">
        <v>3384.78066132786</v>
      </c>
      <c r="Q4" t="n">
        <v>3318.63967045682</v>
      </c>
      <c r="R4" t="n">
        <v>3715.44131258061</v>
      </c>
      <c r="S4" t="n">
        <v>4604.15857279642</v>
      </c>
      <c r="T4" t="n">
        <v>2844.17162987109</v>
      </c>
      <c r="U4" t="n">
        <v>2313.88420588275</v>
      </c>
      <c r="V4" t="n">
        <v>2808.70644982774</v>
      </c>
      <c r="W4" t="n">
        <v>2905.22442414406</v>
      </c>
      <c r="X4" t="n">
        <v>2926.50008524722</v>
      </c>
      <c r="Y4" t="n">
        <v>3028.74512700293</v>
      </c>
      <c r="Z4" t="n">
        <v>6472.25038800717</v>
      </c>
      <c r="AA4" t="n">
        <v>3848.85264716343</v>
      </c>
      <c r="AB4" t="n">
        <v>4373.32338166718</v>
      </c>
      <c r="AC4" t="n">
        <v>4127.23793954649</v>
      </c>
      <c r="AD4" t="n">
        <v>3922.69132835138</v>
      </c>
      <c r="AE4" t="n">
        <v>3325.2</v>
      </c>
      <c r="AF4" t="n">
        <v>3446.9</v>
      </c>
    </row>
    <row r="5">
      <c r="A5" t="s">
        <v>69</v>
      </c>
      <c r="B5" t="s">
        <v>280</v>
      </c>
      <c r="C5" t="s">
        <v>203</v>
      </c>
      <c r="D5" t="s">
        <v>281</v>
      </c>
      <c r="E5" t="s">
        <v>204</v>
      </c>
      <c r="F5" t="n">
        <v>328.173984034698</v>
      </c>
      <c r="G5" t="n">
        <v>106.586422165116</v>
      </c>
      <c r="H5" t="n">
        <v>269.482652266519</v>
      </c>
      <c r="I5" t="n">
        <v>355.130109075977</v>
      </c>
      <c r="J5" t="n">
        <v>357.812867218194</v>
      </c>
      <c r="K5" t="n">
        <v>85.407104000855</v>
      </c>
      <c r="L5" t="n">
        <v>437.245104850354</v>
      </c>
      <c r="M5" t="n">
        <v>417.194740345226</v>
      </c>
      <c r="N5" t="n">
        <v>720.709432395325</v>
      </c>
      <c r="O5" t="n">
        <v>768.682062316485</v>
      </c>
      <c r="P5" t="n">
        <v>862.886807139055</v>
      </c>
      <c r="Q5" t="n">
        <v>675.830826987852</v>
      </c>
      <c r="R5" t="n">
        <v>827.713020818899</v>
      </c>
      <c r="S5" t="n">
        <v>1003.01005682495</v>
      </c>
      <c r="T5" t="n">
        <v>512.082037756566</v>
      </c>
      <c r="U5" t="n">
        <v>561.920906283102</v>
      </c>
      <c r="V5" t="n">
        <v>648.255444463415</v>
      </c>
      <c r="W5" t="n">
        <v>520.616063210051</v>
      </c>
      <c r="X5" t="n">
        <v>524.142193417504</v>
      </c>
      <c r="Y5" t="n">
        <v>738.228441433104</v>
      </c>
      <c r="Z5" t="n">
        <v>563.733815394155</v>
      </c>
      <c r="AA5" t="n">
        <v>465.273063307357</v>
      </c>
      <c r="AB5" t="n">
        <v>540.026707571287</v>
      </c>
      <c r="AC5" t="n">
        <v>646.630782179671</v>
      </c>
      <c r="AD5" t="n">
        <v>687.470621054177</v>
      </c>
      <c r="AE5" t="n">
        <v>689.8</v>
      </c>
      <c r="AF5" t="n">
        <v>550.2</v>
      </c>
    </row>
    <row r="6">
      <c r="A6" t="s">
        <v>69</v>
      </c>
      <c r="B6" t="s">
        <v>282</v>
      </c>
      <c r="C6" t="s">
        <v>203</v>
      </c>
      <c r="D6" t="s">
        <v>283</v>
      </c>
      <c r="E6" t="s">
        <v>204</v>
      </c>
      <c r="F6" t="n">
        <v>103.210214786229</v>
      </c>
      <c r="G6" t="n">
        <v>33.5433198055244</v>
      </c>
      <c r="H6" t="n">
        <v>85.7218172807846</v>
      </c>
      <c r="I6" t="n">
        <v>116.107360582043</v>
      </c>
      <c r="J6" t="n">
        <v>110.989680776773</v>
      </c>
      <c r="K6" t="n">
        <v>212.869655761148</v>
      </c>
      <c r="L6" t="n">
        <v>216.058011838628</v>
      </c>
      <c r="M6" t="n">
        <v>325.149598144034</v>
      </c>
      <c r="N6" t="n">
        <v>381.68959957665</v>
      </c>
      <c r="O6" t="n">
        <v>307.447088726672</v>
      </c>
      <c r="P6" t="n">
        <v>326.316307573073</v>
      </c>
      <c r="Q6" t="n">
        <v>439.633642047295</v>
      </c>
      <c r="R6" t="n">
        <v>257.951269525771</v>
      </c>
      <c r="S6" t="n">
        <v>247.8140449135</v>
      </c>
      <c r="T6" t="n">
        <v>183.797500516067</v>
      </c>
      <c r="U6" t="n">
        <v>105.451735418985</v>
      </c>
      <c r="V6" t="n">
        <v>159.197329807729</v>
      </c>
      <c r="W6" t="n">
        <v>126.933635337579</v>
      </c>
      <c r="X6" t="n">
        <v>128.361089714213</v>
      </c>
      <c r="Y6" t="n">
        <v>146.602465148752</v>
      </c>
      <c r="Z6" t="n">
        <v>120.517022631997</v>
      </c>
      <c r="AA6" t="n">
        <v>279.380370646901</v>
      </c>
      <c r="AB6" t="n">
        <v>209.479624524888</v>
      </c>
      <c r="AC6" t="n">
        <v>151.688403059171</v>
      </c>
      <c r="AD6" t="n">
        <v>135.266896551724</v>
      </c>
      <c r="AE6" t="n">
        <v>117.8</v>
      </c>
      <c r="AF6" t="n">
        <v>65.9</v>
      </c>
    </row>
    <row r="7">
      <c r="A7" t="s">
        <v>69</v>
      </c>
      <c r="B7" t="s">
        <v>284</v>
      </c>
      <c r="C7" t="s">
        <v>203</v>
      </c>
      <c r="D7" t="s">
        <v>285</v>
      </c>
      <c r="E7" t="s">
        <v>204</v>
      </c>
      <c r="F7" t="n">
        <v>53.3154168771382</v>
      </c>
      <c r="G7" t="n">
        <v>15.9946250631415</v>
      </c>
      <c r="H7" t="n">
        <v>40.8751529391393</v>
      </c>
      <c r="I7" t="n">
        <v>55.7603242406756</v>
      </c>
      <c r="J7" t="n">
        <v>150.230295061655</v>
      </c>
      <c r="K7" t="n">
        <v>112.181480735695</v>
      </c>
      <c r="L7" t="n">
        <v>191.410776921418</v>
      </c>
      <c r="M7" t="n">
        <v>262.215825375536</v>
      </c>
      <c r="N7" t="n">
        <v>175.899534006015</v>
      </c>
      <c r="O7" t="n">
        <v>188.363473042369</v>
      </c>
      <c r="P7" t="n">
        <v>207.233516853412</v>
      </c>
      <c r="Q7" t="n">
        <v>221.872529081467</v>
      </c>
      <c r="R7" t="n">
        <v>351.979482284895</v>
      </c>
      <c r="S7" t="n">
        <v>288.427631316789</v>
      </c>
      <c r="T7" t="n">
        <v>161.13275492558</v>
      </c>
      <c r="U7" t="n">
        <v>143.805384790935</v>
      </c>
      <c r="V7" t="n">
        <v>183.890095026291</v>
      </c>
      <c r="W7" t="n">
        <v>286.406070157714</v>
      </c>
      <c r="X7" t="n">
        <v>290.101632353297</v>
      </c>
      <c r="Y7" t="n">
        <v>221.542240844946</v>
      </c>
      <c r="Z7" t="n">
        <v>214.996418140409</v>
      </c>
      <c r="AA7" t="n">
        <v>135.096092972286</v>
      </c>
      <c r="AB7" t="n">
        <v>492.644484010139</v>
      </c>
      <c r="AC7" t="n">
        <v>481.927901437444</v>
      </c>
      <c r="AD7" t="n">
        <v>291.976254045307</v>
      </c>
      <c r="AE7" t="n">
        <v>250.7</v>
      </c>
      <c r="AF7" t="n">
        <v>333.5</v>
      </c>
    </row>
    <row r="8">
      <c r="A8" t="s">
        <v>69</v>
      </c>
      <c r="B8" t="s">
        <v>286</v>
      </c>
      <c r="C8" t="s">
        <v>203</v>
      </c>
      <c r="D8" t="s">
        <v>287</v>
      </c>
      <c r="E8" t="s">
        <v>204</v>
      </c>
      <c r="F8" t="n">
        <v>111.878255272099</v>
      </c>
      <c r="G8" t="n">
        <v>35.1617373712312</v>
      </c>
      <c r="H8" t="n">
        <v>87.904343428078</v>
      </c>
      <c r="I8" t="n">
        <v>118.076131271379</v>
      </c>
      <c r="J8" t="n">
        <v>57.6434656600431</v>
      </c>
      <c r="K8" t="n">
        <v>8.78580703368687</v>
      </c>
      <c r="L8" t="n">
        <v>5.02046116210678</v>
      </c>
      <c r="M8" t="n">
        <v>133.460592559339</v>
      </c>
      <c r="N8" t="n">
        <v>228.759467499024</v>
      </c>
      <c r="O8" t="n">
        <v>126.094604059053</v>
      </c>
      <c r="P8" t="n">
        <v>182.114016201604</v>
      </c>
      <c r="Q8" t="n">
        <v>167.566991651628</v>
      </c>
      <c r="R8" t="n">
        <v>162.117658589786</v>
      </c>
      <c r="S8" t="n">
        <v>285.251012181442</v>
      </c>
      <c r="T8" t="n">
        <v>641.309013202248</v>
      </c>
      <c r="U8" t="n">
        <v>125.267803283505</v>
      </c>
      <c r="V8" t="n">
        <v>169.061768563095</v>
      </c>
      <c r="W8" t="n">
        <v>408.720759163527</v>
      </c>
      <c r="X8" t="n">
        <v>415.141829121531</v>
      </c>
      <c r="Y8" t="n">
        <v>92.551813277498</v>
      </c>
      <c r="Z8" t="n">
        <v>3834.89393865007</v>
      </c>
      <c r="AA8" t="n">
        <v>520.401953102777</v>
      </c>
      <c r="AB8" t="n">
        <v>206.881104307251</v>
      </c>
      <c r="AC8" t="n">
        <v>101.583773278836</v>
      </c>
      <c r="AD8" t="n">
        <v>59.8227154046997</v>
      </c>
      <c r="AE8" t="n">
        <v>155.6</v>
      </c>
      <c r="AF8" t="n">
        <v>208.7</v>
      </c>
    </row>
    <row r="9">
      <c r="A9" t="s">
        <v>69</v>
      </c>
      <c r="B9" t="s">
        <v>288</v>
      </c>
      <c r="C9" t="s">
        <v>203</v>
      </c>
      <c r="D9" t="s">
        <v>289</v>
      </c>
      <c r="E9" t="s">
        <v>204</v>
      </c>
      <c r="F9" t="n">
        <v>98.3577437393467</v>
      </c>
      <c r="G9" t="n">
        <v>31.0603401282147</v>
      </c>
      <c r="H9" t="n">
        <v>78.5643897360726</v>
      </c>
      <c r="I9" t="n">
        <v>105.555836516564</v>
      </c>
      <c r="J9" t="n">
        <v>62.6544877569077</v>
      </c>
      <c r="K9" t="n">
        <v>64.2564490916014</v>
      </c>
      <c r="L9" t="n">
        <v>37.4980977701697</v>
      </c>
      <c r="M9" t="n">
        <v>158.437908596483</v>
      </c>
      <c r="N9" t="n">
        <v>84.8409446032777</v>
      </c>
      <c r="O9" t="n">
        <v>100.077685674887</v>
      </c>
      <c r="P9" t="n">
        <v>123.390291322947</v>
      </c>
      <c r="Q9" t="n">
        <v>140.565496708559</v>
      </c>
      <c r="R9" t="n">
        <v>204.091628025806</v>
      </c>
      <c r="S9" t="n">
        <v>252.302248819304</v>
      </c>
      <c r="T9" t="n">
        <v>167.7938368299</v>
      </c>
      <c r="U9" t="n">
        <v>163.476471070021</v>
      </c>
      <c r="V9" t="n">
        <v>153.362099478638</v>
      </c>
      <c r="W9" t="n">
        <v>215.927732101765</v>
      </c>
      <c r="X9" t="n">
        <v>218.28525572769</v>
      </c>
      <c r="Y9" t="n">
        <v>281.619647084398</v>
      </c>
      <c r="Z9" t="n">
        <v>184.413654501026</v>
      </c>
      <c r="AA9" t="n">
        <v>247.052971825602</v>
      </c>
      <c r="AB9" t="n">
        <v>555.542396962333</v>
      </c>
      <c r="AC9" t="n">
        <v>214.532222458077</v>
      </c>
      <c r="AD9" t="n">
        <v>211.082142857143</v>
      </c>
      <c r="AE9" t="n">
        <v>179.1</v>
      </c>
      <c r="AF9" t="n">
        <v>200.5</v>
      </c>
    </row>
    <row r="10">
      <c r="A10" t="s">
        <v>69</v>
      </c>
      <c r="B10" t="s">
        <v>290</v>
      </c>
      <c r="C10" t="s">
        <v>203</v>
      </c>
      <c r="D10" t="s">
        <v>291</v>
      </c>
      <c r="E10" t="s">
        <v>204</v>
      </c>
      <c r="F10" t="n">
        <v>119.154383298909</v>
      </c>
      <c r="G10" t="n">
        <v>37.9127583223803</v>
      </c>
      <c r="H10" t="n">
        <v>92.8862578898317</v>
      </c>
      <c r="I10" t="n">
        <v>125.334523979346</v>
      </c>
      <c r="J10" t="n">
        <v>84.353642729102</v>
      </c>
      <c r="K10" t="n">
        <v>68.5488207798584</v>
      </c>
      <c r="L10" t="n">
        <v>39.6268525604113</v>
      </c>
      <c r="M10" t="n">
        <v>283.471037394872</v>
      </c>
      <c r="N10" t="n">
        <v>162.55839119743</v>
      </c>
      <c r="O10" t="n">
        <v>171.579585921117</v>
      </c>
      <c r="P10" t="n">
        <v>234.033876345421</v>
      </c>
      <c r="Q10" t="n">
        <v>222.516461170942</v>
      </c>
      <c r="R10" t="n">
        <v>290.39321193017</v>
      </c>
      <c r="S10" t="n">
        <v>490.505224265406</v>
      </c>
      <c r="T10" t="n">
        <v>193.203043110098</v>
      </c>
      <c r="U10" t="n">
        <v>247.290447599355</v>
      </c>
      <c r="V10" t="n">
        <v>305.602439574179</v>
      </c>
      <c r="W10" t="n">
        <v>345.324117998194</v>
      </c>
      <c r="X10" t="n">
        <v>349.132039904287</v>
      </c>
      <c r="Y10" t="n">
        <v>372.969254442052</v>
      </c>
      <c r="Z10" t="n">
        <v>284.322797232662</v>
      </c>
      <c r="AA10" t="n">
        <v>397.829354249223</v>
      </c>
      <c r="AB10" t="n">
        <v>745.2514803772</v>
      </c>
      <c r="AC10" t="n">
        <v>470.116277038633</v>
      </c>
      <c r="AD10" t="n">
        <v>401.965192582026</v>
      </c>
      <c r="AE10" t="n">
        <v>285.2</v>
      </c>
      <c r="AF10" t="n">
        <v>361.4</v>
      </c>
    </row>
    <row r="11">
      <c r="A11" t="s">
        <v>69</v>
      </c>
      <c r="B11" t="s">
        <v>292</v>
      </c>
      <c r="C11" t="s">
        <v>203</v>
      </c>
      <c r="D11" t="s">
        <v>293</v>
      </c>
      <c r="E11" t="s">
        <v>204</v>
      </c>
      <c r="F11" t="n">
        <v>21.6062108898968</v>
      </c>
      <c r="G11" t="n">
        <v>7.20207029663228</v>
      </c>
      <c r="H11" t="n">
        <v>14.4041405932646</v>
      </c>
      <c r="I11" t="n">
        <v>19.9894195988161</v>
      </c>
      <c r="J11" t="n">
        <v>24.1048883397489</v>
      </c>
      <c r="K11" t="n">
        <v>2.70335196333632</v>
      </c>
      <c r="L11" t="n">
        <v>1.12639665139013</v>
      </c>
      <c r="M11" t="n">
        <v>130.09881323556</v>
      </c>
      <c r="N11" t="n">
        <v>81.264621021053</v>
      </c>
      <c r="O11" t="n">
        <v>74.2557842430134</v>
      </c>
      <c r="P11" t="n">
        <v>115.549244748884</v>
      </c>
      <c r="Q11" t="n">
        <v>84.5722131779068</v>
      </c>
      <c r="R11" t="n">
        <v>87.906601511086</v>
      </c>
      <c r="S11" t="n">
        <v>247.139047175069</v>
      </c>
      <c r="T11" t="n">
        <v>24.3878637581731</v>
      </c>
      <c r="U11" t="n">
        <v>85.3575231536057</v>
      </c>
      <c r="V11" t="n">
        <v>156.819635561276</v>
      </c>
      <c r="W11" t="n">
        <v>131.936815158564</v>
      </c>
      <c r="X11" t="n">
        <v>133.416693154303</v>
      </c>
      <c r="Y11" t="n">
        <v>91.071394892285</v>
      </c>
      <c r="Z11" t="n">
        <v>101.57055829308</v>
      </c>
      <c r="AA11" t="n">
        <v>153.813509056914</v>
      </c>
      <c r="AB11" t="n">
        <v>189.156900404836</v>
      </c>
      <c r="AC11" t="n">
        <v>256.25974625624</v>
      </c>
      <c r="AD11" t="n">
        <v>191.082019230769</v>
      </c>
      <c r="AE11" t="n">
        <v>106.1</v>
      </c>
      <c r="AF11" t="n">
        <v>160.9</v>
      </c>
    </row>
    <row r="12">
      <c r="A12" t="s">
        <v>69</v>
      </c>
      <c r="B12" t="s">
        <v>294</v>
      </c>
      <c r="C12" t="s">
        <v>203</v>
      </c>
      <c r="D12" t="s">
        <v>295</v>
      </c>
      <c r="E12" t="s">
        <v>204</v>
      </c>
      <c r="F12" t="n">
        <v>154.532046895883</v>
      </c>
      <c r="G12" t="n">
        <v>48.7995937565945</v>
      </c>
      <c r="H12" t="n">
        <v>121.998984391486</v>
      </c>
      <c r="I12" t="n">
        <v>161.759786996809</v>
      </c>
      <c r="J12" t="n">
        <v>170.668297005329</v>
      </c>
      <c r="K12" t="n">
        <v>176.659843602324</v>
      </c>
      <c r="L12" t="n">
        <v>470.420973575898</v>
      </c>
      <c r="M12" t="n">
        <v>246.071457450347</v>
      </c>
      <c r="N12" t="n">
        <v>291.696158490902</v>
      </c>
      <c r="O12" t="n">
        <v>407.894745715832</v>
      </c>
      <c r="P12" t="n">
        <v>747.971242647188</v>
      </c>
      <c r="Q12" t="n">
        <v>589.740809973722</v>
      </c>
      <c r="R12" t="n">
        <v>631.203721385045</v>
      </c>
      <c r="S12" t="n">
        <v>667.227097846801</v>
      </c>
      <c r="T12" t="n">
        <v>508.881536582434</v>
      </c>
      <c r="U12" t="n">
        <v>334.678154075185</v>
      </c>
      <c r="V12" t="n">
        <v>435.813963052403</v>
      </c>
      <c r="W12" t="n">
        <v>382.471025057386</v>
      </c>
      <c r="X12" t="n">
        <v>386.401977259365</v>
      </c>
      <c r="Y12" t="n">
        <v>419.611777656516</v>
      </c>
      <c r="Z12" t="n">
        <v>852.759419108404</v>
      </c>
      <c r="AA12" t="n">
        <v>537.282730422665</v>
      </c>
      <c r="AB12" t="n">
        <v>486.542944756499</v>
      </c>
      <c r="AC12" t="n">
        <v>553.341825487002</v>
      </c>
      <c r="AD12" t="n">
        <v>522.079575459488</v>
      </c>
      <c r="AE12" t="n">
        <v>390.7</v>
      </c>
      <c r="AF12" t="n">
        <v>512.1</v>
      </c>
    </row>
    <row r="13">
      <c r="A13" t="s">
        <v>69</v>
      </c>
      <c r="B13" t="s">
        <v>296</v>
      </c>
      <c r="C13" t="s">
        <v>203</v>
      </c>
      <c r="D13" t="s">
        <v>297</v>
      </c>
      <c r="E13" t="s">
        <v>204</v>
      </c>
      <c r="F13" t="n">
        <v>143.678186438486</v>
      </c>
      <c r="G13" t="n">
        <v>45.2320216565603</v>
      </c>
      <c r="H13" t="n">
        <v>112.17541370827</v>
      </c>
      <c r="I13" t="n">
        <v>152.922893046744</v>
      </c>
      <c r="J13" t="n">
        <v>141.37565418403</v>
      </c>
      <c r="K13" t="n">
        <v>249.116133644888</v>
      </c>
      <c r="L13" t="n">
        <v>122.004900006171</v>
      </c>
      <c r="M13" t="n">
        <v>474.171342696399</v>
      </c>
      <c r="N13" t="n">
        <v>520.200572702496</v>
      </c>
      <c r="O13" t="n">
        <v>394.97371780399</v>
      </c>
      <c r="P13" t="n">
        <v>400.112144314883</v>
      </c>
      <c r="Q13" t="n">
        <v>422.108243615198</v>
      </c>
      <c r="R13" t="n">
        <v>673.281275202924</v>
      </c>
      <c r="S13" t="n">
        <v>768.491392817095</v>
      </c>
      <c r="T13" t="n">
        <v>317.541986289413</v>
      </c>
      <c r="U13" t="n">
        <v>385.96131817009</v>
      </c>
      <c r="V13" t="n">
        <v>366.266963415922</v>
      </c>
      <c r="W13" t="n">
        <v>409.448847890361</v>
      </c>
      <c r="X13" t="n">
        <v>411.314968644821</v>
      </c>
      <c r="Y13" t="n">
        <v>404.988753530748</v>
      </c>
      <c r="Z13" t="n">
        <v>545.481226869356</v>
      </c>
      <c r="AA13" t="n">
        <v>553.971207054093</v>
      </c>
      <c r="AB13" t="n">
        <v>650.212439048829</v>
      </c>
      <c r="AC13" t="n">
        <v>590.454566482117</v>
      </c>
      <c r="AD13" t="n">
        <v>668.833491236381</v>
      </c>
      <c r="AE13" t="n">
        <v>428.5</v>
      </c>
      <c r="AF13" t="n">
        <v>479.1</v>
      </c>
    </row>
    <row r="14">
      <c r="A14" t="s">
        <v>69</v>
      </c>
      <c r="B14" t="s">
        <v>298</v>
      </c>
      <c r="C14" t="s">
        <v>203</v>
      </c>
      <c r="D14" t="s">
        <v>299</v>
      </c>
      <c r="E14" t="s">
        <v>204</v>
      </c>
      <c r="F14" t="n">
        <v>22.1811268233488</v>
      </c>
      <c r="G14" t="n">
        <v>7.39370894111625</v>
      </c>
      <c r="H14" t="n">
        <v>18.4842723527906</v>
      </c>
      <c r="I14" t="n">
        <v>25.2942674301346</v>
      </c>
      <c r="J14" t="n">
        <v>32.7244584877366</v>
      </c>
      <c r="K14" t="n">
        <v>52.0282120900531</v>
      </c>
      <c r="L14" t="n">
        <v>85.2736761331556</v>
      </c>
      <c r="M14" t="n">
        <v>65.702668496038</v>
      </c>
      <c r="N14" t="n">
        <v>73.9815570196674</v>
      </c>
      <c r="O14" t="n">
        <v>59.0412425850387</v>
      </c>
      <c r="P14" t="n">
        <v>48.4796126797972</v>
      </c>
      <c r="Q14" t="n">
        <v>71.5427293915453</v>
      </c>
      <c r="R14" t="n">
        <v>45.7118859195472</v>
      </c>
      <c r="S14" t="n">
        <v>90.8730262256059</v>
      </c>
      <c r="T14" t="n">
        <v>19.356080274887</v>
      </c>
      <c r="U14" t="n">
        <v>25.3672853291998</v>
      </c>
      <c r="V14" t="n">
        <v>59.6735188220223</v>
      </c>
      <c r="W14" t="n">
        <v>56.7461386533948</v>
      </c>
      <c r="X14" t="n">
        <v>56.8569709554522</v>
      </c>
      <c r="Y14" t="n">
        <v>102.969317478378</v>
      </c>
      <c r="Z14" t="n">
        <v>93.0596597122066</v>
      </c>
      <c r="AA14" t="n">
        <v>107.057803471564</v>
      </c>
      <c r="AB14" t="n">
        <v>143.153492951016</v>
      </c>
      <c r="AC14" t="n">
        <v>192.453527825631</v>
      </c>
      <c r="AD14" t="n">
        <v>108.837980769231</v>
      </c>
      <c r="AE14" t="n">
        <v>127.9</v>
      </c>
      <c r="AF14" t="n">
        <v>102.3</v>
      </c>
    </row>
    <row r="15">
      <c r="A15" t="s">
        <v>69</v>
      </c>
      <c r="B15" t="s">
        <v>300</v>
      </c>
      <c r="C15" t="s">
        <v>203</v>
      </c>
      <c r="D15" t="s">
        <v>301</v>
      </c>
      <c r="E15" t="s">
        <v>204</v>
      </c>
      <c r="F15" t="n">
        <v>31.0451772575438</v>
      </c>
      <c r="G15" t="n">
        <v>11.0875633062657</v>
      </c>
      <c r="H15" t="n">
        <v>29.5668354833751</v>
      </c>
      <c r="I15" t="n">
        <v>40.4080084939459</v>
      </c>
      <c r="J15" t="n">
        <v>59.5738623250665</v>
      </c>
      <c r="K15" t="n">
        <v>65.1242221690168</v>
      </c>
      <c r="L15" t="n">
        <v>96.6541049482526</v>
      </c>
      <c r="M15" t="n">
        <v>99.450607080571</v>
      </c>
      <c r="N15" t="n">
        <v>110.383120624889</v>
      </c>
      <c r="O15" t="n">
        <v>94.5369303883634</v>
      </c>
      <c r="P15" t="n">
        <v>124.372438694416</v>
      </c>
      <c r="Q15" t="n">
        <v>160.176625591293</v>
      </c>
      <c r="R15" t="n">
        <v>164.537150788878</v>
      </c>
      <c r="S15" t="n">
        <v>303.665810011861</v>
      </c>
      <c r="T15" t="n">
        <v>101.890344011409</v>
      </c>
      <c r="U15" t="n">
        <v>147.855010391114</v>
      </c>
      <c r="V15" t="n">
        <v>193.999302849778</v>
      </c>
      <c r="W15" t="n">
        <v>161.348176690562</v>
      </c>
      <c r="X15" t="n">
        <v>161.127000300307</v>
      </c>
      <c r="Y15" t="n">
        <v>211.243053497161</v>
      </c>
      <c r="Z15" t="n">
        <v>292.664358913626</v>
      </c>
      <c r="AA15" t="n">
        <v>454.775831274409</v>
      </c>
      <c r="AB15" t="n">
        <v>420.941305534081</v>
      </c>
      <c r="AC15" t="n">
        <v>463.110546695155</v>
      </c>
      <c r="AD15" t="n">
        <v>319.18646702047</v>
      </c>
      <c r="AE15" t="n">
        <v>269.1</v>
      </c>
      <c r="AF15" t="n">
        <v>281.6</v>
      </c>
    </row>
    <row r="16">
      <c r="A16" t="s">
        <v>69</v>
      </c>
      <c r="B16" t="s">
        <v>302</v>
      </c>
      <c r="C16" t="s">
        <v>203</v>
      </c>
      <c r="D16" t="s">
        <v>303</v>
      </c>
      <c r="E16" t="s">
        <v>204</v>
      </c>
      <c r="F16" t="n">
        <v>9.28054695421029</v>
      </c>
      <c r="G16" t="n">
        <v>3.71221878168411</v>
      </c>
      <c r="H16" t="n">
        <v>11.1366563450523</v>
      </c>
      <c r="I16" t="n">
        <v>15.186349561435</v>
      </c>
      <c r="J16" t="n">
        <v>27.106817496755</v>
      </c>
      <c r="K16" t="n">
        <v>12.9886833838618</v>
      </c>
      <c r="L16" t="n">
        <v>11.3187098059367</v>
      </c>
      <c r="M16" t="n">
        <v>33.6078614237812</v>
      </c>
      <c r="N16" t="n">
        <v>36.2472222685808</v>
      </c>
      <c r="O16" t="n">
        <v>35.3500137965862</v>
      </c>
      <c r="P16" t="n">
        <v>75.725274652491</v>
      </c>
      <c r="Q16" t="n">
        <v>88.42454431471</v>
      </c>
      <c r="R16" t="n">
        <v>118.62537390003</v>
      </c>
      <c r="S16" t="n">
        <v>212.457222770146</v>
      </c>
      <c r="T16" t="n">
        <v>82.3584175326623</v>
      </c>
      <c r="U16" t="n">
        <v>122.220849274489</v>
      </c>
      <c r="V16" t="n">
        <v>134.033120703384</v>
      </c>
      <c r="W16" t="n">
        <v>104.409453492044</v>
      </c>
      <c r="X16" t="n">
        <v>104.078694927655</v>
      </c>
      <c r="Y16" t="n">
        <v>108.387685481985</v>
      </c>
      <c r="Z16" t="n">
        <v>199.123019697713</v>
      </c>
      <c r="AA16" t="n">
        <v>346.26745864652</v>
      </c>
      <c r="AB16" t="n">
        <v>277.233470852966</v>
      </c>
      <c r="AC16" t="n">
        <v>270.398747380474</v>
      </c>
      <c r="AD16" t="n">
        <v>209.971510791367</v>
      </c>
      <c r="AE16" t="n">
        <v>141.2</v>
      </c>
      <c r="AF16" t="n">
        <v>179.3</v>
      </c>
    </row>
    <row r="17">
      <c r="A17" t="s">
        <v>69</v>
      </c>
      <c r="B17" t="s">
        <v>304</v>
      </c>
      <c r="C17" t="s">
        <v>203</v>
      </c>
      <c r="D17" t="s">
        <v>305</v>
      </c>
      <c r="E17" t="s">
        <v>204</v>
      </c>
      <c r="F17" t="n">
        <v>56.4813217048435</v>
      </c>
      <c r="G17" t="n">
        <v>16.9443965114531</v>
      </c>
      <c r="H17" t="n">
        <v>43.30234664038</v>
      </c>
      <c r="I17" t="n">
        <v>59.5720144532396</v>
      </c>
      <c r="J17" t="n">
        <v>62.1977781756964</v>
      </c>
      <c r="K17" t="n">
        <v>124.966178169518</v>
      </c>
      <c r="L17" t="n">
        <v>281.603174012533</v>
      </c>
      <c r="M17" t="n">
        <v>158.099079267479</v>
      </c>
      <c r="N17" t="n">
        <v>112.182514991775</v>
      </c>
      <c r="O17" t="n">
        <v>119.791108279861</v>
      </c>
      <c r="P17" t="n">
        <v>145.27857812664</v>
      </c>
      <c r="Q17" t="n">
        <v>186.479275415465</v>
      </c>
      <c r="R17" t="n">
        <v>176.664576709388</v>
      </c>
      <c r="S17" t="n">
        <v>169.173017943762</v>
      </c>
      <c r="T17" t="n">
        <v>104.489216965265</v>
      </c>
      <c r="U17" t="n">
        <v>124.647524804454</v>
      </c>
      <c r="V17" t="n">
        <v>108.180108316305</v>
      </c>
      <c r="W17" t="n">
        <v>99.1558150376024</v>
      </c>
      <c r="X17" t="n">
        <v>95.9714090175686</v>
      </c>
      <c r="Y17" t="n">
        <v>173.961478651579</v>
      </c>
      <c r="Z17" t="n">
        <v>211.092024499428</v>
      </c>
      <c r="AA17" t="n">
        <v>224.352111144782</v>
      </c>
      <c r="AB17" t="n">
        <v>240.986583263881</v>
      </c>
      <c r="AC17" t="n">
        <v>295.426640015164</v>
      </c>
      <c r="AD17" t="n">
        <v>324.174809160305</v>
      </c>
      <c r="AE17" t="n">
        <v>266</v>
      </c>
      <c r="AF17" t="n">
        <v>301.5</v>
      </c>
    </row>
    <row r="18">
      <c r="A18" t="s">
        <v>69</v>
      </c>
      <c r="B18" t="s">
        <v>306</v>
      </c>
      <c r="C18" t="s">
        <v>203</v>
      </c>
      <c r="D18" t="s">
        <v>307</v>
      </c>
      <c r="E18" t="s">
        <v>204</v>
      </c>
      <c r="F18" t="n">
        <v>36.267095652997</v>
      </c>
      <c r="G18" t="n">
        <v>12.0890318843323</v>
      </c>
      <c r="H18" t="n">
        <v>31.0860819882831</v>
      </c>
      <c r="I18" t="n">
        <v>43.2400388558826</v>
      </c>
      <c r="J18" t="n">
        <v>29.6016036611956</v>
      </c>
      <c r="K18" t="n">
        <v>61.0081831553909</v>
      </c>
      <c r="L18" t="n">
        <v>20.520934334086</v>
      </c>
      <c r="M18" t="n">
        <v>24.3896350692006</v>
      </c>
      <c r="N18" t="n">
        <v>26.6068746209461</v>
      </c>
      <c r="O18" t="n">
        <v>42.5018906282646</v>
      </c>
      <c r="P18" t="n">
        <v>38.5017126867809</v>
      </c>
      <c r="Q18" t="n">
        <v>103.275182265718</v>
      </c>
      <c r="R18" t="n">
        <v>56.7384627873905</v>
      </c>
      <c r="S18" t="n">
        <v>221.12455702757</v>
      </c>
      <c r="T18" t="n">
        <v>58.769467830322</v>
      </c>
      <c r="U18" t="n">
        <v>43.8242685541598</v>
      </c>
      <c r="V18" t="n">
        <v>125.35779144562</v>
      </c>
      <c r="W18" t="n">
        <v>89.526268492597</v>
      </c>
      <c r="X18" t="n">
        <v>89.8371235915296</v>
      </c>
      <c r="Y18" t="n">
        <v>120.480053990037</v>
      </c>
      <c r="Z18" t="n">
        <v>51.938397833161</v>
      </c>
      <c r="AA18" t="n">
        <v>133.829000551703</v>
      </c>
      <c r="AB18" t="n">
        <v>194.496735770157</v>
      </c>
      <c r="AC18" t="n">
        <v>198.496127523007</v>
      </c>
      <c r="AD18" t="n">
        <v>221.443656716418</v>
      </c>
      <c r="AE18" t="n">
        <v>324.3</v>
      </c>
      <c r="AF18" t="n">
        <v>156.9</v>
      </c>
    </row>
    <row r="19">
      <c r="A19" t="s">
        <v>69</v>
      </c>
      <c r="B19" t="s">
        <v>308</v>
      </c>
      <c r="C19" t="s">
        <v>203</v>
      </c>
      <c r="D19" t="s">
        <v>309</v>
      </c>
      <c r="E19" t="s">
        <v>204</v>
      </c>
      <c r="F19" t="n">
        <v>10.8086281983186</v>
      </c>
      <c r="G19" t="n">
        <v>3.6028760661062</v>
      </c>
      <c r="H19" t="n">
        <v>7.20575213221239</v>
      </c>
      <c r="I19" t="n">
        <v>9.69049424676839</v>
      </c>
      <c r="J19" t="n">
        <v>16.8392195107779</v>
      </c>
      <c r="K19" t="n">
        <v>243.985647911597</v>
      </c>
      <c r="L19" t="n">
        <v>126.9910124942</v>
      </c>
      <c r="M19" t="n">
        <v>31.9231550745088</v>
      </c>
      <c r="N19" t="n">
        <v>43.1488799358745</v>
      </c>
      <c r="O19" t="n">
        <v>56.4664354716382</v>
      </c>
      <c r="P19" t="n">
        <v>160.044927044613</v>
      </c>
      <c r="Q19" t="n">
        <v>168.354952102699</v>
      </c>
      <c r="R19" t="n">
        <v>163.374036360015</v>
      </c>
      <c r="S19" t="n">
        <v>216.443727447356</v>
      </c>
      <c r="T19" t="n">
        <v>158.104421521568</v>
      </c>
      <c r="U19" t="n">
        <v>117.908382151678</v>
      </c>
      <c r="V19" t="n">
        <v>139.185966567883</v>
      </c>
      <c r="W19" t="n">
        <v>137.324313199154</v>
      </c>
      <c r="X19" t="n">
        <v>137.971052507785</v>
      </c>
      <c r="Y19" t="n">
        <v>135.898760019525</v>
      </c>
      <c r="Z19" t="n">
        <v>132.123794463427</v>
      </c>
      <c r="AA19" t="n">
        <v>214.577813912803</v>
      </c>
      <c r="AB19" t="n">
        <v>202.681078553446</v>
      </c>
      <c r="AC19" t="n">
        <v>177.359299103174</v>
      </c>
      <c r="AD19" t="n">
        <v>292.145818935729</v>
      </c>
      <c r="AE19" t="n">
        <v>147.5</v>
      </c>
      <c r="AF19" t="n">
        <v>196</v>
      </c>
    </row>
    <row r="20">
      <c r="A20" t="s">
        <v>69</v>
      </c>
      <c r="B20" t="s">
        <v>310</v>
      </c>
      <c r="C20" t="s">
        <v>203</v>
      </c>
      <c r="D20" t="s">
        <v>311</v>
      </c>
      <c r="E20" t="s">
        <v>204</v>
      </c>
      <c r="F20" t="n">
        <v>275.829961194262</v>
      </c>
      <c r="G20" t="n">
        <v>88.6596303838698</v>
      </c>
      <c r="H20" t="n">
        <v>223.982224127671</v>
      </c>
      <c r="I20" t="n">
        <v>295.557810901252</v>
      </c>
      <c r="J20" t="n">
        <v>294.198477999604</v>
      </c>
      <c r="K20" t="n">
        <v>82.3666452062623</v>
      </c>
      <c r="L20" t="n">
        <v>70.2036950074101</v>
      </c>
      <c r="M20" t="n">
        <v>744.435249025205</v>
      </c>
      <c r="N20" t="n">
        <v>1705.37642927376</v>
      </c>
      <c r="O20" t="n">
        <v>1689.53391540821</v>
      </c>
      <c r="P20" t="n">
        <v>2211.43485132024</v>
      </c>
      <c r="Q20" t="n">
        <v>1944.24304590773</v>
      </c>
      <c r="R20" t="n">
        <v>2226.87778009544</v>
      </c>
      <c r="S20" t="n">
        <v>4137.08601652431</v>
      </c>
      <c r="T20" t="n">
        <v>3408.1135812463</v>
      </c>
      <c r="U20" t="n">
        <v>2805.23141214836</v>
      </c>
      <c r="V20" t="n">
        <v>2673.66321672533</v>
      </c>
      <c r="W20" t="n">
        <v>4156.88328143229</v>
      </c>
      <c r="X20" t="n">
        <v>4218.07185479065</v>
      </c>
      <c r="Y20" t="n">
        <v>2868.00174626395</v>
      </c>
      <c r="Z20" t="n">
        <v>399.191202097577</v>
      </c>
      <c r="AA20" t="n">
        <v>2876.58868653517</v>
      </c>
      <c r="AB20" t="n">
        <v>797.24243410968</v>
      </c>
      <c r="AC20" t="n">
        <v>703.584207100497</v>
      </c>
      <c r="AD20" t="n">
        <v>770.512798144876</v>
      </c>
      <c r="AE20" t="n">
        <v>919.7</v>
      </c>
      <c r="AF20" t="n">
        <v>1025.5</v>
      </c>
    </row>
    <row r="21">
      <c r="A21" t="s">
        <v>69</v>
      </c>
      <c r="B21" t="s">
        <v>312</v>
      </c>
      <c r="C21" t="s">
        <v>203</v>
      </c>
      <c r="D21" t="s">
        <v>313</v>
      </c>
      <c r="E21" t="s">
        <v>204</v>
      </c>
      <c r="F21" t="n">
        <v>304.437334319459</v>
      </c>
      <c r="G21" t="n">
        <v>97.1608513785507</v>
      </c>
      <c r="H21" t="n">
        <v>244.031905787988</v>
      </c>
      <c r="I21" t="n">
        <v>323.177388746254</v>
      </c>
      <c r="J21" t="n">
        <v>353.090702994589</v>
      </c>
      <c r="K21" t="n">
        <v>104.772750240837</v>
      </c>
      <c r="L21" t="n">
        <v>85.5890072389939</v>
      </c>
      <c r="M21" t="n">
        <v>847.664126614109</v>
      </c>
      <c r="N21" t="n">
        <v>1820.26564231988</v>
      </c>
      <c r="O21" t="n">
        <v>1792.81545560366</v>
      </c>
      <c r="P21" t="n">
        <v>2378.70785204508</v>
      </c>
      <c r="Q21" t="n">
        <v>2042.74388340401</v>
      </c>
      <c r="R21" t="n">
        <v>2376.24329589304</v>
      </c>
      <c r="S21" t="n">
        <v>4308.24015706276</v>
      </c>
      <c r="T21" t="n">
        <v>3636.94394298172</v>
      </c>
      <c r="U21" t="n">
        <v>2911.52604163771</v>
      </c>
      <c r="V21" t="n">
        <v>2800.65360580692</v>
      </c>
      <c r="W21" t="n">
        <v>4218.73268542019</v>
      </c>
      <c r="X21" t="n">
        <v>4336.04856338444</v>
      </c>
      <c r="Y21" t="n">
        <v>3386.26646772629</v>
      </c>
      <c r="Z21" t="n">
        <v>2247.48041789363</v>
      </c>
      <c r="AA21" t="n">
        <v>2379.92036272637</v>
      </c>
      <c r="AB21" t="n">
        <v>1053.28125155109</v>
      </c>
      <c r="AC21" t="n">
        <v>929.000277916742</v>
      </c>
      <c r="AD21" t="n">
        <v>1012.84808027923</v>
      </c>
      <c r="AE21" t="n">
        <v>1047.9</v>
      </c>
      <c r="AF21" t="n">
        <v>1269.6</v>
      </c>
    </row>
    <row r="22">
      <c r="A22" t="s">
        <v>69</v>
      </c>
      <c r="B22" t="s">
        <v>314</v>
      </c>
      <c r="C22" t="s">
        <v>203</v>
      </c>
      <c r="D22" t="s">
        <v>315</v>
      </c>
      <c r="E22" t="s">
        <v>204</v>
      </c>
      <c r="F22" t="n">
        <v>34.7905272379458</v>
      </c>
      <c r="G22" t="n">
        <v>10.4371581713837</v>
      </c>
      <c r="H22" t="n">
        <v>25.049179611321</v>
      </c>
      <c r="I22" t="n">
        <v>34.1579721972559</v>
      </c>
      <c r="J22" t="n">
        <v>64.623190643457</v>
      </c>
      <c r="K22" t="n">
        <v>23.8871199738191</v>
      </c>
      <c r="L22" t="n">
        <v>16.570344486343</v>
      </c>
      <c r="M22" t="n">
        <v>113.128401246268</v>
      </c>
      <c r="N22" t="n">
        <v>131.539895119982</v>
      </c>
      <c r="O22" t="n">
        <v>119.544757852472</v>
      </c>
      <c r="P22" t="n">
        <v>189.133413643017</v>
      </c>
      <c r="Q22" t="n">
        <v>116.89007441692</v>
      </c>
      <c r="R22" t="n">
        <v>171.026923903477</v>
      </c>
      <c r="S22" t="n">
        <v>210.758942906381</v>
      </c>
      <c r="T22" t="n">
        <v>261.984128771151</v>
      </c>
      <c r="U22" t="n">
        <v>132.587906794334</v>
      </c>
      <c r="V22" t="n">
        <v>152.550277298465</v>
      </c>
      <c r="W22" t="n">
        <v>98.537865684498</v>
      </c>
      <c r="X22" t="n">
        <v>156.121706588285</v>
      </c>
      <c r="Y22" t="n">
        <v>545.924779779421</v>
      </c>
      <c r="Z22" t="n">
        <v>1859.05041164671</v>
      </c>
      <c r="AA22" t="n">
        <v>-513.745982638423</v>
      </c>
      <c r="AB22" t="n">
        <v>256.50759588348</v>
      </c>
      <c r="AC22" t="n">
        <v>225.801406663018</v>
      </c>
      <c r="AD22" t="n">
        <v>242.744356120827</v>
      </c>
      <c r="AE22" t="n">
        <v>128.2</v>
      </c>
      <c r="AF22" t="n">
        <v>244.1</v>
      </c>
    </row>
    <row r="23">
      <c r="A23" t="s">
        <v>69</v>
      </c>
      <c r="B23" t="s">
        <v>316</v>
      </c>
      <c r="C23" t="s">
        <v>203</v>
      </c>
      <c r="D23" t="s">
        <v>317</v>
      </c>
      <c r="E23" t="s">
        <v>204</v>
      </c>
      <c r="F23" t="n">
        <v>470.868395954093</v>
      </c>
      <c r="G23" t="n">
        <v>153.388947166864</v>
      </c>
      <c r="H23" t="n">
        <v>386.02885036994</v>
      </c>
      <c r="I23" t="n">
        <v>482.282763191841</v>
      </c>
      <c r="J23" t="n">
        <v>852.046300747523</v>
      </c>
      <c r="K23" t="n">
        <v>1504.33711145928</v>
      </c>
      <c r="L23" t="n">
        <v>1468.95974045698</v>
      </c>
      <c r="M23" t="n">
        <v>1438.95099147335</v>
      </c>
      <c r="N23" t="n">
        <v>1199.19332557067</v>
      </c>
      <c r="O23" t="n">
        <v>1777.76374673266</v>
      </c>
      <c r="P23" t="n">
        <v>2998.71061463135</v>
      </c>
      <c r="Q23" t="n">
        <v>4365.17243202191</v>
      </c>
      <c r="R23" t="n">
        <v>4602.29920549039</v>
      </c>
      <c r="S23" t="n">
        <v>5001.7305938684</v>
      </c>
      <c r="T23" t="n">
        <v>4941.38591206287</v>
      </c>
      <c r="U23" t="n">
        <v>3080.80389557852</v>
      </c>
      <c r="V23" t="n">
        <v>2353.07427156738</v>
      </c>
      <c r="W23" t="n">
        <v>2240.9006554989</v>
      </c>
      <c r="X23" t="n">
        <v>2194.23952784666</v>
      </c>
      <c r="Y23" t="n">
        <v>2103.85117645178</v>
      </c>
      <c r="Z23" t="n">
        <v>2350.3395188098</v>
      </c>
      <c r="AA23" t="n">
        <v>3237.05601066788</v>
      </c>
      <c r="AB23" t="n">
        <v>2865.13706858491</v>
      </c>
      <c r="AC23" t="n">
        <v>3140.62455933652</v>
      </c>
      <c r="AD23" t="n">
        <v>3588.16757792684</v>
      </c>
      <c r="AE23" t="n">
        <v>3616.4</v>
      </c>
      <c r="AF23" t="n">
        <v>3454.8</v>
      </c>
    </row>
    <row r="24">
      <c r="A24" t="s">
        <v>69</v>
      </c>
      <c r="B24" t="s">
        <v>318</v>
      </c>
      <c r="C24" t="s">
        <v>203</v>
      </c>
      <c r="D24" t="s">
        <v>319</v>
      </c>
      <c r="E24" t="s">
        <v>204</v>
      </c>
      <c r="F24" t="n">
        <v>431.296537994968</v>
      </c>
      <c r="G24" t="n">
        <v>140.03134350486</v>
      </c>
      <c r="H24" t="n">
        <v>347.119950096554</v>
      </c>
      <c r="I24" t="n">
        <v>451.125927653574</v>
      </c>
      <c r="J24" t="n">
        <v>478.051599532826</v>
      </c>
      <c r="K24" t="n">
        <v>986.052058138039</v>
      </c>
      <c r="L24" t="n">
        <v>2795.53602512864</v>
      </c>
      <c r="M24" t="n">
        <v>1357.60971007174</v>
      </c>
      <c r="N24" t="n">
        <v>1520.45640724069</v>
      </c>
      <c r="O24" t="n">
        <v>1552.54456700086</v>
      </c>
      <c r="P24" t="n">
        <v>1960.62058409441</v>
      </c>
      <c r="Q24" t="n">
        <v>1978.21548312836</v>
      </c>
      <c r="R24" t="n">
        <v>2432.53104320316</v>
      </c>
      <c r="S24" t="n">
        <v>2101.35715549686</v>
      </c>
      <c r="T24" t="n">
        <v>1726.0372721784</v>
      </c>
      <c r="U24" t="n">
        <v>1588.92504007972</v>
      </c>
      <c r="V24" t="n">
        <v>1491.59043462443</v>
      </c>
      <c r="W24" t="n">
        <v>1325.55957079854</v>
      </c>
      <c r="X24" t="n">
        <v>1318.36289267373</v>
      </c>
      <c r="Y24" t="n">
        <v>1440.0121960997</v>
      </c>
      <c r="Z24" t="n">
        <v>1101.41159005396</v>
      </c>
      <c r="AA24" t="n">
        <v>1709.5773905538</v>
      </c>
      <c r="AB24" t="n">
        <v>1758.73637733577</v>
      </c>
      <c r="AC24" t="n">
        <v>2077.10730573524</v>
      </c>
      <c r="AD24" t="n">
        <v>1706.01802451334</v>
      </c>
      <c r="AE24" t="n">
        <v>1552.1</v>
      </c>
      <c r="AF24" t="n">
        <v>1688</v>
      </c>
    </row>
    <row r="25">
      <c r="A25" t="s">
        <v>69</v>
      </c>
      <c r="B25" t="s">
        <v>320</v>
      </c>
      <c r="C25" t="s">
        <v>203</v>
      </c>
      <c r="D25" t="s">
        <v>321</v>
      </c>
      <c r="E25" t="s">
        <v>204</v>
      </c>
      <c r="F25" t="n">
        <v>39.3526535101292</v>
      </c>
      <c r="G25" t="n">
        <v>14.0545191107604</v>
      </c>
      <c r="H25" t="n">
        <v>32.1246151103095</v>
      </c>
      <c r="I25" t="n">
        <v>42.2283247014553</v>
      </c>
      <c r="J25" t="n">
        <v>66.1035698211242</v>
      </c>
      <c r="K25" t="n">
        <v>144.554070786999</v>
      </c>
      <c r="L25" t="n">
        <v>219.830554771125</v>
      </c>
      <c r="M25" t="n">
        <v>120.629707786172</v>
      </c>
      <c r="N25" t="n">
        <v>117.46991574863</v>
      </c>
      <c r="O25" t="n">
        <v>164.043060515743</v>
      </c>
      <c r="P25" t="n">
        <v>221.738469892283</v>
      </c>
      <c r="Q25" t="n">
        <v>238.102932614961</v>
      </c>
      <c r="R25" t="n">
        <v>236.133888006822</v>
      </c>
      <c r="S25" t="n">
        <v>199.761536549131</v>
      </c>
      <c r="T25" t="n">
        <v>214.645729468478</v>
      </c>
      <c r="U25" t="n">
        <v>159.569672346513</v>
      </c>
      <c r="V25" t="n">
        <v>167.338028302728</v>
      </c>
      <c r="W25" t="n">
        <v>97.9423149237953</v>
      </c>
      <c r="X25" t="n">
        <v>97.710224130137</v>
      </c>
      <c r="Y25" t="n">
        <v>75.4131478949445</v>
      </c>
      <c r="Z25" t="n">
        <v>198.686923509043</v>
      </c>
      <c r="AA25" t="n">
        <v>137.902491830704</v>
      </c>
      <c r="AB25" t="n">
        <v>177.270121740392</v>
      </c>
      <c r="AC25" t="n">
        <v>111.370448230953</v>
      </c>
      <c r="AD25" t="n">
        <v>142.769117647059</v>
      </c>
      <c r="AE25" t="n">
        <v>110.4</v>
      </c>
      <c r="AF25" t="n">
        <v>138.7</v>
      </c>
    </row>
    <row r="26">
      <c r="A26" t="s">
        <v>69</v>
      </c>
      <c r="B26" t="s">
        <v>322</v>
      </c>
      <c r="C26" t="s">
        <v>203</v>
      </c>
      <c r="D26" t="s">
        <v>323</v>
      </c>
      <c r="E26" t="s">
        <v>204</v>
      </c>
      <c r="F26" t="n">
        <v>239.015078204582</v>
      </c>
      <c r="G26" t="n">
        <v>76.0502521560032</v>
      </c>
      <c r="H26" t="n">
        <v>192.026886693908</v>
      </c>
      <c r="I26" t="n">
        <v>254.019818618713</v>
      </c>
      <c r="J26" t="n">
        <v>263.563456137262</v>
      </c>
      <c r="K26" t="n">
        <v>228.942832661605</v>
      </c>
      <c r="L26" t="n">
        <v>1860.68083999522</v>
      </c>
      <c r="M26" t="n">
        <v>779.897273167468</v>
      </c>
      <c r="N26" t="n">
        <v>934.733886133829</v>
      </c>
      <c r="O26" t="n">
        <v>914.575886991965</v>
      </c>
      <c r="P26" t="n">
        <v>1178.50910394048</v>
      </c>
      <c r="Q26" t="n">
        <v>1135.56028606842</v>
      </c>
      <c r="R26" t="n">
        <v>1455.28694815876</v>
      </c>
      <c r="S26" t="n">
        <v>1163.02231749738</v>
      </c>
      <c r="T26" t="n">
        <v>926.655435849309</v>
      </c>
      <c r="U26" t="n">
        <v>849.836182657155</v>
      </c>
      <c r="V26" t="n">
        <v>844.818699659917</v>
      </c>
      <c r="W26" t="n">
        <v>870.273525795186</v>
      </c>
      <c r="X26" t="n">
        <v>861.327646115161</v>
      </c>
      <c r="Y26" t="n">
        <v>958.920428705734</v>
      </c>
      <c r="Z26" t="n">
        <v>540.307187547564</v>
      </c>
      <c r="AA26" t="n">
        <v>1014.53117661814</v>
      </c>
      <c r="AB26" t="n">
        <v>767.916115202061</v>
      </c>
      <c r="AC26" t="n">
        <v>926.912445561392</v>
      </c>
      <c r="AD26" t="n">
        <v>804.93638601674</v>
      </c>
      <c r="AE26" t="n">
        <v>826.4</v>
      </c>
      <c r="AF26" t="n">
        <v>896</v>
      </c>
    </row>
    <row r="27">
      <c r="A27" t="s">
        <v>69</v>
      </c>
      <c r="B27" t="s">
        <v>324</v>
      </c>
      <c r="C27" t="s">
        <v>203</v>
      </c>
      <c r="D27" t="s">
        <v>325</v>
      </c>
      <c r="E27" t="s">
        <v>204</v>
      </c>
      <c r="F27" t="n">
        <v>154.925120856629</v>
      </c>
      <c r="G27" t="n">
        <v>50.6485972031286</v>
      </c>
      <c r="H27" t="n">
        <v>124.511134791025</v>
      </c>
      <c r="I27" t="n">
        <v>156.401514525919</v>
      </c>
      <c r="J27" t="n">
        <v>149.753203600269</v>
      </c>
      <c r="K27" t="n">
        <v>627.64779390087</v>
      </c>
      <c r="L27" t="n">
        <v>715.01196915451</v>
      </c>
      <c r="M27" t="n">
        <v>456.890244577397</v>
      </c>
      <c r="N27" t="n">
        <v>467.790577949846</v>
      </c>
      <c r="O27" t="n">
        <v>473.918838796351</v>
      </c>
      <c r="P27" t="n">
        <v>560.747730580321</v>
      </c>
      <c r="Q27" t="n">
        <v>604.907417266915</v>
      </c>
      <c r="R27" t="n">
        <v>740.818277488636</v>
      </c>
      <c r="S27" t="n">
        <v>736.939647763564</v>
      </c>
      <c r="T27" t="n">
        <v>584.678346546696</v>
      </c>
      <c r="U27" t="n">
        <v>578.118481449351</v>
      </c>
      <c r="V27" t="n">
        <v>479.69703540452</v>
      </c>
      <c r="W27" t="n">
        <v>357.900310345049</v>
      </c>
      <c r="X27" t="n">
        <v>359.81843937275</v>
      </c>
      <c r="Y27" t="n">
        <v>405.538698505246</v>
      </c>
      <c r="Z27" t="n">
        <v>365.531439461425</v>
      </c>
      <c r="AA27" t="n">
        <v>558.385060466204</v>
      </c>
      <c r="AB27" t="n">
        <v>812.492352304493</v>
      </c>
      <c r="AC27" t="n">
        <v>1039.00537173484</v>
      </c>
      <c r="AD27" t="n">
        <v>758.31017369727</v>
      </c>
      <c r="AE27" t="n">
        <v>615.3</v>
      </c>
      <c r="AF27" t="n">
        <v>653.3</v>
      </c>
    </row>
    <row r="28">
      <c r="A28" t="s">
        <v>69</v>
      </c>
      <c r="B28" t="s">
        <v>326</v>
      </c>
      <c r="C28" t="s">
        <v>203</v>
      </c>
      <c r="D28" t="s">
        <v>327</v>
      </c>
      <c r="E28" t="s">
        <v>204</v>
      </c>
      <c r="F28" t="n">
        <v>323.199959119739</v>
      </c>
      <c r="G28" t="n">
        <v>105.922675677898</v>
      </c>
      <c r="H28" t="n">
        <v>263.843755779491</v>
      </c>
      <c r="I28" t="n">
        <v>356.559422137628</v>
      </c>
      <c r="J28" t="n">
        <v>920.466794608406</v>
      </c>
      <c r="K28" t="n">
        <v>322.377259286172</v>
      </c>
      <c r="L28" t="n">
        <v>236.899905594217</v>
      </c>
      <c r="M28" t="n">
        <v>839.187801172736</v>
      </c>
      <c r="N28" t="n">
        <v>606.191492265772</v>
      </c>
      <c r="O28" t="n">
        <v>920.983731792421</v>
      </c>
      <c r="P28" t="n">
        <v>1399.90938431424</v>
      </c>
      <c r="Q28" t="n">
        <v>1374.05606463128</v>
      </c>
      <c r="R28" t="n">
        <v>1499.81562710479</v>
      </c>
      <c r="S28" t="n">
        <v>1307.26213436155</v>
      </c>
      <c r="T28" t="n">
        <v>955.063183944363</v>
      </c>
      <c r="U28" t="n">
        <v>1139.74254330571</v>
      </c>
      <c r="V28" t="n">
        <v>897.324720867803</v>
      </c>
      <c r="W28" t="n">
        <v>485.531399183333</v>
      </c>
      <c r="X28" t="n">
        <v>478.096878347781</v>
      </c>
      <c r="Y28" t="n">
        <v>1050.20284401774</v>
      </c>
      <c r="Z28" t="n">
        <v>2152.89275899639</v>
      </c>
      <c r="AA28" t="n">
        <v>2063.24499401629</v>
      </c>
      <c r="AB28" t="n">
        <v>1262.24535876374</v>
      </c>
      <c r="AC28" t="n">
        <v>1460.10909601498</v>
      </c>
      <c r="AD28" t="n">
        <v>1327.99901030539</v>
      </c>
      <c r="AE28" t="n">
        <v>3232.7</v>
      </c>
      <c r="AF28" t="n">
        <v>1574.8</v>
      </c>
    </row>
    <row r="29">
      <c r="A29" t="s">
        <v>69</v>
      </c>
      <c r="B29" t="s">
        <v>328</v>
      </c>
      <c r="C29" t="s">
        <v>203</v>
      </c>
      <c r="D29" t="s">
        <v>329</v>
      </c>
      <c r="E29" t="s">
        <v>204</v>
      </c>
      <c r="F29" t="n">
        <v>116.714989271683</v>
      </c>
      <c r="G29" t="n">
        <v>38.9049964238944</v>
      </c>
      <c r="H29" t="n">
        <v>96.3361816210718</v>
      </c>
      <c r="I29" t="n">
        <v>130.829955091532</v>
      </c>
      <c r="J29" t="n">
        <v>682.584124671694</v>
      </c>
      <c r="K29" t="n">
        <v>215.761519496611</v>
      </c>
      <c r="L29" t="n">
        <v>121.555785631894</v>
      </c>
      <c r="M29" t="n">
        <v>383.927316950959</v>
      </c>
      <c r="N29" t="n">
        <v>280.123382741783</v>
      </c>
      <c r="O29" t="n">
        <v>440.647722818628</v>
      </c>
      <c r="P29" t="n">
        <v>830.458386706286</v>
      </c>
      <c r="Q29" t="n">
        <v>857.247366922617</v>
      </c>
      <c r="R29" t="n">
        <v>1042.29393614804</v>
      </c>
      <c r="S29" t="n">
        <v>851.039330352962</v>
      </c>
      <c r="T29" t="n">
        <v>522.370300917693</v>
      </c>
      <c r="U29" t="n">
        <v>854.193591202272</v>
      </c>
      <c r="V29" t="n">
        <v>641.031124241102</v>
      </c>
      <c r="W29" t="n">
        <v>339.611134826074</v>
      </c>
      <c r="X29" t="n">
        <v>333.579789535447</v>
      </c>
      <c r="Y29" t="n">
        <v>735.321393650893</v>
      </c>
      <c r="Z29" t="n">
        <v>1291.91964812422</v>
      </c>
      <c r="AA29" t="n">
        <v>1455.53465964149</v>
      </c>
      <c r="AB29" t="n">
        <v>876.351275032751</v>
      </c>
      <c r="AC29" t="n">
        <v>996.159001879008</v>
      </c>
      <c r="AD29" t="n">
        <v>820.076637824475</v>
      </c>
      <c r="AE29" t="n">
        <v>2464.8</v>
      </c>
      <c r="AF29" t="n">
        <v>849.9</v>
      </c>
    </row>
    <row r="30">
      <c r="A30" t="s">
        <v>69</v>
      </c>
      <c r="B30" t="s">
        <v>330</v>
      </c>
      <c r="C30" t="s">
        <v>203</v>
      </c>
      <c r="D30" t="s">
        <v>331</v>
      </c>
      <c r="E30" t="s">
        <v>204</v>
      </c>
      <c r="F30" t="n">
        <v>37.0978995254074</v>
      </c>
      <c r="G30" t="n">
        <v>13.2492498305026</v>
      </c>
      <c r="H30" t="n">
        <v>30.2839996125775</v>
      </c>
      <c r="I30" t="n">
        <v>42.2510639756121</v>
      </c>
      <c r="J30" t="n">
        <v>21.4505401722339</v>
      </c>
      <c r="K30" t="n">
        <v>0.193248109659764</v>
      </c>
      <c r="L30" t="n">
        <v>5.02445085115387</v>
      </c>
      <c r="M30" t="n">
        <v>21.1373449600266</v>
      </c>
      <c r="N30" t="n">
        <v>60.570038919068</v>
      </c>
      <c r="O30" t="n">
        <v>61.299798424117</v>
      </c>
      <c r="P30" t="n">
        <v>91.5973999440828</v>
      </c>
      <c r="Q30" t="n">
        <v>133.493254179376</v>
      </c>
      <c r="R30" t="n">
        <v>123.926482931681</v>
      </c>
      <c r="S30" t="n">
        <v>7.89797979286497</v>
      </c>
      <c r="T30" t="n">
        <v>36.5939730402744</v>
      </c>
      <c r="U30" t="n">
        <v>4.65073904859674</v>
      </c>
      <c r="V30" t="n">
        <v>11.7560348172862</v>
      </c>
      <c r="W30" t="n">
        <v>8.5171272655849</v>
      </c>
      <c r="X30" t="n">
        <v>8.40203095118511</v>
      </c>
      <c r="Y30" t="n">
        <v>0.920770515198368</v>
      </c>
      <c r="Z30" t="n">
        <v>5.98500834878939</v>
      </c>
      <c r="AA30" t="n">
        <v>9.66809040958286</v>
      </c>
      <c r="AB30" t="n">
        <v>20.0186342598422</v>
      </c>
      <c r="AC30" t="n">
        <v>21.9251708560176</v>
      </c>
      <c r="AD30" t="n">
        <v>10.2247191011236</v>
      </c>
      <c r="AE30" t="n">
        <v>-9.1</v>
      </c>
      <c r="AF30" t="n">
        <v>9.5</v>
      </c>
    </row>
    <row r="31">
      <c r="A31" t="s">
        <v>69</v>
      </c>
      <c r="B31" t="s">
        <v>332</v>
      </c>
      <c r="C31" t="s">
        <v>203</v>
      </c>
      <c r="D31" t="s">
        <v>333</v>
      </c>
      <c r="E31" t="s">
        <v>204</v>
      </c>
      <c r="F31" t="n">
        <v>14.4384931932808</v>
      </c>
      <c r="G31" t="n">
        <v>4.81283106442694</v>
      </c>
      <c r="H31" t="n">
        <v>11.2299391503295</v>
      </c>
      <c r="I31" t="n">
        <v>16.0427702147565</v>
      </c>
      <c r="J31" t="n">
        <v>24.5269275398681</v>
      </c>
      <c r="K31" t="n">
        <v>0.549110318056748</v>
      </c>
      <c r="L31" t="n">
        <v>2.56251481759816</v>
      </c>
      <c r="M31" t="n">
        <v>16.8393830870736</v>
      </c>
      <c r="N31" t="n">
        <v>45.4663343350987</v>
      </c>
      <c r="O31" t="n">
        <v>77.6395454959525</v>
      </c>
      <c r="P31" t="n">
        <v>55.4038761415031</v>
      </c>
      <c r="Q31" t="n">
        <v>96.9149374197289</v>
      </c>
      <c r="R31" t="n">
        <v>114.099534949425</v>
      </c>
      <c r="S31" t="n">
        <v>42.2590870183056</v>
      </c>
      <c r="T31" t="n">
        <v>84.7934775351019</v>
      </c>
      <c r="U31" t="n">
        <v>29.5492421713234</v>
      </c>
      <c r="V31" t="n">
        <v>34.1663112605927</v>
      </c>
      <c r="W31" t="n">
        <v>34.0447229642916</v>
      </c>
      <c r="X31" t="n">
        <v>34.4030884691789</v>
      </c>
      <c r="Y31" t="n">
        <v>-138.220182294899</v>
      </c>
      <c r="Z31" t="n">
        <v>124.113556707058</v>
      </c>
      <c r="AA31" t="n">
        <v>41.0215699163234</v>
      </c>
      <c r="AB31" t="n">
        <v>-22.1958069518917</v>
      </c>
      <c r="AC31" t="n">
        <v>38.1423090338333</v>
      </c>
      <c r="AD31" t="n">
        <v>57.3702127659575</v>
      </c>
      <c r="AE31" t="n">
        <v>214</v>
      </c>
      <c r="AF31" t="n">
        <v>128</v>
      </c>
    </row>
    <row r="32">
      <c r="A32" t="s">
        <v>69</v>
      </c>
      <c r="B32" t="s">
        <v>334</v>
      </c>
      <c r="C32" t="s">
        <v>203</v>
      </c>
      <c r="D32" t="s">
        <v>335</v>
      </c>
      <c r="E32" t="s">
        <v>204</v>
      </c>
      <c r="F32" t="n">
        <v>153.421705698395</v>
      </c>
      <c r="G32" t="n">
        <v>50.157096093706</v>
      </c>
      <c r="H32" t="n">
        <v>125.392740234265</v>
      </c>
      <c r="I32" t="n">
        <v>166.455417805486</v>
      </c>
      <c r="J32" t="n">
        <v>169.948710938865</v>
      </c>
      <c r="K32" t="n">
        <v>101.599772843886</v>
      </c>
      <c r="L32" t="n">
        <v>105.982508143034</v>
      </c>
      <c r="M32" t="n">
        <v>412.627702158283</v>
      </c>
      <c r="N32" t="n">
        <v>212.234557622251</v>
      </c>
      <c r="O32" t="n">
        <v>337.291641105901</v>
      </c>
      <c r="P32" t="n">
        <v>415.154675722789</v>
      </c>
      <c r="Q32" t="n">
        <v>270.053587029609</v>
      </c>
      <c r="R32" t="n">
        <v>203.879598143534</v>
      </c>
      <c r="S32" t="n">
        <v>379.582876335027</v>
      </c>
      <c r="T32" t="n">
        <v>285.89756183142</v>
      </c>
      <c r="U32" t="n">
        <v>247.936059845506</v>
      </c>
      <c r="V32" t="n">
        <v>197.725712298252</v>
      </c>
      <c r="W32" t="n">
        <v>93.8686360910762</v>
      </c>
      <c r="X32" t="n">
        <v>92.8782284418152</v>
      </c>
      <c r="Y32" t="n">
        <v>415.980556158035</v>
      </c>
      <c r="Z32" t="n">
        <v>701.249836566439</v>
      </c>
      <c r="AA32" t="n">
        <v>529.25738242474</v>
      </c>
      <c r="AB32" t="n">
        <v>379.14699927461</v>
      </c>
      <c r="AC32" t="n">
        <v>364.024021368607</v>
      </c>
      <c r="AD32" t="n">
        <v>400.75943576058</v>
      </c>
      <c r="AE32" t="n">
        <v>533.6</v>
      </c>
      <c r="AF32" t="n">
        <v>537.2</v>
      </c>
    </row>
    <row r="33">
      <c r="A33" t="s">
        <v>69</v>
      </c>
      <c r="B33" t="s">
        <v>336</v>
      </c>
      <c r="C33" t="s">
        <v>203</v>
      </c>
      <c r="D33" t="s">
        <v>337</v>
      </c>
      <c r="E33" t="s">
        <v>204</v>
      </c>
      <c r="F33" t="n">
        <v>4.49077767531367</v>
      </c>
      <c r="G33" t="n">
        <v>2.24538883765683</v>
      </c>
      <c r="H33" t="n">
        <v>4.49077767531367</v>
      </c>
      <c r="I33" t="n">
        <v>5.77385701111758</v>
      </c>
      <c r="J33" t="n">
        <v>10.3531229164867</v>
      </c>
      <c r="K33" t="n">
        <v>3.68111037030638</v>
      </c>
      <c r="L33" t="n">
        <v>2.8149667537637</v>
      </c>
      <c r="M33" t="n">
        <v>8.84703836897163</v>
      </c>
      <c r="N33" t="n">
        <v>11.1102342308016</v>
      </c>
      <c r="O33" t="n">
        <v>8.80433656025786</v>
      </c>
      <c r="P33" t="n">
        <v>17.1991690944572</v>
      </c>
      <c r="Q33" t="n">
        <v>34.0284635847326</v>
      </c>
      <c r="R33" t="n">
        <v>39.1583827181093</v>
      </c>
      <c r="S33" t="n">
        <v>26.5266463574289</v>
      </c>
      <c r="T33" t="n">
        <v>26.9568081902521</v>
      </c>
      <c r="U33" t="n">
        <v>8.25208413987308</v>
      </c>
      <c r="V33" t="n">
        <v>17.6423867817976</v>
      </c>
      <c r="W33" t="n">
        <v>13.4990989769815</v>
      </c>
      <c r="X33" t="n">
        <v>12.7277218925826</v>
      </c>
      <c r="Y33" t="n">
        <v>22.3038174117637</v>
      </c>
      <c r="Z33" t="n">
        <v>30.5599266194332</v>
      </c>
      <c r="AA33" t="n">
        <v>35.5123257949145</v>
      </c>
      <c r="AB33" t="n">
        <v>8.87808144872862</v>
      </c>
      <c r="AC33" t="n">
        <v>41.3561262421789</v>
      </c>
      <c r="AD33" t="n">
        <v>40.3993006993007</v>
      </c>
      <c r="AE33" t="n">
        <v>29.4</v>
      </c>
      <c r="AF33" t="n">
        <v>50.2</v>
      </c>
    </row>
    <row r="34">
      <c r="A34" t="s">
        <v>69</v>
      </c>
      <c r="B34" t="s">
        <v>338</v>
      </c>
      <c r="C34" t="s">
        <v>203</v>
      </c>
      <c r="D34" t="s">
        <v>339</v>
      </c>
      <c r="E34" t="s">
        <v>204</v>
      </c>
      <c r="F34" t="n">
        <v>170.094493833302</v>
      </c>
      <c r="G34" t="n">
        <v>54.4302380266566</v>
      </c>
      <c r="H34" t="n">
        <v>134.892329022584</v>
      </c>
      <c r="I34" t="n">
        <v>166.964631027953</v>
      </c>
      <c r="J34" t="n">
        <v>187.371419264703</v>
      </c>
      <c r="K34" t="n">
        <v>214.471466344796</v>
      </c>
      <c r="L34" t="n">
        <v>346.635746707571</v>
      </c>
      <c r="M34" t="n">
        <v>522.804912924991</v>
      </c>
      <c r="N34" t="n">
        <v>503.977594226024</v>
      </c>
      <c r="O34" t="n">
        <v>599.694269098409</v>
      </c>
      <c r="P34" t="n">
        <v>739.227094086652</v>
      </c>
      <c r="Q34" t="n">
        <v>532.116054795133</v>
      </c>
      <c r="R34" t="n">
        <v>614.875861391517</v>
      </c>
      <c r="S34" t="n">
        <v>787.863220724506</v>
      </c>
      <c r="T34" t="n">
        <v>536.251513825361</v>
      </c>
      <c r="U34" t="n">
        <v>660.481629537099</v>
      </c>
      <c r="V34" t="n">
        <v>452.165030902753</v>
      </c>
      <c r="W34" t="n">
        <v>511.580655773321</v>
      </c>
      <c r="X34" t="n">
        <v>515.381580079043</v>
      </c>
      <c r="Y34" t="n">
        <v>352.877135236705</v>
      </c>
      <c r="Z34" t="n">
        <v>542.93509159333</v>
      </c>
      <c r="AA34" t="n">
        <v>449.020079013544</v>
      </c>
      <c r="AB34" t="n">
        <v>750.166321237474</v>
      </c>
      <c r="AC34" t="n">
        <v>737.88329149211</v>
      </c>
      <c r="AD34" t="n">
        <v>597.819163685152</v>
      </c>
      <c r="AE34" t="n">
        <v>454.9</v>
      </c>
      <c r="AF34" t="n">
        <v>358.3</v>
      </c>
    </row>
    <row r="35">
      <c r="A35" t="s">
        <v>69</v>
      </c>
      <c r="B35" t="s">
        <v>340</v>
      </c>
      <c r="C35" t="s">
        <v>203</v>
      </c>
      <c r="D35" t="s">
        <v>341</v>
      </c>
      <c r="E35" t="s">
        <v>204</v>
      </c>
      <c r="F35" t="n">
        <v>216.126004024917</v>
      </c>
      <c r="G35" t="n">
        <v>69.1603212879733</v>
      </c>
      <c r="H35" t="n">
        <v>174.934930316638</v>
      </c>
      <c r="I35" t="n">
        <v>240.937986847149</v>
      </c>
      <c r="J35" t="n">
        <v>275.156119679028</v>
      </c>
      <c r="K35" t="n">
        <v>341.078940018796</v>
      </c>
      <c r="L35" t="n">
        <v>397.523688043107</v>
      </c>
      <c r="M35" t="n">
        <v>841.200389079275</v>
      </c>
      <c r="N35" t="n">
        <v>1275.49100586433</v>
      </c>
      <c r="O35" t="n">
        <v>1318.78643502103</v>
      </c>
      <c r="P35" t="n">
        <v>1700.05132875112</v>
      </c>
      <c r="Q35" t="n">
        <v>1683.59374602768</v>
      </c>
      <c r="R35" t="n">
        <v>1675.53373654234</v>
      </c>
      <c r="S35" t="n">
        <v>1655.30657251561</v>
      </c>
      <c r="T35" t="n">
        <v>1092.3594020553</v>
      </c>
      <c r="U35" t="n">
        <v>1266.17971133757</v>
      </c>
      <c r="V35" t="n">
        <v>1204.87907633917</v>
      </c>
      <c r="W35" t="n">
        <v>1046.26082911978</v>
      </c>
      <c r="X35" t="n">
        <v>965.713611783627</v>
      </c>
      <c r="Y35" t="n">
        <v>418.319308324156</v>
      </c>
      <c r="Z35" t="n">
        <v>-254.337229081743</v>
      </c>
      <c r="AA35" t="n">
        <v>665.382688099951</v>
      </c>
      <c r="AB35" t="n">
        <v>1288.94983192365</v>
      </c>
      <c r="AC35" t="n">
        <v>1244.20850700847</v>
      </c>
      <c r="AD35" t="n">
        <v>2107.13426498827</v>
      </c>
      <c r="AE35" t="n">
        <v>977.4</v>
      </c>
      <c r="AF35" t="n">
        <v>1793.3</v>
      </c>
    </row>
    <row r="36">
      <c r="A36" t="s">
        <v>69</v>
      </c>
      <c r="B36" t="s">
        <v>342</v>
      </c>
      <c r="C36" t="s">
        <v>203</v>
      </c>
      <c r="D36" t="s">
        <v>343</v>
      </c>
      <c r="E36" t="s">
        <v>204</v>
      </c>
      <c r="F36" t="n">
        <v>135.663742829049</v>
      </c>
      <c r="G36" t="n">
        <v>43.4123977052956</v>
      </c>
      <c r="H36" t="n">
        <v>109.474742039441</v>
      </c>
      <c r="I36" t="n">
        <v>151.310627441241</v>
      </c>
      <c r="J36" t="n">
        <v>236.805266115691</v>
      </c>
      <c r="K36" t="n">
        <v>263.479441148172</v>
      </c>
      <c r="L36" t="n">
        <v>289.111203663302</v>
      </c>
      <c r="M36" t="n">
        <v>737.848889299864</v>
      </c>
      <c r="N36" t="n">
        <v>851.831356944734</v>
      </c>
      <c r="O36" t="n">
        <v>1150.20684707319</v>
      </c>
      <c r="P36" t="n">
        <v>270.77966769078</v>
      </c>
      <c r="Q36" t="n">
        <v>240.335076855827</v>
      </c>
      <c r="R36" t="n">
        <v>278.378066408382</v>
      </c>
      <c r="S36" t="n">
        <v>299.363489876091</v>
      </c>
      <c r="T36" t="n">
        <v>257.612882263838</v>
      </c>
      <c r="U36" t="n">
        <v>352.292191447825</v>
      </c>
      <c r="V36" t="n">
        <v>319.566949173995</v>
      </c>
      <c r="W36" t="n">
        <v>214.751848438581</v>
      </c>
      <c r="X36" t="n">
        <v>202.249972604561</v>
      </c>
      <c r="Y36" t="n">
        <v>216.084661284352</v>
      </c>
      <c r="Z36" t="n">
        <v>204.470808688191</v>
      </c>
      <c r="AA36" t="n">
        <v>208.377183308325</v>
      </c>
      <c r="AB36" t="n">
        <v>283.164917017161</v>
      </c>
      <c r="AC36" t="n">
        <v>209.988684633323</v>
      </c>
      <c r="AD36" t="n">
        <v>227.102762430939</v>
      </c>
      <c r="AE36" t="n">
        <v>202.4</v>
      </c>
      <c r="AF36" t="n">
        <v>217.1</v>
      </c>
    </row>
    <row r="37">
      <c r="A37" t="s">
        <v>69</v>
      </c>
      <c r="B37" t="s">
        <v>344</v>
      </c>
      <c r="C37" t="s">
        <v>203</v>
      </c>
      <c r="D37" t="s">
        <v>345</v>
      </c>
      <c r="E37" t="s">
        <v>204</v>
      </c>
      <c r="F37" t="n">
        <v>18.9903943345656</v>
      </c>
      <c r="G37" t="n">
        <v>5.42582695273303</v>
      </c>
      <c r="H37" t="n">
        <v>14.4688718739548</v>
      </c>
      <c r="I37" t="n">
        <v>19.8640444371243</v>
      </c>
      <c r="J37" t="n">
        <v>7.68930752404812</v>
      </c>
      <c r="K37" t="n">
        <v>32.445126869764</v>
      </c>
      <c r="L37" t="n">
        <v>23.6958791745468</v>
      </c>
      <c r="M37" t="n">
        <v>19.746565978789</v>
      </c>
      <c r="N37" t="n">
        <v>30.5481063432547</v>
      </c>
      <c r="O37" t="n">
        <v>34.621187189022</v>
      </c>
      <c r="P37" t="n">
        <v>1144.59255134683</v>
      </c>
      <c r="Q37" t="n">
        <v>1162.99388369054</v>
      </c>
      <c r="R37" t="n">
        <v>1113.13155684822</v>
      </c>
      <c r="S37" t="n">
        <v>972.052762602912</v>
      </c>
      <c r="T37" t="n">
        <v>579.971356370408</v>
      </c>
      <c r="U37" t="n">
        <v>619.593161904624</v>
      </c>
      <c r="V37" t="n">
        <v>602.803889143289</v>
      </c>
      <c r="W37" t="n">
        <v>586.482679306345</v>
      </c>
      <c r="X37" t="n">
        <v>576.800182242325</v>
      </c>
      <c r="Y37" t="n">
        <v>-169.690350355652</v>
      </c>
      <c r="Z37" t="n">
        <v>-731.622775510744</v>
      </c>
      <c r="AA37" t="n">
        <v>-96.6615961235608</v>
      </c>
      <c r="AB37" t="n">
        <v>314.464023752623</v>
      </c>
      <c r="AC37" t="n">
        <v>313.345296630605</v>
      </c>
      <c r="AD37" t="n">
        <v>659.982269979852</v>
      </c>
      <c r="AE37" t="n">
        <v>-145.2</v>
      </c>
      <c r="AF37" t="n">
        <v>582.4</v>
      </c>
    </row>
    <row r="38">
      <c r="A38" t="s">
        <v>69</v>
      </c>
      <c r="B38" t="s">
        <v>346</v>
      </c>
      <c r="C38" t="s">
        <v>203</v>
      </c>
      <c r="D38" t="s">
        <v>347</v>
      </c>
      <c r="E38" t="s">
        <v>204</v>
      </c>
      <c r="F38" t="n">
        <v>80.2250916486041</v>
      </c>
      <c r="G38" t="n">
        <v>26.7416972162014</v>
      </c>
      <c r="H38" t="n">
        <v>70.1969551925286</v>
      </c>
      <c r="I38" t="n">
        <v>95.8458426667218</v>
      </c>
      <c r="J38" t="n">
        <v>23.4485241998096</v>
      </c>
      <c r="K38" t="n">
        <v>40.7800420866254</v>
      </c>
      <c r="L38" t="n">
        <v>105.292731617107</v>
      </c>
      <c r="M38" t="n">
        <v>55.7988428030774</v>
      </c>
      <c r="N38" t="n">
        <v>554.520703336798</v>
      </c>
      <c r="O38" t="n">
        <v>95.9990283681016</v>
      </c>
      <c r="P38" t="n">
        <v>172.313713379968</v>
      </c>
      <c r="Q38" t="n">
        <v>163.50534464489</v>
      </c>
      <c r="R38" t="n">
        <v>178.299900010574</v>
      </c>
      <c r="S38" t="n">
        <v>365.431254238539</v>
      </c>
      <c r="T38" t="n">
        <v>250.8800982615</v>
      </c>
      <c r="U38" t="n">
        <v>297.045378624357</v>
      </c>
      <c r="V38" t="n">
        <v>285.088043467868</v>
      </c>
      <c r="W38" t="n">
        <v>236.566565119612</v>
      </c>
      <c r="X38" t="n">
        <v>147.94980164843</v>
      </c>
      <c r="Y38" t="n">
        <v>385.876772890594</v>
      </c>
      <c r="Z38" t="n">
        <v>322.722766516608</v>
      </c>
      <c r="AA38" t="n">
        <v>561.166879772368</v>
      </c>
      <c r="AB38" t="n">
        <v>658.460397958046</v>
      </c>
      <c r="AC38" t="n">
        <v>690.012089902192</v>
      </c>
      <c r="AD38" t="n">
        <v>1162.38518935978</v>
      </c>
      <c r="AE38" t="n">
        <v>920.2</v>
      </c>
      <c r="AF38" t="n">
        <v>993.8</v>
      </c>
    </row>
    <row r="39">
      <c r="A39" t="s">
        <v>69</v>
      </c>
      <c r="B39" t="s">
        <v>348</v>
      </c>
      <c r="C39" t="s">
        <v>203</v>
      </c>
      <c r="D39" t="s">
        <v>349</v>
      </c>
      <c r="E39" t="s">
        <v>204</v>
      </c>
      <c r="F39" t="n">
        <v>228.119595845147</v>
      </c>
      <c r="G39" t="n">
        <v>72.9982706704469</v>
      </c>
      <c r="H39" t="n">
        <v>181.452844237968</v>
      </c>
      <c r="I39" t="n">
        <v>225.567526552703</v>
      </c>
      <c r="J39" t="n">
        <v>123.650520029986</v>
      </c>
      <c r="K39" t="n">
        <v>419.494422667416</v>
      </c>
      <c r="L39" t="n">
        <v>98.0983317793685</v>
      </c>
      <c r="M39" t="n">
        <v>229.835409285594</v>
      </c>
      <c r="N39" t="n">
        <v>174.724528570236</v>
      </c>
      <c r="O39" t="n">
        <v>239.300462090152</v>
      </c>
      <c r="P39" t="n">
        <v>227.961614169331</v>
      </c>
      <c r="Q39" t="n">
        <v>327.424944192266</v>
      </c>
      <c r="R39" t="n">
        <v>342.702022294553</v>
      </c>
      <c r="S39" t="n">
        <v>219.839142369167</v>
      </c>
      <c r="T39" t="n">
        <v>332.036218300214</v>
      </c>
      <c r="U39" t="n">
        <v>249.830847517727</v>
      </c>
      <c r="V39" t="n">
        <v>372.662418053551</v>
      </c>
      <c r="W39" t="n">
        <v>337.905212056134</v>
      </c>
      <c r="X39" t="n">
        <v>330.049420132743</v>
      </c>
      <c r="Y39" t="n">
        <v>306.123710347875</v>
      </c>
      <c r="Z39" t="n">
        <v>17.7509234819775</v>
      </c>
      <c r="AA39" t="n">
        <v>212.106576128597</v>
      </c>
      <c r="AB39" t="n">
        <v>290.096879359728</v>
      </c>
      <c r="AC39" t="n">
        <v>288.448601636093</v>
      </c>
      <c r="AD39" t="n">
        <v>318.424214454046</v>
      </c>
      <c r="AE39" t="n">
        <v>524.9</v>
      </c>
      <c r="AF39" t="n">
        <v>331</v>
      </c>
    </row>
    <row r="40">
      <c r="A40" t="s">
        <v>69</v>
      </c>
      <c r="B40" t="s">
        <v>350</v>
      </c>
      <c r="C40" t="s">
        <v>203</v>
      </c>
      <c r="D40" t="s">
        <v>351</v>
      </c>
      <c r="E40" t="s">
        <v>204</v>
      </c>
      <c r="F40" t="n">
        <v>85.3778790685554</v>
      </c>
      <c r="G40" t="n">
        <v>26.9614354953333</v>
      </c>
      <c r="H40" t="n">
        <v>65.9057312108147</v>
      </c>
      <c r="I40" t="n">
        <v>65.511086113744</v>
      </c>
      <c r="J40" t="n">
        <v>118.668653131753</v>
      </c>
      <c r="K40" t="n">
        <v>69.5935595015095</v>
      </c>
      <c r="L40" t="n">
        <v>116.925825125207</v>
      </c>
      <c r="M40" t="n">
        <v>230.969675687469</v>
      </c>
      <c r="N40" t="n">
        <v>51.8626425825648</v>
      </c>
      <c r="O40" t="n">
        <v>314.936886827712</v>
      </c>
      <c r="P40" t="n">
        <v>533.042432332277</v>
      </c>
      <c r="Q40" t="n">
        <v>1443.79128016971</v>
      </c>
      <c r="R40" t="n">
        <v>1012.73356055553</v>
      </c>
      <c r="S40" t="n">
        <v>2632.63192694937</v>
      </c>
      <c r="T40" t="n">
        <v>2441.28583738</v>
      </c>
      <c r="U40" t="n">
        <v>1324.20006088889</v>
      </c>
      <c r="V40" t="n">
        <v>1704.18790444831</v>
      </c>
      <c r="W40" t="n">
        <v>1578.61109951861</v>
      </c>
      <c r="X40" t="n">
        <v>1588.50317951559</v>
      </c>
      <c r="Y40" t="n">
        <v>617.724695071778</v>
      </c>
      <c r="Z40" t="n">
        <v>314.148797316653</v>
      </c>
      <c r="AA40" t="n">
        <v>516.615985365529</v>
      </c>
      <c r="AB40" t="n">
        <v>1499.38342322353</v>
      </c>
      <c r="AC40" t="n">
        <v>1687.86635562031</v>
      </c>
      <c r="AD40" t="n">
        <v>1151.46088480801</v>
      </c>
      <c r="AE40" t="n">
        <v>1222.7</v>
      </c>
      <c r="AF40" t="n">
        <v>1227.6</v>
      </c>
    </row>
    <row r="41">
      <c r="A41" t="s">
        <v>69</v>
      </c>
      <c r="B41" t="s">
        <v>352</v>
      </c>
      <c r="C41" t="s">
        <v>203</v>
      </c>
      <c r="D41" t="s">
        <v>353</v>
      </c>
      <c r="E41" t="s">
        <v>204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69</v>
      </c>
      <c r="B42" t="s">
        <v>354</v>
      </c>
      <c r="C42" t="s">
        <v>203</v>
      </c>
      <c r="D42" t="s">
        <v>355</v>
      </c>
      <c r="E42" t="s">
        <v>204</v>
      </c>
      <c r="F42" t="n">
        <v>343.056486017152</v>
      </c>
      <c r="G42" t="n">
        <v>111.26156303259</v>
      </c>
      <c r="H42" t="n">
        <v>277.0631079439</v>
      </c>
      <c r="I42" t="n">
        <v>374.612410532482</v>
      </c>
      <c r="J42" t="n">
        <v>220.447859875973</v>
      </c>
      <c r="K42" t="n">
        <v>835.347569996043</v>
      </c>
      <c r="L42" t="n">
        <v>482.894820711259</v>
      </c>
      <c r="M42" t="n">
        <v>308.550441707663</v>
      </c>
      <c r="N42" t="n">
        <v>244.386431991402</v>
      </c>
      <c r="O42" t="n">
        <v>214.519221475525</v>
      </c>
      <c r="P42" t="n">
        <v>313.009178505168</v>
      </c>
      <c r="Q42" t="n">
        <v>339.268337775736</v>
      </c>
      <c r="R42" t="n">
        <v>500.392431301336</v>
      </c>
      <c r="S42" t="n">
        <v>751.996324801386</v>
      </c>
      <c r="T42" t="n">
        <v>897.104213719263</v>
      </c>
      <c r="U42" t="n">
        <v>415.356820468622</v>
      </c>
      <c r="V42" t="n">
        <v>426.348517149766</v>
      </c>
      <c r="W42" t="n">
        <v>383.628468757083</v>
      </c>
      <c r="X42" t="n">
        <v>367.802604506248</v>
      </c>
      <c r="Y42" t="n">
        <v>815.740972005477</v>
      </c>
      <c r="Z42" t="n">
        <v>769.293087478475</v>
      </c>
      <c r="AA42" t="n">
        <v>635.477972202156</v>
      </c>
      <c r="AB42" t="n">
        <v>989.748599833958</v>
      </c>
      <c r="AC42" t="n">
        <v>924.942301809156</v>
      </c>
      <c r="AD42" t="n">
        <v>833.25050855867</v>
      </c>
      <c r="AE42" t="n">
        <v>834.7</v>
      </c>
      <c r="AF42" t="n">
        <v>820.8</v>
      </c>
    </row>
    <row r="43">
      <c r="A43" t="s">
        <v>69</v>
      </c>
      <c r="B43" t="s">
        <v>356</v>
      </c>
      <c r="C43" t="s">
        <v>203</v>
      </c>
      <c r="D43" t="s">
        <v>357</v>
      </c>
      <c r="E43" t="s">
        <v>204</v>
      </c>
      <c r="F43" t="n">
        <v>466.265405680202</v>
      </c>
      <c r="G43" t="n">
        <v>150.949232054742</v>
      </c>
      <c r="H43" t="n">
        <v>380.96710947149</v>
      </c>
      <c r="I43" t="n">
        <v>510.070867635434</v>
      </c>
      <c r="J43" t="n">
        <v>946.144967907223</v>
      </c>
      <c r="K43" t="n">
        <v>970.274216720943</v>
      </c>
      <c r="L43" t="n">
        <v>618.895335725913</v>
      </c>
      <c r="M43" t="n">
        <v>493.196174826314</v>
      </c>
      <c r="N43" t="n">
        <v>716.476334259279</v>
      </c>
      <c r="O43" t="n">
        <v>1066.62560989481</v>
      </c>
      <c r="P43" t="n">
        <v>733.028163951446</v>
      </c>
      <c r="Q43" t="n">
        <v>1202.0743690686</v>
      </c>
      <c r="R43" t="n">
        <v>1434.62537048117</v>
      </c>
      <c r="S43" t="n">
        <v>1229.60954097523</v>
      </c>
      <c r="T43" t="n">
        <v>1259.24401552391</v>
      </c>
      <c r="U43" t="n">
        <v>779.131849444949</v>
      </c>
      <c r="V43" t="n">
        <v>1124.38863805249</v>
      </c>
      <c r="W43" t="n">
        <v>822.912435598674</v>
      </c>
      <c r="X43" t="n">
        <v>732.637323766987</v>
      </c>
      <c r="Y43" t="n">
        <v>1326.68312867381</v>
      </c>
      <c r="Z43" t="n">
        <v>1578.11994351816</v>
      </c>
      <c r="AA43" t="n">
        <v>1131.00511611207</v>
      </c>
      <c r="AB43" t="n">
        <v>1573.67192864606</v>
      </c>
      <c r="AC43" t="n">
        <v>1323.41352999406</v>
      </c>
      <c r="AD43" t="n">
        <v>1280.58875022608</v>
      </c>
      <c r="AE43" t="n">
        <v>1140.8</v>
      </c>
      <c r="AF43" t="n">
        <v>1190.7</v>
      </c>
    </row>
    <row r="44">
      <c r="A44" t="s">
        <v>69</v>
      </c>
      <c r="B44" t="s">
        <v>358</v>
      </c>
      <c r="C44" t="s">
        <v>203</v>
      </c>
      <c r="D44" t="s">
        <v>359</v>
      </c>
      <c r="E44" t="s">
        <v>204</v>
      </c>
      <c r="F44" t="n">
        <v>4222.08889758814</v>
      </c>
      <c r="G44" t="n">
        <v>1361.04947672418</v>
      </c>
      <c r="H44" t="n">
        <v>3404.61936552999</v>
      </c>
      <c r="I44" t="n">
        <v>4585.26414822483</v>
      </c>
      <c r="J44" t="n">
        <v>5913.22940705125</v>
      </c>
      <c r="K44" t="n">
        <v>7064.72486914619</v>
      </c>
      <c r="L44" t="n">
        <v>9020.39385525915</v>
      </c>
      <c r="M44" t="n">
        <v>9723.3353887884</v>
      </c>
      <c r="N44" t="n">
        <v>11405.3594644433</v>
      </c>
      <c r="O44" t="n">
        <v>13044.8090994762</v>
      </c>
      <c r="P44" t="n">
        <v>16561.1478956761</v>
      </c>
      <c r="Q44" t="n">
        <v>17731.7139751487</v>
      </c>
      <c r="R44" t="n">
        <v>19727.3300437803</v>
      </c>
      <c r="S44" t="n">
        <v>23170.9028124471</v>
      </c>
      <c r="T44" t="n">
        <v>18307.7114853456</v>
      </c>
      <c r="U44" t="n">
        <v>15379.8872020187</v>
      </c>
      <c r="V44" t="n">
        <v>15132.3933165715</v>
      </c>
      <c r="W44" t="n">
        <v>15453.83728276</v>
      </c>
      <c r="X44" t="n">
        <v>15365.1897404805</v>
      </c>
      <c r="Y44" t="n">
        <v>15597.4121199617</v>
      </c>
      <c r="Z44" t="n">
        <v>18555.4374586111</v>
      </c>
      <c r="AA44" t="n">
        <v>17554.0440809461</v>
      </c>
      <c r="AB44" t="n">
        <v>17059.4335458218</v>
      </c>
      <c r="AC44" t="n">
        <v>17484.0136548382</v>
      </c>
      <c r="AD44" t="n">
        <v>17942.4861606732</v>
      </c>
      <c r="AE44" t="n">
        <v>17694.5</v>
      </c>
      <c r="AF44" t="n">
        <v>16681</v>
      </c>
    </row>
    <row r="45">
      <c r="A45" t="s">
        <v>69</v>
      </c>
      <c r="B45" t="s">
        <v>360</v>
      </c>
      <c r="C45" t="s">
        <v>203</v>
      </c>
      <c r="D45" t="s">
        <v>361</v>
      </c>
      <c r="E45" t="s">
        <v>204</v>
      </c>
      <c r="F45" t="n">
        <v>3874.06112292981</v>
      </c>
      <c r="G45" t="n">
        <v>1248.37370527088</v>
      </c>
      <c r="H45" t="n">
        <v>3120.93426317719</v>
      </c>
      <c r="I45" t="n">
        <v>4103.27898671348</v>
      </c>
      <c r="J45" t="n">
        <v>5381.04396161597</v>
      </c>
      <c r="K45" t="n">
        <v>6679.3162785556</v>
      </c>
      <c r="L45" t="n">
        <v>8064.5453646074</v>
      </c>
      <c r="M45" t="n">
        <v>9207.89947792604</v>
      </c>
      <c r="N45" t="n">
        <v>10673.1237142398</v>
      </c>
      <c r="O45" t="n">
        <v>12098.6939931993</v>
      </c>
      <c r="P45" t="n">
        <v>15898.6636839096</v>
      </c>
      <c r="Q45" t="n">
        <v>17109.2600165879</v>
      </c>
      <c r="R45" t="n">
        <v>19060.2256594325</v>
      </c>
      <c r="S45" t="n">
        <v>21774.2616195546</v>
      </c>
      <c r="T45" t="n">
        <v>17461.8796270946</v>
      </c>
      <c r="U45" t="n">
        <v>14435.1488472986</v>
      </c>
      <c r="V45" t="n">
        <v>13850.6932746437</v>
      </c>
      <c r="W45" t="n">
        <v>14223.7287569267</v>
      </c>
      <c r="X45" t="n">
        <v>14133.9346698367</v>
      </c>
      <c r="Y45" t="n">
        <v>14075.4014862681</v>
      </c>
      <c r="Z45" t="n">
        <v>16913.4870009136</v>
      </c>
      <c r="AA45" t="n">
        <v>16378.7228376977</v>
      </c>
      <c r="AB45" t="n">
        <v>15720.272665804</v>
      </c>
      <c r="AC45" t="n">
        <v>16049.7726160069</v>
      </c>
      <c r="AD45" t="n">
        <v>16796.524356365</v>
      </c>
      <c r="AE45" t="n">
        <v>16582.2</v>
      </c>
      <c r="AF45" t="n">
        <v>15538.1</v>
      </c>
    </row>
    <row r="46">
      <c r="A46" t="s">
        <v>69</v>
      </c>
      <c r="B46" t="s">
        <v>362</v>
      </c>
      <c r="C46" t="s">
        <v>203</v>
      </c>
      <c r="D46" t="s">
        <v>363</v>
      </c>
      <c r="E46" t="s">
        <v>204</v>
      </c>
      <c r="F46" t="n">
        <v>106.660054870648</v>
      </c>
      <c r="G46" t="n">
        <v>34.2835890655653</v>
      </c>
      <c r="H46" t="n">
        <v>84.3903730844684</v>
      </c>
      <c r="I46" t="n">
        <v>108.551932183341</v>
      </c>
      <c r="J46" t="n">
        <v>750.171388481304</v>
      </c>
      <c r="K46" t="n">
        <v>68.6672629220091</v>
      </c>
      <c r="L46" t="n">
        <v>101.747842139911</v>
      </c>
      <c r="M46" t="n">
        <v>169.579736899852</v>
      </c>
      <c r="N46" t="n">
        <v>489.098619702681</v>
      </c>
      <c r="O46" t="n">
        <v>907.082009834349</v>
      </c>
      <c r="P46" t="n">
        <v>425.698051292122</v>
      </c>
      <c r="Q46" t="n">
        <v>905.129026866714</v>
      </c>
      <c r="R46" t="n">
        <v>966.640777946919</v>
      </c>
      <c r="S46" t="n">
        <v>444.48921908144</v>
      </c>
      <c r="T46" t="n">
        <v>304.191791317923</v>
      </c>
      <c r="U46" t="n">
        <v>356.171986194292</v>
      </c>
      <c r="V46" t="n">
        <v>722.796676319822</v>
      </c>
      <c r="W46" t="n">
        <v>442.420445737606</v>
      </c>
      <c r="X46" t="n">
        <v>362.228153530304</v>
      </c>
      <c r="Y46" t="n">
        <v>505.025211513501</v>
      </c>
      <c r="Z46" t="n">
        <v>803.427915303004</v>
      </c>
      <c r="AA46" t="n">
        <v>492.39044724064</v>
      </c>
      <c r="AB46" t="n">
        <v>581.319420478495</v>
      </c>
      <c r="AC46" t="n">
        <v>398.033342590499</v>
      </c>
      <c r="AD46" t="n">
        <v>445.970126835781</v>
      </c>
      <c r="AE46" t="n">
        <v>306.1</v>
      </c>
      <c r="AF46" t="n">
        <v>369.9</v>
      </c>
    </row>
    <row r="47">
      <c r="A47" t="s">
        <v>69</v>
      </c>
      <c r="B47" t="s">
        <v>364</v>
      </c>
      <c r="C47" t="s">
        <v>203</v>
      </c>
      <c r="D47" t="s">
        <v>365</v>
      </c>
      <c r="E47" t="s">
        <v>204</v>
      </c>
      <c r="F47" t="n">
        <v>1954.58380555929</v>
      </c>
      <c r="G47" t="n">
        <v>632.464295086311</v>
      </c>
      <c r="H47" t="n">
        <v>1585.91610835553</v>
      </c>
      <c r="I47" t="n">
        <v>2047.5827117807</v>
      </c>
      <c r="J47" t="n">
        <v>2268.15130896637</v>
      </c>
      <c r="K47" t="n">
        <v>2332.96197363201</v>
      </c>
      <c r="L47" t="n">
        <v>2060.75670022829</v>
      </c>
      <c r="M47" t="n">
        <v>1993.78530674126</v>
      </c>
      <c r="N47" t="n">
        <v>1958.59069931232</v>
      </c>
      <c r="O47" t="n">
        <v>1806.02905405596</v>
      </c>
      <c r="P47" t="n">
        <v>2135.88246175877</v>
      </c>
      <c r="Q47" t="n">
        <v>2967.07439072469</v>
      </c>
      <c r="R47" t="n">
        <v>4073.10435333858</v>
      </c>
      <c r="S47" t="n">
        <v>4563.0888848977</v>
      </c>
      <c r="T47" t="n">
        <v>4273.8981722263</v>
      </c>
      <c r="U47" t="n">
        <v>4288.56185030467</v>
      </c>
      <c r="V47" t="n">
        <v>3120.94175307546</v>
      </c>
      <c r="W47" t="n">
        <v>3142.78915451</v>
      </c>
      <c r="X47" t="n">
        <v>3120.79613723827</v>
      </c>
      <c r="Y47" t="n">
        <v>4620.1643193818</v>
      </c>
      <c r="Z47" t="n">
        <v>2016.34397841248</v>
      </c>
      <c r="AA47" t="n">
        <v>826.55512330759</v>
      </c>
      <c r="AB47" t="n">
        <v>1818.85408929907</v>
      </c>
      <c r="AC47" t="n">
        <v>2244.39345110484</v>
      </c>
      <c r="AD47" t="n">
        <v>3274.40818570367</v>
      </c>
      <c r="AE47" t="n">
        <v>3318.5</v>
      </c>
      <c r="AF47" t="n">
        <v>2677.6</v>
      </c>
    </row>
    <row r="48">
      <c r="A48" t="s">
        <v>69</v>
      </c>
      <c r="B48" t="s">
        <v>366</v>
      </c>
      <c r="C48" t="s">
        <v>203</v>
      </c>
      <c r="D48" t="s">
        <v>367</v>
      </c>
      <c r="E48" t="s">
        <v>204</v>
      </c>
      <c r="F48" t="n">
        <v>1807.79701516313</v>
      </c>
      <c r="G48" t="n">
        <v>584.102428162563</v>
      </c>
      <c r="H48" t="n">
        <v>1460.25607040641</v>
      </c>
      <c r="I48" t="n">
        <v>1880.50497491852</v>
      </c>
      <c r="J48" t="n">
        <v>1969.47941876917</v>
      </c>
      <c r="K48" t="n">
        <v>2184.82853150351</v>
      </c>
      <c r="L48" t="n">
        <v>2045.37139119477</v>
      </c>
      <c r="M48" t="n">
        <v>2148.2000094791</v>
      </c>
      <c r="N48" t="n">
        <v>2189.15516838997</v>
      </c>
      <c r="O48" t="n">
        <v>2187.8649363298</v>
      </c>
      <c r="P48" t="n">
        <v>2620.48665233306</v>
      </c>
      <c r="Q48" t="n">
        <v>3117.0448433911</v>
      </c>
      <c r="R48" t="n">
        <v>4406.93722694986</v>
      </c>
      <c r="S48" t="n">
        <v>4878.01018398167</v>
      </c>
      <c r="T48" t="n">
        <v>4482.58189878907</v>
      </c>
      <c r="U48" t="n">
        <v>4057.82909700869</v>
      </c>
      <c r="V48" t="n">
        <v>3047.57566740729</v>
      </c>
      <c r="W48" t="n">
        <v>3207.61210843997</v>
      </c>
      <c r="X48" t="n">
        <v>3401.01573150975</v>
      </c>
      <c r="Y48" t="n">
        <v>4939.28433092052</v>
      </c>
      <c r="Z48" t="n">
        <v>2602.32591077498</v>
      </c>
      <c r="AA48" t="n">
        <v>1944.64718059731</v>
      </c>
      <c r="AB48" t="n">
        <v>2152.60830283568</v>
      </c>
      <c r="AC48" t="n">
        <v>2672.15689686735</v>
      </c>
      <c r="AD48" t="n">
        <v>3749.28705478761</v>
      </c>
      <c r="AE48" t="n">
        <v>4064</v>
      </c>
      <c r="AF48" t="n">
        <v>3158.3</v>
      </c>
    </row>
    <row r="49">
      <c r="A49" t="s">
        <v>69</v>
      </c>
      <c r="B49" t="s">
        <v>368</v>
      </c>
      <c r="C49" t="s">
        <v>203</v>
      </c>
      <c r="D49" t="s">
        <v>369</v>
      </c>
      <c r="E49" t="s">
        <v>204</v>
      </c>
      <c r="F49" t="n">
        <v>93.9785537130458</v>
      </c>
      <c r="G49" t="n">
        <v>29.1657580488763</v>
      </c>
      <c r="H49" t="n">
        <v>74.0361550471475</v>
      </c>
      <c r="I49" t="n">
        <v>90.2592169100682</v>
      </c>
      <c r="J49" t="n">
        <v>5.49105502114484</v>
      </c>
      <c r="K49" t="n">
        <v>131.589211399578</v>
      </c>
      <c r="L49" t="n">
        <v>92.886502164408</v>
      </c>
      <c r="M49" t="n">
        <v>91.5649462393046</v>
      </c>
      <c r="N49" t="n">
        <v>318.88569211766</v>
      </c>
      <c r="O49" t="n">
        <v>332.912921976208</v>
      </c>
      <c r="P49" t="n">
        <v>412.160866326268</v>
      </c>
      <c r="Q49" t="n">
        <v>285.379408620108</v>
      </c>
      <c r="R49" t="n">
        <v>615.204377995418</v>
      </c>
      <c r="S49" t="n">
        <v>601.68340265486</v>
      </c>
      <c r="T49" t="n">
        <v>594.200078489443</v>
      </c>
      <c r="U49" t="n">
        <v>165.280317494632</v>
      </c>
      <c r="V49" t="n">
        <v>178.250479198674</v>
      </c>
      <c r="W49" t="n">
        <v>126.565722437972</v>
      </c>
      <c r="X49" t="n">
        <v>127.117447470396</v>
      </c>
      <c r="Y49" t="n">
        <v>97.6279868972988</v>
      </c>
      <c r="Z49" t="n">
        <v>245.263324475402</v>
      </c>
      <c r="AA49" t="n">
        <v>160.250421141788</v>
      </c>
      <c r="AB49" t="n">
        <v>101.977540726592</v>
      </c>
      <c r="AC49" t="n">
        <v>157.776572444916</v>
      </c>
      <c r="AD49" t="n">
        <v>185.156682423722</v>
      </c>
      <c r="AE49" t="n">
        <v>235.7</v>
      </c>
      <c r="AF49" t="n">
        <v>134.2</v>
      </c>
    </row>
    <row r="50">
      <c r="A50" t="s">
        <v>69</v>
      </c>
      <c r="B50" t="s">
        <v>370</v>
      </c>
      <c r="C50" t="s">
        <v>203</v>
      </c>
      <c r="D50" t="s">
        <v>371</v>
      </c>
      <c r="E50" t="s">
        <v>204</v>
      </c>
      <c r="F50" t="n">
        <v>8.42169358033296</v>
      </c>
      <c r="G50" t="n">
        <v>2.80723119344432</v>
      </c>
      <c r="H50" t="n">
        <v>7.0180779836108</v>
      </c>
      <c r="I50" t="n">
        <v>9.20553086161936</v>
      </c>
      <c r="J50" t="n">
        <v>2.93673377180495</v>
      </c>
      <c r="K50" t="n">
        <v>12.3342818415808</v>
      </c>
      <c r="L50" t="n">
        <v>45.8972878089102</v>
      </c>
      <c r="M50" t="n">
        <v>86.9069334069324</v>
      </c>
      <c r="N50" t="n">
        <v>48.385016457821</v>
      </c>
      <c r="O50" t="n">
        <v>77.0864406007291</v>
      </c>
      <c r="P50" t="n">
        <v>94.862081013226</v>
      </c>
      <c r="Q50" t="n">
        <v>70.8186964246203</v>
      </c>
      <c r="R50" t="n">
        <v>74.4608008121722</v>
      </c>
      <c r="S50" t="n">
        <v>90.8394864470087</v>
      </c>
      <c r="T50" t="n">
        <v>55.6579888233953</v>
      </c>
      <c r="U50" t="n">
        <v>57.7042384124907</v>
      </c>
      <c r="V50" t="n">
        <v>50.7690602982006</v>
      </c>
      <c r="W50" t="n">
        <v>97.4545222680677</v>
      </c>
      <c r="X50" t="n">
        <v>194.638787957466</v>
      </c>
      <c r="Y50" t="n">
        <v>294.024180244128</v>
      </c>
      <c r="Z50" t="n">
        <v>315.152328636389</v>
      </c>
      <c r="AA50" t="n">
        <v>833.335484375066</v>
      </c>
      <c r="AB50" t="n">
        <v>231.631711881886</v>
      </c>
      <c r="AC50" t="n">
        <v>269.196471003892</v>
      </c>
      <c r="AD50" t="n">
        <v>292.718492742096</v>
      </c>
      <c r="AE50" t="n">
        <v>509.9</v>
      </c>
      <c r="AF50" t="n">
        <v>346.6</v>
      </c>
    </row>
    <row r="51">
      <c r="A51" t="s">
        <v>69</v>
      </c>
      <c r="B51" t="s">
        <v>372</v>
      </c>
      <c r="C51" t="s">
        <v>203</v>
      </c>
      <c r="D51" t="s">
        <v>373</v>
      </c>
      <c r="E51" t="s">
        <v>204</v>
      </c>
      <c r="F51" t="n">
        <v>6.02162186553206</v>
      </c>
      <c r="G51" t="n">
        <v>2.00720728851069</v>
      </c>
      <c r="H51" t="n">
        <v>4.68348367319161</v>
      </c>
      <c r="I51" t="n">
        <v>6.39475655378085</v>
      </c>
      <c r="J51" t="n">
        <v>2.73230507297909</v>
      </c>
      <c r="K51" t="n">
        <v>12.1977905043709</v>
      </c>
      <c r="L51" t="n">
        <v>45.5580127271685</v>
      </c>
      <c r="M51" t="n">
        <v>84.9394549214998</v>
      </c>
      <c r="N51" t="n">
        <v>44.9542877878687</v>
      </c>
      <c r="O51" t="n">
        <v>76.5499484744741</v>
      </c>
      <c r="P51" t="n">
        <v>92.8157164492908</v>
      </c>
      <c r="Q51" t="n">
        <v>69.1661292874356</v>
      </c>
      <c r="R51" t="n">
        <v>72.3567195567924</v>
      </c>
      <c r="S51" t="n">
        <v>89.0131760735714</v>
      </c>
      <c r="T51" t="n">
        <v>53.9279138892462</v>
      </c>
      <c r="U51" t="n">
        <v>47.9035867575279</v>
      </c>
      <c r="V51" t="n">
        <v>49.7937406123256</v>
      </c>
      <c r="W51" t="n">
        <v>95.9051626583975</v>
      </c>
      <c r="X51" t="n">
        <v>191.487412311211</v>
      </c>
      <c r="Y51" t="n">
        <v>288.259456746611</v>
      </c>
      <c r="Z51" t="n">
        <v>274.601003312687</v>
      </c>
      <c r="AA51" t="n">
        <v>819.154252795366</v>
      </c>
      <c r="AB51" t="n">
        <v>228.170676116959</v>
      </c>
      <c r="AC51" t="n">
        <v>265.282774039597</v>
      </c>
      <c r="AD51" t="n">
        <v>282.522497441146</v>
      </c>
      <c r="AE51" t="n">
        <v>495.2</v>
      </c>
      <c r="AF51" t="n">
        <v>341.7</v>
      </c>
    </row>
    <row r="52">
      <c r="A52" t="s">
        <v>69</v>
      </c>
      <c r="B52" t="s">
        <v>374</v>
      </c>
      <c r="C52" t="s">
        <v>203</v>
      </c>
      <c r="D52" t="s">
        <v>375</v>
      </c>
      <c r="E52" t="s">
        <v>204</v>
      </c>
      <c r="F52" t="n">
        <v>2.34585847739639</v>
      </c>
      <c r="G52" t="n">
        <v>0.781952825798797</v>
      </c>
      <c r="H52" t="n">
        <v>2.34585847739639</v>
      </c>
      <c r="I52" t="n">
        <v>2.81503017287567</v>
      </c>
      <c r="J52" t="n">
        <v>0.265568884233554</v>
      </c>
      <c r="K52" t="n">
        <v>0.132784442116777</v>
      </c>
      <c r="L52" t="n">
        <v>0.265568884233554</v>
      </c>
      <c r="M52" t="n">
        <v>2.01832352017501</v>
      </c>
      <c r="N52" t="n">
        <v>3.72613572955386</v>
      </c>
      <c r="O52" t="n">
        <v>0.262403924616469</v>
      </c>
      <c r="P52" t="n">
        <v>1.70562551000705</v>
      </c>
      <c r="Q52" t="n">
        <v>1.39551178091486</v>
      </c>
      <c r="R52" t="n">
        <v>1.82490002119635</v>
      </c>
      <c r="S52" t="n">
        <v>1.49310001734247</v>
      </c>
      <c r="T52" t="n">
        <v>1.52357144626783</v>
      </c>
      <c r="U52" t="n">
        <v>9.79865557599701</v>
      </c>
      <c r="V52" t="n">
        <v>0.814042155544367</v>
      </c>
      <c r="W52" t="n">
        <v>1.22106323331655</v>
      </c>
      <c r="X52" t="n">
        <v>2.50027233488627</v>
      </c>
      <c r="Y52" t="n">
        <v>4.881484082397</v>
      </c>
      <c r="Z52" t="n">
        <v>42.3855691056911</v>
      </c>
      <c r="AA52" t="n">
        <v>14.0145833333333</v>
      </c>
      <c r="AB52" t="n">
        <v>3.390625</v>
      </c>
      <c r="AC52" t="n">
        <v>3.828125</v>
      </c>
      <c r="AD52" t="n">
        <v>10.2083333333333</v>
      </c>
      <c r="AE52" t="n">
        <v>14.7</v>
      </c>
      <c r="AF52" t="n">
        <v>4.9</v>
      </c>
    </row>
    <row r="53">
      <c r="A53" t="s">
        <v>69</v>
      </c>
      <c r="B53" t="s">
        <v>376</v>
      </c>
      <c r="C53" t="s">
        <v>203</v>
      </c>
      <c r="D53" t="s">
        <v>377</v>
      </c>
      <c r="E53" t="s">
        <v>204</v>
      </c>
      <c r="F53" t="n">
        <v>20.546618712157</v>
      </c>
      <c r="G53" t="n">
        <v>5.13665467803926</v>
      </c>
      <c r="H53" t="n">
        <v>10.2733093560785</v>
      </c>
      <c r="I53" t="n">
        <v>13.386433403375</v>
      </c>
      <c r="J53" t="n">
        <v>24.2136957149284</v>
      </c>
      <c r="K53" t="n">
        <v>39.6835568661326</v>
      </c>
      <c r="L53" t="n">
        <v>39.2326073562902</v>
      </c>
      <c r="M53" t="n">
        <v>87.913905489488</v>
      </c>
      <c r="N53" t="n">
        <v>73.0202556183276</v>
      </c>
      <c r="O53" t="n">
        <v>121.354686183868</v>
      </c>
      <c r="P53" t="n">
        <v>79.9165006576694</v>
      </c>
      <c r="Q53" t="n">
        <v>106.080700204835</v>
      </c>
      <c r="R53" t="n">
        <v>256.965671303638</v>
      </c>
      <c r="S53" t="n">
        <v>200.630323788301</v>
      </c>
      <c r="T53" t="n">
        <v>127.673842410737</v>
      </c>
      <c r="U53" t="n">
        <v>205.194780571923</v>
      </c>
      <c r="V53" t="n">
        <v>91.7698664719991</v>
      </c>
      <c r="W53" t="n">
        <v>215.929097581174</v>
      </c>
      <c r="X53" t="n">
        <v>211.600897406941</v>
      </c>
      <c r="Y53" t="n">
        <v>141.737137425097</v>
      </c>
      <c r="Z53" t="n">
        <v>510.325825589088</v>
      </c>
      <c r="AA53" t="n">
        <v>258.059857762693</v>
      </c>
      <c r="AB53" t="n">
        <v>179.429538686006</v>
      </c>
      <c r="AC53" t="n">
        <v>169.670700982441</v>
      </c>
      <c r="AD53" t="n">
        <v>188.676367738297</v>
      </c>
      <c r="AE53" t="n">
        <v>182.6</v>
      </c>
      <c r="AF53" t="n">
        <v>148.5</v>
      </c>
    </row>
    <row r="54">
      <c r="A54" t="s">
        <v>69</v>
      </c>
      <c r="B54" t="s">
        <v>378</v>
      </c>
      <c r="C54" t="s">
        <v>203</v>
      </c>
      <c r="D54" t="s">
        <v>379</v>
      </c>
      <c r="E54" t="s">
        <v>204</v>
      </c>
      <c r="F54" t="n">
        <v>21.1232335608772</v>
      </c>
      <c r="G54" t="n">
        <v>5.28080839021931</v>
      </c>
      <c r="H54" t="n">
        <v>10.5616167804386</v>
      </c>
      <c r="I54" t="n">
        <v>13.6679746570382</v>
      </c>
      <c r="J54" t="n">
        <v>24.6408557197309</v>
      </c>
      <c r="K54" t="n">
        <v>59.7486236035952</v>
      </c>
      <c r="L54" t="n">
        <v>69.6699817665538</v>
      </c>
      <c r="M54" t="n">
        <v>106.554089760612</v>
      </c>
      <c r="N54" t="n">
        <v>72.6131152229651</v>
      </c>
      <c r="O54" t="n">
        <v>128.406243303887</v>
      </c>
      <c r="P54" t="n">
        <v>98.009621216776</v>
      </c>
      <c r="Q54" t="n">
        <v>128.450670535451</v>
      </c>
      <c r="R54" t="n">
        <v>281.32162064038</v>
      </c>
      <c r="S54" t="n">
        <v>209.640813305442</v>
      </c>
      <c r="T54" t="n">
        <v>138.650626843053</v>
      </c>
      <c r="U54" t="n">
        <v>291.023911431543</v>
      </c>
      <c r="V54" t="n">
        <v>109.362348780104</v>
      </c>
      <c r="W54" t="n">
        <v>279.982226999399</v>
      </c>
      <c r="X54" t="n">
        <v>275.329774143422</v>
      </c>
      <c r="Y54" t="n">
        <v>235.86230544935</v>
      </c>
      <c r="Z54" t="n">
        <v>596.184202245514</v>
      </c>
      <c r="AA54" t="n">
        <v>322.027347411512</v>
      </c>
      <c r="AB54" t="n">
        <v>260.271834634206</v>
      </c>
      <c r="AC54" t="n">
        <v>275.274694444461</v>
      </c>
      <c r="AD54" t="n">
        <v>289.080909829407</v>
      </c>
      <c r="AE54" t="n">
        <v>253.1</v>
      </c>
      <c r="AF54" t="n">
        <v>247.8</v>
      </c>
    </row>
    <row r="55">
      <c r="A55" t="s">
        <v>69</v>
      </c>
      <c r="B55" t="s">
        <v>380</v>
      </c>
      <c r="C55" t="s">
        <v>203</v>
      </c>
      <c r="D55" t="s">
        <v>381</v>
      </c>
      <c r="E55" t="s">
        <v>204</v>
      </c>
      <c r="F55" t="n">
        <v>0</v>
      </c>
      <c r="G55" t="n">
        <v>0</v>
      </c>
      <c r="H55" t="e">
        <v>#NUM!</v>
      </c>
      <c r="I55" t="e">
        <v>#NUM!</v>
      </c>
      <c r="J55" t="e">
        <v>#NUM!</v>
      </c>
      <c r="K55" t="e">
        <v>#NUM!</v>
      </c>
      <c r="L55" t="e">
        <v>#NUM!</v>
      </c>
      <c r="M55" t="e">
        <v>#NUM!</v>
      </c>
      <c r="N55" t="n">
        <v>0.395014295305588</v>
      </c>
      <c r="O55" t="n">
        <v>8.09779305376456</v>
      </c>
      <c r="P55" t="n">
        <v>18.0359936197483</v>
      </c>
      <c r="Q55" t="n">
        <v>22.3779920837618</v>
      </c>
      <c r="R55" t="n">
        <v>25.9276046211861</v>
      </c>
      <c r="S55" t="n">
        <v>10.3710418484744</v>
      </c>
      <c r="T55" t="n">
        <v>11.8336246732593</v>
      </c>
      <c r="U55" t="n">
        <v>83.9447750259332</v>
      </c>
      <c r="V55" t="n">
        <v>17.7575485631782</v>
      </c>
      <c r="W55" t="n">
        <v>63.8087911703536</v>
      </c>
      <c r="X55" t="n">
        <v>63.4613748844896</v>
      </c>
      <c r="Y55" t="n">
        <v>93.1617623989856</v>
      </c>
      <c r="Z55" t="n">
        <v>86.3220380709588</v>
      </c>
      <c r="AA55" t="n">
        <v>64.0527888877593</v>
      </c>
      <c r="AB55" t="n">
        <v>80.6378860104827</v>
      </c>
      <c r="AC55" t="n">
        <v>105.475245928076</v>
      </c>
      <c r="AD55" t="n">
        <v>100.275761973875</v>
      </c>
      <c r="AE55" t="n">
        <v>70.5</v>
      </c>
      <c r="AF55" t="n">
        <v>99.3</v>
      </c>
    </row>
    <row r="56">
      <c r="A56" t="s">
        <v>69</v>
      </c>
      <c r="B56" t="s">
        <v>382</v>
      </c>
      <c r="C56" t="s">
        <v>203</v>
      </c>
      <c r="D56" t="s">
        <v>383</v>
      </c>
      <c r="E56" t="s">
        <v>204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69</v>
      </c>
      <c r="B57" t="s">
        <v>384</v>
      </c>
      <c r="C57" t="s">
        <v>203</v>
      </c>
      <c r="D57" t="s">
        <v>385</v>
      </c>
      <c r="E57" t="s">
        <v>204</v>
      </c>
      <c r="F57" t="n">
        <v>6086.35623102189</v>
      </c>
      <c r="G57" t="n">
        <v>1962.9714971702</v>
      </c>
      <c r="H57" t="n">
        <v>4913.47485636648</v>
      </c>
      <c r="I57" t="n">
        <v>6517.60812064374</v>
      </c>
      <c r="J57" t="n">
        <v>7976.20480022224</v>
      </c>
      <c r="K57" t="n">
        <v>9290.12627680704</v>
      </c>
      <c r="L57" t="n">
        <v>11132.2395899288</v>
      </c>
      <c r="M57" t="n">
        <v>12037.3482308145</v>
      </c>
      <c r="N57" t="n">
        <v>13584.9567518665</v>
      </c>
      <c r="O57" t="n">
        <v>15458.3436130301</v>
      </c>
      <c r="P57" t="n">
        <v>19591.6959143003</v>
      </c>
      <c r="Q57" t="n">
        <v>22129.0210468824</v>
      </c>
      <c r="R57" t="n">
        <v>25018.3651756039</v>
      </c>
      <c r="S57" t="n">
        <v>30514.1931813372</v>
      </c>
      <c r="T57" t="n">
        <v>25121.8642191791</v>
      </c>
      <c r="U57" t="n">
        <v>20690.5493636244</v>
      </c>
      <c r="V57" t="n">
        <v>19779.934517477</v>
      </c>
      <c r="W57" t="n">
        <v>20139.9355733572</v>
      </c>
      <c r="X57" t="n">
        <v>20249.4243503051</v>
      </c>
      <c r="Y57" t="n">
        <v>20953.4712101233</v>
      </c>
      <c r="Z57" t="n">
        <v>21510.4695504492</v>
      </c>
      <c r="AA57" t="n">
        <v>20085.325966986</v>
      </c>
      <c r="AB57" t="n">
        <v>20734.3100783937</v>
      </c>
      <c r="AC57" t="n">
        <v>21855.1670819824</v>
      </c>
      <c r="AD57" t="n">
        <v>22845.3708845089</v>
      </c>
      <c r="AE57" t="n">
        <v>22981.3</v>
      </c>
      <c r="AF57" t="n">
        <v>21067</v>
      </c>
    </row>
    <row r="58">
      <c r="A58" t="s">
        <v>69</v>
      </c>
      <c r="B58" t="s">
        <v>386</v>
      </c>
      <c r="C58" t="s">
        <v>203</v>
      </c>
      <c r="D58" t="s">
        <v>387</v>
      </c>
      <c r="E58" t="s">
        <v>204</v>
      </c>
      <c r="F58" t="n">
        <v>6086.35623102189</v>
      </c>
      <c r="G58" t="n">
        <v>1962.9714971702</v>
      </c>
      <c r="H58" t="n">
        <v>4913.47485636648</v>
      </c>
      <c r="I58" t="n">
        <v>6517.60812064374</v>
      </c>
      <c r="J58" t="n">
        <v>7976.20480022224</v>
      </c>
      <c r="K58" t="n">
        <v>9290.12627680704</v>
      </c>
      <c r="L58" t="n">
        <v>11132.2395899288</v>
      </c>
      <c r="M58" t="n">
        <v>12037.3482308145</v>
      </c>
      <c r="N58" t="n">
        <v>13584.9567518665</v>
      </c>
      <c r="O58" t="n">
        <v>15458.3436130301</v>
      </c>
      <c r="P58" t="n">
        <v>19591.6959143003</v>
      </c>
      <c r="Q58" t="n">
        <v>22129.0210468824</v>
      </c>
      <c r="R58" t="n">
        <v>25018.3651756039</v>
      </c>
      <c r="S58" t="n">
        <v>30514.1931813372</v>
      </c>
      <c r="T58" t="n">
        <v>25121.8642191791</v>
      </c>
      <c r="U58" t="n">
        <v>20690.5493636244</v>
      </c>
      <c r="V58" t="n">
        <v>19779.934517477</v>
      </c>
      <c r="W58" t="n">
        <v>20139.9355733572</v>
      </c>
      <c r="X58" t="n">
        <v>20249.4243503051</v>
      </c>
      <c r="Y58" t="n">
        <v>20953.4712101233</v>
      </c>
      <c r="Z58" t="n">
        <v>21510.4695504492</v>
      </c>
      <c r="AA58" t="n">
        <v>20085.325966986</v>
      </c>
      <c r="AB58" t="n">
        <v>20734.3100783937</v>
      </c>
      <c r="AC58" t="n">
        <v>21855.1670819824</v>
      </c>
      <c r="AD58" t="n">
        <v>22845.3708845089</v>
      </c>
      <c r="AE58" t="n">
        <v>22981.3</v>
      </c>
      <c r="AF58" t="n">
        <v>21067</v>
      </c>
    </row>
    <row r="59">
      <c r="A59" t="s">
        <v>69</v>
      </c>
      <c r="B59" t="s">
        <v>388</v>
      </c>
      <c r="C59" t="s">
        <v>203</v>
      </c>
      <c r="D59" t="s">
        <v>389</v>
      </c>
      <c r="E59" t="s">
        <v>204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141</v>
      </c>
      <c r="B2" t="s">
        <v>197</v>
      </c>
      <c r="C2" t="s">
        <v>203</v>
      </c>
      <c r="D2" t="s">
        <v>199</v>
      </c>
      <c r="E2" t="s">
        <v>204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141</v>
      </c>
      <c r="B3" t="s">
        <v>276</v>
      </c>
      <c r="C3" t="s">
        <v>203</v>
      </c>
      <c r="D3" t="s">
        <v>277</v>
      </c>
      <c r="E3" t="s">
        <v>204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141</v>
      </c>
      <c r="B4" t="s">
        <v>278</v>
      </c>
      <c r="C4" t="s">
        <v>203</v>
      </c>
      <c r="D4" t="s">
        <v>279</v>
      </c>
      <c r="E4" t="s">
        <v>204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141</v>
      </c>
      <c r="B5" t="s">
        <v>280</v>
      </c>
      <c r="C5" t="s">
        <v>203</v>
      </c>
      <c r="D5" t="s">
        <v>281</v>
      </c>
      <c r="E5" t="s">
        <v>204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141</v>
      </c>
      <c r="B6" t="s">
        <v>282</v>
      </c>
      <c r="C6" t="s">
        <v>203</v>
      </c>
      <c r="D6" t="s">
        <v>283</v>
      </c>
      <c r="E6" t="s">
        <v>204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141</v>
      </c>
      <c r="B7" t="s">
        <v>284</v>
      </c>
      <c r="C7" t="s">
        <v>203</v>
      </c>
      <c r="D7" t="s">
        <v>285</v>
      </c>
      <c r="E7" t="s">
        <v>204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141</v>
      </c>
      <c r="B8" t="s">
        <v>286</v>
      </c>
      <c r="C8" t="s">
        <v>203</v>
      </c>
      <c r="D8" t="s">
        <v>287</v>
      </c>
      <c r="E8" t="s">
        <v>204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141</v>
      </c>
      <c r="B9" t="s">
        <v>288</v>
      </c>
      <c r="C9" t="s">
        <v>203</v>
      </c>
      <c r="D9" t="s">
        <v>289</v>
      </c>
      <c r="E9" t="s">
        <v>204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141</v>
      </c>
      <c r="B10" t="s">
        <v>290</v>
      </c>
      <c r="C10" t="s">
        <v>203</v>
      </c>
      <c r="D10" t="s">
        <v>291</v>
      </c>
      <c r="E10" t="s">
        <v>204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141</v>
      </c>
      <c r="B11" t="s">
        <v>292</v>
      </c>
      <c r="C11" t="s">
        <v>203</v>
      </c>
      <c r="D11" t="s">
        <v>293</v>
      </c>
      <c r="E11" t="s">
        <v>204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141</v>
      </c>
      <c r="B12" t="s">
        <v>294</v>
      </c>
      <c r="C12" t="s">
        <v>203</v>
      </c>
      <c r="D12" t="s">
        <v>295</v>
      </c>
      <c r="E12" t="s">
        <v>204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141</v>
      </c>
      <c r="B13" t="s">
        <v>296</v>
      </c>
      <c r="C13" t="s">
        <v>203</v>
      </c>
      <c r="D13" t="s">
        <v>297</v>
      </c>
      <c r="E13" t="s">
        <v>204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141</v>
      </c>
      <c r="B14" t="s">
        <v>298</v>
      </c>
      <c r="C14" t="s">
        <v>203</v>
      </c>
      <c r="D14" t="s">
        <v>299</v>
      </c>
      <c r="E14" t="s">
        <v>204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141</v>
      </c>
      <c r="B15" t="s">
        <v>300</v>
      </c>
      <c r="C15" t="s">
        <v>203</v>
      </c>
      <c r="D15" t="s">
        <v>301</v>
      </c>
      <c r="E15" t="s">
        <v>204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141</v>
      </c>
      <c r="B16" t="s">
        <v>302</v>
      </c>
      <c r="C16" t="s">
        <v>203</v>
      </c>
      <c r="D16" t="s">
        <v>303</v>
      </c>
      <c r="E16" t="s">
        <v>204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141</v>
      </c>
      <c r="B17" t="s">
        <v>304</v>
      </c>
      <c r="C17" t="s">
        <v>203</v>
      </c>
      <c r="D17" t="s">
        <v>305</v>
      </c>
      <c r="E17" t="s">
        <v>204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141</v>
      </c>
      <c r="B18" t="s">
        <v>306</v>
      </c>
      <c r="C18" t="s">
        <v>203</v>
      </c>
      <c r="D18" t="s">
        <v>307</v>
      </c>
      <c r="E18" t="s">
        <v>204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141</v>
      </c>
      <c r="B19" t="s">
        <v>308</v>
      </c>
      <c r="C19" t="s">
        <v>203</v>
      </c>
      <c r="D19" t="s">
        <v>309</v>
      </c>
      <c r="E19" t="s">
        <v>204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141</v>
      </c>
      <c r="B20" t="s">
        <v>310</v>
      </c>
      <c r="C20" t="s">
        <v>203</v>
      </c>
      <c r="D20" t="s">
        <v>311</v>
      </c>
      <c r="E20" t="s">
        <v>204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141</v>
      </c>
      <c r="B21" t="s">
        <v>312</v>
      </c>
      <c r="C21" t="s">
        <v>203</v>
      </c>
      <c r="D21" t="s">
        <v>313</v>
      </c>
      <c r="E21" t="s">
        <v>204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141</v>
      </c>
      <c r="B22" t="s">
        <v>314</v>
      </c>
      <c r="C22" t="s">
        <v>203</v>
      </c>
      <c r="D22" t="s">
        <v>315</v>
      </c>
      <c r="E22" t="s">
        <v>204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141</v>
      </c>
      <c r="B23" t="s">
        <v>316</v>
      </c>
      <c r="C23" t="s">
        <v>203</v>
      </c>
      <c r="D23" t="s">
        <v>317</v>
      </c>
      <c r="E23" t="s">
        <v>204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141</v>
      </c>
      <c r="B24" t="s">
        <v>318</v>
      </c>
      <c r="C24" t="s">
        <v>203</v>
      </c>
      <c r="D24" t="s">
        <v>319</v>
      </c>
      <c r="E24" t="s">
        <v>204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141</v>
      </c>
      <c r="B25" t="s">
        <v>320</v>
      </c>
      <c r="C25" t="s">
        <v>203</v>
      </c>
      <c r="D25" t="s">
        <v>321</v>
      </c>
      <c r="E25" t="s">
        <v>204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141</v>
      </c>
      <c r="B26" t="s">
        <v>322</v>
      </c>
      <c r="C26" t="s">
        <v>203</v>
      </c>
      <c r="D26" t="s">
        <v>323</v>
      </c>
      <c r="E26" t="s">
        <v>204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141</v>
      </c>
      <c r="B27" t="s">
        <v>324</v>
      </c>
      <c r="C27" t="s">
        <v>203</v>
      </c>
      <c r="D27" t="s">
        <v>325</v>
      </c>
      <c r="E27" t="s">
        <v>204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141</v>
      </c>
      <c r="B28" t="s">
        <v>326</v>
      </c>
      <c r="C28" t="s">
        <v>203</v>
      </c>
      <c r="D28" t="s">
        <v>327</v>
      </c>
      <c r="E28" t="s">
        <v>204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141</v>
      </c>
      <c r="B29" t="s">
        <v>328</v>
      </c>
      <c r="C29" t="s">
        <v>203</v>
      </c>
      <c r="D29" t="s">
        <v>329</v>
      </c>
      <c r="E29" t="s">
        <v>204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141</v>
      </c>
      <c r="B30" t="s">
        <v>330</v>
      </c>
      <c r="C30" t="s">
        <v>203</v>
      </c>
      <c r="D30" t="s">
        <v>331</v>
      </c>
      <c r="E30" t="s">
        <v>204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141</v>
      </c>
      <c r="B31" t="s">
        <v>332</v>
      </c>
      <c r="C31" t="s">
        <v>203</v>
      </c>
      <c r="D31" t="s">
        <v>333</v>
      </c>
      <c r="E31" t="s">
        <v>204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141</v>
      </c>
      <c r="B32" t="s">
        <v>334</v>
      </c>
      <c r="C32" t="s">
        <v>203</v>
      </c>
      <c r="D32" t="s">
        <v>335</v>
      </c>
      <c r="E32" t="s">
        <v>204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141</v>
      </c>
      <c r="B33" t="s">
        <v>336</v>
      </c>
      <c r="C33" t="s">
        <v>203</v>
      </c>
      <c r="D33" t="s">
        <v>337</v>
      </c>
      <c r="E33" t="s">
        <v>204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141</v>
      </c>
      <c r="B34" t="s">
        <v>338</v>
      </c>
      <c r="C34" t="s">
        <v>203</v>
      </c>
      <c r="D34" t="s">
        <v>339</v>
      </c>
      <c r="E34" t="s">
        <v>204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141</v>
      </c>
      <c r="B35" t="s">
        <v>340</v>
      </c>
      <c r="C35" t="s">
        <v>203</v>
      </c>
      <c r="D35" t="s">
        <v>341</v>
      </c>
      <c r="E35" t="s">
        <v>204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141</v>
      </c>
      <c r="B36" t="s">
        <v>342</v>
      </c>
      <c r="C36" t="s">
        <v>203</v>
      </c>
      <c r="D36" t="s">
        <v>343</v>
      </c>
      <c r="E36" t="s">
        <v>204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141</v>
      </c>
      <c r="B37" t="s">
        <v>344</v>
      </c>
      <c r="C37" t="s">
        <v>203</v>
      </c>
      <c r="D37" t="s">
        <v>345</v>
      </c>
      <c r="E37" t="s">
        <v>204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141</v>
      </c>
      <c r="B38" t="s">
        <v>346</v>
      </c>
      <c r="C38" t="s">
        <v>203</v>
      </c>
      <c r="D38" t="s">
        <v>347</v>
      </c>
      <c r="E38" t="s">
        <v>204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141</v>
      </c>
      <c r="B39" t="s">
        <v>348</v>
      </c>
      <c r="C39" t="s">
        <v>203</v>
      </c>
      <c r="D39" t="s">
        <v>349</v>
      </c>
      <c r="E39" t="s">
        <v>204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141</v>
      </c>
      <c r="B40" t="s">
        <v>350</v>
      </c>
      <c r="C40" t="s">
        <v>203</v>
      </c>
      <c r="D40" t="s">
        <v>351</v>
      </c>
      <c r="E40" t="s">
        <v>204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141</v>
      </c>
      <c r="B41" t="s">
        <v>352</v>
      </c>
      <c r="C41" t="s">
        <v>203</v>
      </c>
      <c r="D41" t="s">
        <v>353</v>
      </c>
      <c r="E41" t="s">
        <v>204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141</v>
      </c>
      <c r="B42" t="s">
        <v>354</v>
      </c>
      <c r="C42" t="s">
        <v>203</v>
      </c>
      <c r="D42" t="s">
        <v>355</v>
      </c>
      <c r="E42" t="s">
        <v>204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141</v>
      </c>
      <c r="B43" t="s">
        <v>356</v>
      </c>
      <c r="C43" t="s">
        <v>203</v>
      </c>
      <c r="D43" t="s">
        <v>357</v>
      </c>
      <c r="E43" t="s">
        <v>204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141</v>
      </c>
      <c r="B44" t="s">
        <v>358</v>
      </c>
      <c r="C44" t="s">
        <v>203</v>
      </c>
      <c r="D44" t="s">
        <v>359</v>
      </c>
      <c r="E44" t="s">
        <v>204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141</v>
      </c>
      <c r="B45" t="s">
        <v>360</v>
      </c>
      <c r="C45" t="s">
        <v>203</v>
      </c>
      <c r="D45" t="s">
        <v>361</v>
      </c>
      <c r="E45" t="s">
        <v>204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141</v>
      </c>
      <c r="B46" t="s">
        <v>362</v>
      </c>
      <c r="C46" t="s">
        <v>203</v>
      </c>
      <c r="D46" t="s">
        <v>363</v>
      </c>
      <c r="E46" t="s">
        <v>204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141</v>
      </c>
      <c r="B47" t="s">
        <v>364</v>
      </c>
      <c r="C47" t="s">
        <v>203</v>
      </c>
      <c r="D47" t="s">
        <v>365</v>
      </c>
      <c r="E47" t="s">
        <v>204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141</v>
      </c>
      <c r="B48" t="s">
        <v>366</v>
      </c>
      <c r="C48" t="s">
        <v>203</v>
      </c>
      <c r="D48" t="s">
        <v>367</v>
      </c>
      <c r="E48" t="s">
        <v>204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141</v>
      </c>
      <c r="B49" t="s">
        <v>368</v>
      </c>
      <c r="C49" t="s">
        <v>203</v>
      </c>
      <c r="D49" t="s">
        <v>369</v>
      </c>
      <c r="E49" t="s">
        <v>204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141</v>
      </c>
      <c r="B50" t="s">
        <v>370</v>
      </c>
      <c r="C50" t="s">
        <v>203</v>
      </c>
      <c r="D50" t="s">
        <v>371</v>
      </c>
      <c r="E50" t="s">
        <v>204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141</v>
      </c>
      <c r="B51" t="s">
        <v>372</v>
      </c>
      <c r="C51" t="s">
        <v>203</v>
      </c>
      <c r="D51" t="s">
        <v>373</v>
      </c>
      <c r="E51" t="s">
        <v>204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141</v>
      </c>
      <c r="B52" t="s">
        <v>374</v>
      </c>
      <c r="C52" t="s">
        <v>203</v>
      </c>
      <c r="D52" t="s">
        <v>375</v>
      </c>
      <c r="E52" t="s">
        <v>204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141</v>
      </c>
      <c r="B53" t="s">
        <v>376</v>
      </c>
      <c r="C53" t="s">
        <v>203</v>
      </c>
      <c r="D53" t="s">
        <v>377</v>
      </c>
      <c r="E53" t="s">
        <v>204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141</v>
      </c>
      <c r="B54" t="s">
        <v>378</v>
      </c>
      <c r="C54" t="s">
        <v>203</v>
      </c>
      <c r="D54" t="s">
        <v>379</v>
      </c>
      <c r="E54" t="s">
        <v>204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141</v>
      </c>
      <c r="B55" t="s">
        <v>380</v>
      </c>
      <c r="C55" t="s">
        <v>203</v>
      </c>
      <c r="D55" t="s">
        <v>381</v>
      </c>
      <c r="E55" t="s">
        <v>204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141</v>
      </c>
      <c r="B56" t="s">
        <v>382</v>
      </c>
      <c r="C56" t="s">
        <v>203</v>
      </c>
      <c r="D56" t="s">
        <v>383</v>
      </c>
      <c r="E56" t="s">
        <v>204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141</v>
      </c>
      <c r="B57" t="s">
        <v>384</v>
      </c>
      <c r="C57" t="s">
        <v>203</v>
      </c>
      <c r="D57" t="s">
        <v>385</v>
      </c>
      <c r="E57" t="s">
        <v>204</v>
      </c>
      <c r="F57"/>
      <c r="G57"/>
      <c r="H57"/>
      <c r="I57"/>
      <c r="J57"/>
      <c r="K57" t="n">
        <v>1077.52597063021</v>
      </c>
      <c r="L57" t="n">
        <v>897.601371406777</v>
      </c>
      <c r="M57" t="n">
        <v>1179.18816878845</v>
      </c>
      <c r="N57" t="n">
        <v>1450.86738822361</v>
      </c>
      <c r="O57" t="n">
        <v>1345.02247206039</v>
      </c>
      <c r="P57" t="n">
        <v>1057.11495912206</v>
      </c>
      <c r="Q57" t="n">
        <v>583.582797183387</v>
      </c>
      <c r="R57" t="n">
        <v>716.162619162549</v>
      </c>
      <c r="S57" t="n">
        <v>827.603405872677</v>
      </c>
      <c r="T57" t="n">
        <v>1677.92331196893</v>
      </c>
      <c r="U57" t="n">
        <v>1429.12308110772</v>
      </c>
      <c r="V57" t="n">
        <v>1327.40287462939</v>
      </c>
      <c r="W57" t="n">
        <v>2589.86926809839</v>
      </c>
      <c r="X57" t="n">
        <v>2386.46977923798</v>
      </c>
      <c r="Y57" t="n">
        <v>2485.8878515322</v>
      </c>
      <c r="Z57" t="n">
        <v>1784.64820016389</v>
      </c>
      <c r="AA57" t="n">
        <v>1298.52804470114</v>
      </c>
      <c r="AB57" t="n">
        <v>1138.41144298325</v>
      </c>
      <c r="AC57" t="n">
        <v>963.104737885066</v>
      </c>
      <c r="AD57" t="n">
        <v>349.086506935687</v>
      </c>
      <c r="AE57" t="n">
        <v>345.6</v>
      </c>
      <c r="AF57" t="n">
        <v>326.8</v>
      </c>
    </row>
    <row r="58">
      <c r="A58" t="s">
        <v>141</v>
      </c>
      <c r="B58" t="s">
        <v>386</v>
      </c>
      <c r="C58" t="s">
        <v>203</v>
      </c>
      <c r="D58" t="s">
        <v>387</v>
      </c>
      <c r="E58" t="s">
        <v>204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141</v>
      </c>
      <c r="B59" t="s">
        <v>388</v>
      </c>
      <c r="C59" t="s">
        <v>203</v>
      </c>
      <c r="D59" t="s">
        <v>389</v>
      </c>
      <c r="E59" t="s">
        <v>204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142</v>
      </c>
      <c r="B2" t="s">
        <v>197</v>
      </c>
      <c r="C2" t="s">
        <v>203</v>
      </c>
      <c r="D2" t="s">
        <v>199</v>
      </c>
      <c r="E2" t="s">
        <v>204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142</v>
      </c>
      <c r="B3" t="s">
        <v>276</v>
      </c>
      <c r="C3" t="s">
        <v>203</v>
      </c>
      <c r="D3" t="s">
        <v>277</v>
      </c>
      <c r="E3" t="s">
        <v>204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142</v>
      </c>
      <c r="B4" t="s">
        <v>278</v>
      </c>
      <c r="C4" t="s">
        <v>203</v>
      </c>
      <c r="D4" t="s">
        <v>279</v>
      </c>
      <c r="E4" t="s">
        <v>204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142</v>
      </c>
      <c r="B5" t="s">
        <v>280</v>
      </c>
      <c r="C5" t="s">
        <v>203</v>
      </c>
      <c r="D5" t="s">
        <v>281</v>
      </c>
      <c r="E5" t="s">
        <v>204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142</v>
      </c>
      <c r="B6" t="s">
        <v>282</v>
      </c>
      <c r="C6" t="s">
        <v>203</v>
      </c>
      <c r="D6" t="s">
        <v>283</v>
      </c>
      <c r="E6" t="s">
        <v>204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142</v>
      </c>
      <c r="B7" t="s">
        <v>284</v>
      </c>
      <c r="C7" t="s">
        <v>203</v>
      </c>
      <c r="D7" t="s">
        <v>285</v>
      </c>
      <c r="E7" t="s">
        <v>204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142</v>
      </c>
      <c r="B8" t="s">
        <v>286</v>
      </c>
      <c r="C8" t="s">
        <v>203</v>
      </c>
      <c r="D8" t="s">
        <v>287</v>
      </c>
      <c r="E8" t="s">
        <v>204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142</v>
      </c>
      <c r="B9" t="s">
        <v>288</v>
      </c>
      <c r="C9" t="s">
        <v>203</v>
      </c>
      <c r="D9" t="s">
        <v>289</v>
      </c>
      <c r="E9" t="s">
        <v>204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142</v>
      </c>
      <c r="B10" t="s">
        <v>290</v>
      </c>
      <c r="C10" t="s">
        <v>203</v>
      </c>
      <c r="D10" t="s">
        <v>291</v>
      </c>
      <c r="E10" t="s">
        <v>204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142</v>
      </c>
      <c r="B11" t="s">
        <v>292</v>
      </c>
      <c r="C11" t="s">
        <v>203</v>
      </c>
      <c r="D11" t="s">
        <v>293</v>
      </c>
      <c r="E11" t="s">
        <v>204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142</v>
      </c>
      <c r="B12" t="s">
        <v>294</v>
      </c>
      <c r="C12" t="s">
        <v>203</v>
      </c>
      <c r="D12" t="s">
        <v>295</v>
      </c>
      <c r="E12" t="s">
        <v>204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142</v>
      </c>
      <c r="B13" t="s">
        <v>296</v>
      </c>
      <c r="C13" t="s">
        <v>203</v>
      </c>
      <c r="D13" t="s">
        <v>297</v>
      </c>
      <c r="E13" t="s">
        <v>204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142</v>
      </c>
      <c r="B14" t="s">
        <v>298</v>
      </c>
      <c r="C14" t="s">
        <v>203</v>
      </c>
      <c r="D14" t="s">
        <v>299</v>
      </c>
      <c r="E14" t="s">
        <v>204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142</v>
      </c>
      <c r="B15" t="s">
        <v>300</v>
      </c>
      <c r="C15" t="s">
        <v>203</v>
      </c>
      <c r="D15" t="s">
        <v>301</v>
      </c>
      <c r="E15" t="s">
        <v>204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142</v>
      </c>
      <c r="B16" t="s">
        <v>302</v>
      </c>
      <c r="C16" t="s">
        <v>203</v>
      </c>
      <c r="D16" t="s">
        <v>303</v>
      </c>
      <c r="E16" t="s">
        <v>204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142</v>
      </c>
      <c r="B17" t="s">
        <v>304</v>
      </c>
      <c r="C17" t="s">
        <v>203</v>
      </c>
      <c r="D17" t="s">
        <v>305</v>
      </c>
      <c r="E17" t="s">
        <v>204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142</v>
      </c>
      <c r="B18" t="s">
        <v>306</v>
      </c>
      <c r="C18" t="s">
        <v>203</v>
      </c>
      <c r="D18" t="s">
        <v>307</v>
      </c>
      <c r="E18" t="s">
        <v>204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142</v>
      </c>
      <c r="B19" t="s">
        <v>308</v>
      </c>
      <c r="C19" t="s">
        <v>203</v>
      </c>
      <c r="D19" t="s">
        <v>309</v>
      </c>
      <c r="E19" t="s">
        <v>204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142</v>
      </c>
      <c r="B20" t="s">
        <v>310</v>
      </c>
      <c r="C20" t="s">
        <v>203</v>
      </c>
      <c r="D20" t="s">
        <v>311</v>
      </c>
      <c r="E20" t="s">
        <v>204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142</v>
      </c>
      <c r="B21" t="s">
        <v>312</v>
      </c>
      <c r="C21" t="s">
        <v>203</v>
      </c>
      <c r="D21" t="s">
        <v>313</v>
      </c>
      <c r="E21" t="s">
        <v>204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142</v>
      </c>
      <c r="B22" t="s">
        <v>314</v>
      </c>
      <c r="C22" t="s">
        <v>203</v>
      </c>
      <c r="D22" t="s">
        <v>315</v>
      </c>
      <c r="E22" t="s">
        <v>204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142</v>
      </c>
      <c r="B23" t="s">
        <v>316</v>
      </c>
      <c r="C23" t="s">
        <v>203</v>
      </c>
      <c r="D23" t="s">
        <v>317</v>
      </c>
      <c r="E23" t="s">
        <v>204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142</v>
      </c>
      <c r="B24" t="s">
        <v>318</v>
      </c>
      <c r="C24" t="s">
        <v>203</v>
      </c>
      <c r="D24" t="s">
        <v>319</v>
      </c>
      <c r="E24" t="s">
        <v>204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142</v>
      </c>
      <c r="B25" t="s">
        <v>320</v>
      </c>
      <c r="C25" t="s">
        <v>203</v>
      </c>
      <c r="D25" t="s">
        <v>321</v>
      </c>
      <c r="E25" t="s">
        <v>204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142</v>
      </c>
      <c r="B26" t="s">
        <v>322</v>
      </c>
      <c r="C26" t="s">
        <v>203</v>
      </c>
      <c r="D26" t="s">
        <v>323</v>
      </c>
      <c r="E26" t="s">
        <v>204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142</v>
      </c>
      <c r="B27" t="s">
        <v>324</v>
      </c>
      <c r="C27" t="s">
        <v>203</v>
      </c>
      <c r="D27" t="s">
        <v>325</v>
      </c>
      <c r="E27" t="s">
        <v>204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142</v>
      </c>
      <c r="B28" t="s">
        <v>326</v>
      </c>
      <c r="C28" t="s">
        <v>203</v>
      </c>
      <c r="D28" t="s">
        <v>327</v>
      </c>
      <c r="E28" t="s">
        <v>204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142</v>
      </c>
      <c r="B29" t="s">
        <v>328</v>
      </c>
      <c r="C29" t="s">
        <v>203</v>
      </c>
      <c r="D29" t="s">
        <v>329</v>
      </c>
      <c r="E29" t="s">
        <v>204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142</v>
      </c>
      <c r="B30" t="s">
        <v>330</v>
      </c>
      <c r="C30" t="s">
        <v>203</v>
      </c>
      <c r="D30" t="s">
        <v>331</v>
      </c>
      <c r="E30" t="s">
        <v>204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142</v>
      </c>
      <c r="B31" t="s">
        <v>332</v>
      </c>
      <c r="C31" t="s">
        <v>203</v>
      </c>
      <c r="D31" t="s">
        <v>333</v>
      </c>
      <c r="E31" t="s">
        <v>204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142</v>
      </c>
      <c r="B32" t="s">
        <v>334</v>
      </c>
      <c r="C32" t="s">
        <v>203</v>
      </c>
      <c r="D32" t="s">
        <v>335</v>
      </c>
      <c r="E32" t="s">
        <v>204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142</v>
      </c>
      <c r="B33" t="s">
        <v>336</v>
      </c>
      <c r="C33" t="s">
        <v>203</v>
      </c>
      <c r="D33" t="s">
        <v>337</v>
      </c>
      <c r="E33" t="s">
        <v>204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142</v>
      </c>
      <c r="B34" t="s">
        <v>338</v>
      </c>
      <c r="C34" t="s">
        <v>203</v>
      </c>
      <c r="D34" t="s">
        <v>339</v>
      </c>
      <c r="E34" t="s">
        <v>204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142</v>
      </c>
      <c r="B35" t="s">
        <v>340</v>
      </c>
      <c r="C35" t="s">
        <v>203</v>
      </c>
      <c r="D35" t="s">
        <v>341</v>
      </c>
      <c r="E35" t="s">
        <v>204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142</v>
      </c>
      <c r="B36" t="s">
        <v>342</v>
      </c>
      <c r="C36" t="s">
        <v>203</v>
      </c>
      <c r="D36" t="s">
        <v>343</v>
      </c>
      <c r="E36" t="s">
        <v>204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142</v>
      </c>
      <c r="B37" t="s">
        <v>344</v>
      </c>
      <c r="C37" t="s">
        <v>203</v>
      </c>
      <c r="D37" t="s">
        <v>345</v>
      </c>
      <c r="E37" t="s">
        <v>204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142</v>
      </c>
      <c r="B38" t="s">
        <v>346</v>
      </c>
      <c r="C38" t="s">
        <v>203</v>
      </c>
      <c r="D38" t="s">
        <v>347</v>
      </c>
      <c r="E38" t="s">
        <v>204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142</v>
      </c>
      <c r="B39" t="s">
        <v>348</v>
      </c>
      <c r="C39" t="s">
        <v>203</v>
      </c>
      <c r="D39" t="s">
        <v>349</v>
      </c>
      <c r="E39" t="s">
        <v>204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142</v>
      </c>
      <c r="B40" t="s">
        <v>350</v>
      </c>
      <c r="C40" t="s">
        <v>203</v>
      </c>
      <c r="D40" t="s">
        <v>351</v>
      </c>
      <c r="E40" t="s">
        <v>204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142</v>
      </c>
      <c r="B41" t="s">
        <v>352</v>
      </c>
      <c r="C41" t="s">
        <v>203</v>
      </c>
      <c r="D41" t="s">
        <v>353</v>
      </c>
      <c r="E41" t="s">
        <v>204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142</v>
      </c>
      <c r="B42" t="s">
        <v>354</v>
      </c>
      <c r="C42" t="s">
        <v>203</v>
      </c>
      <c r="D42" t="s">
        <v>355</v>
      </c>
      <c r="E42" t="s">
        <v>204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142</v>
      </c>
      <c r="B43" t="s">
        <v>356</v>
      </c>
      <c r="C43" t="s">
        <v>203</v>
      </c>
      <c r="D43" t="s">
        <v>357</v>
      </c>
      <c r="E43" t="s">
        <v>204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142</v>
      </c>
      <c r="B44" t="s">
        <v>358</v>
      </c>
      <c r="C44" t="s">
        <v>203</v>
      </c>
      <c r="D44" t="s">
        <v>359</v>
      </c>
      <c r="E44" t="s">
        <v>204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142</v>
      </c>
      <c r="B45" t="s">
        <v>360</v>
      </c>
      <c r="C45" t="s">
        <v>203</v>
      </c>
      <c r="D45" t="s">
        <v>361</v>
      </c>
      <c r="E45" t="s">
        <v>204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142</v>
      </c>
      <c r="B46" t="s">
        <v>362</v>
      </c>
      <c r="C46" t="s">
        <v>203</v>
      </c>
      <c r="D46" t="s">
        <v>363</v>
      </c>
      <c r="E46" t="s">
        <v>204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142</v>
      </c>
      <c r="B47" t="s">
        <v>364</v>
      </c>
      <c r="C47" t="s">
        <v>203</v>
      </c>
      <c r="D47" t="s">
        <v>365</v>
      </c>
      <c r="E47" t="s">
        <v>204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142</v>
      </c>
      <c r="B48" t="s">
        <v>366</v>
      </c>
      <c r="C48" t="s">
        <v>203</v>
      </c>
      <c r="D48" t="s">
        <v>367</v>
      </c>
      <c r="E48" t="s">
        <v>204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142</v>
      </c>
      <c r="B49" t="s">
        <v>368</v>
      </c>
      <c r="C49" t="s">
        <v>203</v>
      </c>
      <c r="D49" t="s">
        <v>369</v>
      </c>
      <c r="E49" t="s">
        <v>204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142</v>
      </c>
      <c r="B50" t="s">
        <v>370</v>
      </c>
      <c r="C50" t="s">
        <v>203</v>
      </c>
      <c r="D50" t="s">
        <v>371</v>
      </c>
      <c r="E50" t="s">
        <v>204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142</v>
      </c>
      <c r="B51" t="s">
        <v>372</v>
      </c>
      <c r="C51" t="s">
        <v>203</v>
      </c>
      <c r="D51" t="s">
        <v>373</v>
      </c>
      <c r="E51" t="s">
        <v>204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142</v>
      </c>
      <c r="B52" t="s">
        <v>374</v>
      </c>
      <c r="C52" t="s">
        <v>203</v>
      </c>
      <c r="D52" t="s">
        <v>375</v>
      </c>
      <c r="E52" t="s">
        <v>204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142</v>
      </c>
      <c r="B53" t="s">
        <v>376</v>
      </c>
      <c r="C53" t="s">
        <v>203</v>
      </c>
      <c r="D53" t="s">
        <v>377</v>
      </c>
      <c r="E53" t="s">
        <v>204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142</v>
      </c>
      <c r="B54" t="s">
        <v>378</v>
      </c>
      <c r="C54" t="s">
        <v>203</v>
      </c>
      <c r="D54" t="s">
        <v>379</v>
      </c>
      <c r="E54" t="s">
        <v>204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142</v>
      </c>
      <c r="B55" t="s">
        <v>380</v>
      </c>
      <c r="C55" t="s">
        <v>203</v>
      </c>
      <c r="D55" t="s">
        <v>381</v>
      </c>
      <c r="E55" t="s">
        <v>204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142</v>
      </c>
      <c r="B56" t="s">
        <v>382</v>
      </c>
      <c r="C56" t="s">
        <v>203</v>
      </c>
      <c r="D56" t="s">
        <v>383</v>
      </c>
      <c r="E56" t="s">
        <v>204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142</v>
      </c>
      <c r="B57" t="s">
        <v>384</v>
      </c>
      <c r="C57" t="s">
        <v>203</v>
      </c>
      <c r="D57" t="s">
        <v>385</v>
      </c>
      <c r="E57" t="s">
        <v>204</v>
      </c>
      <c r="F57"/>
      <c r="G57"/>
      <c r="H57"/>
      <c r="I57"/>
      <c r="J57"/>
      <c r="K57" t="n">
        <v>72.9478885679957</v>
      </c>
      <c r="L57" t="n">
        <v>88.6255422458007</v>
      </c>
      <c r="M57" t="n">
        <v>68.7767992921802</v>
      </c>
      <c r="N57" t="n">
        <v>51.9716085149054</v>
      </c>
      <c r="O57" t="n">
        <v>83.7042733292948</v>
      </c>
      <c r="P57" t="n">
        <v>113.855473518747</v>
      </c>
      <c r="Q57" t="n">
        <v>195.032734944667</v>
      </c>
      <c r="R57" t="n">
        <v>239.422265761115</v>
      </c>
      <c r="S57" t="n">
        <v>287.827095377777</v>
      </c>
      <c r="T57" t="n">
        <v>174.02248419167</v>
      </c>
      <c r="U57" t="n">
        <v>189.530610333921</v>
      </c>
      <c r="V57" t="n">
        <v>201.095594105607</v>
      </c>
      <c r="W57" t="n">
        <v>99.8165403469648</v>
      </c>
      <c r="X57" t="n">
        <v>92.0006824493247</v>
      </c>
      <c r="Y57" t="n">
        <v>127.86279057513</v>
      </c>
      <c r="Z57" t="n">
        <v>109.263860515766</v>
      </c>
      <c r="AA57" t="n">
        <v>116.657943643235</v>
      </c>
      <c r="AB57" t="n">
        <v>100.286907391044</v>
      </c>
      <c r="AC57" t="n">
        <v>81.4690270154214</v>
      </c>
      <c r="AD57" t="n">
        <v>244.445710267229</v>
      </c>
      <c r="AE57" t="n">
        <v>242.1</v>
      </c>
      <c r="AF57" t="n">
        <v>228.9</v>
      </c>
    </row>
    <row r="58">
      <c r="A58" t="s">
        <v>142</v>
      </c>
      <c r="B58" t="s">
        <v>386</v>
      </c>
      <c r="C58" t="s">
        <v>203</v>
      </c>
      <c r="D58" t="s">
        <v>387</v>
      </c>
      <c r="E58" t="s">
        <v>204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142</v>
      </c>
      <c r="B59" t="s">
        <v>388</v>
      </c>
      <c r="C59" t="s">
        <v>203</v>
      </c>
      <c r="D59" t="s">
        <v>389</v>
      </c>
      <c r="E59" t="s">
        <v>204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143</v>
      </c>
      <c r="B2" t="s">
        <v>197</v>
      </c>
      <c r="C2" t="s">
        <v>203</v>
      </c>
      <c r="D2" t="s">
        <v>199</v>
      </c>
      <c r="E2" t="s">
        <v>204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143</v>
      </c>
      <c r="B3" t="s">
        <v>276</v>
      </c>
      <c r="C3" t="s">
        <v>203</v>
      </c>
      <c r="D3" t="s">
        <v>277</v>
      </c>
      <c r="E3" t="s">
        <v>204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143</v>
      </c>
      <c r="B4" t="s">
        <v>278</v>
      </c>
      <c r="C4" t="s">
        <v>203</v>
      </c>
      <c r="D4" t="s">
        <v>279</v>
      </c>
      <c r="E4" t="s">
        <v>204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143</v>
      </c>
      <c r="B5" t="s">
        <v>280</v>
      </c>
      <c r="C5" t="s">
        <v>203</v>
      </c>
      <c r="D5" t="s">
        <v>281</v>
      </c>
      <c r="E5" t="s">
        <v>204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143</v>
      </c>
      <c r="B6" t="s">
        <v>282</v>
      </c>
      <c r="C6" t="s">
        <v>203</v>
      </c>
      <c r="D6" t="s">
        <v>283</v>
      </c>
      <c r="E6" t="s">
        <v>204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143</v>
      </c>
      <c r="B7" t="s">
        <v>284</v>
      </c>
      <c r="C7" t="s">
        <v>203</v>
      </c>
      <c r="D7" t="s">
        <v>285</v>
      </c>
      <c r="E7" t="s">
        <v>204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143</v>
      </c>
      <c r="B8" t="s">
        <v>286</v>
      </c>
      <c r="C8" t="s">
        <v>203</v>
      </c>
      <c r="D8" t="s">
        <v>287</v>
      </c>
      <c r="E8" t="s">
        <v>204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143</v>
      </c>
      <c r="B9" t="s">
        <v>288</v>
      </c>
      <c r="C9" t="s">
        <v>203</v>
      </c>
      <c r="D9" t="s">
        <v>289</v>
      </c>
      <c r="E9" t="s">
        <v>204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143</v>
      </c>
      <c r="B10" t="s">
        <v>290</v>
      </c>
      <c r="C10" t="s">
        <v>203</v>
      </c>
      <c r="D10" t="s">
        <v>291</v>
      </c>
      <c r="E10" t="s">
        <v>204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143</v>
      </c>
      <c r="B11" t="s">
        <v>292</v>
      </c>
      <c r="C11" t="s">
        <v>203</v>
      </c>
      <c r="D11" t="s">
        <v>293</v>
      </c>
      <c r="E11" t="s">
        <v>204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143</v>
      </c>
      <c r="B12" t="s">
        <v>294</v>
      </c>
      <c r="C12" t="s">
        <v>203</v>
      </c>
      <c r="D12" t="s">
        <v>295</v>
      </c>
      <c r="E12" t="s">
        <v>204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143</v>
      </c>
      <c r="B13" t="s">
        <v>296</v>
      </c>
      <c r="C13" t="s">
        <v>203</v>
      </c>
      <c r="D13" t="s">
        <v>297</v>
      </c>
      <c r="E13" t="s">
        <v>204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143</v>
      </c>
      <c r="B14" t="s">
        <v>298</v>
      </c>
      <c r="C14" t="s">
        <v>203</v>
      </c>
      <c r="D14" t="s">
        <v>299</v>
      </c>
      <c r="E14" t="s">
        <v>204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143</v>
      </c>
      <c r="B15" t="s">
        <v>300</v>
      </c>
      <c r="C15" t="s">
        <v>203</v>
      </c>
      <c r="D15" t="s">
        <v>301</v>
      </c>
      <c r="E15" t="s">
        <v>204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143</v>
      </c>
      <c r="B16" t="s">
        <v>302</v>
      </c>
      <c r="C16" t="s">
        <v>203</v>
      </c>
      <c r="D16" t="s">
        <v>303</v>
      </c>
      <c r="E16" t="s">
        <v>204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143</v>
      </c>
      <c r="B17" t="s">
        <v>304</v>
      </c>
      <c r="C17" t="s">
        <v>203</v>
      </c>
      <c r="D17" t="s">
        <v>305</v>
      </c>
      <c r="E17" t="s">
        <v>204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143</v>
      </c>
      <c r="B18" t="s">
        <v>306</v>
      </c>
      <c r="C18" t="s">
        <v>203</v>
      </c>
      <c r="D18" t="s">
        <v>307</v>
      </c>
      <c r="E18" t="s">
        <v>204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143</v>
      </c>
      <c r="B19" t="s">
        <v>308</v>
      </c>
      <c r="C19" t="s">
        <v>203</v>
      </c>
      <c r="D19" t="s">
        <v>309</v>
      </c>
      <c r="E19" t="s">
        <v>204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143</v>
      </c>
      <c r="B20" t="s">
        <v>310</v>
      </c>
      <c r="C20" t="s">
        <v>203</v>
      </c>
      <c r="D20" t="s">
        <v>311</v>
      </c>
      <c r="E20" t="s">
        <v>204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143</v>
      </c>
      <c r="B21" t="s">
        <v>312</v>
      </c>
      <c r="C21" t="s">
        <v>203</v>
      </c>
      <c r="D21" t="s">
        <v>313</v>
      </c>
      <c r="E21" t="s">
        <v>204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143</v>
      </c>
      <c r="B22" t="s">
        <v>314</v>
      </c>
      <c r="C22" t="s">
        <v>203</v>
      </c>
      <c r="D22" t="s">
        <v>315</v>
      </c>
      <c r="E22" t="s">
        <v>204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143</v>
      </c>
      <c r="B23" t="s">
        <v>316</v>
      </c>
      <c r="C23" t="s">
        <v>203</v>
      </c>
      <c r="D23" t="s">
        <v>317</v>
      </c>
      <c r="E23" t="s">
        <v>204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143</v>
      </c>
      <c r="B24" t="s">
        <v>318</v>
      </c>
      <c r="C24" t="s">
        <v>203</v>
      </c>
      <c r="D24" t="s">
        <v>319</v>
      </c>
      <c r="E24" t="s">
        <v>204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143</v>
      </c>
      <c r="B25" t="s">
        <v>320</v>
      </c>
      <c r="C25" t="s">
        <v>203</v>
      </c>
      <c r="D25" t="s">
        <v>321</v>
      </c>
      <c r="E25" t="s">
        <v>204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143</v>
      </c>
      <c r="B26" t="s">
        <v>322</v>
      </c>
      <c r="C26" t="s">
        <v>203</v>
      </c>
      <c r="D26" t="s">
        <v>323</v>
      </c>
      <c r="E26" t="s">
        <v>204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143</v>
      </c>
      <c r="B27" t="s">
        <v>324</v>
      </c>
      <c r="C27" t="s">
        <v>203</v>
      </c>
      <c r="D27" t="s">
        <v>325</v>
      </c>
      <c r="E27" t="s">
        <v>204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143</v>
      </c>
      <c r="B28" t="s">
        <v>326</v>
      </c>
      <c r="C28" t="s">
        <v>203</v>
      </c>
      <c r="D28" t="s">
        <v>327</v>
      </c>
      <c r="E28" t="s">
        <v>204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143</v>
      </c>
      <c r="B29" t="s">
        <v>328</v>
      </c>
      <c r="C29" t="s">
        <v>203</v>
      </c>
      <c r="D29" t="s">
        <v>329</v>
      </c>
      <c r="E29" t="s">
        <v>204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143</v>
      </c>
      <c r="B30" t="s">
        <v>330</v>
      </c>
      <c r="C30" t="s">
        <v>203</v>
      </c>
      <c r="D30" t="s">
        <v>331</v>
      </c>
      <c r="E30" t="s">
        <v>204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143</v>
      </c>
      <c r="B31" t="s">
        <v>332</v>
      </c>
      <c r="C31" t="s">
        <v>203</v>
      </c>
      <c r="D31" t="s">
        <v>333</v>
      </c>
      <c r="E31" t="s">
        <v>204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143</v>
      </c>
      <c r="B32" t="s">
        <v>334</v>
      </c>
      <c r="C32" t="s">
        <v>203</v>
      </c>
      <c r="D32" t="s">
        <v>335</v>
      </c>
      <c r="E32" t="s">
        <v>204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143</v>
      </c>
      <c r="B33" t="s">
        <v>336</v>
      </c>
      <c r="C33" t="s">
        <v>203</v>
      </c>
      <c r="D33" t="s">
        <v>337</v>
      </c>
      <c r="E33" t="s">
        <v>204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143</v>
      </c>
      <c r="B34" t="s">
        <v>338</v>
      </c>
      <c r="C34" t="s">
        <v>203</v>
      </c>
      <c r="D34" t="s">
        <v>339</v>
      </c>
      <c r="E34" t="s">
        <v>204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143</v>
      </c>
      <c r="B35" t="s">
        <v>340</v>
      </c>
      <c r="C35" t="s">
        <v>203</v>
      </c>
      <c r="D35" t="s">
        <v>341</v>
      </c>
      <c r="E35" t="s">
        <v>204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143</v>
      </c>
      <c r="B36" t="s">
        <v>342</v>
      </c>
      <c r="C36" t="s">
        <v>203</v>
      </c>
      <c r="D36" t="s">
        <v>343</v>
      </c>
      <c r="E36" t="s">
        <v>204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143</v>
      </c>
      <c r="B37" t="s">
        <v>344</v>
      </c>
      <c r="C37" t="s">
        <v>203</v>
      </c>
      <c r="D37" t="s">
        <v>345</v>
      </c>
      <c r="E37" t="s">
        <v>204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143</v>
      </c>
      <c r="B38" t="s">
        <v>346</v>
      </c>
      <c r="C38" t="s">
        <v>203</v>
      </c>
      <c r="D38" t="s">
        <v>347</v>
      </c>
      <c r="E38" t="s">
        <v>204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143</v>
      </c>
      <c r="B39" t="s">
        <v>348</v>
      </c>
      <c r="C39" t="s">
        <v>203</v>
      </c>
      <c r="D39" t="s">
        <v>349</v>
      </c>
      <c r="E39" t="s">
        <v>204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143</v>
      </c>
      <c r="B40" t="s">
        <v>350</v>
      </c>
      <c r="C40" t="s">
        <v>203</v>
      </c>
      <c r="D40" t="s">
        <v>351</v>
      </c>
      <c r="E40" t="s">
        <v>204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143</v>
      </c>
      <c r="B41" t="s">
        <v>352</v>
      </c>
      <c r="C41" t="s">
        <v>203</v>
      </c>
      <c r="D41" t="s">
        <v>353</v>
      </c>
      <c r="E41" t="s">
        <v>204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143</v>
      </c>
      <c r="B42" t="s">
        <v>354</v>
      </c>
      <c r="C42" t="s">
        <v>203</v>
      </c>
      <c r="D42" t="s">
        <v>355</v>
      </c>
      <c r="E42" t="s">
        <v>204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143</v>
      </c>
      <c r="B43" t="s">
        <v>356</v>
      </c>
      <c r="C43" t="s">
        <v>203</v>
      </c>
      <c r="D43" t="s">
        <v>357</v>
      </c>
      <c r="E43" t="s">
        <v>204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143</v>
      </c>
      <c r="B44" t="s">
        <v>358</v>
      </c>
      <c r="C44" t="s">
        <v>203</v>
      </c>
      <c r="D44" t="s">
        <v>359</v>
      </c>
      <c r="E44" t="s">
        <v>204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143</v>
      </c>
      <c r="B45" t="s">
        <v>360</v>
      </c>
      <c r="C45" t="s">
        <v>203</v>
      </c>
      <c r="D45" t="s">
        <v>361</v>
      </c>
      <c r="E45" t="s">
        <v>204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143</v>
      </c>
      <c r="B46" t="s">
        <v>362</v>
      </c>
      <c r="C46" t="s">
        <v>203</v>
      </c>
      <c r="D46" t="s">
        <v>363</v>
      </c>
      <c r="E46" t="s">
        <v>204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143</v>
      </c>
      <c r="B47" t="s">
        <v>364</v>
      </c>
      <c r="C47" t="s">
        <v>203</v>
      </c>
      <c r="D47" t="s">
        <v>365</v>
      </c>
      <c r="E47" t="s">
        <v>204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143</v>
      </c>
      <c r="B48" t="s">
        <v>366</v>
      </c>
      <c r="C48" t="s">
        <v>203</v>
      </c>
      <c r="D48" t="s">
        <v>367</v>
      </c>
      <c r="E48" t="s">
        <v>204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143</v>
      </c>
      <c r="B49" t="s">
        <v>368</v>
      </c>
      <c r="C49" t="s">
        <v>203</v>
      </c>
      <c r="D49" t="s">
        <v>369</v>
      </c>
      <c r="E49" t="s">
        <v>204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143</v>
      </c>
      <c r="B50" t="s">
        <v>370</v>
      </c>
      <c r="C50" t="s">
        <v>203</v>
      </c>
      <c r="D50" t="s">
        <v>371</v>
      </c>
      <c r="E50" t="s">
        <v>204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143</v>
      </c>
      <c r="B51" t="s">
        <v>372</v>
      </c>
      <c r="C51" t="s">
        <v>203</v>
      </c>
      <c r="D51" t="s">
        <v>373</v>
      </c>
      <c r="E51" t="s">
        <v>204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143</v>
      </c>
      <c r="B52" t="s">
        <v>374</v>
      </c>
      <c r="C52" t="s">
        <v>203</v>
      </c>
      <c r="D52" t="s">
        <v>375</v>
      </c>
      <c r="E52" t="s">
        <v>204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143</v>
      </c>
      <c r="B53" t="s">
        <v>376</v>
      </c>
      <c r="C53" t="s">
        <v>203</v>
      </c>
      <c r="D53" t="s">
        <v>377</v>
      </c>
      <c r="E53" t="s">
        <v>204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143</v>
      </c>
      <c r="B54" t="s">
        <v>378</v>
      </c>
      <c r="C54" t="s">
        <v>203</v>
      </c>
      <c r="D54" t="s">
        <v>379</v>
      </c>
      <c r="E54" t="s">
        <v>204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143</v>
      </c>
      <c r="B55" t="s">
        <v>380</v>
      </c>
      <c r="C55" t="s">
        <v>203</v>
      </c>
      <c r="D55" t="s">
        <v>381</v>
      </c>
      <c r="E55" t="s">
        <v>204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143</v>
      </c>
      <c r="B56" t="s">
        <v>382</v>
      </c>
      <c r="C56" t="s">
        <v>203</v>
      </c>
      <c r="D56" t="s">
        <v>383</v>
      </c>
      <c r="E56" t="s">
        <v>204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143</v>
      </c>
      <c r="B57" t="s">
        <v>384</v>
      </c>
      <c r="C57" t="s">
        <v>203</v>
      </c>
      <c r="D57" t="s">
        <v>385</v>
      </c>
      <c r="E57" t="s">
        <v>204</v>
      </c>
      <c r="F57"/>
      <c r="G57"/>
      <c r="H57"/>
      <c r="I57"/>
      <c r="J57"/>
      <c r="K57" t="n">
        <v>731.480715604853</v>
      </c>
      <c r="L57" t="n">
        <v>648.929306022384</v>
      </c>
      <c r="M57" t="n">
        <v>615.703234575585</v>
      </c>
      <c r="N57" t="n">
        <v>589.178397677375</v>
      </c>
      <c r="O57" t="n">
        <v>640.660005241417</v>
      </c>
      <c r="P57" t="n">
        <v>897.568398026157</v>
      </c>
      <c r="Q57" t="n">
        <v>1078.34443491675</v>
      </c>
      <c r="R57" t="n">
        <v>1178.22802229645</v>
      </c>
      <c r="S57" t="n">
        <v>986.430213614551</v>
      </c>
      <c r="T57" t="n">
        <v>1124.61689205876</v>
      </c>
      <c r="U57" t="n">
        <v>1126.27167639343</v>
      </c>
      <c r="V57" t="n">
        <v>1183.9012604552</v>
      </c>
      <c r="W57" t="n">
        <v>1122.67544002203</v>
      </c>
      <c r="X57" t="n">
        <v>1240.44726732116</v>
      </c>
      <c r="Y57" t="n">
        <v>1283.62434768242</v>
      </c>
      <c r="Z57" t="n">
        <v>1372.62801697637</v>
      </c>
      <c r="AA57" t="n">
        <v>1551.72874988038</v>
      </c>
      <c r="AB57" t="n">
        <v>1841.54746829005</v>
      </c>
      <c r="AC57" t="n">
        <v>1939.59640155704</v>
      </c>
      <c r="AD57" t="n">
        <v>2463.03166202941</v>
      </c>
      <c r="AE57" t="n">
        <v>2342.9</v>
      </c>
      <c r="AF57" t="n">
        <v>2211.7</v>
      </c>
    </row>
    <row r="58">
      <c r="A58" t="s">
        <v>143</v>
      </c>
      <c r="B58" t="s">
        <v>386</v>
      </c>
      <c r="C58" t="s">
        <v>203</v>
      </c>
      <c r="D58" t="s">
        <v>387</v>
      </c>
      <c r="E58" t="s">
        <v>204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143</v>
      </c>
      <c r="B59" t="s">
        <v>388</v>
      </c>
      <c r="C59" t="s">
        <v>203</v>
      </c>
      <c r="D59" t="s">
        <v>389</v>
      </c>
      <c r="E59" t="s">
        <v>204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144</v>
      </c>
      <c r="B2" t="s">
        <v>197</v>
      </c>
      <c r="C2" t="s">
        <v>203</v>
      </c>
      <c r="D2" t="s">
        <v>199</v>
      </c>
      <c r="E2" t="s">
        <v>204</v>
      </c>
      <c r="F2"/>
      <c r="G2"/>
      <c r="H2"/>
      <c r="I2"/>
      <c r="J2"/>
      <c r="K2" t="n">
        <v>132.545758117667</v>
      </c>
      <c r="L2" t="n">
        <v>220.222831276677</v>
      </c>
      <c r="M2" t="n">
        <v>277.514844442466</v>
      </c>
      <c r="N2" t="n">
        <v>318.869174514453</v>
      </c>
      <c r="O2" t="n">
        <v>333.629626432072</v>
      </c>
      <c r="P2" t="n">
        <v>437.76608226776</v>
      </c>
      <c r="Q2" t="n">
        <v>457.030725452217</v>
      </c>
      <c r="R2" t="n">
        <v>466.966176005526</v>
      </c>
      <c r="S2" t="n">
        <v>610.139006325921</v>
      </c>
      <c r="T2" t="n">
        <v>576.065933563754</v>
      </c>
      <c r="U2" t="n">
        <v>548.440571121675</v>
      </c>
      <c r="V2" t="n">
        <v>510.688275825319</v>
      </c>
      <c r="W2" t="n">
        <v>517.439209487084</v>
      </c>
      <c r="X2" t="n">
        <v>519.797977476589</v>
      </c>
      <c r="Y2" t="n">
        <v>526.955055812906</v>
      </c>
      <c r="Z2" t="n">
        <v>562.297523433741</v>
      </c>
      <c r="AA2" t="n">
        <v>538.643180500831</v>
      </c>
      <c r="AB2" t="n">
        <v>526.363576262673</v>
      </c>
      <c r="AC2" t="n">
        <v>544.242059372494</v>
      </c>
      <c r="AD2" t="n">
        <v>547.634957463264</v>
      </c>
      <c r="AE2" t="n">
        <v>532.4</v>
      </c>
      <c r="AF2" t="n">
        <v>515.2</v>
      </c>
    </row>
    <row r="3">
      <c r="A3" t="s">
        <v>144</v>
      </c>
      <c r="B3" t="s">
        <v>276</v>
      </c>
      <c r="C3" t="s">
        <v>203</v>
      </c>
      <c r="D3" t="s">
        <v>277</v>
      </c>
      <c r="E3" t="s">
        <v>204</v>
      </c>
      <c r="F3"/>
      <c r="G3"/>
      <c r="H3"/>
      <c r="I3"/>
      <c r="J3"/>
      <c r="K3" t="n">
        <v>69.8350753501595</v>
      </c>
      <c r="L3" t="n">
        <v>60.5124317961333</v>
      </c>
      <c r="M3" t="n">
        <v>94.2944397907227</v>
      </c>
      <c r="N3" t="n">
        <v>127.114235972299</v>
      </c>
      <c r="O3" t="n">
        <v>133.673826949949</v>
      </c>
      <c r="P3" t="n">
        <v>265.048595451128</v>
      </c>
      <c r="Q3" t="n">
        <v>332.288062143745</v>
      </c>
      <c r="R3" t="n">
        <v>382.414595348638</v>
      </c>
      <c r="S3" t="n">
        <v>411.244077037893</v>
      </c>
      <c r="T3" t="n">
        <v>399.545667844255</v>
      </c>
      <c r="U3" t="n">
        <v>367.551543822408</v>
      </c>
      <c r="V3" t="n">
        <v>311.358437526883</v>
      </c>
      <c r="W3" t="n">
        <v>267.074137183467</v>
      </c>
      <c r="X3" t="n">
        <v>229.885099899384</v>
      </c>
      <c r="Y3" t="n">
        <v>199.560327715802</v>
      </c>
      <c r="Z3" t="n">
        <v>155.00475316208</v>
      </c>
      <c r="AA3" t="n">
        <v>158.852388878869</v>
      </c>
      <c r="AB3" t="n">
        <v>143.312481271154</v>
      </c>
      <c r="AC3" t="n">
        <v>170.575803264589</v>
      </c>
      <c r="AD3" t="n">
        <v>172.873823884198</v>
      </c>
      <c r="AE3" t="n">
        <v>169.4</v>
      </c>
      <c r="AF3" t="n">
        <v>165.1</v>
      </c>
    </row>
    <row r="4">
      <c r="A4" t="s">
        <v>144</v>
      </c>
      <c r="B4" t="s">
        <v>278</v>
      </c>
      <c r="C4" t="s">
        <v>203</v>
      </c>
      <c r="D4" t="s">
        <v>279</v>
      </c>
      <c r="E4" t="s">
        <v>204</v>
      </c>
      <c r="F4"/>
      <c r="G4"/>
      <c r="H4"/>
      <c r="I4"/>
      <c r="J4"/>
      <c r="K4" t="n">
        <v>850.704466365113</v>
      </c>
      <c r="L4" t="n">
        <v>916.30711424705</v>
      </c>
      <c r="M4" t="n">
        <v>1514.0632003372</v>
      </c>
      <c r="N4" t="n">
        <v>2157.35541862681</v>
      </c>
      <c r="O4" t="n">
        <v>2112.994629798</v>
      </c>
      <c r="P4" t="n">
        <v>2905.69681123032</v>
      </c>
      <c r="Q4" t="n">
        <v>3197.125091252</v>
      </c>
      <c r="R4" t="n">
        <v>3670.83532852515</v>
      </c>
      <c r="S4" t="n">
        <v>3598.88707403402</v>
      </c>
      <c r="T4" t="n">
        <v>3418.78850338798</v>
      </c>
      <c r="U4" t="n">
        <v>3129.51555217514</v>
      </c>
      <c r="V4" t="n">
        <v>2668.0415214004</v>
      </c>
      <c r="W4" t="n">
        <v>2326.87028571041</v>
      </c>
      <c r="X4" t="n">
        <v>2039.85167438061</v>
      </c>
      <c r="Y4" t="n">
        <v>1790.27038875348</v>
      </c>
      <c r="Z4" t="n">
        <v>1606.46018471734</v>
      </c>
      <c r="AA4" t="n">
        <v>1395.14028690336</v>
      </c>
      <c r="AB4" t="n">
        <v>1250.75807137612</v>
      </c>
      <c r="AC4" t="n">
        <v>1155.24563683467</v>
      </c>
      <c r="AD4" t="n">
        <v>1160.03388899066</v>
      </c>
      <c r="AE4" t="n">
        <v>1125.8</v>
      </c>
      <c r="AF4" t="n">
        <v>1087.7</v>
      </c>
    </row>
    <row r="5">
      <c r="A5" t="s">
        <v>144</v>
      </c>
      <c r="B5" t="s">
        <v>280</v>
      </c>
      <c r="C5" t="s">
        <v>203</v>
      </c>
      <c r="D5" t="s">
        <v>281</v>
      </c>
      <c r="E5" t="s">
        <v>204</v>
      </c>
      <c r="F5"/>
      <c r="G5"/>
      <c r="H5"/>
      <c r="I5"/>
      <c r="J5"/>
      <c r="K5" t="n">
        <v>163.039461910546</v>
      </c>
      <c r="L5" t="n">
        <v>176.442975625564</v>
      </c>
      <c r="M5" t="n">
        <v>292.083355506658</v>
      </c>
      <c r="N5" t="n">
        <v>463.150077785494</v>
      </c>
      <c r="O5" t="n">
        <v>483.591758393933</v>
      </c>
      <c r="P5" t="n">
        <v>669.438536097212</v>
      </c>
      <c r="Q5" t="n">
        <v>676.09630373617</v>
      </c>
      <c r="R5" t="n">
        <v>777.196250221792</v>
      </c>
      <c r="S5" t="n">
        <v>761.026295788852</v>
      </c>
      <c r="T5" t="n">
        <v>726.090845485889</v>
      </c>
      <c r="U5" t="n">
        <v>672.365442266787</v>
      </c>
      <c r="V5" t="n">
        <v>580.068903734054</v>
      </c>
      <c r="W5" t="n">
        <v>505.033180931994</v>
      </c>
      <c r="X5" t="n">
        <v>442.057781848414</v>
      </c>
      <c r="Y5" t="n">
        <v>397.827834293324</v>
      </c>
      <c r="Z5" t="n">
        <v>366.768944819218</v>
      </c>
      <c r="AA5" t="n">
        <v>316.636688554203</v>
      </c>
      <c r="AB5" t="n">
        <v>288.184953815742</v>
      </c>
      <c r="AC5" t="n">
        <v>266.888933331564</v>
      </c>
      <c r="AD5" t="n">
        <v>267.847815726767</v>
      </c>
      <c r="AE5" t="n">
        <v>259.8</v>
      </c>
      <c r="AF5" t="n">
        <v>250.8</v>
      </c>
    </row>
    <row r="6">
      <c r="A6" t="s">
        <v>144</v>
      </c>
      <c r="B6" t="s">
        <v>282</v>
      </c>
      <c r="C6" t="s">
        <v>203</v>
      </c>
      <c r="D6" t="s">
        <v>283</v>
      </c>
      <c r="E6" t="s">
        <v>204</v>
      </c>
      <c r="F6"/>
      <c r="G6"/>
      <c r="H6"/>
      <c r="I6"/>
      <c r="J6"/>
      <c r="K6" t="n">
        <v>105.037279953491</v>
      </c>
      <c r="L6" t="n">
        <v>112.924038175255</v>
      </c>
      <c r="M6" t="n">
        <v>192.294478280336</v>
      </c>
      <c r="N6" t="n">
        <v>273.649834475863</v>
      </c>
      <c r="O6" t="n">
        <v>263.798440434732</v>
      </c>
      <c r="P6" t="n">
        <v>320.059576893428</v>
      </c>
      <c r="Q6" t="n">
        <v>366.543267334834</v>
      </c>
      <c r="R6" t="n">
        <v>365.943360186987</v>
      </c>
      <c r="S6" t="n">
        <v>328.087150512471</v>
      </c>
      <c r="T6" t="n">
        <v>307.962353548025</v>
      </c>
      <c r="U6" t="n">
        <v>281.274027242249</v>
      </c>
      <c r="V6" t="n">
        <v>239.799677851754</v>
      </c>
      <c r="W6" t="n">
        <v>207.024067851728</v>
      </c>
      <c r="X6" t="n">
        <v>179.607696299851</v>
      </c>
      <c r="Y6" t="n">
        <v>159.57129998584</v>
      </c>
      <c r="Z6" t="n">
        <v>140.590953050202</v>
      </c>
      <c r="AA6" t="n">
        <v>121.552594824654</v>
      </c>
      <c r="AB6" t="n">
        <v>107.050418210784</v>
      </c>
      <c r="AC6" t="n">
        <v>97.9622287081898</v>
      </c>
      <c r="AD6" t="n">
        <v>98.3876889848812</v>
      </c>
      <c r="AE6" t="n">
        <v>95.5</v>
      </c>
      <c r="AF6" t="n">
        <v>92.3</v>
      </c>
    </row>
    <row r="7">
      <c r="A7" t="s">
        <v>144</v>
      </c>
      <c r="B7" t="s">
        <v>284</v>
      </c>
      <c r="C7" t="s">
        <v>203</v>
      </c>
      <c r="D7" t="s">
        <v>285</v>
      </c>
      <c r="E7" t="s">
        <v>204</v>
      </c>
      <c r="F7"/>
      <c r="G7"/>
      <c r="H7"/>
      <c r="I7"/>
      <c r="J7"/>
      <c r="K7" t="n">
        <v>36.0061173149924</v>
      </c>
      <c r="L7" t="n">
        <v>66.0981863753483</v>
      </c>
      <c r="M7" t="n">
        <v>133.816426338328</v>
      </c>
      <c r="N7" t="n">
        <v>175.37938457983</v>
      </c>
      <c r="O7" t="n">
        <v>170.560323963309</v>
      </c>
      <c r="P7" t="n">
        <v>214.436927415049</v>
      </c>
      <c r="Q7" t="n">
        <v>236.500205359092</v>
      </c>
      <c r="R7" t="n">
        <v>315.567256824728</v>
      </c>
      <c r="S7" t="n">
        <v>299.823120367095</v>
      </c>
      <c r="T7" t="n">
        <v>282.223440345546</v>
      </c>
      <c r="U7" t="n">
        <v>259.620589592208</v>
      </c>
      <c r="V7" t="n">
        <v>222.760876255043</v>
      </c>
      <c r="W7" t="n">
        <v>194.252420623511</v>
      </c>
      <c r="X7" t="n">
        <v>170.177394009176</v>
      </c>
      <c r="Y7" t="n">
        <v>150.685195929935</v>
      </c>
      <c r="Z7" t="n">
        <v>135.916492128402</v>
      </c>
      <c r="AA7" t="n">
        <v>119.880779061991</v>
      </c>
      <c r="AB7" t="n">
        <v>109.508580509269</v>
      </c>
      <c r="AC7" t="n">
        <v>100.827384537665</v>
      </c>
      <c r="AD7" t="n">
        <v>101.672897196262</v>
      </c>
      <c r="AE7" t="n">
        <v>99</v>
      </c>
      <c r="AF7" t="n">
        <v>96</v>
      </c>
    </row>
    <row r="8">
      <c r="A8" t="s">
        <v>144</v>
      </c>
      <c r="B8" t="s">
        <v>286</v>
      </c>
      <c r="C8" t="s">
        <v>203</v>
      </c>
      <c r="D8" t="s">
        <v>287</v>
      </c>
      <c r="E8" t="s">
        <v>204</v>
      </c>
      <c r="F8"/>
      <c r="G8"/>
      <c r="H8"/>
      <c r="I8"/>
      <c r="J8"/>
      <c r="K8" t="n">
        <v>72.0595666218142</v>
      </c>
      <c r="L8" t="n">
        <v>35.555707214711</v>
      </c>
      <c r="M8" t="n">
        <v>71.6584253096483</v>
      </c>
      <c r="N8" t="n">
        <v>122.366879100197</v>
      </c>
      <c r="O8" t="n">
        <v>106.003866197263</v>
      </c>
      <c r="P8" t="n">
        <v>123.07407129066</v>
      </c>
      <c r="Q8" t="n">
        <v>133.330243898215</v>
      </c>
      <c r="R8" t="n">
        <v>138.593279841565</v>
      </c>
      <c r="S8" t="n">
        <v>143.429868428094</v>
      </c>
      <c r="T8" t="n">
        <v>146.26563065508</v>
      </c>
      <c r="U8" t="n">
        <v>130.938393909787</v>
      </c>
      <c r="V8" t="n">
        <v>108.654277575375</v>
      </c>
      <c r="W8" t="n">
        <v>90.4283987562801</v>
      </c>
      <c r="X8" t="n">
        <v>75.4892042249063</v>
      </c>
      <c r="Y8" t="n">
        <v>61.2946530031291</v>
      </c>
      <c r="Z8" t="n">
        <v>50.8563556600219</v>
      </c>
      <c r="AA8" t="n">
        <v>38.1124913611405</v>
      </c>
      <c r="AB8" t="n">
        <v>33.2470669320588</v>
      </c>
      <c r="AC8" t="n">
        <v>28.7630875103009</v>
      </c>
      <c r="AD8" t="n">
        <v>28.5460076045627</v>
      </c>
      <c r="AE8" t="n">
        <v>27.4</v>
      </c>
      <c r="AF8" t="n">
        <v>26.2</v>
      </c>
    </row>
    <row r="9">
      <c r="A9" t="s">
        <v>144</v>
      </c>
      <c r="B9" t="s">
        <v>288</v>
      </c>
      <c r="C9" t="s">
        <v>203</v>
      </c>
      <c r="D9" t="s">
        <v>289</v>
      </c>
      <c r="E9" t="s">
        <v>204</v>
      </c>
      <c r="F9"/>
      <c r="G9"/>
      <c r="H9"/>
      <c r="I9"/>
      <c r="J9"/>
      <c r="K9" t="n">
        <v>95.345441149539</v>
      </c>
      <c r="L9" t="n">
        <v>62.4285626574363</v>
      </c>
      <c r="M9" t="n">
        <v>111.99630553995</v>
      </c>
      <c r="N9" t="n">
        <v>125.78418764746</v>
      </c>
      <c r="O9" t="n">
        <v>116.126600206363</v>
      </c>
      <c r="P9" t="n">
        <v>146.028687737455</v>
      </c>
      <c r="Q9" t="n">
        <v>169.125061818379</v>
      </c>
      <c r="R9" t="n">
        <v>197.508513106667</v>
      </c>
      <c r="S9" t="n">
        <v>201.506661145263</v>
      </c>
      <c r="T9" t="n">
        <v>191.187685610086</v>
      </c>
      <c r="U9" t="n">
        <v>173.185341490596</v>
      </c>
      <c r="V9" t="n">
        <v>146.980627942991</v>
      </c>
      <c r="W9" t="n">
        <v>143.266316045515</v>
      </c>
      <c r="X9" t="n">
        <v>139.387490021575</v>
      </c>
      <c r="Y9" t="n">
        <v>120.140492718684</v>
      </c>
      <c r="Z9" t="n">
        <v>107.524583560364</v>
      </c>
      <c r="AA9" t="n">
        <v>95.6155775004298</v>
      </c>
      <c r="AB9" t="n">
        <v>82.806910244203</v>
      </c>
      <c r="AC9" t="n">
        <v>70.3805175038052</v>
      </c>
      <c r="AD9" t="n">
        <v>70.3805175038052</v>
      </c>
      <c r="AE9" t="n">
        <v>68</v>
      </c>
      <c r="AF9" t="n">
        <v>65.4</v>
      </c>
    </row>
    <row r="10">
      <c r="A10" t="s">
        <v>144</v>
      </c>
      <c r="B10" t="s">
        <v>290</v>
      </c>
      <c r="C10" t="s">
        <v>203</v>
      </c>
      <c r="D10" t="s">
        <v>291</v>
      </c>
      <c r="E10" t="s">
        <v>204</v>
      </c>
      <c r="F10"/>
      <c r="G10"/>
      <c r="H10"/>
      <c r="I10"/>
      <c r="J10"/>
      <c r="K10" t="n">
        <v>96.9508220261196</v>
      </c>
      <c r="L10" t="n">
        <v>62.3005282333909</v>
      </c>
      <c r="M10" t="n">
        <v>143.169057038302</v>
      </c>
      <c r="N10" t="n">
        <v>172.57186496086</v>
      </c>
      <c r="O10" t="n">
        <v>160.841489826266</v>
      </c>
      <c r="P10" t="n">
        <v>220.982220804783</v>
      </c>
      <c r="Q10" t="n">
        <v>253.447054579108</v>
      </c>
      <c r="R10" t="n">
        <v>287.564927310911</v>
      </c>
      <c r="S10" t="n">
        <v>308.645512357206</v>
      </c>
      <c r="T10" t="n">
        <v>288.984720937731</v>
      </c>
      <c r="U10" t="n">
        <v>261.227534187495</v>
      </c>
      <c r="V10" t="n">
        <v>221.141089247059</v>
      </c>
      <c r="W10" t="n">
        <v>208.661646710665</v>
      </c>
      <c r="X10" t="n">
        <v>197.273200255868</v>
      </c>
      <c r="Y10" t="n">
        <v>167.676028340518</v>
      </c>
      <c r="Z10" t="n">
        <v>147.578274420958</v>
      </c>
      <c r="AA10" t="n">
        <v>128.062837506136</v>
      </c>
      <c r="AB10" t="n">
        <v>109.735823658085</v>
      </c>
      <c r="AC10" t="n">
        <v>91.4285714285714</v>
      </c>
      <c r="AD10" t="n">
        <v>91.2131919905771</v>
      </c>
      <c r="AE10" t="n">
        <v>88</v>
      </c>
      <c r="AF10" t="n">
        <v>84.5</v>
      </c>
    </row>
    <row r="11">
      <c r="A11" t="s">
        <v>144</v>
      </c>
      <c r="B11" t="s">
        <v>292</v>
      </c>
      <c r="C11" t="s">
        <v>203</v>
      </c>
      <c r="D11" t="s">
        <v>293</v>
      </c>
      <c r="E11" t="s">
        <v>204</v>
      </c>
      <c r="F11"/>
      <c r="G11"/>
      <c r="H11"/>
      <c r="I11"/>
      <c r="J11"/>
      <c r="K11" t="n">
        <v>8.49066326911229</v>
      </c>
      <c r="L11" t="n">
        <v>4.41514489993839</v>
      </c>
      <c r="M11" t="n">
        <v>33.7156519631659</v>
      </c>
      <c r="N11" t="n">
        <v>48.1935495708783</v>
      </c>
      <c r="O11" t="n">
        <v>45.8986186389317</v>
      </c>
      <c r="P11" t="n">
        <v>75.7905761558831</v>
      </c>
      <c r="Q11" t="n">
        <v>85.3101654315012</v>
      </c>
      <c r="R11" t="n">
        <v>91.0996776563935</v>
      </c>
      <c r="S11" t="n">
        <v>108.593456336788</v>
      </c>
      <c r="T11" t="n">
        <v>99.0598744361646</v>
      </c>
      <c r="U11" t="n">
        <v>89.1684332296166</v>
      </c>
      <c r="V11" t="n">
        <v>75.0972568023014</v>
      </c>
      <c r="W11" t="n">
        <v>66.0577721872096</v>
      </c>
      <c r="X11" t="n">
        <v>58.3248186970402</v>
      </c>
      <c r="Y11" t="n">
        <v>47.8365837559058</v>
      </c>
      <c r="Z11" t="n">
        <v>40.245387845019</v>
      </c>
      <c r="AA11" t="n">
        <v>32.5287205591009</v>
      </c>
      <c r="AB11" t="n">
        <v>26.9722131326353</v>
      </c>
      <c r="AC11" t="n">
        <v>21.0514834205934</v>
      </c>
      <c r="AD11" t="n">
        <v>20.8333333333333</v>
      </c>
      <c r="AE11" t="n">
        <v>20</v>
      </c>
      <c r="AF11" t="n">
        <v>19.1</v>
      </c>
    </row>
    <row r="12">
      <c r="A12" t="s">
        <v>144</v>
      </c>
      <c r="B12" t="s">
        <v>294</v>
      </c>
      <c r="C12" t="s">
        <v>203</v>
      </c>
      <c r="D12" t="s">
        <v>295</v>
      </c>
      <c r="E12" t="s">
        <v>204</v>
      </c>
      <c r="F12"/>
      <c r="G12"/>
      <c r="H12"/>
      <c r="I12"/>
      <c r="J12"/>
      <c r="K12" t="n">
        <v>97.2697941892583</v>
      </c>
      <c r="L12" t="n">
        <v>92.0820718324978</v>
      </c>
      <c r="M12" t="n">
        <v>144.06388657665</v>
      </c>
      <c r="N12" t="n">
        <v>227.198163910648</v>
      </c>
      <c r="O12" t="n">
        <v>243.741719535209</v>
      </c>
      <c r="P12" t="n">
        <v>482.665095603124</v>
      </c>
      <c r="Q12" t="n">
        <v>563.004873034793</v>
      </c>
      <c r="R12" t="n">
        <v>647.94032933688</v>
      </c>
      <c r="S12" t="n">
        <v>613.049078903298</v>
      </c>
      <c r="T12" t="n">
        <v>589.411296577931</v>
      </c>
      <c r="U12" t="n">
        <v>537.735150747198</v>
      </c>
      <c r="V12" t="n">
        <v>454.90322955183</v>
      </c>
      <c r="W12" t="n">
        <v>394.819333491744</v>
      </c>
      <c r="X12" t="n">
        <v>344.255995749534</v>
      </c>
      <c r="Y12" t="n">
        <v>301.253131013048</v>
      </c>
      <c r="Z12" t="n">
        <v>274.590624742705</v>
      </c>
      <c r="AA12" t="n">
        <v>239.262532340938</v>
      </c>
      <c r="AB12" t="n">
        <v>211.158679335812</v>
      </c>
      <c r="AC12" t="n">
        <v>207.417679111359</v>
      </c>
      <c r="AD12" t="n">
        <v>209.520240480962</v>
      </c>
      <c r="AE12" t="n">
        <v>204.6</v>
      </c>
      <c r="AF12" t="n">
        <v>198.8</v>
      </c>
    </row>
    <row r="13">
      <c r="A13" t="s">
        <v>144</v>
      </c>
      <c r="B13" t="s">
        <v>296</v>
      </c>
      <c r="C13" t="s">
        <v>203</v>
      </c>
      <c r="D13" t="s">
        <v>297</v>
      </c>
      <c r="E13" t="s">
        <v>204</v>
      </c>
      <c r="F13"/>
      <c r="G13"/>
      <c r="H13"/>
      <c r="I13"/>
      <c r="J13"/>
      <c r="K13" t="n">
        <v>129.587346002918</v>
      </c>
      <c r="L13" t="n">
        <v>120.5267673393</v>
      </c>
      <c r="M13" t="n">
        <v>245.961864570245</v>
      </c>
      <c r="N13" t="n">
        <v>373.300038852454</v>
      </c>
      <c r="O13" t="n">
        <v>354.542176203649</v>
      </c>
      <c r="P13" t="n">
        <v>430.063931327511</v>
      </c>
      <c r="Q13" t="n">
        <v>449.370954058263</v>
      </c>
      <c r="R13" t="n">
        <v>557.178347073565</v>
      </c>
      <c r="S13" t="n">
        <v>540.854480540168</v>
      </c>
      <c r="T13" t="n">
        <v>507.611717345992</v>
      </c>
      <c r="U13" t="n">
        <v>463.148425382215</v>
      </c>
      <c r="V13" t="n">
        <v>393.357035937261</v>
      </c>
      <c r="W13" t="n">
        <v>338.18488024736</v>
      </c>
      <c r="X13" t="n">
        <v>291.869840932391</v>
      </c>
      <c r="Y13" t="n">
        <v>252.482975605583</v>
      </c>
      <c r="Z13" t="n">
        <v>222.511974904201</v>
      </c>
      <c r="AA13" t="n">
        <v>191.303966272068</v>
      </c>
      <c r="AB13" t="n">
        <v>176.128144975441</v>
      </c>
      <c r="AC13" t="n">
        <v>162.70180979424</v>
      </c>
      <c r="AD13" t="n">
        <v>163.446684005202</v>
      </c>
      <c r="AE13" t="n">
        <v>158.6</v>
      </c>
      <c r="AF13" t="n">
        <v>153.2</v>
      </c>
    </row>
    <row r="14">
      <c r="A14" t="s">
        <v>144</v>
      </c>
      <c r="B14" t="s">
        <v>298</v>
      </c>
      <c r="C14" t="s">
        <v>203</v>
      </c>
      <c r="D14" t="s">
        <v>299</v>
      </c>
      <c r="E14" t="s">
        <v>204</v>
      </c>
      <c r="F14"/>
      <c r="G14"/>
      <c r="H14"/>
      <c r="I14"/>
      <c r="J14"/>
      <c r="K14" t="n">
        <v>30.0639056918956</v>
      </c>
      <c r="L14" t="n">
        <v>38.2631526987762</v>
      </c>
      <c r="M14" t="n">
        <v>51.5080901714295</v>
      </c>
      <c r="N14" t="n">
        <v>74.0558083589227</v>
      </c>
      <c r="O14" t="n">
        <v>70.1694977161804</v>
      </c>
      <c r="P14" t="n">
        <v>78.3194960344904</v>
      </c>
      <c r="Q14" t="n">
        <v>84.114017220813</v>
      </c>
      <c r="R14" t="n">
        <v>81.8732749587832</v>
      </c>
      <c r="S14" t="n">
        <v>79.7187150914468</v>
      </c>
      <c r="T14" t="n">
        <v>72.2263546505213</v>
      </c>
      <c r="U14" t="n">
        <v>64.9011665520912</v>
      </c>
      <c r="V14" t="n">
        <v>54.2641582573304</v>
      </c>
      <c r="W14" t="n">
        <v>46.6727993301391</v>
      </c>
      <c r="X14" t="n">
        <v>40.1757335142959</v>
      </c>
      <c r="Y14" t="n">
        <v>35.0084365992739</v>
      </c>
      <c r="Z14" t="n">
        <v>30.2677108097889</v>
      </c>
      <c r="AA14" t="n">
        <v>25.0244853151798</v>
      </c>
      <c r="AB14" t="n">
        <v>22.4756951441893</v>
      </c>
      <c r="AC14" t="n">
        <v>19.8443942492598</v>
      </c>
      <c r="AD14" t="n">
        <v>19.7353591160221</v>
      </c>
      <c r="AE14" t="n">
        <v>18.9</v>
      </c>
      <c r="AF14" t="n">
        <v>18.1</v>
      </c>
    </row>
    <row r="15">
      <c r="A15" t="s">
        <v>144</v>
      </c>
      <c r="B15" t="s">
        <v>300</v>
      </c>
      <c r="C15" t="s">
        <v>203</v>
      </c>
      <c r="D15" t="s">
        <v>301</v>
      </c>
      <c r="E15" t="s">
        <v>204</v>
      </c>
      <c r="F15"/>
      <c r="G15"/>
      <c r="H15"/>
      <c r="I15"/>
      <c r="J15"/>
      <c r="K15" t="n">
        <v>41.1557089799692</v>
      </c>
      <c r="L15" t="n">
        <v>52.0359538827196</v>
      </c>
      <c r="M15" t="n">
        <v>72.3792280344002</v>
      </c>
      <c r="N15" t="n">
        <v>105.241061452317</v>
      </c>
      <c r="O15" t="n">
        <v>100.927903196075</v>
      </c>
      <c r="P15" t="n">
        <v>131.08799926834</v>
      </c>
      <c r="Q15" t="n">
        <v>146.640812740854</v>
      </c>
      <c r="R15" t="n">
        <v>160.452331150167</v>
      </c>
      <c r="S15" t="n">
        <v>179.561643689612</v>
      </c>
      <c r="T15" t="n">
        <v>166.321389929566</v>
      </c>
      <c r="U15" t="n">
        <v>150.619720250901</v>
      </c>
      <c r="V15" t="n">
        <v>127.047121756349</v>
      </c>
      <c r="W15" t="n">
        <v>109.754209464596</v>
      </c>
      <c r="X15" t="n">
        <v>95.1641289249911</v>
      </c>
      <c r="Y15" t="n">
        <v>82.0998743484782</v>
      </c>
      <c r="Z15" t="n">
        <v>71.4907863269421</v>
      </c>
      <c r="AA15" t="n">
        <v>61.6667213184385</v>
      </c>
      <c r="AB15" t="n">
        <v>53.5981783421942</v>
      </c>
      <c r="AC15" t="n">
        <v>46.3935352249135</v>
      </c>
      <c r="AD15" t="n">
        <v>46.1762352941176</v>
      </c>
      <c r="AE15" t="n">
        <v>44.3</v>
      </c>
      <c r="AF15" t="n">
        <v>42.4</v>
      </c>
    </row>
    <row r="16">
      <c r="A16" t="s">
        <v>144</v>
      </c>
      <c r="B16" t="s">
        <v>302</v>
      </c>
      <c r="C16" t="s">
        <v>203</v>
      </c>
      <c r="D16" t="s">
        <v>303</v>
      </c>
      <c r="E16" t="s">
        <v>204</v>
      </c>
      <c r="F16"/>
      <c r="G16"/>
      <c r="H16"/>
      <c r="I16"/>
      <c r="J16"/>
      <c r="K16" t="n">
        <v>11.197484174866</v>
      </c>
      <c r="L16" t="n">
        <v>13.8635518355483</v>
      </c>
      <c r="M16" t="n">
        <v>21.136234765672</v>
      </c>
      <c r="N16" t="n">
        <v>31.5976034880754</v>
      </c>
      <c r="O16" t="n">
        <v>31.1617744744467</v>
      </c>
      <c r="P16" t="n">
        <v>53.1122068086482</v>
      </c>
      <c r="Q16" t="n">
        <v>62.8525077112723</v>
      </c>
      <c r="R16" t="n">
        <v>78.7345929931529</v>
      </c>
      <c r="S16" t="n">
        <v>99.8945148600628</v>
      </c>
      <c r="T16" t="n">
        <v>94.1228317792592</v>
      </c>
      <c r="U16" t="n">
        <v>85.7370802536109</v>
      </c>
      <c r="V16" t="n">
        <v>72.7927608547531</v>
      </c>
      <c r="W16" t="n">
        <v>63.0870594074527</v>
      </c>
      <c r="X16" t="n">
        <v>54.9889275580488</v>
      </c>
      <c r="Y16" t="n">
        <v>47.0969981399955</v>
      </c>
      <c r="Z16" t="n">
        <v>41.2248533337366</v>
      </c>
      <c r="AA16" t="n">
        <v>36.6312268194059</v>
      </c>
      <c r="AB16" t="n">
        <v>31.1193180816897</v>
      </c>
      <c r="AC16" t="n">
        <v>26.5493482934695</v>
      </c>
      <c r="AD16" t="n">
        <v>26.4409836065574</v>
      </c>
      <c r="AE16" t="n">
        <v>25.4</v>
      </c>
      <c r="AF16" t="n">
        <v>24.3</v>
      </c>
    </row>
    <row r="17">
      <c r="A17" t="s">
        <v>144</v>
      </c>
      <c r="B17" t="s">
        <v>304</v>
      </c>
      <c r="C17" t="s">
        <v>203</v>
      </c>
      <c r="D17" t="s">
        <v>305</v>
      </c>
      <c r="E17" t="s">
        <v>204</v>
      </c>
      <c r="F17"/>
      <c r="G17"/>
      <c r="H17"/>
      <c r="I17"/>
      <c r="J17"/>
      <c r="K17" t="n">
        <v>62.4118306254702</v>
      </c>
      <c r="L17" t="n">
        <v>104.745436669878</v>
      </c>
      <c r="M17" t="n">
        <v>131.309743289249</v>
      </c>
      <c r="N17" t="n">
        <v>152.468659269508</v>
      </c>
      <c r="O17" t="n">
        <v>135.808874923324</v>
      </c>
      <c r="P17" t="n">
        <v>168.951573712466</v>
      </c>
      <c r="Q17" t="n">
        <v>186.325397661911</v>
      </c>
      <c r="R17" t="n">
        <v>212.618702906885</v>
      </c>
      <c r="S17" t="n">
        <v>197.476254902503</v>
      </c>
      <c r="T17" t="n">
        <v>184.028051163623</v>
      </c>
      <c r="U17" t="n">
        <v>167.614362548878</v>
      </c>
      <c r="V17" t="n">
        <v>142.155815822841</v>
      </c>
      <c r="W17" t="n">
        <v>121.847842133864</v>
      </c>
      <c r="X17" t="n">
        <v>104.913920499795</v>
      </c>
      <c r="Y17" t="n">
        <v>90.5848220942411</v>
      </c>
      <c r="Z17" t="n">
        <v>78.9533079731907</v>
      </c>
      <c r="AA17" t="n">
        <v>67.2436396834811</v>
      </c>
      <c r="AB17" t="n">
        <v>59.8853289437062</v>
      </c>
      <c r="AC17" t="n">
        <v>53.9720558882236</v>
      </c>
      <c r="AD17" t="n">
        <v>53.8645418326693</v>
      </c>
      <c r="AE17" t="n">
        <v>52</v>
      </c>
      <c r="AF17" t="n">
        <v>50.1</v>
      </c>
    </row>
    <row r="18">
      <c r="A18" t="s">
        <v>144</v>
      </c>
      <c r="B18" t="s">
        <v>306</v>
      </c>
      <c r="C18" t="s">
        <v>203</v>
      </c>
      <c r="D18" t="s">
        <v>307</v>
      </c>
      <c r="E18" t="s">
        <v>204</v>
      </c>
      <c r="F18"/>
      <c r="G18"/>
      <c r="H18"/>
      <c r="I18"/>
      <c r="J18"/>
      <c r="K18" t="n">
        <v>67.6694856554612</v>
      </c>
      <c r="L18" t="n">
        <v>59.4595848222619</v>
      </c>
      <c r="M18" t="n">
        <v>60.6487765187071</v>
      </c>
      <c r="N18" t="n">
        <v>62.0647012623345</v>
      </c>
      <c r="O18" t="n">
        <v>59.1325106515155</v>
      </c>
      <c r="P18" t="n">
        <v>64.9341909418529</v>
      </c>
      <c r="Q18" t="n">
        <v>85.1220644077495</v>
      </c>
      <c r="R18" t="n">
        <v>83.4043545878622</v>
      </c>
      <c r="S18" t="n">
        <v>110.962467372911</v>
      </c>
      <c r="T18" t="n">
        <v>103.467205259616</v>
      </c>
      <c r="U18" t="n">
        <v>93.0573949743495</v>
      </c>
      <c r="V18" t="n">
        <v>78.728203181839</v>
      </c>
      <c r="W18" t="n">
        <v>67.4601364364158</v>
      </c>
      <c r="X18" t="n">
        <v>58.1981914748587</v>
      </c>
      <c r="Y18" t="n">
        <v>50.7060105033826</v>
      </c>
      <c r="Z18" t="n">
        <v>43.4800925446696</v>
      </c>
      <c r="AA18" t="n">
        <v>34.4925873818049</v>
      </c>
      <c r="AB18" t="n">
        <v>28.7438228181708</v>
      </c>
      <c r="AC18" t="n">
        <v>25.7703239059462</v>
      </c>
      <c r="AD18" t="n">
        <v>25.442735042735</v>
      </c>
      <c r="AE18" t="n">
        <v>24.4</v>
      </c>
      <c r="AF18" t="n">
        <v>23.3</v>
      </c>
    </row>
    <row r="19">
      <c r="A19" t="s">
        <v>144</v>
      </c>
      <c r="B19" t="s">
        <v>308</v>
      </c>
      <c r="C19" t="s">
        <v>203</v>
      </c>
      <c r="D19" t="s">
        <v>309</v>
      </c>
      <c r="E19" t="s">
        <v>204</v>
      </c>
      <c r="F19"/>
      <c r="G19"/>
      <c r="H19"/>
      <c r="I19"/>
      <c r="J19"/>
      <c r="K19" t="n">
        <v>33.4141731234471</v>
      </c>
      <c r="L19" t="n">
        <v>44.2961835276349</v>
      </c>
      <c r="M19" t="n">
        <v>46.816026303159</v>
      </c>
      <c r="N19" t="n">
        <v>53.4636191619157</v>
      </c>
      <c r="O19" t="n">
        <v>51.7540266887149</v>
      </c>
      <c r="P19" t="n">
        <v>88.4442012288414</v>
      </c>
      <c r="Q19" t="n">
        <v>110.121701530028</v>
      </c>
      <c r="R19" t="n">
        <v>125.21245322118</v>
      </c>
      <c r="S19" t="n">
        <v>129.079504492122</v>
      </c>
      <c r="T19" t="n">
        <v>128.100702562324</v>
      </c>
      <c r="U19" t="n">
        <v>121.397050192269</v>
      </c>
      <c r="V19" t="n">
        <v>106.845135968357</v>
      </c>
      <c r="W19" t="n">
        <v>95.7963775898113</v>
      </c>
      <c r="X19" t="n">
        <v>86.3680585317618</v>
      </c>
      <c r="Y19" t="n">
        <v>80.1329313115544</v>
      </c>
      <c r="Z19" t="n">
        <v>76.3955929513448</v>
      </c>
      <c r="AA19" t="n">
        <v>78.2642621314496</v>
      </c>
      <c r="AB19" t="n">
        <v>74.3510490248771</v>
      </c>
      <c r="AC19" t="n">
        <v>73.2071867321867</v>
      </c>
      <c r="AD19" t="n">
        <v>73.9434659090909</v>
      </c>
      <c r="AE19" t="n">
        <v>72.2</v>
      </c>
      <c r="AF19" t="n">
        <v>70.1</v>
      </c>
    </row>
    <row r="20">
      <c r="A20" t="s">
        <v>144</v>
      </c>
      <c r="B20" t="s">
        <v>310</v>
      </c>
      <c r="C20" t="s">
        <v>203</v>
      </c>
      <c r="D20" t="s">
        <v>311</v>
      </c>
      <c r="E20" t="s">
        <v>204</v>
      </c>
      <c r="F20"/>
      <c r="G20"/>
      <c r="H20"/>
      <c r="I20"/>
      <c r="J20"/>
      <c r="K20" t="n">
        <v>66.3109074410083</v>
      </c>
      <c r="L20" t="n">
        <v>37.6212903440823</v>
      </c>
      <c r="M20" t="n">
        <v>171.539277990907</v>
      </c>
      <c r="N20" t="n">
        <v>667.580663322662</v>
      </c>
      <c r="O20" t="n">
        <v>743.690962125784</v>
      </c>
      <c r="P20" t="n">
        <v>1070.156999143</v>
      </c>
      <c r="Q20" t="n">
        <v>979.821118101615</v>
      </c>
      <c r="R20" t="n">
        <v>1235.203151132</v>
      </c>
      <c r="S20" t="n">
        <v>1392.79704608237</v>
      </c>
      <c r="T20" t="n">
        <v>1375.92971422501</v>
      </c>
      <c r="U20" t="n">
        <v>1245.67796937601</v>
      </c>
      <c r="V20" t="n">
        <v>1046.11020789604</v>
      </c>
      <c r="W20" t="n">
        <v>885.953625015033</v>
      </c>
      <c r="X20" t="n">
        <v>751.906046360495</v>
      </c>
      <c r="Y20" t="n">
        <v>642.675236563906</v>
      </c>
      <c r="Z20" t="n">
        <v>527.928079964641</v>
      </c>
      <c r="AA20" t="n">
        <v>463.659556751145</v>
      </c>
      <c r="AB20" t="n">
        <v>405.729856266679</v>
      </c>
      <c r="AC20" t="n">
        <v>365.156870640011</v>
      </c>
      <c r="AD20" t="n">
        <v>366.541654571843</v>
      </c>
      <c r="AE20" t="n">
        <v>355.5</v>
      </c>
      <c r="AF20" t="n">
        <v>343.2</v>
      </c>
    </row>
    <row r="21">
      <c r="A21" t="s">
        <v>144</v>
      </c>
      <c r="B21" t="s">
        <v>312</v>
      </c>
      <c r="C21" t="s">
        <v>203</v>
      </c>
      <c r="D21" t="s">
        <v>313</v>
      </c>
      <c r="E21" t="s">
        <v>204</v>
      </c>
      <c r="F21"/>
      <c r="G21"/>
      <c r="H21"/>
      <c r="I21"/>
      <c r="J21"/>
      <c r="K21" t="n">
        <v>74.2098467795617</v>
      </c>
      <c r="L21" t="n">
        <v>54.1113466100971</v>
      </c>
      <c r="M21" t="n">
        <v>204.139690793855</v>
      </c>
      <c r="N21" t="n">
        <v>708.933532204493</v>
      </c>
      <c r="O21" t="n">
        <v>786.200521902321</v>
      </c>
      <c r="P21" t="n">
        <v>1150.00189714329</v>
      </c>
      <c r="Q21" t="n">
        <v>1068.04917985129</v>
      </c>
      <c r="R21" t="n">
        <v>1329.03699393502</v>
      </c>
      <c r="S21" t="n">
        <v>1482.05253012859</v>
      </c>
      <c r="T21" t="n">
        <v>1463.31872005674</v>
      </c>
      <c r="U21" t="n">
        <v>1338.31483115713</v>
      </c>
      <c r="V21" t="n">
        <v>1133.40341061335</v>
      </c>
      <c r="W21" t="n">
        <v>966.323458545099</v>
      </c>
      <c r="X21" t="n">
        <v>826.304667108883</v>
      </c>
      <c r="Y21" t="n">
        <v>725.885697147734</v>
      </c>
      <c r="Z21" t="n">
        <v>628.124460600855</v>
      </c>
      <c r="AA21" t="n">
        <v>556.54171966734</v>
      </c>
      <c r="AB21" t="n">
        <v>510.838074360794</v>
      </c>
      <c r="AC21" t="n">
        <v>463.618637849931</v>
      </c>
      <c r="AD21" t="n">
        <v>465.428816270567</v>
      </c>
      <c r="AE21" t="n">
        <v>451.5</v>
      </c>
      <c r="AF21" t="n">
        <v>436</v>
      </c>
    </row>
    <row r="22">
      <c r="A22" t="s">
        <v>144</v>
      </c>
      <c r="B22" t="s">
        <v>314</v>
      </c>
      <c r="C22" t="s">
        <v>203</v>
      </c>
      <c r="D22" t="s">
        <v>315</v>
      </c>
      <c r="E22" t="s">
        <v>204</v>
      </c>
      <c r="F22"/>
      <c r="G22"/>
      <c r="H22"/>
      <c r="I22"/>
      <c r="J22"/>
      <c r="K22" t="n">
        <v>12.670933740199</v>
      </c>
      <c r="L22" t="n">
        <v>14.7595491918802</v>
      </c>
      <c r="M22" t="n">
        <v>31.0953609188156</v>
      </c>
      <c r="N22" t="n">
        <v>43.1712292368022</v>
      </c>
      <c r="O22" t="n">
        <v>44.8127208427643</v>
      </c>
      <c r="P22" t="n">
        <v>82.027437113572</v>
      </c>
      <c r="Q22" t="n">
        <v>89.4709432037328</v>
      </c>
      <c r="R22" t="n">
        <v>96.1707954249171</v>
      </c>
      <c r="S22" t="n">
        <v>92.6240710546365</v>
      </c>
      <c r="T22" t="n">
        <v>90.7465561008263</v>
      </c>
      <c r="U22" t="n">
        <v>95.2340231607573</v>
      </c>
      <c r="V22" t="n">
        <v>89.29875826122</v>
      </c>
      <c r="W22" t="n">
        <v>81.9506038157361</v>
      </c>
      <c r="X22" t="n">
        <v>75.6375485799308</v>
      </c>
      <c r="Y22" t="n">
        <v>84.0154985786439</v>
      </c>
      <c r="Z22" t="n">
        <v>100.305356204782</v>
      </c>
      <c r="AA22" t="n">
        <v>92.9332476195754</v>
      </c>
      <c r="AB22" t="n">
        <v>105.117582825956</v>
      </c>
      <c r="AC22" t="n">
        <v>98.4618966771768</v>
      </c>
      <c r="AD22" t="n">
        <v>98.8872180451128</v>
      </c>
      <c r="AE22" t="n">
        <v>96</v>
      </c>
      <c r="AF22" t="n">
        <v>92.8</v>
      </c>
    </row>
    <row r="23">
      <c r="A23" t="s">
        <v>144</v>
      </c>
      <c r="B23" t="s">
        <v>316</v>
      </c>
      <c r="C23" t="s">
        <v>203</v>
      </c>
      <c r="D23" t="s">
        <v>317</v>
      </c>
      <c r="E23" t="s">
        <v>204</v>
      </c>
      <c r="F23"/>
      <c r="G23"/>
      <c r="H23"/>
      <c r="I23"/>
      <c r="J23"/>
      <c r="K23" t="n">
        <v>191.572067923234</v>
      </c>
      <c r="L23" t="n">
        <v>246.896759952789</v>
      </c>
      <c r="M23" t="n">
        <v>268.031346547387</v>
      </c>
      <c r="N23" t="n">
        <v>318.938230648067</v>
      </c>
      <c r="O23" t="n">
        <v>321.325492853517</v>
      </c>
      <c r="P23" t="n">
        <v>504.037037736032</v>
      </c>
      <c r="Q23" t="n">
        <v>658.802997430782</v>
      </c>
      <c r="R23" t="n">
        <v>894.282561240024</v>
      </c>
      <c r="S23" t="n">
        <v>799.089858092061</v>
      </c>
      <c r="T23" t="n">
        <v>768.900932587513</v>
      </c>
      <c r="U23" t="n">
        <v>744.926293264071</v>
      </c>
      <c r="V23" t="n">
        <v>675.271190966313</v>
      </c>
      <c r="W23" t="n">
        <v>626.398851913971</v>
      </c>
      <c r="X23" t="n">
        <v>583.361123398763</v>
      </c>
      <c r="Y23" t="n">
        <v>554.251520247202</v>
      </c>
      <c r="Z23" t="n">
        <v>583.563434549437</v>
      </c>
      <c r="AA23" t="n">
        <v>513.750631029719</v>
      </c>
      <c r="AB23" t="n">
        <v>391.381332481461</v>
      </c>
      <c r="AC23" t="n">
        <v>407.543638519157</v>
      </c>
      <c r="AD23" t="n">
        <v>409.457987551867</v>
      </c>
      <c r="AE23" t="n">
        <v>397.5</v>
      </c>
      <c r="AF23" t="n">
        <v>384.1</v>
      </c>
    </row>
    <row r="24">
      <c r="A24" t="s">
        <v>144</v>
      </c>
      <c r="B24" t="s">
        <v>318</v>
      </c>
      <c r="C24" t="s">
        <v>203</v>
      </c>
      <c r="D24" t="s">
        <v>319</v>
      </c>
      <c r="E24" t="s">
        <v>204</v>
      </c>
      <c r="F24"/>
      <c r="G24"/>
      <c r="H24"/>
      <c r="I24"/>
      <c r="J24"/>
      <c r="K24" t="n">
        <v>446.529122232308</v>
      </c>
      <c r="L24" t="n">
        <v>796.66113867253</v>
      </c>
      <c r="M24" t="n">
        <v>927.328970464468</v>
      </c>
      <c r="N24" t="n">
        <v>1161.24724363028</v>
      </c>
      <c r="O24" t="n">
        <v>1078.93864421206</v>
      </c>
      <c r="P24" t="n">
        <v>1332.61342203222</v>
      </c>
      <c r="Q24" t="n">
        <v>1440.55223632063</v>
      </c>
      <c r="R24" t="n">
        <v>1792.36266329826</v>
      </c>
      <c r="S24" t="n">
        <v>1576.41989499088</v>
      </c>
      <c r="T24" t="n">
        <v>1515.7033609995</v>
      </c>
      <c r="U24" t="n">
        <v>1515.7033609995</v>
      </c>
      <c r="V24" t="n">
        <v>1423.45194749861</v>
      </c>
      <c r="W24" t="n">
        <v>1358.60619268767</v>
      </c>
      <c r="X24" t="n">
        <v>1298.78629601095</v>
      </c>
      <c r="Y24" t="n">
        <v>1206.9619156691</v>
      </c>
      <c r="Z24" t="n">
        <v>1168.85626728943</v>
      </c>
      <c r="AA24" t="n">
        <v>1135.27821452003</v>
      </c>
      <c r="AB24" t="n">
        <v>941.380906115217</v>
      </c>
      <c r="AC24" t="n">
        <v>960.279648536958</v>
      </c>
      <c r="AD24" t="n">
        <v>977.479305599661</v>
      </c>
      <c r="AE24" t="n">
        <v>961.4</v>
      </c>
      <c r="AF24" t="n">
        <v>941</v>
      </c>
    </row>
    <row r="25">
      <c r="A25" t="s">
        <v>144</v>
      </c>
      <c r="B25" t="s">
        <v>320</v>
      </c>
      <c r="C25" t="s">
        <v>203</v>
      </c>
      <c r="D25" t="s">
        <v>321</v>
      </c>
      <c r="E25" t="s">
        <v>204</v>
      </c>
      <c r="F25"/>
      <c r="G25"/>
      <c r="H25"/>
      <c r="I25"/>
      <c r="J25"/>
      <c r="K25" t="n">
        <v>47.0990130096368</v>
      </c>
      <c r="L25" t="n">
        <v>70.7167789535997</v>
      </c>
      <c r="M25" t="n">
        <v>86.4470860830421</v>
      </c>
      <c r="N25" t="n">
        <v>106.306551804822</v>
      </c>
      <c r="O25" t="n">
        <v>105.514401642342</v>
      </c>
      <c r="P25" t="n">
        <v>146.639502709201</v>
      </c>
      <c r="Q25" t="n">
        <v>163.093147698225</v>
      </c>
      <c r="R25" t="n">
        <v>182.463845473014</v>
      </c>
      <c r="S25" t="n">
        <v>161.777537410667</v>
      </c>
      <c r="T25" t="n">
        <v>157.368762734827</v>
      </c>
      <c r="U25" t="n">
        <v>157.614076472528</v>
      </c>
      <c r="V25" t="n">
        <v>157.746971983887</v>
      </c>
      <c r="W25" t="n">
        <v>157.990220976924</v>
      </c>
      <c r="X25" t="n">
        <v>157.180014715503</v>
      </c>
      <c r="Y25" t="n">
        <v>150.545050484427</v>
      </c>
      <c r="Z25" t="n">
        <v>191.86901607129</v>
      </c>
      <c r="AA25" t="n">
        <v>209.658919154123</v>
      </c>
      <c r="AB25" t="n">
        <v>191.121341503992</v>
      </c>
      <c r="AC25" t="n">
        <v>156.134647840693</v>
      </c>
      <c r="AD25" t="n">
        <v>157.50702811245</v>
      </c>
      <c r="AE25" t="n">
        <v>153.5</v>
      </c>
      <c r="AF25" t="n">
        <v>148.8</v>
      </c>
    </row>
    <row r="26">
      <c r="A26" t="s">
        <v>144</v>
      </c>
      <c r="B26" t="s">
        <v>322</v>
      </c>
      <c r="C26" t="s">
        <v>203</v>
      </c>
      <c r="D26" t="s">
        <v>323</v>
      </c>
      <c r="E26" t="s">
        <v>204</v>
      </c>
      <c r="F26"/>
      <c r="G26"/>
      <c r="H26"/>
      <c r="I26"/>
      <c r="J26"/>
      <c r="K26" t="n">
        <v>256.123444399994</v>
      </c>
      <c r="L26" t="n">
        <v>516.74282695197</v>
      </c>
      <c r="M26" t="n">
        <v>579.22341059002</v>
      </c>
      <c r="N26" t="n">
        <v>737.849507833587</v>
      </c>
      <c r="O26" t="n">
        <v>677.93275652249</v>
      </c>
      <c r="P26" t="n">
        <v>831.028258154477</v>
      </c>
      <c r="Q26" t="n">
        <v>895.776580678233</v>
      </c>
      <c r="R26" t="n">
        <v>1093.60031097381</v>
      </c>
      <c r="S26" t="n">
        <v>950.766295998867</v>
      </c>
      <c r="T26" t="n">
        <v>904.610346114021</v>
      </c>
      <c r="U26" t="n">
        <v>903.8007996524</v>
      </c>
      <c r="V26" t="n">
        <v>841.262687304462</v>
      </c>
      <c r="W26" t="n">
        <v>813.070392880305</v>
      </c>
      <c r="X26" t="n">
        <v>785.942210086396</v>
      </c>
      <c r="Y26" t="n">
        <v>728.852775931765</v>
      </c>
      <c r="Z26" t="n">
        <v>677.765944918701</v>
      </c>
      <c r="AA26" t="n">
        <v>658.263397617513</v>
      </c>
      <c r="AB26" t="n">
        <v>505.263317017792</v>
      </c>
      <c r="AC26" t="n">
        <v>561.760486328818</v>
      </c>
      <c r="AD26" t="n">
        <v>574.193817012152</v>
      </c>
      <c r="AE26" t="n">
        <v>567.1</v>
      </c>
      <c r="AF26" t="n">
        <v>557.4</v>
      </c>
    </row>
    <row r="27">
      <c r="A27" t="s">
        <v>144</v>
      </c>
      <c r="B27" t="s">
        <v>324</v>
      </c>
      <c r="C27" t="s">
        <v>203</v>
      </c>
      <c r="D27" t="s">
        <v>325</v>
      </c>
      <c r="E27" t="s">
        <v>204</v>
      </c>
      <c r="F27"/>
      <c r="G27"/>
      <c r="H27"/>
      <c r="I27"/>
      <c r="J27"/>
      <c r="K27" t="n">
        <v>139.321873156286</v>
      </c>
      <c r="L27" t="n">
        <v>209.170575062133</v>
      </c>
      <c r="M27" t="n">
        <v>259.651254879559</v>
      </c>
      <c r="N27" t="n">
        <v>315.385822397251</v>
      </c>
      <c r="O27" t="n">
        <v>294.062340572312</v>
      </c>
      <c r="P27" t="n">
        <v>354.277069497357</v>
      </c>
      <c r="Q27" t="n">
        <v>381.243040666447</v>
      </c>
      <c r="R27" t="n">
        <v>513.751298559056</v>
      </c>
      <c r="S27" t="n">
        <v>461.585021371395</v>
      </c>
      <c r="T27" t="n">
        <v>451.578069749338</v>
      </c>
      <c r="U27" t="n">
        <v>452.157610393267</v>
      </c>
      <c r="V27" t="n">
        <v>422.998367511959</v>
      </c>
      <c r="W27" t="n">
        <v>386.272018266122</v>
      </c>
      <c r="X27" t="n">
        <v>354.421518514354</v>
      </c>
      <c r="Y27" t="n">
        <v>326.517856104335</v>
      </c>
      <c r="Z27" t="n">
        <v>299.299069417549</v>
      </c>
      <c r="AA27" t="n">
        <v>267.731528978621</v>
      </c>
      <c r="AB27" t="n">
        <v>246.783273617419</v>
      </c>
      <c r="AC27" t="n">
        <v>242.464566329115</v>
      </c>
      <c r="AD27" t="n">
        <v>245.806024607552</v>
      </c>
      <c r="AE27" t="n">
        <v>240.8</v>
      </c>
      <c r="AF27" t="n">
        <v>234.8</v>
      </c>
    </row>
    <row r="28">
      <c r="A28" t="s">
        <v>144</v>
      </c>
      <c r="B28" t="s">
        <v>326</v>
      </c>
      <c r="C28" t="s">
        <v>203</v>
      </c>
      <c r="D28" t="s">
        <v>327</v>
      </c>
      <c r="E28" t="s">
        <v>204</v>
      </c>
      <c r="F28"/>
      <c r="G28"/>
      <c r="H28"/>
      <c r="I28"/>
      <c r="J28"/>
      <c r="K28" t="n">
        <v>281.858263790948</v>
      </c>
      <c r="L28" t="n">
        <v>292.636944760972</v>
      </c>
      <c r="M28" t="n">
        <v>395.434558317847</v>
      </c>
      <c r="N28" t="n">
        <v>483.490763771076</v>
      </c>
      <c r="O28" t="n">
        <v>506.339805087672</v>
      </c>
      <c r="P28" t="n">
        <v>751.066510284352</v>
      </c>
      <c r="Q28" t="n">
        <v>920.512917449736</v>
      </c>
      <c r="R28" t="n">
        <v>1172.49823859393</v>
      </c>
      <c r="S28" t="n">
        <v>987.122080004552</v>
      </c>
      <c r="T28" t="n">
        <v>971.131738302448</v>
      </c>
      <c r="U28" t="n">
        <v>1107.02350042788</v>
      </c>
      <c r="V28" t="n">
        <v>1152.87353035816</v>
      </c>
      <c r="W28" t="n">
        <v>1210.64743493967</v>
      </c>
      <c r="X28" t="n">
        <v>1251.29924467732</v>
      </c>
      <c r="Y28" t="n">
        <v>1531.52267472278</v>
      </c>
      <c r="Z28" t="n">
        <v>1741.83359498241</v>
      </c>
      <c r="AA28" t="n">
        <v>2083.90583743627</v>
      </c>
      <c r="AB28" t="n">
        <v>2213.76092360879</v>
      </c>
      <c r="AC28" t="n">
        <v>2292.3163875058</v>
      </c>
      <c r="AD28" t="n">
        <v>2323.04785207154</v>
      </c>
      <c r="AE28" t="n">
        <v>2274.7</v>
      </c>
      <c r="AF28" t="n">
        <v>2216.9</v>
      </c>
    </row>
    <row r="29">
      <c r="A29" t="s">
        <v>144</v>
      </c>
      <c r="B29" t="s">
        <v>328</v>
      </c>
      <c r="C29" t="s">
        <v>203</v>
      </c>
      <c r="D29" t="s">
        <v>329</v>
      </c>
      <c r="E29" t="s">
        <v>204</v>
      </c>
      <c r="F29"/>
      <c r="G29"/>
      <c r="H29"/>
      <c r="I29"/>
      <c r="J29"/>
      <c r="K29" t="n">
        <v>181.164581573485</v>
      </c>
      <c r="L29" t="n">
        <v>194.475826565966</v>
      </c>
      <c r="M29" t="n">
        <v>261.498085457317</v>
      </c>
      <c r="N29" t="n">
        <v>308.133411834321</v>
      </c>
      <c r="O29" t="n">
        <v>329.112707959211</v>
      </c>
      <c r="P29" t="n">
        <v>520.068803055218</v>
      </c>
      <c r="Q29" t="n">
        <v>639.235912100403</v>
      </c>
      <c r="R29" t="n">
        <v>854.883190310832</v>
      </c>
      <c r="S29" t="n">
        <v>717.635666435108</v>
      </c>
      <c r="T29" t="n">
        <v>708.245194999807</v>
      </c>
      <c r="U29" t="n">
        <v>843.193359618693</v>
      </c>
      <c r="V29" t="n">
        <v>906.007825688486</v>
      </c>
      <c r="W29" t="n">
        <v>960.261961956042</v>
      </c>
      <c r="X29" t="n">
        <v>999.596869112865</v>
      </c>
      <c r="Y29" t="n">
        <v>1332.3283418551</v>
      </c>
      <c r="Z29" t="n">
        <v>1559.15704851608</v>
      </c>
      <c r="AA29" t="n">
        <v>1901.11634715621</v>
      </c>
      <c r="AB29" t="n">
        <v>2024.20390310066</v>
      </c>
      <c r="AC29" t="n">
        <v>2082.31301969111</v>
      </c>
      <c r="AD29" t="n">
        <v>2099.73425730642</v>
      </c>
      <c r="AE29" t="n">
        <v>2045.7</v>
      </c>
      <c r="AF29" t="n">
        <v>1983.7</v>
      </c>
    </row>
    <row r="30">
      <c r="A30" t="s">
        <v>144</v>
      </c>
      <c r="B30" t="s">
        <v>330</v>
      </c>
      <c r="C30" t="s">
        <v>203</v>
      </c>
      <c r="D30" t="s">
        <v>331</v>
      </c>
      <c r="E30" t="s">
        <v>204</v>
      </c>
      <c r="F30"/>
      <c r="G30"/>
      <c r="H30"/>
      <c r="I30"/>
      <c r="J30"/>
      <c r="K30" t="n">
        <v>96.2621941255424</v>
      </c>
      <c r="L30" t="n">
        <v>66.9477810996571</v>
      </c>
      <c r="M30" t="n">
        <v>58.9263879725092</v>
      </c>
      <c r="N30" t="n">
        <v>77.8762836641091</v>
      </c>
      <c r="O30" t="n">
        <v>73.4262103118743</v>
      </c>
      <c r="P30" t="n">
        <v>103.685426665183</v>
      </c>
      <c r="Q30" t="n">
        <v>129.030753183339</v>
      </c>
      <c r="R30" t="n">
        <v>146.327100795046</v>
      </c>
      <c r="S30" t="n">
        <v>115.581968380806</v>
      </c>
      <c r="T30" t="n">
        <v>108.163356803091</v>
      </c>
      <c r="U30" t="n">
        <v>99.8877711148005</v>
      </c>
      <c r="V30" t="n">
        <v>89.1636239092237</v>
      </c>
      <c r="W30" t="n">
        <v>78.7635122557373</v>
      </c>
      <c r="X30" t="n">
        <v>69.9107538534396</v>
      </c>
      <c r="Y30" t="n">
        <v>56.9924623805214</v>
      </c>
      <c r="Z30" t="n">
        <v>50.6864070440545</v>
      </c>
      <c r="AA30" t="n">
        <v>51.271700427935</v>
      </c>
      <c r="AB30" t="n">
        <v>58.237343470483</v>
      </c>
      <c r="AC30" t="n">
        <v>60.2826475849732</v>
      </c>
      <c r="AD30" t="n">
        <v>60.175</v>
      </c>
      <c r="AE30" t="n">
        <v>58.1</v>
      </c>
      <c r="AF30" t="n">
        <v>55.8</v>
      </c>
    </row>
    <row r="31">
      <c r="A31" t="s">
        <v>144</v>
      </c>
      <c r="B31" t="s">
        <v>332</v>
      </c>
      <c r="C31" t="s">
        <v>203</v>
      </c>
      <c r="D31" t="s">
        <v>333</v>
      </c>
      <c r="E31" t="s">
        <v>204</v>
      </c>
      <c r="F31" t="e">
        <v>#NUM!</v>
      </c>
      <c r="G31" t="e">
        <v>#NUM!</v>
      </c>
      <c r="H31" t="e">
        <v>#NUM!</v>
      </c>
      <c r="I31" t="e">
        <v>#NUM!</v>
      </c>
      <c r="J31" t="e">
        <v>#NUM!</v>
      </c>
      <c r="K31" t="e">
        <v>#NUM!</v>
      </c>
      <c r="L31" t="e">
        <v>#NUM!</v>
      </c>
      <c r="M31" t="e">
        <v>#NUM!</v>
      </c>
      <c r="N31" t="e">
        <v>#NUM!</v>
      </c>
      <c r="O31" t="e">
        <v>#NUM!</v>
      </c>
      <c r="P31" t="e">
        <v>#NUM!</v>
      </c>
      <c r="Q31" t="e">
        <v>#NUM!</v>
      </c>
      <c r="R31" t="e">
        <v>#NUM!</v>
      </c>
      <c r="S31" t="e">
        <v>#NUM!</v>
      </c>
      <c r="T31" t="e">
        <v>#NUM!</v>
      </c>
      <c r="U31" t="e">
        <v>#NUM!</v>
      </c>
      <c r="V31" t="e">
        <v>#NUM!</v>
      </c>
      <c r="W31" t="e">
        <v>#NUM!</v>
      </c>
      <c r="X31" t="e">
        <v>#NUM!</v>
      </c>
      <c r="Y31" t="e">
        <v>#NUM!</v>
      </c>
      <c r="Z31" t="e">
        <v>#NUM!</v>
      </c>
      <c r="AA31" t="n">
        <v>0</v>
      </c>
      <c r="AB31" t="n">
        <v>0</v>
      </c>
      <c r="AC31" t="n">
        <v>3.08566982658013</v>
      </c>
      <c r="AD31" t="n">
        <v>6.08868778280543</v>
      </c>
      <c r="AE31" t="n">
        <v>11.6</v>
      </c>
      <c r="AF31" t="n">
        <v>22.1</v>
      </c>
    </row>
    <row r="32">
      <c r="A32" t="s">
        <v>144</v>
      </c>
      <c r="B32" t="s">
        <v>334</v>
      </c>
      <c r="C32" t="s">
        <v>203</v>
      </c>
      <c r="D32" t="s">
        <v>335</v>
      </c>
      <c r="E32" t="s">
        <v>204</v>
      </c>
      <c r="F32"/>
      <c r="G32"/>
      <c r="H32"/>
      <c r="I32"/>
      <c r="J32"/>
      <c r="K32" t="n">
        <v>43.0275984759506</v>
      </c>
      <c r="L32" t="n">
        <v>45.0524266395248</v>
      </c>
      <c r="M32" t="n">
        <v>71.0116536802531</v>
      </c>
      <c r="N32" t="n">
        <v>87.4069913681939</v>
      </c>
      <c r="O32" t="n">
        <v>84.3276122685014</v>
      </c>
      <c r="P32" t="n">
        <v>99.3819140402841</v>
      </c>
      <c r="Q32" t="n">
        <v>110.281109801777</v>
      </c>
      <c r="R32" t="n">
        <v>114.91857185498</v>
      </c>
      <c r="S32" t="n">
        <v>101.345512187069</v>
      </c>
      <c r="T32" t="n">
        <v>98.0314711767327</v>
      </c>
      <c r="U32" t="n">
        <v>102.938496986469</v>
      </c>
      <c r="V32" t="n">
        <v>98.8450362875919</v>
      </c>
      <c r="W32" t="n">
        <v>114.112862258787</v>
      </c>
      <c r="X32" t="n">
        <v>126.107367549248</v>
      </c>
      <c r="Y32" t="n">
        <v>138.418640898383</v>
      </c>
      <c r="Z32" t="n">
        <v>140.01332570136</v>
      </c>
      <c r="AA32" t="n">
        <v>145.793692358756</v>
      </c>
      <c r="AB32" t="n">
        <v>137.493029582126</v>
      </c>
      <c r="AC32" t="n">
        <v>136.673399003395</v>
      </c>
      <c r="AD32" t="n">
        <v>138.652663165791</v>
      </c>
      <c r="AE32" t="n">
        <v>136</v>
      </c>
      <c r="AF32" t="n">
        <v>132.8</v>
      </c>
    </row>
    <row r="33">
      <c r="A33" t="s">
        <v>144</v>
      </c>
      <c r="B33" t="s">
        <v>336</v>
      </c>
      <c r="C33" t="s">
        <v>203</v>
      </c>
      <c r="D33" t="s">
        <v>337</v>
      </c>
      <c r="E33" t="s">
        <v>204</v>
      </c>
      <c r="F33" t="e">
        <v>#NUM!</v>
      </c>
      <c r="G33" t="e">
        <v>#NUM!</v>
      </c>
      <c r="H33" t="e">
        <v>#NUM!</v>
      </c>
      <c r="I33" t="e">
        <v>#NUM!</v>
      </c>
      <c r="J33" t="e">
        <v>#NUM!</v>
      </c>
      <c r="K33" t="e">
        <v>#NUM!</v>
      </c>
      <c r="L33" t="n">
        <v>0</v>
      </c>
      <c r="M33" t="n">
        <v>1.31956944372133</v>
      </c>
      <c r="N33" t="n">
        <v>3.95870833116398</v>
      </c>
      <c r="O33" t="n">
        <v>4.2754049976571</v>
      </c>
      <c r="P33" t="n">
        <v>7.78734481716115</v>
      </c>
      <c r="Q33" t="n">
        <v>12.4891379143151</v>
      </c>
      <c r="R33" t="n">
        <v>14.685030294854</v>
      </c>
      <c r="S33" t="n">
        <v>12.6825261637375</v>
      </c>
      <c r="T33" t="n">
        <v>12.6825261637375</v>
      </c>
      <c r="U33" t="n">
        <v>14.7757586373641</v>
      </c>
      <c r="V33" t="n">
        <v>15.4473840299716</v>
      </c>
      <c r="W33" t="n">
        <v>19.1547561971647</v>
      </c>
      <c r="X33" t="n">
        <v>21.992497856004</v>
      </c>
      <c r="Y33" t="n">
        <v>25.75591994901</v>
      </c>
      <c r="Z33" t="n">
        <v>26.9771058086613</v>
      </c>
      <c r="AA33" t="n">
        <v>27.8652409793168</v>
      </c>
      <c r="AB33" t="n">
        <v>26.32936155526</v>
      </c>
      <c r="AC33" t="n">
        <v>23.7069151852142</v>
      </c>
      <c r="AD33" t="n">
        <v>23.9185840707965</v>
      </c>
      <c r="AE33" t="n">
        <v>23.3</v>
      </c>
      <c r="AF33" t="n">
        <v>22.5</v>
      </c>
    </row>
    <row r="34">
      <c r="A34" t="s">
        <v>144</v>
      </c>
      <c r="B34" t="s">
        <v>338</v>
      </c>
      <c r="C34" t="s">
        <v>203</v>
      </c>
      <c r="D34" t="s">
        <v>339</v>
      </c>
      <c r="E34" t="s">
        <v>204</v>
      </c>
      <c r="F34"/>
      <c r="G34"/>
      <c r="H34"/>
      <c r="I34"/>
      <c r="J34"/>
      <c r="K34" t="n">
        <v>28.9538231530899</v>
      </c>
      <c r="L34" t="n">
        <v>70.2250185867761</v>
      </c>
      <c r="M34" t="n">
        <v>88.7292351474385</v>
      </c>
      <c r="N34" t="n">
        <v>110.949333216729</v>
      </c>
      <c r="O34" t="n">
        <v>109.366603784251</v>
      </c>
      <c r="P34" t="n">
        <v>141.653021390771</v>
      </c>
      <c r="Q34" t="n">
        <v>152.348990092107</v>
      </c>
      <c r="R34" t="n">
        <v>276.940551872924</v>
      </c>
      <c r="S34" t="n">
        <v>250.268509523327</v>
      </c>
      <c r="T34" t="n">
        <v>238.829644129601</v>
      </c>
      <c r="U34" t="n">
        <v>225.735151268541</v>
      </c>
      <c r="V34" t="n">
        <v>198.44160552448</v>
      </c>
      <c r="W34" t="n">
        <v>177.921204483171</v>
      </c>
      <c r="X34" t="n">
        <v>160.286337624675</v>
      </c>
      <c r="Y34" t="n">
        <v>147.965235501185</v>
      </c>
      <c r="Z34" t="n">
        <v>137.672001727189</v>
      </c>
      <c r="AA34" t="n">
        <v>125.518145324711</v>
      </c>
      <c r="AB34" t="n">
        <v>116.117637419541</v>
      </c>
      <c r="AC34" t="n">
        <v>111.283687943262</v>
      </c>
      <c r="AD34" t="n">
        <v>112.851063829787</v>
      </c>
      <c r="AE34" t="n">
        <v>110.5</v>
      </c>
      <c r="AF34" t="n">
        <v>107.7</v>
      </c>
    </row>
    <row r="35">
      <c r="A35" t="s">
        <v>144</v>
      </c>
      <c r="B35" t="s">
        <v>340</v>
      </c>
      <c r="C35" t="s">
        <v>203</v>
      </c>
      <c r="D35" t="s">
        <v>341</v>
      </c>
      <c r="E35" t="s">
        <v>204</v>
      </c>
      <c r="F35"/>
      <c r="G35"/>
      <c r="H35"/>
      <c r="I35"/>
      <c r="J35"/>
      <c r="K35" t="n">
        <v>106.513699606109</v>
      </c>
      <c r="L35" t="n">
        <v>121.608455438512</v>
      </c>
      <c r="M35" t="n">
        <v>445.957634662827</v>
      </c>
      <c r="N35" t="n">
        <v>643.720753749978</v>
      </c>
      <c r="O35" t="n">
        <v>711.801117071246</v>
      </c>
      <c r="P35" t="n">
        <v>1081.54757450757</v>
      </c>
      <c r="Q35" t="n">
        <v>1186.51551194839</v>
      </c>
      <c r="R35" t="n">
        <v>1307.47687817673</v>
      </c>
      <c r="S35" t="n">
        <v>1192.93296363561</v>
      </c>
      <c r="T35" t="n">
        <v>1122.88673112517</v>
      </c>
      <c r="U35" t="n">
        <v>1015.90094694359</v>
      </c>
      <c r="V35" t="n">
        <v>857.082752019821</v>
      </c>
      <c r="W35" t="n">
        <v>730.640675575681</v>
      </c>
      <c r="X35" t="n">
        <v>624.870564263458</v>
      </c>
      <c r="Y35" t="n">
        <v>530.465658871137</v>
      </c>
      <c r="Z35" t="n">
        <v>456.264988950848</v>
      </c>
      <c r="AA35" t="n">
        <v>384.199104588398</v>
      </c>
      <c r="AB35" t="n">
        <v>356.708222396763</v>
      </c>
      <c r="AC35" t="n">
        <v>310.836571495021</v>
      </c>
      <c r="AD35" t="n">
        <v>311.051015490534</v>
      </c>
      <c r="AE35" t="n">
        <v>300.8</v>
      </c>
      <c r="AF35" t="n">
        <v>289.5</v>
      </c>
    </row>
    <row r="36">
      <c r="A36" t="s">
        <v>144</v>
      </c>
      <c r="B36" t="s">
        <v>342</v>
      </c>
      <c r="C36" t="s">
        <v>203</v>
      </c>
      <c r="D36" t="s">
        <v>343</v>
      </c>
      <c r="E36" t="s">
        <v>204</v>
      </c>
      <c r="F36"/>
      <c r="G36"/>
      <c r="H36"/>
      <c r="I36"/>
      <c r="J36"/>
      <c r="K36" t="n">
        <v>141.104461578439</v>
      </c>
      <c r="L36" t="n">
        <v>149.835476167125</v>
      </c>
      <c r="M36" t="n">
        <v>569.280126669724</v>
      </c>
      <c r="N36" t="n">
        <v>756.038136584688</v>
      </c>
      <c r="O36" t="n">
        <v>856.344186388993</v>
      </c>
      <c r="P36" t="n">
        <v>761.270648564133</v>
      </c>
      <c r="Q36" t="n">
        <v>647.101115768958</v>
      </c>
      <c r="R36" t="n">
        <v>582.56387180981</v>
      </c>
      <c r="S36" t="n">
        <v>471.105802702628</v>
      </c>
      <c r="T36" t="n">
        <v>421.318113920818</v>
      </c>
      <c r="U36" t="n">
        <v>373.678462421883</v>
      </c>
      <c r="V36" t="n">
        <v>308.784235408273</v>
      </c>
      <c r="W36" t="n">
        <v>257.146079076101</v>
      </c>
      <c r="X36" t="n">
        <v>214.730230981074</v>
      </c>
      <c r="Y36" t="n">
        <v>176.534973050437</v>
      </c>
      <c r="Z36" t="n">
        <v>149.985522363593</v>
      </c>
      <c r="AA36" t="n">
        <v>124.354308811679</v>
      </c>
      <c r="AB36" t="n">
        <v>104.320106534106</v>
      </c>
      <c r="AC36" t="n">
        <v>87.4906876381126</v>
      </c>
      <c r="AD36" t="n">
        <v>86.3887898089172</v>
      </c>
      <c r="AE36" t="n">
        <v>82.4</v>
      </c>
      <c r="AF36" t="n">
        <v>78.2</v>
      </c>
    </row>
    <row r="37">
      <c r="A37" t="s">
        <v>144</v>
      </c>
      <c r="B37" t="s">
        <v>344</v>
      </c>
      <c r="C37" t="s">
        <v>203</v>
      </c>
      <c r="D37" t="s">
        <v>345</v>
      </c>
      <c r="E37" t="s">
        <v>204</v>
      </c>
      <c r="F37" t="e">
        <v>#NUM!</v>
      </c>
      <c r="G37" t="e">
        <v>#NUM!</v>
      </c>
      <c r="H37" t="e">
        <v>#NUM!</v>
      </c>
      <c r="I37" t="e">
        <v>#NUM!</v>
      </c>
      <c r="J37" t="e">
        <v>#NUM!</v>
      </c>
      <c r="K37" t="e">
        <v>#NUM!</v>
      </c>
      <c r="L37" t="n">
        <v>0</v>
      </c>
      <c r="M37" t="n">
        <v>2.45600327371625</v>
      </c>
      <c r="N37" t="n">
        <v>7.36800982114876</v>
      </c>
      <c r="O37" t="n">
        <v>5.89440785691901</v>
      </c>
      <c r="P37" t="n">
        <v>366.042727914671</v>
      </c>
      <c r="Q37" t="n">
        <v>528.271048196357</v>
      </c>
      <c r="R37" t="n">
        <v>675.646212670604</v>
      </c>
      <c r="S37" t="n">
        <v>641.773054486388</v>
      </c>
      <c r="T37" t="n">
        <v>617.994831093576</v>
      </c>
      <c r="U37" t="n">
        <v>561.629317189361</v>
      </c>
      <c r="V37" t="n">
        <v>474.222160657501</v>
      </c>
      <c r="W37" t="n">
        <v>402.589905427924</v>
      </c>
      <c r="X37" t="n">
        <v>342.321272009737</v>
      </c>
      <c r="Y37" t="n">
        <v>288.574904691878</v>
      </c>
      <c r="Z37" t="n">
        <v>241.673340046697</v>
      </c>
      <c r="AA37" t="n">
        <v>201.756019967171</v>
      </c>
      <c r="AB37" t="n">
        <v>170.815799652717</v>
      </c>
      <c r="AC37" t="n">
        <v>147.301435479784</v>
      </c>
      <c r="AD37" t="n">
        <v>148.981280788177</v>
      </c>
      <c r="AE37" t="n">
        <v>145.6</v>
      </c>
      <c r="AF37" t="n">
        <v>141.6</v>
      </c>
    </row>
    <row r="38">
      <c r="A38" t="s">
        <v>144</v>
      </c>
      <c r="B38" t="s">
        <v>346</v>
      </c>
      <c r="C38" t="s">
        <v>203</v>
      </c>
      <c r="D38" t="s">
        <v>347</v>
      </c>
      <c r="E38" t="s">
        <v>204</v>
      </c>
      <c r="F38"/>
      <c r="G38"/>
      <c r="H38"/>
      <c r="I38"/>
      <c r="J38"/>
      <c r="K38" t="n">
        <v>0</v>
      </c>
      <c r="L38" t="n">
        <v>7.0487906379656</v>
      </c>
      <c r="M38" t="n">
        <v>9.01589500204902</v>
      </c>
      <c r="N38" t="n">
        <v>53.1293812620746</v>
      </c>
      <c r="O38" t="n">
        <v>47.2067617115483</v>
      </c>
      <c r="P38" t="n">
        <v>63.4445485414071</v>
      </c>
      <c r="Q38" t="n">
        <v>69.6105148958149</v>
      </c>
      <c r="R38" t="n">
        <v>72.6838268117449</v>
      </c>
      <c r="S38" t="n">
        <v>87.0094773244332</v>
      </c>
      <c r="T38" t="n">
        <v>84.5352741777669</v>
      </c>
      <c r="U38" t="n">
        <v>80.0502837471137</v>
      </c>
      <c r="V38" t="n">
        <v>72.7861926629836</v>
      </c>
      <c r="W38" t="n">
        <v>69.3328331570756</v>
      </c>
      <c r="X38" t="n">
        <v>66.1813407408449</v>
      </c>
      <c r="Y38" t="n">
        <v>63.6979883678301</v>
      </c>
      <c r="Z38" t="n">
        <v>63.5806808386076</v>
      </c>
      <c r="AA38" t="n">
        <v>57.2693632553634</v>
      </c>
      <c r="AB38" t="n">
        <v>81.698145971937</v>
      </c>
      <c r="AC38" t="n">
        <v>76.1500694811663</v>
      </c>
      <c r="AD38" t="n">
        <v>75.7161659513591</v>
      </c>
      <c r="AE38" t="n">
        <v>72.8</v>
      </c>
      <c r="AF38" t="n">
        <v>69.7</v>
      </c>
    </row>
    <row r="39">
      <c r="A39" t="s">
        <v>144</v>
      </c>
      <c r="B39" t="s">
        <v>348</v>
      </c>
      <c r="C39" t="s">
        <v>203</v>
      </c>
      <c r="D39" t="s">
        <v>349</v>
      </c>
      <c r="E39" t="s">
        <v>204</v>
      </c>
      <c r="F39"/>
      <c r="G39"/>
      <c r="H39"/>
      <c r="I39"/>
      <c r="J39"/>
      <c r="K39" t="n">
        <v>95.8647857472175</v>
      </c>
      <c r="L39" t="n">
        <v>79.5046277005367</v>
      </c>
      <c r="M39" t="n">
        <v>137.19396121495</v>
      </c>
      <c r="N39" t="n">
        <v>146.69557001531</v>
      </c>
      <c r="O39" t="n">
        <v>163.280578727232</v>
      </c>
      <c r="P39" t="n">
        <v>147.159205131379</v>
      </c>
      <c r="Q39" t="n">
        <v>214.76279936686</v>
      </c>
      <c r="R39" t="n">
        <v>263.366126709869</v>
      </c>
      <c r="S39" t="n">
        <v>265.933986568101</v>
      </c>
      <c r="T39" t="n">
        <v>251.079756298841</v>
      </c>
      <c r="U39" t="n">
        <v>242.504243905656</v>
      </c>
      <c r="V39" t="n">
        <v>226.911503176878</v>
      </c>
      <c r="W39" t="n">
        <v>230.925267973639</v>
      </c>
      <c r="X39" t="n">
        <v>232.812940463887</v>
      </c>
      <c r="Y39" t="n">
        <v>175.626490291709</v>
      </c>
      <c r="Z39" t="n">
        <v>142.930069226763</v>
      </c>
      <c r="AA39" t="n">
        <v>140.276807247574</v>
      </c>
      <c r="AB39" t="n">
        <v>163.317442254422</v>
      </c>
      <c r="AC39" t="n">
        <v>173.764641563125</v>
      </c>
      <c r="AD39" t="n">
        <v>174.085635359116</v>
      </c>
      <c r="AE39" t="n">
        <v>168.5</v>
      </c>
      <c r="AF39" t="n">
        <v>162.3</v>
      </c>
    </row>
    <row r="40">
      <c r="A40" t="s">
        <v>144</v>
      </c>
      <c r="B40" t="s">
        <v>350</v>
      </c>
      <c r="C40" t="s">
        <v>203</v>
      </c>
      <c r="D40" t="s">
        <v>351</v>
      </c>
      <c r="E40" t="s">
        <v>204</v>
      </c>
      <c r="F40" t="e">
        <v>#NUM!</v>
      </c>
      <c r="G40" t="e">
        <v>#NUM!</v>
      </c>
      <c r="H40" t="e">
        <v>#NUM!</v>
      </c>
      <c r="I40" t="e">
        <v>#NUM!</v>
      </c>
      <c r="J40" t="e">
        <v>#NUM!</v>
      </c>
      <c r="K40" t="e">
        <v>#NUM!</v>
      </c>
      <c r="L40" t="e">
        <v>#NUM!</v>
      </c>
      <c r="M40" t="e">
        <v>#NUM!</v>
      </c>
      <c r="N40" t="e">
        <v>#NUM!</v>
      </c>
      <c r="O40" t="e">
        <v>#NUM!</v>
      </c>
      <c r="P40" t="e">
        <v>#NUM!</v>
      </c>
      <c r="Q40" t="e">
        <v>#NUM!</v>
      </c>
      <c r="R40" t="e">
        <v>#NUM!</v>
      </c>
      <c r="S40" t="e">
        <v>#NUM!</v>
      </c>
      <c r="T40" t="e">
        <v>#NUM!</v>
      </c>
      <c r="U40" t="e">
        <v>#NUM!</v>
      </c>
      <c r="V40" t="e">
        <v>#NUM!</v>
      </c>
      <c r="W40" t="e">
        <v>#NUM!</v>
      </c>
      <c r="X40" t="e">
        <v>#NUM!</v>
      </c>
      <c r="Y40" t="e">
        <v>#NUM!</v>
      </c>
      <c r="Z40" t="e">
        <v>#NUM!</v>
      </c>
      <c r="AA40" t="e">
        <v>#NUM!</v>
      </c>
      <c r="AB40" t="n">
        <v>0</v>
      </c>
      <c r="AC40" t="n">
        <v>2.91496786042241</v>
      </c>
      <c r="AD40" t="n">
        <v>3.1030303030303</v>
      </c>
      <c r="AE40" t="n">
        <v>3.2</v>
      </c>
      <c r="AF40" t="n">
        <v>3.3</v>
      </c>
    </row>
    <row r="41">
      <c r="A41" t="s">
        <v>144</v>
      </c>
      <c r="B41" t="s">
        <v>352</v>
      </c>
      <c r="C41" t="s">
        <v>203</v>
      </c>
      <c r="D41" t="s">
        <v>353</v>
      </c>
      <c r="E41" t="s">
        <v>204</v>
      </c>
      <c r="F41" t="e">
        <v>#NUM!</v>
      </c>
      <c r="G41" t="e">
        <v>#NUM!</v>
      </c>
      <c r="H41" t="e">
        <v>#NUM!</v>
      </c>
      <c r="I41" t="e">
        <v>#NUM!</v>
      </c>
      <c r="J41" t="e">
        <v>#NUM!</v>
      </c>
      <c r="K41" t="e">
        <v>#NUM!</v>
      </c>
      <c r="L41" t="e">
        <v>#NUM!</v>
      </c>
      <c r="M41" t="e">
        <v>#NUM!</v>
      </c>
      <c r="N41" t="e">
        <v>#NUM!</v>
      </c>
      <c r="O41" t="e">
        <v>#NUM!</v>
      </c>
      <c r="P41" t="e">
        <v>#NUM!</v>
      </c>
      <c r="Q41" t="e">
        <v>#NUM!</v>
      </c>
      <c r="R41" t="e">
        <v>#NUM!</v>
      </c>
      <c r="S41" t="e">
        <v>#NUM!</v>
      </c>
      <c r="T41" t="e">
        <v>#NUM!</v>
      </c>
      <c r="U41" t="e">
        <v>#NUM!</v>
      </c>
      <c r="V41" t="e">
        <v>#NUM!</v>
      </c>
      <c r="W41" t="e">
        <v>#NUM!</v>
      </c>
      <c r="X41" t="e">
        <v>#NUM!</v>
      </c>
      <c r="Y41" t="e">
        <v>#NUM!</v>
      </c>
      <c r="Z41" t="e">
        <v>#NUM!</v>
      </c>
      <c r="AA41" t="e">
        <v>#NUM!</v>
      </c>
      <c r="AB41" t="e">
        <v>#NUM!</v>
      </c>
      <c r="AC41" t="e">
        <v>#NUM!</v>
      </c>
      <c r="AD41" t="e">
        <v>#NUM!</v>
      </c>
      <c r="AE41" t="n">
        <v>0</v>
      </c>
      <c r="AF41" t="e">
        <v>#NUM!</v>
      </c>
    </row>
    <row r="42">
      <c r="A42" t="s">
        <v>144</v>
      </c>
      <c r="B42" t="s">
        <v>354</v>
      </c>
      <c r="C42" t="s">
        <v>203</v>
      </c>
      <c r="D42" t="s">
        <v>355</v>
      </c>
      <c r="E42" t="s">
        <v>204</v>
      </c>
      <c r="F42"/>
      <c r="G42"/>
      <c r="H42"/>
      <c r="I42"/>
      <c r="J42"/>
      <c r="K42" t="n">
        <v>255.290291875739</v>
      </c>
      <c r="L42" t="n">
        <v>296.173078830929</v>
      </c>
      <c r="M42" t="n">
        <v>278.172453545092</v>
      </c>
      <c r="N42" t="n">
        <v>291.026631903854</v>
      </c>
      <c r="O42" t="n">
        <v>236.952790067856</v>
      </c>
      <c r="P42" t="n">
        <v>259.807032937055</v>
      </c>
      <c r="Q42" t="n">
        <v>264.041176237855</v>
      </c>
      <c r="R42" t="n">
        <v>274.238202353535</v>
      </c>
      <c r="S42" t="n">
        <v>254.175590454622</v>
      </c>
      <c r="T42" t="n">
        <v>303.76110051716</v>
      </c>
      <c r="U42" t="n">
        <v>305.74733264783</v>
      </c>
      <c r="V42" t="n">
        <v>283.612425333298</v>
      </c>
      <c r="W42" t="n">
        <v>277.687374664775</v>
      </c>
      <c r="X42" t="n">
        <v>271.390608799361</v>
      </c>
      <c r="Y42" t="n">
        <v>254.647357611923</v>
      </c>
      <c r="Z42" t="n">
        <v>234.308871786777</v>
      </c>
      <c r="AA42" t="n">
        <v>199.429475176492</v>
      </c>
      <c r="AB42" t="n">
        <v>230.165076644869</v>
      </c>
      <c r="AC42" t="n">
        <v>159.542442851266</v>
      </c>
      <c r="AD42" t="n">
        <v>157.447552447552</v>
      </c>
      <c r="AE42" t="n">
        <v>150.1</v>
      </c>
      <c r="AF42" t="n">
        <v>142.4</v>
      </c>
    </row>
    <row r="43">
      <c r="A43" t="s">
        <v>144</v>
      </c>
      <c r="B43" t="s">
        <v>356</v>
      </c>
      <c r="C43" t="s">
        <v>203</v>
      </c>
      <c r="D43" t="s">
        <v>357</v>
      </c>
      <c r="E43" t="s">
        <v>204</v>
      </c>
      <c r="F43"/>
      <c r="G43"/>
      <c r="H43"/>
      <c r="I43"/>
      <c r="J43"/>
      <c r="K43" t="n">
        <v>259.897760877815</v>
      </c>
      <c r="L43" t="n">
        <v>307.277004729217</v>
      </c>
      <c r="M43" t="n">
        <v>313.532943747657</v>
      </c>
      <c r="N43" t="n">
        <v>405.812002922957</v>
      </c>
      <c r="O43" t="n">
        <v>368.361032956238</v>
      </c>
      <c r="P43" t="n">
        <v>464.596421148517</v>
      </c>
      <c r="Q43" t="n">
        <v>500.767422795027</v>
      </c>
      <c r="R43" t="n">
        <v>571.394176350711</v>
      </c>
      <c r="S43" t="n">
        <v>518.418183618698</v>
      </c>
      <c r="T43" t="n">
        <v>558.790573139446</v>
      </c>
      <c r="U43" t="n">
        <v>565.070588946211</v>
      </c>
      <c r="V43" t="n">
        <v>554.182091611662</v>
      </c>
      <c r="W43" t="n">
        <v>562.993029706025</v>
      </c>
      <c r="X43" t="n">
        <v>566.943857984664</v>
      </c>
      <c r="Y43" t="n">
        <v>659.683165788621</v>
      </c>
      <c r="Z43" t="n">
        <v>728.784056059776</v>
      </c>
      <c r="AA43" t="n">
        <v>811.8275347881</v>
      </c>
      <c r="AB43" t="n">
        <v>1022.93893613367</v>
      </c>
      <c r="AC43" t="n">
        <v>993.67535764006</v>
      </c>
      <c r="AD43" t="n">
        <v>993.567979710771</v>
      </c>
      <c r="AE43" t="n">
        <v>959.9</v>
      </c>
      <c r="AF43" t="n">
        <v>923</v>
      </c>
    </row>
    <row r="44">
      <c r="A44" t="s">
        <v>144</v>
      </c>
      <c r="B44" t="s">
        <v>358</v>
      </c>
      <c r="C44" t="s">
        <v>203</v>
      </c>
      <c r="D44" t="s">
        <v>359</v>
      </c>
      <c r="E44" t="s">
        <v>204</v>
      </c>
      <c r="F44"/>
      <c r="G44"/>
      <c r="H44"/>
      <c r="I44"/>
      <c r="J44"/>
      <c r="K44" t="n">
        <v>2559.41462863053</v>
      </c>
      <c r="L44" t="n">
        <v>3258.83620895435</v>
      </c>
      <c r="M44" t="n">
        <v>4685.47098159568</v>
      </c>
      <c r="N44" t="n">
        <v>6550.09718855723</v>
      </c>
      <c r="O44" t="n">
        <v>6575.20454736238</v>
      </c>
      <c r="P44" t="n">
        <v>9112.03399479651</v>
      </c>
      <c r="Q44" t="n">
        <v>10075.023976243</v>
      </c>
      <c r="R44" t="n">
        <v>12127.3777593492</v>
      </c>
      <c r="S44" t="n">
        <v>11630.6335203929</v>
      </c>
      <c r="T44" t="n">
        <v>11230.1529586983</v>
      </c>
      <c r="U44" t="n">
        <v>10781.600377314</v>
      </c>
      <c r="V44" t="n">
        <v>9712.44883141739</v>
      </c>
      <c r="W44" t="n">
        <v>8989.59610858212</v>
      </c>
      <c r="X44" t="n">
        <v>8357.07170302473</v>
      </c>
      <c r="Y44" t="n">
        <v>8080.15500572904</v>
      </c>
      <c r="Z44" t="n">
        <v>7953.37653924017</v>
      </c>
      <c r="AA44" t="n">
        <v>7893.44678301458</v>
      </c>
      <c r="AB44" t="n">
        <v>7680.83715300027</v>
      </c>
      <c r="AC44" t="n">
        <v>7647.31507650655</v>
      </c>
      <c r="AD44" t="n">
        <v>7713.05644938724</v>
      </c>
      <c r="AE44" t="n">
        <v>7516.9</v>
      </c>
      <c r="AF44" t="n">
        <v>7291.4</v>
      </c>
    </row>
    <row r="45">
      <c r="A45" t="s">
        <v>144</v>
      </c>
      <c r="B45" t="s">
        <v>360</v>
      </c>
      <c r="C45" t="s">
        <v>203</v>
      </c>
      <c r="D45" t="s">
        <v>361</v>
      </c>
      <c r="E45" t="s">
        <v>204</v>
      </c>
      <c r="F45"/>
      <c r="G45"/>
      <c r="H45"/>
      <c r="I45"/>
      <c r="J45"/>
      <c r="K45" t="n">
        <v>2424.07583389803</v>
      </c>
      <c r="L45" t="n">
        <v>3050.3088466685</v>
      </c>
      <c r="M45" t="n">
        <v>4414.42601166384</v>
      </c>
      <c r="N45" t="n">
        <v>6223.66143586198</v>
      </c>
      <c r="O45" t="n">
        <v>6236.91773274885</v>
      </c>
      <c r="P45" t="n">
        <v>8663.04563066865</v>
      </c>
      <c r="Q45" t="n">
        <v>9600.75993307513</v>
      </c>
      <c r="R45" t="n">
        <v>11625.7744867269</v>
      </c>
      <c r="S45" t="n">
        <v>11012.0049585593</v>
      </c>
      <c r="T45" t="n">
        <v>10644.1849114939</v>
      </c>
      <c r="U45" t="n">
        <v>10223.1473204754</v>
      </c>
      <c r="V45" t="n">
        <v>9194.2477383913</v>
      </c>
      <c r="W45" t="n">
        <v>8468.15833209327</v>
      </c>
      <c r="X45" t="n">
        <v>7835.44114469318</v>
      </c>
      <c r="Y45" t="n">
        <v>7552.31411639983</v>
      </c>
      <c r="Z45" t="n">
        <v>7391.24896016617</v>
      </c>
      <c r="AA45" t="n">
        <v>7354.62739881874</v>
      </c>
      <c r="AB45" t="n">
        <v>7154.33060559262</v>
      </c>
      <c r="AC45" t="n">
        <v>7103.08286575243</v>
      </c>
      <c r="AD45" t="n">
        <v>7165.42484673851</v>
      </c>
      <c r="AE45" t="n">
        <v>6984.5</v>
      </c>
      <c r="AF45" t="n">
        <v>6776.2</v>
      </c>
    </row>
    <row r="46">
      <c r="A46" t="s">
        <v>144</v>
      </c>
      <c r="B46" t="s">
        <v>362</v>
      </c>
      <c r="C46" t="s">
        <v>203</v>
      </c>
      <c r="D46" t="s">
        <v>363</v>
      </c>
      <c r="E46" t="s">
        <v>204</v>
      </c>
      <c r="F46"/>
      <c r="G46"/>
      <c r="H46"/>
      <c r="I46"/>
      <c r="J46"/>
      <c r="K46" t="n">
        <v>29.746214502347</v>
      </c>
      <c r="L46" t="n">
        <v>38.9104523035751</v>
      </c>
      <c r="M46" t="n">
        <v>57.2212533876105</v>
      </c>
      <c r="N46" t="n">
        <v>128.9875739771</v>
      </c>
      <c r="O46" t="n">
        <v>140.476345748339</v>
      </c>
      <c r="P46" t="n">
        <v>212.104563952964</v>
      </c>
      <c r="Q46" t="n">
        <v>243.388422943077</v>
      </c>
      <c r="R46" t="n">
        <v>303.285933991493</v>
      </c>
      <c r="S46" t="n">
        <v>269.968808758104</v>
      </c>
      <c r="T46" t="n">
        <v>261.379492767269</v>
      </c>
      <c r="U46" t="n">
        <v>265.742428154886</v>
      </c>
      <c r="V46" t="n">
        <v>276.916503301022</v>
      </c>
      <c r="W46" t="n">
        <v>291.655817890289</v>
      </c>
      <c r="X46" t="n">
        <v>301.811137239335</v>
      </c>
      <c r="Y46" t="n">
        <v>411.015896378204</v>
      </c>
      <c r="Z46" t="n">
        <v>499.360824203014</v>
      </c>
      <c r="AA46" t="n">
        <v>615.573629286416</v>
      </c>
      <c r="AB46" t="n">
        <v>795.922743060526</v>
      </c>
      <c r="AC46" t="n">
        <v>834.22918523991</v>
      </c>
      <c r="AD46" t="n">
        <v>836.152603369066</v>
      </c>
      <c r="AE46" t="n">
        <v>809.8</v>
      </c>
      <c r="AF46" t="n">
        <v>780.6</v>
      </c>
    </row>
    <row r="47">
      <c r="A47" t="s">
        <v>144</v>
      </c>
      <c r="B47" t="s">
        <v>364</v>
      </c>
      <c r="C47" t="s">
        <v>203</v>
      </c>
      <c r="D47" t="s">
        <v>365</v>
      </c>
      <c r="E47" t="s">
        <v>204</v>
      </c>
      <c r="F47"/>
      <c r="G47"/>
      <c r="H47"/>
      <c r="I47"/>
      <c r="J47"/>
      <c r="K47" t="n">
        <v>273.518546439662</v>
      </c>
      <c r="L47" t="n">
        <v>182.345697626442</v>
      </c>
      <c r="M47" t="n">
        <v>156.196250591664</v>
      </c>
      <c r="N47" t="n">
        <v>392.575770601135</v>
      </c>
      <c r="O47" t="n">
        <v>344.672747547715</v>
      </c>
      <c r="P47" t="n">
        <v>502.041942457839</v>
      </c>
      <c r="Q47" t="n">
        <v>799.347643703896</v>
      </c>
      <c r="R47" t="n">
        <v>1502.27762454497</v>
      </c>
      <c r="S47" t="n">
        <v>1519.87573386107</v>
      </c>
      <c r="T47" t="n">
        <v>1445.74186601556</v>
      </c>
      <c r="U47" t="n">
        <v>1350.04758570781</v>
      </c>
      <c r="V47" t="n">
        <v>1151.49881259437</v>
      </c>
      <c r="W47" t="n">
        <v>1012.71078281773</v>
      </c>
      <c r="X47" t="n">
        <v>894.881222393852</v>
      </c>
      <c r="Y47" t="n">
        <v>1139.33356184446</v>
      </c>
      <c r="Z47" t="n">
        <v>984.934622654889</v>
      </c>
      <c r="AA47" t="n">
        <v>889.314365239619</v>
      </c>
      <c r="AB47" t="n">
        <v>795.767343362538</v>
      </c>
      <c r="AC47" t="n">
        <v>769.017965676185</v>
      </c>
      <c r="AD47" t="n">
        <v>770.408401497296</v>
      </c>
      <c r="AE47" t="n">
        <v>745.8</v>
      </c>
      <c r="AF47" t="n">
        <v>718.5</v>
      </c>
    </row>
    <row r="48">
      <c r="A48" t="s">
        <v>144</v>
      </c>
      <c r="B48" t="s">
        <v>366</v>
      </c>
      <c r="C48" t="s">
        <v>203</v>
      </c>
      <c r="D48" t="s">
        <v>367</v>
      </c>
      <c r="E48" t="s">
        <v>204</v>
      </c>
      <c r="F48"/>
      <c r="G48"/>
      <c r="H48"/>
      <c r="I48"/>
      <c r="J48"/>
      <c r="K48" t="n">
        <v>262.291377041251</v>
      </c>
      <c r="L48" t="n">
        <v>230.405830789775</v>
      </c>
      <c r="M48" t="n">
        <v>262.411692051812</v>
      </c>
      <c r="N48" t="n">
        <v>506.909058729669</v>
      </c>
      <c r="O48" t="n">
        <v>463.207070103864</v>
      </c>
      <c r="P48" t="n">
        <v>649.386029235004</v>
      </c>
      <c r="Q48" t="n">
        <v>922.377256957569</v>
      </c>
      <c r="R48" t="n">
        <v>1617.68732771462</v>
      </c>
      <c r="S48" t="n">
        <v>1640.39445864575</v>
      </c>
      <c r="T48" t="n">
        <v>1567.89547059106</v>
      </c>
      <c r="U48" t="n">
        <v>1532.38335914953</v>
      </c>
      <c r="V48" t="n">
        <v>1334.55728000849</v>
      </c>
      <c r="W48" t="n">
        <v>1179.94828434589</v>
      </c>
      <c r="X48" t="n">
        <v>1054.83703629754</v>
      </c>
      <c r="Y48" t="n">
        <v>1264.9041559016</v>
      </c>
      <c r="Z48" t="n">
        <v>1113.32245950779</v>
      </c>
      <c r="AA48" t="n">
        <v>1016.50704373614</v>
      </c>
      <c r="AB48" t="n">
        <v>920.38754050563</v>
      </c>
      <c r="AC48" t="n">
        <v>916.238847512592</v>
      </c>
      <c r="AD48" t="n">
        <v>926.218518518519</v>
      </c>
      <c r="AE48" t="n">
        <v>904.7</v>
      </c>
      <c r="AF48" t="n">
        <v>879.5</v>
      </c>
    </row>
    <row r="49">
      <c r="A49" t="s">
        <v>144</v>
      </c>
      <c r="B49" t="s">
        <v>368</v>
      </c>
      <c r="C49" t="s">
        <v>203</v>
      </c>
      <c r="D49" t="s">
        <v>369</v>
      </c>
      <c r="E49" t="s">
        <v>204</v>
      </c>
      <c r="F49"/>
      <c r="G49"/>
      <c r="H49"/>
      <c r="I49"/>
      <c r="J49"/>
      <c r="K49" t="n">
        <v>22.5814190401394</v>
      </c>
      <c r="L49" t="n">
        <v>23.7199779833397</v>
      </c>
      <c r="M49" t="n">
        <v>25.5520088031911</v>
      </c>
      <c r="N49" t="n">
        <v>52.1139784286428</v>
      </c>
      <c r="O49" t="n">
        <v>48.5957351591985</v>
      </c>
      <c r="P49" t="n">
        <v>49.1228038702527</v>
      </c>
      <c r="Q49" t="n">
        <v>45.8479502789026</v>
      </c>
      <c r="R49" t="n">
        <v>68.2365459564983</v>
      </c>
      <c r="S49" t="n">
        <v>60.8805495129609</v>
      </c>
      <c r="T49" t="n">
        <v>58.6122727054735</v>
      </c>
      <c r="U49" t="n">
        <v>95.1760415718974</v>
      </c>
      <c r="V49" t="n">
        <v>93.2273941690245</v>
      </c>
      <c r="W49" t="n">
        <v>81.4646051237149</v>
      </c>
      <c r="X49" t="n">
        <v>71.2815294832505</v>
      </c>
      <c r="Y49" t="n">
        <v>58.277466672117</v>
      </c>
      <c r="Z49" t="n">
        <v>52.6194601990959</v>
      </c>
      <c r="AA49" t="n">
        <v>47.9850857228453</v>
      </c>
      <c r="AB49" t="n">
        <v>43.3918086780923</v>
      </c>
      <c r="AC49" t="n">
        <v>64.7037147102526</v>
      </c>
      <c r="AD49" t="n">
        <v>67.1001485884101</v>
      </c>
      <c r="AE49" t="n">
        <v>67.2</v>
      </c>
      <c r="AF49" t="n">
        <v>67.1</v>
      </c>
    </row>
    <row r="50">
      <c r="A50" t="s">
        <v>144</v>
      </c>
      <c r="B50" t="s">
        <v>370</v>
      </c>
      <c r="C50" t="s">
        <v>203</v>
      </c>
      <c r="D50" t="s">
        <v>371</v>
      </c>
      <c r="E50" t="s">
        <v>204</v>
      </c>
      <c r="F50"/>
      <c r="G50"/>
      <c r="H50"/>
      <c r="I50"/>
      <c r="J50"/>
      <c r="K50" t="n">
        <v>9.47327556112834</v>
      </c>
      <c r="L50" t="n">
        <v>23.3188321504698</v>
      </c>
      <c r="M50" t="n">
        <v>49.4553565191213</v>
      </c>
      <c r="N50" t="n">
        <v>46.0277575524495</v>
      </c>
      <c r="O50" t="n">
        <v>48.6871390999244</v>
      </c>
      <c r="P50" t="n">
        <v>74.6598194228286</v>
      </c>
      <c r="Q50" t="n">
        <v>79.1236538783553</v>
      </c>
      <c r="R50" t="n">
        <v>93.2673100874586</v>
      </c>
      <c r="S50" t="n">
        <v>103.204347319931</v>
      </c>
      <c r="T50" t="n">
        <v>101.999351506443</v>
      </c>
      <c r="U50" t="n">
        <v>104.514404009342</v>
      </c>
      <c r="V50" t="n">
        <v>96.5841772197995</v>
      </c>
      <c r="W50" t="n">
        <v>88.9122425753899</v>
      </c>
      <c r="X50" t="n">
        <v>86.3192531526233</v>
      </c>
      <c r="Y50" t="n">
        <v>84.7699332242429</v>
      </c>
      <c r="Z50" t="n">
        <v>85.1507505343249</v>
      </c>
      <c r="AA50" t="n">
        <v>84.9868414861356</v>
      </c>
      <c r="AB50" t="n">
        <v>84.2930713515549</v>
      </c>
      <c r="AC50" t="n">
        <v>83.4104213897585</v>
      </c>
      <c r="AD50" t="n">
        <v>88.8830508474576</v>
      </c>
      <c r="AE50" t="n">
        <v>91.6</v>
      </c>
      <c r="AF50" t="n">
        <v>94</v>
      </c>
    </row>
    <row r="51">
      <c r="A51" t="s">
        <v>144</v>
      </c>
      <c r="B51" t="s">
        <v>372</v>
      </c>
      <c r="C51" t="s">
        <v>203</v>
      </c>
      <c r="D51" t="s">
        <v>373</v>
      </c>
      <c r="E51" t="s">
        <v>204</v>
      </c>
      <c r="F51"/>
      <c r="G51"/>
      <c r="H51"/>
      <c r="I51"/>
      <c r="J51"/>
      <c r="K51" t="n">
        <v>9.5961270824465</v>
      </c>
      <c r="L51" t="n">
        <v>23.6212358952529</v>
      </c>
      <c r="M51" t="n">
        <v>50.0967044611822</v>
      </c>
      <c r="N51" t="n">
        <v>44.7398291326598</v>
      </c>
      <c r="O51" t="n">
        <v>47.7362611069026</v>
      </c>
      <c r="P51" t="n">
        <v>73.2456187121629</v>
      </c>
      <c r="Q51" t="n">
        <v>77.300129495267</v>
      </c>
      <c r="R51" t="n">
        <v>91.036955872449</v>
      </c>
      <c r="S51" t="n">
        <v>100.95109281275</v>
      </c>
      <c r="T51" t="n">
        <v>100.024935997954</v>
      </c>
      <c r="U51" t="n">
        <v>102.692267624567</v>
      </c>
      <c r="V51" t="n">
        <v>94.9490000071944</v>
      </c>
      <c r="W51" t="n">
        <v>87.2429942095091</v>
      </c>
      <c r="X51" t="n">
        <v>84.5038107178447</v>
      </c>
      <c r="Y51" t="n">
        <v>82.8773156734068</v>
      </c>
      <c r="Z51" t="n">
        <v>82.4198511894689</v>
      </c>
      <c r="AA51" t="n">
        <v>80.4535724334578</v>
      </c>
      <c r="AB51" t="n">
        <v>80.1067897936584</v>
      </c>
      <c r="AC51" t="n">
        <v>79.4885455504879</v>
      </c>
      <c r="AD51" t="n">
        <v>84.7751946607341</v>
      </c>
      <c r="AE51" t="n">
        <v>87.3</v>
      </c>
      <c r="AF51" t="n">
        <v>89.6</v>
      </c>
    </row>
    <row r="52">
      <c r="A52" t="s">
        <v>144</v>
      </c>
      <c r="B52" t="s">
        <v>374</v>
      </c>
      <c r="C52" t="s">
        <v>203</v>
      </c>
      <c r="D52" t="s">
        <v>375</v>
      </c>
      <c r="E52" t="s">
        <v>204</v>
      </c>
      <c r="F52" t="e">
        <v>#NUM!</v>
      </c>
      <c r="G52" t="e">
        <v>#NUM!</v>
      </c>
      <c r="H52" t="e">
        <v>#NUM!</v>
      </c>
      <c r="I52" t="e">
        <v>#NUM!</v>
      </c>
      <c r="J52" t="e">
        <v>#NUM!</v>
      </c>
      <c r="K52" t="e">
        <v>#NUM!</v>
      </c>
      <c r="L52" t="e">
        <v>#NUM!</v>
      </c>
      <c r="M52" t="n">
        <v>0</v>
      </c>
      <c r="N52" t="n">
        <v>1.19114404303293</v>
      </c>
      <c r="O52" t="n">
        <v>0.980942153085944</v>
      </c>
      <c r="P52" t="n">
        <v>1.47141322962892</v>
      </c>
      <c r="Q52" t="n">
        <v>1.80582532727185</v>
      </c>
      <c r="R52" t="n">
        <v>2.19278789740153</v>
      </c>
      <c r="S52" t="n">
        <v>2.25543898018443</v>
      </c>
      <c r="T52" t="n">
        <v>2.02411190529372</v>
      </c>
      <c r="U52" t="n">
        <v>1.90844836784837</v>
      </c>
      <c r="V52" t="n">
        <v>1.72375981612111</v>
      </c>
      <c r="W52" t="n">
        <v>1.72375981612111</v>
      </c>
      <c r="X52" t="n">
        <v>1.8426398034398</v>
      </c>
      <c r="Y52" t="n">
        <v>1.91088572208572</v>
      </c>
      <c r="Z52" t="n">
        <v>2.71933737373737</v>
      </c>
      <c r="AA52" t="n">
        <v>4.53222895622896</v>
      </c>
      <c r="AB52" t="n">
        <v>4.18359595959596</v>
      </c>
      <c r="AC52" t="n">
        <v>3.92212121212121</v>
      </c>
      <c r="AD52" t="n">
        <v>4.10888888888889</v>
      </c>
      <c r="AE52" t="n">
        <v>4.3</v>
      </c>
      <c r="AF52" t="n">
        <v>4.4</v>
      </c>
    </row>
    <row r="53">
      <c r="A53" t="s">
        <v>144</v>
      </c>
      <c r="B53" t="s">
        <v>376</v>
      </c>
      <c r="C53" t="s">
        <v>203</v>
      </c>
      <c r="D53" t="s">
        <v>377</v>
      </c>
      <c r="E53" t="s">
        <v>204</v>
      </c>
      <c r="F53"/>
      <c r="G53"/>
      <c r="H53"/>
      <c r="I53"/>
      <c r="J53"/>
      <c r="K53" t="n">
        <v>5.46713344030234</v>
      </c>
      <c r="L53" t="n">
        <v>15.5730467693461</v>
      </c>
      <c r="M53" t="n">
        <v>30.3349973527887</v>
      </c>
      <c r="N53" t="n">
        <v>35.3079477384917</v>
      </c>
      <c r="O53" t="n">
        <v>32.4833119194124</v>
      </c>
      <c r="P53" t="n">
        <v>36.6265915009701</v>
      </c>
      <c r="Q53" t="n">
        <v>42.1760750617231</v>
      </c>
      <c r="R53" t="n">
        <v>48.9834415629135</v>
      </c>
      <c r="S53" t="n">
        <v>57.7975711656797</v>
      </c>
      <c r="T53" t="n">
        <v>55.4331250725383</v>
      </c>
      <c r="U53" t="n">
        <v>54.0084419515151</v>
      </c>
      <c r="V53" t="n">
        <v>49.4501847024102</v>
      </c>
      <c r="W53" t="n">
        <v>44.2780990575153</v>
      </c>
      <c r="X53" t="n">
        <v>39.8622239493534</v>
      </c>
      <c r="Y53" t="n">
        <v>34.6018131642481</v>
      </c>
      <c r="Z53" t="n">
        <v>32.2876791628175</v>
      </c>
      <c r="AA53" t="n">
        <v>29.5606792335255</v>
      </c>
      <c r="AB53" t="n">
        <v>28.4896401308615</v>
      </c>
      <c r="AC53" t="n">
        <v>39.9872448979592</v>
      </c>
      <c r="AD53" t="n">
        <v>40.7142857142857</v>
      </c>
      <c r="AE53" t="n">
        <v>40</v>
      </c>
      <c r="AF53" t="n">
        <v>39.1</v>
      </c>
    </row>
    <row r="54">
      <c r="A54" t="s">
        <v>144</v>
      </c>
      <c r="B54" t="s">
        <v>378</v>
      </c>
      <c r="C54" t="s">
        <v>203</v>
      </c>
      <c r="D54" t="s">
        <v>379</v>
      </c>
      <c r="E54" t="s">
        <v>204</v>
      </c>
      <c r="F54"/>
      <c r="G54"/>
      <c r="H54"/>
      <c r="I54"/>
      <c r="J54"/>
      <c r="K54" t="n">
        <v>6.08999014421739</v>
      </c>
      <c r="L54" t="n">
        <v>34.879034462336</v>
      </c>
      <c r="M54" t="n">
        <v>49.6018429791009</v>
      </c>
      <c r="N54" t="n">
        <v>52.2309159285232</v>
      </c>
      <c r="O54" t="n">
        <v>46.386897363094</v>
      </c>
      <c r="P54" t="n">
        <v>52.6508214595702</v>
      </c>
      <c r="Q54" t="n">
        <v>57.7718740027503</v>
      </c>
      <c r="R54" t="n">
        <v>66.2154555877677</v>
      </c>
      <c r="S54" t="n">
        <v>75.551691191249</v>
      </c>
      <c r="T54" t="n">
        <v>72.2951527778331</v>
      </c>
      <c r="U54" t="n">
        <v>70.3724093528907</v>
      </c>
      <c r="V54" t="n">
        <v>63.0078548857278</v>
      </c>
      <c r="W54" t="n">
        <v>58.890509912997</v>
      </c>
      <c r="X54" t="n">
        <v>55.2172587916632</v>
      </c>
      <c r="Y54" t="n">
        <v>51.0235429340685</v>
      </c>
      <c r="Z54" t="n">
        <v>51.0235429340685</v>
      </c>
      <c r="AA54" t="n">
        <v>48.0735736423772</v>
      </c>
      <c r="AB54" t="n">
        <v>50.2293392765645</v>
      </c>
      <c r="AC54" t="n">
        <v>64.7855967812016</v>
      </c>
      <c r="AD54" t="n">
        <v>65.8288431061807</v>
      </c>
      <c r="AE54" t="n">
        <v>64.5</v>
      </c>
      <c r="AF54" t="n">
        <v>62.9</v>
      </c>
    </row>
    <row r="55">
      <c r="A55" t="s">
        <v>144</v>
      </c>
      <c r="B55" t="s">
        <v>380</v>
      </c>
      <c r="C55" t="s">
        <v>203</v>
      </c>
      <c r="D55" t="s">
        <v>381</v>
      </c>
      <c r="E55" t="s">
        <v>204</v>
      </c>
      <c r="F55"/>
      <c r="G55"/>
      <c r="H55"/>
      <c r="I55"/>
      <c r="J55"/>
      <c r="K55" t="n">
        <v>0</v>
      </c>
      <c r="L55" t="n">
        <v>21.7413701099655</v>
      </c>
      <c r="M55" t="n">
        <v>20.2638012675407</v>
      </c>
      <c r="N55" t="n">
        <v>17.2242310774096</v>
      </c>
      <c r="O55" t="n">
        <v>14.0197229699846</v>
      </c>
      <c r="P55" t="n">
        <v>16.1766034269053</v>
      </c>
      <c r="Q55" t="n">
        <v>15.6814012811837</v>
      </c>
      <c r="R55" t="n">
        <v>17.3242147487362</v>
      </c>
      <c r="S55" t="n">
        <v>17.8922217896784</v>
      </c>
      <c r="T55" t="n">
        <v>16.9976107001945</v>
      </c>
      <c r="U55" t="n">
        <v>16.4976809737182</v>
      </c>
      <c r="V55" t="n">
        <v>13.7260705701335</v>
      </c>
      <c r="W55" t="n">
        <v>14.6978277786386</v>
      </c>
      <c r="X55" t="n">
        <v>15.3977243395261</v>
      </c>
      <c r="Y55" t="n">
        <v>16.4396756106219</v>
      </c>
      <c r="Z55" t="n">
        <v>18.7412301961089</v>
      </c>
      <c r="AA55" t="n">
        <v>18.5220345213006</v>
      </c>
      <c r="AB55" t="n">
        <v>21.790628848589</v>
      </c>
      <c r="AC55" t="n">
        <v>24.7998109276798</v>
      </c>
      <c r="AD55" t="n">
        <v>25.1150627615063</v>
      </c>
      <c r="AE55" t="n">
        <v>24.5</v>
      </c>
      <c r="AF55" t="n">
        <v>23.8</v>
      </c>
    </row>
    <row r="56">
      <c r="A56" t="s">
        <v>144</v>
      </c>
      <c r="B56" t="s">
        <v>382</v>
      </c>
      <c r="C56" t="s">
        <v>203</v>
      </c>
      <c r="D56" t="s">
        <v>383</v>
      </c>
      <c r="E56" t="s">
        <v>204</v>
      </c>
      <c r="F56" t="e">
        <v>#NUM!</v>
      </c>
      <c r="G56" t="e">
        <v>#NUM!</v>
      </c>
      <c r="H56" t="e">
        <v>#NUM!</v>
      </c>
      <c r="I56" t="e">
        <v>#NUM!</v>
      </c>
      <c r="J56" t="e">
        <v>#NUM!</v>
      </c>
      <c r="K56" t="e">
        <v>#NUM!</v>
      </c>
      <c r="L56" t="e">
        <v>#NUM!</v>
      </c>
      <c r="M56" t="e">
        <v>#NUM!</v>
      </c>
      <c r="N56" t="e">
        <v>#NUM!</v>
      </c>
      <c r="O56" t="e">
        <v>#NUM!</v>
      </c>
      <c r="P56" t="e">
        <v>#NUM!</v>
      </c>
      <c r="Q56" t="e">
        <v>#NUM!</v>
      </c>
      <c r="R56" t="e">
        <v>#NUM!</v>
      </c>
      <c r="S56" t="e">
        <v>#NUM!</v>
      </c>
      <c r="T56" t="e">
        <v>#NUM!</v>
      </c>
      <c r="U56" t="e">
        <v>#NUM!</v>
      </c>
      <c r="V56" t="e">
        <v>#NUM!</v>
      </c>
      <c r="W56" t="e">
        <v>#NUM!</v>
      </c>
      <c r="X56" t="e">
        <v>#NUM!</v>
      </c>
      <c r="Y56" t="e">
        <v>#NUM!</v>
      </c>
      <c r="Z56" t="e">
        <v>#NUM!</v>
      </c>
      <c r="AA56" t="e">
        <v>#NUM!</v>
      </c>
      <c r="AB56" t="e">
        <v>#NUM!</v>
      </c>
      <c r="AC56" t="e">
        <v>#NUM!</v>
      </c>
      <c r="AD56" t="e">
        <v>#NUM!</v>
      </c>
      <c r="AE56" t="n">
        <v>0</v>
      </c>
      <c r="AF56" t="e">
        <v>#NUM!</v>
      </c>
    </row>
    <row r="57">
      <c r="A57" t="s">
        <v>144</v>
      </c>
      <c r="B57" t="s">
        <v>384</v>
      </c>
      <c r="C57" t="s">
        <v>203</v>
      </c>
      <c r="D57" t="s">
        <v>385</v>
      </c>
      <c r="E57" t="s">
        <v>204</v>
      </c>
      <c r="F57"/>
      <c r="G57"/>
      <c r="H57"/>
      <c r="I57"/>
      <c r="J57"/>
      <c r="K57" t="n">
        <v>2810.06049577618</v>
      </c>
      <c r="L57" t="n">
        <v>3532.81370699386</v>
      </c>
      <c r="M57" t="n">
        <v>5004.75279054424</v>
      </c>
      <c r="N57" t="n">
        <v>7103.22296386791</v>
      </c>
      <c r="O57" t="n">
        <v>7080.92569759798</v>
      </c>
      <c r="P57" t="n">
        <v>9825.34208408376</v>
      </c>
      <c r="Q57" t="n">
        <v>11092.6058783671</v>
      </c>
      <c r="R57" t="n">
        <v>13897.8152770299</v>
      </c>
      <c r="S57" t="n">
        <v>13432.3053977247</v>
      </c>
      <c r="T57" t="n">
        <v>12958.4754661039</v>
      </c>
      <c r="U57" t="n">
        <v>12471.0602098479</v>
      </c>
      <c r="V57" t="n">
        <v>11192.3552413828</v>
      </c>
      <c r="W57" t="n">
        <v>10318.2535936848</v>
      </c>
      <c r="X57" t="n">
        <v>9563.19032443849</v>
      </c>
      <c r="Y57" t="n">
        <v>9478.03758827255</v>
      </c>
      <c r="Z57" t="n">
        <v>9179.38651277032</v>
      </c>
      <c r="AA57" t="n">
        <v>8994.06394197155</v>
      </c>
      <c r="AB57" t="n">
        <v>8600.34026004826</v>
      </c>
      <c r="AC57" t="n">
        <v>8566.2202068473</v>
      </c>
      <c r="AD57" t="n">
        <v>8642.155330506</v>
      </c>
      <c r="AE57" t="n">
        <v>8424.7</v>
      </c>
      <c r="AF57" t="n">
        <v>8174.3</v>
      </c>
    </row>
    <row r="58">
      <c r="A58" t="s">
        <v>144</v>
      </c>
      <c r="B58" t="s">
        <v>386</v>
      </c>
      <c r="C58" t="s">
        <v>203</v>
      </c>
      <c r="D58" t="s">
        <v>387</v>
      </c>
      <c r="E58" t="s">
        <v>204</v>
      </c>
      <c r="F58"/>
      <c r="G58"/>
      <c r="H58"/>
      <c r="I58"/>
      <c r="J58"/>
      <c r="K58" t="n">
        <v>2810.06049577618</v>
      </c>
      <c r="L58" t="n">
        <v>3532.81370699386</v>
      </c>
      <c r="M58" t="n">
        <v>5004.75279054424</v>
      </c>
      <c r="N58" t="n">
        <v>7103.22296386791</v>
      </c>
      <c r="O58" t="n">
        <v>7080.92569759798</v>
      </c>
      <c r="P58" t="n">
        <v>9825.34208408376</v>
      </c>
      <c r="Q58" t="n">
        <v>11092.6058783671</v>
      </c>
      <c r="R58" t="n">
        <v>13897.8152770299</v>
      </c>
      <c r="S58" t="n">
        <v>13432.3053977247</v>
      </c>
      <c r="T58" t="n">
        <v>12958.4754661039</v>
      </c>
      <c r="U58" t="n">
        <v>12471.0602098479</v>
      </c>
      <c r="V58" t="n">
        <v>11192.3552413828</v>
      </c>
      <c r="W58" t="n">
        <v>10318.2535936848</v>
      </c>
      <c r="X58" t="n">
        <v>9563.19032443849</v>
      </c>
      <c r="Y58" t="n">
        <v>9478.03758827255</v>
      </c>
      <c r="Z58" t="n">
        <v>9179.38651277032</v>
      </c>
      <c r="AA58" t="n">
        <v>8994.06394197155</v>
      </c>
      <c r="AB58" t="n">
        <v>8600.34026004826</v>
      </c>
      <c r="AC58" t="n">
        <v>8566.2202068473</v>
      </c>
      <c r="AD58" t="n">
        <v>8642.155330506</v>
      </c>
      <c r="AE58" t="n">
        <v>8424.7</v>
      </c>
      <c r="AF58" t="n">
        <v>8174.3</v>
      </c>
    </row>
    <row r="59">
      <c r="A59" t="s">
        <v>144</v>
      </c>
      <c r="B59" t="s">
        <v>388</v>
      </c>
      <c r="C59" t="s">
        <v>203</v>
      </c>
      <c r="D59" t="s">
        <v>389</v>
      </c>
      <c r="E59" t="s">
        <v>204</v>
      </c>
      <c r="F59" t="e">
        <v>#NUM!</v>
      </c>
      <c r="G59" t="e">
        <v>#NUM!</v>
      </c>
      <c r="H59" t="e">
        <v>#NUM!</v>
      </c>
      <c r="I59" t="e">
        <v>#NUM!</v>
      </c>
      <c r="J59" t="e">
        <v>#NUM!</v>
      </c>
      <c r="K59" t="e">
        <v>#NUM!</v>
      </c>
      <c r="L59" t="e">
        <v>#NUM!</v>
      </c>
      <c r="M59" t="e">
        <v>#NUM!</v>
      </c>
      <c r="N59" t="e">
        <v>#NUM!</v>
      </c>
      <c r="O59" t="e">
        <v>#NUM!</v>
      </c>
      <c r="P59" t="e">
        <v>#NUM!</v>
      </c>
      <c r="Q59" t="e">
        <v>#NUM!</v>
      </c>
      <c r="R59" t="e">
        <v>#NUM!</v>
      </c>
      <c r="S59" t="e">
        <v>#NUM!</v>
      </c>
      <c r="T59" t="e">
        <v>#NUM!</v>
      </c>
      <c r="U59" t="e">
        <v>#NUM!</v>
      </c>
      <c r="V59" t="e">
        <v>#NUM!</v>
      </c>
      <c r="W59" t="e">
        <v>#NUM!</v>
      </c>
      <c r="X59" t="e">
        <v>#NUM!</v>
      </c>
      <c r="Y59" t="e">
        <v>#NUM!</v>
      </c>
      <c r="Z59" t="e">
        <v>#NUM!</v>
      </c>
      <c r="AA59" t="e">
        <v>#NUM!</v>
      </c>
      <c r="AB59" t="e">
        <v>#NUM!</v>
      </c>
      <c r="AC59" t="e">
        <v>#NUM!</v>
      </c>
      <c r="AD59" t="e">
        <v>#NUM!</v>
      </c>
      <c r="AE59" t="n">
        <v>0</v>
      </c>
      <c r="AF59" t="e">
        <v>#NUM!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145</v>
      </c>
      <c r="B2" t="s">
        <v>197</v>
      </c>
      <c r="C2" t="s">
        <v>203</v>
      </c>
      <c r="D2" t="s">
        <v>199</v>
      </c>
      <c r="E2" t="s">
        <v>204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145</v>
      </c>
      <c r="B3" t="s">
        <v>276</v>
      </c>
      <c r="C3" t="s">
        <v>203</v>
      </c>
      <c r="D3" t="s">
        <v>277</v>
      </c>
      <c r="E3" t="s">
        <v>204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145</v>
      </c>
      <c r="B4" t="s">
        <v>278</v>
      </c>
      <c r="C4" t="s">
        <v>203</v>
      </c>
      <c r="D4" t="s">
        <v>279</v>
      </c>
      <c r="E4" t="s">
        <v>204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145</v>
      </c>
      <c r="B5" t="s">
        <v>280</v>
      </c>
      <c r="C5" t="s">
        <v>203</v>
      </c>
      <c r="D5" t="s">
        <v>281</v>
      </c>
      <c r="E5" t="s">
        <v>204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145</v>
      </c>
      <c r="B6" t="s">
        <v>282</v>
      </c>
      <c r="C6" t="s">
        <v>203</v>
      </c>
      <c r="D6" t="s">
        <v>283</v>
      </c>
      <c r="E6" t="s">
        <v>204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145</v>
      </c>
      <c r="B7" t="s">
        <v>284</v>
      </c>
      <c r="C7" t="s">
        <v>203</v>
      </c>
      <c r="D7" t="s">
        <v>285</v>
      </c>
      <c r="E7" t="s">
        <v>204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145</v>
      </c>
      <c r="B8" t="s">
        <v>286</v>
      </c>
      <c r="C8" t="s">
        <v>203</v>
      </c>
      <c r="D8" t="s">
        <v>287</v>
      </c>
      <c r="E8" t="s">
        <v>204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145</v>
      </c>
      <c r="B9" t="s">
        <v>288</v>
      </c>
      <c r="C9" t="s">
        <v>203</v>
      </c>
      <c r="D9" t="s">
        <v>289</v>
      </c>
      <c r="E9" t="s">
        <v>204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145</v>
      </c>
      <c r="B10" t="s">
        <v>290</v>
      </c>
      <c r="C10" t="s">
        <v>203</v>
      </c>
      <c r="D10" t="s">
        <v>291</v>
      </c>
      <c r="E10" t="s">
        <v>204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145</v>
      </c>
      <c r="B11" t="s">
        <v>292</v>
      </c>
      <c r="C11" t="s">
        <v>203</v>
      </c>
      <c r="D11" t="s">
        <v>293</v>
      </c>
      <c r="E11" t="s">
        <v>204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145</v>
      </c>
      <c r="B12" t="s">
        <v>294</v>
      </c>
      <c r="C12" t="s">
        <v>203</v>
      </c>
      <c r="D12" t="s">
        <v>295</v>
      </c>
      <c r="E12" t="s">
        <v>204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145</v>
      </c>
      <c r="B13" t="s">
        <v>296</v>
      </c>
      <c r="C13" t="s">
        <v>203</v>
      </c>
      <c r="D13" t="s">
        <v>297</v>
      </c>
      <c r="E13" t="s">
        <v>204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145</v>
      </c>
      <c r="B14" t="s">
        <v>298</v>
      </c>
      <c r="C14" t="s">
        <v>203</v>
      </c>
      <c r="D14" t="s">
        <v>299</v>
      </c>
      <c r="E14" t="s">
        <v>204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145</v>
      </c>
      <c r="B15" t="s">
        <v>300</v>
      </c>
      <c r="C15" t="s">
        <v>203</v>
      </c>
      <c r="D15" t="s">
        <v>301</v>
      </c>
      <c r="E15" t="s">
        <v>204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145</v>
      </c>
      <c r="B16" t="s">
        <v>302</v>
      </c>
      <c r="C16" t="s">
        <v>203</v>
      </c>
      <c r="D16" t="s">
        <v>303</v>
      </c>
      <c r="E16" t="s">
        <v>204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145</v>
      </c>
      <c r="B17" t="s">
        <v>304</v>
      </c>
      <c r="C17" t="s">
        <v>203</v>
      </c>
      <c r="D17" t="s">
        <v>305</v>
      </c>
      <c r="E17" t="s">
        <v>204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145</v>
      </c>
      <c r="B18" t="s">
        <v>306</v>
      </c>
      <c r="C18" t="s">
        <v>203</v>
      </c>
      <c r="D18" t="s">
        <v>307</v>
      </c>
      <c r="E18" t="s">
        <v>204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145</v>
      </c>
      <c r="B19" t="s">
        <v>308</v>
      </c>
      <c r="C19" t="s">
        <v>203</v>
      </c>
      <c r="D19" t="s">
        <v>309</v>
      </c>
      <c r="E19" t="s">
        <v>204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145</v>
      </c>
      <c r="B20" t="s">
        <v>310</v>
      </c>
      <c r="C20" t="s">
        <v>203</v>
      </c>
      <c r="D20" t="s">
        <v>311</v>
      </c>
      <c r="E20" t="s">
        <v>204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145</v>
      </c>
      <c r="B21" t="s">
        <v>312</v>
      </c>
      <c r="C21" t="s">
        <v>203</v>
      </c>
      <c r="D21" t="s">
        <v>313</v>
      </c>
      <c r="E21" t="s">
        <v>204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145</v>
      </c>
      <c r="B22" t="s">
        <v>314</v>
      </c>
      <c r="C22" t="s">
        <v>203</v>
      </c>
      <c r="D22" t="s">
        <v>315</v>
      </c>
      <c r="E22" t="s">
        <v>204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145</v>
      </c>
      <c r="B23" t="s">
        <v>316</v>
      </c>
      <c r="C23" t="s">
        <v>203</v>
      </c>
      <c r="D23" t="s">
        <v>317</v>
      </c>
      <c r="E23" t="s">
        <v>204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145</v>
      </c>
      <c r="B24" t="s">
        <v>318</v>
      </c>
      <c r="C24" t="s">
        <v>203</v>
      </c>
      <c r="D24" t="s">
        <v>319</v>
      </c>
      <c r="E24" t="s">
        <v>204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145</v>
      </c>
      <c r="B25" t="s">
        <v>320</v>
      </c>
      <c r="C25" t="s">
        <v>203</v>
      </c>
      <c r="D25" t="s">
        <v>321</v>
      </c>
      <c r="E25" t="s">
        <v>204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145</v>
      </c>
      <c r="B26" t="s">
        <v>322</v>
      </c>
      <c r="C26" t="s">
        <v>203</v>
      </c>
      <c r="D26" t="s">
        <v>323</v>
      </c>
      <c r="E26" t="s">
        <v>204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145</v>
      </c>
      <c r="B27" t="s">
        <v>324</v>
      </c>
      <c r="C27" t="s">
        <v>203</v>
      </c>
      <c r="D27" t="s">
        <v>325</v>
      </c>
      <c r="E27" t="s">
        <v>204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145</v>
      </c>
      <c r="B28" t="s">
        <v>326</v>
      </c>
      <c r="C28" t="s">
        <v>203</v>
      </c>
      <c r="D28" t="s">
        <v>327</v>
      </c>
      <c r="E28" t="s">
        <v>204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145</v>
      </c>
      <c r="B29" t="s">
        <v>328</v>
      </c>
      <c r="C29" t="s">
        <v>203</v>
      </c>
      <c r="D29" t="s">
        <v>329</v>
      </c>
      <c r="E29" t="s">
        <v>204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145</v>
      </c>
      <c r="B30" t="s">
        <v>330</v>
      </c>
      <c r="C30" t="s">
        <v>203</v>
      </c>
      <c r="D30" t="s">
        <v>331</v>
      </c>
      <c r="E30" t="s">
        <v>204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145</v>
      </c>
      <c r="B31" t="s">
        <v>332</v>
      </c>
      <c r="C31" t="s">
        <v>203</v>
      </c>
      <c r="D31" t="s">
        <v>333</v>
      </c>
      <c r="E31" t="s">
        <v>204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145</v>
      </c>
      <c r="B32" t="s">
        <v>334</v>
      </c>
      <c r="C32" t="s">
        <v>203</v>
      </c>
      <c r="D32" t="s">
        <v>335</v>
      </c>
      <c r="E32" t="s">
        <v>204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145</v>
      </c>
      <c r="B33" t="s">
        <v>336</v>
      </c>
      <c r="C33" t="s">
        <v>203</v>
      </c>
      <c r="D33" t="s">
        <v>337</v>
      </c>
      <c r="E33" t="s">
        <v>204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145</v>
      </c>
      <c r="B34" t="s">
        <v>338</v>
      </c>
      <c r="C34" t="s">
        <v>203</v>
      </c>
      <c r="D34" t="s">
        <v>339</v>
      </c>
      <c r="E34" t="s">
        <v>204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145</v>
      </c>
      <c r="B35" t="s">
        <v>340</v>
      </c>
      <c r="C35" t="s">
        <v>203</v>
      </c>
      <c r="D35" t="s">
        <v>341</v>
      </c>
      <c r="E35" t="s">
        <v>204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145</v>
      </c>
      <c r="B36" t="s">
        <v>342</v>
      </c>
      <c r="C36" t="s">
        <v>203</v>
      </c>
      <c r="D36" t="s">
        <v>343</v>
      </c>
      <c r="E36" t="s">
        <v>204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145</v>
      </c>
      <c r="B37" t="s">
        <v>344</v>
      </c>
      <c r="C37" t="s">
        <v>203</v>
      </c>
      <c r="D37" t="s">
        <v>345</v>
      </c>
      <c r="E37" t="s">
        <v>204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145</v>
      </c>
      <c r="B38" t="s">
        <v>346</v>
      </c>
      <c r="C38" t="s">
        <v>203</v>
      </c>
      <c r="D38" t="s">
        <v>347</v>
      </c>
      <c r="E38" t="s">
        <v>204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145</v>
      </c>
      <c r="B39" t="s">
        <v>348</v>
      </c>
      <c r="C39" t="s">
        <v>203</v>
      </c>
      <c r="D39" t="s">
        <v>349</v>
      </c>
      <c r="E39" t="s">
        <v>204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145</v>
      </c>
      <c r="B40" t="s">
        <v>350</v>
      </c>
      <c r="C40" t="s">
        <v>203</v>
      </c>
      <c r="D40" t="s">
        <v>351</v>
      </c>
      <c r="E40" t="s">
        <v>204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145</v>
      </c>
      <c r="B41" t="s">
        <v>352</v>
      </c>
      <c r="C41" t="s">
        <v>203</v>
      </c>
      <c r="D41" t="s">
        <v>353</v>
      </c>
      <c r="E41" t="s">
        <v>204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145</v>
      </c>
      <c r="B42" t="s">
        <v>354</v>
      </c>
      <c r="C42" t="s">
        <v>203</v>
      </c>
      <c r="D42" t="s">
        <v>355</v>
      </c>
      <c r="E42" t="s">
        <v>204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145</v>
      </c>
      <c r="B43" t="s">
        <v>356</v>
      </c>
      <c r="C43" t="s">
        <v>203</v>
      </c>
      <c r="D43" t="s">
        <v>357</v>
      </c>
      <c r="E43" t="s">
        <v>204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145</v>
      </c>
      <c r="B44" t="s">
        <v>358</v>
      </c>
      <c r="C44" t="s">
        <v>203</v>
      </c>
      <c r="D44" t="s">
        <v>359</v>
      </c>
      <c r="E44" t="s">
        <v>204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145</v>
      </c>
      <c r="B45" t="s">
        <v>360</v>
      </c>
      <c r="C45" t="s">
        <v>203</v>
      </c>
      <c r="D45" t="s">
        <v>361</v>
      </c>
      <c r="E45" t="s">
        <v>204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145</v>
      </c>
      <c r="B46" t="s">
        <v>362</v>
      </c>
      <c r="C46" t="s">
        <v>203</v>
      </c>
      <c r="D46" t="s">
        <v>363</v>
      </c>
      <c r="E46" t="s">
        <v>204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145</v>
      </c>
      <c r="B47" t="s">
        <v>364</v>
      </c>
      <c r="C47" t="s">
        <v>203</v>
      </c>
      <c r="D47" t="s">
        <v>365</v>
      </c>
      <c r="E47" t="s">
        <v>204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145</v>
      </c>
      <c r="B48" t="s">
        <v>366</v>
      </c>
      <c r="C48" t="s">
        <v>203</v>
      </c>
      <c r="D48" t="s">
        <v>367</v>
      </c>
      <c r="E48" t="s">
        <v>204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145</v>
      </c>
      <c r="B49" t="s">
        <v>368</v>
      </c>
      <c r="C49" t="s">
        <v>203</v>
      </c>
      <c r="D49" t="s">
        <v>369</v>
      </c>
      <c r="E49" t="s">
        <v>204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145</v>
      </c>
      <c r="B50" t="s">
        <v>370</v>
      </c>
      <c r="C50" t="s">
        <v>203</v>
      </c>
      <c r="D50" t="s">
        <v>371</v>
      </c>
      <c r="E50" t="s">
        <v>204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145</v>
      </c>
      <c r="B51" t="s">
        <v>372</v>
      </c>
      <c r="C51" t="s">
        <v>203</v>
      </c>
      <c r="D51" t="s">
        <v>373</v>
      </c>
      <c r="E51" t="s">
        <v>204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145</v>
      </c>
      <c r="B52" t="s">
        <v>374</v>
      </c>
      <c r="C52" t="s">
        <v>203</v>
      </c>
      <c r="D52" t="s">
        <v>375</v>
      </c>
      <c r="E52" t="s">
        <v>204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145</v>
      </c>
      <c r="B53" t="s">
        <v>376</v>
      </c>
      <c r="C53" t="s">
        <v>203</v>
      </c>
      <c r="D53" t="s">
        <v>377</v>
      </c>
      <c r="E53" t="s">
        <v>204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145</v>
      </c>
      <c r="B54" t="s">
        <v>378</v>
      </c>
      <c r="C54" t="s">
        <v>203</v>
      </c>
      <c r="D54" t="s">
        <v>379</v>
      </c>
      <c r="E54" t="s">
        <v>204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145</v>
      </c>
      <c r="B55" t="s">
        <v>380</v>
      </c>
      <c r="C55" t="s">
        <v>203</v>
      </c>
      <c r="D55" t="s">
        <v>381</v>
      </c>
      <c r="E55" t="s">
        <v>204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145</v>
      </c>
      <c r="B56" t="s">
        <v>382</v>
      </c>
      <c r="C56" t="s">
        <v>203</v>
      </c>
      <c r="D56" t="s">
        <v>383</v>
      </c>
      <c r="E56" t="s">
        <v>204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145</v>
      </c>
      <c r="B57" t="s">
        <v>384</v>
      </c>
      <c r="C57" t="s">
        <v>203</v>
      </c>
      <c r="D57" t="s">
        <v>385</v>
      </c>
      <c r="E57" t="s">
        <v>204</v>
      </c>
      <c r="F57"/>
      <c r="G57"/>
      <c r="H57"/>
      <c r="I57"/>
      <c r="J57"/>
      <c r="K57" t="n">
        <v>18290.244524181</v>
      </c>
      <c r="L57" t="n">
        <v>19061.5138288265</v>
      </c>
      <c r="M57" t="n">
        <v>20123.4973693311</v>
      </c>
      <c r="N57" t="n">
        <v>20457.3180712033</v>
      </c>
      <c r="O57" t="n">
        <v>21955.3757642215</v>
      </c>
      <c r="P57" t="n">
        <v>20947.3445714172</v>
      </c>
      <c r="Q57" t="n">
        <v>24639.8523796627</v>
      </c>
      <c r="R57" t="n">
        <v>29390.0491809459</v>
      </c>
      <c r="S57" t="n">
        <v>32495.0160290444</v>
      </c>
      <c r="T57" t="n">
        <v>32311.8186783492</v>
      </c>
      <c r="U57" t="n">
        <v>36530.8575956411</v>
      </c>
      <c r="V57" t="n">
        <v>37508.7798659849</v>
      </c>
      <c r="W57" t="n">
        <v>37766.7565429642</v>
      </c>
      <c r="X57" t="n">
        <v>38172.3500835013</v>
      </c>
      <c r="Y57" t="n">
        <v>38723.7125487254</v>
      </c>
      <c r="Z57" t="n">
        <v>40488.1357300595</v>
      </c>
      <c r="AA57" t="n">
        <v>40661.8403821506</v>
      </c>
      <c r="AB57" t="n">
        <v>41472.5736961346</v>
      </c>
      <c r="AC57" t="n">
        <v>43038.8817202537</v>
      </c>
      <c r="AD57" t="n">
        <v>45239.8381426692</v>
      </c>
      <c r="AE57" t="n">
        <v>44804.2</v>
      </c>
      <c r="AF57" t="n">
        <v>42363.3</v>
      </c>
    </row>
    <row r="58">
      <c r="A58" t="s">
        <v>145</v>
      </c>
      <c r="B58" t="s">
        <v>386</v>
      </c>
      <c r="C58" t="s">
        <v>203</v>
      </c>
      <c r="D58" t="s">
        <v>387</v>
      </c>
      <c r="E58" t="s">
        <v>204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145</v>
      </c>
      <c r="B59" t="s">
        <v>388</v>
      </c>
      <c r="C59" t="s">
        <v>203</v>
      </c>
      <c r="D59" t="s">
        <v>389</v>
      </c>
      <c r="E59" t="s">
        <v>204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146</v>
      </c>
      <c r="B2" t="s">
        <v>197</v>
      </c>
      <c r="C2" t="s">
        <v>203</v>
      </c>
      <c r="D2" t="s">
        <v>199</v>
      </c>
      <c r="E2" t="s">
        <v>204</v>
      </c>
      <c r="F2"/>
      <c r="G2"/>
      <c r="H2"/>
      <c r="I2"/>
      <c r="J2"/>
      <c r="K2" t="n">
        <v>585.484153183844</v>
      </c>
      <c r="L2" t="n">
        <v>626.145490032672</v>
      </c>
      <c r="M2" t="n">
        <v>789.665724570901</v>
      </c>
      <c r="N2" t="n">
        <v>876.49322279295</v>
      </c>
      <c r="O2" t="n">
        <v>969.7023901422</v>
      </c>
      <c r="P2" t="n">
        <v>1052.34038142434</v>
      </c>
      <c r="Q2" t="n">
        <v>1181.46701150728</v>
      </c>
      <c r="R2" t="n">
        <v>1204.20893944449</v>
      </c>
      <c r="S2" t="n">
        <v>1519.06371131441</v>
      </c>
      <c r="T2" t="n">
        <v>1813.26499095728</v>
      </c>
      <c r="U2" t="n">
        <v>2023.62896821574</v>
      </c>
      <c r="V2" t="n">
        <v>2174.1638676856</v>
      </c>
      <c r="W2" t="n">
        <v>2514.57535431111</v>
      </c>
      <c r="X2" t="n">
        <v>2847.72670077769</v>
      </c>
      <c r="Y2" t="n">
        <v>3372.00415292839</v>
      </c>
      <c r="Z2" t="n">
        <v>3653.49984083969</v>
      </c>
      <c r="AA2" t="n">
        <v>3843.66752091906</v>
      </c>
      <c r="AB2" t="n">
        <v>4158.75784395276</v>
      </c>
      <c r="AC2" t="n">
        <v>4447.1685244614</v>
      </c>
      <c r="AD2" t="n">
        <v>4518.92178546057</v>
      </c>
      <c r="AE2" t="n">
        <v>4441.1</v>
      </c>
      <c r="AF2" t="n">
        <v>4121.4</v>
      </c>
    </row>
    <row r="3">
      <c r="A3" t="s">
        <v>146</v>
      </c>
      <c r="B3" t="s">
        <v>276</v>
      </c>
      <c r="C3" t="s">
        <v>203</v>
      </c>
      <c r="D3" t="s">
        <v>277</v>
      </c>
      <c r="E3" t="s">
        <v>204</v>
      </c>
      <c r="F3"/>
      <c r="G3"/>
      <c r="H3"/>
      <c r="I3"/>
      <c r="J3"/>
      <c r="K3" t="n">
        <v>9558.7459782945</v>
      </c>
      <c r="L3" t="n">
        <v>7523.02189006524</v>
      </c>
      <c r="M3" t="n">
        <v>7533.46272326379</v>
      </c>
      <c r="N3" t="n">
        <v>7054.63196237761</v>
      </c>
      <c r="O3" t="n">
        <v>6457.99358206173</v>
      </c>
      <c r="P3" t="n">
        <v>5775.000431542</v>
      </c>
      <c r="Q3" t="n">
        <v>5548.91293277211</v>
      </c>
      <c r="R3" t="n">
        <v>4901.96168201079</v>
      </c>
      <c r="S3" t="n">
        <v>4929.24410805564</v>
      </c>
      <c r="T3" t="n">
        <v>5043.36780261943</v>
      </c>
      <c r="U3" t="n">
        <v>4891.79898830286</v>
      </c>
      <c r="V3" t="n">
        <v>4639.7177130522</v>
      </c>
      <c r="W3" t="n">
        <v>4543.60676118437</v>
      </c>
      <c r="X3" t="n">
        <v>4453.87114087845</v>
      </c>
      <c r="Y3" t="n">
        <v>4617.99543328544</v>
      </c>
      <c r="Z3" t="n">
        <v>4268.39400358677</v>
      </c>
      <c r="AA3" t="n">
        <v>4073.27439535058</v>
      </c>
      <c r="AB3" t="n">
        <v>3817.88786987208</v>
      </c>
      <c r="AC3" t="n">
        <v>3601.0268790256</v>
      </c>
      <c r="AD3" t="n">
        <v>3474.02046339963</v>
      </c>
      <c r="AE3" t="n">
        <v>3241.4</v>
      </c>
      <c r="AF3" t="n">
        <v>2855.8</v>
      </c>
    </row>
    <row r="4">
      <c r="A4" t="s">
        <v>146</v>
      </c>
      <c r="B4" t="s">
        <v>278</v>
      </c>
      <c r="C4" t="s">
        <v>203</v>
      </c>
      <c r="D4" t="s">
        <v>279</v>
      </c>
      <c r="E4" t="s">
        <v>204</v>
      </c>
      <c r="F4"/>
      <c r="G4"/>
      <c r="H4"/>
      <c r="I4"/>
      <c r="J4"/>
      <c r="K4" t="n">
        <v>8646.07578973066</v>
      </c>
      <c r="L4" t="n">
        <v>8932.540089565</v>
      </c>
      <c r="M4" t="n">
        <v>10390.3014416438</v>
      </c>
      <c r="N4" t="n">
        <v>11085.1514519024</v>
      </c>
      <c r="O4" t="n">
        <v>11584.2023627598</v>
      </c>
      <c r="P4" t="n">
        <v>11915.8475832017</v>
      </c>
      <c r="Q4" t="n">
        <v>13044.4315273337</v>
      </c>
      <c r="R4" t="n">
        <v>13009.0961543578</v>
      </c>
      <c r="S4" t="n">
        <v>14118.3861877321</v>
      </c>
      <c r="T4" t="n">
        <v>16425.6261121154</v>
      </c>
      <c r="U4" t="n">
        <v>17120.807561878</v>
      </c>
      <c r="V4" t="n">
        <v>17313.8610823465</v>
      </c>
      <c r="W4" t="n">
        <v>18038.9704573081</v>
      </c>
      <c r="X4" t="n">
        <v>18728.9677349061</v>
      </c>
      <c r="Y4" t="n">
        <v>19297.6285570984</v>
      </c>
      <c r="Z4" t="n">
        <v>20754.4295683793</v>
      </c>
      <c r="AA4" t="n">
        <v>21615.749102278</v>
      </c>
      <c r="AB4" t="n">
        <v>22349.358459174</v>
      </c>
      <c r="AC4" t="n">
        <v>22661.4996805421</v>
      </c>
      <c r="AD4" t="n">
        <v>22720.1289316696</v>
      </c>
      <c r="AE4" t="n">
        <v>22030.5</v>
      </c>
      <c r="AF4" t="n">
        <v>20171.8</v>
      </c>
    </row>
    <row r="5">
      <c r="A5" t="s">
        <v>146</v>
      </c>
      <c r="B5" t="s">
        <v>280</v>
      </c>
      <c r="C5" t="s">
        <v>203</v>
      </c>
      <c r="D5" t="s">
        <v>281</v>
      </c>
      <c r="E5" t="s">
        <v>204</v>
      </c>
      <c r="F5"/>
      <c r="G5"/>
      <c r="H5"/>
      <c r="I5"/>
      <c r="J5"/>
      <c r="K5" t="n">
        <v>3084.36544839451</v>
      </c>
      <c r="L5" t="n">
        <v>2941.2357921967</v>
      </c>
      <c r="M5" t="n">
        <v>3238.56887310438</v>
      </c>
      <c r="N5" t="n">
        <v>3349.17213596857</v>
      </c>
      <c r="O5" t="n">
        <v>3477.51460159036</v>
      </c>
      <c r="P5" t="n">
        <v>3513.22826957899</v>
      </c>
      <c r="Q5" t="n">
        <v>3796.25788167733</v>
      </c>
      <c r="R5" t="n">
        <v>3736.89304104514</v>
      </c>
      <c r="S5" t="n">
        <v>3980.38569366118</v>
      </c>
      <c r="T5" t="n">
        <v>4323.11380354562</v>
      </c>
      <c r="U5" t="n">
        <v>4428.96786813564</v>
      </c>
      <c r="V5" t="n">
        <v>4369.66225201069</v>
      </c>
      <c r="W5" t="n">
        <v>4424.1873311777</v>
      </c>
      <c r="X5" t="n">
        <v>4473.08708302604</v>
      </c>
      <c r="Y5" t="n">
        <v>4683.18874478148</v>
      </c>
      <c r="Z5" t="n">
        <v>4656.12227568777</v>
      </c>
      <c r="AA5" t="n">
        <v>4621.05631304737</v>
      </c>
      <c r="AB5" t="n">
        <v>4616.59494301347</v>
      </c>
      <c r="AC5" t="n">
        <v>4614.97944545602</v>
      </c>
      <c r="AD5" t="n">
        <v>4541.62939757826</v>
      </c>
      <c r="AE5" t="n">
        <v>4322.6</v>
      </c>
      <c r="AF5" t="n">
        <v>3884.9</v>
      </c>
    </row>
    <row r="6">
      <c r="A6" t="s">
        <v>146</v>
      </c>
      <c r="B6" t="s">
        <v>282</v>
      </c>
      <c r="C6" t="s">
        <v>203</v>
      </c>
      <c r="D6" t="s">
        <v>283</v>
      </c>
      <c r="E6" t="s">
        <v>204</v>
      </c>
      <c r="F6"/>
      <c r="G6"/>
      <c r="H6"/>
      <c r="I6"/>
      <c r="J6"/>
      <c r="K6" t="n">
        <v>407.043400538916</v>
      </c>
      <c r="L6" t="n">
        <v>434.884028676312</v>
      </c>
      <c r="M6" t="n">
        <v>562.636057064647</v>
      </c>
      <c r="N6" t="n">
        <v>686.526465141996</v>
      </c>
      <c r="O6" t="n">
        <v>765.292249386333</v>
      </c>
      <c r="P6" t="n">
        <v>824.074403274139</v>
      </c>
      <c r="Q6" t="n">
        <v>973.548519381143</v>
      </c>
      <c r="R6" t="n">
        <v>985.625118859342</v>
      </c>
      <c r="S6" t="n">
        <v>1069.34007286502</v>
      </c>
      <c r="T6" t="n">
        <v>1197.20132233537</v>
      </c>
      <c r="U6" t="n">
        <v>1250.87068937084</v>
      </c>
      <c r="V6" t="n">
        <v>1284.42188927001</v>
      </c>
      <c r="W6" t="n">
        <v>1328.75954005835</v>
      </c>
      <c r="X6" t="n">
        <v>1372.19447523967</v>
      </c>
      <c r="Y6" t="n">
        <v>1397.42577393573</v>
      </c>
      <c r="Z6" t="n">
        <v>1418.96786026316</v>
      </c>
      <c r="AA6" t="n">
        <v>1534.12784088886</v>
      </c>
      <c r="AB6" t="n">
        <v>1601.72726931633</v>
      </c>
      <c r="AC6" t="n">
        <v>1603.38674638773</v>
      </c>
      <c r="AD6" t="n">
        <v>1640.24496942388</v>
      </c>
      <c r="AE6" t="n">
        <v>1622.8</v>
      </c>
      <c r="AF6" t="n">
        <v>1516.1</v>
      </c>
    </row>
    <row r="7">
      <c r="A7" t="s">
        <v>146</v>
      </c>
      <c r="B7" t="s">
        <v>284</v>
      </c>
      <c r="C7" t="s">
        <v>203</v>
      </c>
      <c r="D7" t="s">
        <v>285</v>
      </c>
      <c r="E7" t="s">
        <v>204</v>
      </c>
      <c r="F7"/>
      <c r="G7"/>
      <c r="H7"/>
      <c r="I7"/>
      <c r="J7"/>
      <c r="K7" t="n">
        <v>262.746101056181</v>
      </c>
      <c r="L7" t="n">
        <v>293.00923732668</v>
      </c>
      <c r="M7" t="n">
        <v>354.076720252886</v>
      </c>
      <c r="N7" t="n">
        <v>390.750511253185</v>
      </c>
      <c r="O7" t="n">
        <v>426.055687614499</v>
      </c>
      <c r="P7" t="n">
        <v>442.413846650309</v>
      </c>
      <c r="Q7" t="n">
        <v>484.145681770924</v>
      </c>
      <c r="R7" t="n">
        <v>496.850407618751</v>
      </c>
      <c r="S7" t="n">
        <v>542.60640111317</v>
      </c>
      <c r="T7" t="n">
        <v>635.09479481362</v>
      </c>
      <c r="U7" t="n">
        <v>683.341936051811</v>
      </c>
      <c r="V7" t="n">
        <v>705.667728547367</v>
      </c>
      <c r="W7" t="n">
        <v>776.30695188758</v>
      </c>
      <c r="X7" t="n">
        <v>845.961473688317</v>
      </c>
      <c r="Y7" t="n">
        <v>898.167204271785</v>
      </c>
      <c r="Z7" t="n">
        <v>939.497156482469</v>
      </c>
      <c r="AA7" t="n">
        <v>965.138454421401</v>
      </c>
      <c r="AB7" t="n">
        <v>1154.22627569182</v>
      </c>
      <c r="AC7" t="n">
        <v>1349.95325997721</v>
      </c>
      <c r="AD7" t="n">
        <v>1390.97070178064</v>
      </c>
      <c r="AE7" t="n">
        <v>1386.2</v>
      </c>
      <c r="AF7" t="n">
        <v>1304.5</v>
      </c>
    </row>
    <row r="8">
      <c r="A8" t="s">
        <v>146</v>
      </c>
      <c r="B8" t="s">
        <v>286</v>
      </c>
      <c r="C8" t="s">
        <v>203</v>
      </c>
      <c r="D8" t="s">
        <v>287</v>
      </c>
      <c r="E8" t="s">
        <v>204</v>
      </c>
      <c r="F8"/>
      <c r="G8"/>
      <c r="H8"/>
      <c r="I8"/>
      <c r="J8"/>
      <c r="K8" t="n">
        <v>1697.26319507629</v>
      </c>
      <c r="L8" t="n">
        <v>1180.6558963097</v>
      </c>
      <c r="M8" t="n">
        <v>1138.51800910134</v>
      </c>
      <c r="N8" t="n">
        <v>1168.31218862682</v>
      </c>
      <c r="O8" t="n">
        <v>1108.11187977373</v>
      </c>
      <c r="P8" t="n">
        <v>1111.21087424373</v>
      </c>
      <c r="Q8" t="n">
        <v>1117.66514844069</v>
      </c>
      <c r="R8" t="n">
        <v>1044.32120270181</v>
      </c>
      <c r="S8" t="n">
        <v>1121.08822592399</v>
      </c>
      <c r="T8" t="n">
        <v>1871.74588020189</v>
      </c>
      <c r="U8" t="n">
        <v>1910.26729937227</v>
      </c>
      <c r="V8" t="n">
        <v>1895.08791374156</v>
      </c>
      <c r="W8" t="n">
        <v>1968.96977402378</v>
      </c>
      <c r="X8" t="n">
        <v>2038.30341339865</v>
      </c>
      <c r="Y8" t="n">
        <v>1910.28037131998</v>
      </c>
      <c r="Z8" t="n">
        <v>3095.98383023074</v>
      </c>
      <c r="AA8" t="n">
        <v>3399.54991452467</v>
      </c>
      <c r="AB8" t="n">
        <v>3315.11541546821</v>
      </c>
      <c r="AC8" t="n">
        <v>3158.90977797871</v>
      </c>
      <c r="AD8" t="n">
        <v>3086.38650888906</v>
      </c>
      <c r="AE8" t="n">
        <v>2916.3</v>
      </c>
      <c r="AF8" t="n">
        <v>2602.1</v>
      </c>
    </row>
    <row r="9">
      <c r="A9" t="s">
        <v>146</v>
      </c>
      <c r="B9" t="s">
        <v>288</v>
      </c>
      <c r="C9" t="s">
        <v>203</v>
      </c>
      <c r="D9" t="s">
        <v>289</v>
      </c>
      <c r="E9" t="s">
        <v>204</v>
      </c>
      <c r="F9"/>
      <c r="G9"/>
      <c r="H9"/>
      <c r="I9"/>
      <c r="J9"/>
      <c r="K9" t="n">
        <v>1533.24465342002</v>
      </c>
      <c r="L9" t="n">
        <v>1214.0446548303</v>
      </c>
      <c r="M9" t="n">
        <v>1314.39915250781</v>
      </c>
      <c r="N9" t="n">
        <v>1256.02945330105</v>
      </c>
      <c r="O9" t="n">
        <v>1147.46566722115</v>
      </c>
      <c r="P9" t="n">
        <v>1042.60588039938</v>
      </c>
      <c r="Q9" t="n">
        <v>1006.81601141202</v>
      </c>
      <c r="R9" t="n">
        <v>923.045405289547</v>
      </c>
      <c r="S9" t="n">
        <v>936.45651483832</v>
      </c>
      <c r="T9" t="n">
        <v>1054.78774506162</v>
      </c>
      <c r="U9" t="n">
        <v>1056.24492173725</v>
      </c>
      <c r="V9" t="n">
        <v>1020.13909910563</v>
      </c>
      <c r="W9" t="n">
        <v>1056.65048780225</v>
      </c>
      <c r="X9" t="n">
        <v>1090.1322630901</v>
      </c>
      <c r="Y9" t="n">
        <v>1253.80411975795</v>
      </c>
      <c r="Z9" t="n">
        <v>1235.44681200162</v>
      </c>
      <c r="AA9" t="n">
        <v>1252.44270361244</v>
      </c>
      <c r="AB9" t="n">
        <v>1355.59207882044</v>
      </c>
      <c r="AC9" t="n">
        <v>1332.77312853334</v>
      </c>
      <c r="AD9" t="n">
        <v>1319.61848466729</v>
      </c>
      <c r="AE9" t="n">
        <v>1263.6</v>
      </c>
      <c r="AF9" t="n">
        <v>1142.6</v>
      </c>
    </row>
    <row r="10">
      <c r="A10" t="s">
        <v>146</v>
      </c>
      <c r="B10" t="s">
        <v>290</v>
      </c>
      <c r="C10" t="s">
        <v>203</v>
      </c>
      <c r="D10" t="s">
        <v>291</v>
      </c>
      <c r="E10" t="s">
        <v>204</v>
      </c>
      <c r="F10"/>
      <c r="G10"/>
      <c r="H10"/>
      <c r="I10"/>
      <c r="J10"/>
      <c r="K10" t="n">
        <v>1117.09687479307</v>
      </c>
      <c r="L10" t="n">
        <v>901.62687834422</v>
      </c>
      <c r="M10" t="n">
        <v>1082.28915336041</v>
      </c>
      <c r="N10" t="n">
        <v>1129.79494274685</v>
      </c>
      <c r="O10" t="n">
        <v>1124.45228065946</v>
      </c>
      <c r="P10" t="n">
        <v>1097.64115187614</v>
      </c>
      <c r="Q10" t="n">
        <v>1113.65895670383</v>
      </c>
      <c r="R10" t="n">
        <v>1073.72396028617</v>
      </c>
      <c r="S10" t="n">
        <v>1211.75600968314</v>
      </c>
      <c r="T10" t="n">
        <v>1345.03978456696</v>
      </c>
      <c r="U10" t="n">
        <v>1396.78595322255</v>
      </c>
      <c r="V10" t="n">
        <v>1435.09033232647</v>
      </c>
      <c r="W10" t="n">
        <v>1542.2795828223</v>
      </c>
      <c r="X10" t="n">
        <v>1642.93162597294</v>
      </c>
      <c r="Y10" t="n">
        <v>1816.91881142577</v>
      </c>
      <c r="Z10" t="n">
        <v>1807.27621115633</v>
      </c>
      <c r="AA10" t="n">
        <v>1857.68010844065</v>
      </c>
      <c r="AB10" t="n">
        <v>2032.48642735918</v>
      </c>
      <c r="AC10" t="n">
        <v>2083.97338828157</v>
      </c>
      <c r="AD10" t="n">
        <v>2081.25146385606</v>
      </c>
      <c r="AE10" t="n">
        <v>2010.2</v>
      </c>
      <c r="AF10" t="n">
        <v>1833.5</v>
      </c>
    </row>
    <row r="11">
      <c r="A11" t="s">
        <v>146</v>
      </c>
      <c r="B11" t="s">
        <v>292</v>
      </c>
      <c r="C11" t="s">
        <v>203</v>
      </c>
      <c r="D11" t="s">
        <v>293</v>
      </c>
      <c r="E11" t="s">
        <v>204</v>
      </c>
      <c r="F11"/>
      <c r="G11"/>
      <c r="H11"/>
      <c r="I11"/>
      <c r="J11"/>
      <c r="K11" t="n">
        <v>25.3650608102482</v>
      </c>
      <c r="L11" t="n">
        <v>25.3650608102482</v>
      </c>
      <c r="M11" t="n">
        <v>68.1786984835971</v>
      </c>
      <c r="N11" t="n">
        <v>108.426683339054</v>
      </c>
      <c r="O11" t="n">
        <v>146.522545052776</v>
      </c>
      <c r="P11" t="n">
        <v>176.193360425963</v>
      </c>
      <c r="Q11" t="n">
        <v>203.087845970434</v>
      </c>
      <c r="R11" t="n">
        <v>220.992733615175</v>
      </c>
      <c r="S11" t="n">
        <v>310.13391033941</v>
      </c>
      <c r="T11" t="n">
        <v>334.621827889763</v>
      </c>
      <c r="U11" t="n">
        <v>373.775238591449</v>
      </c>
      <c r="V11" t="n">
        <v>430.598212219942</v>
      </c>
      <c r="W11" t="n">
        <v>492.719546658042</v>
      </c>
      <c r="X11" t="n">
        <v>552.983146649625</v>
      </c>
      <c r="Y11" t="n">
        <v>571.593156392642</v>
      </c>
      <c r="Z11" t="n">
        <v>578.62859087223</v>
      </c>
      <c r="AA11" t="n">
        <v>610.353162004676</v>
      </c>
      <c r="AB11" t="n">
        <v>681.379090297726</v>
      </c>
      <c r="AC11" t="n">
        <v>751.976522781782</v>
      </c>
      <c r="AD11" t="n">
        <v>761.892696708575</v>
      </c>
      <c r="AE11" t="n">
        <v>746.6</v>
      </c>
      <c r="AF11" t="n">
        <v>690.9</v>
      </c>
    </row>
    <row r="12">
      <c r="A12" t="s">
        <v>146</v>
      </c>
      <c r="B12" t="s">
        <v>294</v>
      </c>
      <c r="C12" t="s">
        <v>203</v>
      </c>
      <c r="D12" t="s">
        <v>295</v>
      </c>
      <c r="E12" t="s">
        <v>204</v>
      </c>
      <c r="F12"/>
      <c r="G12"/>
      <c r="H12"/>
      <c r="I12"/>
      <c r="J12"/>
      <c r="K12" t="n">
        <v>3696.6002518737</v>
      </c>
      <c r="L12" t="n">
        <v>4243.28664321681</v>
      </c>
      <c r="M12" t="n">
        <v>4279.54820272834</v>
      </c>
      <c r="N12" t="n">
        <v>3977.33546710061</v>
      </c>
      <c r="O12" t="n">
        <v>3853.17752463999</v>
      </c>
      <c r="P12" t="n">
        <v>3844.28629644371</v>
      </c>
      <c r="Q12" t="n">
        <v>3886.09345222734</v>
      </c>
      <c r="R12" t="n">
        <v>3569.19729567822</v>
      </c>
      <c r="S12" t="n">
        <v>3707.84253873028</v>
      </c>
      <c r="T12" t="n">
        <v>4077.96933053891</v>
      </c>
      <c r="U12" t="n">
        <v>3993.55968881743</v>
      </c>
      <c r="V12" t="n">
        <v>3871.85287085084</v>
      </c>
      <c r="W12" t="n">
        <v>3877.42674644898</v>
      </c>
      <c r="X12" t="n">
        <v>3880.98986833825</v>
      </c>
      <c r="Y12" t="n">
        <v>3731.72808854928</v>
      </c>
      <c r="Z12" t="n">
        <v>3878.10910564355</v>
      </c>
      <c r="AA12" t="n">
        <v>3928.09194229576</v>
      </c>
      <c r="AB12" t="n">
        <v>3856.25101157395</v>
      </c>
      <c r="AC12" t="n">
        <v>3730.71341281007</v>
      </c>
      <c r="AD12" t="n">
        <v>3645.53947117826</v>
      </c>
      <c r="AE12" t="n">
        <v>3445.3</v>
      </c>
      <c r="AF12" t="n">
        <v>3074.6</v>
      </c>
    </row>
    <row r="13">
      <c r="A13" t="s">
        <v>146</v>
      </c>
      <c r="B13" t="s">
        <v>296</v>
      </c>
      <c r="C13" t="s">
        <v>203</v>
      </c>
      <c r="D13" t="s">
        <v>297</v>
      </c>
      <c r="E13" t="s">
        <v>204</v>
      </c>
      <c r="F13"/>
      <c r="G13"/>
      <c r="H13"/>
      <c r="I13"/>
      <c r="J13"/>
      <c r="K13" t="n">
        <v>639.751554667957</v>
      </c>
      <c r="L13" t="n">
        <v>608.05591049927</v>
      </c>
      <c r="M13" t="n">
        <v>816.224735484356</v>
      </c>
      <c r="N13" t="n">
        <v>932.203049105457</v>
      </c>
      <c r="O13" t="n">
        <v>1037.47770378892</v>
      </c>
      <c r="P13" t="n">
        <v>1089.31171666077</v>
      </c>
      <c r="Q13" t="n">
        <v>1242.38542459524</v>
      </c>
      <c r="R13" t="n">
        <v>1328.16259199491</v>
      </c>
      <c r="S13" t="n">
        <v>1440.78341207888</v>
      </c>
      <c r="T13" t="n">
        <v>1697.5640201895</v>
      </c>
      <c r="U13" t="n">
        <v>1834.45226850969</v>
      </c>
      <c r="V13" t="n">
        <v>1875.34321069783</v>
      </c>
      <c r="W13" t="n">
        <v>1989.60203596009</v>
      </c>
      <c r="X13" t="n">
        <v>2101.79999589861</v>
      </c>
      <c r="Y13" t="n">
        <v>2216.10750310866</v>
      </c>
      <c r="Z13" t="n">
        <v>2267.3251683064</v>
      </c>
      <c r="AA13" t="n">
        <v>2358.19573822125</v>
      </c>
      <c r="AB13" t="n">
        <v>2461.47053761603</v>
      </c>
      <c r="AC13" t="n">
        <v>2573.5518957293</v>
      </c>
      <c r="AD13" t="n">
        <v>2631.74670574537</v>
      </c>
      <c r="AE13" t="n">
        <v>2602.8</v>
      </c>
      <c r="AF13" t="n">
        <v>2430.8</v>
      </c>
    </row>
    <row r="14">
      <c r="A14" t="s">
        <v>146</v>
      </c>
      <c r="B14" t="s">
        <v>298</v>
      </c>
      <c r="C14" t="s">
        <v>203</v>
      </c>
      <c r="D14" t="s">
        <v>299</v>
      </c>
      <c r="E14" t="s">
        <v>204</v>
      </c>
      <c r="F14"/>
      <c r="G14"/>
      <c r="H14"/>
      <c r="I14"/>
      <c r="J14"/>
      <c r="K14" t="n">
        <v>112.120988542761</v>
      </c>
      <c r="L14" t="n">
        <v>141.2273511992</v>
      </c>
      <c r="M14" t="n">
        <v>171.976983076992</v>
      </c>
      <c r="N14" t="n">
        <v>185.501209163812</v>
      </c>
      <c r="O14" t="n">
        <v>192.303532988451</v>
      </c>
      <c r="P14" t="n">
        <v>191.765370116282</v>
      </c>
      <c r="Q14" t="n">
        <v>213.705338225656</v>
      </c>
      <c r="R14" t="n">
        <v>211.947104328511</v>
      </c>
      <c r="S14" t="n">
        <v>239.986239568715</v>
      </c>
      <c r="T14" t="n">
        <v>262.816491794054</v>
      </c>
      <c r="U14" t="n">
        <v>275.093853577041</v>
      </c>
      <c r="V14" t="n">
        <v>291.340637722232</v>
      </c>
      <c r="W14" t="n">
        <v>310.213981954238</v>
      </c>
      <c r="X14" t="n">
        <v>328.601932270502</v>
      </c>
      <c r="Y14" t="n">
        <v>370.87023061235</v>
      </c>
      <c r="Z14" t="n">
        <v>392.018797388206</v>
      </c>
      <c r="AA14" t="n">
        <v>394.971352520879</v>
      </c>
      <c r="AB14" t="n">
        <v>417.211937500006</v>
      </c>
      <c r="AC14" t="n">
        <v>445.406469076837</v>
      </c>
      <c r="AD14" t="n">
        <v>453.90077337708</v>
      </c>
      <c r="AE14" t="n">
        <v>447.4</v>
      </c>
      <c r="AF14" t="n">
        <v>416.5</v>
      </c>
    </row>
    <row r="15">
      <c r="A15" t="s">
        <v>146</v>
      </c>
      <c r="B15" t="s">
        <v>300</v>
      </c>
      <c r="C15" t="s">
        <v>203</v>
      </c>
      <c r="D15" t="s">
        <v>301</v>
      </c>
      <c r="E15" t="s">
        <v>204</v>
      </c>
      <c r="F15"/>
      <c r="G15"/>
      <c r="H15"/>
      <c r="I15"/>
      <c r="J15"/>
      <c r="K15" t="n">
        <v>174.352873320683</v>
      </c>
      <c r="L15" t="n">
        <v>196.463450673064</v>
      </c>
      <c r="M15" t="n">
        <v>242.112769505109</v>
      </c>
      <c r="N15" t="n">
        <v>267.273508296816</v>
      </c>
      <c r="O15" t="n">
        <v>281.923091577397</v>
      </c>
      <c r="P15" t="n">
        <v>298.144213072068</v>
      </c>
      <c r="Q15" t="n">
        <v>358.666256324818</v>
      </c>
      <c r="R15" t="n">
        <v>385.338985814698</v>
      </c>
      <c r="S15" t="n">
        <v>445.223658443934</v>
      </c>
      <c r="T15" t="n">
        <v>521.750434112726</v>
      </c>
      <c r="U15" t="n">
        <v>569.637469527108</v>
      </c>
      <c r="V15" t="n">
        <v>606.354190261756</v>
      </c>
      <c r="W15" t="n">
        <v>661.348806373651</v>
      </c>
      <c r="X15" t="n">
        <v>715.194501945171</v>
      </c>
      <c r="Y15" t="n">
        <v>774.671525560496</v>
      </c>
      <c r="Z15" t="n">
        <v>881.232051199593</v>
      </c>
      <c r="AA15" t="n">
        <v>930.682864363043</v>
      </c>
      <c r="AB15" t="n">
        <v>1009.87580478846</v>
      </c>
      <c r="AC15" t="n">
        <v>1081.16899443814</v>
      </c>
      <c r="AD15" t="n">
        <v>1104.57373514757</v>
      </c>
      <c r="AE15" t="n">
        <v>1091.5</v>
      </c>
      <c r="AF15" t="n">
        <v>1018.5</v>
      </c>
    </row>
    <row r="16">
      <c r="A16" t="s">
        <v>146</v>
      </c>
      <c r="B16" t="s">
        <v>302</v>
      </c>
      <c r="C16" t="s">
        <v>203</v>
      </c>
      <c r="D16" t="s">
        <v>303</v>
      </c>
      <c r="E16" t="s">
        <v>204</v>
      </c>
      <c r="F16"/>
      <c r="G16"/>
      <c r="H16"/>
      <c r="I16"/>
      <c r="J16"/>
      <c r="K16" t="n">
        <v>64.1755946504779</v>
      </c>
      <c r="L16" t="n">
        <v>62.723060615179</v>
      </c>
      <c r="M16" t="n">
        <v>78.7212501647996</v>
      </c>
      <c r="N16" t="n">
        <v>90.0817022259336</v>
      </c>
      <c r="O16" t="n">
        <v>97.6240880363199</v>
      </c>
      <c r="P16" t="n">
        <v>112.722107657553</v>
      </c>
      <c r="Q16" t="n">
        <v>150.058633834896</v>
      </c>
      <c r="R16" t="n">
        <v>176.70455946913</v>
      </c>
      <c r="S16" t="n">
        <v>208.519046314982</v>
      </c>
      <c r="T16" t="n">
        <v>260.920474282962</v>
      </c>
      <c r="U16" t="n">
        <v>295.693429740333</v>
      </c>
      <c r="V16" t="n">
        <v>316.13012466839</v>
      </c>
      <c r="W16" t="n">
        <v>351.908999086736</v>
      </c>
      <c r="X16" t="n">
        <v>387.112516743674</v>
      </c>
      <c r="Y16" t="n">
        <v>404.88204743405</v>
      </c>
      <c r="Z16" t="n">
        <v>489.774461843624</v>
      </c>
      <c r="AA16" t="n">
        <v>535.912635785415</v>
      </c>
      <c r="AB16" t="n">
        <v>592.691973549307</v>
      </c>
      <c r="AC16" t="n">
        <v>635.7767582062</v>
      </c>
      <c r="AD16" t="n">
        <v>650.677775976658</v>
      </c>
      <c r="AE16" t="n">
        <v>644.1</v>
      </c>
      <c r="AF16" t="n">
        <v>602</v>
      </c>
    </row>
    <row r="17">
      <c r="A17" t="s">
        <v>146</v>
      </c>
      <c r="B17" t="s">
        <v>304</v>
      </c>
      <c r="C17" t="s">
        <v>203</v>
      </c>
      <c r="D17" t="s">
        <v>305</v>
      </c>
      <c r="E17" t="s">
        <v>204</v>
      </c>
      <c r="F17"/>
      <c r="G17"/>
      <c r="H17"/>
      <c r="I17"/>
      <c r="J17"/>
      <c r="K17" t="n">
        <v>337.575767566815</v>
      </c>
      <c r="L17" t="n">
        <v>486.211465604761</v>
      </c>
      <c r="M17" t="n">
        <v>563.303079460461</v>
      </c>
      <c r="N17" t="n">
        <v>591.872338078409</v>
      </c>
      <c r="O17" t="n">
        <v>609.341118605636</v>
      </c>
      <c r="P17" t="n">
        <v>599.865718435931</v>
      </c>
      <c r="Q17" t="n">
        <v>659.260039217599</v>
      </c>
      <c r="R17" t="n">
        <v>646.881833165476</v>
      </c>
      <c r="S17" t="n">
        <v>681.004022005943</v>
      </c>
      <c r="T17" t="n">
        <v>758.634197470457</v>
      </c>
      <c r="U17" t="n">
        <v>799.105408852912</v>
      </c>
      <c r="V17" t="n">
        <v>804.285553093173</v>
      </c>
      <c r="W17" t="n">
        <v>818.760587589287</v>
      </c>
      <c r="X17" t="n">
        <v>832.768803590575</v>
      </c>
      <c r="Y17" t="n">
        <v>850.019880926648</v>
      </c>
      <c r="Z17" t="n">
        <v>878.395402110488</v>
      </c>
      <c r="AA17" t="n">
        <v>893.143834970005</v>
      </c>
      <c r="AB17" t="n">
        <v>932.328461876036</v>
      </c>
      <c r="AC17" t="n">
        <v>940.043820939294</v>
      </c>
      <c r="AD17" t="n">
        <v>958.224170458329</v>
      </c>
      <c r="AE17" t="n">
        <v>944.7</v>
      </c>
      <c r="AF17" t="n">
        <v>879.5</v>
      </c>
    </row>
    <row r="18">
      <c r="A18" t="s">
        <v>146</v>
      </c>
      <c r="B18" t="s">
        <v>306</v>
      </c>
      <c r="C18" t="s">
        <v>203</v>
      </c>
      <c r="D18" t="s">
        <v>307</v>
      </c>
      <c r="E18" t="s">
        <v>204</v>
      </c>
      <c r="F18"/>
      <c r="G18"/>
      <c r="H18"/>
      <c r="I18"/>
      <c r="J18"/>
      <c r="K18" t="n">
        <v>92.5048876654499</v>
      </c>
      <c r="L18" t="n">
        <v>96.849039848634</v>
      </c>
      <c r="M18" t="n">
        <v>110.106797043691</v>
      </c>
      <c r="N18" t="n">
        <v>121.639722425737</v>
      </c>
      <c r="O18" t="n">
        <v>124.209575716422</v>
      </c>
      <c r="P18" t="n">
        <v>130.358564613274</v>
      </c>
      <c r="Q18" t="n">
        <v>167.577150492818</v>
      </c>
      <c r="R18" t="n">
        <v>183.879111785529</v>
      </c>
      <c r="S18" t="n">
        <v>216.572142512004</v>
      </c>
      <c r="T18" t="n">
        <v>249.254337593155</v>
      </c>
      <c r="U18" t="n">
        <v>265.066799744307</v>
      </c>
      <c r="V18" t="n">
        <v>283.063440358526</v>
      </c>
      <c r="W18" t="n">
        <v>308.277717746299</v>
      </c>
      <c r="X18" t="n">
        <v>332.543335816892</v>
      </c>
      <c r="Y18" t="n">
        <v>367.925946747809</v>
      </c>
      <c r="Z18" t="n">
        <v>355.336869099705</v>
      </c>
      <c r="AA18" t="n">
        <v>385.217763443365</v>
      </c>
      <c r="AB18" t="n">
        <v>451.31410891354</v>
      </c>
      <c r="AC18" t="n">
        <v>484.204278047683</v>
      </c>
      <c r="AD18" t="n">
        <v>498.00201426773</v>
      </c>
      <c r="AE18" t="n">
        <v>495.3</v>
      </c>
      <c r="AF18" t="n">
        <v>465.2</v>
      </c>
    </row>
    <row r="19">
      <c r="A19" t="s">
        <v>146</v>
      </c>
      <c r="B19" t="s">
        <v>308</v>
      </c>
      <c r="C19" t="s">
        <v>203</v>
      </c>
      <c r="D19" t="s">
        <v>309</v>
      </c>
      <c r="E19" t="s">
        <v>204</v>
      </c>
      <c r="F19"/>
      <c r="G19"/>
      <c r="H19"/>
      <c r="I19"/>
      <c r="J19"/>
      <c r="K19" t="n">
        <v>113.929197104605</v>
      </c>
      <c r="L19" t="n">
        <v>125.152354766399</v>
      </c>
      <c r="M19" t="n">
        <v>157.262247081798</v>
      </c>
      <c r="N19" t="n">
        <v>181.715894081113</v>
      </c>
      <c r="O19" t="n">
        <v>203.028252028898</v>
      </c>
      <c r="P19" t="n">
        <v>230.906184362411</v>
      </c>
      <c r="Q19" t="n">
        <v>278.300288432229</v>
      </c>
      <c r="R19" t="n">
        <v>305.145975419261</v>
      </c>
      <c r="S19" t="n">
        <v>366.538279420536</v>
      </c>
      <c r="T19" t="n">
        <v>448.43530027055</v>
      </c>
      <c r="U19" t="n">
        <v>518.4667268957</v>
      </c>
      <c r="V19" t="n">
        <v>573.98820227205</v>
      </c>
      <c r="W19" t="n">
        <v>637.70978410776</v>
      </c>
      <c r="X19" t="n">
        <v>703.842005195038</v>
      </c>
      <c r="Y19" t="n">
        <v>766.703721913579</v>
      </c>
      <c r="Z19" t="n">
        <v>814.003062516545</v>
      </c>
      <c r="AA19" t="n">
        <v>935.893727290285</v>
      </c>
      <c r="AB19" t="n">
        <v>1024.47353061765</v>
      </c>
      <c r="AC19" t="n">
        <v>1083.68657890226</v>
      </c>
      <c r="AD19" t="n">
        <v>1156.03836076587</v>
      </c>
      <c r="AE19" t="n">
        <v>1192.8</v>
      </c>
      <c r="AF19" t="n">
        <v>1162.1</v>
      </c>
    </row>
    <row r="20">
      <c r="A20" t="s">
        <v>146</v>
      </c>
      <c r="B20" t="s">
        <v>310</v>
      </c>
      <c r="C20" t="s">
        <v>203</v>
      </c>
      <c r="D20" t="s">
        <v>311</v>
      </c>
      <c r="E20" t="s">
        <v>204</v>
      </c>
      <c r="F20"/>
      <c r="G20"/>
      <c r="H20"/>
      <c r="I20"/>
      <c r="J20"/>
      <c r="K20" t="n">
        <v>1733.66805202382</v>
      </c>
      <c r="L20" t="n">
        <v>1392.87420368167</v>
      </c>
      <c r="M20" t="n">
        <v>1865.20657208858</v>
      </c>
      <c r="N20" t="n">
        <v>2085.51303366625</v>
      </c>
      <c r="O20" t="n">
        <v>2476.12719805558</v>
      </c>
      <c r="P20" t="n">
        <v>3379.51172592992</v>
      </c>
      <c r="Q20" t="n">
        <v>4693.83554114157</v>
      </c>
      <c r="R20" t="n">
        <v>5299.51619317195</v>
      </c>
      <c r="S20" t="n">
        <v>7091.09373406687</v>
      </c>
      <c r="T20" t="n">
        <v>9979.88992743159</v>
      </c>
      <c r="U20" t="n">
        <v>11823.6891459239</v>
      </c>
      <c r="V20" t="n">
        <v>12708.0927018885</v>
      </c>
      <c r="W20" t="n">
        <v>13894.3345863183</v>
      </c>
      <c r="X20" t="n">
        <v>15039.276767888</v>
      </c>
      <c r="Y20" t="n">
        <v>16045.2058718277</v>
      </c>
      <c r="Z20" t="n">
        <v>16144.1237746843</v>
      </c>
      <c r="AA20" t="n">
        <v>18043.5785734598</v>
      </c>
      <c r="AB20" t="n">
        <v>17884.2314674397</v>
      </c>
      <c r="AC20" t="n">
        <v>17470.4089041745</v>
      </c>
      <c r="AD20" t="n">
        <v>17632.3179581039</v>
      </c>
      <c r="AE20" t="n">
        <v>17210.9</v>
      </c>
      <c r="AF20" t="n">
        <v>15863.5</v>
      </c>
    </row>
    <row r="21">
      <c r="A21" t="s">
        <v>146</v>
      </c>
      <c r="B21" t="s">
        <v>312</v>
      </c>
      <c r="C21" t="s">
        <v>203</v>
      </c>
      <c r="D21" t="s">
        <v>313</v>
      </c>
      <c r="E21" t="s">
        <v>204</v>
      </c>
      <c r="F21"/>
      <c r="G21"/>
      <c r="H21"/>
      <c r="I21"/>
      <c r="J21"/>
      <c r="K21" t="n">
        <v>1867.42348337579</v>
      </c>
      <c r="L21" t="n">
        <v>1547.6545133606</v>
      </c>
      <c r="M21" t="n">
        <v>2092.1108561005</v>
      </c>
      <c r="N21" t="n">
        <v>2373.24735226383</v>
      </c>
      <c r="O21" t="n">
        <v>2843.07675861258</v>
      </c>
      <c r="P21" t="n">
        <v>3809.10433448593</v>
      </c>
      <c r="Q21" t="n">
        <v>5195.23915561353</v>
      </c>
      <c r="R21" t="n">
        <v>5885.81835036222</v>
      </c>
      <c r="S21" t="n">
        <v>7857.79540062197</v>
      </c>
      <c r="T21" t="n">
        <v>11086.8937966971</v>
      </c>
      <c r="U21" t="n">
        <v>13066.4370027511</v>
      </c>
      <c r="V21" t="n">
        <v>14044.9087260549</v>
      </c>
      <c r="W21" t="n">
        <v>15297.6473047941</v>
      </c>
      <c r="X21" t="n">
        <v>16508.435107936</v>
      </c>
      <c r="Y21" t="n">
        <v>17901.9429994477</v>
      </c>
      <c r="Z21" t="n">
        <v>19659.4156312913</v>
      </c>
      <c r="AA21" t="n">
        <v>21500.3207089597</v>
      </c>
      <c r="AB21" t="n">
        <v>21178.3109742675</v>
      </c>
      <c r="AC21" t="n">
        <v>20623.1980437683</v>
      </c>
      <c r="AD21" t="n">
        <v>20725.5680990113</v>
      </c>
      <c r="AE21" t="n">
        <v>20143.9</v>
      </c>
      <c r="AF21" t="n">
        <v>18487.7</v>
      </c>
    </row>
    <row r="22">
      <c r="A22" t="s">
        <v>146</v>
      </c>
      <c r="B22" t="s">
        <v>314</v>
      </c>
      <c r="C22" t="s">
        <v>203</v>
      </c>
      <c r="D22" t="s">
        <v>315</v>
      </c>
      <c r="E22" t="s">
        <v>204</v>
      </c>
      <c r="F22"/>
      <c r="G22"/>
      <c r="H22"/>
      <c r="I22"/>
      <c r="J22"/>
      <c r="K22" t="n">
        <v>147.219108567269</v>
      </c>
      <c r="L22" t="n">
        <v>143.731374075027</v>
      </c>
      <c r="M22" t="n">
        <v>204.799507148776</v>
      </c>
      <c r="N22" t="n">
        <v>253.00961010898</v>
      </c>
      <c r="O22" t="n">
        <v>320.175043019665</v>
      </c>
      <c r="P22" t="n">
        <v>376.605894351881</v>
      </c>
      <c r="Q22" t="n">
        <v>436.200254782689</v>
      </c>
      <c r="R22" t="n">
        <v>511.980807520359</v>
      </c>
      <c r="S22" t="n">
        <v>667.055917240533</v>
      </c>
      <c r="T22" t="n">
        <v>968.04076505238</v>
      </c>
      <c r="U22" t="n">
        <v>1073.16592687401</v>
      </c>
      <c r="V22" t="n">
        <v>1154.65556247253</v>
      </c>
      <c r="W22" t="n">
        <v>1197.21240865545</v>
      </c>
      <c r="X22" t="n">
        <v>1239.09220523052</v>
      </c>
      <c r="Y22" t="n">
        <v>1657.39949495498</v>
      </c>
      <c r="Z22" t="n">
        <v>3599.35723565724</v>
      </c>
      <c r="AA22" t="n">
        <v>3483.65440188209</v>
      </c>
      <c r="AB22" t="n">
        <v>3306.38501750742</v>
      </c>
      <c r="AC22" t="n">
        <v>3159.64450149233</v>
      </c>
      <c r="AD22" t="n">
        <v>3095.53235644154</v>
      </c>
      <c r="AE22" t="n">
        <v>2933</v>
      </c>
      <c r="AF22" t="n">
        <v>2624.2</v>
      </c>
    </row>
    <row r="23">
      <c r="A23" t="s">
        <v>146</v>
      </c>
      <c r="B23" t="s">
        <v>316</v>
      </c>
      <c r="C23" t="s">
        <v>203</v>
      </c>
      <c r="D23" t="s">
        <v>317</v>
      </c>
      <c r="E23" t="s">
        <v>204</v>
      </c>
      <c r="F23"/>
      <c r="G23"/>
      <c r="H23"/>
      <c r="I23"/>
      <c r="J23"/>
      <c r="K23" t="n">
        <v>962.522666283427</v>
      </c>
      <c r="L23" t="n">
        <v>964.96340479601</v>
      </c>
      <c r="M23" t="n">
        <v>1219.6244910148</v>
      </c>
      <c r="N23" t="n">
        <v>1363.82792785827</v>
      </c>
      <c r="O23" t="n">
        <v>1490.60053884359</v>
      </c>
      <c r="P23" t="n">
        <v>1691.95490712549</v>
      </c>
      <c r="Q23" t="n">
        <v>2027.52007659714</v>
      </c>
      <c r="R23" t="n">
        <v>2356.26112365718</v>
      </c>
      <c r="S23" t="n">
        <v>2843.40540978312</v>
      </c>
      <c r="T23" t="n">
        <v>3955.25809154245</v>
      </c>
      <c r="U23" t="n">
        <v>4740.27513622955</v>
      </c>
      <c r="V23" t="n">
        <v>4963.84006527796</v>
      </c>
      <c r="W23" t="n">
        <v>5425.51656925408</v>
      </c>
      <c r="X23" t="n">
        <v>5878.70415115126</v>
      </c>
      <c r="Y23" t="n">
        <v>6383.10332002309</v>
      </c>
      <c r="Z23" t="n">
        <v>7209.97328832391</v>
      </c>
      <c r="AA23" t="n">
        <v>7490.03536237215</v>
      </c>
      <c r="AB23" t="n">
        <v>7695.64098719741</v>
      </c>
      <c r="AC23" t="n">
        <v>7784.65971868511</v>
      </c>
      <c r="AD23" t="n">
        <v>7898.39020833616</v>
      </c>
      <c r="AE23" t="n">
        <v>7750.3</v>
      </c>
      <c r="AF23" t="n">
        <v>7181.3</v>
      </c>
    </row>
    <row r="24">
      <c r="A24" t="s">
        <v>146</v>
      </c>
      <c r="B24" t="s">
        <v>318</v>
      </c>
      <c r="C24" t="s">
        <v>203</v>
      </c>
      <c r="D24" t="s">
        <v>319</v>
      </c>
      <c r="E24" t="s">
        <v>204</v>
      </c>
      <c r="F24"/>
      <c r="G24"/>
      <c r="H24"/>
      <c r="I24"/>
      <c r="J24"/>
      <c r="K24" t="n">
        <v>3616.74196031963</v>
      </c>
      <c r="L24" t="n">
        <v>3938.93603708587</v>
      </c>
      <c r="M24" t="n">
        <v>4911.39019112052</v>
      </c>
      <c r="N24" t="n">
        <v>5382.0541469024</v>
      </c>
      <c r="O24" t="n">
        <v>5827.04313600553</v>
      </c>
      <c r="P24" t="n">
        <v>6291.17139759686</v>
      </c>
      <c r="Q24" t="n">
        <v>7273.4105978617</v>
      </c>
      <c r="R24" t="n">
        <v>7466.17266763423</v>
      </c>
      <c r="S24" t="n">
        <v>8629.26716872165</v>
      </c>
      <c r="T24" t="n">
        <v>10075.8823017007</v>
      </c>
      <c r="U24" t="n">
        <v>11152.1087447419</v>
      </c>
      <c r="V24" t="n">
        <v>11504.2741752211</v>
      </c>
      <c r="W24" t="n">
        <v>11981.1952589321</v>
      </c>
      <c r="X24" t="n">
        <v>12436.1576285682</v>
      </c>
      <c r="Y24" t="n">
        <v>12883.2179750701</v>
      </c>
      <c r="Z24" t="n">
        <v>12926.1950569256</v>
      </c>
      <c r="AA24" t="n">
        <v>13526.0925599684</v>
      </c>
      <c r="AB24" t="n">
        <v>14004.8910856428</v>
      </c>
      <c r="AC24" t="n">
        <v>14748.2620723602</v>
      </c>
      <c r="AD24" t="n">
        <v>14950.4755178515</v>
      </c>
      <c r="AE24" t="n">
        <v>14657.3</v>
      </c>
      <c r="AF24" t="n">
        <v>13569.1</v>
      </c>
    </row>
    <row r="25">
      <c r="A25" t="s">
        <v>146</v>
      </c>
      <c r="B25" t="s">
        <v>320</v>
      </c>
      <c r="C25" t="s">
        <v>203</v>
      </c>
      <c r="D25" t="s">
        <v>321</v>
      </c>
      <c r="E25" t="s">
        <v>204</v>
      </c>
      <c r="F25"/>
      <c r="G25"/>
      <c r="H25"/>
      <c r="I25"/>
      <c r="J25"/>
      <c r="K25" t="n">
        <v>519.953381985354</v>
      </c>
      <c r="L25" t="n">
        <v>531.131926513801</v>
      </c>
      <c r="M25" t="n">
        <v>613.3903594672</v>
      </c>
      <c r="N25" t="n">
        <v>646.205481578615</v>
      </c>
      <c r="O25" t="n">
        <v>678.725162695037</v>
      </c>
      <c r="P25" t="n">
        <v>706.985914479655</v>
      </c>
      <c r="Q25" t="n">
        <v>818.125959613038</v>
      </c>
      <c r="R25" t="n">
        <v>826.370031183035</v>
      </c>
      <c r="S25" t="n">
        <v>952.118263040449</v>
      </c>
      <c r="T25" t="n">
        <v>1133.22091557015</v>
      </c>
      <c r="U25" t="n">
        <v>1231.45917924074</v>
      </c>
      <c r="V25" t="n">
        <v>1287.34261311097</v>
      </c>
      <c r="W25" t="n">
        <v>1297.724408378</v>
      </c>
      <c r="X25" t="n">
        <v>1307.34257917564</v>
      </c>
      <c r="Y25" t="n">
        <v>1287.92733397985</v>
      </c>
      <c r="Z25" t="n">
        <v>1310.04219417084</v>
      </c>
      <c r="AA25" t="n">
        <v>1324.89981556601</v>
      </c>
      <c r="AB25" t="n">
        <v>1401.82035982086</v>
      </c>
      <c r="AC25" t="n">
        <v>1412.11152455468</v>
      </c>
      <c r="AD25" t="n">
        <v>1418.05607664375</v>
      </c>
      <c r="AE25" t="n">
        <v>1377.3</v>
      </c>
      <c r="AF25" t="n">
        <v>1263.1</v>
      </c>
    </row>
    <row r="26">
      <c r="A26" t="s">
        <v>146</v>
      </c>
      <c r="B26" t="s">
        <v>322</v>
      </c>
      <c r="C26" t="s">
        <v>203</v>
      </c>
      <c r="D26" t="s">
        <v>323</v>
      </c>
      <c r="E26" t="s">
        <v>204</v>
      </c>
      <c r="F26"/>
      <c r="G26"/>
      <c r="H26"/>
      <c r="I26"/>
      <c r="J26"/>
      <c r="K26" t="n">
        <v>2886.89929113531</v>
      </c>
      <c r="L26" t="n">
        <v>2903.78623195025</v>
      </c>
      <c r="M26" t="n">
        <v>3592.08285320008</v>
      </c>
      <c r="N26" t="n">
        <v>3791.6164920888</v>
      </c>
      <c r="O26" t="n">
        <v>4013.8559314487</v>
      </c>
      <c r="P26" t="n">
        <v>4215.82490560509</v>
      </c>
      <c r="Q26" t="n">
        <v>4715.14534745631</v>
      </c>
      <c r="R26" t="n">
        <v>4733.76172576595</v>
      </c>
      <c r="S26" t="n">
        <v>5305.49292844124</v>
      </c>
      <c r="T26" t="n">
        <v>6122.5158358636</v>
      </c>
      <c r="U26" t="n">
        <v>6633.35568852243</v>
      </c>
      <c r="V26" t="n">
        <v>6684.02997082543</v>
      </c>
      <c r="W26" t="n">
        <v>6949.27060826402</v>
      </c>
      <c r="X26" t="n">
        <v>7196.03569307994</v>
      </c>
      <c r="Y26" t="n">
        <v>7558.7148516048</v>
      </c>
      <c r="Z26" t="n">
        <v>7382.44896853669</v>
      </c>
      <c r="AA26" t="n">
        <v>7648.15791713008</v>
      </c>
      <c r="AB26" t="n">
        <v>7695.17316727103</v>
      </c>
      <c r="AC26" t="n">
        <v>7691.5566179154</v>
      </c>
      <c r="AD26" t="n">
        <v>7646.46028893536</v>
      </c>
      <c r="AE26" t="n">
        <v>7351.7</v>
      </c>
      <c r="AF26" t="n">
        <v>6674.4</v>
      </c>
    </row>
    <row r="27">
      <c r="A27" t="s">
        <v>146</v>
      </c>
      <c r="B27" t="s">
        <v>324</v>
      </c>
      <c r="C27" t="s">
        <v>203</v>
      </c>
      <c r="D27" t="s">
        <v>325</v>
      </c>
      <c r="E27" t="s">
        <v>204</v>
      </c>
      <c r="F27"/>
      <c r="G27"/>
      <c r="H27"/>
      <c r="I27"/>
      <c r="J27"/>
      <c r="K27" t="n">
        <v>806.842958931664</v>
      </c>
      <c r="L27" t="n">
        <v>939.753136275058</v>
      </c>
      <c r="M27" t="n">
        <v>1203.39609787798</v>
      </c>
      <c r="N27" t="n">
        <v>1374.52438364132</v>
      </c>
      <c r="O27" t="n">
        <v>1531.19553134956</v>
      </c>
      <c r="P27" t="n">
        <v>1714.87565713709</v>
      </c>
      <c r="Q27" t="n">
        <v>2051.8779032273</v>
      </c>
      <c r="R27" t="n">
        <v>2166.99362389294</v>
      </c>
      <c r="S27" t="n">
        <v>2594.81055198198</v>
      </c>
      <c r="T27" t="n">
        <v>3055.74059076317</v>
      </c>
      <c r="U27" t="n">
        <v>3486.89668003192</v>
      </c>
      <c r="V27" t="n">
        <v>3686.94003458052</v>
      </c>
      <c r="W27" t="n">
        <v>3881.69536773723</v>
      </c>
      <c r="X27" t="n">
        <v>4073.30006310872</v>
      </c>
      <c r="Y27" t="n">
        <v>4196.36011950961</v>
      </c>
      <c r="Z27" t="n">
        <v>4352.84442759575</v>
      </c>
      <c r="AA27" t="n">
        <v>4656.728030683</v>
      </c>
      <c r="AB27" t="n">
        <v>4983.33337042546</v>
      </c>
      <c r="AC27" t="n">
        <v>5665.2609845733</v>
      </c>
      <c r="AD27" t="n">
        <v>5892.95868570636</v>
      </c>
      <c r="AE27" t="n">
        <v>5928.3</v>
      </c>
      <c r="AF27" t="n">
        <v>5631.6</v>
      </c>
    </row>
    <row r="28">
      <c r="A28" t="s">
        <v>146</v>
      </c>
      <c r="B28" t="s">
        <v>326</v>
      </c>
      <c r="C28" t="s">
        <v>203</v>
      </c>
      <c r="D28" t="s">
        <v>327</v>
      </c>
      <c r="E28" t="s">
        <v>204</v>
      </c>
      <c r="F28"/>
      <c r="G28"/>
      <c r="H28"/>
      <c r="I28"/>
      <c r="J28"/>
      <c r="K28" t="n">
        <v>1545.1178074027</v>
      </c>
      <c r="L28" t="n">
        <v>1399.22994000607</v>
      </c>
      <c r="M28" t="n">
        <v>1928.70860620298</v>
      </c>
      <c r="N28" t="n">
        <v>2142.86889887293</v>
      </c>
      <c r="O28" t="n">
        <v>2432.68053047532</v>
      </c>
      <c r="P28" t="n">
        <v>2782.4065935683</v>
      </c>
      <c r="Q28" t="n">
        <v>3095.73387166437</v>
      </c>
      <c r="R28" t="n">
        <v>3079.4059741586</v>
      </c>
      <c r="S28" t="n">
        <v>4400.38685594508</v>
      </c>
      <c r="T28" t="n">
        <v>5136.69786411464</v>
      </c>
      <c r="U28" t="n">
        <v>6006.73891424868</v>
      </c>
      <c r="V28" t="n">
        <v>6491.02890081393</v>
      </c>
      <c r="W28" t="n">
        <v>6481.75783622115</v>
      </c>
      <c r="X28" t="n">
        <v>6471.15980182575</v>
      </c>
      <c r="Y28" t="n">
        <v>6382.39475990226</v>
      </c>
      <c r="Z28" t="n">
        <v>7488.08807894417</v>
      </c>
      <c r="AA28" t="n">
        <v>7890.37612577443</v>
      </c>
      <c r="AB28" t="n">
        <v>7853.00731333349</v>
      </c>
      <c r="AC28" t="n">
        <v>7838.09610100136</v>
      </c>
      <c r="AD28" t="n">
        <v>7901.977897474</v>
      </c>
      <c r="AE28" t="n">
        <v>7704.5</v>
      </c>
      <c r="AF28" t="n">
        <v>7093.6</v>
      </c>
    </row>
    <row r="29">
      <c r="A29" t="s">
        <v>146</v>
      </c>
      <c r="B29" t="s">
        <v>328</v>
      </c>
      <c r="C29" t="s">
        <v>203</v>
      </c>
      <c r="D29" t="s">
        <v>329</v>
      </c>
      <c r="E29" t="s">
        <v>204</v>
      </c>
      <c r="F29"/>
      <c r="G29"/>
      <c r="H29"/>
      <c r="I29"/>
      <c r="J29"/>
      <c r="K29" t="n">
        <v>499.076159824267</v>
      </c>
      <c r="L29" t="n">
        <v>491.885194937187</v>
      </c>
      <c r="M29" t="n">
        <v>614.633315270877</v>
      </c>
      <c r="N29" t="n">
        <v>685.344383892201</v>
      </c>
      <c r="O29" t="n">
        <v>752.320650231501</v>
      </c>
      <c r="P29" t="n">
        <v>826.398093115134</v>
      </c>
      <c r="Q29" t="n">
        <v>951.33646985032</v>
      </c>
      <c r="R29" t="n">
        <v>984.963809387513</v>
      </c>
      <c r="S29" t="n">
        <v>1694.71889389357</v>
      </c>
      <c r="T29" t="n">
        <v>1992.14251805174</v>
      </c>
      <c r="U29" t="n">
        <v>2581.24751981847</v>
      </c>
      <c r="V29" t="n">
        <v>2940.57700649092</v>
      </c>
      <c r="W29" t="n">
        <v>3007.56886108333</v>
      </c>
      <c r="X29" t="n">
        <v>3073.77630875086</v>
      </c>
      <c r="Y29" t="n">
        <v>3105.25987097633</v>
      </c>
      <c r="Z29" t="n">
        <v>3625.83447904838</v>
      </c>
      <c r="AA29" t="n">
        <v>4005.98747665428</v>
      </c>
      <c r="AB29" t="n">
        <v>3981.32878876183</v>
      </c>
      <c r="AC29" t="n">
        <v>3950.70062181091</v>
      </c>
      <c r="AD29" t="n">
        <v>4037.45660377359</v>
      </c>
      <c r="AE29" t="n">
        <v>3990.4</v>
      </c>
      <c r="AF29" t="n">
        <v>3724.3</v>
      </c>
    </row>
    <row r="30">
      <c r="A30" t="s">
        <v>146</v>
      </c>
      <c r="B30" t="s">
        <v>330</v>
      </c>
      <c r="C30" t="s">
        <v>203</v>
      </c>
      <c r="D30" t="s">
        <v>331</v>
      </c>
      <c r="E30" t="s">
        <v>204</v>
      </c>
      <c r="F30"/>
      <c r="G30"/>
      <c r="H30"/>
      <c r="I30"/>
      <c r="J30"/>
      <c r="K30" t="n">
        <v>158.700550285977</v>
      </c>
      <c r="L30" t="n">
        <v>109.869611736446</v>
      </c>
      <c r="M30" t="n">
        <v>85.8356341690981</v>
      </c>
      <c r="N30" t="n">
        <v>63.2473093877565</v>
      </c>
      <c r="O30" t="n">
        <v>54.2119794752199</v>
      </c>
      <c r="P30" t="n">
        <v>47.7065419381935</v>
      </c>
      <c r="Q30" t="n">
        <v>87.8406169020706</v>
      </c>
      <c r="R30" t="n">
        <v>80.8388285982823</v>
      </c>
      <c r="S30" t="n">
        <v>82.364089515231</v>
      </c>
      <c r="T30" t="n">
        <v>78.5232770507902</v>
      </c>
      <c r="U30" t="n">
        <v>72.3342502881664</v>
      </c>
      <c r="V30" t="n">
        <v>68.4338740471378</v>
      </c>
      <c r="W30" t="n">
        <v>61.3117966576167</v>
      </c>
      <c r="X30" t="n">
        <v>54.8726581958578</v>
      </c>
      <c r="Y30" t="n">
        <v>51.4757793551619</v>
      </c>
      <c r="Z30" t="n">
        <v>46.3525975236055</v>
      </c>
      <c r="AA30" t="n">
        <v>37.5541878084767</v>
      </c>
      <c r="AB30" t="n">
        <v>34.4569352057157</v>
      </c>
      <c r="AC30" t="n">
        <v>35.6151515151515</v>
      </c>
      <c r="AD30" t="n">
        <v>33.2924242424242</v>
      </c>
      <c r="AE30" t="n">
        <v>30.1</v>
      </c>
      <c r="AF30" t="n">
        <v>25.7</v>
      </c>
    </row>
    <row r="31">
      <c r="A31" t="s">
        <v>146</v>
      </c>
      <c r="B31" t="s">
        <v>332</v>
      </c>
      <c r="C31" t="s">
        <v>203</v>
      </c>
      <c r="D31" t="s">
        <v>333</v>
      </c>
      <c r="E31" t="s">
        <v>204</v>
      </c>
      <c r="F31" t="e">
        <v>#NUM!</v>
      </c>
      <c r="G31" t="e">
        <v>#NUM!</v>
      </c>
      <c r="H31" t="e">
        <v>#NUM!</v>
      </c>
      <c r="I31" t="e">
        <v>#NUM!</v>
      </c>
      <c r="J31" t="e">
        <v>#NUM!</v>
      </c>
      <c r="K31" t="e">
        <v>#NUM!</v>
      </c>
      <c r="L31" t="e">
        <v>#NUM!</v>
      </c>
      <c r="M31" t="e">
        <v>#NUM!</v>
      </c>
      <c r="N31" t="e">
        <v>#NUM!</v>
      </c>
      <c r="O31" t="e">
        <v>#NUM!</v>
      </c>
      <c r="P31" t="e">
        <v>#NUM!</v>
      </c>
      <c r="Q31" t="e">
        <v>#NUM!</v>
      </c>
      <c r="R31" t="e">
        <v>#NUM!</v>
      </c>
      <c r="S31" t="e">
        <v>#NUM!</v>
      </c>
      <c r="T31" t="e">
        <v>#NUM!</v>
      </c>
      <c r="U31" t="e">
        <v>#NUM!</v>
      </c>
      <c r="V31" t="e">
        <v>#NUM!</v>
      </c>
      <c r="W31" t="e">
        <v>#NUM!</v>
      </c>
      <c r="X31" t="e">
        <v>#NUM!</v>
      </c>
      <c r="Y31" t="n">
        <v>0</v>
      </c>
      <c r="Z31" t="n">
        <v>248.358763787598</v>
      </c>
      <c r="AA31" t="n">
        <v>230.782605119552</v>
      </c>
      <c r="AB31" t="n">
        <v>209.463195870633</v>
      </c>
      <c r="AC31" t="n">
        <v>196.128668812556</v>
      </c>
      <c r="AD31" t="n">
        <v>185.938532716457</v>
      </c>
      <c r="AE31" t="n">
        <v>170.5</v>
      </c>
      <c r="AF31" t="n">
        <v>147.7</v>
      </c>
    </row>
    <row r="32">
      <c r="A32" t="s">
        <v>146</v>
      </c>
      <c r="B32" t="s">
        <v>334</v>
      </c>
      <c r="C32" t="s">
        <v>203</v>
      </c>
      <c r="D32" t="s">
        <v>335</v>
      </c>
      <c r="E32" t="s">
        <v>204</v>
      </c>
      <c r="F32"/>
      <c r="G32"/>
      <c r="H32"/>
      <c r="I32"/>
      <c r="J32"/>
      <c r="K32" t="n">
        <v>1072.52689712175</v>
      </c>
      <c r="L32" t="n">
        <v>796.656687634232</v>
      </c>
      <c r="M32" t="n">
        <v>1353.10931339087</v>
      </c>
      <c r="N32" t="n">
        <v>1511.13667845842</v>
      </c>
      <c r="O32" t="n">
        <v>1776.08066004082</v>
      </c>
      <c r="P32" t="n">
        <v>2125.94302630193</v>
      </c>
      <c r="Q32" t="n">
        <v>2282.9574741939</v>
      </c>
      <c r="R32" t="n">
        <v>2185.75838618265</v>
      </c>
      <c r="S32" t="n">
        <v>2679.06255094202</v>
      </c>
      <c r="T32" t="n">
        <v>3116.74035875257</v>
      </c>
      <c r="U32" t="n">
        <v>3300.74524851314</v>
      </c>
      <c r="V32" t="n">
        <v>3365.97243716147</v>
      </c>
      <c r="W32" t="n">
        <v>3268.78378861805</v>
      </c>
      <c r="X32" t="n">
        <v>3175.3899660861</v>
      </c>
      <c r="Y32" t="n">
        <v>3108.13535569896</v>
      </c>
      <c r="Z32" t="n">
        <v>3500.54068469723</v>
      </c>
      <c r="AA32" t="n">
        <v>3505.0654906148</v>
      </c>
      <c r="AB32" t="n">
        <v>3517.66889539771</v>
      </c>
      <c r="AC32" t="n">
        <v>3515.98804060623</v>
      </c>
      <c r="AD32" t="n">
        <v>3500.1219776369</v>
      </c>
      <c r="AE32" t="n">
        <v>3369.8</v>
      </c>
      <c r="AF32" t="n">
        <v>3063.6</v>
      </c>
    </row>
    <row r="33">
      <c r="A33" t="s">
        <v>146</v>
      </c>
      <c r="B33" t="s">
        <v>336</v>
      </c>
      <c r="C33" t="s">
        <v>203</v>
      </c>
      <c r="D33" t="s">
        <v>337</v>
      </c>
      <c r="E33" t="s">
        <v>204</v>
      </c>
      <c r="F33"/>
      <c r="G33"/>
      <c r="H33"/>
      <c r="I33"/>
      <c r="J33"/>
      <c r="K33" t="n">
        <v>117.088498777337</v>
      </c>
      <c r="L33" t="n">
        <v>88.5078415954675</v>
      </c>
      <c r="M33" t="n">
        <v>89.9127279699988</v>
      </c>
      <c r="N33" t="n">
        <v>83.3627941443697</v>
      </c>
      <c r="O33" t="n">
        <v>74.5605115328524</v>
      </c>
      <c r="P33" t="n">
        <v>72.7957656977553</v>
      </c>
      <c r="Q33" t="n">
        <v>87.2824852395972</v>
      </c>
      <c r="R33" t="n">
        <v>109.181316661718</v>
      </c>
      <c r="S33" t="n">
        <v>120.484794151402</v>
      </c>
      <c r="T33" t="n">
        <v>138.046230937308</v>
      </c>
      <c r="U33" t="n">
        <v>132.785322746099</v>
      </c>
      <c r="V33" t="n">
        <v>133.393499796845</v>
      </c>
      <c r="W33" t="n">
        <v>124.500599810388</v>
      </c>
      <c r="X33" t="n">
        <v>116.11907275443</v>
      </c>
      <c r="Y33" t="n">
        <v>107.788421854039</v>
      </c>
      <c r="Z33" t="n">
        <v>114.566528136271</v>
      </c>
      <c r="AA33" t="n">
        <v>121.783317310209</v>
      </c>
      <c r="AB33" t="n">
        <v>117.326076653047</v>
      </c>
      <c r="AC33" t="n">
        <v>146.080203706796</v>
      </c>
      <c r="AD33" t="n">
        <v>147.303097345133</v>
      </c>
      <c r="AE33" t="n">
        <v>143.7</v>
      </c>
      <c r="AF33" t="n">
        <v>132.3</v>
      </c>
    </row>
    <row r="34">
      <c r="A34" t="s">
        <v>146</v>
      </c>
      <c r="B34" t="s">
        <v>338</v>
      </c>
      <c r="C34" t="s">
        <v>203</v>
      </c>
      <c r="D34" t="s">
        <v>339</v>
      </c>
      <c r="E34" t="s">
        <v>204</v>
      </c>
      <c r="F34"/>
      <c r="G34"/>
      <c r="H34"/>
      <c r="I34"/>
      <c r="J34"/>
      <c r="K34" t="n">
        <v>698.721271883771</v>
      </c>
      <c r="L34" t="n">
        <v>733.695516968226</v>
      </c>
      <c r="M34" t="n">
        <v>1191.32551741472</v>
      </c>
      <c r="N34" t="n">
        <v>1507.42266522247</v>
      </c>
      <c r="O34" t="n">
        <v>1902.04771540979</v>
      </c>
      <c r="P34" t="n">
        <v>2334.49258693401</v>
      </c>
      <c r="Q34" t="n">
        <v>2651.56183260181</v>
      </c>
      <c r="R34" t="n">
        <v>2720.56266979378</v>
      </c>
      <c r="S34" t="n">
        <v>3237.29913725838</v>
      </c>
      <c r="T34" t="n">
        <v>3839.5037297388</v>
      </c>
      <c r="U34" t="n">
        <v>4424.64153605371</v>
      </c>
      <c r="V34" t="n">
        <v>4690.48929708364</v>
      </c>
      <c r="W34" t="n">
        <v>5065.84895766443</v>
      </c>
      <c r="X34" t="n">
        <v>5434.10277361088</v>
      </c>
      <c r="Y34" t="n">
        <v>5547.62859757211</v>
      </c>
      <c r="Z34" t="n">
        <v>5832.19852295676</v>
      </c>
      <c r="AA34" t="n">
        <v>6049.00257659761</v>
      </c>
      <c r="AB34" t="n">
        <v>6499.67090967485</v>
      </c>
      <c r="AC34" t="n">
        <v>6869.3789851751</v>
      </c>
      <c r="AD34" t="n">
        <v>7034.5279947273</v>
      </c>
      <c r="AE34" t="n">
        <v>6966.8</v>
      </c>
      <c r="AF34" t="n">
        <v>6515.3</v>
      </c>
    </row>
    <row r="35">
      <c r="A35" t="s">
        <v>146</v>
      </c>
      <c r="B35" t="s">
        <v>340</v>
      </c>
      <c r="C35" t="s">
        <v>203</v>
      </c>
      <c r="D35" t="s">
        <v>341</v>
      </c>
      <c r="E35" t="s">
        <v>204</v>
      </c>
      <c r="F35"/>
      <c r="G35"/>
      <c r="H35"/>
      <c r="I35"/>
      <c r="J35"/>
      <c r="K35" t="n">
        <v>382.867168058553</v>
      </c>
      <c r="L35" t="n">
        <v>412.35828776036</v>
      </c>
      <c r="M35" t="n">
        <v>583.556294641323</v>
      </c>
      <c r="N35" t="n">
        <v>797.206239922171</v>
      </c>
      <c r="O35" t="n">
        <v>965.066150066762</v>
      </c>
      <c r="P35" t="n">
        <v>1048.84513012342</v>
      </c>
      <c r="Q35" t="n">
        <v>1190.52508933202</v>
      </c>
      <c r="R35" t="n">
        <v>1261.37331832395</v>
      </c>
      <c r="S35" t="n">
        <v>1691.80821033936</v>
      </c>
      <c r="T35" t="n">
        <v>1935.29298085731</v>
      </c>
      <c r="U35" t="n">
        <v>2241.67660030919</v>
      </c>
      <c r="V35" t="n">
        <v>2408.09506427772</v>
      </c>
      <c r="W35" t="n">
        <v>2667.03553636769</v>
      </c>
      <c r="X35" t="n">
        <v>2919.84361073935</v>
      </c>
      <c r="Y35" t="n">
        <v>3067.31179690989</v>
      </c>
      <c r="Z35" t="n">
        <v>3083.41102260313</v>
      </c>
      <c r="AA35" t="n">
        <v>2970.37677105887</v>
      </c>
      <c r="AB35" t="n">
        <v>2967.59972929089</v>
      </c>
      <c r="AC35" t="n">
        <v>3027.38143970951</v>
      </c>
      <c r="AD35" t="n">
        <v>3090.55138083639</v>
      </c>
      <c r="AE35" t="n">
        <v>3051.4</v>
      </c>
      <c r="AF35" t="n">
        <v>2844.7</v>
      </c>
    </row>
    <row r="36">
      <c r="A36" t="s">
        <v>146</v>
      </c>
      <c r="B36" t="s">
        <v>342</v>
      </c>
      <c r="C36" t="s">
        <v>203</v>
      </c>
      <c r="D36" t="s">
        <v>343</v>
      </c>
      <c r="E36" t="s">
        <v>204</v>
      </c>
      <c r="F36"/>
      <c r="G36"/>
      <c r="H36"/>
      <c r="I36"/>
      <c r="J36"/>
      <c r="K36" t="n">
        <v>304.118128131027</v>
      </c>
      <c r="L36" t="n">
        <v>317.068213257485</v>
      </c>
      <c r="M36" t="n">
        <v>447.579603881395</v>
      </c>
      <c r="N36" t="n">
        <v>597.042593965959</v>
      </c>
      <c r="O36" t="n">
        <v>731.705453250747</v>
      </c>
      <c r="P36" t="n">
        <v>736.137513539225</v>
      </c>
      <c r="Q36" t="n">
        <v>778.04113003084</v>
      </c>
      <c r="R36" t="n">
        <v>771.287743215964</v>
      </c>
      <c r="S36" t="n">
        <v>819.303843277157</v>
      </c>
      <c r="T36" t="n">
        <v>914.476618379913</v>
      </c>
      <c r="U36" t="n">
        <v>996.104170063683</v>
      </c>
      <c r="V36" t="n">
        <v>1014.54189954705</v>
      </c>
      <c r="W36" t="n">
        <v>1029.09921750463</v>
      </c>
      <c r="X36" t="n">
        <v>1043.36487779462</v>
      </c>
      <c r="Y36" t="n">
        <v>1068.84535509859</v>
      </c>
      <c r="Z36" t="n">
        <v>1066.06058510662</v>
      </c>
      <c r="AA36" t="n">
        <v>1051.18877968779</v>
      </c>
      <c r="AB36" t="n">
        <v>1044.8798805179</v>
      </c>
      <c r="AC36" t="n">
        <v>1044.12506533073</v>
      </c>
      <c r="AD36" t="n">
        <v>1077.27863956065</v>
      </c>
      <c r="AE36" t="n">
        <v>1075</v>
      </c>
      <c r="AF36" t="n">
        <v>1012.9</v>
      </c>
    </row>
    <row r="37">
      <c r="A37" t="s">
        <v>146</v>
      </c>
      <c r="B37" t="s">
        <v>344</v>
      </c>
      <c r="C37" t="s">
        <v>203</v>
      </c>
      <c r="D37" t="s">
        <v>345</v>
      </c>
      <c r="E37" t="s">
        <v>204</v>
      </c>
      <c r="F37"/>
      <c r="G37"/>
      <c r="H37"/>
      <c r="I37"/>
      <c r="J37"/>
      <c r="K37" t="n">
        <v>0</v>
      </c>
      <c r="L37" t="n">
        <v>2.85937568774087</v>
      </c>
      <c r="M37" t="n">
        <v>11.4375027509635</v>
      </c>
      <c r="N37" t="n">
        <v>16.8061264912116</v>
      </c>
      <c r="O37" t="n">
        <v>16.3392896442335</v>
      </c>
      <c r="P37" t="n">
        <v>118.686784499085</v>
      </c>
      <c r="Q37" t="n">
        <v>227.846870576839</v>
      </c>
      <c r="R37" t="n">
        <v>314.158044663731</v>
      </c>
      <c r="S37" t="n">
        <v>723.596093909242</v>
      </c>
      <c r="T37" t="n">
        <v>843.260564219814</v>
      </c>
      <c r="U37" t="n">
        <v>1052.25185927073</v>
      </c>
      <c r="V37" t="n">
        <v>1202.63564419748</v>
      </c>
      <c r="W37" t="n">
        <v>1456.68050272351</v>
      </c>
      <c r="X37" t="n">
        <v>1702.44157732304</v>
      </c>
      <c r="Y37" t="n">
        <v>1785.77787831088</v>
      </c>
      <c r="Z37" t="n">
        <v>1789.21785496065</v>
      </c>
      <c r="AA37" t="n">
        <v>1629.28469698382</v>
      </c>
      <c r="AB37" t="n">
        <v>1609.87868901774</v>
      </c>
      <c r="AC37" t="n">
        <v>1621.40553912342</v>
      </c>
      <c r="AD37" t="n">
        <v>1641.6</v>
      </c>
      <c r="AE37" t="n">
        <v>1607.4</v>
      </c>
      <c r="AF37" t="n">
        <v>1486.2</v>
      </c>
    </row>
    <row r="38">
      <c r="A38" t="s">
        <v>146</v>
      </c>
      <c r="B38" t="s">
        <v>346</v>
      </c>
      <c r="C38" t="s">
        <v>203</v>
      </c>
      <c r="D38" t="s">
        <v>347</v>
      </c>
      <c r="E38" t="s">
        <v>204</v>
      </c>
      <c r="F38"/>
      <c r="G38"/>
      <c r="H38"/>
      <c r="I38"/>
      <c r="J38"/>
      <c r="K38" t="n">
        <v>9.26927972475774</v>
      </c>
      <c r="L38" t="n">
        <v>26.7779192048557</v>
      </c>
      <c r="M38" t="n">
        <v>32.8535815454532</v>
      </c>
      <c r="N38" t="n">
        <v>67.0126034172158</v>
      </c>
      <c r="O38" t="n">
        <v>71.0804611326379</v>
      </c>
      <c r="P38" t="n">
        <v>73.5385750622968</v>
      </c>
      <c r="Q38" t="n">
        <v>77.644789913491</v>
      </c>
      <c r="R38" t="n">
        <v>85.4965102418216</v>
      </c>
      <c r="S38" t="n">
        <v>101.650931071827</v>
      </c>
      <c r="T38" t="n">
        <v>129.879575405043</v>
      </c>
      <c r="U38" t="n">
        <v>154.914935520392</v>
      </c>
      <c r="V38" t="n">
        <v>163.178932984862</v>
      </c>
      <c r="W38" t="n">
        <v>170.297026357864</v>
      </c>
      <c r="X38" t="n">
        <v>177.066432705682</v>
      </c>
      <c r="Y38" t="n">
        <v>219.056860722609</v>
      </c>
      <c r="Z38" t="n">
        <v>235.149701662332</v>
      </c>
      <c r="AA38" t="n">
        <v>291.395503407505</v>
      </c>
      <c r="AB38" t="n">
        <v>313.952602132124</v>
      </c>
      <c r="AC38" t="n">
        <v>362.565325915602</v>
      </c>
      <c r="AD38" t="n">
        <v>371.916996047431</v>
      </c>
      <c r="AE38" t="n">
        <v>369</v>
      </c>
      <c r="AF38" t="n">
        <v>345.6</v>
      </c>
    </row>
    <row r="39">
      <c r="A39" t="s">
        <v>146</v>
      </c>
      <c r="B39" t="s">
        <v>348</v>
      </c>
      <c r="C39" t="s">
        <v>203</v>
      </c>
      <c r="D39" t="s">
        <v>349</v>
      </c>
      <c r="E39" t="s">
        <v>204</v>
      </c>
      <c r="F39"/>
      <c r="G39"/>
      <c r="H39"/>
      <c r="I39"/>
      <c r="J39"/>
      <c r="K39" t="n">
        <v>995.101335310889</v>
      </c>
      <c r="L39" t="n">
        <v>926.905901144778</v>
      </c>
      <c r="M39" t="n">
        <v>1071.18184571598</v>
      </c>
      <c r="N39" t="n">
        <v>1162.57736732628</v>
      </c>
      <c r="O39" t="n">
        <v>1189.87592599552</v>
      </c>
      <c r="P39" t="n">
        <v>1205.35268194594</v>
      </c>
      <c r="Q39" t="n">
        <v>1312.27645439266</v>
      </c>
      <c r="R39" t="n">
        <v>1319.46880167633</v>
      </c>
      <c r="S39" t="n">
        <v>1402.97307916812</v>
      </c>
      <c r="T39" t="n">
        <v>1665.43336611187</v>
      </c>
      <c r="U39" t="n">
        <v>1828.82408040643</v>
      </c>
      <c r="V39" t="n">
        <v>1980.55362121581</v>
      </c>
      <c r="W39" t="n">
        <v>2174.54166211059</v>
      </c>
      <c r="X39" t="n">
        <v>2368.64721176163</v>
      </c>
      <c r="Y39" t="n">
        <v>2525.33080644244</v>
      </c>
      <c r="Z39" t="n">
        <v>2489.29385971723</v>
      </c>
      <c r="AA39" t="n">
        <v>2590.23348756744</v>
      </c>
      <c r="AB39" t="n">
        <v>2626.84884579836</v>
      </c>
      <c r="AC39" t="n">
        <v>2661.79119772383</v>
      </c>
      <c r="AD39" t="n">
        <v>2774.15271340569</v>
      </c>
      <c r="AE39" t="n">
        <v>2796.3</v>
      </c>
      <c r="AF39" t="n">
        <v>2661.6</v>
      </c>
    </row>
    <row r="40">
      <c r="A40" t="s">
        <v>146</v>
      </c>
      <c r="B40" t="s">
        <v>350</v>
      </c>
      <c r="C40" t="s">
        <v>203</v>
      </c>
      <c r="D40" t="s">
        <v>351</v>
      </c>
      <c r="E40" t="s">
        <v>204</v>
      </c>
      <c r="F40"/>
      <c r="G40"/>
      <c r="H40"/>
      <c r="I40"/>
      <c r="J40"/>
      <c r="K40" t="n">
        <v>985.629378044338</v>
      </c>
      <c r="L40" t="n">
        <v>739.595566647722</v>
      </c>
      <c r="M40" t="n">
        <v>898.028891538179</v>
      </c>
      <c r="N40" t="n">
        <v>828.879137027913</v>
      </c>
      <c r="O40" t="n">
        <v>954.845379718273</v>
      </c>
      <c r="P40" t="n">
        <v>1201.77625807547</v>
      </c>
      <c r="Q40" t="n">
        <v>1596.11211606255</v>
      </c>
      <c r="R40" t="n">
        <v>1617.20610878585</v>
      </c>
      <c r="S40" t="n">
        <v>3481.21417966357</v>
      </c>
      <c r="T40" t="n">
        <v>5915.8971579486</v>
      </c>
      <c r="U40" t="n">
        <v>7123.45684173913</v>
      </c>
      <c r="V40" t="n">
        <v>8295.8043514866</v>
      </c>
      <c r="W40" t="n">
        <v>9590.64525589442</v>
      </c>
      <c r="X40" t="n">
        <v>10851.4012824194</v>
      </c>
      <c r="Y40" t="n">
        <v>11278.077562051</v>
      </c>
      <c r="Z40" t="n">
        <v>11150.4641141571</v>
      </c>
      <c r="AA40" t="n">
        <v>11547.4812298106</v>
      </c>
      <c r="AB40" t="n">
        <v>12239.9913901849</v>
      </c>
      <c r="AC40" t="n">
        <v>13194.8042060922</v>
      </c>
      <c r="AD40" t="n">
        <v>13492.6160018796</v>
      </c>
      <c r="AE40" t="n">
        <v>13343.8</v>
      </c>
      <c r="AF40" t="n">
        <v>12461.3</v>
      </c>
    </row>
    <row r="41">
      <c r="A41" t="s">
        <v>146</v>
      </c>
      <c r="B41" t="s">
        <v>352</v>
      </c>
      <c r="C41" t="s">
        <v>203</v>
      </c>
      <c r="D41" t="s">
        <v>353</v>
      </c>
      <c r="E41" t="s">
        <v>204</v>
      </c>
      <c r="F41" t="e">
        <v>#NUM!</v>
      </c>
      <c r="G41" t="e">
        <v>#NUM!</v>
      </c>
      <c r="H41" t="e">
        <v>#NUM!</v>
      </c>
      <c r="I41" t="e">
        <v>#NUM!</v>
      </c>
      <c r="J41" t="e">
        <v>#NUM!</v>
      </c>
      <c r="K41" t="e">
        <v>#NUM!</v>
      </c>
      <c r="L41" t="e">
        <v>#NUM!</v>
      </c>
      <c r="M41" t="e">
        <v>#NUM!</v>
      </c>
      <c r="N41" t="e">
        <v>#NUM!</v>
      </c>
      <c r="O41" t="e">
        <v>#NUM!</v>
      </c>
      <c r="P41" t="e">
        <v>#NUM!</v>
      </c>
      <c r="Q41" t="e">
        <v>#NUM!</v>
      </c>
      <c r="R41" t="e">
        <v>#NUM!</v>
      </c>
      <c r="S41" t="e">
        <v>#NUM!</v>
      </c>
      <c r="T41" t="e">
        <v>#NUM!</v>
      </c>
      <c r="U41" t="e">
        <v>#NUM!</v>
      </c>
      <c r="V41" t="e">
        <v>#NUM!</v>
      </c>
      <c r="W41" t="e">
        <v>#NUM!</v>
      </c>
      <c r="X41" t="e">
        <v>#NUM!</v>
      </c>
      <c r="Y41" t="e">
        <v>#NUM!</v>
      </c>
      <c r="Z41" t="e">
        <v>#NUM!</v>
      </c>
      <c r="AA41" t="e">
        <v>#NUM!</v>
      </c>
      <c r="AB41" t="e">
        <v>#NUM!</v>
      </c>
      <c r="AC41" t="e">
        <v>#NUM!</v>
      </c>
      <c r="AD41" t="e">
        <v>#NUM!</v>
      </c>
      <c r="AE41" t="n">
        <v>0</v>
      </c>
      <c r="AF41" t="e">
        <v>#NUM!</v>
      </c>
    </row>
    <row r="42">
      <c r="A42" t="s">
        <v>146</v>
      </c>
      <c r="B42" t="s">
        <v>354</v>
      </c>
      <c r="C42" t="s">
        <v>203</v>
      </c>
      <c r="D42" t="s">
        <v>355</v>
      </c>
      <c r="E42" t="s">
        <v>204</v>
      </c>
      <c r="F42"/>
      <c r="G42"/>
      <c r="H42"/>
      <c r="I42"/>
      <c r="J42"/>
      <c r="K42" t="n">
        <v>969.943017283233</v>
      </c>
      <c r="L42" t="n">
        <v>966.954424346568</v>
      </c>
      <c r="M42" t="n">
        <v>1181.57895109458</v>
      </c>
      <c r="N42" t="n">
        <v>1284.30837357058</v>
      </c>
      <c r="O42" t="n">
        <v>1349.40414463992</v>
      </c>
      <c r="P42" t="n">
        <v>1405.7195664066</v>
      </c>
      <c r="Q42" t="n">
        <v>1545.19070091392</v>
      </c>
      <c r="R42" t="n">
        <v>1607.92366543194</v>
      </c>
      <c r="S42" t="n">
        <v>1916.61767098036</v>
      </c>
      <c r="T42" t="n">
        <v>2235.71588914771</v>
      </c>
      <c r="U42" t="n">
        <v>2492.02099969059</v>
      </c>
      <c r="V42" t="n">
        <v>2690.62937266429</v>
      </c>
      <c r="W42" t="n">
        <v>2881.07319395995</v>
      </c>
      <c r="X42" t="n">
        <v>3073.05406805816</v>
      </c>
      <c r="Y42" t="n">
        <v>3191.99665633171</v>
      </c>
      <c r="Z42" t="n">
        <v>3333.18021804566</v>
      </c>
      <c r="AA42" t="n">
        <v>3472.20852023302</v>
      </c>
      <c r="AB42" t="n">
        <v>3509.34765390853</v>
      </c>
      <c r="AC42" t="n">
        <v>3632.75032035331</v>
      </c>
      <c r="AD42" t="n">
        <v>3796.20388613466</v>
      </c>
      <c r="AE42" t="n">
        <v>3836.7</v>
      </c>
      <c r="AF42" t="n">
        <v>3661.6</v>
      </c>
    </row>
    <row r="43">
      <c r="A43" t="s">
        <v>146</v>
      </c>
      <c r="B43" t="s">
        <v>356</v>
      </c>
      <c r="C43" t="s">
        <v>203</v>
      </c>
      <c r="D43" t="s">
        <v>357</v>
      </c>
      <c r="E43" t="s">
        <v>204</v>
      </c>
      <c r="F43"/>
      <c r="G43"/>
      <c r="H43"/>
      <c r="I43"/>
      <c r="J43"/>
      <c r="K43" t="n">
        <v>1133.92418306358</v>
      </c>
      <c r="L43" t="n">
        <v>1165.08911832748</v>
      </c>
      <c r="M43" t="n">
        <v>1477.68736220357</v>
      </c>
      <c r="N43" t="n">
        <v>1716.70520248703</v>
      </c>
      <c r="O43" t="n">
        <v>2076.72228734757</v>
      </c>
      <c r="P43" t="n">
        <v>2214.25472344777</v>
      </c>
      <c r="Q43" t="n">
        <v>2716.96470731187</v>
      </c>
      <c r="R43" t="n">
        <v>3024.18939626249</v>
      </c>
      <c r="S43" t="n">
        <v>3546.51572834677</v>
      </c>
      <c r="T43" t="n">
        <v>4125.81557667233</v>
      </c>
      <c r="U43" t="n">
        <v>4587.83661371052</v>
      </c>
      <c r="V43" t="n">
        <v>5142.88115973899</v>
      </c>
      <c r="W43" t="n">
        <v>5515.50454971405</v>
      </c>
      <c r="X43" t="n">
        <v>5894.82307509413</v>
      </c>
      <c r="Y43" t="n">
        <v>6236.26454037183</v>
      </c>
      <c r="Z43" t="n">
        <v>6796.35569052572</v>
      </c>
      <c r="AA43" t="n">
        <v>7058.80123397362</v>
      </c>
      <c r="AB43" t="n">
        <v>7194.37678183314</v>
      </c>
      <c r="AC43" t="n">
        <v>7430.60116603174</v>
      </c>
      <c r="AD43" t="n">
        <v>7794.31819599052</v>
      </c>
      <c r="AE43" t="n">
        <v>7907.3</v>
      </c>
      <c r="AF43" t="n">
        <v>7574.9</v>
      </c>
    </row>
    <row r="44">
      <c r="A44" t="s">
        <v>146</v>
      </c>
      <c r="B44" t="s">
        <v>358</v>
      </c>
      <c r="C44" t="s">
        <v>203</v>
      </c>
      <c r="D44" t="s">
        <v>359</v>
      </c>
      <c r="E44" t="s">
        <v>204</v>
      </c>
      <c r="F44"/>
      <c r="G44"/>
      <c r="H44"/>
      <c r="I44"/>
      <c r="J44"/>
      <c r="K44" t="n">
        <v>23268.9374275502</v>
      </c>
      <c r="L44" t="n">
        <v>22988.2940231013</v>
      </c>
      <c r="M44" t="n">
        <v>28410.5190186774</v>
      </c>
      <c r="N44" t="n">
        <v>31433.6110228667</v>
      </c>
      <c r="O44" t="n">
        <v>34669.5915498695</v>
      </c>
      <c r="P44" t="n">
        <v>37589.3070913181</v>
      </c>
      <c r="Q44" t="n">
        <v>43174.1032867118</v>
      </c>
      <c r="R44" t="n">
        <v>44888.2767923673</v>
      </c>
      <c r="S44" t="n">
        <v>53165.0434019124</v>
      </c>
      <c r="T44" t="n">
        <v>64308.7070025261</v>
      </c>
      <c r="U44" t="n">
        <v>71823.1196880765</v>
      </c>
      <c r="V44" t="n">
        <v>75518.9375282588</v>
      </c>
      <c r="W44" t="n">
        <v>80316.2040328835</v>
      </c>
      <c r="X44" t="n">
        <v>84963.5993241868</v>
      </c>
      <c r="Y44" t="n">
        <v>89386.8611696851</v>
      </c>
      <c r="Z44" t="n">
        <v>95859.5175195943</v>
      </c>
      <c r="AA44" t="n">
        <v>100440.441352946</v>
      </c>
      <c r="AB44" t="n">
        <v>102254.52765733</v>
      </c>
      <c r="AC44" t="n">
        <v>103698.350804015</v>
      </c>
      <c r="AD44" t="n">
        <v>104955.077656562</v>
      </c>
      <c r="AE44" t="n">
        <v>102736.2</v>
      </c>
      <c r="AF44" t="n">
        <v>94961.1</v>
      </c>
    </row>
    <row r="45">
      <c r="A45" t="s">
        <v>146</v>
      </c>
      <c r="B45" t="s">
        <v>360</v>
      </c>
      <c r="C45" t="s">
        <v>203</v>
      </c>
      <c r="D45" t="s">
        <v>361</v>
      </c>
      <c r="E45" t="s">
        <v>204</v>
      </c>
      <c r="F45"/>
      <c r="G45"/>
      <c r="H45"/>
      <c r="I45"/>
      <c r="J45"/>
      <c r="K45" t="n">
        <v>22705.2275792458</v>
      </c>
      <c r="L45" t="n">
        <v>22373.5968052829</v>
      </c>
      <c r="M45" t="n">
        <v>27632.0486484631</v>
      </c>
      <c r="N45" t="n">
        <v>30569.0415539608</v>
      </c>
      <c r="O45" t="n">
        <v>33712.6066012982</v>
      </c>
      <c r="P45" t="n">
        <v>36550.6304458555</v>
      </c>
      <c r="Q45" t="n">
        <v>42011.3694619453</v>
      </c>
      <c r="R45" t="n">
        <v>43705.8970213074</v>
      </c>
      <c r="S45" t="n">
        <v>51664.2501518737</v>
      </c>
      <c r="T45" t="n">
        <v>62519.1844376463</v>
      </c>
      <c r="U45" t="n">
        <v>69826.0943344239</v>
      </c>
      <c r="V45" t="n">
        <v>73370.5120014692</v>
      </c>
      <c r="W45" t="n">
        <v>77820.7878156375</v>
      </c>
      <c r="X45" t="n">
        <v>82129.980363368</v>
      </c>
      <c r="Y45" t="n">
        <v>86020.3982546151</v>
      </c>
      <c r="Z45" t="n">
        <v>92211.2564268662</v>
      </c>
      <c r="AA45" t="n">
        <v>96602.0458091864</v>
      </c>
      <c r="AB45" t="n">
        <v>98098.8309727099</v>
      </c>
      <c r="AC45" t="n">
        <v>99251.404627783</v>
      </c>
      <c r="AD45" t="n">
        <v>100436.231574424</v>
      </c>
      <c r="AE45" t="n">
        <v>98295.1</v>
      </c>
      <c r="AF45" t="n">
        <v>90839.7</v>
      </c>
    </row>
    <row r="46">
      <c r="A46" t="s">
        <v>146</v>
      </c>
      <c r="B46" t="s">
        <v>362</v>
      </c>
      <c r="C46" t="s">
        <v>203</v>
      </c>
      <c r="D46" t="s">
        <v>363</v>
      </c>
      <c r="E46" t="s">
        <v>204</v>
      </c>
      <c r="F46"/>
      <c r="G46"/>
      <c r="H46"/>
      <c r="I46"/>
      <c r="J46"/>
      <c r="K46" t="n">
        <v>288.934059881865</v>
      </c>
      <c r="L46" t="n">
        <v>310.557397286021</v>
      </c>
      <c r="M46" t="n">
        <v>417.445353178203</v>
      </c>
      <c r="N46" t="n">
        <v>537.756120270053</v>
      </c>
      <c r="O46" t="n">
        <v>787.534659567175</v>
      </c>
      <c r="P46" t="n">
        <v>863.37571088273</v>
      </c>
      <c r="Q46" t="n">
        <v>1197.01422365374</v>
      </c>
      <c r="R46" t="n">
        <v>1422.1478101335</v>
      </c>
      <c r="S46" t="n">
        <v>1642.25700771025</v>
      </c>
      <c r="T46" t="n">
        <v>1905.40219132994</v>
      </c>
      <c r="U46" t="n">
        <v>2113.6094990049</v>
      </c>
      <c r="V46" t="n">
        <v>2461.10938913394</v>
      </c>
      <c r="W46" t="n">
        <v>2643.51993852392</v>
      </c>
      <c r="X46" t="n">
        <v>2831.02215833866</v>
      </c>
      <c r="Y46" t="n">
        <v>3050.60456390613</v>
      </c>
      <c r="Z46" t="n">
        <v>3463.76475813896</v>
      </c>
      <c r="AA46" t="n">
        <v>3587.58300010954</v>
      </c>
      <c r="AB46" t="n">
        <v>3685.14642109504</v>
      </c>
      <c r="AC46" t="n">
        <v>3798.14972632644</v>
      </c>
      <c r="AD46" t="n">
        <v>3998.21888872263</v>
      </c>
      <c r="AE46" t="n">
        <v>4070.6</v>
      </c>
      <c r="AF46" t="n">
        <v>3913.3</v>
      </c>
    </row>
    <row r="47">
      <c r="A47" t="s">
        <v>146</v>
      </c>
      <c r="B47" t="s">
        <v>364</v>
      </c>
      <c r="C47" t="s">
        <v>203</v>
      </c>
      <c r="D47" t="s">
        <v>365</v>
      </c>
      <c r="E47" t="s">
        <v>204</v>
      </c>
      <c r="F47"/>
      <c r="G47"/>
      <c r="H47"/>
      <c r="I47"/>
      <c r="J47"/>
      <c r="K47" t="n">
        <v>30006.5141919196</v>
      </c>
      <c r="L47" t="n">
        <v>26372.3336165583</v>
      </c>
      <c r="M47" t="n">
        <v>27726.331927456</v>
      </c>
      <c r="N47" t="n">
        <v>28105.684602124</v>
      </c>
      <c r="O47" t="n">
        <v>27646.8434244246</v>
      </c>
      <c r="P47" t="n">
        <v>26429.7864280215</v>
      </c>
      <c r="Q47" t="n">
        <v>27437.4230392119</v>
      </c>
      <c r="R47" t="n">
        <v>26791.0181649059</v>
      </c>
      <c r="S47" t="n">
        <v>30060.9152711904</v>
      </c>
      <c r="T47" t="n">
        <v>35473.8975310968</v>
      </c>
      <c r="U47" t="n">
        <v>37728.9166364538</v>
      </c>
      <c r="V47" t="n">
        <v>38999.5097902274</v>
      </c>
      <c r="W47" t="n">
        <v>40601.7427350647</v>
      </c>
      <c r="X47" t="n">
        <v>42060.0156888485</v>
      </c>
      <c r="Y47" t="n">
        <v>44083.8901426121</v>
      </c>
      <c r="Z47" t="n">
        <v>43729.1851433273</v>
      </c>
      <c r="AA47" t="n">
        <v>42241.6487021104</v>
      </c>
      <c r="AB47" t="n">
        <v>41709.8868321242</v>
      </c>
      <c r="AC47" t="n">
        <v>41531.2116885461</v>
      </c>
      <c r="AD47" t="n">
        <v>41248.7769276726</v>
      </c>
      <c r="AE47" t="n">
        <v>39621.8</v>
      </c>
      <c r="AF47" t="n">
        <v>35938.4</v>
      </c>
    </row>
    <row r="48">
      <c r="A48" t="s">
        <v>146</v>
      </c>
      <c r="B48" t="s">
        <v>366</v>
      </c>
      <c r="C48" t="s">
        <v>203</v>
      </c>
      <c r="D48" t="s">
        <v>367</v>
      </c>
      <c r="E48" t="s">
        <v>204</v>
      </c>
      <c r="F48"/>
      <c r="G48"/>
      <c r="H48"/>
      <c r="I48"/>
      <c r="J48"/>
      <c r="K48" t="n">
        <v>32574.0508278769</v>
      </c>
      <c r="L48" t="n">
        <v>28524.6590818951</v>
      </c>
      <c r="M48" t="n">
        <v>30082.1514201944</v>
      </c>
      <c r="N48" t="n">
        <v>30763.2540468764</v>
      </c>
      <c r="O48" t="n">
        <v>30533.1898258113</v>
      </c>
      <c r="P48" t="n">
        <v>29892.5504330149</v>
      </c>
      <c r="Q48" t="n">
        <v>31402.8907089457</v>
      </c>
      <c r="R48" t="n">
        <v>31288.6905437492</v>
      </c>
      <c r="S48" t="n">
        <v>35380.9825520917</v>
      </c>
      <c r="T48" t="n">
        <v>41349.7953295348</v>
      </c>
      <c r="U48" t="n">
        <v>43465.6177528065</v>
      </c>
      <c r="V48" t="n">
        <v>44575.5655464703</v>
      </c>
      <c r="W48" t="n">
        <v>46123.2519735939</v>
      </c>
      <c r="X48" t="n">
        <v>47654.6648500154</v>
      </c>
      <c r="Y48" t="n">
        <v>49650.2693938246</v>
      </c>
      <c r="Z48" t="n">
        <v>49497.7755989702</v>
      </c>
      <c r="AA48" t="n">
        <v>48324.547126831</v>
      </c>
      <c r="AB48" t="n">
        <v>47734.479895815</v>
      </c>
      <c r="AC48" t="n">
        <v>47491.6274358459</v>
      </c>
      <c r="AD48" t="n">
        <v>47294.5288782979</v>
      </c>
      <c r="AE48" t="n">
        <v>45550.3</v>
      </c>
      <c r="AF48" t="n">
        <v>41426</v>
      </c>
    </row>
    <row r="49">
      <c r="A49" t="s">
        <v>146</v>
      </c>
      <c r="B49" t="s">
        <v>368</v>
      </c>
      <c r="C49" t="s">
        <v>203</v>
      </c>
      <c r="D49" t="s">
        <v>369</v>
      </c>
      <c r="E49" t="s">
        <v>204</v>
      </c>
      <c r="F49"/>
      <c r="G49"/>
      <c r="H49"/>
      <c r="I49"/>
      <c r="J49"/>
      <c r="K49" t="n">
        <v>3945.9018390271</v>
      </c>
      <c r="L49" t="n">
        <v>2896.20765821782</v>
      </c>
      <c r="M49" t="n">
        <v>2600.1097506684</v>
      </c>
      <c r="N49" t="n">
        <v>2734.33689849641</v>
      </c>
      <c r="O49" t="n">
        <v>2854.9429368106</v>
      </c>
      <c r="P49" t="n">
        <v>3355.0825727482</v>
      </c>
      <c r="Q49" t="n">
        <v>3705.55865329978</v>
      </c>
      <c r="R49" t="n">
        <v>4318.01293903806</v>
      </c>
      <c r="S49" t="n">
        <v>5344.69731676755</v>
      </c>
      <c r="T49" t="n">
        <v>5992.70468161126</v>
      </c>
      <c r="U49" t="n">
        <v>5745.63847317241</v>
      </c>
      <c r="V49" t="n">
        <v>5584.21242467077</v>
      </c>
      <c r="W49" t="n">
        <v>5347.87313191377</v>
      </c>
      <c r="X49" t="n">
        <v>5126.78199748082</v>
      </c>
      <c r="Y49" t="n">
        <v>4815.39269751124</v>
      </c>
      <c r="Z49" t="n">
        <v>4714.81639261766</v>
      </c>
      <c r="AA49" t="n">
        <v>4523.80849907835</v>
      </c>
      <c r="AB49" t="n">
        <v>4235.47249825832</v>
      </c>
      <c r="AC49" t="n">
        <v>3998.52116898337</v>
      </c>
      <c r="AD49" t="n">
        <v>3875.83981672533</v>
      </c>
      <c r="AE49" t="n">
        <v>3633.4</v>
      </c>
      <c r="AF49" t="n">
        <v>3216.3</v>
      </c>
    </row>
    <row r="50">
      <c r="A50" t="s">
        <v>146</v>
      </c>
      <c r="B50" t="s">
        <v>370</v>
      </c>
      <c r="C50" t="s">
        <v>203</v>
      </c>
      <c r="D50" t="s">
        <v>371</v>
      </c>
      <c r="E50" t="s">
        <v>204</v>
      </c>
      <c r="F50"/>
      <c r="G50"/>
      <c r="H50"/>
      <c r="I50"/>
      <c r="J50"/>
      <c r="K50" t="n">
        <v>208.694888048244</v>
      </c>
      <c r="L50" t="n">
        <v>221.738318551259</v>
      </c>
      <c r="M50" t="n">
        <v>340.25618740853</v>
      </c>
      <c r="N50" t="n">
        <v>432.031193760355</v>
      </c>
      <c r="O50" t="n">
        <v>498.528912913271</v>
      </c>
      <c r="P50" t="n">
        <v>611.778765731635</v>
      </c>
      <c r="Q50" t="n">
        <v>731.610547757494</v>
      </c>
      <c r="R50" t="n">
        <v>778.720250361524</v>
      </c>
      <c r="S50" t="n">
        <v>837.214398797245</v>
      </c>
      <c r="T50" t="n">
        <v>910.392658608872</v>
      </c>
      <c r="U50" t="n">
        <v>948.243714775426</v>
      </c>
      <c r="V50" t="n">
        <v>943.031019592463</v>
      </c>
      <c r="W50" t="n">
        <v>1018.37421168191</v>
      </c>
      <c r="X50" t="n">
        <v>1154.16745415709</v>
      </c>
      <c r="Y50" t="n">
        <v>1297.28085109852</v>
      </c>
      <c r="Z50" t="n">
        <v>1464.17316515562</v>
      </c>
      <c r="AA50" t="n">
        <v>1763.55960238112</v>
      </c>
      <c r="AB50" t="n">
        <v>1902.15463936825</v>
      </c>
      <c r="AC50" t="n">
        <v>2020.82407055651</v>
      </c>
      <c r="AD50" t="n">
        <v>2189.87627723113</v>
      </c>
      <c r="AE50" t="n">
        <v>2295.1</v>
      </c>
      <c r="AF50" t="n">
        <v>2271.4</v>
      </c>
    </row>
    <row r="51">
      <c r="A51" t="s">
        <v>146</v>
      </c>
      <c r="B51" t="s">
        <v>372</v>
      </c>
      <c r="C51" t="s">
        <v>203</v>
      </c>
      <c r="D51" t="s">
        <v>373</v>
      </c>
      <c r="E51" t="s">
        <v>204</v>
      </c>
      <c r="F51"/>
      <c r="G51"/>
      <c r="H51"/>
      <c r="I51"/>
      <c r="J51"/>
      <c r="K51" t="n">
        <v>94.2544116415681</v>
      </c>
      <c r="L51" t="n">
        <v>118.837593524044</v>
      </c>
      <c r="M51" t="n">
        <v>205.789461358077</v>
      </c>
      <c r="N51" t="n">
        <v>283.875581082881</v>
      </c>
      <c r="O51" t="n">
        <v>348.696754001407</v>
      </c>
      <c r="P51" t="n">
        <v>451.466324848153</v>
      </c>
      <c r="Q51" t="n">
        <v>559.602518874345</v>
      </c>
      <c r="R51" t="n">
        <v>611.130190675093</v>
      </c>
      <c r="S51" t="n">
        <v>669.752333088083</v>
      </c>
      <c r="T51" t="n">
        <v>740.343019262289</v>
      </c>
      <c r="U51" t="n">
        <v>764.526609515436</v>
      </c>
      <c r="V51" t="n">
        <v>771.517575493782</v>
      </c>
      <c r="W51" t="n">
        <v>848.533877236075</v>
      </c>
      <c r="X51" t="n">
        <v>980.103088164443</v>
      </c>
      <c r="Y51" t="n">
        <v>1120.1725767499</v>
      </c>
      <c r="Z51" t="n">
        <v>1270.17558455342</v>
      </c>
      <c r="AA51" t="n">
        <v>1562.13127904751</v>
      </c>
      <c r="AB51" t="n">
        <v>1709.65109852676</v>
      </c>
      <c r="AC51" t="n">
        <v>1840.91443019464</v>
      </c>
      <c r="AD51" t="n">
        <v>2019.90396673937</v>
      </c>
      <c r="AE51" t="n">
        <v>2143.5</v>
      </c>
      <c r="AF51" t="n">
        <v>2147.9</v>
      </c>
    </row>
    <row r="52">
      <c r="A52" t="s">
        <v>146</v>
      </c>
      <c r="B52" t="s">
        <v>374</v>
      </c>
      <c r="C52" t="s">
        <v>203</v>
      </c>
      <c r="D52" t="s">
        <v>375</v>
      </c>
      <c r="E52" t="s">
        <v>204</v>
      </c>
      <c r="F52"/>
      <c r="G52"/>
      <c r="H52"/>
      <c r="I52"/>
      <c r="J52"/>
      <c r="K52" t="n">
        <v>11892.0878735232</v>
      </c>
      <c r="L52" t="n">
        <v>6503.485555833</v>
      </c>
      <c r="M52" t="n">
        <v>5259.87233042293</v>
      </c>
      <c r="N52" t="n">
        <v>3736.23173093014</v>
      </c>
      <c r="O52" t="n">
        <v>2475.92389824797</v>
      </c>
      <c r="P52" t="n">
        <v>1652.57628362869</v>
      </c>
      <c r="Q52" t="n">
        <v>1170.2632958728</v>
      </c>
      <c r="R52" t="n">
        <v>802.25597012664</v>
      </c>
      <c r="S52" t="n">
        <v>601.305534449447</v>
      </c>
      <c r="T52" t="n">
        <v>474.283581686702</v>
      </c>
      <c r="U52" t="n">
        <v>566.1760256385</v>
      </c>
      <c r="V52" t="n">
        <v>462.00944083488</v>
      </c>
      <c r="W52" t="n">
        <v>383.719138099262</v>
      </c>
      <c r="X52" t="n">
        <v>325.178914314004</v>
      </c>
      <c r="Y52" t="n">
        <v>280.580942264459</v>
      </c>
      <c r="Z52" t="n">
        <v>295.68914684793</v>
      </c>
      <c r="AA52" t="n">
        <v>264.726932518304</v>
      </c>
      <c r="AB52" t="n">
        <v>228.720446401614</v>
      </c>
      <c r="AC52" t="n">
        <v>197.143993246095</v>
      </c>
      <c r="AD52" t="n">
        <v>175.808063241107</v>
      </c>
      <c r="AE52" t="n">
        <v>151.6</v>
      </c>
      <c r="AF52" t="n">
        <v>123.5</v>
      </c>
    </row>
    <row r="53">
      <c r="A53" t="s">
        <v>146</v>
      </c>
      <c r="B53" t="s">
        <v>376</v>
      </c>
      <c r="C53" t="s">
        <v>203</v>
      </c>
      <c r="D53" t="s">
        <v>377</v>
      </c>
      <c r="E53" t="s">
        <v>204</v>
      </c>
      <c r="F53"/>
      <c r="G53"/>
      <c r="H53"/>
      <c r="I53"/>
      <c r="J53"/>
      <c r="K53" t="n">
        <v>95.2478053529327</v>
      </c>
      <c r="L53" t="n">
        <v>105.767141285486</v>
      </c>
      <c r="M53" t="n">
        <v>144.59075746918</v>
      </c>
      <c r="N53" t="n">
        <v>172.941886384706</v>
      </c>
      <c r="O53" t="n">
        <v>259.412829577058</v>
      </c>
      <c r="P53" t="n">
        <v>296.247883927879</v>
      </c>
      <c r="Q53" t="n">
        <v>359.010715420938</v>
      </c>
      <c r="R53" t="n">
        <v>432.734570363827</v>
      </c>
      <c r="S53" t="n">
        <v>548.769939606898</v>
      </c>
      <c r="T53" t="n">
        <v>686.39115102394</v>
      </c>
      <c r="U53" t="n">
        <v>831.520400864736</v>
      </c>
      <c r="V53" t="n">
        <v>838.527595254046</v>
      </c>
      <c r="W53" t="n">
        <v>1023.84769836271</v>
      </c>
      <c r="X53" t="n">
        <v>1205.36398679921</v>
      </c>
      <c r="Y53" t="n">
        <v>1259.19181097068</v>
      </c>
      <c r="Z53" t="n">
        <v>1664.16861292084</v>
      </c>
      <c r="AA53" t="n">
        <v>1749.65330541202</v>
      </c>
      <c r="AB53" t="n">
        <v>1730.72439027192</v>
      </c>
      <c r="AC53" t="n">
        <v>1709.6437034233</v>
      </c>
      <c r="AD53" t="n">
        <v>1716.04307898773</v>
      </c>
      <c r="AE53" t="n">
        <v>1665.9</v>
      </c>
      <c r="AF53" t="n">
        <v>1527.1</v>
      </c>
    </row>
    <row r="54">
      <c r="A54" t="s">
        <v>146</v>
      </c>
      <c r="B54" t="s">
        <v>378</v>
      </c>
      <c r="C54" t="s">
        <v>203</v>
      </c>
      <c r="D54" t="s">
        <v>379</v>
      </c>
      <c r="E54" t="s">
        <v>204</v>
      </c>
      <c r="F54"/>
      <c r="G54"/>
      <c r="H54"/>
      <c r="I54"/>
      <c r="J54"/>
      <c r="K54" t="n">
        <v>103.217146310109</v>
      </c>
      <c r="L54" t="n">
        <v>113.790610078462</v>
      </c>
      <c r="M54" t="n">
        <v>164.471817971564</v>
      </c>
      <c r="N54" t="n">
        <v>194.607958531571</v>
      </c>
      <c r="O54" t="n">
        <v>277.985531842959</v>
      </c>
      <c r="P54" t="n">
        <v>317.801167914216</v>
      </c>
      <c r="Q54" t="n">
        <v>387.62501094545</v>
      </c>
      <c r="R54" t="n">
        <v>465.216048059743</v>
      </c>
      <c r="S54" t="n">
        <v>580.266307250168</v>
      </c>
      <c r="T54" t="n">
        <v>718.784144717119</v>
      </c>
      <c r="U54" t="n">
        <v>936.367275205196</v>
      </c>
      <c r="V54" t="n">
        <v>957.847478318868</v>
      </c>
      <c r="W54" t="n">
        <v>1186.0695806945</v>
      </c>
      <c r="X54" t="n">
        <v>1410.13848690391</v>
      </c>
      <c r="Y54" t="n">
        <v>1512.91659992073</v>
      </c>
      <c r="Z54" t="n">
        <v>1954.87073898317</v>
      </c>
      <c r="AA54" t="n">
        <v>2065.81416530634</v>
      </c>
      <c r="AB54" t="n">
        <v>2066.50841660534</v>
      </c>
      <c r="AC54" t="n">
        <v>2079.20833983159</v>
      </c>
      <c r="AD54" t="n">
        <v>2097.001212184</v>
      </c>
      <c r="AE54" t="n">
        <v>2045.4</v>
      </c>
      <c r="AF54" t="n">
        <v>1883.9</v>
      </c>
    </row>
    <row r="55">
      <c r="A55" t="s">
        <v>146</v>
      </c>
      <c r="B55" t="s">
        <v>380</v>
      </c>
      <c r="C55" t="s">
        <v>203</v>
      </c>
      <c r="D55" t="s">
        <v>381</v>
      </c>
      <c r="E55" t="s">
        <v>204</v>
      </c>
      <c r="F55"/>
      <c r="G55"/>
      <c r="H55"/>
      <c r="I55"/>
      <c r="J55"/>
      <c r="K55" t="n">
        <v>9.30375625765375</v>
      </c>
      <c r="L55" t="n">
        <v>9.93991053168136</v>
      </c>
      <c r="M55" t="n">
        <v>18.0873781806005</v>
      </c>
      <c r="N55" t="n">
        <v>20.5170259959051</v>
      </c>
      <c r="O55" t="n">
        <v>23.0313674169719</v>
      </c>
      <c r="P55" t="n">
        <v>26.507800234628</v>
      </c>
      <c r="Q55" t="n">
        <v>33.7473255087911</v>
      </c>
      <c r="R55" t="n">
        <v>39.2758976057944</v>
      </c>
      <c r="S55" t="n">
        <v>42.57639320292</v>
      </c>
      <c r="T55" t="n">
        <v>47.6942716697671</v>
      </c>
      <c r="U55" t="n">
        <v>112.75296263678</v>
      </c>
      <c r="V55" t="n">
        <v>125.361896092936</v>
      </c>
      <c r="W55" t="n">
        <v>167.508397931248</v>
      </c>
      <c r="X55" t="n">
        <v>209.415865143925</v>
      </c>
      <c r="Y55" t="n">
        <v>254.409048586289</v>
      </c>
      <c r="Z55" t="n">
        <v>295.969608193548</v>
      </c>
      <c r="AA55" t="n">
        <v>320.804428258232</v>
      </c>
      <c r="AB55" t="n">
        <v>338.698415227692</v>
      </c>
      <c r="AC55" t="n">
        <v>370.169911676276</v>
      </c>
      <c r="AD55" t="n">
        <v>381.160831509847</v>
      </c>
      <c r="AE55" t="n">
        <v>379.5</v>
      </c>
      <c r="AF55" t="n">
        <v>356.8</v>
      </c>
    </row>
    <row r="56">
      <c r="A56" t="s">
        <v>146</v>
      </c>
      <c r="B56" t="s">
        <v>382</v>
      </c>
      <c r="C56" t="s">
        <v>203</v>
      </c>
      <c r="D56" t="s">
        <v>383</v>
      </c>
      <c r="E56" t="s">
        <v>204</v>
      </c>
      <c r="F56" t="e">
        <v>#NUM!</v>
      </c>
      <c r="G56" t="e">
        <v>#NUM!</v>
      </c>
      <c r="H56" t="e">
        <v>#NUM!</v>
      </c>
      <c r="I56" t="e">
        <v>#NUM!</v>
      </c>
      <c r="J56" t="e">
        <v>#NUM!</v>
      </c>
      <c r="K56" t="e">
        <v>#NUM!</v>
      </c>
      <c r="L56" t="e">
        <v>#NUM!</v>
      </c>
      <c r="M56" t="e">
        <v>#NUM!</v>
      </c>
      <c r="N56" t="e">
        <v>#NUM!</v>
      </c>
      <c r="O56" t="e">
        <v>#NUM!</v>
      </c>
      <c r="P56" t="e">
        <v>#NUM!</v>
      </c>
      <c r="Q56" t="e">
        <v>#NUM!</v>
      </c>
      <c r="R56" t="e">
        <v>#NUM!</v>
      </c>
      <c r="S56" t="e">
        <v>#NUM!</v>
      </c>
      <c r="T56" t="e">
        <v>#NUM!</v>
      </c>
      <c r="U56" t="e">
        <v>#NUM!</v>
      </c>
      <c r="V56" t="e">
        <v>#NUM!</v>
      </c>
      <c r="W56" t="e">
        <v>#NUM!</v>
      </c>
      <c r="X56" t="e">
        <v>#NUM!</v>
      </c>
      <c r="Y56" t="e">
        <v>#NUM!</v>
      </c>
      <c r="Z56" t="e">
        <v>#NUM!</v>
      </c>
      <c r="AA56" t="e">
        <v>#NUM!</v>
      </c>
      <c r="AB56" t="e">
        <v>#NUM!</v>
      </c>
      <c r="AC56" t="e">
        <v>#NUM!</v>
      </c>
      <c r="AD56" t="e">
        <v>#NUM!</v>
      </c>
      <c r="AE56" t="n">
        <v>0</v>
      </c>
      <c r="AF56" t="e">
        <v>#NUM!</v>
      </c>
    </row>
    <row r="57">
      <c r="A57" t="s">
        <v>146</v>
      </c>
      <c r="B57" t="s">
        <v>384</v>
      </c>
      <c r="C57" t="s">
        <v>203</v>
      </c>
      <c r="D57" t="s">
        <v>385</v>
      </c>
      <c r="E57" t="s">
        <v>204</v>
      </c>
      <c r="F57"/>
      <c r="G57"/>
      <c r="H57"/>
      <c r="I57"/>
      <c r="J57"/>
      <c r="K57" t="n">
        <v>50849.4907920649</v>
      </c>
      <c r="L57" t="n">
        <v>47760.2428926857</v>
      </c>
      <c r="M57" t="n">
        <v>55575.6586079856</v>
      </c>
      <c r="N57" t="n">
        <v>59605.1939683437</v>
      </c>
      <c r="O57" t="n">
        <v>63320.174404704</v>
      </c>
      <c r="P57" t="n">
        <v>66407.8332398816</v>
      </c>
      <c r="Q57" t="n">
        <v>74234.0011069752</v>
      </c>
      <c r="R57" t="n">
        <v>76048.4207091612</v>
      </c>
      <c r="S57" t="n">
        <v>90512.1727773363</v>
      </c>
      <c r="T57" t="n">
        <v>110249.609625443</v>
      </c>
      <c r="U57" t="n">
        <v>121392.71252275</v>
      </c>
      <c r="V57" t="n">
        <v>127556.475432998</v>
      </c>
      <c r="W57" t="n">
        <v>135367.145219722</v>
      </c>
      <c r="X57" t="n">
        <v>142945.261310397</v>
      </c>
      <c r="Y57" t="n">
        <v>149790.670778497</v>
      </c>
      <c r="Z57" t="n">
        <v>156131.14294333</v>
      </c>
      <c r="AA57" t="n">
        <v>160120.128121366</v>
      </c>
      <c r="AB57" t="n">
        <v>162128.911754821</v>
      </c>
      <c r="AC57" t="n">
        <v>164350.537706495</v>
      </c>
      <c r="AD57" t="n">
        <v>165730.692393771</v>
      </c>
      <c r="AE57" t="n">
        <v>161630.3</v>
      </c>
      <c r="AF57" t="n">
        <v>148848.5</v>
      </c>
    </row>
    <row r="58">
      <c r="A58" t="s">
        <v>146</v>
      </c>
      <c r="B58" t="s">
        <v>386</v>
      </c>
      <c r="C58" t="s">
        <v>203</v>
      </c>
      <c r="D58" t="s">
        <v>387</v>
      </c>
      <c r="E58" t="s">
        <v>204</v>
      </c>
      <c r="F58"/>
      <c r="G58"/>
      <c r="H58"/>
      <c r="I58"/>
      <c r="J58"/>
      <c r="K58" t="n">
        <v>50849.4907920649</v>
      </c>
      <c r="L58" t="n">
        <v>47760.2428926857</v>
      </c>
      <c r="M58" t="n">
        <v>55575.6586079856</v>
      </c>
      <c r="N58" t="n">
        <v>59605.1939683437</v>
      </c>
      <c r="O58" t="n">
        <v>63320.174404704</v>
      </c>
      <c r="P58" t="n">
        <v>66407.8332398816</v>
      </c>
      <c r="Q58" t="n">
        <v>74234.0011069752</v>
      </c>
      <c r="R58" t="n">
        <v>76048.4207091612</v>
      </c>
      <c r="S58" t="n">
        <v>90512.1727773363</v>
      </c>
      <c r="T58" t="n">
        <v>110249.609625443</v>
      </c>
      <c r="U58" t="n">
        <v>121392.71252275</v>
      </c>
      <c r="V58" t="n">
        <v>127556.475432998</v>
      </c>
      <c r="W58" t="n">
        <v>135367.145219722</v>
      </c>
      <c r="X58" t="n">
        <v>142945.261310397</v>
      </c>
      <c r="Y58" t="n">
        <v>149790.670778497</v>
      </c>
      <c r="Z58" t="n">
        <v>156131.14294333</v>
      </c>
      <c r="AA58" t="n">
        <v>160120.128121366</v>
      </c>
      <c r="AB58" t="n">
        <v>162128.911754821</v>
      </c>
      <c r="AC58" t="n">
        <v>164350.537706495</v>
      </c>
      <c r="AD58" t="n">
        <v>165730.692393771</v>
      </c>
      <c r="AE58" t="n">
        <v>161630.3</v>
      </c>
      <c r="AF58" t="n">
        <v>148848.5</v>
      </c>
    </row>
    <row r="59">
      <c r="A59" t="s">
        <v>146</v>
      </c>
      <c r="B59" t="s">
        <v>388</v>
      </c>
      <c r="C59" t="s">
        <v>203</v>
      </c>
      <c r="D59" t="s">
        <v>389</v>
      </c>
      <c r="E59" t="s">
        <v>204</v>
      </c>
      <c r="F59" t="e">
        <v>#NUM!</v>
      </c>
      <c r="G59" t="e">
        <v>#NUM!</v>
      </c>
      <c r="H59" t="e">
        <v>#NUM!</v>
      </c>
      <c r="I59" t="e">
        <v>#NUM!</v>
      </c>
      <c r="J59" t="e">
        <v>#NUM!</v>
      </c>
      <c r="K59" t="e">
        <v>#NUM!</v>
      </c>
      <c r="L59" t="e">
        <v>#NUM!</v>
      </c>
      <c r="M59" t="e">
        <v>#NUM!</v>
      </c>
      <c r="N59" t="e">
        <v>#NUM!</v>
      </c>
      <c r="O59" t="e">
        <v>#NUM!</v>
      </c>
      <c r="P59" t="e">
        <v>#NUM!</v>
      </c>
      <c r="Q59" t="e">
        <v>#NUM!</v>
      </c>
      <c r="R59" t="e">
        <v>#NUM!</v>
      </c>
      <c r="S59" t="e">
        <v>#NUM!</v>
      </c>
      <c r="T59" t="e">
        <v>#NUM!</v>
      </c>
      <c r="U59" t="e">
        <v>#NUM!</v>
      </c>
      <c r="V59" t="e">
        <v>#NUM!</v>
      </c>
      <c r="W59" t="e">
        <v>#NUM!</v>
      </c>
      <c r="X59" t="e">
        <v>#NUM!</v>
      </c>
      <c r="Y59" t="e">
        <v>#NUM!</v>
      </c>
      <c r="Z59" t="e">
        <v>#NUM!</v>
      </c>
      <c r="AA59" t="e">
        <v>#NUM!</v>
      </c>
      <c r="AB59" t="e">
        <v>#NUM!</v>
      </c>
      <c r="AC59" t="e">
        <v>#NUM!</v>
      </c>
      <c r="AD59" t="e">
        <v>#NUM!</v>
      </c>
      <c r="AE59" t="n">
        <v>0</v>
      </c>
      <c r="AF59" t="e">
        <v>#NUM!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147</v>
      </c>
      <c r="B2" t="s">
        <v>197</v>
      </c>
      <c r="C2" t="s">
        <v>203</v>
      </c>
      <c r="D2" t="s">
        <v>199</v>
      </c>
      <c r="E2" t="s">
        <v>204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360.348733641614</v>
      </c>
      <c r="L2" t="n">
        <v>346.57972239834</v>
      </c>
      <c r="M2" t="n">
        <v>416.724970301493</v>
      </c>
      <c r="N2" t="n">
        <v>460.498472386016</v>
      </c>
      <c r="O2" t="n">
        <v>488.857909717782</v>
      </c>
      <c r="P2" t="n">
        <v>510.998596815919</v>
      </c>
      <c r="Q2" t="n">
        <v>562.3783181079</v>
      </c>
      <c r="R2" t="n">
        <v>575.456883645293</v>
      </c>
      <c r="S2" t="n">
        <v>653.439190371536</v>
      </c>
      <c r="T2" t="n">
        <v>771.380732492526</v>
      </c>
      <c r="U2" t="n">
        <v>845.183563070313</v>
      </c>
      <c r="V2" t="n">
        <v>914.483107395559</v>
      </c>
      <c r="W2" t="n">
        <v>988.784261826096</v>
      </c>
      <c r="X2" t="n">
        <v>1068.96410543317</v>
      </c>
      <c r="Y2" t="n">
        <v>1156.70331900871</v>
      </c>
      <c r="Z2" t="n">
        <v>1253.89916044863</v>
      </c>
      <c r="AA2" t="n">
        <v>1353.10552270578</v>
      </c>
      <c r="AB2" t="n">
        <v>1462.43378481684</v>
      </c>
      <c r="AC2" t="n">
        <v>1581.29320846273</v>
      </c>
      <c r="AD2" t="n">
        <v>1733.5888036657</v>
      </c>
      <c r="AE2" t="n">
        <v>1877.4</v>
      </c>
      <c r="AF2" t="n">
        <v>1919.8</v>
      </c>
    </row>
    <row r="3">
      <c r="A3" t="s">
        <v>147</v>
      </c>
      <c r="B3" t="s">
        <v>276</v>
      </c>
      <c r="C3" t="s">
        <v>203</v>
      </c>
      <c r="D3" t="s">
        <v>277</v>
      </c>
      <c r="E3" t="s">
        <v>204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16.9421787610617</v>
      </c>
      <c r="L3" t="n">
        <v>17.2175841332987</v>
      </c>
      <c r="M3" t="n">
        <v>21.9239186756775</v>
      </c>
      <c r="N3" t="n">
        <v>25.682936502067</v>
      </c>
      <c r="O3" t="n">
        <v>28.7817217900522</v>
      </c>
      <c r="P3" t="n">
        <v>31.9733299249014</v>
      </c>
      <c r="Q3" t="n">
        <v>37.3486911089812</v>
      </c>
      <c r="R3" t="n">
        <v>40.615638121703</v>
      </c>
      <c r="S3" t="n">
        <v>49.1043240640581</v>
      </c>
      <c r="T3" t="n">
        <v>63.4966442679471</v>
      </c>
      <c r="U3" t="n">
        <v>75.0152595685639</v>
      </c>
      <c r="V3" t="n">
        <v>85.8630544571552</v>
      </c>
      <c r="W3" t="n">
        <v>98.427661809179</v>
      </c>
      <c r="X3" t="n">
        <v>112.754499851032</v>
      </c>
      <c r="Y3" t="n">
        <v>129.040445828215</v>
      </c>
      <c r="Z3" t="n">
        <v>147.499910149689</v>
      </c>
      <c r="AA3" t="n">
        <v>169.082870065174</v>
      </c>
      <c r="AB3" t="n">
        <v>194.41385127548</v>
      </c>
      <c r="AC3" t="n">
        <v>220.288823163138</v>
      </c>
      <c r="AD3" t="n">
        <v>254.8875</v>
      </c>
      <c r="AE3" t="n">
        <v>291.3</v>
      </c>
      <c r="AF3" t="n">
        <v>314.4</v>
      </c>
    </row>
    <row r="4">
      <c r="A4" t="s">
        <v>147</v>
      </c>
      <c r="B4" t="s">
        <v>278</v>
      </c>
      <c r="C4" t="s">
        <v>203</v>
      </c>
      <c r="D4" t="s">
        <v>279</v>
      </c>
      <c r="E4" t="s">
        <v>204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1208941.32520184</v>
      </c>
      <c r="L4" t="n">
        <v>833912.633245987</v>
      </c>
      <c r="M4" t="n">
        <v>722799.33919109</v>
      </c>
      <c r="N4" t="n">
        <v>577561.019155883</v>
      </c>
      <c r="O4" t="n">
        <v>440300.455693886</v>
      </c>
      <c r="P4" t="n">
        <v>333518.308793227</v>
      </c>
      <c r="Q4" t="n">
        <v>266373.583965467</v>
      </c>
      <c r="R4" t="n">
        <v>197631.306059534</v>
      </c>
      <c r="S4" t="n">
        <v>162510.053374651</v>
      </c>
      <c r="T4" t="n">
        <v>139780.078229601</v>
      </c>
      <c r="U4" t="n">
        <v>111334.808121723</v>
      </c>
      <c r="V4" t="n">
        <v>87606.4260630887</v>
      </c>
      <c r="W4" t="n">
        <v>68904.2628724837</v>
      </c>
      <c r="X4" t="n">
        <v>54197.4191925</v>
      </c>
      <c r="Y4" t="n">
        <v>42632.7336005438</v>
      </c>
      <c r="Z4" t="n">
        <v>33547.6229006194</v>
      </c>
      <c r="AA4" t="n">
        <v>26394.5686772035</v>
      </c>
      <c r="AB4" t="n">
        <v>20803.2013163763</v>
      </c>
      <c r="AC4" t="n">
        <v>16421.6236806301</v>
      </c>
      <c r="AD4" t="n">
        <v>13144.1311996254</v>
      </c>
      <c r="AE4" t="n">
        <v>10392.2</v>
      </c>
      <c r="AF4" t="n">
        <v>7758.7</v>
      </c>
    </row>
    <row r="5">
      <c r="A5" t="s">
        <v>147</v>
      </c>
      <c r="B5" t="s">
        <v>280</v>
      </c>
      <c r="C5" t="s">
        <v>203</v>
      </c>
      <c r="D5" t="s">
        <v>281</v>
      </c>
      <c r="E5" t="s">
        <v>204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153988398.494997</v>
      </c>
      <c r="L5" t="n">
        <v>81539969.9040944</v>
      </c>
      <c r="M5" t="n">
        <v>54310417.3733425</v>
      </c>
      <c r="N5" t="n">
        <v>33405039.9460131</v>
      </c>
      <c r="O5" t="n">
        <v>19609999.2381142</v>
      </c>
      <c r="P5" t="n">
        <v>11418007.7904832</v>
      </c>
      <c r="Q5" t="n">
        <v>6993345.28596032</v>
      </c>
      <c r="R5" t="n">
        <v>3985134.47460961</v>
      </c>
      <c r="S5" t="n">
        <v>2517668.80229724</v>
      </c>
      <c r="T5" t="n">
        <v>1661895.46329716</v>
      </c>
      <c r="U5" t="n">
        <v>1018133.5884001</v>
      </c>
      <c r="V5" t="n">
        <v>616173.049576125</v>
      </c>
      <c r="W5" t="n">
        <v>372776.151080649</v>
      </c>
      <c r="X5" t="n">
        <v>225517.134420008</v>
      </c>
      <c r="Y5" t="n">
        <v>136452.147302297</v>
      </c>
      <c r="Z5" t="n">
        <v>82577.893350736</v>
      </c>
      <c r="AA5" t="n">
        <v>49954.0585059075</v>
      </c>
      <c r="AB5" t="n">
        <v>30225.8407819337</v>
      </c>
      <c r="AC5" t="n">
        <v>18305.2380009948</v>
      </c>
      <c r="AD5" t="n">
        <v>11265.0207988713</v>
      </c>
      <c r="AE5" t="n">
        <v>6847.8</v>
      </c>
      <c r="AF5" t="n">
        <v>3930.7</v>
      </c>
    </row>
    <row r="6">
      <c r="A6" t="s">
        <v>147</v>
      </c>
      <c r="B6" t="s">
        <v>282</v>
      </c>
      <c r="C6" t="s">
        <v>203</v>
      </c>
      <c r="D6" t="s">
        <v>283</v>
      </c>
      <c r="E6" t="s">
        <v>204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340.968438487199</v>
      </c>
      <c r="L6" t="n">
        <v>328.20379042798</v>
      </c>
      <c r="M6" t="n">
        <v>396.038526436375</v>
      </c>
      <c r="N6" t="n">
        <v>439.080831869204</v>
      </c>
      <c r="O6" t="n">
        <v>466.272852319477</v>
      </c>
      <c r="P6" t="n">
        <v>491.560935064337</v>
      </c>
      <c r="Q6" t="n">
        <v>545.998154255769</v>
      </c>
      <c r="R6" t="n">
        <v>561.056912328744</v>
      </c>
      <c r="S6" t="n">
        <v>636.952970839528</v>
      </c>
      <c r="T6" t="n">
        <v>756.034751498199</v>
      </c>
      <c r="U6" t="n">
        <v>832.663434615507</v>
      </c>
      <c r="V6" t="n">
        <v>905.114763027334</v>
      </c>
      <c r="W6" t="n">
        <v>984.193731296597</v>
      </c>
      <c r="X6" t="n">
        <v>1070.05883715083</v>
      </c>
      <c r="Y6" t="n">
        <v>1163.77807212679</v>
      </c>
      <c r="Z6" t="n">
        <v>1265.36805323935</v>
      </c>
      <c r="AA6" t="n">
        <v>1375.02048864018</v>
      </c>
      <c r="AB6" t="n">
        <v>1497.00255885335</v>
      </c>
      <c r="AC6" t="n">
        <v>1634.10969069748</v>
      </c>
      <c r="AD6" t="n">
        <v>1803.79898942199</v>
      </c>
      <c r="AE6" t="n">
        <v>1966.7</v>
      </c>
      <c r="AF6" t="n">
        <v>2024.8</v>
      </c>
    </row>
    <row r="7">
      <c r="A7" t="s">
        <v>147</v>
      </c>
      <c r="B7" t="s">
        <v>284</v>
      </c>
      <c r="C7" t="s">
        <v>203</v>
      </c>
      <c r="D7" t="s">
        <v>285</v>
      </c>
      <c r="E7" t="s">
        <v>204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12.2854613314806</v>
      </c>
      <c r="L7" t="n">
        <v>13.1669294090756</v>
      </c>
      <c r="M7" t="n">
        <v>16.670695207478</v>
      </c>
      <c r="N7" t="n">
        <v>19.1984378296351</v>
      </c>
      <c r="O7" t="n">
        <v>21.1693132071962</v>
      </c>
      <c r="P7" t="n">
        <v>23.4610370222872</v>
      </c>
      <c r="Q7" t="n">
        <v>27.271653219937</v>
      </c>
      <c r="R7" t="n">
        <v>29.4613480040195</v>
      </c>
      <c r="S7" t="n">
        <v>35.162107708501</v>
      </c>
      <c r="T7" t="n">
        <v>42.8669520270968</v>
      </c>
      <c r="U7" t="n">
        <v>48.5291288680592</v>
      </c>
      <c r="V7" t="n">
        <v>54.4714711784337</v>
      </c>
      <c r="W7" t="n">
        <v>60.9836271350086</v>
      </c>
      <c r="X7" t="n">
        <v>68.2795535233662</v>
      </c>
      <c r="Y7" t="n">
        <v>76.7587137648299</v>
      </c>
      <c r="Z7" t="n">
        <v>85.8479352955692</v>
      </c>
      <c r="AA7" t="n">
        <v>97.0274059730661</v>
      </c>
      <c r="AB7" t="n">
        <v>108.473793108031</v>
      </c>
      <c r="AC7" t="n">
        <v>113.543996735858</v>
      </c>
      <c r="AD7" t="n">
        <v>130.703894547633</v>
      </c>
      <c r="AE7" t="n">
        <v>148.6</v>
      </c>
      <c r="AF7" t="n">
        <v>159.6</v>
      </c>
    </row>
    <row r="8">
      <c r="A8" t="s">
        <v>147</v>
      </c>
      <c r="B8" t="s">
        <v>286</v>
      </c>
      <c r="C8" t="s">
        <v>203</v>
      </c>
      <c r="D8" t="s">
        <v>287</v>
      </c>
      <c r="E8" t="s">
        <v>204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0.9</v>
      </c>
      <c r="AD8" t="n">
        <v>0.9</v>
      </c>
      <c r="AE8" t="n">
        <v>0.9</v>
      </c>
      <c r="AF8" t="n">
        <v>0.8</v>
      </c>
    </row>
    <row r="9">
      <c r="A9" t="s">
        <v>147</v>
      </c>
      <c r="B9" t="s">
        <v>288</v>
      </c>
      <c r="C9" t="s">
        <v>203</v>
      </c>
      <c r="D9" t="s">
        <v>289</v>
      </c>
      <c r="E9" t="s">
        <v>204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130.594530979612</v>
      </c>
      <c r="M9" t="n">
        <v>122.329054335332</v>
      </c>
      <c r="N9" t="n">
        <v>105.835249256411</v>
      </c>
      <c r="O9" t="n">
        <v>87.0200938330492</v>
      </c>
      <c r="P9" t="n">
        <v>71.549854929396</v>
      </c>
      <c r="Q9" t="n">
        <v>62.2172651559966</v>
      </c>
      <c r="R9" t="n">
        <v>49.5198641037524</v>
      </c>
      <c r="S9" t="n">
        <v>49.0390887241043</v>
      </c>
      <c r="T9" t="n">
        <v>46.2928997555544</v>
      </c>
      <c r="U9" t="n">
        <v>43.8746139474285</v>
      </c>
      <c r="V9" t="n">
        <v>39.1737624530611</v>
      </c>
      <c r="W9" t="n">
        <v>35.3914681472483</v>
      </c>
      <c r="X9" t="n">
        <v>31.944247223815</v>
      </c>
      <c r="Y9" t="n">
        <v>29.5484286820289</v>
      </c>
      <c r="Z9" t="n">
        <v>26.3891627223151</v>
      </c>
      <c r="AA9" t="n">
        <v>25.1018864919583</v>
      </c>
      <c r="AB9" t="n">
        <v>23.3299886219377</v>
      </c>
      <c r="AC9" t="n">
        <v>23.4731173864895</v>
      </c>
      <c r="AD9" t="n">
        <v>21.431976744186</v>
      </c>
      <c r="AE9" t="n">
        <v>19.3</v>
      </c>
      <c r="AF9" t="n">
        <v>16.4</v>
      </c>
    </row>
    <row r="10">
      <c r="A10" t="s">
        <v>147</v>
      </c>
      <c r="B10" t="s">
        <v>290</v>
      </c>
      <c r="C10" t="s">
        <v>203</v>
      </c>
      <c r="D10" t="s">
        <v>291</v>
      </c>
      <c r="E10" t="s">
        <v>204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127.753673646089</v>
      </c>
      <c r="M10" t="n">
        <v>119.667998098868</v>
      </c>
      <c r="N10" t="n">
        <v>103.532987119245</v>
      </c>
      <c r="O10" t="n">
        <v>85.1271227424905</v>
      </c>
      <c r="P10" t="n">
        <v>69.9934120327144</v>
      </c>
      <c r="Q10" t="n">
        <v>60.8638365501865</v>
      </c>
      <c r="R10" t="n">
        <v>48.4426454174953</v>
      </c>
      <c r="S10" t="n">
        <v>47.9723284716944</v>
      </c>
      <c r="T10" t="n">
        <v>45.2858780772795</v>
      </c>
      <c r="U10" t="n">
        <v>42.9201978792127</v>
      </c>
      <c r="V10" t="n">
        <v>38.321605249297</v>
      </c>
      <c r="W10" t="n">
        <v>34.6215881907442</v>
      </c>
      <c r="X10" t="n">
        <v>31.2493555747626</v>
      </c>
      <c r="Y10" t="n">
        <v>28.9056539066555</v>
      </c>
      <c r="Z10" t="n">
        <v>25.8151122939942</v>
      </c>
      <c r="AA10" t="n">
        <v>24.5558385235554</v>
      </c>
      <c r="AB10" t="n">
        <v>25.7114073952522</v>
      </c>
      <c r="AC10" t="n">
        <v>37.2956678700361</v>
      </c>
      <c r="AD10" t="n">
        <v>34.1350180505415</v>
      </c>
      <c r="AE10" t="n">
        <v>30.9</v>
      </c>
      <c r="AF10" t="n">
        <v>26.4</v>
      </c>
    </row>
    <row r="11">
      <c r="A11" t="s">
        <v>147</v>
      </c>
      <c r="B11" t="s">
        <v>292</v>
      </c>
      <c r="C11" t="s">
        <v>203</v>
      </c>
      <c r="D11" t="s">
        <v>293</v>
      </c>
      <c r="E11" t="s">
        <v>204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2.62689635854342</v>
      </c>
      <c r="AC11" t="n">
        <v>13.8257703081233</v>
      </c>
      <c r="AD11" t="n">
        <v>12.7047619047619</v>
      </c>
      <c r="AE11" t="n">
        <v>11.6</v>
      </c>
      <c r="AF11" t="n">
        <v>10</v>
      </c>
    </row>
    <row r="12">
      <c r="A12" t="s">
        <v>147</v>
      </c>
      <c r="B12" t="s">
        <v>294</v>
      </c>
      <c r="C12" t="s">
        <v>203</v>
      </c>
      <c r="D12" t="s">
        <v>295</v>
      </c>
      <c r="E12" t="s">
        <v>204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20.3795085747839</v>
      </c>
      <c r="L12" t="n">
        <v>20.756483789452</v>
      </c>
      <c r="M12" t="n">
        <v>26.9117738322777</v>
      </c>
      <c r="N12" t="n">
        <v>31.5549554354669</v>
      </c>
      <c r="O12" t="n">
        <v>35.6842171819049</v>
      </c>
      <c r="P12" t="n">
        <v>40.5400355974571</v>
      </c>
      <c r="Q12" t="n">
        <v>48.3655078517118</v>
      </c>
      <c r="R12" t="n">
        <v>52.5676906558705</v>
      </c>
      <c r="S12" t="n">
        <v>63.7983419328009</v>
      </c>
      <c r="T12" t="n">
        <v>80.5136825489394</v>
      </c>
      <c r="U12" t="n">
        <v>93.1358401335831</v>
      </c>
      <c r="V12" t="n">
        <v>105.642652951521</v>
      </c>
      <c r="W12" t="n">
        <v>119.567086787335</v>
      </c>
      <c r="X12" t="n">
        <v>135.242149347302</v>
      </c>
      <c r="Y12" t="n">
        <v>150.56906351291</v>
      </c>
      <c r="Z12" t="n">
        <v>170.365932887967</v>
      </c>
      <c r="AA12" t="n">
        <v>191.629260889205</v>
      </c>
      <c r="AB12" t="n">
        <v>215.724921462794</v>
      </c>
      <c r="AC12" t="n">
        <v>243.600307738182</v>
      </c>
      <c r="AD12" t="n">
        <v>278.5975519499</v>
      </c>
      <c r="AE12" t="n">
        <v>314.8</v>
      </c>
      <c r="AF12" t="n">
        <v>335.9</v>
      </c>
    </row>
    <row r="13">
      <c r="A13" t="s">
        <v>147</v>
      </c>
      <c r="B13" t="s">
        <v>296</v>
      </c>
      <c r="C13" t="s">
        <v>203</v>
      </c>
      <c r="D13" t="s">
        <v>297</v>
      </c>
      <c r="E13" t="s">
        <v>204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3.73226465794212</v>
      </c>
      <c r="L13" t="n">
        <v>4.33210536170408</v>
      </c>
      <c r="M13" t="n">
        <v>6.36524117350383</v>
      </c>
      <c r="N13" t="n">
        <v>8.67241464422806</v>
      </c>
      <c r="O13" t="n">
        <v>11.0802521241429</v>
      </c>
      <c r="P13" t="n">
        <v>14.0094730698088</v>
      </c>
      <c r="Q13" t="n">
        <v>18.7343661098622</v>
      </c>
      <c r="R13" t="n">
        <v>23.2029122877463</v>
      </c>
      <c r="S13" t="n">
        <v>31.6423839927398</v>
      </c>
      <c r="T13" t="n">
        <v>45.0589122304575</v>
      </c>
      <c r="U13" t="n">
        <v>59.4230137899574</v>
      </c>
      <c r="V13" t="n">
        <v>77.435349437342</v>
      </c>
      <c r="W13" t="n">
        <v>100.89019488812</v>
      </c>
      <c r="X13" t="n">
        <v>131.414772286489</v>
      </c>
      <c r="Y13" t="n">
        <v>171.388233517064</v>
      </c>
      <c r="Z13" t="n">
        <v>222.878949733524</v>
      </c>
      <c r="AA13" t="n">
        <v>290.208031267297</v>
      </c>
      <c r="AB13" t="n">
        <v>379.838110860764</v>
      </c>
      <c r="AC13" t="n">
        <v>496.078992402652</v>
      </c>
      <c r="AD13" t="n">
        <v>652.829156338933</v>
      </c>
      <c r="AE13" t="n">
        <v>848.6</v>
      </c>
      <c r="AF13" t="n">
        <v>1041.6</v>
      </c>
    </row>
    <row r="14">
      <c r="A14" t="s">
        <v>147</v>
      </c>
      <c r="B14" t="s">
        <v>298</v>
      </c>
      <c r="C14" t="s">
        <v>203</v>
      </c>
      <c r="D14" t="s">
        <v>299</v>
      </c>
      <c r="E14" t="s">
        <v>204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22.2082179411878</v>
      </c>
      <c r="M14" t="n">
        <v>21.0978070441284</v>
      </c>
      <c r="N14" t="n">
        <v>18.2208333562927</v>
      </c>
      <c r="O14" t="n">
        <v>15.0519927725896</v>
      </c>
      <c r="P14" t="n">
        <v>12.315266813937</v>
      </c>
      <c r="Q14" t="n">
        <v>16.0633914964395</v>
      </c>
      <c r="R14" t="n">
        <v>17.4402536247058</v>
      </c>
      <c r="S14" t="n">
        <v>20.4088074331663</v>
      </c>
      <c r="T14" t="n">
        <v>20.4088074331663</v>
      </c>
      <c r="U14" t="n">
        <v>18.9081598277864</v>
      </c>
      <c r="V14" t="n">
        <v>18.0486980174325</v>
      </c>
      <c r="W14" t="n">
        <v>16.7595053019016</v>
      </c>
      <c r="X14" t="n">
        <v>15.382011715444</v>
      </c>
      <c r="Y14" t="n">
        <v>14.3426865995356</v>
      </c>
      <c r="Z14" t="n">
        <v>13.5346479178716</v>
      </c>
      <c r="AA14" t="n">
        <v>12.6323380566802</v>
      </c>
      <c r="AB14" t="n">
        <v>6.82829084144874</v>
      </c>
      <c r="AC14" t="n">
        <v>5.87550607287449</v>
      </c>
      <c r="AD14" t="n">
        <v>5.19230769230769</v>
      </c>
      <c r="AE14" t="n">
        <v>4.5</v>
      </c>
      <c r="AF14" t="n">
        <v>3.7</v>
      </c>
    </row>
    <row r="15">
      <c r="A15" t="s">
        <v>147</v>
      </c>
      <c r="B15" t="s">
        <v>300</v>
      </c>
      <c r="C15" t="s">
        <v>203</v>
      </c>
      <c r="D15" t="s">
        <v>301</v>
      </c>
      <c r="E15" t="s">
        <v>204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7.94741226218608</v>
      </c>
      <c r="M15" t="n">
        <v>7.55004164907677</v>
      </c>
      <c r="N15" t="n">
        <v>6.52049051511176</v>
      </c>
      <c r="O15" t="n">
        <v>5.38649216465754</v>
      </c>
      <c r="P15" t="n">
        <v>4.40712995290162</v>
      </c>
      <c r="Q15" t="n">
        <v>7.66457383113326</v>
      </c>
      <c r="R15" t="n">
        <v>9.49740670379556</v>
      </c>
      <c r="S15" t="n">
        <v>20.646536312599</v>
      </c>
      <c r="T15" t="n">
        <v>26.1191122026855</v>
      </c>
      <c r="U15" t="n">
        <v>25.8691685452436</v>
      </c>
      <c r="V15" t="n">
        <v>28.4053615398753</v>
      </c>
      <c r="W15" t="n">
        <v>27.7984093702198</v>
      </c>
      <c r="X15" t="n">
        <v>27.1091926089747</v>
      </c>
      <c r="Y15" t="n">
        <v>26.668392729154</v>
      </c>
      <c r="Z15" t="n">
        <v>26.3279451623988</v>
      </c>
      <c r="AA15" t="n">
        <v>25.8963395039988</v>
      </c>
      <c r="AB15" t="n">
        <v>25.8963395039988</v>
      </c>
      <c r="AC15" t="n">
        <v>26.348677311929</v>
      </c>
      <c r="AD15" t="n">
        <v>26.0220408163265</v>
      </c>
      <c r="AE15" t="n">
        <v>25.4</v>
      </c>
      <c r="AF15" t="n">
        <v>23.4</v>
      </c>
    </row>
    <row r="16">
      <c r="A16" t="s">
        <v>147</v>
      </c>
      <c r="B16" t="s">
        <v>302</v>
      </c>
      <c r="C16" t="s">
        <v>203</v>
      </c>
      <c r="D16" t="s">
        <v>303</v>
      </c>
      <c r="E16" t="s">
        <v>204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1.25995759612647</v>
      </c>
      <c r="R16" t="n">
        <v>2.17629039330935</v>
      </c>
      <c r="S16" t="n">
        <v>9.39761760747219</v>
      </c>
      <c r="T16" t="n">
        <v>13.451491869519</v>
      </c>
      <c r="U16" t="n">
        <v>13.7376938241896</v>
      </c>
      <c r="V16" t="n">
        <v>16.0273094615546</v>
      </c>
      <c r="W16" t="n">
        <v>16.0273094615546</v>
      </c>
      <c r="X16" t="n">
        <v>16.0273094615546</v>
      </c>
      <c r="Y16" t="n">
        <v>16.1204914933078</v>
      </c>
      <c r="Z16" t="n">
        <v>16.218787173145</v>
      </c>
      <c r="AA16" t="n">
        <v>16.3147563280157</v>
      </c>
      <c r="AB16" t="n">
        <v>19.6363234846177</v>
      </c>
      <c r="AC16" t="n">
        <v>20.692039800995</v>
      </c>
      <c r="AD16" t="n">
        <v>20.9</v>
      </c>
      <c r="AE16" t="n">
        <v>20.9</v>
      </c>
      <c r="AF16" t="n">
        <v>19.7</v>
      </c>
    </row>
    <row r="17">
      <c r="A17" t="s">
        <v>147</v>
      </c>
      <c r="B17" t="s">
        <v>304</v>
      </c>
      <c r="C17" t="s">
        <v>203</v>
      </c>
      <c r="D17" t="s">
        <v>305</v>
      </c>
      <c r="E17" t="s">
        <v>204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11.4509790849851</v>
      </c>
      <c r="L17" t="n">
        <v>11.7975894384544</v>
      </c>
      <c r="M17" t="n">
        <v>15.9228044536824</v>
      </c>
      <c r="N17" t="n">
        <v>18.6604613532467</v>
      </c>
      <c r="O17" t="n">
        <v>20.9125859993282</v>
      </c>
      <c r="P17" t="n">
        <v>23.5101889407389</v>
      </c>
      <c r="Q17" t="n">
        <v>27.666131819247</v>
      </c>
      <c r="R17" t="n">
        <v>29.6376416043304</v>
      </c>
      <c r="S17" t="n">
        <v>35.3718331971623</v>
      </c>
      <c r="T17" t="n">
        <v>46.4269826402675</v>
      </c>
      <c r="U17" t="n">
        <v>52.7736925014873</v>
      </c>
      <c r="V17" t="n">
        <v>59.3820384761003</v>
      </c>
      <c r="W17" t="n">
        <v>66.6212519073443</v>
      </c>
      <c r="X17" t="n">
        <v>74.7394368798435</v>
      </c>
      <c r="Y17" t="n">
        <v>83.9634775746561</v>
      </c>
      <c r="Z17" t="n">
        <v>94.5985276549625</v>
      </c>
      <c r="AA17" t="n">
        <v>106.223374909067</v>
      </c>
      <c r="AB17" t="n">
        <v>118.95059955255</v>
      </c>
      <c r="AC17" t="n">
        <v>134.523932411674</v>
      </c>
      <c r="AD17" t="n">
        <v>152.942857142857</v>
      </c>
      <c r="AE17" t="n">
        <v>171.7</v>
      </c>
      <c r="AF17" t="n">
        <v>182.1</v>
      </c>
    </row>
    <row r="18">
      <c r="A18" t="s">
        <v>147</v>
      </c>
      <c r="B18" t="s">
        <v>306</v>
      </c>
      <c r="C18" t="s">
        <v>203</v>
      </c>
      <c r="D18" t="s">
        <v>307</v>
      </c>
      <c r="E18" t="s">
        <v>204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2.40925293674261</v>
      </c>
      <c r="R18" t="n">
        <v>4.16143689073724</v>
      </c>
      <c r="S18" t="n">
        <v>3.972280668431</v>
      </c>
      <c r="T18" t="n">
        <v>4.13779236294896</v>
      </c>
      <c r="U18" t="n">
        <v>3.97864650283554</v>
      </c>
      <c r="V18" t="n">
        <v>3.97864650283554</v>
      </c>
      <c r="W18" t="n">
        <v>3.83128922495274</v>
      </c>
      <c r="X18" t="n">
        <v>3.69445746691872</v>
      </c>
      <c r="Y18" t="n">
        <v>3.56706238185255</v>
      </c>
      <c r="Z18" t="n">
        <v>3.18487712665407</v>
      </c>
      <c r="AA18" t="n">
        <v>3.06691871455577</v>
      </c>
      <c r="AB18" t="n">
        <v>2.94896030245747</v>
      </c>
      <c r="AC18" t="n">
        <v>2.82608695652174</v>
      </c>
      <c r="AD18" t="n">
        <v>2.70833333333333</v>
      </c>
      <c r="AE18" t="n">
        <v>2.6</v>
      </c>
      <c r="AF18" t="n">
        <v>2.4</v>
      </c>
    </row>
    <row r="19">
      <c r="A19" t="s">
        <v>147</v>
      </c>
      <c r="B19" t="s">
        <v>308</v>
      </c>
      <c r="C19" t="s">
        <v>203</v>
      </c>
      <c r="D19" t="s">
        <v>309</v>
      </c>
      <c r="E19" t="s">
        <v>204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12.9116868617148</v>
      </c>
      <c r="M19" t="n">
        <v>12.0509077376005</v>
      </c>
      <c r="N19" t="n">
        <v>17.893772095225</v>
      </c>
      <c r="O19" t="n">
        <v>15.574209045844</v>
      </c>
      <c r="P19" t="n">
        <v>21.3424346183788</v>
      </c>
      <c r="Q19" t="n">
        <v>27.2984628839728</v>
      </c>
      <c r="R19" t="n">
        <v>35.223823076094</v>
      </c>
      <c r="S19" t="n">
        <v>35.9576527235126</v>
      </c>
      <c r="T19" t="n">
        <v>45.7061719063316</v>
      </c>
      <c r="U19" t="n">
        <v>44.146234298607</v>
      </c>
      <c r="V19" t="n">
        <v>42.6080379815823</v>
      </c>
      <c r="W19" t="n">
        <v>40.736739016175</v>
      </c>
      <c r="X19" t="n">
        <v>39.006093240978</v>
      </c>
      <c r="Y19" t="n">
        <v>38.3809955928854</v>
      </c>
      <c r="Z19" t="n">
        <v>38.0034776034472</v>
      </c>
      <c r="AA19" t="n">
        <v>36.2440573440284</v>
      </c>
      <c r="AB19" t="n">
        <v>37.046932032029</v>
      </c>
      <c r="AC19" t="n">
        <v>36.690711531721</v>
      </c>
      <c r="AD19" t="n">
        <v>35.6777777777778</v>
      </c>
      <c r="AE19" t="n">
        <v>34.2</v>
      </c>
      <c r="AF19" t="n">
        <v>31</v>
      </c>
    </row>
    <row r="20">
      <c r="A20" t="s">
        <v>147</v>
      </c>
      <c r="B20" t="s">
        <v>310</v>
      </c>
      <c r="C20" t="s">
        <v>203</v>
      </c>
      <c r="D20" t="s">
        <v>311</v>
      </c>
      <c r="E20" t="s">
        <v>204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1748.42978800435</v>
      </c>
      <c r="L20" t="n">
        <v>1514.03218246815</v>
      </c>
      <c r="M20" t="n">
        <v>1660.20234729999</v>
      </c>
      <c r="N20" t="n">
        <v>1674.810996964</v>
      </c>
      <c r="O20" t="n">
        <v>1610.19805300248</v>
      </c>
      <c r="P20" t="n">
        <v>1534.30450958763</v>
      </c>
      <c r="Q20" t="n">
        <v>1537.35316377937</v>
      </c>
      <c r="R20" t="n">
        <v>1428.82797862203</v>
      </c>
      <c r="S20" t="n">
        <v>1515.86142530561</v>
      </c>
      <c r="T20" t="n">
        <v>1635.51216475009</v>
      </c>
      <c r="U20" t="n">
        <v>1634.86362380841</v>
      </c>
      <c r="V20" t="n">
        <v>1615.95771458604</v>
      </c>
      <c r="W20" t="n">
        <v>1596.46899256267</v>
      </c>
      <c r="X20" t="n">
        <v>1577.14775073173</v>
      </c>
      <c r="Y20" t="n">
        <v>1557.45214966079</v>
      </c>
      <c r="Z20" t="n">
        <v>1537.22819220032</v>
      </c>
      <c r="AA20" t="n">
        <v>1518.07301313519</v>
      </c>
      <c r="AB20" t="n">
        <v>1499.11484207494</v>
      </c>
      <c r="AC20" t="n">
        <v>1498.46554668387</v>
      </c>
      <c r="AD20" t="n">
        <v>1501.63914120562</v>
      </c>
      <c r="AE20" t="n">
        <v>1486.5</v>
      </c>
      <c r="AF20" t="n">
        <v>1389.5</v>
      </c>
    </row>
    <row r="21">
      <c r="A21" t="s">
        <v>147</v>
      </c>
      <c r="B21" t="s">
        <v>312</v>
      </c>
      <c r="C21" t="s">
        <v>203</v>
      </c>
      <c r="D21" t="s">
        <v>313</v>
      </c>
      <c r="E21" t="s">
        <v>204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1750.17461784965</v>
      </c>
      <c r="L21" t="n">
        <v>1515.54309732263</v>
      </c>
      <c r="M21" t="n">
        <v>1664.1225838214</v>
      </c>
      <c r="N21" t="n">
        <v>1713.65472158043</v>
      </c>
      <c r="O21" t="n">
        <v>1647.7210008953</v>
      </c>
      <c r="P21" t="n">
        <v>1570.23398514734</v>
      </c>
      <c r="Q21" t="n">
        <v>1573.56457424531</v>
      </c>
      <c r="R21" t="n">
        <v>1466.03853268073</v>
      </c>
      <c r="S21" t="n">
        <v>1554.13513117804</v>
      </c>
      <c r="T21" t="n">
        <v>1676.64385220815</v>
      </c>
      <c r="U21" t="n">
        <v>1675.88612046527</v>
      </c>
      <c r="V21" t="n">
        <v>1656.40035993135</v>
      </c>
      <c r="W21" t="n">
        <v>1636.24350397517</v>
      </c>
      <c r="X21" t="n">
        <v>1616.2830411838</v>
      </c>
      <c r="Y21" t="n">
        <v>1595.66539882304</v>
      </c>
      <c r="Z21" t="n">
        <v>1575.83637532433</v>
      </c>
      <c r="AA21" t="n">
        <v>1555.46091136313</v>
      </c>
      <c r="AB21" t="n">
        <v>1535.47488217329</v>
      </c>
      <c r="AC21" t="n">
        <v>1534.39218940628</v>
      </c>
      <c r="AD21" t="n">
        <v>1537.3551536341</v>
      </c>
      <c r="AE21" t="n">
        <v>1521.6</v>
      </c>
      <c r="AF21" t="n">
        <v>1422.1</v>
      </c>
    </row>
    <row r="22">
      <c r="A22" t="s">
        <v>147</v>
      </c>
      <c r="B22" t="s">
        <v>314</v>
      </c>
      <c r="C22" t="s">
        <v>203</v>
      </c>
      <c r="D22" t="s">
        <v>315</v>
      </c>
      <c r="E22" t="s">
        <v>204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2.2952287716237</v>
      </c>
      <c r="N22" t="n">
        <v>38.6909992930853</v>
      </c>
      <c r="O22" t="n">
        <v>37.3849740004917</v>
      </c>
      <c r="P22" t="n">
        <v>35.8075489371798</v>
      </c>
      <c r="Q22" t="n">
        <v>36.1022612741113</v>
      </c>
      <c r="R22" t="n">
        <v>37.3616424813478</v>
      </c>
      <c r="S22" t="n">
        <v>38.3513548649596</v>
      </c>
      <c r="T22" t="n">
        <v>41.204878292412</v>
      </c>
      <c r="U22" t="n">
        <v>41.0897808670142</v>
      </c>
      <c r="V22" t="n">
        <v>40.5027839974854</v>
      </c>
      <c r="W22" t="n">
        <v>39.823966388589</v>
      </c>
      <c r="X22" t="n">
        <v>39.1764222196689</v>
      </c>
      <c r="Y22" t="n">
        <v>38.2336740913881</v>
      </c>
      <c r="Z22" t="n">
        <v>38.6669168572962</v>
      </c>
      <c r="AA22" t="n">
        <v>37.4195969586737</v>
      </c>
      <c r="AB22" t="n">
        <v>36.3743568201633</v>
      </c>
      <c r="AC22" t="n">
        <v>35.9321153998573</v>
      </c>
      <c r="AD22" t="n">
        <v>35.7175953079179</v>
      </c>
      <c r="AE22" t="n">
        <v>35.1</v>
      </c>
      <c r="AF22" t="n">
        <v>32.6</v>
      </c>
    </row>
    <row r="23">
      <c r="A23" t="s">
        <v>147</v>
      </c>
      <c r="B23" t="s">
        <v>316</v>
      </c>
      <c r="C23" t="s">
        <v>203</v>
      </c>
      <c r="D23" t="s">
        <v>317</v>
      </c>
      <c r="E23" t="s">
        <v>204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44859.3249241274</v>
      </c>
      <c r="L23" t="n">
        <v>41593.6406109235</v>
      </c>
      <c r="M23" t="n">
        <v>48732.2947854024</v>
      </c>
      <c r="N23" t="n">
        <v>52368.2210011318</v>
      </c>
      <c r="O23" t="n">
        <v>53947.233945932</v>
      </c>
      <c r="P23" t="n">
        <v>55336.0598977492</v>
      </c>
      <c r="Q23" t="n">
        <v>60170.7496525858</v>
      </c>
      <c r="R23" t="n">
        <v>60437.818306457</v>
      </c>
      <c r="S23" t="n">
        <v>67754.3546447767</v>
      </c>
      <c r="T23" t="n">
        <v>78913.1476308056</v>
      </c>
      <c r="U23" t="n">
        <v>84314.303581705</v>
      </c>
      <c r="V23" t="n">
        <v>88725.2878939633</v>
      </c>
      <c r="W23" t="n">
        <v>93207.6876555012</v>
      </c>
      <c r="X23" t="n">
        <v>97825.671368861</v>
      </c>
      <c r="Y23" t="n">
        <v>102585.545576153</v>
      </c>
      <c r="Z23" t="n">
        <v>107414.803686188</v>
      </c>
      <c r="AA23" t="n">
        <v>113445.547651404</v>
      </c>
      <c r="AB23" t="n">
        <v>119511.908009073</v>
      </c>
      <c r="AC23" t="n">
        <v>126003.601137926</v>
      </c>
      <c r="AD23" t="n">
        <v>132632.139757446</v>
      </c>
      <c r="AE23" t="n">
        <v>137904.5</v>
      </c>
      <c r="AF23" t="n">
        <v>135397.4</v>
      </c>
    </row>
    <row r="24">
      <c r="A24" t="s">
        <v>147</v>
      </c>
      <c r="B24" t="s">
        <v>318</v>
      </c>
      <c r="C24" t="s">
        <v>203</v>
      </c>
      <c r="D24" t="s">
        <v>319</v>
      </c>
      <c r="E24" t="s">
        <v>204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8462129.61994509</v>
      </c>
      <c r="L24" t="n">
        <v>5202640.88575969</v>
      </c>
      <c r="M24" t="n">
        <v>4031464.36218519</v>
      </c>
      <c r="N24" t="n">
        <v>2900511.0306061</v>
      </c>
      <c r="O24" t="n">
        <v>1993855.00830347</v>
      </c>
      <c r="P24" t="n">
        <v>1358105.75787261</v>
      </c>
      <c r="Q24" t="n">
        <v>985759.820198684</v>
      </c>
      <c r="R24" t="n">
        <v>668107.167103833</v>
      </c>
      <c r="S24" t="n">
        <v>508526.875520722</v>
      </c>
      <c r="T24" t="n">
        <v>399994.815138307</v>
      </c>
      <c r="U24" t="n">
        <v>291535.756580594</v>
      </c>
      <c r="V24" t="n">
        <v>210351.003240198</v>
      </c>
      <c r="W24" t="n">
        <v>151504.260628911</v>
      </c>
      <c r="X24" t="n">
        <v>109182.830783467</v>
      </c>
      <c r="Y24" t="n">
        <v>78801.5445935668</v>
      </c>
      <c r="Z24" t="n">
        <v>56791.4207878094</v>
      </c>
      <c r="AA24" t="n">
        <v>40954.8389585035</v>
      </c>
      <c r="AB24" t="n">
        <v>29755.4488820607</v>
      </c>
      <c r="AC24" t="n">
        <v>21573.2560340389</v>
      </c>
      <c r="AD24" t="n">
        <v>15854.7568438784</v>
      </c>
      <c r="AE24" t="n">
        <v>11510</v>
      </c>
      <c r="AF24" t="n">
        <v>7890.3</v>
      </c>
    </row>
    <row r="25">
      <c r="A25" t="s">
        <v>147</v>
      </c>
      <c r="B25" t="s">
        <v>320</v>
      </c>
      <c r="C25" t="s">
        <v>203</v>
      </c>
      <c r="D25" t="s">
        <v>321</v>
      </c>
      <c r="E25" t="s">
        <v>204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27.7722122442372</v>
      </c>
      <c r="M25" t="n">
        <v>30.9921788812502</v>
      </c>
      <c r="N25" t="n">
        <v>30.9921788812502</v>
      </c>
      <c r="O25" t="n">
        <v>32.5417878253127</v>
      </c>
      <c r="P25" t="n">
        <v>35.524785042633</v>
      </c>
      <c r="Q25" t="n">
        <v>41.9838368685663</v>
      </c>
      <c r="R25" t="n">
        <v>43.6142771353067</v>
      </c>
      <c r="S25" t="n">
        <v>56.2928460699889</v>
      </c>
      <c r="T25" t="n">
        <v>68.2700473614759</v>
      </c>
      <c r="U25" t="n">
        <v>73.5554703830095</v>
      </c>
      <c r="V25" t="n">
        <v>74.4328716201826</v>
      </c>
      <c r="W25" t="n">
        <v>73.6073684229163</v>
      </c>
      <c r="X25" t="n">
        <v>72.8379534219798</v>
      </c>
      <c r="Y25" t="n">
        <v>70.6491668416866</v>
      </c>
      <c r="Z25" t="n">
        <v>68.9290132142369</v>
      </c>
      <c r="AA25" t="n">
        <v>65.459432012178</v>
      </c>
      <c r="AB25" t="n">
        <v>65.8009594835459</v>
      </c>
      <c r="AC25" t="n">
        <v>69.357768104278</v>
      </c>
      <c r="AD25" t="n">
        <v>67.3343648208469</v>
      </c>
      <c r="AE25" t="n">
        <v>64.7</v>
      </c>
      <c r="AF25" t="n">
        <v>58.7</v>
      </c>
    </row>
    <row r="26">
      <c r="A26" t="s">
        <v>147</v>
      </c>
      <c r="B26" t="s">
        <v>322</v>
      </c>
      <c r="C26" t="s">
        <v>203</v>
      </c>
      <c r="D26" t="s">
        <v>323</v>
      </c>
      <c r="E26" t="s">
        <v>204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6424.02984142759</v>
      </c>
      <c r="L26" t="n">
        <v>5432.16098385177</v>
      </c>
      <c r="M26" t="n">
        <v>5796.69701817102</v>
      </c>
      <c r="N26" t="n">
        <v>5737.24371542055</v>
      </c>
      <c r="O26" t="n">
        <v>5393.24205073325</v>
      </c>
      <c r="P26" t="n">
        <v>5038.49964970354</v>
      </c>
      <c r="Q26" t="n">
        <v>5033.73449656565</v>
      </c>
      <c r="R26" t="n">
        <v>4671.71190018092</v>
      </c>
      <c r="S26" t="n">
        <v>4854.58065186948</v>
      </c>
      <c r="T26" t="n">
        <v>5129.46869517382</v>
      </c>
      <c r="U26" t="n">
        <v>5000.9449613355</v>
      </c>
      <c r="V26" t="n">
        <v>4832.94920761023</v>
      </c>
      <c r="W26" t="n">
        <v>4644.48268744124</v>
      </c>
      <c r="X26" t="n">
        <v>4463.64657901072</v>
      </c>
      <c r="Y26" t="n">
        <v>4286.65656449208</v>
      </c>
      <c r="Z26" t="n">
        <v>4108.66688788247</v>
      </c>
      <c r="AA26" t="n">
        <v>3948.05736132213</v>
      </c>
      <c r="AB26" t="n">
        <v>3817.43145517973</v>
      </c>
      <c r="AC26" t="n">
        <v>3677.63587031016</v>
      </c>
      <c r="AD26" t="n">
        <v>3584.00582944602</v>
      </c>
      <c r="AE26" t="n">
        <v>3450.1</v>
      </c>
      <c r="AF26" t="n">
        <v>3136.2</v>
      </c>
    </row>
    <row r="27">
      <c r="A27" t="s">
        <v>147</v>
      </c>
      <c r="B27" t="s">
        <v>324</v>
      </c>
      <c r="C27" t="s">
        <v>203</v>
      </c>
      <c r="D27" t="s">
        <v>325</v>
      </c>
      <c r="E27" t="s">
        <v>204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131644668.315806</v>
      </c>
      <c r="L27" t="n">
        <v>69643571.2974207</v>
      </c>
      <c r="M27" t="n">
        <v>46402718.9751332</v>
      </c>
      <c r="N27" t="n">
        <v>28683423.1092003</v>
      </c>
      <c r="O27" t="n">
        <v>16963046.7255214</v>
      </c>
      <c r="P27" t="n">
        <v>9908110.14265694</v>
      </c>
      <c r="Q27" t="n">
        <v>6137381.13653542</v>
      </c>
      <c r="R27" t="n">
        <v>3546481.79726697</v>
      </c>
      <c r="S27" t="n">
        <v>2293536.56579225</v>
      </c>
      <c r="T27" t="n">
        <v>1541220.16449384</v>
      </c>
      <c r="U27" t="n">
        <v>960893.123868734</v>
      </c>
      <c r="V27" t="n">
        <v>592316.260966458</v>
      </c>
      <c r="W27" t="n">
        <v>364960.349525634</v>
      </c>
      <c r="X27" t="n">
        <v>224960.28959792</v>
      </c>
      <c r="Y27" t="n">
        <v>139043.716572414</v>
      </c>
      <c r="Z27" t="n">
        <v>85831.6462978134</v>
      </c>
      <c r="AA27" t="n">
        <v>52966.5375580393</v>
      </c>
      <c r="AB27" t="n">
        <v>32925.6736433261</v>
      </c>
      <c r="AC27" t="n">
        <v>20417.8012781774</v>
      </c>
      <c r="AD27" t="n">
        <v>12855.3945831467</v>
      </c>
      <c r="AE27" t="n">
        <v>7995.2</v>
      </c>
      <c r="AF27" t="n">
        <v>4695.4</v>
      </c>
    </row>
    <row r="28">
      <c r="A28" t="s">
        <v>147</v>
      </c>
      <c r="B28" t="s">
        <v>326</v>
      </c>
      <c r="C28" t="s">
        <v>203</v>
      </c>
      <c r="D28" t="s">
        <v>327</v>
      </c>
      <c r="E28" t="s">
        <v>204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19283.931139021</v>
      </c>
      <c r="L28" t="n">
        <v>14911.1779152875</v>
      </c>
      <c r="M28" t="n">
        <v>14331.2316507272</v>
      </c>
      <c r="N28" t="n">
        <v>12665.4949951706</v>
      </c>
      <c r="O28" t="n">
        <v>10722.9658365745</v>
      </c>
      <c r="P28" t="n">
        <v>9000.01856045149</v>
      </c>
      <c r="Q28" t="n">
        <v>7997.7618126157</v>
      </c>
      <c r="R28" t="n">
        <v>6586.60701910685</v>
      </c>
      <c r="S28" t="n">
        <v>6015.91597555747</v>
      </c>
      <c r="T28" t="n">
        <v>5762.56042292021</v>
      </c>
      <c r="U28" t="n">
        <v>5135.06965595951</v>
      </c>
      <c r="V28" t="n">
        <v>4486.26385710832</v>
      </c>
      <c r="W28" t="n">
        <v>3915.11601431368</v>
      </c>
      <c r="X28" t="n">
        <v>3417.00619761358</v>
      </c>
      <c r="Y28" t="n">
        <v>2977.83351005578</v>
      </c>
      <c r="Z28" t="n">
        <v>2603.78648268667</v>
      </c>
      <c r="AA28" t="n">
        <v>2280.89429973296</v>
      </c>
      <c r="AB28" t="n">
        <v>2030.5283423013</v>
      </c>
      <c r="AC28" t="n">
        <v>1794.37007566738</v>
      </c>
      <c r="AD28" t="n">
        <v>1596.88874846122</v>
      </c>
      <c r="AE28" t="n">
        <v>1403.7</v>
      </c>
      <c r="AF28" t="n">
        <v>1165.2</v>
      </c>
    </row>
    <row r="29">
      <c r="A29" t="s">
        <v>147</v>
      </c>
      <c r="B29" t="s">
        <v>328</v>
      </c>
      <c r="C29" t="s">
        <v>203</v>
      </c>
      <c r="D29" t="s">
        <v>329</v>
      </c>
      <c r="E29" t="s">
        <v>204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34.8048412216999</v>
      </c>
      <c r="L29" t="n">
        <v>35.4488332375766</v>
      </c>
      <c r="M29" t="n">
        <v>45.3720984716448</v>
      </c>
      <c r="N29" t="n">
        <v>53.3561278658508</v>
      </c>
      <c r="O29" t="n">
        <v>60.2480159552161</v>
      </c>
      <c r="P29" t="n">
        <v>67.1985725332602</v>
      </c>
      <c r="Q29" t="n">
        <v>79.2245902736247</v>
      </c>
      <c r="R29" t="n">
        <v>86.2325151098586</v>
      </c>
      <c r="S29" t="n">
        <v>104.272790237444</v>
      </c>
      <c r="T29" t="n">
        <v>132.136958325036</v>
      </c>
      <c r="U29" t="n">
        <v>153.801352554445</v>
      </c>
      <c r="V29" t="n">
        <v>176.109645550762</v>
      </c>
      <c r="W29" t="n">
        <v>201.143958461026</v>
      </c>
      <c r="X29" t="n">
        <v>229.707797164617</v>
      </c>
      <c r="Y29" t="n">
        <v>262.491155685913</v>
      </c>
      <c r="Z29" t="n">
        <v>300.617111222475</v>
      </c>
      <c r="AA29" t="n">
        <v>343.862380008013</v>
      </c>
      <c r="AB29" t="n">
        <v>405.301767790424</v>
      </c>
      <c r="AC29" t="n">
        <v>462.191241809324</v>
      </c>
      <c r="AD29" t="n">
        <v>531.909031972889</v>
      </c>
      <c r="AE29" t="n">
        <v>604.6</v>
      </c>
      <c r="AF29" t="n">
        <v>649</v>
      </c>
    </row>
    <row r="30">
      <c r="A30" t="s">
        <v>147</v>
      </c>
      <c r="B30" t="s">
        <v>330</v>
      </c>
      <c r="C30" t="s">
        <v>203</v>
      </c>
      <c r="D30" t="s">
        <v>331</v>
      </c>
      <c r="E30" t="s">
        <v>204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28.4918532570505</v>
      </c>
      <c r="M30" t="n">
        <v>25.6426679313454</v>
      </c>
      <c r="N30" t="n">
        <v>23.3115163012231</v>
      </c>
      <c r="O30" t="n">
        <v>19.0730587919098</v>
      </c>
      <c r="P30" t="n">
        <v>15.6052299206535</v>
      </c>
      <c r="Q30" t="n">
        <v>13.0043582672112</v>
      </c>
      <c r="R30" t="n">
        <v>10.836965222676</v>
      </c>
      <c r="S30" t="n">
        <v>9.1697398038028</v>
      </c>
      <c r="T30" t="n">
        <v>8.51475838924546</v>
      </c>
      <c r="U30" t="n">
        <v>7.3794572706794</v>
      </c>
      <c r="V30" t="n">
        <v>6.39552963458881</v>
      </c>
      <c r="W30" t="n">
        <v>5.54279234997697</v>
      </c>
      <c r="X30" t="n">
        <v>4.50351878435629</v>
      </c>
      <c r="Y30" t="n">
        <v>3.65910901228948</v>
      </c>
      <c r="Z30" t="n">
        <v>3.17122781065089</v>
      </c>
      <c r="AA30" t="n">
        <v>2.74839743589743</v>
      </c>
      <c r="AB30" t="n">
        <v>2.38194444444444</v>
      </c>
      <c r="AC30" t="n">
        <v>2.04166666666667</v>
      </c>
      <c r="AD30" t="n">
        <v>1.75</v>
      </c>
      <c r="AE30" t="n">
        <v>1.5</v>
      </c>
      <c r="AF30" t="n">
        <v>1.2</v>
      </c>
    </row>
    <row r="31">
      <c r="A31" t="s">
        <v>147</v>
      </c>
      <c r="B31" t="s">
        <v>332</v>
      </c>
      <c r="C31" t="s">
        <v>203</v>
      </c>
      <c r="D31" t="s">
        <v>333</v>
      </c>
      <c r="E31" t="s">
        <v>204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2.48453333333333</v>
      </c>
      <c r="S31" t="n">
        <v>2.25866666666667</v>
      </c>
      <c r="T31" t="n">
        <v>2.25866666666667</v>
      </c>
      <c r="U31" t="n">
        <v>2.25866666666667</v>
      </c>
      <c r="V31" t="n">
        <v>2.07044444444444</v>
      </c>
      <c r="W31" t="n">
        <v>2.07044444444444</v>
      </c>
      <c r="X31" t="n">
        <v>2.07044444444444</v>
      </c>
      <c r="Y31" t="n">
        <v>1.92255555555556</v>
      </c>
      <c r="Z31" t="n">
        <v>1.47888888888889</v>
      </c>
      <c r="AA31" t="n">
        <v>1.88222222222222</v>
      </c>
      <c r="AB31" t="n">
        <v>1.34444444444444</v>
      </c>
      <c r="AC31" t="n">
        <v>1.21</v>
      </c>
      <c r="AD31" t="n">
        <v>1.21</v>
      </c>
      <c r="AE31" t="n">
        <v>1.1</v>
      </c>
      <c r="AF31" t="n">
        <v>1</v>
      </c>
    </row>
    <row r="32">
      <c r="A32" t="s">
        <v>147</v>
      </c>
      <c r="B32" t="s">
        <v>334</v>
      </c>
      <c r="C32" t="s">
        <v>203</v>
      </c>
      <c r="D32" t="s">
        <v>335</v>
      </c>
      <c r="E32" t="s">
        <v>204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1884239.12335441</v>
      </c>
      <c r="L32" t="n">
        <v>1128159.7755763</v>
      </c>
      <c r="M32" t="n">
        <v>835050.760100824</v>
      </c>
      <c r="N32" t="n">
        <v>568644.368992433</v>
      </c>
      <c r="O32" t="n">
        <v>369896.774410615</v>
      </c>
      <c r="P32" t="n">
        <v>239038.564675793</v>
      </c>
      <c r="Q32" t="n">
        <v>163737.623807488</v>
      </c>
      <c r="R32" t="n">
        <v>104015.538868033</v>
      </c>
      <c r="S32" t="n">
        <v>73222.3774132499</v>
      </c>
      <c r="T32" t="n">
        <v>53939.5122856968</v>
      </c>
      <c r="U32" t="n">
        <v>37387.0715668906</v>
      </c>
      <c r="V32" t="n">
        <v>25335.2169657456</v>
      </c>
      <c r="W32" t="n">
        <v>17161.8610979749</v>
      </c>
      <c r="X32" t="n">
        <v>11627.7007367226</v>
      </c>
      <c r="Y32" t="n">
        <v>7844.71590799434</v>
      </c>
      <c r="Z32" t="n">
        <v>5309.84876688929</v>
      </c>
      <c r="AA32" t="n">
        <v>3606.32350757169</v>
      </c>
      <c r="AB32" t="n">
        <v>2449.24796276524</v>
      </c>
      <c r="AC32" t="n">
        <v>1684.49554230757</v>
      </c>
      <c r="AD32" t="n">
        <v>1165.18157453936</v>
      </c>
      <c r="AE32" t="n">
        <v>796.2</v>
      </c>
      <c r="AF32" t="n">
        <v>513.7</v>
      </c>
    </row>
    <row r="33">
      <c r="A33" t="s">
        <v>147</v>
      </c>
      <c r="B33" t="s">
        <v>336</v>
      </c>
      <c r="C33" t="s">
        <v>203</v>
      </c>
      <c r="D33" t="s">
        <v>337</v>
      </c>
      <c r="E33" t="s">
        <v>204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0.3</v>
      </c>
      <c r="AD33" t="n">
        <v>0.3</v>
      </c>
      <c r="AE33" t="n">
        <v>0.3</v>
      </c>
      <c r="AF33" t="n">
        <v>0.3</v>
      </c>
    </row>
    <row r="34">
      <c r="A34" t="s">
        <v>147</v>
      </c>
      <c r="B34" t="s">
        <v>338</v>
      </c>
      <c r="C34" t="s">
        <v>203</v>
      </c>
      <c r="D34" t="s">
        <v>339</v>
      </c>
      <c r="E34" t="s">
        <v>204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263174985.90262</v>
      </c>
      <c r="L34" t="n">
        <v>132078741.89344</v>
      </c>
      <c r="M34" t="n">
        <v>83521425.2730119</v>
      </c>
      <c r="N34" t="n">
        <v>49299875.0007513</v>
      </c>
      <c r="O34" t="n">
        <v>27634772.625687</v>
      </c>
      <c r="P34" t="n">
        <v>15427984.2952583</v>
      </c>
      <c r="Q34" t="n">
        <v>9234194.20463795</v>
      </c>
      <c r="R34" t="n">
        <v>5140179.6220055</v>
      </c>
      <c r="S34" t="n">
        <v>3236583.1009655</v>
      </c>
      <c r="T34" t="n">
        <v>2115059.44482603</v>
      </c>
      <c r="U34" t="n">
        <v>1278455.97673057</v>
      </c>
      <c r="V34" t="n">
        <v>765478.147433183</v>
      </c>
      <c r="W34" t="n">
        <v>458118.573438693</v>
      </c>
      <c r="X34" t="n">
        <v>274421.775778675</v>
      </c>
      <c r="Y34" t="n">
        <v>164499.309980683</v>
      </c>
      <c r="Z34" t="n">
        <v>99005.8246027398</v>
      </c>
      <c r="AA34" t="n">
        <v>59799.0858227909</v>
      </c>
      <c r="AB34" t="n">
        <v>36120.4134440495</v>
      </c>
      <c r="AC34" t="n">
        <v>21866.2268421246</v>
      </c>
      <c r="AD34" t="n">
        <v>13416.5009102303</v>
      </c>
      <c r="AE34" t="n">
        <v>8131.4</v>
      </c>
      <c r="AF34" t="n">
        <v>4653.7</v>
      </c>
    </row>
    <row r="35">
      <c r="A35" t="s">
        <v>147</v>
      </c>
      <c r="B35" t="s">
        <v>340</v>
      </c>
      <c r="C35" t="s">
        <v>203</v>
      </c>
      <c r="D35" t="s">
        <v>341</v>
      </c>
      <c r="E35" t="s">
        <v>204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11.5647196575645</v>
      </c>
      <c r="M35" t="n">
        <v>18.0884076695239</v>
      </c>
      <c r="N35" t="n">
        <v>30.5073144277045</v>
      </c>
      <c r="O35" t="n">
        <v>27.9650382253958</v>
      </c>
      <c r="P35" t="n">
        <v>51.6642231621719</v>
      </c>
      <c r="Q35" t="n">
        <v>55.6708363869933</v>
      </c>
      <c r="R35" t="n">
        <v>69.2072383852006</v>
      </c>
      <c r="S35" t="n">
        <v>79.620364531122</v>
      </c>
      <c r="T35" t="n">
        <v>93.8892470635811</v>
      </c>
      <c r="U35" t="n">
        <v>95.4307123138787</v>
      </c>
      <c r="V35" t="n">
        <v>95.2909894554397</v>
      </c>
      <c r="W35" t="n">
        <v>95.8181871841005</v>
      </c>
      <c r="X35" t="n">
        <v>96.3114597049967</v>
      </c>
      <c r="Y35" t="n">
        <v>98.068968093774</v>
      </c>
      <c r="Z35" t="n">
        <v>103.192863146061</v>
      </c>
      <c r="AA35" t="n">
        <v>103.53009472497</v>
      </c>
      <c r="AB35" t="n">
        <v>103.752500943498</v>
      </c>
      <c r="AC35" t="n">
        <v>105.499176043557</v>
      </c>
      <c r="AD35" t="n">
        <v>103.164631578947</v>
      </c>
      <c r="AE35" t="n">
        <v>99.6</v>
      </c>
      <c r="AF35" t="n">
        <v>90.8</v>
      </c>
    </row>
    <row r="36">
      <c r="A36" t="s">
        <v>147</v>
      </c>
      <c r="B36" t="s">
        <v>342</v>
      </c>
      <c r="C36" t="s">
        <v>203</v>
      </c>
      <c r="D36" t="s">
        <v>343</v>
      </c>
      <c r="E36" t="s">
        <v>204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11.3568919301333</v>
      </c>
      <c r="M36" t="n">
        <v>19.6852793455644</v>
      </c>
      <c r="N36" t="n">
        <v>18.6307108091949</v>
      </c>
      <c r="O36" t="n">
        <v>16.9964379311953</v>
      </c>
      <c r="P36" t="n">
        <v>45.8296808501874</v>
      </c>
      <c r="Q36" t="n">
        <v>46.0976906797207</v>
      </c>
      <c r="R36" t="n">
        <v>47.0580592355482</v>
      </c>
      <c r="S36" t="n">
        <v>46.0482296382188</v>
      </c>
      <c r="T36" t="n">
        <v>49.0707003094533</v>
      </c>
      <c r="U36" t="n">
        <v>46.6770076114312</v>
      </c>
      <c r="V36" t="n">
        <v>44.0097500336351</v>
      </c>
      <c r="W36" t="n">
        <v>44.0097500336351</v>
      </c>
      <c r="X36" t="n">
        <v>43.8686931425017</v>
      </c>
      <c r="Y36" t="n">
        <v>41.7608880665857</v>
      </c>
      <c r="Z36" t="n">
        <v>40.1850054980353</v>
      </c>
      <c r="AA36" t="n">
        <v>38.9672780587009</v>
      </c>
      <c r="AB36" t="n">
        <v>37.3090960136498</v>
      </c>
      <c r="AC36" t="n">
        <v>36.5775451114213</v>
      </c>
      <c r="AD36" t="n">
        <v>35.2015873015873</v>
      </c>
      <c r="AE36" t="n">
        <v>33.5</v>
      </c>
      <c r="AF36" t="n">
        <v>30.1</v>
      </c>
    </row>
    <row r="37">
      <c r="A37" t="s">
        <v>147</v>
      </c>
      <c r="B37" t="s">
        <v>344</v>
      </c>
      <c r="C37" t="s">
        <v>203</v>
      </c>
      <c r="D37" t="s">
        <v>345</v>
      </c>
      <c r="E37" t="s">
        <v>204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5.18436646573796</v>
      </c>
      <c r="O37" t="n">
        <v>4.8498912098839</v>
      </c>
      <c r="P37" t="n">
        <v>4.68822816955443</v>
      </c>
      <c r="Q37" t="n">
        <v>4.68822816955443</v>
      </c>
      <c r="R37" t="n">
        <v>5.54063329129161</v>
      </c>
      <c r="S37" t="n">
        <v>5.66375847554253</v>
      </c>
      <c r="T37" t="n">
        <v>6.00358398407508</v>
      </c>
      <c r="U37" t="n">
        <v>7.00418131475426</v>
      </c>
      <c r="V37" t="n">
        <v>6.89121064838726</v>
      </c>
      <c r="W37" t="n">
        <v>7.2193635364057</v>
      </c>
      <c r="X37" t="n">
        <v>7.53324890755377</v>
      </c>
      <c r="Y37" t="n">
        <v>8.93945537029714</v>
      </c>
      <c r="Z37" t="n">
        <v>8.62761390389143</v>
      </c>
      <c r="AA37" t="n">
        <v>8.72911524393721</v>
      </c>
      <c r="AB37" t="n">
        <v>8.41736112808231</v>
      </c>
      <c r="AC37" t="n">
        <v>9.31521298174442</v>
      </c>
      <c r="AD37" t="n">
        <v>9.20689655172414</v>
      </c>
      <c r="AE37" t="n">
        <v>9</v>
      </c>
      <c r="AF37" t="n">
        <v>8.3</v>
      </c>
    </row>
    <row r="38">
      <c r="A38" t="s">
        <v>147</v>
      </c>
      <c r="B38" t="s">
        <v>346</v>
      </c>
      <c r="C38" t="s">
        <v>203</v>
      </c>
      <c r="D38" t="s">
        <v>347</v>
      </c>
      <c r="E38" t="s">
        <v>204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3.05110851329282</v>
      </c>
      <c r="M38" t="n">
        <v>2.74599766196354</v>
      </c>
      <c r="N38" t="n">
        <v>7.48908453262783</v>
      </c>
      <c r="O38" t="n">
        <v>6.78698285769397</v>
      </c>
      <c r="P38" t="n">
        <v>8.05954214351158</v>
      </c>
      <c r="Q38" t="n">
        <v>11.4333039710281</v>
      </c>
      <c r="R38" t="n">
        <v>21.8427299745014</v>
      </c>
      <c r="S38" t="n">
        <v>31.6294076903494</v>
      </c>
      <c r="T38" t="n">
        <v>41.791466386044</v>
      </c>
      <c r="U38" t="n">
        <v>43.8238781251829</v>
      </c>
      <c r="V38" t="n">
        <v>45.8801304712325</v>
      </c>
      <c r="W38" t="n">
        <v>46.0028046168775</v>
      </c>
      <c r="X38" t="n">
        <v>46.2351420139325</v>
      </c>
      <c r="Y38" t="n">
        <v>48.1336864927654</v>
      </c>
      <c r="Z38" t="n">
        <v>54.7965834297115</v>
      </c>
      <c r="AA38" t="n">
        <v>56.1038577858875</v>
      </c>
      <c r="AB38" t="n">
        <v>58.1617212954085</v>
      </c>
      <c r="AC38" t="n">
        <v>59.6442749754875</v>
      </c>
      <c r="AD38" t="n">
        <v>58.7671532846715</v>
      </c>
      <c r="AE38" t="n">
        <v>57.1</v>
      </c>
      <c r="AF38" t="n">
        <v>52.4</v>
      </c>
    </row>
    <row r="39">
      <c r="A39" t="s">
        <v>147</v>
      </c>
      <c r="B39" t="s">
        <v>348</v>
      </c>
      <c r="C39" t="s">
        <v>203</v>
      </c>
      <c r="D39" t="s">
        <v>349</v>
      </c>
      <c r="E39" t="s">
        <v>204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622828383.712612</v>
      </c>
      <c r="L39" t="n">
        <v>311268303.9572</v>
      </c>
      <c r="M39" t="n">
        <v>195958693.513871</v>
      </c>
      <c r="N39" t="n">
        <v>114041294.163719</v>
      </c>
      <c r="O39" t="n">
        <v>63376252.7305175</v>
      </c>
      <c r="P39" t="n">
        <v>34901918.5390616</v>
      </c>
      <c r="Q39" t="n">
        <v>20224233.5911803</v>
      </c>
      <c r="R39" t="n">
        <v>10875302.4220267</v>
      </c>
      <c r="S39" t="n">
        <v>6544791.21953527</v>
      </c>
      <c r="T39" t="n">
        <v>4092626.26603592</v>
      </c>
      <c r="U39" t="n">
        <v>2376238.43709194</v>
      </c>
      <c r="V39" t="n">
        <v>1364058.08507062</v>
      </c>
      <c r="W39" t="n">
        <v>783733.660770188</v>
      </c>
      <c r="X39" t="n">
        <v>450593.833360823</v>
      </c>
      <c r="Y39" t="n">
        <v>259731.460201943</v>
      </c>
      <c r="Z39" t="n">
        <v>149756.780393597</v>
      </c>
      <c r="AA39" t="n">
        <v>86574.1732596206</v>
      </c>
      <c r="AB39" t="n">
        <v>50264.1484129564</v>
      </c>
      <c r="AC39" t="n">
        <v>29205.5222716845</v>
      </c>
      <c r="AD39" t="n">
        <v>17203.6009666035</v>
      </c>
      <c r="AE39" t="n">
        <v>10010.2</v>
      </c>
      <c r="AF39" t="n">
        <v>5500</v>
      </c>
    </row>
    <row r="40">
      <c r="A40" t="s">
        <v>147</v>
      </c>
      <c r="B40" t="s">
        <v>350</v>
      </c>
      <c r="C40" t="s">
        <v>203</v>
      </c>
      <c r="D40" t="s">
        <v>351</v>
      </c>
      <c r="E40" t="s">
        <v>204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447.199968451664</v>
      </c>
      <c r="L40" t="n">
        <v>463.83673647743</v>
      </c>
      <c r="M40" t="n">
        <v>609.333457351324</v>
      </c>
      <c r="N40" t="n">
        <v>732.583856333933</v>
      </c>
      <c r="O40" t="n">
        <v>845.954037406913</v>
      </c>
      <c r="P40" t="n">
        <v>971.300220970344</v>
      </c>
      <c r="Q40" t="n">
        <v>1275.20744236696</v>
      </c>
      <c r="R40" t="n">
        <v>1475.05562598531</v>
      </c>
      <c r="S40" t="n">
        <v>1873.03556449511</v>
      </c>
      <c r="T40" t="n">
        <v>2361.52000362776</v>
      </c>
      <c r="U40" t="n">
        <v>2715.63149173981</v>
      </c>
      <c r="V40" t="n">
        <v>3135.31908064336</v>
      </c>
      <c r="W40" t="n">
        <v>3520.92039713545</v>
      </c>
      <c r="X40" t="n">
        <v>3951.51585314973</v>
      </c>
      <c r="Y40" t="n">
        <v>4419.0646463887</v>
      </c>
      <c r="Z40" t="n">
        <v>4960.10287701323</v>
      </c>
      <c r="AA40" t="n">
        <v>5533.33737215806</v>
      </c>
      <c r="AB40" t="n">
        <v>6503.08887552731</v>
      </c>
      <c r="AC40" t="n">
        <v>7456.93727781506</v>
      </c>
      <c r="AD40" t="n">
        <v>8351.0310966668</v>
      </c>
      <c r="AE40" t="n">
        <v>9238.2</v>
      </c>
      <c r="AF40" t="n">
        <v>9650.2</v>
      </c>
    </row>
    <row r="41">
      <c r="A41" t="s">
        <v>147</v>
      </c>
      <c r="B41" t="s">
        <v>352</v>
      </c>
      <c r="C41" t="s">
        <v>203</v>
      </c>
      <c r="D41" t="s">
        <v>353</v>
      </c>
      <c r="E41" t="s">
        <v>204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147</v>
      </c>
      <c r="B42" t="s">
        <v>354</v>
      </c>
      <c r="C42" t="s">
        <v>203</v>
      </c>
      <c r="D42" t="s">
        <v>355</v>
      </c>
      <c r="E42" t="s">
        <v>204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5010.01551734623</v>
      </c>
      <c r="L42" t="n">
        <v>4393.29203976321</v>
      </c>
      <c r="M42" t="n">
        <v>4906.71232744011</v>
      </c>
      <c r="N42" t="n">
        <v>5004.45293373888</v>
      </c>
      <c r="O42" t="n">
        <v>4874.26731481719</v>
      </c>
      <c r="P42" t="n">
        <v>4713.79011659718</v>
      </c>
      <c r="Q42" t="n">
        <v>4815.65721075448</v>
      </c>
      <c r="R42" t="n">
        <v>4606.89029724666</v>
      </c>
      <c r="S42" t="n">
        <v>4965.0567638221</v>
      </c>
      <c r="T42" t="n">
        <v>5455.66776401527</v>
      </c>
      <c r="U42" t="n">
        <v>5528.72111757669</v>
      </c>
      <c r="V42" t="n">
        <v>5537.15260775141</v>
      </c>
      <c r="W42" t="n">
        <v>5536.25975863433</v>
      </c>
      <c r="X42" t="n">
        <v>5534.8196993911</v>
      </c>
      <c r="Y42" t="n">
        <v>5518.52530472779</v>
      </c>
      <c r="Z42" t="n">
        <v>5514.28809264802</v>
      </c>
      <c r="AA42" t="n">
        <v>5502.08812770252</v>
      </c>
      <c r="AB42" t="n">
        <v>5582.2726569845</v>
      </c>
      <c r="AC42" t="n">
        <v>5613.36667775092</v>
      </c>
      <c r="AD42" t="n">
        <v>5675.00633554597</v>
      </c>
      <c r="AE42" t="n">
        <v>5667.3</v>
      </c>
      <c r="AF42" t="n">
        <v>5344.2</v>
      </c>
    </row>
    <row r="43">
      <c r="A43" t="s">
        <v>147</v>
      </c>
      <c r="B43" t="s">
        <v>356</v>
      </c>
      <c r="C43" t="s">
        <v>203</v>
      </c>
      <c r="D43" t="s">
        <v>357</v>
      </c>
      <c r="E43" t="s">
        <v>204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608.211254241255</v>
      </c>
      <c r="L43" t="n">
        <v>617.513566353118</v>
      </c>
      <c r="M43" t="n">
        <v>793.477106244837</v>
      </c>
      <c r="N43" t="n">
        <v>935.118904066373</v>
      </c>
      <c r="O43" t="n">
        <v>1051.56772184533</v>
      </c>
      <c r="P43" t="n">
        <v>1173.29818651516</v>
      </c>
      <c r="Q43" t="n">
        <v>1380.26415664119</v>
      </c>
      <c r="R43" t="n">
        <v>1514.31314343634</v>
      </c>
      <c r="S43" t="n">
        <v>1845.55419146405</v>
      </c>
      <c r="T43" t="n">
        <v>2319.6526700707</v>
      </c>
      <c r="U43" t="n">
        <v>2691.9211952654</v>
      </c>
      <c r="V43" t="n">
        <v>3084.46726567323</v>
      </c>
      <c r="W43" t="n">
        <v>3529.0727694593</v>
      </c>
      <c r="X43" t="n">
        <v>4036.12815490614</v>
      </c>
      <c r="Y43" t="n">
        <v>4609.3442084036</v>
      </c>
      <c r="Z43" t="n">
        <v>5270.82084648014</v>
      </c>
      <c r="AA43" t="n">
        <v>6018.46863293675</v>
      </c>
      <c r="AB43" t="n">
        <v>6957.84996109458</v>
      </c>
      <c r="AC43" t="n">
        <v>7971.87021053909</v>
      </c>
      <c r="AD43" t="n">
        <v>9204.82751657421</v>
      </c>
      <c r="AE43" t="n">
        <v>10498.8</v>
      </c>
      <c r="AF43" t="n">
        <v>11307.4</v>
      </c>
    </row>
    <row r="44">
      <c r="A44" t="s">
        <v>147</v>
      </c>
      <c r="B44" t="s">
        <v>358</v>
      </c>
      <c r="C44" t="s">
        <v>203</v>
      </c>
      <c r="D44" t="s">
        <v>359</v>
      </c>
      <c r="E44" t="s">
        <v>204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305550.242611289</v>
      </c>
      <c r="L44" t="n">
        <v>259984.394564014</v>
      </c>
      <c r="M44" t="n">
        <v>279330.290110041</v>
      </c>
      <c r="N44" t="n">
        <v>275886.298152168</v>
      </c>
      <c r="O44" t="n">
        <v>260818.147152849</v>
      </c>
      <c r="P44" t="n">
        <v>245383.157242341</v>
      </c>
      <c r="Q44" t="n">
        <v>244757.83744246</v>
      </c>
      <c r="R44" t="n">
        <v>226277.414699149</v>
      </c>
      <c r="S44" t="n">
        <v>233599.280350931</v>
      </c>
      <c r="T44" t="n">
        <v>250708.05613701</v>
      </c>
      <c r="U44" t="n">
        <v>247692.907912736</v>
      </c>
      <c r="V44" t="n">
        <v>241372.018621631</v>
      </c>
      <c r="W44" t="n">
        <v>234979.510055288</v>
      </c>
      <c r="X44" t="n">
        <v>228716.366092009</v>
      </c>
      <c r="Y44" t="n">
        <v>222598.340256057</v>
      </c>
      <c r="Z44" t="n">
        <v>216522.873185036</v>
      </c>
      <c r="AA44" t="n">
        <v>212074.421485617</v>
      </c>
      <c r="AB44" t="n">
        <v>207810.842164358</v>
      </c>
      <c r="AC44" t="n">
        <v>203799.092352819</v>
      </c>
      <c r="AD44" t="n">
        <v>200322.265269771</v>
      </c>
      <c r="AE44" t="n">
        <v>194500.3</v>
      </c>
      <c r="AF44" t="n">
        <v>178325.7</v>
      </c>
    </row>
    <row r="45">
      <c r="A45" t="s">
        <v>147</v>
      </c>
      <c r="B45" t="s">
        <v>360</v>
      </c>
      <c r="C45" t="s">
        <v>203</v>
      </c>
      <c r="D45" t="s">
        <v>361</v>
      </c>
      <c r="E45" t="s">
        <v>204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309748.444376515</v>
      </c>
      <c r="L45" t="n">
        <v>263172.431341461</v>
      </c>
      <c r="M45" t="n">
        <v>282376.674055745</v>
      </c>
      <c r="N45" t="n">
        <v>278523.518624005</v>
      </c>
      <c r="O45" t="n">
        <v>262949.591939362</v>
      </c>
      <c r="P45" t="n">
        <v>247081.047703029</v>
      </c>
      <c r="Q45" t="n">
        <v>246169.083897175</v>
      </c>
      <c r="R45" t="n">
        <v>227316.970119746</v>
      </c>
      <c r="S45" t="n">
        <v>234420.065975955</v>
      </c>
      <c r="T45" t="n">
        <v>251323.09643123</v>
      </c>
      <c r="U45" t="n">
        <v>248018.870939703</v>
      </c>
      <c r="V45" t="n">
        <v>241414.219748431</v>
      </c>
      <c r="W45" t="n">
        <v>234753.617636918</v>
      </c>
      <c r="X45" t="n">
        <v>228238.397388888</v>
      </c>
      <c r="Y45" t="n">
        <v>221881.155777303</v>
      </c>
      <c r="Z45" t="n">
        <v>215575.718340135</v>
      </c>
      <c r="AA45" t="n">
        <v>210929.980933192</v>
      </c>
      <c r="AB45" t="n">
        <v>206477.328711488</v>
      </c>
      <c r="AC45" t="n">
        <v>202286.545775825</v>
      </c>
      <c r="AD45" t="n">
        <v>198611.99897105</v>
      </c>
      <c r="AE45" t="n">
        <v>192622.9</v>
      </c>
      <c r="AF45" t="n">
        <v>176405.9</v>
      </c>
    </row>
    <row r="46">
      <c r="A46" t="s">
        <v>147</v>
      </c>
      <c r="B46" t="s">
        <v>362</v>
      </c>
      <c r="C46" t="s">
        <v>203</v>
      </c>
      <c r="D46" t="s">
        <v>363</v>
      </c>
      <c r="E46" t="s">
        <v>204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19.6294094441162</v>
      </c>
      <c r="L46" t="n">
        <v>22.7724794896628</v>
      </c>
      <c r="M46" t="n">
        <v>33.2732913688528</v>
      </c>
      <c r="N46" t="n">
        <v>44.8082249304913</v>
      </c>
      <c r="O46" t="n">
        <v>57.5527707463028</v>
      </c>
      <c r="P46" t="n">
        <v>73.3304671772366</v>
      </c>
      <c r="Q46" t="n">
        <v>98.400140792712</v>
      </c>
      <c r="R46" t="n">
        <v>122.816304009194</v>
      </c>
      <c r="S46" t="n">
        <v>168.500885871219</v>
      </c>
      <c r="T46" t="n">
        <v>241.739211380444</v>
      </c>
      <c r="U46" t="n">
        <v>320.811815385061</v>
      </c>
      <c r="V46" t="n">
        <v>420.240953754153</v>
      </c>
      <c r="W46" t="n">
        <v>550.161789487612</v>
      </c>
      <c r="X46" t="n">
        <v>720.156216395529</v>
      </c>
      <c r="Y46" t="n">
        <v>942.821130258202</v>
      </c>
      <c r="Z46" t="n">
        <v>1235.14737508122</v>
      </c>
      <c r="AA46" t="n">
        <v>1616.24612572111</v>
      </c>
      <c r="AB46" t="n">
        <v>2133.65693136226</v>
      </c>
      <c r="AC46" t="n">
        <v>2793.58766047993</v>
      </c>
      <c r="AD46" t="n">
        <v>3696.46742563938</v>
      </c>
      <c r="AE46" t="n">
        <v>4831.5</v>
      </c>
      <c r="AF46" t="n">
        <v>5963.2</v>
      </c>
    </row>
    <row r="47">
      <c r="A47" t="s">
        <v>147</v>
      </c>
      <c r="B47" t="s">
        <v>364</v>
      </c>
      <c r="C47" t="s">
        <v>203</v>
      </c>
      <c r="D47" t="s">
        <v>365</v>
      </c>
      <c r="E47" t="s">
        <v>204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1023.84340934432</v>
      </c>
      <c r="L47" t="n">
        <v>971.763294968147</v>
      </c>
      <c r="M47" t="n">
        <v>1153.18043231729</v>
      </c>
      <c r="N47" t="n">
        <v>1288.4718218551</v>
      </c>
      <c r="O47" t="n">
        <v>1339.28552727094</v>
      </c>
      <c r="P47" t="n">
        <v>1376.49344982671</v>
      </c>
      <c r="Q47" t="n">
        <v>1485.5284834555</v>
      </c>
      <c r="R47" t="n">
        <v>1537.77896610454</v>
      </c>
      <c r="S47" t="n">
        <v>1697.09232694768</v>
      </c>
      <c r="T47" t="n">
        <v>2047.00086345214</v>
      </c>
      <c r="U47" t="n">
        <v>2325.59810192534</v>
      </c>
      <c r="V47" t="n">
        <v>2431.39743217587</v>
      </c>
      <c r="W47" t="n">
        <v>2523.2520811144</v>
      </c>
      <c r="X47" t="n">
        <v>2618.20187039318</v>
      </c>
      <c r="Y47" t="n">
        <v>2753.19172079125</v>
      </c>
      <c r="Z47" t="n">
        <v>2853.29220352381</v>
      </c>
      <c r="AA47" t="n">
        <v>2962.66037062927</v>
      </c>
      <c r="AB47" t="n">
        <v>3075.87078388681</v>
      </c>
      <c r="AC47" t="n">
        <v>3215.66176964223</v>
      </c>
      <c r="AD47" t="n">
        <v>3379.65253676573</v>
      </c>
      <c r="AE47" t="n">
        <v>3508.6</v>
      </c>
      <c r="AF47" t="n">
        <v>3439.5</v>
      </c>
    </row>
    <row r="48">
      <c r="A48" t="s">
        <v>147</v>
      </c>
      <c r="B48" t="s">
        <v>366</v>
      </c>
      <c r="C48" t="s">
        <v>203</v>
      </c>
      <c r="D48" t="s">
        <v>367</v>
      </c>
      <c r="E48" t="s">
        <v>204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38429.0142815415</v>
      </c>
      <c r="L48" t="n">
        <v>29885.6177036506</v>
      </c>
      <c r="M48" t="n">
        <v>29383.5411644957</v>
      </c>
      <c r="N48" t="n">
        <v>26952.3257164543</v>
      </c>
      <c r="O48" t="n">
        <v>23296.5627646716</v>
      </c>
      <c r="P48" t="n">
        <v>20004.0574465896</v>
      </c>
      <c r="Q48" t="n">
        <v>18061.6228702262</v>
      </c>
      <c r="R48" t="n">
        <v>15553.2940439652</v>
      </c>
      <c r="S48" t="n">
        <v>14499.3192422286</v>
      </c>
      <c r="T48" t="n">
        <v>14666.7924986914</v>
      </c>
      <c r="U48" t="n">
        <v>14033.828976023</v>
      </c>
      <c r="V48" t="n">
        <v>12643.5789200689</v>
      </c>
      <c r="W48" t="n">
        <v>11336.1076399632</v>
      </c>
      <c r="X48" t="n">
        <v>10166.1517027395</v>
      </c>
      <c r="Y48" t="n">
        <v>9215.25223545142</v>
      </c>
      <c r="Z48" t="n">
        <v>8301.80450231679</v>
      </c>
      <c r="AA48" t="n">
        <v>7533.04193103817</v>
      </c>
      <c r="AB48" t="n">
        <v>6790.00177960661</v>
      </c>
      <c r="AC48" t="n">
        <v>6158.16768795407</v>
      </c>
      <c r="AD48" t="n">
        <v>5625.3374742986</v>
      </c>
      <c r="AE48" t="n">
        <v>5075.9</v>
      </c>
      <c r="AF48" t="n">
        <v>4324.9</v>
      </c>
    </row>
    <row r="49">
      <c r="A49" t="s">
        <v>147</v>
      </c>
      <c r="B49" t="s">
        <v>368</v>
      </c>
      <c r="C49" t="s">
        <v>203</v>
      </c>
      <c r="D49" t="s">
        <v>369</v>
      </c>
      <c r="E49" t="s">
        <v>204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109214521.208782</v>
      </c>
      <c r="L49" t="n">
        <v>53455919.6166405</v>
      </c>
      <c r="M49" t="n">
        <v>33804484.1139239</v>
      </c>
      <c r="N49" t="n">
        <v>19393881.7001225</v>
      </c>
      <c r="O49" t="n">
        <v>10677491.0263043</v>
      </c>
      <c r="P49" t="n">
        <v>5842218.94165537</v>
      </c>
      <c r="Q49" t="n">
        <v>3367318.93226068</v>
      </c>
      <c r="R49" t="n">
        <v>1805503.24328451</v>
      </c>
      <c r="S49" t="n">
        <v>1072427.97258526</v>
      </c>
      <c r="T49" t="n">
        <v>665590.432125397</v>
      </c>
      <c r="U49" t="n">
        <v>383665.998908895</v>
      </c>
      <c r="V49" t="n">
        <v>218359.93666452</v>
      </c>
      <c r="W49" t="n">
        <v>124278.788957786</v>
      </c>
      <c r="X49" t="n">
        <v>70740.7340085708</v>
      </c>
      <c r="Y49" t="n">
        <v>40237.9307913664</v>
      </c>
      <c r="Z49" t="n">
        <v>23105.8445744985</v>
      </c>
      <c r="AA49" t="n">
        <v>13285.6361855311</v>
      </c>
      <c r="AB49" t="n">
        <v>7654.35906546985</v>
      </c>
      <c r="AC49" t="n">
        <v>4412.76933806404</v>
      </c>
      <c r="AD49" t="n">
        <v>2579.8397905143</v>
      </c>
      <c r="AE49" t="n">
        <v>1489.9</v>
      </c>
      <c r="AF49" t="n">
        <v>812.5</v>
      </c>
    </row>
    <row r="50">
      <c r="A50" t="s">
        <v>147</v>
      </c>
      <c r="B50" t="s">
        <v>370</v>
      </c>
      <c r="C50" t="s">
        <v>203</v>
      </c>
      <c r="D50" t="s">
        <v>371</v>
      </c>
      <c r="E50" t="s">
        <v>204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3.7940534536491</v>
      </c>
      <c r="M50" t="n">
        <v>7.96751225266311</v>
      </c>
      <c r="N50" t="n">
        <v>7.79045642482616</v>
      </c>
      <c r="O50" t="n">
        <v>7.27109266317108</v>
      </c>
      <c r="P50" t="n">
        <v>14.0574458154641</v>
      </c>
      <c r="Q50" t="n">
        <v>16.3525390098256</v>
      </c>
      <c r="R50" t="n">
        <v>15.7036287316579</v>
      </c>
      <c r="S50" t="n">
        <v>17.9154074262576</v>
      </c>
      <c r="T50" t="n">
        <v>23.2900296541349</v>
      </c>
      <c r="U50" t="n">
        <v>24.9748403099659</v>
      </c>
      <c r="V50" t="n">
        <v>25.0751408734597</v>
      </c>
      <c r="W50" t="n">
        <v>25.4594342201794</v>
      </c>
      <c r="X50" t="n">
        <v>26.2956930084335</v>
      </c>
      <c r="Y50" t="n">
        <v>26.7602812241302</v>
      </c>
      <c r="Z50" t="n">
        <v>36.5723843396446</v>
      </c>
      <c r="AA50" t="n">
        <v>71.9988976294832</v>
      </c>
      <c r="AB50" t="n">
        <v>73.1727926995291</v>
      </c>
      <c r="AC50" t="n">
        <v>76.8737287464706</v>
      </c>
      <c r="AD50" t="n">
        <v>77.6028833551769</v>
      </c>
      <c r="AE50" t="n">
        <v>77.4</v>
      </c>
      <c r="AF50" t="n">
        <v>73</v>
      </c>
    </row>
    <row r="51">
      <c r="A51" t="s">
        <v>147</v>
      </c>
      <c r="B51" t="s">
        <v>372</v>
      </c>
      <c r="C51" t="s">
        <v>203</v>
      </c>
      <c r="D51" t="s">
        <v>373</v>
      </c>
      <c r="E51" t="s">
        <v>204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3.63032633220964</v>
      </c>
      <c r="M51" t="n">
        <v>7.62368529764024</v>
      </c>
      <c r="N51" t="n">
        <v>7.45427006880379</v>
      </c>
      <c r="O51" t="n">
        <v>6.95731873088354</v>
      </c>
      <c r="P51" t="n">
        <v>13.4508162130415</v>
      </c>
      <c r="Q51" t="n">
        <v>14.2743355730236</v>
      </c>
      <c r="R51" t="n">
        <v>13.7778369443967</v>
      </c>
      <c r="S51" t="n">
        <v>15.7761491729734</v>
      </c>
      <c r="T51" t="n">
        <v>18.5933186681472</v>
      </c>
      <c r="U51" t="n">
        <v>20.080784161599</v>
      </c>
      <c r="V51" t="n">
        <v>19.9873851654985</v>
      </c>
      <c r="W51" t="n">
        <v>20.2538836343718</v>
      </c>
      <c r="X51" t="n">
        <v>20.9375590313126</v>
      </c>
      <c r="Y51" t="n">
        <v>21.3648561544006</v>
      </c>
      <c r="Z51" t="n">
        <v>22.5467418140058</v>
      </c>
      <c r="AA51" t="n">
        <v>54.9745258572571</v>
      </c>
      <c r="AB51" t="n">
        <v>55.9062974819564</v>
      </c>
      <c r="AC51" t="n">
        <v>59.5789739588733</v>
      </c>
      <c r="AD51" t="n">
        <v>60.7990212071778</v>
      </c>
      <c r="AE51" t="n">
        <v>61.4</v>
      </c>
      <c r="AF51" t="n">
        <v>58.6</v>
      </c>
    </row>
    <row r="52">
      <c r="A52" t="s">
        <v>147</v>
      </c>
      <c r="B52" t="s">
        <v>374</v>
      </c>
      <c r="C52" t="s">
        <v>203</v>
      </c>
      <c r="D52" t="s">
        <v>375</v>
      </c>
      <c r="E52" t="s">
        <v>204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1.36094838066669</v>
      </c>
      <c r="R52" t="n">
        <v>1.23722580060608</v>
      </c>
      <c r="S52" t="n">
        <v>1.34970087338845</v>
      </c>
      <c r="T52" t="n">
        <v>4.04910262016536</v>
      </c>
      <c r="U52" t="n">
        <v>4.1647912664558</v>
      </c>
      <c r="V52" t="n">
        <v>4.40977898801202</v>
      </c>
      <c r="W52" t="n">
        <v>4.53227284879014</v>
      </c>
      <c r="X52" t="n">
        <v>4.65476670956825</v>
      </c>
      <c r="Y52" t="n">
        <v>4.65476670956825</v>
      </c>
      <c r="Z52" t="n">
        <v>16.0921934816502</v>
      </c>
      <c r="AA52" t="n">
        <v>17.3112990484419</v>
      </c>
      <c r="AB52" t="n">
        <v>17.5484401312973</v>
      </c>
      <c r="AC52" t="n">
        <v>17.4265759637188</v>
      </c>
      <c r="AD52" t="n">
        <v>16.8533333333333</v>
      </c>
      <c r="AE52" t="n">
        <v>16</v>
      </c>
      <c r="AF52" t="n">
        <v>14.4</v>
      </c>
    </row>
    <row r="53">
      <c r="A53" t="s">
        <v>147</v>
      </c>
      <c r="B53" t="s">
        <v>376</v>
      </c>
      <c r="C53" t="s">
        <v>203</v>
      </c>
      <c r="D53" t="s">
        <v>377</v>
      </c>
      <c r="E53" t="s">
        <v>204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54.9239333214618</v>
      </c>
      <c r="L53" t="n">
        <v>55.6867657287043</v>
      </c>
      <c r="M53" t="n">
        <v>71.164037783048</v>
      </c>
      <c r="N53" t="n">
        <v>83.7766049742067</v>
      </c>
      <c r="O53" t="n">
        <v>94.3123406301575</v>
      </c>
      <c r="P53" t="n">
        <v>105.199354699483</v>
      </c>
      <c r="Q53" t="n">
        <v>124.331807502103</v>
      </c>
      <c r="R53" t="n">
        <v>147.836155039846</v>
      </c>
      <c r="S53" t="n">
        <v>173.896946500791</v>
      </c>
      <c r="T53" t="n">
        <v>213.96914887966</v>
      </c>
      <c r="U53" t="n">
        <v>244.041339781805</v>
      </c>
      <c r="V53" t="n">
        <v>274.75298494863</v>
      </c>
      <c r="W53" t="n">
        <v>309.32075206835</v>
      </c>
      <c r="X53" t="n">
        <v>348.193499642998</v>
      </c>
      <c r="Y53" t="n">
        <v>392.055242488743</v>
      </c>
      <c r="Z53" t="n">
        <v>441.563759976531</v>
      </c>
      <c r="AA53" t="n">
        <v>495.860931185218</v>
      </c>
      <c r="AB53" t="n">
        <v>567.678653793854</v>
      </c>
      <c r="AC53" t="n">
        <v>646.991620089263</v>
      </c>
      <c r="AD53" t="n">
        <v>734.865863805562</v>
      </c>
      <c r="AE53" t="n">
        <v>824.4</v>
      </c>
      <c r="AF53" t="n">
        <v>873.4</v>
      </c>
    </row>
    <row r="54">
      <c r="A54" t="s">
        <v>147</v>
      </c>
      <c r="B54" t="s">
        <v>378</v>
      </c>
      <c r="C54" t="s">
        <v>203</v>
      </c>
      <c r="D54" t="s">
        <v>379</v>
      </c>
      <c r="E54" t="s">
        <v>204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58.0350691270348</v>
      </c>
      <c r="L54" t="n">
        <v>58.9403170001701</v>
      </c>
      <c r="M54" t="n">
        <v>75.2736371474353</v>
      </c>
      <c r="N54" t="n">
        <v>88.5717377505309</v>
      </c>
      <c r="O54" t="n">
        <v>99.6536992510713</v>
      </c>
      <c r="P54" t="n">
        <v>111.265488762138</v>
      </c>
      <c r="Q54" t="n">
        <v>131.992215521249</v>
      </c>
      <c r="R54" t="n">
        <v>156.958254585652</v>
      </c>
      <c r="S54" t="n">
        <v>184.492802567398</v>
      </c>
      <c r="T54" t="n">
        <v>226.533670233183</v>
      </c>
      <c r="U54" t="n">
        <v>258.131537784778</v>
      </c>
      <c r="V54" t="n">
        <v>290.577437417347</v>
      </c>
      <c r="W54" t="n">
        <v>327.483405601714</v>
      </c>
      <c r="X54" t="n">
        <v>368.830386902842</v>
      </c>
      <c r="Y54" t="n">
        <v>415.219624971223</v>
      </c>
      <c r="Z54" t="n">
        <v>466.898038726634</v>
      </c>
      <c r="AA54" t="n">
        <v>523.997927480061</v>
      </c>
      <c r="AB54" t="n">
        <v>599.444620476832</v>
      </c>
      <c r="AC54" t="n">
        <v>681.842765990278</v>
      </c>
      <c r="AD54" t="n">
        <v>770.319189360355</v>
      </c>
      <c r="AE54" t="n">
        <v>859.6</v>
      </c>
      <c r="AF54" t="n">
        <v>905.9</v>
      </c>
    </row>
    <row r="55">
      <c r="A55" t="s">
        <v>147</v>
      </c>
      <c r="B55" t="s">
        <v>380</v>
      </c>
      <c r="C55" t="s">
        <v>203</v>
      </c>
      <c r="D55" t="s">
        <v>381</v>
      </c>
      <c r="E55" t="s">
        <v>204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4.17920283917185</v>
      </c>
      <c r="M55" t="n">
        <v>3.76128255525467</v>
      </c>
      <c r="N55" t="n">
        <v>3.41934777750424</v>
      </c>
      <c r="O55" t="n">
        <v>2.79764818159438</v>
      </c>
      <c r="P55" t="n">
        <v>4.57796975169989</v>
      </c>
      <c r="Q55" t="n">
        <v>10.4044767084088</v>
      </c>
      <c r="R55" t="n">
        <v>12.4853720500906</v>
      </c>
      <c r="S55" t="n">
        <v>13.7497135235175</v>
      </c>
      <c r="T55" t="n">
        <v>14.1663715090786</v>
      </c>
      <c r="U55" t="n">
        <v>14.9758784524546</v>
      </c>
      <c r="V55" t="n">
        <v>16.6987671239759</v>
      </c>
      <c r="W55" t="n">
        <v>20.0139635382946</v>
      </c>
      <c r="X55" t="n">
        <v>23.1018321984887</v>
      </c>
      <c r="Y55" t="n">
        <v>25.8261048634048</v>
      </c>
      <c r="Z55" t="n">
        <v>27.3913233399748</v>
      </c>
      <c r="AA55" t="n">
        <v>30.1516892579567</v>
      </c>
      <c r="AB55" t="n">
        <v>33.7613985353177</v>
      </c>
      <c r="AC55" t="n">
        <v>36.4623104181432</v>
      </c>
      <c r="AD55" t="n">
        <v>36.0282352941176</v>
      </c>
      <c r="AE55" t="n">
        <v>35.2</v>
      </c>
      <c r="AF55" t="n">
        <v>32.5</v>
      </c>
    </row>
    <row r="56">
      <c r="A56" t="s">
        <v>147</v>
      </c>
      <c r="B56" t="s">
        <v>382</v>
      </c>
      <c r="C56" t="s">
        <v>203</v>
      </c>
      <c r="D56" t="s">
        <v>383</v>
      </c>
      <c r="E56" t="s">
        <v>204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147</v>
      </c>
      <c r="B57" t="s">
        <v>384</v>
      </c>
      <c r="C57" t="s">
        <v>203</v>
      </c>
      <c r="D57" t="s">
        <v>385</v>
      </c>
      <c r="E57" t="s">
        <v>204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293754.27446174</v>
      </c>
      <c r="L57" t="n">
        <v>251320.422947237</v>
      </c>
      <c r="M57" t="n">
        <v>271530.030733061</v>
      </c>
      <c r="N57" t="n">
        <v>269709.619059258</v>
      </c>
      <c r="O57" t="n">
        <v>256363.226332785</v>
      </c>
      <c r="P57" t="n">
        <v>242481.617353512</v>
      </c>
      <c r="Q57" t="n">
        <v>243895.759288854</v>
      </c>
      <c r="R57" t="n">
        <v>227208.271312675</v>
      </c>
      <c r="S57" t="n">
        <v>236125.599140207</v>
      </c>
      <c r="T57" t="n">
        <v>254894.607981178</v>
      </c>
      <c r="U57" t="n">
        <v>253345.038972388</v>
      </c>
      <c r="V57" t="n">
        <v>248298.190202719</v>
      </c>
      <c r="W57" t="n">
        <v>242814.072509709</v>
      </c>
      <c r="X57" t="n">
        <v>237405.98317399</v>
      </c>
      <c r="Y57" t="n">
        <v>232113.310560075</v>
      </c>
      <c r="Z57" t="n">
        <v>226819.678862964</v>
      </c>
      <c r="AA57" t="n">
        <v>223047.22885191</v>
      </c>
      <c r="AB57" t="n">
        <v>219931.645164114</v>
      </c>
      <c r="AC57" t="n">
        <v>216864.47427746</v>
      </c>
      <c r="AD57" t="n">
        <v>214112.62189144</v>
      </c>
      <c r="AE57" t="n">
        <v>208814.4</v>
      </c>
      <c r="AF57" t="n">
        <v>192300.9</v>
      </c>
    </row>
    <row r="58">
      <c r="A58" t="s">
        <v>147</v>
      </c>
      <c r="B58" t="s">
        <v>386</v>
      </c>
      <c r="C58" t="s">
        <v>203</v>
      </c>
      <c r="D58" t="s">
        <v>387</v>
      </c>
      <c r="E58" t="s">
        <v>204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293754.27446174</v>
      </c>
      <c r="L58" t="n">
        <v>251320.422947237</v>
      </c>
      <c r="M58" t="n">
        <v>271530.030733061</v>
      </c>
      <c r="N58" t="n">
        <v>269709.619059258</v>
      </c>
      <c r="O58" t="n">
        <v>256363.226332785</v>
      </c>
      <c r="P58" t="n">
        <v>242481.617353512</v>
      </c>
      <c r="Q58" t="n">
        <v>243895.759288854</v>
      </c>
      <c r="R58" t="n">
        <v>227208.271312675</v>
      </c>
      <c r="S58" t="n">
        <v>236125.599140207</v>
      </c>
      <c r="T58" t="n">
        <v>254894.607981178</v>
      </c>
      <c r="U58" t="n">
        <v>253345.038972388</v>
      </c>
      <c r="V58" t="n">
        <v>248298.190202719</v>
      </c>
      <c r="W58" t="n">
        <v>242814.072509709</v>
      </c>
      <c r="X58" t="n">
        <v>237405.98317399</v>
      </c>
      <c r="Y58" t="n">
        <v>232113.310560075</v>
      </c>
      <c r="Z58" t="n">
        <v>226819.678862964</v>
      </c>
      <c r="AA58" t="n">
        <v>223047.22885191</v>
      </c>
      <c r="AB58" t="n">
        <v>219931.645164114</v>
      </c>
      <c r="AC58" t="n">
        <v>216864.47427746</v>
      </c>
      <c r="AD58" t="n">
        <v>214112.62189144</v>
      </c>
      <c r="AE58" t="n">
        <v>208814.4</v>
      </c>
      <c r="AF58" t="n">
        <v>192300.9</v>
      </c>
    </row>
    <row r="59">
      <c r="A59" t="s">
        <v>147</v>
      </c>
      <c r="B59" t="s">
        <v>388</v>
      </c>
      <c r="C59" t="s">
        <v>203</v>
      </c>
      <c r="D59" t="s">
        <v>389</v>
      </c>
      <c r="E59" t="s">
        <v>204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148</v>
      </c>
      <c r="B2" t="s">
        <v>197</v>
      </c>
      <c r="C2" t="s">
        <v>203</v>
      </c>
      <c r="D2" t="s">
        <v>199</v>
      </c>
      <c r="E2" t="s">
        <v>204</v>
      </c>
      <c r="F2"/>
      <c r="G2"/>
      <c r="H2"/>
      <c r="I2"/>
      <c r="J2"/>
      <c r="K2" t="n">
        <v>2026.07704674938</v>
      </c>
      <c r="L2" t="n">
        <v>2577.04253504174</v>
      </c>
      <c r="M2" t="n">
        <v>3230.32857857468</v>
      </c>
      <c r="N2" t="n">
        <v>4004.12067532531</v>
      </c>
      <c r="O2" t="n">
        <v>4701.33704731846</v>
      </c>
      <c r="P2" t="n">
        <v>4397.16151371866</v>
      </c>
      <c r="Q2" t="n">
        <v>4222.65234526177</v>
      </c>
      <c r="R2" t="n">
        <v>3938.28948350347</v>
      </c>
      <c r="S2" t="n">
        <v>3732.56294420867</v>
      </c>
      <c r="T2" t="n">
        <v>4120.15019583243</v>
      </c>
      <c r="U2" t="n">
        <v>3654.85422597536</v>
      </c>
      <c r="V2" t="n">
        <v>2790.5745862276</v>
      </c>
      <c r="W2" t="n">
        <v>2556.90328432126</v>
      </c>
      <c r="X2" t="n">
        <v>2069.49276159753</v>
      </c>
      <c r="Y2" t="n">
        <v>2111.6769358554</v>
      </c>
      <c r="Z2" t="n">
        <v>2061.42159709322</v>
      </c>
      <c r="AA2" t="n">
        <v>1639.45782189952</v>
      </c>
      <c r="AB2" t="n">
        <v>1082.7963489654</v>
      </c>
      <c r="AC2" t="n">
        <v>809.218269522685</v>
      </c>
      <c r="AD2" t="n">
        <v>739.080991735537</v>
      </c>
      <c r="AE2" t="n">
        <v>781.3</v>
      </c>
      <c r="AF2" t="n">
        <v>868.4</v>
      </c>
    </row>
    <row r="3">
      <c r="A3" t="s">
        <v>148</v>
      </c>
      <c r="B3" t="s">
        <v>276</v>
      </c>
      <c r="C3" t="s">
        <v>203</v>
      </c>
      <c r="D3" t="s">
        <v>277</v>
      </c>
      <c r="E3" t="s">
        <v>204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148</v>
      </c>
      <c r="B4" t="s">
        <v>278</v>
      </c>
      <c r="C4" t="s">
        <v>203</v>
      </c>
      <c r="D4" t="s">
        <v>279</v>
      </c>
      <c r="E4" t="s">
        <v>204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148</v>
      </c>
      <c r="B5" t="s">
        <v>280</v>
      </c>
      <c r="C5" t="s">
        <v>203</v>
      </c>
      <c r="D5" t="s">
        <v>281</v>
      </c>
      <c r="E5" t="s">
        <v>204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148</v>
      </c>
      <c r="B6" t="s">
        <v>282</v>
      </c>
      <c r="C6" t="s">
        <v>203</v>
      </c>
      <c r="D6" t="s">
        <v>283</v>
      </c>
      <c r="E6" t="s">
        <v>204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148</v>
      </c>
      <c r="B7" t="s">
        <v>284</v>
      </c>
      <c r="C7" t="s">
        <v>203</v>
      </c>
      <c r="D7" t="s">
        <v>285</v>
      </c>
      <c r="E7" t="s">
        <v>204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148</v>
      </c>
      <c r="B8" t="s">
        <v>286</v>
      </c>
      <c r="C8" t="s">
        <v>203</v>
      </c>
      <c r="D8" t="s">
        <v>287</v>
      </c>
      <c r="E8" t="s">
        <v>204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148</v>
      </c>
      <c r="B9" t="s">
        <v>288</v>
      </c>
      <c r="C9" t="s">
        <v>203</v>
      </c>
      <c r="D9" t="s">
        <v>289</v>
      </c>
      <c r="E9" t="s">
        <v>204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148</v>
      </c>
      <c r="B10" t="s">
        <v>290</v>
      </c>
      <c r="C10" t="s">
        <v>203</v>
      </c>
      <c r="D10" t="s">
        <v>291</v>
      </c>
      <c r="E10" t="s">
        <v>204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148</v>
      </c>
      <c r="B11" t="s">
        <v>292</v>
      </c>
      <c r="C11" t="s">
        <v>203</v>
      </c>
      <c r="D11" t="s">
        <v>293</v>
      </c>
      <c r="E11" t="s">
        <v>204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148</v>
      </c>
      <c r="B12" t="s">
        <v>294</v>
      </c>
      <c r="C12" t="s">
        <v>203</v>
      </c>
      <c r="D12" t="s">
        <v>295</v>
      </c>
      <c r="E12" t="s">
        <v>204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148</v>
      </c>
      <c r="B13" t="s">
        <v>296</v>
      </c>
      <c r="C13" t="s">
        <v>203</v>
      </c>
      <c r="D13" t="s">
        <v>297</v>
      </c>
      <c r="E13" t="s">
        <v>204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148</v>
      </c>
      <c r="B14" t="s">
        <v>298</v>
      </c>
      <c r="C14" t="s">
        <v>203</v>
      </c>
      <c r="D14" t="s">
        <v>299</v>
      </c>
      <c r="E14" t="s">
        <v>204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148</v>
      </c>
      <c r="B15" t="s">
        <v>300</v>
      </c>
      <c r="C15" t="s">
        <v>203</v>
      </c>
      <c r="D15" t="s">
        <v>301</v>
      </c>
      <c r="E15" t="s">
        <v>204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148</v>
      </c>
      <c r="B16" t="s">
        <v>302</v>
      </c>
      <c r="C16" t="s">
        <v>203</v>
      </c>
      <c r="D16" t="s">
        <v>303</v>
      </c>
      <c r="E16" t="s">
        <v>204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148</v>
      </c>
      <c r="B17" t="s">
        <v>304</v>
      </c>
      <c r="C17" t="s">
        <v>203</v>
      </c>
      <c r="D17" t="s">
        <v>305</v>
      </c>
      <c r="E17" t="s">
        <v>204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148</v>
      </c>
      <c r="B18" t="s">
        <v>306</v>
      </c>
      <c r="C18" t="s">
        <v>203</v>
      </c>
      <c r="D18" t="s">
        <v>307</v>
      </c>
      <c r="E18" t="s">
        <v>204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148</v>
      </c>
      <c r="B19" t="s">
        <v>308</v>
      </c>
      <c r="C19" t="s">
        <v>203</v>
      </c>
      <c r="D19" t="s">
        <v>309</v>
      </c>
      <c r="E19" t="s">
        <v>204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148</v>
      </c>
      <c r="B20" t="s">
        <v>310</v>
      </c>
      <c r="C20" t="s">
        <v>203</v>
      </c>
      <c r="D20" t="s">
        <v>311</v>
      </c>
      <c r="E20" t="s">
        <v>204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148</v>
      </c>
      <c r="B21" t="s">
        <v>312</v>
      </c>
      <c r="C21" t="s">
        <v>203</v>
      </c>
      <c r="D21" t="s">
        <v>313</v>
      </c>
      <c r="E21" t="s">
        <v>204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148</v>
      </c>
      <c r="B22" t="s">
        <v>314</v>
      </c>
      <c r="C22" t="s">
        <v>203</v>
      </c>
      <c r="D22" t="s">
        <v>315</v>
      </c>
      <c r="E22" t="s">
        <v>204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148</v>
      </c>
      <c r="B23" t="s">
        <v>316</v>
      </c>
      <c r="C23" t="s">
        <v>203</v>
      </c>
      <c r="D23" t="s">
        <v>317</v>
      </c>
      <c r="E23" t="s">
        <v>204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148</v>
      </c>
      <c r="B24" t="s">
        <v>318</v>
      </c>
      <c r="C24" t="s">
        <v>203</v>
      </c>
      <c r="D24" t="s">
        <v>319</v>
      </c>
      <c r="E24" t="s">
        <v>204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148</v>
      </c>
      <c r="B25" t="s">
        <v>320</v>
      </c>
      <c r="C25" t="s">
        <v>203</v>
      </c>
      <c r="D25" t="s">
        <v>321</v>
      </c>
      <c r="E25" t="s">
        <v>204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148</v>
      </c>
      <c r="B26" t="s">
        <v>322</v>
      </c>
      <c r="C26" t="s">
        <v>203</v>
      </c>
      <c r="D26" t="s">
        <v>323</v>
      </c>
      <c r="E26" t="s">
        <v>204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148</v>
      </c>
      <c r="B27" t="s">
        <v>324</v>
      </c>
      <c r="C27" t="s">
        <v>203</v>
      </c>
      <c r="D27" t="s">
        <v>325</v>
      </c>
      <c r="E27" t="s">
        <v>204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148</v>
      </c>
      <c r="B28" t="s">
        <v>326</v>
      </c>
      <c r="C28" t="s">
        <v>203</v>
      </c>
      <c r="D28" t="s">
        <v>327</v>
      </c>
      <c r="E28" t="s">
        <v>204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148</v>
      </c>
      <c r="B29" t="s">
        <v>328</v>
      </c>
      <c r="C29" t="s">
        <v>203</v>
      </c>
      <c r="D29" t="s">
        <v>329</v>
      </c>
      <c r="E29" t="s">
        <v>204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148</v>
      </c>
      <c r="B30" t="s">
        <v>330</v>
      </c>
      <c r="C30" t="s">
        <v>203</v>
      </c>
      <c r="D30" t="s">
        <v>331</v>
      </c>
      <c r="E30" t="s">
        <v>204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148</v>
      </c>
      <c r="B31" t="s">
        <v>332</v>
      </c>
      <c r="C31" t="s">
        <v>203</v>
      </c>
      <c r="D31" t="s">
        <v>333</v>
      </c>
      <c r="E31" t="s">
        <v>204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148</v>
      </c>
      <c r="B32" t="s">
        <v>334</v>
      </c>
      <c r="C32" t="s">
        <v>203</v>
      </c>
      <c r="D32" t="s">
        <v>335</v>
      </c>
      <c r="E32" t="s">
        <v>204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148</v>
      </c>
      <c r="B33" t="s">
        <v>336</v>
      </c>
      <c r="C33" t="s">
        <v>203</v>
      </c>
      <c r="D33" t="s">
        <v>337</v>
      </c>
      <c r="E33" t="s">
        <v>204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148</v>
      </c>
      <c r="B34" t="s">
        <v>338</v>
      </c>
      <c r="C34" t="s">
        <v>203</v>
      </c>
      <c r="D34" t="s">
        <v>339</v>
      </c>
      <c r="E34" t="s">
        <v>204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148</v>
      </c>
      <c r="B35" t="s">
        <v>340</v>
      </c>
      <c r="C35" t="s">
        <v>203</v>
      </c>
      <c r="D35" t="s">
        <v>341</v>
      </c>
      <c r="E35" t="s">
        <v>204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148</v>
      </c>
      <c r="B36" t="s">
        <v>342</v>
      </c>
      <c r="C36" t="s">
        <v>203</v>
      </c>
      <c r="D36" t="s">
        <v>343</v>
      </c>
      <c r="E36" t="s">
        <v>204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148</v>
      </c>
      <c r="B37" t="s">
        <v>344</v>
      </c>
      <c r="C37" t="s">
        <v>203</v>
      </c>
      <c r="D37" t="s">
        <v>345</v>
      </c>
      <c r="E37" t="s">
        <v>204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148</v>
      </c>
      <c r="B38" t="s">
        <v>346</v>
      </c>
      <c r="C38" t="s">
        <v>203</v>
      </c>
      <c r="D38" t="s">
        <v>347</v>
      </c>
      <c r="E38" t="s">
        <v>204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148</v>
      </c>
      <c r="B39" t="s">
        <v>348</v>
      </c>
      <c r="C39" t="s">
        <v>203</v>
      </c>
      <c r="D39" t="s">
        <v>349</v>
      </c>
      <c r="E39" t="s">
        <v>204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148</v>
      </c>
      <c r="B40" t="s">
        <v>350</v>
      </c>
      <c r="C40" t="s">
        <v>203</v>
      </c>
      <c r="D40" t="s">
        <v>351</v>
      </c>
      <c r="E40" t="s">
        <v>204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148</v>
      </c>
      <c r="B41" t="s">
        <v>352</v>
      </c>
      <c r="C41" t="s">
        <v>203</v>
      </c>
      <c r="D41" t="s">
        <v>353</v>
      </c>
      <c r="E41" t="s">
        <v>204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148</v>
      </c>
      <c r="B42" t="s">
        <v>354</v>
      </c>
      <c r="C42" t="s">
        <v>203</v>
      </c>
      <c r="D42" t="s">
        <v>355</v>
      </c>
      <c r="E42" t="s">
        <v>204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148</v>
      </c>
      <c r="B43" t="s">
        <v>356</v>
      </c>
      <c r="C43" t="s">
        <v>203</v>
      </c>
      <c r="D43" t="s">
        <v>357</v>
      </c>
      <c r="E43" t="s">
        <v>204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148</v>
      </c>
      <c r="B44" t="s">
        <v>358</v>
      </c>
      <c r="C44" t="s">
        <v>203</v>
      </c>
      <c r="D44" t="s">
        <v>359</v>
      </c>
      <c r="E44" t="s">
        <v>204</v>
      </c>
      <c r="F44"/>
      <c r="G44"/>
      <c r="H44"/>
      <c r="I44"/>
      <c r="J44"/>
      <c r="K44" t="n">
        <v>1944.84536316516</v>
      </c>
      <c r="L44" t="n">
        <v>2473.72094412522</v>
      </c>
      <c r="M44" t="n">
        <v>3100.81473338856</v>
      </c>
      <c r="N44" t="n">
        <v>3843.58311617724</v>
      </c>
      <c r="O44" t="n">
        <v>4512.84593141382</v>
      </c>
      <c r="P44" t="n">
        <v>4220.86573398798</v>
      </c>
      <c r="Q44" t="n">
        <v>4053.35317682846</v>
      </c>
      <c r="R44" t="n">
        <v>3780.39130006553</v>
      </c>
      <c r="S44" t="n">
        <v>3582.91297283733</v>
      </c>
      <c r="T44" t="n">
        <v>3954.96065500805</v>
      </c>
      <c r="U44" t="n">
        <v>3508.31983701556</v>
      </c>
      <c r="V44" t="n">
        <v>2678.69183617606</v>
      </c>
      <c r="W44" t="n">
        <v>2454.38913813877</v>
      </c>
      <c r="X44" t="n">
        <v>1986.52040797473</v>
      </c>
      <c r="Y44" t="n">
        <v>2039.93654818699</v>
      </c>
      <c r="Z44" t="n">
        <v>1995.98818449176</v>
      </c>
      <c r="AA44" t="n">
        <v>1607.17822929286</v>
      </c>
      <c r="AB44" t="n">
        <v>1087.75825512835</v>
      </c>
      <c r="AC44" t="n">
        <v>827.476831199732</v>
      </c>
      <c r="AD44" t="n">
        <v>763.223202416918</v>
      </c>
      <c r="AE44" t="n">
        <v>814.4</v>
      </c>
      <c r="AF44" t="n">
        <v>913.8</v>
      </c>
    </row>
    <row r="45">
      <c r="A45" t="s">
        <v>148</v>
      </c>
      <c r="B45" t="s">
        <v>360</v>
      </c>
      <c r="C45" t="s">
        <v>203</v>
      </c>
      <c r="D45" t="s">
        <v>361</v>
      </c>
      <c r="E45" t="s">
        <v>204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148</v>
      </c>
      <c r="B46" t="s">
        <v>362</v>
      </c>
      <c r="C46" t="s">
        <v>203</v>
      </c>
      <c r="D46" t="s">
        <v>363</v>
      </c>
      <c r="E46" t="s">
        <v>204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148</v>
      </c>
      <c r="B47" t="s">
        <v>364</v>
      </c>
      <c r="C47" t="s">
        <v>203</v>
      </c>
      <c r="D47" t="s">
        <v>365</v>
      </c>
      <c r="E47" t="s">
        <v>204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148</v>
      </c>
      <c r="B48" t="s">
        <v>366</v>
      </c>
      <c r="C48" t="s">
        <v>203</v>
      </c>
      <c r="D48" t="s">
        <v>367</v>
      </c>
      <c r="E48" t="s">
        <v>204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148</v>
      </c>
      <c r="B49" t="s">
        <v>368</v>
      </c>
      <c r="C49" t="s">
        <v>203</v>
      </c>
      <c r="D49" t="s">
        <v>369</v>
      </c>
      <c r="E49" t="s">
        <v>204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148</v>
      </c>
      <c r="B50" t="s">
        <v>370</v>
      </c>
      <c r="C50" t="s">
        <v>203</v>
      </c>
      <c r="D50" t="s">
        <v>371</v>
      </c>
      <c r="E50" t="s">
        <v>204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148</v>
      </c>
      <c r="B51" t="s">
        <v>372</v>
      </c>
      <c r="C51" t="s">
        <v>203</v>
      </c>
      <c r="D51" t="s">
        <v>373</v>
      </c>
      <c r="E51" t="s">
        <v>204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148</v>
      </c>
      <c r="B52" t="s">
        <v>374</v>
      </c>
      <c r="C52" t="s">
        <v>203</v>
      </c>
      <c r="D52" t="s">
        <v>375</v>
      </c>
      <c r="E52" t="s">
        <v>204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148</v>
      </c>
      <c r="B53" t="s">
        <v>376</v>
      </c>
      <c r="C53" t="s">
        <v>203</v>
      </c>
      <c r="D53" t="s">
        <v>377</v>
      </c>
      <c r="E53" t="s">
        <v>204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148</v>
      </c>
      <c r="B54" t="s">
        <v>378</v>
      </c>
      <c r="C54" t="s">
        <v>203</v>
      </c>
      <c r="D54" t="s">
        <v>379</v>
      </c>
      <c r="E54" t="s">
        <v>204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148</v>
      </c>
      <c r="B55" t="s">
        <v>380</v>
      </c>
      <c r="C55" t="s">
        <v>203</v>
      </c>
      <c r="D55" t="s">
        <v>381</v>
      </c>
      <c r="E55" t="s">
        <v>204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148</v>
      </c>
      <c r="B56" t="s">
        <v>382</v>
      </c>
      <c r="C56" t="s">
        <v>203</v>
      </c>
      <c r="D56" t="s">
        <v>383</v>
      </c>
      <c r="E56" t="s">
        <v>204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148</v>
      </c>
      <c r="B57" t="s">
        <v>384</v>
      </c>
      <c r="C57" t="s">
        <v>203</v>
      </c>
      <c r="D57" t="s">
        <v>385</v>
      </c>
      <c r="E57" t="s">
        <v>204</v>
      </c>
      <c r="F57"/>
      <c r="G57"/>
      <c r="H57"/>
      <c r="I57"/>
      <c r="J57"/>
      <c r="K57" t="n">
        <v>1943.15219015821</v>
      </c>
      <c r="L57" t="n">
        <v>2471.56733458452</v>
      </c>
      <c r="M57" t="n">
        <v>3098.11517901496</v>
      </c>
      <c r="N57" t="n">
        <v>3840.2369112267</v>
      </c>
      <c r="O57" t="n">
        <v>4508.91706947945</v>
      </c>
      <c r="P57" t="n">
        <v>4217.19106860734</v>
      </c>
      <c r="Q57" t="n">
        <v>4049.82434707336</v>
      </c>
      <c r="R57" t="n">
        <v>3777.10010960577</v>
      </c>
      <c r="S57" t="n">
        <v>3579.79370605822</v>
      </c>
      <c r="T57" t="n">
        <v>3951.51748530859</v>
      </c>
      <c r="U57" t="n">
        <v>3505.26551066125</v>
      </c>
      <c r="V57" t="n">
        <v>2676.35977996386</v>
      </c>
      <c r="W57" t="n">
        <v>2452.25235877526</v>
      </c>
      <c r="X57" t="n">
        <v>1984.79095287447</v>
      </c>
      <c r="Y57" t="n">
        <v>2038.37578939901</v>
      </c>
      <c r="Z57" t="n">
        <v>1995.60946239153</v>
      </c>
      <c r="AA57" t="n">
        <v>1608.12660444479</v>
      </c>
      <c r="AB57" t="n">
        <v>1089.07820406292</v>
      </c>
      <c r="AC57" t="n">
        <v>829.350682904458</v>
      </c>
      <c r="AD57" t="n">
        <v>765.245772103107</v>
      </c>
      <c r="AE57" t="n">
        <v>816.8</v>
      </c>
      <c r="AF57" t="n">
        <v>916.8</v>
      </c>
    </row>
    <row r="58">
      <c r="A58" t="s">
        <v>148</v>
      </c>
      <c r="B58" t="s">
        <v>386</v>
      </c>
      <c r="C58" t="s">
        <v>203</v>
      </c>
      <c r="D58" t="s">
        <v>387</v>
      </c>
      <c r="E58" t="s">
        <v>204</v>
      </c>
      <c r="F58"/>
      <c r="G58"/>
      <c r="H58"/>
      <c r="I58"/>
      <c r="J58"/>
      <c r="K58" t="n">
        <v>1943.15219015821</v>
      </c>
      <c r="L58" t="n">
        <v>2471.56733458452</v>
      </c>
      <c r="M58" t="n">
        <v>3098.11517901496</v>
      </c>
      <c r="N58" t="n">
        <v>3840.2369112267</v>
      </c>
      <c r="O58" t="n">
        <v>4508.91706947945</v>
      </c>
      <c r="P58" t="n">
        <v>4217.19106860734</v>
      </c>
      <c r="Q58" t="n">
        <v>4049.82434707336</v>
      </c>
      <c r="R58" t="n">
        <v>3777.10010960577</v>
      </c>
      <c r="S58" t="n">
        <v>3579.79370605822</v>
      </c>
      <c r="T58" t="n">
        <v>3951.51748530859</v>
      </c>
      <c r="U58" t="n">
        <v>3505.26551066125</v>
      </c>
      <c r="V58" t="n">
        <v>2676.35977996386</v>
      </c>
      <c r="W58" t="n">
        <v>2452.25235877526</v>
      </c>
      <c r="X58" t="n">
        <v>1984.79095287447</v>
      </c>
      <c r="Y58" t="n">
        <v>2038.37578939901</v>
      </c>
      <c r="Z58" t="n">
        <v>1995.60946239153</v>
      </c>
      <c r="AA58" t="n">
        <v>1608.12660444479</v>
      </c>
      <c r="AB58" t="n">
        <v>1089.07820406292</v>
      </c>
      <c r="AC58" t="n">
        <v>829.350682904458</v>
      </c>
      <c r="AD58" t="n">
        <v>765.245772103107</v>
      </c>
      <c r="AE58" t="n">
        <v>816.8</v>
      </c>
      <c r="AF58" t="n">
        <v>916.8</v>
      </c>
    </row>
    <row r="59">
      <c r="A59" t="s">
        <v>148</v>
      </c>
      <c r="B59" t="s">
        <v>388</v>
      </c>
      <c r="C59" t="s">
        <v>203</v>
      </c>
      <c r="D59" t="s">
        <v>389</v>
      </c>
      <c r="E59" t="s">
        <v>204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149</v>
      </c>
      <c r="B2" t="s">
        <v>197</v>
      </c>
      <c r="C2" t="s">
        <v>203</v>
      </c>
      <c r="D2" t="s">
        <v>199</v>
      </c>
      <c r="E2" t="s">
        <v>204</v>
      </c>
      <c r="F2"/>
      <c r="G2"/>
      <c r="H2"/>
      <c r="I2"/>
      <c r="J2"/>
      <c r="K2" t="n">
        <v>20.2751106781582</v>
      </c>
      <c r="L2" t="n">
        <v>22.0381637806068</v>
      </c>
      <c r="M2" t="n">
        <v>22.2038642601602</v>
      </c>
      <c r="N2" t="n">
        <v>21.3935042506653</v>
      </c>
      <c r="O2" t="n">
        <v>21.2338512338693</v>
      </c>
      <c r="P2" t="n">
        <v>22.1438734296065</v>
      </c>
      <c r="Q2" t="n">
        <v>22.8675294240381</v>
      </c>
      <c r="R2" t="n">
        <v>17.5272081812987</v>
      </c>
      <c r="S2" t="n">
        <v>1.42814288884656</v>
      </c>
      <c r="T2" t="n">
        <v>23.3263338511605</v>
      </c>
      <c r="U2" t="n">
        <v>23.0953800506539</v>
      </c>
      <c r="V2" t="n">
        <v>19.9254259260544</v>
      </c>
      <c r="W2" t="n">
        <v>22.7876418049351</v>
      </c>
      <c r="X2" t="n">
        <v>22.9004519128803</v>
      </c>
      <c r="Y2" t="n">
        <v>25.6535117056856</v>
      </c>
      <c r="Z2" t="n">
        <v>7.25553866423432</v>
      </c>
      <c r="AA2" t="n">
        <v>6.08946995033952</v>
      </c>
      <c r="AB2" t="n">
        <v>5.95990675990676</v>
      </c>
      <c r="AC2" t="n">
        <v>4.18461538461538</v>
      </c>
      <c r="AD2" t="n">
        <v>1.84615384615385</v>
      </c>
      <c r="AE2" t="n">
        <v>1.5</v>
      </c>
      <c r="AF2" t="n">
        <v>2.4</v>
      </c>
    </row>
    <row r="3">
      <c r="A3" t="s">
        <v>149</v>
      </c>
      <c r="B3" t="s">
        <v>276</v>
      </c>
      <c r="C3" t="s">
        <v>203</v>
      </c>
      <c r="D3" t="s">
        <v>277</v>
      </c>
      <c r="E3" t="s">
        <v>204</v>
      </c>
      <c r="F3" t="e">
        <v>#NUM!</v>
      </c>
      <c r="G3" t="e">
        <v>#NUM!</v>
      </c>
      <c r="H3" t="e">
        <v>#NUM!</v>
      </c>
      <c r="I3" t="e">
        <v>#NUM!</v>
      </c>
      <c r="J3" t="e">
        <v>#NUM!</v>
      </c>
      <c r="K3" t="e">
        <v>#NUM!</v>
      </c>
      <c r="L3" t="e">
        <v>#NUM!</v>
      </c>
      <c r="M3" t="e">
        <v>#NUM!</v>
      </c>
      <c r="N3" t="e">
        <v>#NUM!</v>
      </c>
      <c r="O3" t="e">
        <v>#NUM!</v>
      </c>
      <c r="P3" t="e">
        <v>#NUM!</v>
      </c>
      <c r="Q3" t="e">
        <v>#NUM!</v>
      </c>
      <c r="R3" t="e">
        <v>#NUM!</v>
      </c>
      <c r="S3" t="e">
        <v>#NUM!</v>
      </c>
      <c r="T3" t="e">
        <v>#NUM!</v>
      </c>
      <c r="U3" t="e">
        <v>#NUM!</v>
      </c>
      <c r="V3" t="e">
        <v>#NUM!</v>
      </c>
      <c r="W3" t="e">
        <v>#NUM!</v>
      </c>
      <c r="X3" t="e">
        <v>#NUM!</v>
      </c>
      <c r="Y3" t="n">
        <v>0</v>
      </c>
      <c r="Z3" t="n">
        <v>21.5932745199792</v>
      </c>
      <c r="AA3" t="n">
        <v>7.40699532952776</v>
      </c>
      <c r="AB3" t="n">
        <v>2.25976128697457</v>
      </c>
      <c r="AC3" t="n">
        <v>2.51084587441619</v>
      </c>
      <c r="AD3" t="n">
        <v>5.61951219512195</v>
      </c>
      <c r="AE3" t="n">
        <v>4.8</v>
      </c>
      <c r="AF3" t="n">
        <v>5.5</v>
      </c>
    </row>
    <row r="4">
      <c r="A4" t="s">
        <v>149</v>
      </c>
      <c r="B4" t="s">
        <v>278</v>
      </c>
      <c r="C4" t="s">
        <v>203</v>
      </c>
      <c r="D4" t="s">
        <v>279</v>
      </c>
      <c r="E4" t="s">
        <v>204</v>
      </c>
      <c r="F4"/>
      <c r="G4"/>
      <c r="H4"/>
      <c r="I4"/>
      <c r="J4"/>
      <c r="K4" t="n">
        <v>188.918904219287</v>
      </c>
      <c r="L4" t="n">
        <v>164.125480560194</v>
      </c>
      <c r="M4" t="n">
        <v>182.742699250604</v>
      </c>
      <c r="N4" t="n">
        <v>184.180360346107</v>
      </c>
      <c r="O4" t="n">
        <v>163.086199417578</v>
      </c>
      <c r="P4" t="n">
        <v>158.614000164811</v>
      </c>
      <c r="Q4" t="n">
        <v>149.668000155515</v>
      </c>
      <c r="R4" t="n">
        <v>251.641081051419</v>
      </c>
      <c r="S4" t="n">
        <v>220.487940648388</v>
      </c>
      <c r="T4" t="n">
        <v>143.363000910153</v>
      </c>
      <c r="U4" t="n">
        <v>105.296117128109</v>
      </c>
      <c r="V4" t="n">
        <v>91.9027123641406</v>
      </c>
      <c r="W4" t="n">
        <v>122.536949818854</v>
      </c>
      <c r="X4" t="n">
        <v>155.965984844724</v>
      </c>
      <c r="Y4" t="n">
        <v>175.476787582056</v>
      </c>
      <c r="Z4" t="n">
        <v>275.338577666147</v>
      </c>
      <c r="AA4" t="n">
        <v>489.114659141912</v>
      </c>
      <c r="AB4" t="n">
        <v>618.682288529196</v>
      </c>
      <c r="AC4" t="n">
        <v>706.766286199123</v>
      </c>
      <c r="AD4" t="n">
        <v>639.466616113744</v>
      </c>
      <c r="AE4" t="n">
        <v>614.2</v>
      </c>
      <c r="AF4" t="n">
        <v>564.2</v>
      </c>
    </row>
    <row r="5">
      <c r="A5" t="s">
        <v>149</v>
      </c>
      <c r="B5" t="s">
        <v>280</v>
      </c>
      <c r="C5" t="s">
        <v>203</v>
      </c>
      <c r="D5" t="s">
        <v>281</v>
      </c>
      <c r="E5" t="s">
        <v>204</v>
      </c>
      <c r="F5"/>
      <c r="G5"/>
      <c r="H5"/>
      <c r="I5"/>
      <c r="J5"/>
      <c r="K5" t="n">
        <v>3.56022385523025</v>
      </c>
      <c r="L5" t="n">
        <v>3.56022385523025</v>
      </c>
      <c r="M5" t="n">
        <v>3.23656714111841</v>
      </c>
      <c r="N5" t="n">
        <v>3.39839549817433</v>
      </c>
      <c r="O5" t="n">
        <v>3.56022385523025</v>
      </c>
      <c r="P5" t="n">
        <v>3.41188119459566</v>
      </c>
      <c r="Q5" t="n">
        <v>3.26971947815417</v>
      </c>
      <c r="R5" t="n">
        <v>4.22338765928247</v>
      </c>
      <c r="S5" t="n">
        <v>1.40779588642749</v>
      </c>
      <c r="T5" t="n">
        <v>2.46364280124811</v>
      </c>
      <c r="U5" t="n">
        <v>1.00785387323786</v>
      </c>
      <c r="V5" t="n">
        <v>1.90372398278263</v>
      </c>
      <c r="W5" t="n">
        <v>2.23967527386192</v>
      </c>
      <c r="X5" t="n">
        <v>2.7995940923274</v>
      </c>
      <c r="Y5" t="n">
        <v>3.04303705687761</v>
      </c>
      <c r="Z5" t="n">
        <v>4.81814200672288</v>
      </c>
      <c r="AA5" t="n">
        <v>5.95928090305198</v>
      </c>
      <c r="AB5" t="n">
        <v>5.95928090305198</v>
      </c>
      <c r="AC5" t="n">
        <v>12.7876236044657</v>
      </c>
      <c r="AD5" t="n">
        <v>18.0956937799043</v>
      </c>
      <c r="AE5" t="n">
        <v>24.4</v>
      </c>
      <c r="AF5" t="n">
        <v>24.8</v>
      </c>
    </row>
    <row r="6">
      <c r="A6" t="s">
        <v>149</v>
      </c>
      <c r="B6" t="s">
        <v>282</v>
      </c>
      <c r="C6" t="s">
        <v>203</v>
      </c>
      <c r="D6" t="s">
        <v>283</v>
      </c>
      <c r="E6" t="s">
        <v>204</v>
      </c>
      <c r="F6"/>
      <c r="G6"/>
      <c r="H6"/>
      <c r="I6"/>
      <c r="J6"/>
      <c r="K6" t="n">
        <v>0.980976042653335</v>
      </c>
      <c r="L6" t="n">
        <v>0.980976042653335</v>
      </c>
      <c r="M6" t="n">
        <v>0.735732031990001</v>
      </c>
      <c r="N6" t="n">
        <v>0.735732031990001</v>
      </c>
      <c r="O6" t="n">
        <v>0.840836607988573</v>
      </c>
      <c r="P6" t="n">
        <v>0.840836607988573</v>
      </c>
      <c r="Q6" t="n">
        <v>0.840836607988573</v>
      </c>
      <c r="R6" t="n">
        <v>0.315313727995715</v>
      </c>
      <c r="S6" t="n">
        <v>0.315313727995715</v>
      </c>
      <c r="T6" t="n">
        <v>1.26125491198286</v>
      </c>
      <c r="U6" t="n">
        <v>1.78677779197572</v>
      </c>
      <c r="V6" t="n">
        <v>2.52250982396572</v>
      </c>
      <c r="W6" t="n">
        <v>2.1189082521312</v>
      </c>
      <c r="X6" t="n">
        <v>2.75458072777056</v>
      </c>
      <c r="Y6" t="n">
        <v>3.11387386617542</v>
      </c>
      <c r="Z6" t="n">
        <v>16.3166990587592</v>
      </c>
      <c r="AA6" t="n">
        <v>31.5037804903735</v>
      </c>
      <c r="AB6" t="n">
        <v>47.8204795491327</v>
      </c>
      <c r="AC6" t="n">
        <v>46.2182469869195</v>
      </c>
      <c r="AD6" t="n">
        <v>51.1274390243903</v>
      </c>
      <c r="AE6" t="n">
        <v>38.2</v>
      </c>
      <c r="AF6" t="n">
        <v>35.7</v>
      </c>
    </row>
    <row r="7">
      <c r="A7" t="s">
        <v>149</v>
      </c>
      <c r="B7" t="s">
        <v>284</v>
      </c>
      <c r="C7" t="s">
        <v>203</v>
      </c>
      <c r="D7" t="s">
        <v>285</v>
      </c>
      <c r="E7" t="s">
        <v>204</v>
      </c>
      <c r="F7" t="e">
        <v>#NUM!</v>
      </c>
      <c r="G7" t="e">
        <v>#NUM!</v>
      </c>
      <c r="H7" t="e">
        <v>#NUM!</v>
      </c>
      <c r="I7" t="e">
        <v>#NUM!</v>
      </c>
      <c r="J7" t="e">
        <v>#NUM!</v>
      </c>
      <c r="K7" t="e">
        <v>#NUM!</v>
      </c>
      <c r="L7" t="e">
        <v>#NUM!</v>
      </c>
      <c r="M7" t="e">
        <v>#NUM!</v>
      </c>
      <c r="N7" t="e">
        <v>#NUM!</v>
      </c>
      <c r="O7" t="e">
        <v>#NUM!</v>
      </c>
      <c r="P7" t="e">
        <v>#NUM!</v>
      </c>
      <c r="Q7" t="e">
        <v>#NUM!</v>
      </c>
      <c r="R7" t="e">
        <v>#NUM!</v>
      </c>
      <c r="S7" t="e">
        <v>#NUM!</v>
      </c>
      <c r="T7" t="e">
        <v>#NUM!</v>
      </c>
      <c r="U7" t="n">
        <v>0</v>
      </c>
      <c r="V7" t="n">
        <v>0.12437870824485</v>
      </c>
      <c r="W7" t="n">
        <v>0.12437870824485</v>
      </c>
      <c r="X7" t="n">
        <v>0.12437870824485</v>
      </c>
      <c r="Y7" t="n">
        <v>0.12437870824485</v>
      </c>
      <c r="Z7" t="n">
        <v>2.9850889978764</v>
      </c>
      <c r="AA7" t="n">
        <v>6.59207153697706</v>
      </c>
      <c r="AB7" t="n">
        <v>10.3234327843226</v>
      </c>
      <c r="AC7" t="n">
        <v>17.8202113538901</v>
      </c>
      <c r="AD7" t="n">
        <v>19.8533898305085</v>
      </c>
      <c r="AE7" t="n">
        <v>13.7</v>
      </c>
      <c r="AF7" t="n">
        <v>13.6</v>
      </c>
    </row>
    <row r="8">
      <c r="A8" t="s">
        <v>149</v>
      </c>
      <c r="B8" t="s">
        <v>286</v>
      </c>
      <c r="C8" t="s">
        <v>203</v>
      </c>
      <c r="D8" t="s">
        <v>287</v>
      </c>
      <c r="E8" t="s">
        <v>204</v>
      </c>
      <c r="F8"/>
      <c r="G8"/>
      <c r="H8"/>
      <c r="I8"/>
      <c r="J8"/>
      <c r="K8" t="n">
        <v>11.701732054467</v>
      </c>
      <c r="L8" t="n">
        <v>12.1698013366457</v>
      </c>
      <c r="M8" t="n">
        <v>10.2863797012124</v>
      </c>
      <c r="N8" t="n">
        <v>10.8500169451145</v>
      </c>
      <c r="O8" t="n">
        <v>11.9628391958954</v>
      </c>
      <c r="P8" t="n">
        <v>11.6999196531285</v>
      </c>
      <c r="Q8" t="n">
        <v>10.9450861271202</v>
      </c>
      <c r="R8" t="n">
        <v>16.4176291906803</v>
      </c>
      <c r="S8" t="n">
        <v>9.7831078054054</v>
      </c>
      <c r="T8" t="n">
        <v>10.0888299243243</v>
      </c>
      <c r="U8" t="n">
        <v>3.6596736</v>
      </c>
      <c r="V8" t="n">
        <v>2.3113728</v>
      </c>
      <c r="W8" t="n">
        <v>1.926144</v>
      </c>
      <c r="X8" t="n">
        <v>2.5344</v>
      </c>
      <c r="Y8" t="n">
        <v>2.88</v>
      </c>
      <c r="Z8" t="n">
        <v>2.28</v>
      </c>
      <c r="AA8" t="n">
        <v>2.16</v>
      </c>
      <c r="AB8" t="n">
        <v>2.64</v>
      </c>
      <c r="AC8" t="n">
        <v>2.4</v>
      </c>
      <c r="AD8" t="n">
        <v>2.85714285714286</v>
      </c>
      <c r="AE8" t="n">
        <v>2.4</v>
      </c>
      <c r="AF8" t="n">
        <v>2.6</v>
      </c>
    </row>
    <row r="9">
      <c r="A9" t="s">
        <v>149</v>
      </c>
      <c r="B9" t="s">
        <v>288</v>
      </c>
      <c r="C9" t="s">
        <v>203</v>
      </c>
      <c r="D9" t="s">
        <v>289</v>
      </c>
      <c r="E9" t="s">
        <v>204</v>
      </c>
      <c r="F9"/>
      <c r="G9"/>
      <c r="H9"/>
      <c r="I9"/>
      <c r="J9"/>
      <c r="K9" t="n">
        <v>14.6278001952835</v>
      </c>
      <c r="L9" t="n">
        <v>12.4058558618227</v>
      </c>
      <c r="M9" t="n">
        <v>14.128891398187</v>
      </c>
      <c r="N9" t="n">
        <v>14.128891398187</v>
      </c>
      <c r="O9" t="n">
        <v>12.3004466290098</v>
      </c>
      <c r="P9" t="n">
        <v>11.9850505615993</v>
      </c>
      <c r="Q9" t="n">
        <v>11.2359849014994</v>
      </c>
      <c r="R9" t="n">
        <v>14.6067803719492</v>
      </c>
      <c r="S9" t="n">
        <v>6.29833649065699</v>
      </c>
      <c r="T9" t="n">
        <v>4.72375236799274</v>
      </c>
      <c r="U9" t="n">
        <v>6.61325331518984</v>
      </c>
      <c r="V9" t="n">
        <v>6.27118848854209</v>
      </c>
      <c r="W9" t="n">
        <v>2.75052126690443</v>
      </c>
      <c r="X9" t="n">
        <v>3.41064637096149</v>
      </c>
      <c r="Y9" t="n">
        <v>3.89788156681313</v>
      </c>
      <c r="Z9" t="n">
        <v>13.4539783112582</v>
      </c>
      <c r="AA9" t="n">
        <v>23.8902418611127</v>
      </c>
      <c r="AB9" t="n">
        <v>32.4404336850899</v>
      </c>
      <c r="AC9" t="n">
        <v>42.2708681351171</v>
      </c>
      <c r="AD9" t="n">
        <v>39.6438650306748</v>
      </c>
      <c r="AE9" t="n">
        <v>37.9</v>
      </c>
      <c r="AF9" t="n">
        <v>33.3</v>
      </c>
    </row>
    <row r="10">
      <c r="A10" t="s">
        <v>149</v>
      </c>
      <c r="B10" t="s">
        <v>290</v>
      </c>
      <c r="C10" t="s">
        <v>203</v>
      </c>
      <c r="D10" t="s">
        <v>291</v>
      </c>
      <c r="E10" t="s">
        <v>204</v>
      </c>
      <c r="F10"/>
      <c r="G10"/>
      <c r="H10"/>
      <c r="I10"/>
      <c r="J10"/>
      <c r="K10" t="n">
        <v>50.6406848292722</v>
      </c>
      <c r="L10" t="n">
        <v>48.8823277171447</v>
      </c>
      <c r="M10" t="n">
        <v>46.7426972110071</v>
      </c>
      <c r="N10" t="n">
        <v>48.3545143562142</v>
      </c>
      <c r="O10" t="n">
        <v>48.8316970636768</v>
      </c>
      <c r="P10" t="n">
        <v>47.4752610341303</v>
      </c>
      <c r="Q10" t="n">
        <v>44.8935247845401</v>
      </c>
      <c r="R10" t="n">
        <v>114.200446732878</v>
      </c>
      <c r="S10" t="n">
        <v>130.514796266147</v>
      </c>
      <c r="T10" t="n">
        <v>40.5325454242692</v>
      </c>
      <c r="U10" t="n">
        <v>35.7045690994947</v>
      </c>
      <c r="V10" t="n">
        <v>34.2807672642388</v>
      </c>
      <c r="W10" t="n">
        <v>35.8776974162996</v>
      </c>
      <c r="X10" t="n">
        <v>45.4450833939795</v>
      </c>
      <c r="Y10" t="n">
        <v>51.2465834017216</v>
      </c>
      <c r="Z10" t="n">
        <v>41.3480990771837</v>
      </c>
      <c r="AA10" t="n">
        <v>64.4728718133594</v>
      </c>
      <c r="AB10" t="n">
        <v>86.0058036103994</v>
      </c>
      <c r="AC10" t="n">
        <v>95.863202305001</v>
      </c>
      <c r="AD10" t="n">
        <v>92.6318584070796</v>
      </c>
      <c r="AE10" t="n">
        <v>78.9</v>
      </c>
      <c r="AF10" t="n">
        <v>75</v>
      </c>
    </row>
    <row r="11">
      <c r="A11" t="s">
        <v>149</v>
      </c>
      <c r="B11" t="s">
        <v>292</v>
      </c>
      <c r="C11" t="s">
        <v>203</v>
      </c>
      <c r="D11" t="s">
        <v>293</v>
      </c>
      <c r="E11" t="s">
        <v>204</v>
      </c>
      <c r="F11"/>
      <c r="G11"/>
      <c r="H11"/>
      <c r="I11"/>
      <c r="J11"/>
      <c r="K11" t="n">
        <v>36.3497315764217</v>
      </c>
      <c r="L11" t="n">
        <v>36.6975758977272</v>
      </c>
      <c r="M11" t="n">
        <v>32.9462681392928</v>
      </c>
      <c r="N11" t="n">
        <v>34.5456015441129</v>
      </c>
      <c r="O11" t="n">
        <v>36.7539961633713</v>
      </c>
      <c r="P11" t="n">
        <v>35.7081507440883</v>
      </c>
      <c r="Q11" t="n">
        <v>33.8587246099324</v>
      </c>
      <c r="R11" t="n">
        <v>99.5527440722314</v>
      </c>
      <c r="S11" t="n">
        <v>123.675139751272</v>
      </c>
      <c r="T11" t="n">
        <v>35.7795055466471</v>
      </c>
      <c r="U11" t="n">
        <v>29.2032101346465</v>
      </c>
      <c r="V11" t="n">
        <v>28.113538114697</v>
      </c>
      <c r="W11" t="n">
        <v>33.0997127991905</v>
      </c>
      <c r="X11" t="n">
        <v>41.9986519779892</v>
      </c>
      <c r="Y11" t="n">
        <v>47.3088263660108</v>
      </c>
      <c r="Z11" t="n">
        <v>27.9097044434403</v>
      </c>
      <c r="AA11" t="n">
        <v>40.6073627713117</v>
      </c>
      <c r="AB11" t="n">
        <v>53.5966744652406</v>
      </c>
      <c r="AC11" t="n">
        <v>53.5966744652406</v>
      </c>
      <c r="AD11" t="n">
        <v>52.9971590909091</v>
      </c>
      <c r="AE11" t="n">
        <v>41</v>
      </c>
      <c r="AF11" t="n">
        <v>41.7</v>
      </c>
    </row>
    <row r="12">
      <c r="A12" t="s">
        <v>149</v>
      </c>
      <c r="B12" t="s">
        <v>294</v>
      </c>
      <c r="C12" t="s">
        <v>203</v>
      </c>
      <c r="D12" t="s">
        <v>295</v>
      </c>
      <c r="E12" t="s">
        <v>204</v>
      </c>
      <c r="F12"/>
      <c r="G12"/>
      <c r="H12"/>
      <c r="I12"/>
      <c r="J12"/>
      <c r="K12" t="n">
        <v>9.22696724199562</v>
      </c>
      <c r="L12" t="n">
        <v>7.62999214241946</v>
      </c>
      <c r="M12" t="n">
        <v>9.12281669202327</v>
      </c>
      <c r="N12" t="n">
        <v>8.96276727637373</v>
      </c>
      <c r="O12" t="n">
        <v>7.39035196472922</v>
      </c>
      <c r="P12" t="n">
        <v>7.24254492543464</v>
      </c>
      <c r="Q12" t="n">
        <v>6.95852355580975</v>
      </c>
      <c r="R12" t="n">
        <v>5.86699044901606</v>
      </c>
      <c r="S12" t="n">
        <v>6.91001097328559</v>
      </c>
      <c r="T12" t="n">
        <v>6.67577331317421</v>
      </c>
      <c r="U12" t="n">
        <v>3.50760970692204</v>
      </c>
      <c r="V12" t="n">
        <v>0.986515230071824</v>
      </c>
      <c r="W12" t="n">
        <v>0.657676820047883</v>
      </c>
      <c r="X12" t="n">
        <v>0.767289623389197</v>
      </c>
      <c r="Y12" t="n">
        <v>0.876902426730511</v>
      </c>
      <c r="Z12" t="n">
        <v>16.1600590068908</v>
      </c>
      <c r="AA12" t="n">
        <v>32.5706615642761</v>
      </c>
      <c r="AB12" t="n">
        <v>30.5585743633942</v>
      </c>
      <c r="AC12" t="n">
        <v>38.3214380121597</v>
      </c>
      <c r="AD12" t="n">
        <v>46.4647435897436</v>
      </c>
      <c r="AE12" t="n">
        <v>54.5</v>
      </c>
      <c r="AF12" t="n">
        <v>41.4</v>
      </c>
    </row>
    <row r="13">
      <c r="A13" t="s">
        <v>149</v>
      </c>
      <c r="B13" t="s">
        <v>296</v>
      </c>
      <c r="C13" t="s">
        <v>203</v>
      </c>
      <c r="D13" t="s">
        <v>297</v>
      </c>
      <c r="E13" t="s">
        <v>204</v>
      </c>
      <c r="F13"/>
      <c r="G13"/>
      <c r="H13"/>
      <c r="I13"/>
      <c r="J13"/>
      <c r="K13" t="n">
        <v>31.0252989858218</v>
      </c>
      <c r="L13" t="n">
        <v>23.1375111080705</v>
      </c>
      <c r="M13" t="n">
        <v>31.8345897515296</v>
      </c>
      <c r="N13" t="n">
        <v>31.1914667262462</v>
      </c>
      <c r="O13" t="n">
        <v>23.1165184874718</v>
      </c>
      <c r="P13" t="n">
        <v>22.3659821729435</v>
      </c>
      <c r="Q13" t="n">
        <v>20.9413973211636</v>
      </c>
      <c r="R13" t="n">
        <v>33.1572124251758</v>
      </c>
      <c r="S13" t="n">
        <v>27.9486081744777</v>
      </c>
      <c r="T13" t="n">
        <v>32.7594341717238</v>
      </c>
      <c r="U13" t="n">
        <v>22.0624760748344</v>
      </c>
      <c r="V13" t="n">
        <v>14.8539442880073</v>
      </c>
      <c r="W13" t="n">
        <v>11.9892550324631</v>
      </c>
      <c r="X13" t="n">
        <v>15.2590518594984</v>
      </c>
      <c r="Y13" t="n">
        <v>17.181452093766</v>
      </c>
      <c r="Z13" t="n">
        <v>30.725954474253</v>
      </c>
      <c r="AA13" t="n">
        <v>91.0491548910517</v>
      </c>
      <c r="AB13" t="n">
        <v>130.663082778733</v>
      </c>
      <c r="AC13" t="n">
        <v>126.965071001976</v>
      </c>
      <c r="AD13" t="n">
        <v>103.346450617284</v>
      </c>
      <c r="AE13" t="n">
        <v>75.5</v>
      </c>
      <c r="AF13" t="n">
        <v>85</v>
      </c>
    </row>
    <row r="14">
      <c r="A14" t="s">
        <v>149</v>
      </c>
      <c r="B14" t="s">
        <v>298</v>
      </c>
      <c r="C14" t="s">
        <v>203</v>
      </c>
      <c r="D14" t="s">
        <v>299</v>
      </c>
      <c r="E14" t="s">
        <v>204</v>
      </c>
      <c r="F14"/>
      <c r="G14"/>
      <c r="H14"/>
      <c r="I14"/>
      <c r="J14"/>
      <c r="K14" t="n">
        <v>13.3408775603176</v>
      </c>
      <c r="L14" t="n">
        <v>12.9943612600497</v>
      </c>
      <c r="M14" t="n">
        <v>12.3446431970472</v>
      </c>
      <c r="N14" t="n">
        <v>12.8256033216075</v>
      </c>
      <c r="O14" t="n">
        <v>12.9839441033557</v>
      </c>
      <c r="P14" t="n">
        <v>12.6854626297153</v>
      </c>
      <c r="Q14" t="n">
        <v>11.9727961898437</v>
      </c>
      <c r="R14" t="n">
        <v>22.8693859806003</v>
      </c>
      <c r="S14" t="n">
        <v>13.3404751553502</v>
      </c>
      <c r="T14" t="n">
        <v>17.10317327609</v>
      </c>
      <c r="U14" t="n">
        <v>17.4342024362724</v>
      </c>
      <c r="V14" t="n">
        <v>4.22319189450076</v>
      </c>
      <c r="W14" t="n">
        <v>12.7751554808648</v>
      </c>
      <c r="X14" t="n">
        <v>16.4561324838258</v>
      </c>
      <c r="Y14" t="n">
        <v>18.4981343248845</v>
      </c>
      <c r="Z14" t="n">
        <v>39.121054349249</v>
      </c>
      <c r="AA14" t="n">
        <v>72.0980969577505</v>
      </c>
      <c r="AB14" t="n">
        <v>76.7455352633895</v>
      </c>
      <c r="AC14" t="n">
        <v>129.962343022273</v>
      </c>
      <c r="AD14" t="n">
        <v>80.2532440782698</v>
      </c>
      <c r="AE14" t="n">
        <v>113.1</v>
      </c>
      <c r="AF14" t="n">
        <v>94.7</v>
      </c>
    </row>
    <row r="15">
      <c r="A15" t="s">
        <v>149</v>
      </c>
      <c r="B15" t="s">
        <v>300</v>
      </c>
      <c r="C15" t="s">
        <v>203</v>
      </c>
      <c r="D15" t="s">
        <v>301</v>
      </c>
      <c r="E15" t="s">
        <v>204</v>
      </c>
      <c r="F15"/>
      <c r="G15"/>
      <c r="H15"/>
      <c r="I15"/>
      <c r="J15"/>
      <c r="K15" t="n">
        <v>31.5251601963551</v>
      </c>
      <c r="L15" t="n">
        <v>24.0357574977735</v>
      </c>
      <c r="M15" t="n">
        <v>32.3746937725113</v>
      </c>
      <c r="N15" t="n">
        <v>31.8914893878469</v>
      </c>
      <c r="O15" t="n">
        <v>23.9582830724621</v>
      </c>
      <c r="P15" t="n">
        <v>23.3593259956506</v>
      </c>
      <c r="Q15" t="n">
        <v>22.0695472596944</v>
      </c>
      <c r="R15" t="n">
        <v>30.8702869644805</v>
      </c>
      <c r="S15" t="n">
        <v>21.0071662330905</v>
      </c>
      <c r="T15" t="n">
        <v>25.5988965572632</v>
      </c>
      <c r="U15" t="n">
        <v>23.0390069015369</v>
      </c>
      <c r="V15" t="n">
        <v>12.4476151032</v>
      </c>
      <c r="W15" t="n">
        <v>25.1080099517539</v>
      </c>
      <c r="X15" t="n">
        <v>32.0643417132788</v>
      </c>
      <c r="Y15" t="n">
        <v>36.0422487679337</v>
      </c>
      <c r="Z15" t="n">
        <v>63.5745221323275</v>
      </c>
      <c r="AA15" t="n">
        <v>111.946441146055</v>
      </c>
      <c r="AB15" t="n">
        <v>141.505332909339</v>
      </c>
      <c r="AC15" t="n">
        <v>179.223653353815</v>
      </c>
      <c r="AD15" t="n">
        <v>120.760322580645</v>
      </c>
      <c r="AE15" t="n">
        <v>144.4</v>
      </c>
      <c r="AF15" t="n">
        <v>120.6</v>
      </c>
    </row>
    <row r="16">
      <c r="A16" t="s">
        <v>149</v>
      </c>
      <c r="B16" t="s">
        <v>302</v>
      </c>
      <c r="C16" t="s">
        <v>203</v>
      </c>
      <c r="D16" t="s">
        <v>303</v>
      </c>
      <c r="E16" t="s">
        <v>204</v>
      </c>
      <c r="F16"/>
      <c r="G16"/>
      <c r="H16"/>
      <c r="I16"/>
      <c r="J16"/>
      <c r="K16" t="n">
        <v>18.1103231792849</v>
      </c>
      <c r="L16" t="n">
        <v>10.9706765412976</v>
      </c>
      <c r="M16" t="n">
        <v>19.9764557916165</v>
      </c>
      <c r="N16" t="n">
        <v>19.0098530920221</v>
      </c>
      <c r="O16" t="n">
        <v>10.9306655279127</v>
      </c>
      <c r="P16" t="n">
        <v>10.6311952394768</v>
      </c>
      <c r="Q16" t="n">
        <v>10.0565360373429</v>
      </c>
      <c r="R16" t="n">
        <v>7.88214986710658</v>
      </c>
      <c r="S16" t="n">
        <v>7.62371872392276</v>
      </c>
      <c r="T16" t="n">
        <v>8.43229495221759</v>
      </c>
      <c r="U16" t="n">
        <v>5.50909936878216</v>
      </c>
      <c r="V16" t="n">
        <v>8.26364905317324</v>
      </c>
      <c r="W16" t="n">
        <v>12.341813520973</v>
      </c>
      <c r="X16" t="n">
        <v>15.6184011814083</v>
      </c>
      <c r="Y16" t="n">
        <v>17.5555672194125</v>
      </c>
      <c r="Z16" t="n">
        <v>24.4523971984674</v>
      </c>
      <c r="AA16" t="n">
        <v>39.8296779109056</v>
      </c>
      <c r="AB16" t="n">
        <v>64.7862482474857</v>
      </c>
      <c r="AC16" t="n">
        <v>49.2375486680891</v>
      </c>
      <c r="AD16" t="n">
        <v>40.4921933085502</v>
      </c>
      <c r="AE16" t="n">
        <v>31.3</v>
      </c>
      <c r="AF16" t="n">
        <v>25.9</v>
      </c>
    </row>
    <row r="17">
      <c r="A17" t="s">
        <v>149</v>
      </c>
      <c r="B17" t="s">
        <v>304</v>
      </c>
      <c r="C17" t="s">
        <v>203</v>
      </c>
      <c r="D17" t="s">
        <v>305</v>
      </c>
      <c r="E17" t="s">
        <v>204</v>
      </c>
      <c r="F17"/>
      <c r="G17"/>
      <c r="H17"/>
      <c r="I17"/>
      <c r="J17"/>
      <c r="K17" t="n">
        <v>38.0569632613847</v>
      </c>
      <c r="L17" t="n">
        <v>32.7186561975706</v>
      </c>
      <c r="M17" t="n">
        <v>37.2539154724814</v>
      </c>
      <c r="N17" t="n">
        <v>37.4124427723643</v>
      </c>
      <c r="O17" t="n">
        <v>32.5800022476006</v>
      </c>
      <c r="P17" t="n">
        <v>31.6914567317569</v>
      </c>
      <c r="Q17" t="n">
        <v>29.8603947872554</v>
      </c>
      <c r="R17" t="n">
        <v>37.8587148195559</v>
      </c>
      <c r="S17" t="n">
        <v>20.5699017186254</v>
      </c>
      <c r="T17" t="n">
        <v>19.0925054625915</v>
      </c>
      <c r="U17" t="n">
        <v>11.3222997510717</v>
      </c>
      <c r="V17" t="n">
        <v>15.7858986913981</v>
      </c>
      <c r="W17" t="n">
        <v>32.6312536708094</v>
      </c>
      <c r="X17" t="n">
        <v>41.6292405634246</v>
      </c>
      <c r="Y17" t="n">
        <v>46.8028167028098</v>
      </c>
      <c r="Z17" t="n">
        <v>45.6795491019423</v>
      </c>
      <c r="AA17" t="n">
        <v>74.5890719582401</v>
      </c>
      <c r="AB17" t="n">
        <v>97.4429626929197</v>
      </c>
      <c r="AC17" t="n">
        <v>106.055345759213</v>
      </c>
      <c r="AD17" t="n">
        <v>108.32967032967</v>
      </c>
      <c r="AE17" t="n">
        <v>95.4</v>
      </c>
      <c r="AF17" t="n">
        <v>88.3</v>
      </c>
    </row>
    <row r="18">
      <c r="A18" t="s">
        <v>149</v>
      </c>
      <c r="B18" t="s">
        <v>306</v>
      </c>
      <c r="C18" t="s">
        <v>203</v>
      </c>
      <c r="D18" t="s">
        <v>307</v>
      </c>
      <c r="E18" t="s">
        <v>204</v>
      </c>
      <c r="F18"/>
      <c r="G18"/>
      <c r="H18"/>
      <c r="I18"/>
      <c r="J18"/>
      <c r="K18" t="n">
        <v>2.45586071287472</v>
      </c>
      <c r="L18" t="n">
        <v>2.45586071287472</v>
      </c>
      <c r="M18" t="n">
        <v>2.07803598781707</v>
      </c>
      <c r="N18" t="n">
        <v>2.07803598781707</v>
      </c>
      <c r="O18" t="n">
        <v>2.42437531911992</v>
      </c>
      <c r="P18" t="n">
        <v>2.42437531911992</v>
      </c>
      <c r="Q18" t="n">
        <v>2.26275029784526</v>
      </c>
      <c r="R18" t="n">
        <v>0.603400079425401</v>
      </c>
      <c r="S18" t="n">
        <v>0.362040047655241</v>
      </c>
      <c r="T18" t="n">
        <v>0.965440127080642</v>
      </c>
      <c r="U18" t="n">
        <v>1.08612014296572</v>
      </c>
      <c r="V18" t="n">
        <v>5.64782474342176</v>
      </c>
      <c r="W18" t="n">
        <v>8.36714776803223</v>
      </c>
      <c r="X18" t="n">
        <v>10.6198413978871</v>
      </c>
      <c r="Y18" t="n">
        <v>11.9324060650416</v>
      </c>
      <c r="Z18" t="n">
        <v>8.24197119956485</v>
      </c>
      <c r="AA18" t="n">
        <v>20.6049279989121</v>
      </c>
      <c r="AB18" t="n">
        <v>30.5304725837539</v>
      </c>
      <c r="AC18" t="n">
        <v>28.4376579308353</v>
      </c>
      <c r="AD18" t="n">
        <v>29.0350877192983</v>
      </c>
      <c r="AE18" t="n">
        <v>33.1</v>
      </c>
      <c r="AF18" t="n">
        <v>47.5</v>
      </c>
    </row>
    <row r="19">
      <c r="A19" t="s">
        <v>149</v>
      </c>
      <c r="B19" t="s">
        <v>308</v>
      </c>
      <c r="C19" t="s">
        <v>203</v>
      </c>
      <c r="D19" t="s">
        <v>309</v>
      </c>
      <c r="E19" t="s">
        <v>204</v>
      </c>
      <c r="F19"/>
      <c r="G19"/>
      <c r="H19"/>
      <c r="I19"/>
      <c r="J19"/>
      <c r="K19" t="n">
        <v>8.42421213441974</v>
      </c>
      <c r="L19" t="n">
        <v>7.22075325807406</v>
      </c>
      <c r="M19" t="n">
        <v>8.02305917563785</v>
      </c>
      <c r="N19" t="n">
        <v>8.18037406143467</v>
      </c>
      <c r="O19" t="n">
        <v>7.09994729860368</v>
      </c>
      <c r="P19" t="n">
        <v>6.81015353131373</v>
      </c>
      <c r="Q19" t="n">
        <v>6.40154431943491</v>
      </c>
      <c r="R19" t="n">
        <v>6.785636978601</v>
      </c>
      <c r="S19" t="n">
        <v>1.69640924465025</v>
      </c>
      <c r="T19" t="n">
        <v>2.75666502255666</v>
      </c>
      <c r="U19" t="n">
        <v>1.83777668170444</v>
      </c>
      <c r="V19" t="n">
        <v>0.918888340852219</v>
      </c>
      <c r="W19" t="n">
        <v>1.4293818635479</v>
      </c>
      <c r="X19" t="n">
        <v>1.86919166771648</v>
      </c>
      <c r="Y19" t="n">
        <v>2.11841722341201</v>
      </c>
      <c r="Z19" t="n">
        <v>43.1160211353268</v>
      </c>
      <c r="AA19" t="n">
        <v>47.6150842103174</v>
      </c>
      <c r="AB19" t="n">
        <v>35.2101017449979</v>
      </c>
      <c r="AC19" t="n">
        <v>52.6920403736332</v>
      </c>
      <c r="AD19" t="n">
        <v>46.9438177874187</v>
      </c>
      <c r="AE19" t="n">
        <v>53.7</v>
      </c>
      <c r="AF19" t="n">
        <v>29.7</v>
      </c>
    </row>
    <row r="20">
      <c r="A20" t="s">
        <v>149</v>
      </c>
      <c r="B20" t="s">
        <v>310</v>
      </c>
      <c r="C20" t="s">
        <v>203</v>
      </c>
      <c r="D20" t="s">
        <v>311</v>
      </c>
      <c r="E20" t="s">
        <v>204</v>
      </c>
      <c r="F20" t="e">
        <v>#NUM!</v>
      </c>
      <c r="G20" t="e">
        <v>#NUM!</v>
      </c>
      <c r="H20" t="e">
        <v>#NUM!</v>
      </c>
      <c r="I20" t="e">
        <v>#NUM!</v>
      </c>
      <c r="J20" t="e">
        <v>#NUM!</v>
      </c>
      <c r="K20" t="e">
        <v>#NUM!</v>
      </c>
      <c r="L20" t="e">
        <v>#NUM!</v>
      </c>
      <c r="M20" t="e">
        <v>#NUM!</v>
      </c>
      <c r="N20" t="e">
        <v>#NUM!</v>
      </c>
      <c r="O20" t="e">
        <v>#NUM!</v>
      </c>
      <c r="P20" t="e">
        <v>#NUM!</v>
      </c>
      <c r="Q20" t="e">
        <v>#NUM!</v>
      </c>
      <c r="R20" t="e">
        <v>#NUM!</v>
      </c>
      <c r="S20" t="e">
        <v>#NUM!</v>
      </c>
      <c r="T20" t="e">
        <v>#NUM!</v>
      </c>
      <c r="U20" t="e">
        <v>#NUM!</v>
      </c>
      <c r="V20" t="e">
        <v>#NUM!</v>
      </c>
      <c r="W20" t="e">
        <v>#NUM!</v>
      </c>
      <c r="X20" t="e">
        <v>#NUM!</v>
      </c>
      <c r="Y20" t="n">
        <v>0</v>
      </c>
      <c r="Z20" t="n">
        <v>0.352418895845191</v>
      </c>
      <c r="AA20" t="n">
        <v>3.40671599317018</v>
      </c>
      <c r="AB20" t="n">
        <v>1.1747296528173</v>
      </c>
      <c r="AC20" t="n">
        <v>0.11747296528173</v>
      </c>
      <c r="AD20" t="n">
        <v>29.4857142857143</v>
      </c>
      <c r="AE20" t="n">
        <v>0.8</v>
      </c>
      <c r="AF20" t="n">
        <v>0.9</v>
      </c>
    </row>
    <row r="21">
      <c r="A21" t="s">
        <v>149</v>
      </c>
      <c r="B21" t="s">
        <v>312</v>
      </c>
      <c r="C21" t="s">
        <v>203</v>
      </c>
      <c r="D21" t="s">
        <v>313</v>
      </c>
      <c r="E21" t="s">
        <v>204</v>
      </c>
      <c r="F21" t="e">
        <v>#NUM!</v>
      </c>
      <c r="G21" t="e">
        <v>#NUM!</v>
      </c>
      <c r="H21" t="e">
        <v>#NUM!</v>
      </c>
      <c r="I21" t="e">
        <v>#NUM!</v>
      </c>
      <c r="J21" t="e">
        <v>#NUM!</v>
      </c>
      <c r="K21" t="e">
        <v>#NUM!</v>
      </c>
      <c r="L21" t="e">
        <v>#NUM!</v>
      </c>
      <c r="M21" t="e">
        <v>#NUM!</v>
      </c>
      <c r="N21" t="e">
        <v>#NUM!</v>
      </c>
      <c r="O21" t="e">
        <v>#NUM!</v>
      </c>
      <c r="P21" t="e">
        <v>#NUM!</v>
      </c>
      <c r="Q21" t="e">
        <v>#NUM!</v>
      </c>
      <c r="R21" t="e">
        <v>#NUM!</v>
      </c>
      <c r="S21" t="e">
        <v>#NUM!</v>
      </c>
      <c r="T21" t="e">
        <v>#NUM!</v>
      </c>
      <c r="U21" t="e">
        <v>#NUM!</v>
      </c>
      <c r="V21" t="e">
        <v>#NUM!</v>
      </c>
      <c r="W21" t="e">
        <v>#NUM!</v>
      </c>
      <c r="X21" t="e">
        <v>#NUM!</v>
      </c>
      <c r="Y21" t="n">
        <v>0</v>
      </c>
      <c r="Z21" t="n">
        <v>0.864436363636364</v>
      </c>
      <c r="AA21" t="n">
        <v>4.0752</v>
      </c>
      <c r="AB21" t="n">
        <v>3.82821818181818</v>
      </c>
      <c r="AC21" t="n">
        <v>0.987927272727273</v>
      </c>
      <c r="AD21" t="n">
        <v>33.96</v>
      </c>
      <c r="AE21" t="n">
        <v>1.8</v>
      </c>
      <c r="AF21" t="n">
        <v>1.8</v>
      </c>
    </row>
    <row r="22">
      <c r="A22" t="s">
        <v>149</v>
      </c>
      <c r="B22" t="s">
        <v>314</v>
      </c>
      <c r="C22" t="s">
        <v>203</v>
      </c>
      <c r="D22" t="s">
        <v>315</v>
      </c>
      <c r="E22" t="s">
        <v>204</v>
      </c>
      <c r="F22" t="e">
        <v>#NUM!</v>
      </c>
      <c r="G22" t="e">
        <v>#NUM!</v>
      </c>
      <c r="H22" t="e">
        <v>#NUM!</v>
      </c>
      <c r="I22" t="e">
        <v>#NUM!</v>
      </c>
      <c r="J22" t="e">
        <v>#NUM!</v>
      </c>
      <c r="K22" t="e">
        <v>#NUM!</v>
      </c>
      <c r="L22" t="e">
        <v>#NUM!</v>
      </c>
      <c r="M22" t="e">
        <v>#NUM!</v>
      </c>
      <c r="N22" t="e">
        <v>#NUM!</v>
      </c>
      <c r="O22" t="e">
        <v>#NUM!</v>
      </c>
      <c r="P22" t="e">
        <v>#NUM!</v>
      </c>
      <c r="Q22" t="e">
        <v>#NUM!</v>
      </c>
      <c r="R22" t="e">
        <v>#NUM!</v>
      </c>
      <c r="S22" t="e">
        <v>#NUM!</v>
      </c>
      <c r="T22" t="e">
        <v>#NUM!</v>
      </c>
      <c r="U22" t="e">
        <v>#NUM!</v>
      </c>
      <c r="V22" t="e">
        <v>#NUM!</v>
      </c>
      <c r="W22" t="e">
        <v>#NUM!</v>
      </c>
      <c r="X22" t="e">
        <v>#NUM!</v>
      </c>
      <c r="Y22" t="n">
        <v>0</v>
      </c>
      <c r="Z22" t="n">
        <v>0.520833333333333</v>
      </c>
      <c r="AA22" t="n">
        <v>0.520833333333333</v>
      </c>
      <c r="AB22" t="n">
        <v>2.734375</v>
      </c>
      <c r="AC22" t="n">
        <v>0.911458333333333</v>
      </c>
      <c r="AD22" t="n">
        <v>3.125</v>
      </c>
      <c r="AE22" t="n">
        <v>1</v>
      </c>
      <c r="AF22" t="n">
        <v>0.9</v>
      </c>
    </row>
    <row r="23">
      <c r="A23" t="s">
        <v>149</v>
      </c>
      <c r="B23" t="s">
        <v>316</v>
      </c>
      <c r="C23" t="s">
        <v>203</v>
      </c>
      <c r="D23" t="s">
        <v>317</v>
      </c>
      <c r="E23" t="s">
        <v>204</v>
      </c>
      <c r="F23" t="e">
        <v>#NUM!</v>
      </c>
      <c r="G23" t="e">
        <v>#NUM!</v>
      </c>
      <c r="H23" t="e">
        <v>#NUM!</v>
      </c>
      <c r="I23" t="e">
        <v>#NUM!</v>
      </c>
      <c r="J23" t="e">
        <v>#NUM!</v>
      </c>
      <c r="K23" t="e">
        <v>#NUM!</v>
      </c>
      <c r="L23" t="e">
        <v>#NUM!</v>
      </c>
      <c r="M23" t="e">
        <v>#NUM!</v>
      </c>
      <c r="N23" t="e">
        <v>#NUM!</v>
      </c>
      <c r="O23" t="e">
        <v>#NUM!</v>
      </c>
      <c r="P23" t="e">
        <v>#NUM!</v>
      </c>
      <c r="Q23" t="n">
        <v>0</v>
      </c>
      <c r="R23" t="n">
        <v>1.57347941174219</v>
      </c>
      <c r="S23" t="n">
        <v>0.242073755652645</v>
      </c>
      <c r="T23" t="n">
        <v>7.62532330305831</v>
      </c>
      <c r="U23" t="n">
        <v>4.45788131563409</v>
      </c>
      <c r="V23" t="n">
        <v>3.8713179846296</v>
      </c>
      <c r="W23" t="n">
        <v>1.13862293665577</v>
      </c>
      <c r="X23" t="n">
        <v>1.36634752398692</v>
      </c>
      <c r="Y23" t="n">
        <v>1.49056093525846</v>
      </c>
      <c r="Z23" t="n">
        <v>3.6021889268746</v>
      </c>
      <c r="AA23" t="n">
        <v>7.70123149883536</v>
      </c>
      <c r="AB23" t="n">
        <v>10.4339265468092</v>
      </c>
      <c r="AC23" t="n">
        <v>12.0297035480859</v>
      </c>
      <c r="AD23" t="n">
        <v>18.2232142857143</v>
      </c>
      <c r="AE23" t="n">
        <v>13</v>
      </c>
      <c r="AF23" t="n">
        <v>6.6</v>
      </c>
    </row>
    <row r="24">
      <c r="A24" t="s">
        <v>149</v>
      </c>
      <c r="B24" t="s">
        <v>318</v>
      </c>
      <c r="C24" t="s">
        <v>203</v>
      </c>
      <c r="D24" t="s">
        <v>319</v>
      </c>
      <c r="E24" t="s">
        <v>204</v>
      </c>
      <c r="F24"/>
      <c r="G24"/>
      <c r="H24"/>
      <c r="I24"/>
      <c r="J24"/>
      <c r="K24" t="n">
        <v>4.64660276038928</v>
      </c>
      <c r="L24" t="n">
        <v>3.52500899064014</v>
      </c>
      <c r="M24" t="n">
        <v>4.90436033480368</v>
      </c>
      <c r="N24" t="n">
        <v>4.90436033480368</v>
      </c>
      <c r="O24" t="n">
        <v>3.67827025110276</v>
      </c>
      <c r="P24" t="n">
        <v>3.53113944105865</v>
      </c>
      <c r="Q24" t="n">
        <v>2.71626110850665</v>
      </c>
      <c r="R24" t="n">
        <v>6.20859681944377</v>
      </c>
      <c r="S24" t="n">
        <v>8.31951973805466</v>
      </c>
      <c r="T24" t="n">
        <v>27.4319299470991</v>
      </c>
      <c r="U24" t="n">
        <v>14.644934712794</v>
      </c>
      <c r="V24" t="n">
        <v>4.38279068047118</v>
      </c>
      <c r="W24" t="n">
        <v>5.5306644301184</v>
      </c>
      <c r="X24" t="n">
        <v>7.12604840034486</v>
      </c>
      <c r="Y24" t="n">
        <v>8.07618818705751</v>
      </c>
      <c r="Z24" t="n">
        <v>35.2867299249897</v>
      </c>
      <c r="AA24" t="n">
        <v>28.6782610697796</v>
      </c>
      <c r="AB24" t="n">
        <v>39.3230304624926</v>
      </c>
      <c r="AC24" t="n">
        <v>54.1920513561226</v>
      </c>
      <c r="AD24" t="n">
        <v>55.5050746268657</v>
      </c>
      <c r="AE24" t="n">
        <v>38.9</v>
      </c>
      <c r="AF24" t="n">
        <v>35.7</v>
      </c>
    </row>
    <row r="25">
      <c r="A25" t="s">
        <v>149</v>
      </c>
      <c r="B25" t="s">
        <v>320</v>
      </c>
      <c r="C25" t="s">
        <v>203</v>
      </c>
      <c r="D25" t="s">
        <v>321</v>
      </c>
      <c r="E25" t="s">
        <v>204</v>
      </c>
      <c r="F25" t="e">
        <v>#NUM!</v>
      </c>
      <c r="G25" t="e">
        <v>#NUM!</v>
      </c>
      <c r="H25" t="e">
        <v>#NUM!</v>
      </c>
      <c r="I25" t="e">
        <v>#NUM!</v>
      </c>
      <c r="J25" t="e">
        <v>#NUM!</v>
      </c>
      <c r="K25" t="e">
        <v>#NUM!</v>
      </c>
      <c r="L25" t="e">
        <v>#NUM!</v>
      </c>
      <c r="M25" t="e">
        <v>#NUM!</v>
      </c>
      <c r="N25" t="e">
        <v>#NUM!</v>
      </c>
      <c r="O25" t="e">
        <v>#NUM!</v>
      </c>
      <c r="P25" t="e">
        <v>#NUM!</v>
      </c>
      <c r="Q25" t="e">
        <v>#NUM!</v>
      </c>
      <c r="R25" t="e">
        <v>#NUM!</v>
      </c>
      <c r="S25" t="e">
        <v>#NUM!</v>
      </c>
      <c r="T25" t="e">
        <v>#NUM!</v>
      </c>
      <c r="U25" t="e">
        <v>#NUM!</v>
      </c>
      <c r="V25" t="n">
        <v>0</v>
      </c>
      <c r="W25" t="n">
        <v>0.124592592592593</v>
      </c>
      <c r="X25" t="n">
        <v>0.124592592592593</v>
      </c>
      <c r="Y25" t="n">
        <v>0.124592592592593</v>
      </c>
      <c r="Z25" t="n">
        <v>0.373777777777778</v>
      </c>
      <c r="AA25" t="n">
        <v>0.373777777777778</v>
      </c>
      <c r="AB25" t="n">
        <v>0.49837037037037</v>
      </c>
      <c r="AC25" t="n">
        <v>3.48859259259259</v>
      </c>
      <c r="AD25" t="n">
        <v>3.248</v>
      </c>
      <c r="AE25" t="n">
        <v>2.9</v>
      </c>
      <c r="AF25" t="n">
        <v>4.7</v>
      </c>
    </row>
    <row r="26">
      <c r="A26" t="s">
        <v>149</v>
      </c>
      <c r="B26" t="s">
        <v>322</v>
      </c>
      <c r="C26" t="s">
        <v>203</v>
      </c>
      <c r="D26" t="s">
        <v>323</v>
      </c>
      <c r="E26" t="s">
        <v>204</v>
      </c>
      <c r="F26"/>
      <c r="G26"/>
      <c r="H26"/>
      <c r="I26"/>
      <c r="J26"/>
      <c r="K26" t="n">
        <v>3.77986558093849</v>
      </c>
      <c r="L26" t="n">
        <v>2.69990398638464</v>
      </c>
      <c r="M26" t="n">
        <v>3.88111198042792</v>
      </c>
      <c r="N26" t="n">
        <v>3.71939898124342</v>
      </c>
      <c r="O26" t="n">
        <v>2.74912098613644</v>
      </c>
      <c r="P26" t="n">
        <v>2.59639204246219</v>
      </c>
      <c r="Q26" t="n">
        <v>2.45214804010318</v>
      </c>
      <c r="R26" t="n">
        <v>5.44921786689596</v>
      </c>
      <c r="S26" t="n">
        <v>8.49064179260534</v>
      </c>
      <c r="T26" t="n">
        <v>25.471925377816</v>
      </c>
      <c r="U26" t="n">
        <v>14.460044974306</v>
      </c>
      <c r="V26" t="n">
        <v>4.3488857065582</v>
      </c>
      <c r="W26" t="n">
        <v>3.93470611545742</v>
      </c>
      <c r="X26" t="n">
        <v>5.10448360924206</v>
      </c>
      <c r="Y26" t="n">
        <v>5.81673713611305</v>
      </c>
      <c r="Z26" t="n">
        <v>28.09360276378</v>
      </c>
      <c r="AA26" t="n">
        <v>15.9114210343533</v>
      </c>
      <c r="AB26" t="n">
        <v>25.4332162990057</v>
      </c>
      <c r="AC26" t="n">
        <v>34.5252839614521</v>
      </c>
      <c r="AD26" t="n">
        <v>36.6756476683938</v>
      </c>
      <c r="AE26" t="n">
        <v>22.4</v>
      </c>
      <c r="AF26" t="n">
        <v>16.7</v>
      </c>
    </row>
    <row r="27">
      <c r="A27" t="s">
        <v>149</v>
      </c>
      <c r="B27" t="s">
        <v>324</v>
      </c>
      <c r="C27" t="s">
        <v>203</v>
      </c>
      <c r="D27" t="s">
        <v>325</v>
      </c>
      <c r="E27" t="s">
        <v>204</v>
      </c>
      <c r="F27" t="e">
        <v>#NUM!</v>
      </c>
      <c r="G27" t="e">
        <v>#NUM!</v>
      </c>
      <c r="H27" t="e">
        <v>#NUM!</v>
      </c>
      <c r="I27" t="e">
        <v>#NUM!</v>
      </c>
      <c r="J27" t="e">
        <v>#NUM!</v>
      </c>
      <c r="K27" t="e">
        <v>#NUM!</v>
      </c>
      <c r="L27" t="e">
        <v>#NUM!</v>
      </c>
      <c r="M27" t="e">
        <v>#NUM!</v>
      </c>
      <c r="N27" t="e">
        <v>#NUM!</v>
      </c>
      <c r="O27" t="e">
        <v>#NUM!</v>
      </c>
      <c r="P27" t="e">
        <v>#NUM!</v>
      </c>
      <c r="Q27" t="e">
        <v>#NUM!</v>
      </c>
      <c r="R27" t="e">
        <v>#NUM!</v>
      </c>
      <c r="S27" t="n">
        <v>0</v>
      </c>
      <c r="T27" t="n">
        <v>2.32949090425964</v>
      </c>
      <c r="U27" t="n">
        <v>0.443712553192312</v>
      </c>
      <c r="V27" t="n">
        <v>0.110928138298078</v>
      </c>
      <c r="W27" t="n">
        <v>1.55299393617309</v>
      </c>
      <c r="X27" t="n">
        <v>1.9967064893654</v>
      </c>
      <c r="Y27" t="n">
        <v>2.24629480053608</v>
      </c>
      <c r="Z27" t="n">
        <v>6.73888440160824</v>
      </c>
      <c r="AA27" t="n">
        <v>12.3546214029484</v>
      </c>
      <c r="AB27" t="n">
        <v>13.3529746476311</v>
      </c>
      <c r="AC27" t="n">
        <v>16.1705748026359</v>
      </c>
      <c r="AD27" t="n">
        <v>15.5760683760684</v>
      </c>
      <c r="AE27" t="n">
        <v>13.6</v>
      </c>
      <c r="AF27" t="n">
        <v>14.3</v>
      </c>
    </row>
    <row r="28">
      <c r="A28" t="s">
        <v>149</v>
      </c>
      <c r="B28" t="s">
        <v>326</v>
      </c>
      <c r="C28" t="s">
        <v>203</v>
      </c>
      <c r="D28" t="s">
        <v>327</v>
      </c>
      <c r="E28" t="s">
        <v>204</v>
      </c>
      <c r="F28" t="e">
        <v>#NUM!</v>
      </c>
      <c r="G28" t="e">
        <v>#NUM!</v>
      </c>
      <c r="H28" t="e">
        <v>#NUM!</v>
      </c>
      <c r="I28" t="e">
        <v>#NUM!</v>
      </c>
      <c r="J28" t="e">
        <v>#NUM!</v>
      </c>
      <c r="K28" t="e">
        <v>#NUM!</v>
      </c>
      <c r="L28" t="e">
        <v>#NUM!</v>
      </c>
      <c r="M28" t="e">
        <v>#NUM!</v>
      </c>
      <c r="N28" t="e">
        <v>#NUM!</v>
      </c>
      <c r="O28" t="e">
        <v>#NUM!</v>
      </c>
      <c r="P28" t="e">
        <v>#NUM!</v>
      </c>
      <c r="Q28" t="e">
        <v>#NUM!</v>
      </c>
      <c r="R28" t="e">
        <v>#NUM!</v>
      </c>
      <c r="S28" t="e">
        <v>#NUM!</v>
      </c>
      <c r="T28" t="e">
        <v>#NUM!</v>
      </c>
      <c r="U28" t="e">
        <v>#NUM!</v>
      </c>
      <c r="V28" t="e">
        <v>#NUM!</v>
      </c>
      <c r="W28" t="e">
        <v>#NUM!</v>
      </c>
      <c r="X28" t="e">
        <v>#NUM!</v>
      </c>
      <c r="Y28" t="n">
        <v>0</v>
      </c>
      <c r="Z28" t="n">
        <v>0.128338675213675</v>
      </c>
      <c r="AA28" t="n">
        <v>0.770032051282051</v>
      </c>
      <c r="AB28" t="n">
        <v>1.15504807692308</v>
      </c>
      <c r="AC28" t="n">
        <v>3.0801282051282</v>
      </c>
      <c r="AD28" t="n">
        <v>3.69615384615385</v>
      </c>
      <c r="AE28" t="n">
        <v>3.1</v>
      </c>
      <c r="AF28" t="n">
        <v>2.5</v>
      </c>
    </row>
    <row r="29">
      <c r="A29" t="s">
        <v>149</v>
      </c>
      <c r="B29" t="s">
        <v>328</v>
      </c>
      <c r="C29" t="s">
        <v>203</v>
      </c>
      <c r="D29" t="s">
        <v>329</v>
      </c>
      <c r="E29" t="s">
        <v>204</v>
      </c>
      <c r="F29" t="e">
        <v>#NUM!</v>
      </c>
      <c r="G29" t="e">
        <v>#NUM!</v>
      </c>
      <c r="H29" t="e">
        <v>#NUM!</v>
      </c>
      <c r="I29" t="e">
        <v>#NUM!</v>
      </c>
      <c r="J29" t="e">
        <v>#NUM!</v>
      </c>
      <c r="K29" t="e">
        <v>#NUM!</v>
      </c>
      <c r="L29" t="e">
        <v>#NUM!</v>
      </c>
      <c r="M29" t="e">
        <v>#NUM!</v>
      </c>
      <c r="N29" t="e">
        <v>#NUM!</v>
      </c>
      <c r="O29" t="e">
        <v>#NUM!</v>
      </c>
      <c r="P29" t="e">
        <v>#NUM!</v>
      </c>
      <c r="Q29" t="e">
        <v>#NUM!</v>
      </c>
      <c r="R29" t="e">
        <v>#NUM!</v>
      </c>
      <c r="S29" t="e">
        <v>#NUM!</v>
      </c>
      <c r="T29" t="e">
        <v>#NUM!</v>
      </c>
      <c r="U29" t="e">
        <v>#NUM!</v>
      </c>
      <c r="V29" t="e">
        <v>#NUM!</v>
      </c>
      <c r="W29" t="e">
        <v>#NUM!</v>
      </c>
      <c r="X29" t="e">
        <v>#NUM!</v>
      </c>
      <c r="Y29" t="e">
        <v>#NUM!</v>
      </c>
      <c r="Z29" t="n">
        <v>0</v>
      </c>
      <c r="AA29" t="n">
        <v>1</v>
      </c>
      <c r="AB29" t="n">
        <v>1.6</v>
      </c>
      <c r="AC29" t="n">
        <v>1.6</v>
      </c>
      <c r="AD29" t="n">
        <v>0.533333333333333</v>
      </c>
      <c r="AE29" t="n">
        <v>0.4</v>
      </c>
      <c r="AF29" t="n">
        <v>0.3</v>
      </c>
    </row>
    <row r="30">
      <c r="A30" t="s">
        <v>149</v>
      </c>
      <c r="B30" t="s">
        <v>330</v>
      </c>
      <c r="C30" t="s">
        <v>203</v>
      </c>
      <c r="D30" t="s">
        <v>331</v>
      </c>
      <c r="E30" t="s">
        <v>204</v>
      </c>
      <c r="F30" t="e">
        <v>#NUM!</v>
      </c>
      <c r="G30" t="e">
        <v>#NUM!</v>
      </c>
      <c r="H30" t="e">
        <v>#NUM!</v>
      </c>
      <c r="I30" t="e">
        <v>#NUM!</v>
      </c>
      <c r="J30" t="e">
        <v>#NUM!</v>
      </c>
      <c r="K30" t="e">
        <v>#NUM!</v>
      </c>
      <c r="L30" t="e">
        <v>#NUM!</v>
      </c>
      <c r="M30" t="e">
        <v>#NUM!</v>
      </c>
      <c r="N30" t="e">
        <v>#NUM!</v>
      </c>
      <c r="O30" t="e">
        <v>#NUM!</v>
      </c>
      <c r="P30" t="e">
        <v>#NUM!</v>
      </c>
      <c r="Q30" t="e">
        <v>#NUM!</v>
      </c>
      <c r="R30" t="e">
        <v>#NUM!</v>
      </c>
      <c r="S30" t="e">
        <v>#NUM!</v>
      </c>
      <c r="T30" t="e">
        <v>#NUM!</v>
      </c>
      <c r="U30" t="e">
        <v>#NUM!</v>
      </c>
      <c r="V30" t="e">
        <v>#NUM!</v>
      </c>
      <c r="W30" t="e">
        <v>#NUM!</v>
      </c>
      <c r="X30" t="e">
        <v>#NUM!</v>
      </c>
      <c r="Y30" t="e">
        <v>#NUM!</v>
      </c>
      <c r="Z30" t="e">
        <v>#NUM!</v>
      </c>
      <c r="AA30" t="e">
        <v>#NUM!</v>
      </c>
      <c r="AB30" t="e">
        <v>#NUM!</v>
      </c>
      <c r="AC30" t="e">
        <v>#NUM!</v>
      </c>
      <c r="AD30" t="e">
        <v>#NUM!</v>
      </c>
      <c r="AE30" t="n">
        <v>0</v>
      </c>
      <c r="AF30" t="e">
        <v>#NUM!</v>
      </c>
    </row>
    <row r="31">
      <c r="A31" t="s">
        <v>149</v>
      </c>
      <c r="B31" t="s">
        <v>332</v>
      </c>
      <c r="C31" t="s">
        <v>203</v>
      </c>
      <c r="D31" t="s">
        <v>333</v>
      </c>
      <c r="E31" t="s">
        <v>204</v>
      </c>
      <c r="F31" t="e">
        <v>#NUM!</v>
      </c>
      <c r="G31" t="e">
        <v>#NUM!</v>
      </c>
      <c r="H31" t="e">
        <v>#NUM!</v>
      </c>
      <c r="I31" t="e">
        <v>#NUM!</v>
      </c>
      <c r="J31" t="e">
        <v>#NUM!</v>
      </c>
      <c r="K31" t="e">
        <v>#NUM!</v>
      </c>
      <c r="L31" t="e">
        <v>#NUM!</v>
      </c>
      <c r="M31" t="e">
        <v>#NUM!</v>
      </c>
      <c r="N31" t="e">
        <v>#NUM!</v>
      </c>
      <c r="O31" t="e">
        <v>#NUM!</v>
      </c>
      <c r="P31" t="e">
        <v>#NUM!</v>
      </c>
      <c r="Q31" t="e">
        <v>#NUM!</v>
      </c>
      <c r="R31" t="e">
        <v>#NUM!</v>
      </c>
      <c r="S31" t="e">
        <v>#NUM!</v>
      </c>
      <c r="T31" t="e">
        <v>#NUM!</v>
      </c>
      <c r="U31" t="e">
        <v>#NUM!</v>
      </c>
      <c r="V31" t="e">
        <v>#NUM!</v>
      </c>
      <c r="W31" t="e">
        <v>#NUM!</v>
      </c>
      <c r="X31" t="e">
        <v>#NUM!</v>
      </c>
      <c r="Y31" t="e">
        <v>#NUM!</v>
      </c>
      <c r="Z31" t="e">
        <v>#NUM!</v>
      </c>
      <c r="AA31" t="e">
        <v>#NUM!</v>
      </c>
      <c r="AB31" t="e">
        <v>#NUM!</v>
      </c>
      <c r="AC31" t="e">
        <v>#NUM!</v>
      </c>
      <c r="AD31" t="e">
        <v>#NUM!</v>
      </c>
      <c r="AE31" t="n">
        <v>0</v>
      </c>
      <c r="AF31" t="e">
        <v>#NUM!</v>
      </c>
    </row>
    <row r="32">
      <c r="A32" t="s">
        <v>149</v>
      </c>
      <c r="B32" t="s">
        <v>334</v>
      </c>
      <c r="C32" t="s">
        <v>203</v>
      </c>
      <c r="D32" t="s">
        <v>335</v>
      </c>
      <c r="E32" t="s">
        <v>204</v>
      </c>
      <c r="F32" t="e">
        <v>#NUM!</v>
      </c>
      <c r="G32" t="e">
        <v>#NUM!</v>
      </c>
      <c r="H32" t="e">
        <v>#NUM!</v>
      </c>
      <c r="I32" t="e">
        <v>#NUM!</v>
      </c>
      <c r="J32" t="e">
        <v>#NUM!</v>
      </c>
      <c r="K32" t="e">
        <v>#NUM!</v>
      </c>
      <c r="L32" t="e">
        <v>#NUM!</v>
      </c>
      <c r="M32" t="e">
        <v>#NUM!</v>
      </c>
      <c r="N32" t="e">
        <v>#NUM!</v>
      </c>
      <c r="O32" t="e">
        <v>#NUM!</v>
      </c>
      <c r="P32" t="e">
        <v>#NUM!</v>
      </c>
      <c r="Q32" t="e">
        <v>#NUM!</v>
      </c>
      <c r="R32" t="e">
        <v>#NUM!</v>
      </c>
      <c r="S32" t="e">
        <v>#NUM!</v>
      </c>
      <c r="T32" t="e">
        <v>#NUM!</v>
      </c>
      <c r="U32" t="e">
        <v>#NUM!</v>
      </c>
      <c r="V32" t="e">
        <v>#NUM!</v>
      </c>
      <c r="W32" t="e">
        <v>#NUM!</v>
      </c>
      <c r="X32" t="e">
        <v>#NUM!</v>
      </c>
      <c r="Y32" t="e">
        <v>#NUM!</v>
      </c>
      <c r="Z32" t="e">
        <v>#NUM!</v>
      </c>
      <c r="AA32" t="e">
        <v>#NUM!</v>
      </c>
      <c r="AB32" t="e">
        <v>#NUM!</v>
      </c>
      <c r="AC32" t="e">
        <v>#NUM!</v>
      </c>
      <c r="AD32" t="n">
        <v>0</v>
      </c>
      <c r="AE32" t="n">
        <v>0.1</v>
      </c>
      <c r="AF32" t="n">
        <v>0</v>
      </c>
    </row>
    <row r="33">
      <c r="A33" t="s">
        <v>149</v>
      </c>
      <c r="B33" t="s">
        <v>336</v>
      </c>
      <c r="C33" t="s">
        <v>203</v>
      </c>
      <c r="D33" t="s">
        <v>337</v>
      </c>
      <c r="E33" t="s">
        <v>204</v>
      </c>
      <c r="F33" t="e">
        <v>#NUM!</v>
      </c>
      <c r="G33" t="e">
        <v>#NUM!</v>
      </c>
      <c r="H33" t="e">
        <v>#NUM!</v>
      </c>
      <c r="I33" t="e">
        <v>#NUM!</v>
      </c>
      <c r="J33" t="e">
        <v>#NUM!</v>
      </c>
      <c r="K33" t="e">
        <v>#NUM!</v>
      </c>
      <c r="L33" t="e">
        <v>#NUM!</v>
      </c>
      <c r="M33" t="e">
        <v>#NUM!</v>
      </c>
      <c r="N33" t="e">
        <v>#NUM!</v>
      </c>
      <c r="O33" t="e">
        <v>#NUM!</v>
      </c>
      <c r="P33" t="e">
        <v>#NUM!</v>
      </c>
      <c r="Q33" t="e">
        <v>#NUM!</v>
      </c>
      <c r="R33" t="e">
        <v>#NUM!</v>
      </c>
      <c r="S33" t="e">
        <v>#NUM!</v>
      </c>
      <c r="T33" t="e">
        <v>#NUM!</v>
      </c>
      <c r="U33" t="e">
        <v>#NUM!</v>
      </c>
      <c r="V33" t="e">
        <v>#NUM!</v>
      </c>
      <c r="W33" t="e">
        <v>#NUM!</v>
      </c>
      <c r="X33" t="e">
        <v>#NUM!</v>
      </c>
      <c r="Y33" t="e">
        <v>#NUM!</v>
      </c>
      <c r="Z33" t="e">
        <v>#NUM!</v>
      </c>
      <c r="AA33" t="e">
        <v>#NUM!</v>
      </c>
      <c r="AB33" t="n">
        <v>0</v>
      </c>
      <c r="AC33" t="n">
        <v>0.122558922558923</v>
      </c>
      <c r="AD33" t="n">
        <v>3.30909090909091</v>
      </c>
      <c r="AE33" t="n">
        <v>2.6</v>
      </c>
      <c r="AF33" t="n">
        <v>2.2</v>
      </c>
    </row>
    <row r="34">
      <c r="A34" t="s">
        <v>149</v>
      </c>
      <c r="B34" t="s">
        <v>338</v>
      </c>
      <c r="C34" t="s">
        <v>203</v>
      </c>
      <c r="D34" t="s">
        <v>339</v>
      </c>
      <c r="E34" t="s">
        <v>204</v>
      </c>
      <c r="F34" t="e">
        <v>#NUM!</v>
      </c>
      <c r="G34" t="e">
        <v>#NUM!</v>
      </c>
      <c r="H34" t="e">
        <v>#NUM!</v>
      </c>
      <c r="I34" t="e">
        <v>#NUM!</v>
      </c>
      <c r="J34" t="e">
        <v>#NUM!</v>
      </c>
      <c r="K34" t="e">
        <v>#NUM!</v>
      </c>
      <c r="L34" t="e">
        <v>#NUM!</v>
      </c>
      <c r="M34" t="e">
        <v>#NUM!</v>
      </c>
      <c r="N34" t="e">
        <v>#NUM!</v>
      </c>
      <c r="O34" t="e">
        <v>#NUM!</v>
      </c>
      <c r="P34" t="e">
        <v>#NUM!</v>
      </c>
      <c r="Q34" t="e">
        <v>#NUM!</v>
      </c>
      <c r="R34" t="e">
        <v>#NUM!</v>
      </c>
      <c r="S34" t="e">
        <v>#NUM!</v>
      </c>
      <c r="T34" t="e">
        <v>#NUM!</v>
      </c>
      <c r="U34" t="e">
        <v>#NUM!</v>
      </c>
      <c r="V34" t="e">
        <v>#NUM!</v>
      </c>
      <c r="W34" t="e">
        <v>#NUM!</v>
      </c>
      <c r="X34" t="e">
        <v>#NUM!</v>
      </c>
      <c r="Y34" t="n">
        <v>0</v>
      </c>
      <c r="Z34" t="n">
        <v>0.243526170798898</v>
      </c>
      <c r="AA34" t="n">
        <v>0.852341597796143</v>
      </c>
      <c r="AB34" t="n">
        <v>0.121763085399449</v>
      </c>
      <c r="AC34" t="n">
        <v>1.70468319559229</v>
      </c>
      <c r="AD34" t="n">
        <v>4.01818181818182</v>
      </c>
      <c r="AE34" t="n">
        <v>2.6</v>
      </c>
      <c r="AF34" t="n">
        <v>3.3</v>
      </c>
    </row>
    <row r="35">
      <c r="A35" t="s">
        <v>149</v>
      </c>
      <c r="B35" t="s">
        <v>340</v>
      </c>
      <c r="C35" t="s">
        <v>203</v>
      </c>
      <c r="D35" t="s">
        <v>341</v>
      </c>
      <c r="E35" t="s">
        <v>204</v>
      </c>
      <c r="F35"/>
      <c r="G35"/>
      <c r="H35"/>
      <c r="I35"/>
      <c r="J35"/>
      <c r="K35" t="n">
        <v>147.606487065339</v>
      </c>
      <c r="L35" t="n">
        <v>136.145277481442</v>
      </c>
      <c r="M35" t="n">
        <v>139.561108816102</v>
      </c>
      <c r="N35" t="n">
        <v>142.428802832871</v>
      </c>
      <c r="O35" t="n">
        <v>134.907809944006</v>
      </c>
      <c r="P35" t="n">
        <v>131.197474136965</v>
      </c>
      <c r="Q35" t="n">
        <v>125.240399635611</v>
      </c>
      <c r="R35" t="n">
        <v>290.976089089161</v>
      </c>
      <c r="S35" t="n">
        <v>113.622862013438</v>
      </c>
      <c r="T35" t="n">
        <v>66.823516028044</v>
      </c>
      <c r="U35" t="n">
        <v>30.5256925377277</v>
      </c>
      <c r="V35" t="n">
        <v>17.8793342006691</v>
      </c>
      <c r="W35" t="n">
        <v>33.0980531929053</v>
      </c>
      <c r="X35" t="n">
        <v>42.2435678909449</v>
      </c>
      <c r="Y35" t="n">
        <v>47.554187854378</v>
      </c>
      <c r="Z35" t="n">
        <v>160.432812708717</v>
      </c>
      <c r="AA35" t="n">
        <v>549.41025775151</v>
      </c>
      <c r="AB35" t="n">
        <v>656.854395532284</v>
      </c>
      <c r="AC35" t="n">
        <v>773.943154698395</v>
      </c>
      <c r="AD35" t="n">
        <v>904.98811440069</v>
      </c>
      <c r="AE35" t="n">
        <v>810.1</v>
      </c>
      <c r="AF35" t="n">
        <v>808.1</v>
      </c>
    </row>
    <row r="36">
      <c r="A36" t="s">
        <v>149</v>
      </c>
      <c r="B36" t="s">
        <v>342</v>
      </c>
      <c r="C36" t="s">
        <v>203</v>
      </c>
      <c r="D36" t="s">
        <v>343</v>
      </c>
      <c r="E36" t="s">
        <v>204</v>
      </c>
      <c r="F36" t="e">
        <v>#NUM!</v>
      </c>
      <c r="G36" t="e">
        <v>#NUM!</v>
      </c>
      <c r="H36" t="e">
        <v>#NUM!</v>
      </c>
      <c r="I36" t="e">
        <v>#NUM!</v>
      </c>
      <c r="J36" t="e">
        <v>#NUM!</v>
      </c>
      <c r="K36" t="e">
        <v>#NUM!</v>
      </c>
      <c r="L36" t="e">
        <v>#NUM!</v>
      </c>
      <c r="M36" t="e">
        <v>#NUM!</v>
      </c>
      <c r="N36" t="e">
        <v>#NUM!</v>
      </c>
      <c r="O36" t="e">
        <v>#NUM!</v>
      </c>
      <c r="P36" t="e">
        <v>#NUM!</v>
      </c>
      <c r="Q36" t="e">
        <v>#NUM!</v>
      </c>
      <c r="R36" t="e">
        <v>#NUM!</v>
      </c>
      <c r="S36" t="e">
        <v>#NUM!</v>
      </c>
      <c r="T36" t="e">
        <v>#NUM!</v>
      </c>
      <c r="U36" t="e">
        <v>#NUM!</v>
      </c>
      <c r="V36" t="n">
        <v>0</v>
      </c>
      <c r="W36" t="n">
        <v>0.128020408163265</v>
      </c>
      <c r="X36" t="n">
        <v>0.128020408163265</v>
      </c>
      <c r="Y36" t="n">
        <v>0.128020408163265</v>
      </c>
      <c r="Z36" t="n">
        <v>9.47351020408163</v>
      </c>
      <c r="AA36" t="n">
        <v>9.72955102040816</v>
      </c>
      <c r="AB36" t="n">
        <v>19.0750408163265</v>
      </c>
      <c r="AC36" t="n">
        <v>17.9529795918367</v>
      </c>
      <c r="AD36" t="n">
        <v>12.6514285714286</v>
      </c>
      <c r="AE36" t="n">
        <v>12.3</v>
      </c>
      <c r="AF36" t="n">
        <v>12.3</v>
      </c>
    </row>
    <row r="37">
      <c r="A37" t="s">
        <v>149</v>
      </c>
      <c r="B37" t="s">
        <v>344</v>
      </c>
      <c r="C37" t="s">
        <v>203</v>
      </c>
      <c r="D37" t="s">
        <v>345</v>
      </c>
      <c r="E37" t="s">
        <v>204</v>
      </c>
      <c r="F37" t="e">
        <v>#NUM!</v>
      </c>
      <c r="G37" t="e">
        <v>#NUM!</v>
      </c>
      <c r="H37" t="e">
        <v>#NUM!</v>
      </c>
      <c r="I37" t="e">
        <v>#NUM!</v>
      </c>
      <c r="J37" t="e">
        <v>#NUM!</v>
      </c>
      <c r="K37" t="e">
        <v>#NUM!</v>
      </c>
      <c r="L37" t="e">
        <v>#NUM!</v>
      </c>
      <c r="M37" t="e">
        <v>#NUM!</v>
      </c>
      <c r="N37" t="e">
        <v>#NUM!</v>
      </c>
      <c r="O37" t="e">
        <v>#NUM!</v>
      </c>
      <c r="P37" t="e">
        <v>#NUM!</v>
      </c>
      <c r="Q37" t="e">
        <v>#NUM!</v>
      </c>
      <c r="R37" t="e">
        <v>#NUM!</v>
      </c>
      <c r="S37" t="e">
        <v>#NUM!</v>
      </c>
      <c r="T37" t="e">
        <v>#NUM!</v>
      </c>
      <c r="U37" t="e">
        <v>#NUM!</v>
      </c>
      <c r="V37" t="n">
        <v>0</v>
      </c>
      <c r="W37" t="n">
        <v>0.166558063640865</v>
      </c>
      <c r="X37" t="n">
        <v>0.249837095461297</v>
      </c>
      <c r="Y37" t="n">
        <v>0.374755643191945</v>
      </c>
      <c r="Z37" t="n">
        <v>14.8653071799472</v>
      </c>
      <c r="AA37" t="n">
        <v>34.102763530467</v>
      </c>
      <c r="AB37" t="n">
        <v>31.4698295814236</v>
      </c>
      <c r="AC37" t="n">
        <v>37.2474936061381</v>
      </c>
      <c r="AD37" t="n">
        <v>40.5902173913043</v>
      </c>
      <c r="AE37" t="n">
        <v>21.4</v>
      </c>
      <c r="AF37" t="n">
        <v>20.8</v>
      </c>
    </row>
    <row r="38">
      <c r="A38" t="s">
        <v>149</v>
      </c>
      <c r="B38" t="s">
        <v>346</v>
      </c>
      <c r="C38" t="s">
        <v>203</v>
      </c>
      <c r="D38" t="s">
        <v>347</v>
      </c>
      <c r="E38" t="s">
        <v>204</v>
      </c>
      <c r="F38"/>
      <c r="G38"/>
      <c r="H38"/>
      <c r="I38"/>
      <c r="J38"/>
      <c r="K38" t="n">
        <v>81.2664988769616</v>
      </c>
      <c r="L38" t="n">
        <v>77.967217939649</v>
      </c>
      <c r="M38" t="n">
        <v>75.200114171436</v>
      </c>
      <c r="N38" t="n">
        <v>77.5899483082402</v>
      </c>
      <c r="O38" t="n">
        <v>77.4332009379205</v>
      </c>
      <c r="P38" t="n">
        <v>75.3524623330627</v>
      </c>
      <c r="Q38" t="n">
        <v>70.8114476538574</v>
      </c>
      <c r="R38" t="n">
        <v>135.3196035658</v>
      </c>
      <c r="S38" t="n">
        <v>93.1354642382451</v>
      </c>
      <c r="T38" t="n">
        <v>53.7760051498467</v>
      </c>
      <c r="U38" t="n">
        <v>29.7767962399978</v>
      </c>
      <c r="V38" t="n">
        <v>17.8878922467386</v>
      </c>
      <c r="W38" t="n">
        <v>32.7944691190207</v>
      </c>
      <c r="X38" t="n">
        <v>41.8374622647972</v>
      </c>
      <c r="Y38" t="n">
        <v>47.0219316520776</v>
      </c>
      <c r="Z38" t="n">
        <v>136.188520130618</v>
      </c>
      <c r="AA38" t="n">
        <v>505.50269304468</v>
      </c>
      <c r="AB38" t="n">
        <v>606.377112158715</v>
      </c>
      <c r="AC38" t="n">
        <v>718.764912280702</v>
      </c>
      <c r="AD38" t="n">
        <v>851.723256860099</v>
      </c>
      <c r="AE38" t="n">
        <v>776.4</v>
      </c>
      <c r="AF38" t="n">
        <v>775</v>
      </c>
    </row>
    <row r="39">
      <c r="A39" t="s">
        <v>149</v>
      </c>
      <c r="B39" t="s">
        <v>348</v>
      </c>
      <c r="C39" t="s">
        <v>203</v>
      </c>
      <c r="D39" t="s">
        <v>349</v>
      </c>
      <c r="E39" t="s">
        <v>204</v>
      </c>
      <c r="F39" t="e">
        <v>#NUM!</v>
      </c>
      <c r="G39" t="e">
        <v>#NUM!</v>
      </c>
      <c r="H39" t="e">
        <v>#NUM!</v>
      </c>
      <c r="I39" t="e">
        <v>#NUM!</v>
      </c>
      <c r="J39" t="e">
        <v>#NUM!</v>
      </c>
      <c r="K39" t="e">
        <v>#NUM!</v>
      </c>
      <c r="L39" t="e">
        <v>#NUM!</v>
      </c>
      <c r="M39" t="e">
        <v>#NUM!</v>
      </c>
      <c r="N39" t="e">
        <v>#NUM!</v>
      </c>
      <c r="O39" t="e">
        <v>#NUM!</v>
      </c>
      <c r="P39" t="e">
        <v>#NUM!</v>
      </c>
      <c r="Q39" t="e">
        <v>#NUM!</v>
      </c>
      <c r="R39" t="e">
        <v>#NUM!</v>
      </c>
      <c r="S39" t="e">
        <v>#NUM!</v>
      </c>
      <c r="T39" t="e">
        <v>#NUM!</v>
      </c>
      <c r="U39" t="n">
        <v>0</v>
      </c>
      <c r="V39" t="n">
        <v>0.439460844166726</v>
      </c>
      <c r="W39" t="n">
        <v>3.29595633125045</v>
      </c>
      <c r="X39" t="n">
        <v>2.84134166487108</v>
      </c>
      <c r="Y39" t="n">
        <v>3.21195144724556</v>
      </c>
      <c r="Z39" t="n">
        <v>1.92717086834734</v>
      </c>
      <c r="AA39" t="n">
        <v>9.63585434173669</v>
      </c>
      <c r="AB39" t="n">
        <v>5.39607843137255</v>
      </c>
      <c r="AC39" t="n">
        <v>8.53333333333333</v>
      </c>
      <c r="AD39" t="n">
        <v>7.68</v>
      </c>
      <c r="AE39" t="n">
        <v>1.2</v>
      </c>
      <c r="AF39" t="n">
        <v>1.5</v>
      </c>
    </row>
    <row r="40">
      <c r="A40" t="s">
        <v>149</v>
      </c>
      <c r="B40" t="s">
        <v>350</v>
      </c>
      <c r="C40" t="s">
        <v>203</v>
      </c>
      <c r="D40" t="s">
        <v>351</v>
      </c>
      <c r="E40" t="s">
        <v>204</v>
      </c>
      <c r="F40" t="e">
        <v>#NUM!</v>
      </c>
      <c r="G40" t="e">
        <v>#NUM!</v>
      </c>
      <c r="H40" t="e">
        <v>#NUM!</v>
      </c>
      <c r="I40" t="e">
        <v>#NUM!</v>
      </c>
      <c r="J40" t="e">
        <v>#NUM!</v>
      </c>
      <c r="K40" t="e">
        <v>#NUM!</v>
      </c>
      <c r="L40" t="e">
        <v>#NUM!</v>
      </c>
      <c r="M40" t="e">
        <v>#NUM!</v>
      </c>
      <c r="N40" t="e">
        <v>#NUM!</v>
      </c>
      <c r="O40" t="e">
        <v>#NUM!</v>
      </c>
      <c r="P40" t="e">
        <v>#NUM!</v>
      </c>
      <c r="Q40" t="e">
        <v>#NUM!</v>
      </c>
      <c r="R40" t="e">
        <v>#NUM!</v>
      </c>
      <c r="S40" t="e">
        <v>#NUM!</v>
      </c>
      <c r="T40" t="e">
        <v>#NUM!</v>
      </c>
      <c r="U40" t="e">
        <v>#NUM!</v>
      </c>
      <c r="V40" t="e">
        <v>#NUM!</v>
      </c>
      <c r="W40" t="e">
        <v>#NUM!</v>
      </c>
      <c r="X40" t="e">
        <v>#NUM!</v>
      </c>
      <c r="Y40" t="e">
        <v>#NUM!</v>
      </c>
      <c r="Z40" t="n">
        <v>0</v>
      </c>
      <c r="AA40" t="n">
        <v>0.126660839160839</v>
      </c>
      <c r="AB40" t="n">
        <v>0.126660839160839</v>
      </c>
      <c r="AC40" t="n">
        <v>2.78653846153846</v>
      </c>
      <c r="AD40" t="n">
        <v>1.575</v>
      </c>
      <c r="AE40" t="n">
        <v>1.8</v>
      </c>
      <c r="AF40" t="n">
        <v>2.2</v>
      </c>
    </row>
    <row r="41">
      <c r="A41" t="s">
        <v>149</v>
      </c>
      <c r="B41" t="s">
        <v>352</v>
      </c>
      <c r="C41" t="s">
        <v>203</v>
      </c>
      <c r="D41" t="s">
        <v>353</v>
      </c>
      <c r="E41" t="s">
        <v>204</v>
      </c>
      <c r="F41" t="e">
        <v>#NUM!</v>
      </c>
      <c r="G41" t="e">
        <v>#NUM!</v>
      </c>
      <c r="H41" t="e">
        <v>#NUM!</v>
      </c>
      <c r="I41" t="e">
        <v>#NUM!</v>
      </c>
      <c r="J41" t="e">
        <v>#NUM!</v>
      </c>
      <c r="K41" t="e">
        <v>#NUM!</v>
      </c>
      <c r="L41" t="e">
        <v>#NUM!</v>
      </c>
      <c r="M41" t="e">
        <v>#NUM!</v>
      </c>
      <c r="N41" t="e">
        <v>#NUM!</v>
      </c>
      <c r="O41" t="e">
        <v>#NUM!</v>
      </c>
      <c r="P41" t="e">
        <v>#NUM!</v>
      </c>
      <c r="Q41" t="e">
        <v>#NUM!</v>
      </c>
      <c r="R41" t="e">
        <v>#NUM!</v>
      </c>
      <c r="S41" t="e">
        <v>#NUM!</v>
      </c>
      <c r="T41" t="e">
        <v>#NUM!</v>
      </c>
      <c r="U41" t="e">
        <v>#NUM!</v>
      </c>
      <c r="V41" t="e">
        <v>#NUM!</v>
      </c>
      <c r="W41" t="e">
        <v>#NUM!</v>
      </c>
      <c r="X41" t="e">
        <v>#NUM!</v>
      </c>
      <c r="Y41" t="e">
        <v>#NUM!</v>
      </c>
      <c r="Z41" t="e">
        <v>#NUM!</v>
      </c>
      <c r="AA41" t="e">
        <v>#NUM!</v>
      </c>
      <c r="AB41" t="e">
        <v>#NUM!</v>
      </c>
      <c r="AC41" t="e">
        <v>#NUM!</v>
      </c>
      <c r="AD41" t="e">
        <v>#NUM!</v>
      </c>
      <c r="AE41" t="n">
        <v>0</v>
      </c>
      <c r="AF41" t="e">
        <v>#NUM!</v>
      </c>
    </row>
    <row r="42">
      <c r="A42" t="s">
        <v>149</v>
      </c>
      <c r="B42" t="s">
        <v>354</v>
      </c>
      <c r="C42" t="s">
        <v>203</v>
      </c>
      <c r="D42" t="s">
        <v>355</v>
      </c>
      <c r="E42" t="s">
        <v>204</v>
      </c>
      <c r="F42"/>
      <c r="G42"/>
      <c r="H42"/>
      <c r="I42"/>
      <c r="J42"/>
      <c r="K42" t="n">
        <v>904.088168999336</v>
      </c>
      <c r="L42" t="n">
        <v>963.201626203139</v>
      </c>
      <c r="M42" t="n">
        <v>956.517254728134</v>
      </c>
      <c r="N42" t="n">
        <v>956.836359733882</v>
      </c>
      <c r="O42" t="n">
        <v>956.208411343572</v>
      </c>
      <c r="P42" t="n">
        <v>964.994627862692</v>
      </c>
      <c r="Q42" t="n">
        <v>940.549992223166</v>
      </c>
      <c r="R42" t="n">
        <v>757.740003746152</v>
      </c>
      <c r="S42" t="n">
        <v>920.467566304979</v>
      </c>
      <c r="T42" t="n">
        <v>1187.45940558985</v>
      </c>
      <c r="U42" t="n">
        <v>1290.93976321849</v>
      </c>
      <c r="V42" t="n">
        <v>1330.48619583972</v>
      </c>
      <c r="W42" t="n">
        <v>1376.02825105517</v>
      </c>
      <c r="X42" t="n">
        <v>1407.3953566361</v>
      </c>
      <c r="Y42" t="n">
        <v>1582.91348425353</v>
      </c>
      <c r="Z42" t="n">
        <v>1565.4061459856</v>
      </c>
      <c r="AA42" t="n">
        <v>1069.3117204854</v>
      </c>
      <c r="AB42" t="n">
        <v>1146.06800117343</v>
      </c>
      <c r="AC42" t="n">
        <v>1273.36785220075</v>
      </c>
      <c r="AD42" t="n">
        <v>1478.53353171496</v>
      </c>
      <c r="AE42" t="n">
        <v>1486.8</v>
      </c>
      <c r="AF42" t="n">
        <v>1387.9</v>
      </c>
    </row>
    <row r="43">
      <c r="A43" t="s">
        <v>149</v>
      </c>
      <c r="B43" t="s">
        <v>356</v>
      </c>
      <c r="C43" t="s">
        <v>203</v>
      </c>
      <c r="D43" t="s">
        <v>357</v>
      </c>
      <c r="E43" t="s">
        <v>204</v>
      </c>
      <c r="F43"/>
      <c r="G43"/>
      <c r="H43"/>
      <c r="I43"/>
      <c r="J43"/>
      <c r="K43" t="n">
        <v>903.993897804847</v>
      </c>
      <c r="L43" t="n">
        <v>963.101191122856</v>
      </c>
      <c r="M43" t="n">
        <v>956.417516641469</v>
      </c>
      <c r="N43" t="n">
        <v>956.736588373459</v>
      </c>
      <c r="O43" t="n">
        <v>956.108705460663</v>
      </c>
      <c r="P43" t="n">
        <v>964.894005822317</v>
      </c>
      <c r="Q43" t="n">
        <v>940.451919076891</v>
      </c>
      <c r="R43" t="n">
        <v>757.660992585831</v>
      </c>
      <c r="S43" t="n">
        <v>920.371587195928</v>
      </c>
      <c r="T43" t="n">
        <v>1187.67990825583</v>
      </c>
      <c r="U43" t="n">
        <v>1291.26183040844</v>
      </c>
      <c r="V43" t="n">
        <v>1330.80474408815</v>
      </c>
      <c r="W43" t="n">
        <v>1375.91856846699</v>
      </c>
      <c r="X43" t="n">
        <v>1407.28317379014</v>
      </c>
      <c r="Y43" t="n">
        <v>1582.78731093718</v>
      </c>
      <c r="Z43" t="n">
        <v>1568.28238693112</v>
      </c>
      <c r="AA43" t="n">
        <v>1070.22388841906</v>
      </c>
      <c r="AB43" t="n">
        <v>1147.97841740161</v>
      </c>
      <c r="AC43" t="n">
        <v>1280.56530807631</v>
      </c>
      <c r="AD43" t="n">
        <v>1485.97286730784</v>
      </c>
      <c r="AE43" t="n">
        <v>1489</v>
      </c>
      <c r="AF43" t="n">
        <v>1389.9</v>
      </c>
    </row>
    <row r="44">
      <c r="A44" t="s">
        <v>149</v>
      </c>
      <c r="B44" t="s">
        <v>358</v>
      </c>
      <c r="C44" t="s">
        <v>203</v>
      </c>
      <c r="D44" t="s">
        <v>359</v>
      </c>
      <c r="E44" t="s">
        <v>204</v>
      </c>
      <c r="F44"/>
      <c r="G44"/>
      <c r="H44"/>
      <c r="I44"/>
      <c r="J44"/>
      <c r="K44" t="n">
        <v>1316.51720205326</v>
      </c>
      <c r="L44" t="n">
        <v>1334.08235891024</v>
      </c>
      <c r="M44" t="n">
        <v>1364.08372215144</v>
      </c>
      <c r="N44" t="n">
        <v>1365.51976771225</v>
      </c>
      <c r="O44" t="n">
        <v>1317.62607760735</v>
      </c>
      <c r="P44" t="n">
        <v>1325.07197542385</v>
      </c>
      <c r="Q44" t="n">
        <v>1283.14831253774</v>
      </c>
      <c r="R44" t="n">
        <v>1360.35241436129</v>
      </c>
      <c r="S44" t="n">
        <v>1322.5400917534</v>
      </c>
      <c r="T44" t="n">
        <v>1482.63584218693</v>
      </c>
      <c r="U44" t="n">
        <v>1496.23596043857</v>
      </c>
      <c r="V44" t="n">
        <v>1494.16088866862</v>
      </c>
      <c r="W44" t="n">
        <v>1600.31042608469</v>
      </c>
      <c r="X44" t="n">
        <v>1664.35323632616</v>
      </c>
      <c r="Y44" t="n">
        <v>1871.78040639415</v>
      </c>
      <c r="Z44" t="n">
        <v>2089.57757879002</v>
      </c>
      <c r="AA44" t="n">
        <v>2194.51406606711</v>
      </c>
      <c r="AB44" t="n">
        <v>2514.96085384829</v>
      </c>
      <c r="AC44" t="n">
        <v>2887.29227566545</v>
      </c>
      <c r="AD44" t="n">
        <v>3199.8299039463</v>
      </c>
      <c r="AE44" t="n">
        <v>3018.2</v>
      </c>
      <c r="AF44" t="n">
        <v>2852.7</v>
      </c>
    </row>
    <row r="45">
      <c r="A45" t="s">
        <v>149</v>
      </c>
      <c r="B45" t="s">
        <v>360</v>
      </c>
      <c r="C45" t="s">
        <v>203</v>
      </c>
      <c r="D45" t="s">
        <v>361</v>
      </c>
      <c r="E45" t="s">
        <v>204</v>
      </c>
      <c r="F45"/>
      <c r="G45"/>
      <c r="H45"/>
      <c r="I45"/>
      <c r="J45"/>
      <c r="K45" t="n">
        <v>1296.5962321919</v>
      </c>
      <c r="L45" t="n">
        <v>1312.42322845339</v>
      </c>
      <c r="M45" t="n">
        <v>1342.26214643165</v>
      </c>
      <c r="N45" t="n">
        <v>1344.49605870579</v>
      </c>
      <c r="O45" t="n">
        <v>1296.75875412198</v>
      </c>
      <c r="P45" t="n">
        <v>1303.31104915888</v>
      </c>
      <c r="Q45" t="n">
        <v>1260.67738709938</v>
      </c>
      <c r="R45" t="n">
        <v>1343.12646832118</v>
      </c>
      <c r="S45" t="n">
        <v>1321.10174045203</v>
      </c>
      <c r="T45" t="n">
        <v>1460.07448260695</v>
      </c>
      <c r="U45" t="n">
        <v>1473.89714529158</v>
      </c>
      <c r="V45" t="n">
        <v>1474.8800346149</v>
      </c>
      <c r="W45" t="n">
        <v>1578.26493232738</v>
      </c>
      <c r="X45" t="n">
        <v>1642.19437632304</v>
      </c>
      <c r="Y45" t="n">
        <v>1846.95706757986</v>
      </c>
      <c r="Z45" t="n">
        <v>2082.4994161428</v>
      </c>
      <c r="AA45" t="n">
        <v>2188.56133330955</v>
      </c>
      <c r="AB45" t="n">
        <v>2509.12659317329</v>
      </c>
      <c r="AC45" t="n">
        <v>2883.17471084641</v>
      </c>
      <c r="AD45" t="n">
        <v>3197.98143187958</v>
      </c>
      <c r="AE45" t="n">
        <v>3016.7</v>
      </c>
      <c r="AF45" t="n">
        <v>2850.3</v>
      </c>
    </row>
    <row r="46">
      <c r="A46" t="s">
        <v>149</v>
      </c>
      <c r="B46" t="s">
        <v>362</v>
      </c>
      <c r="C46" t="s">
        <v>203</v>
      </c>
      <c r="D46" t="s">
        <v>363</v>
      </c>
      <c r="E46" t="s">
        <v>204</v>
      </c>
      <c r="F46" t="e">
        <v>#NUM!</v>
      </c>
      <c r="G46" t="e">
        <v>#NUM!</v>
      </c>
      <c r="H46" t="e">
        <v>#NUM!</v>
      </c>
      <c r="I46" t="e">
        <v>#NUM!</v>
      </c>
      <c r="J46" t="e">
        <v>#NUM!</v>
      </c>
      <c r="K46" t="e">
        <v>#NUM!</v>
      </c>
      <c r="L46" t="e">
        <v>#NUM!</v>
      </c>
      <c r="M46" t="e">
        <v>#NUM!</v>
      </c>
      <c r="N46" t="e">
        <v>#NUM!</v>
      </c>
      <c r="O46" t="e">
        <v>#NUM!</v>
      </c>
      <c r="P46" t="e">
        <v>#NUM!</v>
      </c>
      <c r="Q46" t="e">
        <v>#NUM!</v>
      </c>
      <c r="R46" t="e">
        <v>#NUM!</v>
      </c>
      <c r="S46" t="e">
        <v>#NUM!</v>
      </c>
      <c r="T46" t="e">
        <v>#NUM!</v>
      </c>
      <c r="U46" t="e">
        <v>#NUM!</v>
      </c>
      <c r="V46" t="e">
        <v>#NUM!</v>
      </c>
      <c r="W46" t="e">
        <v>#NUM!</v>
      </c>
      <c r="X46" t="e">
        <v>#NUM!</v>
      </c>
      <c r="Y46" t="n">
        <v>0</v>
      </c>
      <c r="Z46" t="n">
        <v>2.91721101551035</v>
      </c>
      <c r="AA46" t="n">
        <v>0.972403671836782</v>
      </c>
      <c r="AB46" t="n">
        <v>1.94480734367356</v>
      </c>
      <c r="AC46" t="n">
        <v>7.17147707979627</v>
      </c>
      <c r="AD46" t="n">
        <v>7.41052631578948</v>
      </c>
      <c r="AE46" t="n">
        <v>2.2</v>
      </c>
      <c r="AF46" t="n">
        <v>2</v>
      </c>
    </row>
    <row r="47">
      <c r="A47" t="s">
        <v>149</v>
      </c>
      <c r="B47" t="s">
        <v>364</v>
      </c>
      <c r="C47" t="s">
        <v>203</v>
      </c>
      <c r="D47" t="s">
        <v>365</v>
      </c>
      <c r="E47" t="s">
        <v>204</v>
      </c>
      <c r="F47"/>
      <c r="G47"/>
      <c r="H47"/>
      <c r="I47"/>
      <c r="J47"/>
      <c r="K47" t="n">
        <v>27.3796884441778</v>
      </c>
      <c r="L47" t="n">
        <v>29.7131846183975</v>
      </c>
      <c r="M47" t="n">
        <v>30.0044903499504</v>
      </c>
      <c r="N47" t="n">
        <v>28.8668793414215</v>
      </c>
      <c r="O47" t="n">
        <v>28.7267488591816</v>
      </c>
      <c r="P47" t="n">
        <v>29.9236967283142</v>
      </c>
      <c r="Q47" t="n">
        <v>31.0697106455687</v>
      </c>
      <c r="R47" t="n">
        <v>23.6951878853365</v>
      </c>
      <c r="S47" t="n">
        <v>0.114469506692447</v>
      </c>
      <c r="T47" t="n">
        <v>10.5311946157051</v>
      </c>
      <c r="U47" t="n">
        <v>32.3778217440295</v>
      </c>
      <c r="V47" t="n">
        <v>41.3777586355903</v>
      </c>
      <c r="W47" t="n">
        <v>22.7151097664452</v>
      </c>
      <c r="X47" t="n">
        <v>27.9319770812268</v>
      </c>
      <c r="Y47" t="n">
        <v>31.438588922593</v>
      </c>
      <c r="Z47" t="n">
        <v>9.76976070104483</v>
      </c>
      <c r="AA47" t="n">
        <v>9.51925401640265</v>
      </c>
      <c r="AB47" t="n">
        <v>12.7758409167509</v>
      </c>
      <c r="AC47" t="n">
        <v>10.5646376811594</v>
      </c>
      <c r="AD47" t="n">
        <v>11.8852173913043</v>
      </c>
      <c r="AE47" t="n">
        <v>13.4</v>
      </c>
      <c r="AF47" t="n">
        <v>6.3</v>
      </c>
    </row>
    <row r="48">
      <c r="A48" t="s">
        <v>149</v>
      </c>
      <c r="B48" t="s">
        <v>366</v>
      </c>
      <c r="C48" t="s">
        <v>203</v>
      </c>
      <c r="D48" t="s">
        <v>367</v>
      </c>
      <c r="E48" t="s">
        <v>204</v>
      </c>
      <c r="F48"/>
      <c r="G48"/>
      <c r="H48"/>
      <c r="I48"/>
      <c r="J48"/>
      <c r="K48" t="n">
        <v>132.774025712883</v>
      </c>
      <c r="L48" t="n">
        <v>146.557400261264</v>
      </c>
      <c r="M48" t="n">
        <v>145.903126152955</v>
      </c>
      <c r="N48" t="n">
        <v>144.623274169157</v>
      </c>
      <c r="O48" t="n">
        <v>145.095384966227</v>
      </c>
      <c r="P48" t="n">
        <v>147.035961102607</v>
      </c>
      <c r="Q48" t="n">
        <v>149.028704041074</v>
      </c>
      <c r="R48" t="n">
        <v>118.441438383457</v>
      </c>
      <c r="S48" t="n">
        <v>95.8750932877932</v>
      </c>
      <c r="T48" t="n">
        <v>136.521540022977</v>
      </c>
      <c r="U48" t="n">
        <v>139.198432964604</v>
      </c>
      <c r="V48" t="n">
        <v>150.015265667505</v>
      </c>
      <c r="W48" t="n">
        <v>115.935364549834</v>
      </c>
      <c r="X48" t="n">
        <v>142.096809172035</v>
      </c>
      <c r="Y48" t="n">
        <v>159.904029965821</v>
      </c>
      <c r="Z48" t="n">
        <v>117.646358246941</v>
      </c>
      <c r="AA48" t="n">
        <v>128.558120685623</v>
      </c>
      <c r="AB48" t="n">
        <v>142.381574522787</v>
      </c>
      <c r="AC48" t="n">
        <v>107.278850700127</v>
      </c>
      <c r="AD48" t="n">
        <v>146.311111111111</v>
      </c>
      <c r="AE48" t="n">
        <v>164.6</v>
      </c>
      <c r="AF48" t="n">
        <v>151.3</v>
      </c>
    </row>
    <row r="49">
      <c r="A49" t="s">
        <v>149</v>
      </c>
      <c r="B49" t="s">
        <v>368</v>
      </c>
      <c r="C49" t="s">
        <v>203</v>
      </c>
      <c r="D49" t="s">
        <v>369</v>
      </c>
      <c r="E49" t="s">
        <v>204</v>
      </c>
      <c r="F49"/>
      <c r="G49"/>
      <c r="H49"/>
      <c r="I49"/>
      <c r="J49"/>
      <c r="K49" t="n">
        <v>83.4859264596305</v>
      </c>
      <c r="L49" t="n">
        <v>93.1654541650949</v>
      </c>
      <c r="M49" t="n">
        <v>92.3553197810506</v>
      </c>
      <c r="N49" t="n">
        <v>92.9900642468997</v>
      </c>
      <c r="O49" t="n">
        <v>93.7714933582182</v>
      </c>
      <c r="P49" t="n">
        <v>93.623355138063</v>
      </c>
      <c r="Q49" t="n">
        <v>93.9057785321447</v>
      </c>
      <c r="R49" t="n">
        <v>76.7833573752864</v>
      </c>
      <c r="S49" t="n">
        <v>86.032837719174</v>
      </c>
      <c r="T49" t="n">
        <v>98.1437019930551</v>
      </c>
      <c r="U49" t="n">
        <v>89.0398744326133</v>
      </c>
      <c r="V49" t="n">
        <v>83.2707872138743</v>
      </c>
      <c r="W49" t="n">
        <v>76.4990840605224</v>
      </c>
      <c r="X49" t="n">
        <v>103.225072409814</v>
      </c>
      <c r="Y49" t="n">
        <v>116.188221038023</v>
      </c>
      <c r="Z49" t="n">
        <v>82.4038777962802</v>
      </c>
      <c r="AA49" t="n">
        <v>95.0333036800804</v>
      </c>
      <c r="AB49" t="n">
        <v>101.803486264149</v>
      </c>
      <c r="AC49" t="n">
        <v>58.331309982474</v>
      </c>
      <c r="AD49" t="n">
        <v>83.5524296675192</v>
      </c>
      <c r="AE49" t="n">
        <v>91</v>
      </c>
      <c r="AF49" t="n">
        <v>89.1</v>
      </c>
    </row>
    <row r="50">
      <c r="A50" t="s">
        <v>149</v>
      </c>
      <c r="B50" t="s">
        <v>370</v>
      </c>
      <c r="C50" t="s">
        <v>203</v>
      </c>
      <c r="D50" t="s">
        <v>371</v>
      </c>
      <c r="E50" t="s">
        <v>204</v>
      </c>
      <c r="F50"/>
      <c r="G50"/>
      <c r="H50"/>
      <c r="I50"/>
      <c r="J50"/>
      <c r="K50" t="n">
        <v>17.5637300395576</v>
      </c>
      <c r="L50" t="n">
        <v>18.9412774936405</v>
      </c>
      <c r="M50" t="n">
        <v>18.9412774936405</v>
      </c>
      <c r="N50" t="n">
        <v>18.4637662963219</v>
      </c>
      <c r="O50" t="n">
        <v>18.4637662963219</v>
      </c>
      <c r="P50" t="n">
        <v>19.2082730018187</v>
      </c>
      <c r="Q50" t="n">
        <v>19.6351235129702</v>
      </c>
      <c r="R50" t="n">
        <v>14.7935862084022</v>
      </c>
      <c r="S50" t="n">
        <v>9.30975683804623</v>
      </c>
      <c r="T50" t="n">
        <v>27.4695294357167</v>
      </c>
      <c r="U50" t="n">
        <v>17.6430311009887</v>
      </c>
      <c r="V50" t="n">
        <v>25.3139141883752</v>
      </c>
      <c r="W50" t="n">
        <v>16.592313501624</v>
      </c>
      <c r="X50" t="n">
        <v>10.736202853992</v>
      </c>
      <c r="Y50" t="n">
        <v>12.0631492741484</v>
      </c>
      <c r="Z50" t="n">
        <v>25.3828765976872</v>
      </c>
      <c r="AA50" t="n">
        <v>23.8674809799148</v>
      </c>
      <c r="AB50" t="n">
        <v>27.529687056198</v>
      </c>
      <c r="AC50" t="n">
        <v>38.2699685534591</v>
      </c>
      <c r="AD50" t="n">
        <v>50.8666666666667</v>
      </c>
      <c r="AE50" t="n">
        <v>60.2</v>
      </c>
      <c r="AF50" t="n">
        <v>55.9</v>
      </c>
    </row>
    <row r="51">
      <c r="A51" t="s">
        <v>149</v>
      </c>
      <c r="B51" t="s">
        <v>372</v>
      </c>
      <c r="C51" t="s">
        <v>203</v>
      </c>
      <c r="D51" t="s">
        <v>373</v>
      </c>
      <c r="E51" t="s">
        <v>204</v>
      </c>
      <c r="F51"/>
      <c r="G51"/>
      <c r="H51"/>
      <c r="I51"/>
      <c r="J51"/>
      <c r="K51" t="n">
        <v>17.4847331147398</v>
      </c>
      <c r="L51" t="n">
        <v>18.8560847315822</v>
      </c>
      <c r="M51" t="n">
        <v>18.8560847315822</v>
      </c>
      <c r="N51" t="n">
        <v>18.380721250954</v>
      </c>
      <c r="O51" t="n">
        <v>18.380721250954</v>
      </c>
      <c r="P51" t="n">
        <v>19.1218793659119</v>
      </c>
      <c r="Q51" t="n">
        <v>19.5468100184877</v>
      </c>
      <c r="R51" t="n">
        <v>14.7270486440661</v>
      </c>
      <c r="S51" t="n">
        <v>8.37918284921</v>
      </c>
      <c r="T51" t="n">
        <v>27.4332150816601</v>
      </c>
      <c r="U51" t="n">
        <v>17.6197072475703</v>
      </c>
      <c r="V51" t="n">
        <v>25.2804495291226</v>
      </c>
      <c r="W51" t="n">
        <v>16.5703786829543</v>
      </c>
      <c r="X51" t="n">
        <v>10.7220097360293</v>
      </c>
      <c r="Y51" t="n">
        <v>12.0472019505947</v>
      </c>
      <c r="Z51" t="n">
        <v>25.349320771043</v>
      </c>
      <c r="AA51" t="n">
        <v>23.8359284862046</v>
      </c>
      <c r="AB51" t="n">
        <v>27.493293174564</v>
      </c>
      <c r="AC51" t="n">
        <v>38.21937616195</v>
      </c>
      <c r="AD51" t="n">
        <v>50.6796116504854</v>
      </c>
      <c r="AE51" t="n">
        <v>60</v>
      </c>
      <c r="AF51" t="n">
        <v>55.7</v>
      </c>
    </row>
    <row r="52">
      <c r="A52" t="s">
        <v>149</v>
      </c>
      <c r="B52" t="s">
        <v>374</v>
      </c>
      <c r="C52" t="s">
        <v>203</v>
      </c>
      <c r="D52" t="s">
        <v>375</v>
      </c>
      <c r="E52" t="s">
        <v>204</v>
      </c>
      <c r="F52" t="e">
        <v>#NUM!</v>
      </c>
      <c r="G52" t="e">
        <v>#NUM!</v>
      </c>
      <c r="H52" t="e">
        <v>#NUM!</v>
      </c>
      <c r="I52" t="e">
        <v>#NUM!</v>
      </c>
      <c r="J52" t="e">
        <v>#NUM!</v>
      </c>
      <c r="K52" t="e">
        <v>#NUM!</v>
      </c>
      <c r="L52" t="e">
        <v>#NUM!</v>
      </c>
      <c r="M52" t="e">
        <v>#NUM!</v>
      </c>
      <c r="N52" t="e">
        <v>#NUM!</v>
      </c>
      <c r="O52" t="e">
        <v>#NUM!</v>
      </c>
      <c r="P52" t="e">
        <v>#NUM!</v>
      </c>
      <c r="Q52" t="e">
        <v>#NUM!</v>
      </c>
      <c r="R52" t="e">
        <v>#NUM!</v>
      </c>
      <c r="S52" t="e">
        <v>#NUM!</v>
      </c>
      <c r="T52" t="e">
        <v>#NUM!</v>
      </c>
      <c r="U52" t="e">
        <v>#NUM!</v>
      </c>
      <c r="V52" t="e">
        <v>#NUM!</v>
      </c>
      <c r="W52" t="e">
        <v>#NUM!</v>
      </c>
      <c r="X52" t="e">
        <v>#NUM!</v>
      </c>
      <c r="Y52" t="e">
        <v>#NUM!</v>
      </c>
      <c r="Z52" t="e">
        <v>#NUM!</v>
      </c>
      <c r="AA52" t="e">
        <v>#NUM!</v>
      </c>
      <c r="AB52" t="e">
        <v>#NUM!</v>
      </c>
      <c r="AC52" t="n">
        <v>0</v>
      </c>
      <c r="AD52" t="n">
        <v>0.2</v>
      </c>
      <c r="AE52" t="n">
        <v>0.2</v>
      </c>
      <c r="AF52" t="n">
        <v>0.2</v>
      </c>
    </row>
    <row r="53">
      <c r="A53" t="s">
        <v>149</v>
      </c>
      <c r="B53" t="s">
        <v>376</v>
      </c>
      <c r="C53" t="s">
        <v>203</v>
      </c>
      <c r="D53" t="s">
        <v>377</v>
      </c>
      <c r="E53" t="s">
        <v>204</v>
      </c>
      <c r="F53"/>
      <c r="G53"/>
      <c r="H53"/>
      <c r="I53"/>
      <c r="J53"/>
      <c r="K53" t="n">
        <v>11.085038383434</v>
      </c>
      <c r="L53" t="n">
        <v>11.7671945916453</v>
      </c>
      <c r="M53" t="n">
        <v>12.0895834845671</v>
      </c>
      <c r="N53" t="n">
        <v>11.7755683291238</v>
      </c>
      <c r="O53" t="n">
        <v>11.7755683291238</v>
      </c>
      <c r="P53" t="n">
        <v>11.9227629332379</v>
      </c>
      <c r="Q53" t="n">
        <v>12.3485758951392</v>
      </c>
      <c r="R53" t="n">
        <v>9.39565557238853</v>
      </c>
      <c r="S53" t="n">
        <v>6.60235256438113</v>
      </c>
      <c r="T53" t="n">
        <v>14.5707091075997</v>
      </c>
      <c r="U53" t="n">
        <v>11.4799526302301</v>
      </c>
      <c r="V53" t="n">
        <v>11.0467468705988</v>
      </c>
      <c r="W53" t="n">
        <v>8.94260460953233</v>
      </c>
      <c r="X53" t="n">
        <v>11.7439024390244</v>
      </c>
      <c r="Y53" t="n">
        <v>13.1674057649667</v>
      </c>
      <c r="Z53" t="n">
        <v>10.2139689578714</v>
      </c>
      <c r="AA53" t="n">
        <v>13.7827050997783</v>
      </c>
      <c r="AB53" t="n">
        <v>13.6585365853659</v>
      </c>
      <c r="AC53" t="n">
        <v>15.3658536585366</v>
      </c>
      <c r="AD53" t="n">
        <v>14.6511627906977</v>
      </c>
      <c r="AE53" t="n">
        <v>15</v>
      </c>
      <c r="AF53" t="n">
        <v>5.1</v>
      </c>
    </row>
    <row r="54">
      <c r="A54" t="s">
        <v>149</v>
      </c>
      <c r="B54" t="s">
        <v>378</v>
      </c>
      <c r="C54" t="s">
        <v>203</v>
      </c>
      <c r="D54" t="s">
        <v>379</v>
      </c>
      <c r="E54" t="s">
        <v>204</v>
      </c>
      <c r="F54"/>
      <c r="G54"/>
      <c r="H54"/>
      <c r="I54"/>
      <c r="J54"/>
      <c r="K54" t="n">
        <v>20.9459060891893</v>
      </c>
      <c r="L54" t="n">
        <v>30.2936658314721</v>
      </c>
      <c r="M54" t="n">
        <v>23.6160298148573</v>
      </c>
      <c r="N54" t="n">
        <v>23.7745266592523</v>
      </c>
      <c r="O54" t="n">
        <v>23.9309380188526</v>
      </c>
      <c r="P54" t="n">
        <v>30.4710701482285</v>
      </c>
      <c r="Q54" t="n">
        <v>29.616741078652</v>
      </c>
      <c r="R54" t="n">
        <v>19.2035490099022</v>
      </c>
      <c r="S54" t="n">
        <v>36.2451090584247</v>
      </c>
      <c r="T54" t="n">
        <v>26.6407268473595</v>
      </c>
      <c r="U54" t="n">
        <v>27.5287510756048</v>
      </c>
      <c r="V54" t="n">
        <v>25.5701838054037</v>
      </c>
      <c r="W54" t="n">
        <v>36.6646850432854</v>
      </c>
      <c r="X54" t="n">
        <v>25.3083666670466</v>
      </c>
      <c r="Y54" t="n">
        <v>28.2928438683492</v>
      </c>
      <c r="Z54" t="n">
        <v>14.8259443851612</v>
      </c>
      <c r="AA54" t="n">
        <v>20.8798716757686</v>
      </c>
      <c r="AB54" t="n">
        <v>23.2412857343377</v>
      </c>
      <c r="AC54" t="n">
        <v>39.0208955223881</v>
      </c>
      <c r="AD54" t="n">
        <v>39.9755351681957</v>
      </c>
      <c r="AE54" t="n">
        <v>38</v>
      </c>
      <c r="AF54" t="n">
        <v>31.2</v>
      </c>
    </row>
    <row r="55">
      <c r="A55" t="s">
        <v>149</v>
      </c>
      <c r="B55" t="s">
        <v>380</v>
      </c>
      <c r="C55" t="s">
        <v>203</v>
      </c>
      <c r="D55" t="s">
        <v>381</v>
      </c>
      <c r="E55" t="s">
        <v>204</v>
      </c>
      <c r="F55"/>
      <c r="G55"/>
      <c r="H55"/>
      <c r="I55"/>
      <c r="J55"/>
      <c r="K55" t="n">
        <v>9.83180884766544</v>
      </c>
      <c r="L55" t="n">
        <v>18.6102096045096</v>
      </c>
      <c r="M55" t="n">
        <v>11.5284484275723</v>
      </c>
      <c r="N55" t="n">
        <v>12.0088004453878</v>
      </c>
      <c r="O55" t="n">
        <v>12.166810977564</v>
      </c>
      <c r="P55" t="n">
        <v>18.6257353236782</v>
      </c>
      <c r="Q55" t="n">
        <v>17.3362613397312</v>
      </c>
      <c r="R55" t="n">
        <v>9.8284316256744</v>
      </c>
      <c r="S55" t="n">
        <v>29.7405788153524</v>
      </c>
      <c r="T55" t="n">
        <v>12.0569914116294</v>
      </c>
      <c r="U55" t="n">
        <v>16.0759885488391</v>
      </c>
      <c r="V55" t="n">
        <v>14.5449420203783</v>
      </c>
      <c r="W55" t="n">
        <v>27.8158745207234</v>
      </c>
      <c r="X55" t="n">
        <v>13.581969980822</v>
      </c>
      <c r="Y55" t="n">
        <v>15.1444975007396</v>
      </c>
      <c r="Z55" t="n">
        <v>4.59300334038823</v>
      </c>
      <c r="AA55" t="n">
        <v>7.07570784870619</v>
      </c>
      <c r="AB55" t="n">
        <v>9.55841235702415</v>
      </c>
      <c r="AC55" t="n">
        <v>23.6509433962264</v>
      </c>
      <c r="AD55" t="n">
        <v>25.3232323232323</v>
      </c>
      <c r="AE55" t="n">
        <v>23</v>
      </c>
      <c r="AF55" t="n">
        <v>26.1</v>
      </c>
    </row>
    <row r="56">
      <c r="A56" t="s">
        <v>149</v>
      </c>
      <c r="B56" t="s">
        <v>382</v>
      </c>
      <c r="C56" t="s">
        <v>203</v>
      </c>
      <c r="D56" t="s">
        <v>383</v>
      </c>
      <c r="E56" t="s">
        <v>204</v>
      </c>
      <c r="F56" t="e">
        <v>#NUM!</v>
      </c>
      <c r="G56" t="e">
        <v>#NUM!</v>
      </c>
      <c r="H56" t="e">
        <v>#NUM!</v>
      </c>
      <c r="I56" t="e">
        <v>#NUM!</v>
      </c>
      <c r="J56" t="e">
        <v>#NUM!</v>
      </c>
      <c r="K56" t="e">
        <v>#NUM!</v>
      </c>
      <c r="L56" t="e">
        <v>#NUM!</v>
      </c>
      <c r="M56" t="e">
        <v>#NUM!</v>
      </c>
      <c r="N56" t="e">
        <v>#NUM!</v>
      </c>
      <c r="O56" t="e">
        <v>#NUM!</v>
      </c>
      <c r="P56" t="e">
        <v>#NUM!</v>
      </c>
      <c r="Q56" t="e">
        <v>#NUM!</v>
      </c>
      <c r="R56" t="e">
        <v>#NUM!</v>
      </c>
      <c r="S56" t="e">
        <v>#NUM!</v>
      </c>
      <c r="T56" t="e">
        <v>#NUM!</v>
      </c>
      <c r="U56" t="e">
        <v>#NUM!</v>
      </c>
      <c r="V56" t="e">
        <v>#NUM!</v>
      </c>
      <c r="W56" t="e">
        <v>#NUM!</v>
      </c>
      <c r="X56" t="e">
        <v>#NUM!</v>
      </c>
      <c r="Y56" t="e">
        <v>#NUM!</v>
      </c>
      <c r="Z56" t="e">
        <v>#NUM!</v>
      </c>
      <c r="AA56" t="e">
        <v>#NUM!</v>
      </c>
      <c r="AB56" t="e">
        <v>#NUM!</v>
      </c>
      <c r="AC56" t="e">
        <v>#NUM!</v>
      </c>
      <c r="AD56" t="e">
        <v>#NUM!</v>
      </c>
      <c r="AE56" t="n">
        <v>0</v>
      </c>
      <c r="AF56" t="e">
        <v>#NUM!</v>
      </c>
    </row>
    <row r="57">
      <c r="A57" t="s">
        <v>149</v>
      </c>
      <c r="B57" t="s">
        <v>384</v>
      </c>
      <c r="C57" t="s">
        <v>203</v>
      </c>
      <c r="D57" t="s">
        <v>385</v>
      </c>
      <c r="E57" t="s">
        <v>204</v>
      </c>
      <c r="F57"/>
      <c r="G57"/>
      <c r="H57"/>
      <c r="I57"/>
      <c r="J57"/>
      <c r="K57" t="n">
        <v>1448.20656515145</v>
      </c>
      <c r="L57" t="n">
        <v>1479.49658816517</v>
      </c>
      <c r="M57" t="n">
        <v>1508.99525334009</v>
      </c>
      <c r="N57" t="n">
        <v>1509.31424610054</v>
      </c>
      <c r="O57" t="n">
        <v>1462.06478296209</v>
      </c>
      <c r="P57" t="n">
        <v>1471.44367323055</v>
      </c>
      <c r="Q57" t="n">
        <v>1431.52133353974</v>
      </c>
      <c r="R57" t="n">
        <v>1478.45425466753</v>
      </c>
      <c r="S57" t="n">
        <v>1419.51467141361</v>
      </c>
      <c r="T57" t="n">
        <v>1619.30246793189</v>
      </c>
      <c r="U57" t="n">
        <v>1635.46650881376</v>
      </c>
      <c r="V57" t="n">
        <v>1644.20414209178</v>
      </c>
      <c r="W57" t="n">
        <v>1716.28204334301</v>
      </c>
      <c r="X57" t="n">
        <v>1806.48128303553</v>
      </c>
      <c r="Y57" t="n">
        <v>2031.73463062363</v>
      </c>
      <c r="Z57" t="n">
        <v>2207.27650270951</v>
      </c>
      <c r="AA57" t="n">
        <v>2323.25098524324</v>
      </c>
      <c r="AB57" t="n">
        <v>2657.40517691335</v>
      </c>
      <c r="AC57" t="n">
        <v>2997.22995976471</v>
      </c>
      <c r="AD57" t="n">
        <v>3347.71877010822</v>
      </c>
      <c r="AE57" t="n">
        <v>3184.6</v>
      </c>
      <c r="AF57" t="n">
        <v>3006.2</v>
      </c>
    </row>
    <row r="58">
      <c r="A58" t="s">
        <v>149</v>
      </c>
      <c r="B58" t="s">
        <v>386</v>
      </c>
      <c r="C58" t="s">
        <v>203</v>
      </c>
      <c r="D58" t="s">
        <v>387</v>
      </c>
      <c r="E58" t="s">
        <v>204</v>
      </c>
      <c r="F58"/>
      <c r="G58"/>
      <c r="H58"/>
      <c r="I58"/>
      <c r="J58"/>
      <c r="K58" t="n">
        <v>1448.20656515145</v>
      </c>
      <c r="L58" t="n">
        <v>1479.49658816517</v>
      </c>
      <c r="M58" t="n">
        <v>1508.99525334009</v>
      </c>
      <c r="N58" t="n">
        <v>1509.31424610054</v>
      </c>
      <c r="O58" t="n">
        <v>1462.06478296209</v>
      </c>
      <c r="P58" t="n">
        <v>1471.44367323055</v>
      </c>
      <c r="Q58" t="n">
        <v>1431.52133353974</v>
      </c>
      <c r="R58" t="n">
        <v>1478.45425466753</v>
      </c>
      <c r="S58" t="n">
        <v>1419.51467141361</v>
      </c>
      <c r="T58" t="n">
        <v>1619.30246793189</v>
      </c>
      <c r="U58" t="n">
        <v>1635.46650881376</v>
      </c>
      <c r="V58" t="n">
        <v>1644.20414209178</v>
      </c>
      <c r="W58" t="n">
        <v>1716.28204334301</v>
      </c>
      <c r="X58" t="n">
        <v>1806.48128303553</v>
      </c>
      <c r="Y58" t="n">
        <v>2031.73463062363</v>
      </c>
      <c r="Z58" t="n">
        <v>2207.27650270951</v>
      </c>
      <c r="AA58" t="n">
        <v>2323.25098524324</v>
      </c>
      <c r="AB58" t="n">
        <v>2657.40517691335</v>
      </c>
      <c r="AC58" t="n">
        <v>2997.22995976471</v>
      </c>
      <c r="AD58" t="n">
        <v>3347.71877010822</v>
      </c>
      <c r="AE58" t="n">
        <v>3184.6</v>
      </c>
      <c r="AF58" t="n">
        <v>3006.2</v>
      </c>
    </row>
    <row r="59">
      <c r="A59" t="s">
        <v>149</v>
      </c>
      <c r="B59" t="s">
        <v>388</v>
      </c>
      <c r="C59" t="s">
        <v>203</v>
      </c>
      <c r="D59" t="s">
        <v>389</v>
      </c>
      <c r="E59" t="s">
        <v>204</v>
      </c>
      <c r="F59" t="e">
        <v>#NUM!</v>
      </c>
      <c r="G59" t="e">
        <v>#NUM!</v>
      </c>
      <c r="H59" t="e">
        <v>#NUM!</v>
      </c>
      <c r="I59" t="e">
        <v>#NUM!</v>
      </c>
      <c r="J59" t="e">
        <v>#NUM!</v>
      </c>
      <c r="K59" t="e">
        <v>#NUM!</v>
      </c>
      <c r="L59" t="e">
        <v>#NUM!</v>
      </c>
      <c r="M59" t="e">
        <v>#NUM!</v>
      </c>
      <c r="N59" t="e">
        <v>#NUM!</v>
      </c>
      <c r="O59" t="e">
        <v>#NUM!</v>
      </c>
      <c r="P59" t="e">
        <v>#NUM!</v>
      </c>
      <c r="Q59" t="e">
        <v>#NUM!</v>
      </c>
      <c r="R59" t="e">
        <v>#NUM!</v>
      </c>
      <c r="S59" t="e">
        <v>#NUM!</v>
      </c>
      <c r="T59" t="e">
        <v>#NUM!</v>
      </c>
      <c r="U59" t="e">
        <v>#NUM!</v>
      </c>
      <c r="V59" t="e">
        <v>#NUM!</v>
      </c>
      <c r="W59" t="e">
        <v>#NUM!</v>
      </c>
      <c r="X59" t="e">
        <v>#NUM!</v>
      </c>
      <c r="Y59" t="e">
        <v>#NUM!</v>
      </c>
      <c r="Z59" t="e">
        <v>#NUM!</v>
      </c>
      <c r="AA59" t="e">
        <v>#NUM!</v>
      </c>
      <c r="AB59" t="e">
        <v>#NUM!</v>
      </c>
      <c r="AC59" t="e">
        <v>#NUM!</v>
      </c>
      <c r="AD59" t="e">
        <v>#NUM!</v>
      </c>
      <c r="AE59" t="n">
        <v>0</v>
      </c>
      <c r="AF59" t="e">
        <v>#NUM!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150</v>
      </c>
      <c r="B2" t="s">
        <v>197</v>
      </c>
      <c r="C2" t="s">
        <v>203</v>
      </c>
      <c r="D2" t="s">
        <v>199</v>
      </c>
      <c r="E2" t="s">
        <v>204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150</v>
      </c>
      <c r="B3" t="s">
        <v>276</v>
      </c>
      <c r="C3" t="s">
        <v>203</v>
      </c>
      <c r="D3" t="s">
        <v>277</v>
      </c>
      <c r="E3" t="s">
        <v>204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150</v>
      </c>
      <c r="B4" t="s">
        <v>278</v>
      </c>
      <c r="C4" t="s">
        <v>203</v>
      </c>
      <c r="D4" t="s">
        <v>279</v>
      </c>
      <c r="E4" t="s">
        <v>204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150</v>
      </c>
      <c r="B5" t="s">
        <v>280</v>
      </c>
      <c r="C5" t="s">
        <v>203</v>
      </c>
      <c r="D5" t="s">
        <v>281</v>
      </c>
      <c r="E5" t="s">
        <v>204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150</v>
      </c>
      <c r="B6" t="s">
        <v>282</v>
      </c>
      <c r="C6" t="s">
        <v>203</v>
      </c>
      <c r="D6" t="s">
        <v>283</v>
      </c>
      <c r="E6" t="s">
        <v>204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150</v>
      </c>
      <c r="B7" t="s">
        <v>284</v>
      </c>
      <c r="C7" t="s">
        <v>203</v>
      </c>
      <c r="D7" t="s">
        <v>285</v>
      </c>
      <c r="E7" t="s">
        <v>204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150</v>
      </c>
      <c r="B8" t="s">
        <v>286</v>
      </c>
      <c r="C8" t="s">
        <v>203</v>
      </c>
      <c r="D8" t="s">
        <v>287</v>
      </c>
      <c r="E8" t="s">
        <v>204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150</v>
      </c>
      <c r="B9" t="s">
        <v>288</v>
      </c>
      <c r="C9" t="s">
        <v>203</v>
      </c>
      <c r="D9" t="s">
        <v>289</v>
      </c>
      <c r="E9" t="s">
        <v>204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150</v>
      </c>
      <c r="B10" t="s">
        <v>290</v>
      </c>
      <c r="C10" t="s">
        <v>203</v>
      </c>
      <c r="D10" t="s">
        <v>291</v>
      </c>
      <c r="E10" t="s">
        <v>204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150</v>
      </c>
      <c r="B11" t="s">
        <v>292</v>
      </c>
      <c r="C11" t="s">
        <v>203</v>
      </c>
      <c r="D11" t="s">
        <v>293</v>
      </c>
      <c r="E11" t="s">
        <v>204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150</v>
      </c>
      <c r="B12" t="s">
        <v>294</v>
      </c>
      <c r="C12" t="s">
        <v>203</v>
      </c>
      <c r="D12" t="s">
        <v>295</v>
      </c>
      <c r="E12" t="s">
        <v>204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150</v>
      </c>
      <c r="B13" t="s">
        <v>296</v>
      </c>
      <c r="C13" t="s">
        <v>203</v>
      </c>
      <c r="D13" t="s">
        <v>297</v>
      </c>
      <c r="E13" t="s">
        <v>204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150</v>
      </c>
      <c r="B14" t="s">
        <v>298</v>
      </c>
      <c r="C14" t="s">
        <v>203</v>
      </c>
      <c r="D14" t="s">
        <v>299</v>
      </c>
      <c r="E14" t="s">
        <v>204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150</v>
      </c>
      <c r="B15" t="s">
        <v>300</v>
      </c>
      <c r="C15" t="s">
        <v>203</v>
      </c>
      <c r="D15" t="s">
        <v>301</v>
      </c>
      <c r="E15" t="s">
        <v>204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150</v>
      </c>
      <c r="B16" t="s">
        <v>302</v>
      </c>
      <c r="C16" t="s">
        <v>203</v>
      </c>
      <c r="D16" t="s">
        <v>303</v>
      </c>
      <c r="E16" t="s">
        <v>204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150</v>
      </c>
      <c r="B17" t="s">
        <v>304</v>
      </c>
      <c r="C17" t="s">
        <v>203</v>
      </c>
      <c r="D17" t="s">
        <v>305</v>
      </c>
      <c r="E17" t="s">
        <v>204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150</v>
      </c>
      <c r="B18" t="s">
        <v>306</v>
      </c>
      <c r="C18" t="s">
        <v>203</v>
      </c>
      <c r="D18" t="s">
        <v>307</v>
      </c>
      <c r="E18" t="s">
        <v>204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150</v>
      </c>
      <c r="B19" t="s">
        <v>308</v>
      </c>
      <c r="C19" t="s">
        <v>203</v>
      </c>
      <c r="D19" t="s">
        <v>309</v>
      </c>
      <c r="E19" t="s">
        <v>204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150</v>
      </c>
      <c r="B20" t="s">
        <v>310</v>
      </c>
      <c r="C20" t="s">
        <v>203</v>
      </c>
      <c r="D20" t="s">
        <v>311</v>
      </c>
      <c r="E20" t="s">
        <v>204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150</v>
      </c>
      <c r="B21" t="s">
        <v>312</v>
      </c>
      <c r="C21" t="s">
        <v>203</v>
      </c>
      <c r="D21" t="s">
        <v>313</v>
      </c>
      <c r="E21" t="s">
        <v>204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150</v>
      </c>
      <c r="B22" t="s">
        <v>314</v>
      </c>
      <c r="C22" t="s">
        <v>203</v>
      </c>
      <c r="D22" t="s">
        <v>315</v>
      </c>
      <c r="E22" t="s">
        <v>204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150</v>
      </c>
      <c r="B23" t="s">
        <v>316</v>
      </c>
      <c r="C23" t="s">
        <v>203</v>
      </c>
      <c r="D23" t="s">
        <v>317</v>
      </c>
      <c r="E23" t="s">
        <v>204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150</v>
      </c>
      <c r="B24" t="s">
        <v>318</v>
      </c>
      <c r="C24" t="s">
        <v>203</v>
      </c>
      <c r="D24" t="s">
        <v>319</v>
      </c>
      <c r="E24" t="s">
        <v>204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150</v>
      </c>
      <c r="B25" t="s">
        <v>320</v>
      </c>
      <c r="C25" t="s">
        <v>203</v>
      </c>
      <c r="D25" t="s">
        <v>321</v>
      </c>
      <c r="E25" t="s">
        <v>204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150</v>
      </c>
      <c r="B26" t="s">
        <v>322</v>
      </c>
      <c r="C26" t="s">
        <v>203</v>
      </c>
      <c r="D26" t="s">
        <v>323</v>
      </c>
      <c r="E26" t="s">
        <v>204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150</v>
      </c>
      <c r="B27" t="s">
        <v>324</v>
      </c>
      <c r="C27" t="s">
        <v>203</v>
      </c>
      <c r="D27" t="s">
        <v>325</v>
      </c>
      <c r="E27" t="s">
        <v>204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150</v>
      </c>
      <c r="B28" t="s">
        <v>326</v>
      </c>
      <c r="C28" t="s">
        <v>203</v>
      </c>
      <c r="D28" t="s">
        <v>327</v>
      </c>
      <c r="E28" t="s">
        <v>204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150</v>
      </c>
      <c r="B29" t="s">
        <v>328</v>
      </c>
      <c r="C29" t="s">
        <v>203</v>
      </c>
      <c r="D29" t="s">
        <v>329</v>
      </c>
      <c r="E29" t="s">
        <v>204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150</v>
      </c>
      <c r="B30" t="s">
        <v>330</v>
      </c>
      <c r="C30" t="s">
        <v>203</v>
      </c>
      <c r="D30" t="s">
        <v>331</v>
      </c>
      <c r="E30" t="s">
        <v>204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150</v>
      </c>
      <c r="B31" t="s">
        <v>332</v>
      </c>
      <c r="C31" t="s">
        <v>203</v>
      </c>
      <c r="D31" t="s">
        <v>333</v>
      </c>
      <c r="E31" t="s">
        <v>204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150</v>
      </c>
      <c r="B32" t="s">
        <v>334</v>
      </c>
      <c r="C32" t="s">
        <v>203</v>
      </c>
      <c r="D32" t="s">
        <v>335</v>
      </c>
      <c r="E32" t="s">
        <v>204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150</v>
      </c>
      <c r="B33" t="s">
        <v>336</v>
      </c>
      <c r="C33" t="s">
        <v>203</v>
      </c>
      <c r="D33" t="s">
        <v>337</v>
      </c>
      <c r="E33" t="s">
        <v>204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150</v>
      </c>
      <c r="B34" t="s">
        <v>338</v>
      </c>
      <c r="C34" t="s">
        <v>203</v>
      </c>
      <c r="D34" t="s">
        <v>339</v>
      </c>
      <c r="E34" t="s">
        <v>204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150</v>
      </c>
      <c r="B35" t="s">
        <v>340</v>
      </c>
      <c r="C35" t="s">
        <v>203</v>
      </c>
      <c r="D35" t="s">
        <v>341</v>
      </c>
      <c r="E35" t="s">
        <v>204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150</v>
      </c>
      <c r="B36" t="s">
        <v>342</v>
      </c>
      <c r="C36" t="s">
        <v>203</v>
      </c>
      <c r="D36" t="s">
        <v>343</v>
      </c>
      <c r="E36" t="s">
        <v>204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150</v>
      </c>
      <c r="B37" t="s">
        <v>344</v>
      </c>
      <c r="C37" t="s">
        <v>203</v>
      </c>
      <c r="D37" t="s">
        <v>345</v>
      </c>
      <c r="E37" t="s">
        <v>204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150</v>
      </c>
      <c r="B38" t="s">
        <v>346</v>
      </c>
      <c r="C38" t="s">
        <v>203</v>
      </c>
      <c r="D38" t="s">
        <v>347</v>
      </c>
      <c r="E38" t="s">
        <v>204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150</v>
      </c>
      <c r="B39" t="s">
        <v>348</v>
      </c>
      <c r="C39" t="s">
        <v>203</v>
      </c>
      <c r="D39" t="s">
        <v>349</v>
      </c>
      <c r="E39" t="s">
        <v>204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150</v>
      </c>
      <c r="B40" t="s">
        <v>350</v>
      </c>
      <c r="C40" t="s">
        <v>203</v>
      </c>
      <c r="D40" t="s">
        <v>351</v>
      </c>
      <c r="E40" t="s">
        <v>204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150</v>
      </c>
      <c r="B41" t="s">
        <v>352</v>
      </c>
      <c r="C41" t="s">
        <v>203</v>
      </c>
      <c r="D41" t="s">
        <v>353</v>
      </c>
      <c r="E41" t="s">
        <v>204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150</v>
      </c>
      <c r="B42" t="s">
        <v>354</v>
      </c>
      <c r="C42" t="s">
        <v>203</v>
      </c>
      <c r="D42" t="s">
        <v>355</v>
      </c>
      <c r="E42" t="s">
        <v>204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150</v>
      </c>
      <c r="B43" t="s">
        <v>356</v>
      </c>
      <c r="C43" t="s">
        <v>203</v>
      </c>
      <c r="D43" t="s">
        <v>357</v>
      </c>
      <c r="E43" t="s">
        <v>204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150</v>
      </c>
      <c r="B44" t="s">
        <v>358</v>
      </c>
      <c r="C44" t="s">
        <v>203</v>
      </c>
      <c r="D44" t="s">
        <v>359</v>
      </c>
      <c r="E44" t="s">
        <v>204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</row>
    <row r="45">
      <c r="A45" t="s">
        <v>150</v>
      </c>
      <c r="B45" t="s">
        <v>360</v>
      </c>
      <c r="C45" t="s">
        <v>203</v>
      </c>
      <c r="D45" t="s">
        <v>361</v>
      </c>
      <c r="E45" t="s">
        <v>204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150</v>
      </c>
      <c r="B46" t="s">
        <v>362</v>
      </c>
      <c r="C46" t="s">
        <v>203</v>
      </c>
      <c r="D46" t="s">
        <v>363</v>
      </c>
      <c r="E46" t="s">
        <v>204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150</v>
      </c>
      <c r="B47" t="s">
        <v>364</v>
      </c>
      <c r="C47" t="s">
        <v>203</v>
      </c>
      <c r="D47" t="s">
        <v>365</v>
      </c>
      <c r="E47" t="s">
        <v>204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150</v>
      </c>
      <c r="B48" t="s">
        <v>366</v>
      </c>
      <c r="C48" t="s">
        <v>203</v>
      </c>
      <c r="D48" t="s">
        <v>367</v>
      </c>
      <c r="E48" t="s">
        <v>204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150</v>
      </c>
      <c r="B49" t="s">
        <v>368</v>
      </c>
      <c r="C49" t="s">
        <v>203</v>
      </c>
      <c r="D49" t="s">
        <v>369</v>
      </c>
      <c r="E49" t="s">
        <v>204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150</v>
      </c>
      <c r="B50" t="s">
        <v>370</v>
      </c>
      <c r="C50" t="s">
        <v>203</v>
      </c>
      <c r="D50" t="s">
        <v>371</v>
      </c>
      <c r="E50" t="s">
        <v>204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150</v>
      </c>
      <c r="B51" t="s">
        <v>372</v>
      </c>
      <c r="C51" t="s">
        <v>203</v>
      </c>
      <c r="D51" t="s">
        <v>373</v>
      </c>
      <c r="E51" t="s">
        <v>204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150</v>
      </c>
      <c r="B52" t="s">
        <v>374</v>
      </c>
      <c r="C52" t="s">
        <v>203</v>
      </c>
      <c r="D52" t="s">
        <v>375</v>
      </c>
      <c r="E52" t="s">
        <v>204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150</v>
      </c>
      <c r="B53" t="s">
        <v>376</v>
      </c>
      <c r="C53" t="s">
        <v>203</v>
      </c>
      <c r="D53" t="s">
        <v>377</v>
      </c>
      <c r="E53" t="s">
        <v>204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150</v>
      </c>
      <c r="B54" t="s">
        <v>378</v>
      </c>
      <c r="C54" t="s">
        <v>203</v>
      </c>
      <c r="D54" t="s">
        <v>379</v>
      </c>
      <c r="E54" t="s">
        <v>204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150</v>
      </c>
      <c r="B55" t="s">
        <v>380</v>
      </c>
      <c r="C55" t="s">
        <v>203</v>
      </c>
      <c r="D55" t="s">
        <v>381</v>
      </c>
      <c r="E55" t="s">
        <v>204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150</v>
      </c>
      <c r="B56" t="s">
        <v>382</v>
      </c>
      <c r="C56" t="s">
        <v>203</v>
      </c>
      <c r="D56" t="s">
        <v>383</v>
      </c>
      <c r="E56" t="s">
        <v>204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150</v>
      </c>
      <c r="B57" t="s">
        <v>384</v>
      </c>
      <c r="C57" t="s">
        <v>203</v>
      </c>
      <c r="D57" t="s">
        <v>385</v>
      </c>
      <c r="E57" t="s">
        <v>204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158.21</v>
      </c>
      <c r="L57" t="n">
        <v>163.046</v>
      </c>
      <c r="M57" t="n">
        <v>169.152</v>
      </c>
      <c r="N57" t="n">
        <v>168.005</v>
      </c>
      <c r="O57" t="n">
        <v>173.63</v>
      </c>
      <c r="P57" t="n">
        <v>181.587</v>
      </c>
      <c r="Q57" t="n">
        <v>190.439</v>
      </c>
      <c r="R57" t="n">
        <v>205.584</v>
      </c>
      <c r="S57" t="n">
        <v>229.271</v>
      </c>
      <c r="T57" t="n">
        <v>253.624</v>
      </c>
      <c r="U57" t="n">
        <v>282.638</v>
      </c>
      <c r="V57" t="n">
        <v>300.508</v>
      </c>
      <c r="W57" t="n">
        <v>265.573</v>
      </c>
      <c r="X57" t="n">
        <v>429.416</v>
      </c>
      <c r="Y57" t="n">
        <v>404.358</v>
      </c>
      <c r="Z57" t="n">
        <v>450.779</v>
      </c>
      <c r="AA57" t="n">
        <v>588.231</v>
      </c>
      <c r="AB57" t="n">
        <v>867.623</v>
      </c>
      <c r="AC57" t="n">
        <v>1227.537</v>
      </c>
      <c r="AD57" t="n">
        <v>1283.481</v>
      </c>
      <c r="AE57" t="n">
        <v>1220.8</v>
      </c>
      <c r="AF57" t="n">
        <v>1152.4</v>
      </c>
    </row>
    <row r="58">
      <c r="A58" t="s">
        <v>150</v>
      </c>
      <c r="B58" t="s">
        <v>386</v>
      </c>
      <c r="C58" t="s">
        <v>203</v>
      </c>
      <c r="D58" t="s">
        <v>387</v>
      </c>
      <c r="E58" t="s">
        <v>204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</row>
    <row r="59">
      <c r="A59" t="s">
        <v>150</v>
      </c>
      <c r="B59" t="s">
        <v>388</v>
      </c>
      <c r="C59" t="s">
        <v>203</v>
      </c>
      <c r="D59" t="s">
        <v>389</v>
      </c>
      <c r="E59" t="s">
        <v>204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151</v>
      </c>
      <c r="B2" t="s">
        <v>197</v>
      </c>
      <c r="C2" t="s">
        <v>203</v>
      </c>
      <c r="D2" t="s">
        <v>199</v>
      </c>
      <c r="E2" t="s">
        <v>204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151</v>
      </c>
      <c r="B3" t="s">
        <v>276</v>
      </c>
      <c r="C3" t="s">
        <v>203</v>
      </c>
      <c r="D3" t="s">
        <v>277</v>
      </c>
      <c r="E3" t="s">
        <v>204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151</v>
      </c>
      <c r="B4" t="s">
        <v>278</v>
      </c>
      <c r="C4" t="s">
        <v>203</v>
      </c>
      <c r="D4" t="s">
        <v>279</v>
      </c>
      <c r="E4" t="s">
        <v>204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151</v>
      </c>
      <c r="B5" t="s">
        <v>280</v>
      </c>
      <c r="C5" t="s">
        <v>203</v>
      </c>
      <c r="D5" t="s">
        <v>281</v>
      </c>
      <c r="E5" t="s">
        <v>204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151</v>
      </c>
      <c r="B6" t="s">
        <v>282</v>
      </c>
      <c r="C6" t="s">
        <v>203</v>
      </c>
      <c r="D6" t="s">
        <v>283</v>
      </c>
      <c r="E6" t="s">
        <v>204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151</v>
      </c>
      <c r="B7" t="s">
        <v>284</v>
      </c>
      <c r="C7" t="s">
        <v>203</v>
      </c>
      <c r="D7" t="s">
        <v>285</v>
      </c>
      <c r="E7" t="s">
        <v>204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151</v>
      </c>
      <c r="B8" t="s">
        <v>286</v>
      </c>
      <c r="C8" t="s">
        <v>203</v>
      </c>
      <c r="D8" t="s">
        <v>287</v>
      </c>
      <c r="E8" t="s">
        <v>204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151</v>
      </c>
      <c r="B9" t="s">
        <v>288</v>
      </c>
      <c r="C9" t="s">
        <v>203</v>
      </c>
      <c r="D9" t="s">
        <v>289</v>
      </c>
      <c r="E9" t="s">
        <v>204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151</v>
      </c>
      <c r="B10" t="s">
        <v>290</v>
      </c>
      <c r="C10" t="s">
        <v>203</v>
      </c>
      <c r="D10" t="s">
        <v>291</v>
      </c>
      <c r="E10" t="s">
        <v>204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151</v>
      </c>
      <c r="B11" t="s">
        <v>292</v>
      </c>
      <c r="C11" t="s">
        <v>203</v>
      </c>
      <c r="D11" t="s">
        <v>293</v>
      </c>
      <c r="E11" t="s">
        <v>204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151</v>
      </c>
      <c r="B12" t="s">
        <v>294</v>
      </c>
      <c r="C12" t="s">
        <v>203</v>
      </c>
      <c r="D12" t="s">
        <v>295</v>
      </c>
      <c r="E12" t="s">
        <v>204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151</v>
      </c>
      <c r="B13" t="s">
        <v>296</v>
      </c>
      <c r="C13" t="s">
        <v>203</v>
      </c>
      <c r="D13" t="s">
        <v>297</v>
      </c>
      <c r="E13" t="s">
        <v>204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151</v>
      </c>
      <c r="B14" t="s">
        <v>298</v>
      </c>
      <c r="C14" t="s">
        <v>203</v>
      </c>
      <c r="D14" t="s">
        <v>299</v>
      </c>
      <c r="E14" t="s">
        <v>204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151</v>
      </c>
      <c r="B15" t="s">
        <v>300</v>
      </c>
      <c r="C15" t="s">
        <v>203</v>
      </c>
      <c r="D15" t="s">
        <v>301</v>
      </c>
      <c r="E15" t="s">
        <v>204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151</v>
      </c>
      <c r="B16" t="s">
        <v>302</v>
      </c>
      <c r="C16" t="s">
        <v>203</v>
      </c>
      <c r="D16" t="s">
        <v>303</v>
      </c>
      <c r="E16" t="s">
        <v>204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151</v>
      </c>
      <c r="B17" t="s">
        <v>304</v>
      </c>
      <c r="C17" t="s">
        <v>203</v>
      </c>
      <c r="D17" t="s">
        <v>305</v>
      </c>
      <c r="E17" t="s">
        <v>204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151</v>
      </c>
      <c r="B18" t="s">
        <v>306</v>
      </c>
      <c r="C18" t="s">
        <v>203</v>
      </c>
      <c r="D18" t="s">
        <v>307</v>
      </c>
      <c r="E18" t="s">
        <v>204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151</v>
      </c>
      <c r="B19" t="s">
        <v>308</v>
      </c>
      <c r="C19" t="s">
        <v>203</v>
      </c>
      <c r="D19" t="s">
        <v>309</v>
      </c>
      <c r="E19" t="s">
        <v>204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151</v>
      </c>
      <c r="B20" t="s">
        <v>310</v>
      </c>
      <c r="C20" t="s">
        <v>203</v>
      </c>
      <c r="D20" t="s">
        <v>311</v>
      </c>
      <c r="E20" t="s">
        <v>204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151</v>
      </c>
      <c r="B21" t="s">
        <v>312</v>
      </c>
      <c r="C21" t="s">
        <v>203</v>
      </c>
      <c r="D21" t="s">
        <v>313</v>
      </c>
      <c r="E21" t="s">
        <v>204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151</v>
      </c>
      <c r="B22" t="s">
        <v>314</v>
      </c>
      <c r="C22" t="s">
        <v>203</v>
      </c>
      <c r="D22" t="s">
        <v>315</v>
      </c>
      <c r="E22" t="s">
        <v>204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151</v>
      </c>
      <c r="B23" t="s">
        <v>316</v>
      </c>
      <c r="C23" t="s">
        <v>203</v>
      </c>
      <c r="D23" t="s">
        <v>317</v>
      </c>
      <c r="E23" t="s">
        <v>204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151</v>
      </c>
      <c r="B24" t="s">
        <v>318</v>
      </c>
      <c r="C24" t="s">
        <v>203</v>
      </c>
      <c r="D24" t="s">
        <v>319</v>
      </c>
      <c r="E24" t="s">
        <v>204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151</v>
      </c>
      <c r="B25" t="s">
        <v>320</v>
      </c>
      <c r="C25" t="s">
        <v>203</v>
      </c>
      <c r="D25" t="s">
        <v>321</v>
      </c>
      <c r="E25" t="s">
        <v>204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151</v>
      </c>
      <c r="B26" t="s">
        <v>322</v>
      </c>
      <c r="C26" t="s">
        <v>203</v>
      </c>
      <c r="D26" t="s">
        <v>323</v>
      </c>
      <c r="E26" t="s">
        <v>204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151</v>
      </c>
      <c r="B27" t="s">
        <v>324</v>
      </c>
      <c r="C27" t="s">
        <v>203</v>
      </c>
      <c r="D27" t="s">
        <v>325</v>
      </c>
      <c r="E27" t="s">
        <v>204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151</v>
      </c>
      <c r="B28" t="s">
        <v>326</v>
      </c>
      <c r="C28" t="s">
        <v>203</v>
      </c>
      <c r="D28" t="s">
        <v>327</v>
      </c>
      <c r="E28" t="s">
        <v>204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151</v>
      </c>
      <c r="B29" t="s">
        <v>328</v>
      </c>
      <c r="C29" t="s">
        <v>203</v>
      </c>
      <c r="D29" t="s">
        <v>329</v>
      </c>
      <c r="E29" t="s">
        <v>204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151</v>
      </c>
      <c r="B30" t="s">
        <v>330</v>
      </c>
      <c r="C30" t="s">
        <v>203</v>
      </c>
      <c r="D30" t="s">
        <v>331</v>
      </c>
      <c r="E30" t="s">
        <v>204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151</v>
      </c>
      <c r="B31" t="s">
        <v>332</v>
      </c>
      <c r="C31" t="s">
        <v>203</v>
      </c>
      <c r="D31" t="s">
        <v>333</v>
      </c>
      <c r="E31" t="s">
        <v>204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151</v>
      </c>
      <c r="B32" t="s">
        <v>334</v>
      </c>
      <c r="C32" t="s">
        <v>203</v>
      </c>
      <c r="D32" t="s">
        <v>335</v>
      </c>
      <c r="E32" t="s">
        <v>204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151</v>
      </c>
      <c r="B33" t="s">
        <v>336</v>
      </c>
      <c r="C33" t="s">
        <v>203</v>
      </c>
      <c r="D33" t="s">
        <v>337</v>
      </c>
      <c r="E33" t="s">
        <v>204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151</v>
      </c>
      <c r="B34" t="s">
        <v>338</v>
      </c>
      <c r="C34" t="s">
        <v>203</v>
      </c>
      <c r="D34" t="s">
        <v>339</v>
      </c>
      <c r="E34" t="s">
        <v>204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151</v>
      </c>
      <c r="B35" t="s">
        <v>340</v>
      </c>
      <c r="C35" t="s">
        <v>203</v>
      </c>
      <c r="D35" t="s">
        <v>341</v>
      </c>
      <c r="E35" t="s">
        <v>204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151</v>
      </c>
      <c r="B36" t="s">
        <v>342</v>
      </c>
      <c r="C36" t="s">
        <v>203</v>
      </c>
      <c r="D36" t="s">
        <v>343</v>
      </c>
      <c r="E36" t="s">
        <v>204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151</v>
      </c>
      <c r="B37" t="s">
        <v>344</v>
      </c>
      <c r="C37" t="s">
        <v>203</v>
      </c>
      <c r="D37" t="s">
        <v>345</v>
      </c>
      <c r="E37" t="s">
        <v>204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151</v>
      </c>
      <c r="B38" t="s">
        <v>346</v>
      </c>
      <c r="C38" t="s">
        <v>203</v>
      </c>
      <c r="D38" t="s">
        <v>347</v>
      </c>
      <c r="E38" t="s">
        <v>204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151</v>
      </c>
      <c r="B39" t="s">
        <v>348</v>
      </c>
      <c r="C39" t="s">
        <v>203</v>
      </c>
      <c r="D39" t="s">
        <v>349</v>
      </c>
      <c r="E39" t="s">
        <v>204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151</v>
      </c>
      <c r="B40" t="s">
        <v>350</v>
      </c>
      <c r="C40" t="s">
        <v>203</v>
      </c>
      <c r="D40" t="s">
        <v>351</v>
      </c>
      <c r="E40" t="s">
        <v>204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151</v>
      </c>
      <c r="B41" t="s">
        <v>352</v>
      </c>
      <c r="C41" t="s">
        <v>203</v>
      </c>
      <c r="D41" t="s">
        <v>353</v>
      </c>
      <c r="E41" t="s">
        <v>204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151</v>
      </c>
      <c r="B42" t="s">
        <v>354</v>
      </c>
      <c r="C42" t="s">
        <v>203</v>
      </c>
      <c r="D42" t="s">
        <v>355</v>
      </c>
      <c r="E42" t="s">
        <v>204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151</v>
      </c>
      <c r="B43" t="s">
        <v>356</v>
      </c>
      <c r="C43" t="s">
        <v>203</v>
      </c>
      <c r="D43" t="s">
        <v>357</v>
      </c>
      <c r="E43" t="s">
        <v>204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151</v>
      </c>
      <c r="B44" t="s">
        <v>358</v>
      </c>
      <c r="C44" t="s">
        <v>203</v>
      </c>
      <c r="D44" t="s">
        <v>359</v>
      </c>
      <c r="E44" t="s">
        <v>204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151</v>
      </c>
      <c r="B45" t="s">
        <v>360</v>
      </c>
      <c r="C45" t="s">
        <v>203</v>
      </c>
      <c r="D45" t="s">
        <v>361</v>
      </c>
      <c r="E45" t="s">
        <v>204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151</v>
      </c>
      <c r="B46" t="s">
        <v>362</v>
      </c>
      <c r="C46" t="s">
        <v>203</v>
      </c>
      <c r="D46" t="s">
        <v>363</v>
      </c>
      <c r="E46" t="s">
        <v>204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151</v>
      </c>
      <c r="B47" t="s">
        <v>364</v>
      </c>
      <c r="C47" t="s">
        <v>203</v>
      </c>
      <c r="D47" t="s">
        <v>365</v>
      </c>
      <c r="E47" t="s">
        <v>204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151</v>
      </c>
      <c r="B48" t="s">
        <v>366</v>
      </c>
      <c r="C48" t="s">
        <v>203</v>
      </c>
      <c r="D48" t="s">
        <v>367</v>
      </c>
      <c r="E48" t="s">
        <v>204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151</v>
      </c>
      <c r="B49" t="s">
        <v>368</v>
      </c>
      <c r="C49" t="s">
        <v>203</v>
      </c>
      <c r="D49" t="s">
        <v>369</v>
      </c>
      <c r="E49" t="s">
        <v>204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151</v>
      </c>
      <c r="B50" t="s">
        <v>370</v>
      </c>
      <c r="C50" t="s">
        <v>203</v>
      </c>
      <c r="D50" t="s">
        <v>371</v>
      </c>
      <c r="E50" t="s">
        <v>204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151</v>
      </c>
      <c r="B51" t="s">
        <v>372</v>
      </c>
      <c r="C51" t="s">
        <v>203</v>
      </c>
      <c r="D51" t="s">
        <v>373</v>
      </c>
      <c r="E51" t="s">
        <v>204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151</v>
      </c>
      <c r="B52" t="s">
        <v>374</v>
      </c>
      <c r="C52" t="s">
        <v>203</v>
      </c>
      <c r="D52" t="s">
        <v>375</v>
      </c>
      <c r="E52" t="s">
        <v>204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151</v>
      </c>
      <c r="B53" t="s">
        <v>376</v>
      </c>
      <c r="C53" t="s">
        <v>203</v>
      </c>
      <c r="D53" t="s">
        <v>377</v>
      </c>
      <c r="E53" t="s">
        <v>204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151</v>
      </c>
      <c r="B54" t="s">
        <v>378</v>
      </c>
      <c r="C54" t="s">
        <v>203</v>
      </c>
      <c r="D54" t="s">
        <v>379</v>
      </c>
      <c r="E54" t="s">
        <v>204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151</v>
      </c>
      <c r="B55" t="s">
        <v>380</v>
      </c>
      <c r="C55" t="s">
        <v>203</v>
      </c>
      <c r="D55" t="s">
        <v>381</v>
      </c>
      <c r="E55" t="s">
        <v>204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151</v>
      </c>
      <c r="B56" t="s">
        <v>382</v>
      </c>
      <c r="C56" t="s">
        <v>203</v>
      </c>
      <c r="D56" t="s">
        <v>383</v>
      </c>
      <c r="E56" t="s">
        <v>204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151</v>
      </c>
      <c r="B57" t="s">
        <v>384</v>
      </c>
      <c r="C57" t="s">
        <v>203</v>
      </c>
      <c r="D57" t="s">
        <v>385</v>
      </c>
      <c r="E57" t="s">
        <v>204</v>
      </c>
      <c r="F57"/>
      <c r="G57"/>
      <c r="H57"/>
      <c r="I57"/>
      <c r="J57"/>
      <c r="K57" t="n">
        <v>377786.017742434</v>
      </c>
      <c r="L57" t="n">
        <v>334867.181358813</v>
      </c>
      <c r="M57" t="n">
        <v>366310.88826905</v>
      </c>
      <c r="N57" t="n">
        <v>371570.913204587</v>
      </c>
      <c r="O57" t="n">
        <v>363141.323233526</v>
      </c>
      <c r="P57" t="n">
        <v>353911.617235116</v>
      </c>
      <c r="Q57" t="n">
        <v>368416.459057459</v>
      </c>
      <c r="R57" t="n">
        <v>361877.53821793</v>
      </c>
      <c r="S57" t="n">
        <v>387036.479549906</v>
      </c>
      <c r="T57" t="n">
        <v>424512.374729266</v>
      </c>
      <c r="U57" t="n">
        <v>437236.31153529</v>
      </c>
      <c r="V57" t="n">
        <v>437109.777915893</v>
      </c>
      <c r="W57" t="n">
        <v>437664.386166762</v>
      </c>
      <c r="X57" t="n">
        <v>438359.661217086</v>
      </c>
      <c r="Y57" t="n">
        <v>439267.737542523</v>
      </c>
      <c r="Z57" t="n">
        <v>440490.04383975</v>
      </c>
      <c r="AA57" t="n">
        <v>439839.950986392</v>
      </c>
      <c r="AB57" t="n">
        <v>439048.511723436</v>
      </c>
      <c r="AC57" t="n">
        <v>440270.762674726</v>
      </c>
      <c r="AD57" t="n">
        <v>442176.795791769</v>
      </c>
      <c r="AE57" t="n">
        <v>431826.2</v>
      </c>
      <c r="AF57" t="n">
        <v>399527.8</v>
      </c>
    </row>
    <row r="58">
      <c r="A58" t="s">
        <v>151</v>
      </c>
      <c r="B58" t="s">
        <v>386</v>
      </c>
      <c r="C58" t="s">
        <v>203</v>
      </c>
      <c r="D58" t="s">
        <v>387</v>
      </c>
      <c r="E58" t="s">
        <v>204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151</v>
      </c>
      <c r="B59" t="s">
        <v>388</v>
      </c>
      <c r="C59" t="s">
        <v>203</v>
      </c>
      <c r="D59" t="s">
        <v>389</v>
      </c>
      <c r="E59" t="s">
        <v>204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legend</dc:creator>
  <cp:lastModifiedBy>legend</cp:lastModifiedBy>
  <dcterms:created xsi:type="dcterms:W3CDTF">2025-01-07T18:47:01Z</dcterms:created>
</coreProperties>
</file>